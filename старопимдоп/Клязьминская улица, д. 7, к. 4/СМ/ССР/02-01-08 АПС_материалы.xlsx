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bookViews>
    <workbookView xWindow="0" yWindow="0" windowWidth="22843" windowHeight="10894"/>
  </bookViews>
  <sheets>
    <sheet name="02-01-08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'02-01-08'!$27:$27</definedName>
    <definedName name="_xlnm.Print_Titles" localSheetId="1">'Ведомость объемов работ'!$17:$17</definedName>
    <definedName name="_xlnm.Print_Area" localSheetId="0">'02-01-08'!$A$1:$K$340</definedName>
    <definedName name="_xlnm.Print_Area" localSheetId="1">'Ведомость объемов работ'!$A$1:$H$92</definedName>
  </definedNames>
  <calcPr calcId="162913" iterate="1"/>
</workbook>
</file>

<file path=xl/calcChain.xml><?xml version="1.0" encoding="utf-8"?>
<calcChain xmlns="http://schemas.openxmlformats.org/spreadsheetml/2006/main">
  <c r="D90" i="8" l="1"/>
  <c r="D88" i="8"/>
  <c r="F85" i="8"/>
  <c r="E85" i="8"/>
  <c r="C85" i="8"/>
  <c r="B85" i="8"/>
  <c r="G84" i="8"/>
  <c r="F84" i="8"/>
  <c r="E84" i="8"/>
  <c r="C84" i="8"/>
  <c r="B84" i="8"/>
  <c r="F83" i="8"/>
  <c r="E83" i="8"/>
  <c r="C83" i="8"/>
  <c r="B83" i="8"/>
  <c r="F82" i="8"/>
  <c r="E82" i="8"/>
  <c r="C82" i="8"/>
  <c r="B82" i="8"/>
  <c r="G81" i="8"/>
  <c r="F81" i="8"/>
  <c r="E81" i="8"/>
  <c r="C81" i="8"/>
  <c r="B81" i="8"/>
  <c r="A80" i="8"/>
  <c r="G79" i="8"/>
  <c r="F79" i="8"/>
  <c r="E79" i="8"/>
  <c r="C79" i="8"/>
  <c r="B79" i="8"/>
  <c r="F78" i="8"/>
  <c r="E78" i="8"/>
  <c r="C78" i="8"/>
  <c r="B78" i="8"/>
  <c r="F77" i="8"/>
  <c r="E77" i="8"/>
  <c r="C77" i="8"/>
  <c r="B77" i="8"/>
  <c r="G76" i="8"/>
  <c r="F76" i="8"/>
  <c r="E76" i="8"/>
  <c r="C76" i="8"/>
  <c r="B76" i="8"/>
  <c r="F75" i="8"/>
  <c r="E75" i="8"/>
  <c r="C75" i="8"/>
  <c r="B75" i="8"/>
  <c r="F74" i="8"/>
  <c r="E74" i="8"/>
  <c r="C74" i="8"/>
  <c r="B74" i="8"/>
  <c r="F73" i="8"/>
  <c r="E73" i="8"/>
  <c r="C73" i="8"/>
  <c r="B73" i="8"/>
  <c r="G72" i="8"/>
  <c r="F72" i="8"/>
  <c r="E72" i="8"/>
  <c r="C72" i="8"/>
  <c r="B72" i="8"/>
  <c r="F71" i="8"/>
  <c r="E71" i="8"/>
  <c r="C71" i="8"/>
  <c r="B71" i="8"/>
  <c r="F70" i="8"/>
  <c r="E70" i="8"/>
  <c r="C70" i="8"/>
  <c r="B70" i="8"/>
  <c r="F69" i="8"/>
  <c r="E69" i="8"/>
  <c r="C69" i="8"/>
  <c r="B69" i="8"/>
  <c r="F68" i="8"/>
  <c r="E68" i="8"/>
  <c r="C68" i="8"/>
  <c r="B68" i="8"/>
  <c r="F67" i="8"/>
  <c r="E67" i="8"/>
  <c r="C67" i="8"/>
  <c r="B67" i="8"/>
  <c r="F66" i="8"/>
  <c r="E66" i="8"/>
  <c r="C66" i="8"/>
  <c r="B66" i="8"/>
  <c r="F65" i="8"/>
  <c r="E65" i="8"/>
  <c r="C65" i="8"/>
  <c r="B65" i="8"/>
  <c r="F64" i="8"/>
  <c r="E64" i="8"/>
  <c r="C64" i="8"/>
  <c r="B64" i="8"/>
  <c r="G63" i="8"/>
  <c r="F63" i="8"/>
  <c r="E63" i="8"/>
  <c r="C63" i="8"/>
  <c r="B63" i="8"/>
  <c r="A62" i="8"/>
  <c r="F61" i="8"/>
  <c r="E61" i="8"/>
  <c r="C61" i="8"/>
  <c r="B61" i="8"/>
  <c r="F60" i="8"/>
  <c r="E60" i="8"/>
  <c r="C60" i="8"/>
  <c r="B60" i="8"/>
  <c r="G59" i="8"/>
  <c r="F59" i="8"/>
  <c r="E59" i="8"/>
  <c r="C59" i="8"/>
  <c r="B59" i="8"/>
  <c r="F58" i="8"/>
  <c r="E58" i="8"/>
  <c r="C58" i="8"/>
  <c r="B58" i="8"/>
  <c r="G57" i="8"/>
  <c r="F57" i="8"/>
  <c r="E57" i="8"/>
  <c r="C57" i="8"/>
  <c r="B57" i="8"/>
  <c r="F56" i="8"/>
  <c r="E56" i="8"/>
  <c r="C56" i="8"/>
  <c r="B56" i="8"/>
  <c r="G55" i="8"/>
  <c r="F55" i="8"/>
  <c r="E55" i="8"/>
  <c r="C55" i="8"/>
  <c r="B55" i="8"/>
  <c r="F54" i="8"/>
  <c r="E54" i="8"/>
  <c r="C54" i="8"/>
  <c r="B54" i="8"/>
  <c r="F53" i="8"/>
  <c r="E53" i="8"/>
  <c r="C53" i="8"/>
  <c r="B53" i="8"/>
  <c r="F52" i="8"/>
  <c r="E52" i="8"/>
  <c r="C52" i="8"/>
  <c r="B52" i="8"/>
  <c r="F51" i="8"/>
  <c r="E51" i="8"/>
  <c r="C51" i="8"/>
  <c r="B51" i="8"/>
  <c r="G50" i="8"/>
  <c r="F50" i="8"/>
  <c r="E50" i="8"/>
  <c r="C50" i="8"/>
  <c r="B50" i="8"/>
  <c r="F49" i="8"/>
  <c r="E49" i="8"/>
  <c r="C49" i="8"/>
  <c r="B49" i="8"/>
  <c r="F48" i="8"/>
  <c r="E48" i="8"/>
  <c r="C48" i="8"/>
  <c r="B48" i="8"/>
  <c r="F47" i="8"/>
  <c r="E47" i="8"/>
  <c r="C47" i="8"/>
  <c r="B47" i="8"/>
  <c r="F46" i="8"/>
  <c r="E46" i="8"/>
  <c r="C46" i="8"/>
  <c r="B46" i="8"/>
  <c r="F45" i="8"/>
  <c r="E45" i="8"/>
  <c r="C45" i="8"/>
  <c r="B45" i="8"/>
  <c r="F44" i="8"/>
  <c r="E44" i="8"/>
  <c r="C44" i="8"/>
  <c r="B44" i="8"/>
  <c r="G43" i="8"/>
  <c r="F43" i="8"/>
  <c r="E43" i="8"/>
  <c r="C43" i="8"/>
  <c r="B43" i="8"/>
  <c r="F42" i="8"/>
  <c r="E42" i="8"/>
  <c r="C42" i="8"/>
  <c r="B42" i="8"/>
  <c r="F41" i="8"/>
  <c r="E41" i="8"/>
  <c r="C41" i="8"/>
  <c r="B41" i="8"/>
  <c r="F40" i="8"/>
  <c r="E40" i="8"/>
  <c r="C40" i="8"/>
  <c r="B40" i="8"/>
  <c r="G39" i="8"/>
  <c r="F39" i="8"/>
  <c r="E39" i="8"/>
  <c r="C39" i="8"/>
  <c r="B39" i="8"/>
  <c r="F38" i="8"/>
  <c r="E38" i="8"/>
  <c r="C38" i="8"/>
  <c r="B38" i="8"/>
  <c r="G37" i="8"/>
  <c r="F37" i="8"/>
  <c r="E37" i="8"/>
  <c r="C37" i="8"/>
  <c r="B37" i="8"/>
  <c r="F36" i="8"/>
  <c r="E36" i="8"/>
  <c r="C36" i="8"/>
  <c r="B36" i="8"/>
  <c r="G35" i="8"/>
  <c r="F35" i="8"/>
  <c r="E35" i="8"/>
  <c r="C35" i="8"/>
  <c r="B35" i="8"/>
  <c r="F34" i="8"/>
  <c r="E34" i="8"/>
  <c r="C34" i="8"/>
  <c r="B34" i="8"/>
  <c r="G33" i="8"/>
  <c r="F33" i="8"/>
  <c r="E33" i="8"/>
  <c r="C33" i="8"/>
  <c r="B33" i="8"/>
  <c r="F32" i="8"/>
  <c r="E32" i="8"/>
  <c r="C32" i="8"/>
  <c r="B32" i="8"/>
  <c r="G31" i="8"/>
  <c r="F31" i="8"/>
  <c r="E31" i="8"/>
  <c r="C31" i="8"/>
  <c r="B31" i="8"/>
  <c r="F30" i="8"/>
  <c r="E30" i="8"/>
  <c r="C30" i="8"/>
  <c r="B30" i="8"/>
  <c r="F29" i="8"/>
  <c r="E29" i="8"/>
  <c r="C29" i="8"/>
  <c r="B29" i="8"/>
  <c r="G28" i="8"/>
  <c r="F28" i="8"/>
  <c r="E28" i="8"/>
  <c r="C28" i="8"/>
  <c r="B28" i="8"/>
  <c r="F27" i="8"/>
  <c r="E27" i="8"/>
  <c r="C27" i="8"/>
  <c r="B27" i="8"/>
  <c r="G26" i="8"/>
  <c r="F26" i="8"/>
  <c r="E26" i="8"/>
  <c r="C26" i="8"/>
  <c r="B26" i="8"/>
  <c r="F25" i="8"/>
  <c r="E25" i="8"/>
  <c r="C25" i="8"/>
  <c r="B25" i="8"/>
  <c r="G24" i="8"/>
  <c r="F24" i="8"/>
  <c r="E24" i="8"/>
  <c r="C24" i="8"/>
  <c r="B24" i="8"/>
  <c r="F23" i="8"/>
  <c r="E23" i="8"/>
  <c r="C23" i="8"/>
  <c r="B23" i="8"/>
  <c r="G22" i="8"/>
  <c r="F22" i="8"/>
  <c r="E22" i="8"/>
  <c r="C22" i="8"/>
  <c r="B22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338" i="7"/>
  <c r="H335" i="7"/>
  <c r="C338" i="7"/>
  <c r="C335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/>
  <c r="I332" i="7"/>
  <c r="J332" i="7"/>
  <c r="I331" i="7"/>
  <c r="J331" i="7"/>
  <c r="A330" i="7"/>
  <c r="I328" i="7"/>
  <c r="J328" i="7"/>
  <c r="I327" i="7"/>
  <c r="J327" i="7"/>
  <c r="A326" i="7"/>
  <c r="H322" i="7"/>
  <c r="J322" i="7"/>
  <c r="I320" i="7"/>
  <c r="H320" i="7"/>
  <c r="G320" i="7"/>
  <c r="E320" i="7"/>
  <c r="J319" i="7"/>
  <c r="I319" i="7"/>
  <c r="E319" i="7"/>
  <c r="J318" i="7"/>
  <c r="E318" i="7"/>
  <c r="K317" i="7"/>
  <c r="J317" i="7"/>
  <c r="H317" i="7"/>
  <c r="I317" i="7"/>
  <c r="F317" i="7"/>
  <c r="V317" i="7"/>
  <c r="T317" i="7"/>
  <c r="K319" i="7" s="1"/>
  <c r="R317" i="7"/>
  <c r="U317" i="7"/>
  <c r="S317" i="7"/>
  <c r="Q317" i="7"/>
  <c r="E317" i="7"/>
  <c r="D317" i="7"/>
  <c r="B317" i="7"/>
  <c r="K316" i="7"/>
  <c r="J316" i="7"/>
  <c r="I316" i="7"/>
  <c r="H316" i="7"/>
  <c r="G316" i="7"/>
  <c r="F316" i="7"/>
  <c r="K315" i="7"/>
  <c r="J315" i="7"/>
  <c r="I315" i="7"/>
  <c r="H315" i="7"/>
  <c r="G315" i="7"/>
  <c r="F315" i="7"/>
  <c r="K314" i="7"/>
  <c r="J314" i="7"/>
  <c r="I314" i="7"/>
  <c r="H321" i="7" s="1"/>
  <c r="H314" i="7"/>
  <c r="G314" i="7"/>
  <c r="F314" i="7"/>
  <c r="V313" i="7"/>
  <c r="T313" i="7"/>
  <c r="R313" i="7"/>
  <c r="K318" i="7" s="1"/>
  <c r="U313" i="7"/>
  <c r="S313" i="7"/>
  <c r="Q313" i="7"/>
  <c r="I318" i="7" s="1"/>
  <c r="O323" i="7" s="1"/>
  <c r="E313" i="7"/>
  <c r="D313" i="7"/>
  <c r="H310" i="7"/>
  <c r="I308" i="7"/>
  <c r="H308" i="7"/>
  <c r="G308" i="7"/>
  <c r="E308" i="7"/>
  <c r="J307" i="7"/>
  <c r="I307" i="7"/>
  <c r="E307" i="7"/>
  <c r="J306" i="7"/>
  <c r="E306" i="7"/>
  <c r="K305" i="7"/>
  <c r="J305" i="7"/>
  <c r="H305" i="7"/>
  <c r="I305" i="7"/>
  <c r="F305" i="7"/>
  <c r="V305" i="7"/>
  <c r="T305" i="7"/>
  <c r="K307" i="7" s="1"/>
  <c r="R305" i="7"/>
  <c r="U305" i="7"/>
  <c r="S305" i="7"/>
  <c r="Q305" i="7"/>
  <c r="E305" i="7"/>
  <c r="D305" i="7"/>
  <c r="B305" i="7"/>
  <c r="K304" i="7"/>
  <c r="J310" i="7" s="1"/>
  <c r="J304" i="7"/>
  <c r="H304" i="7"/>
  <c r="I304" i="7"/>
  <c r="F304" i="7"/>
  <c r="V304" i="7"/>
  <c r="T304" i="7"/>
  <c r="R304" i="7"/>
  <c r="U304" i="7"/>
  <c r="S304" i="7"/>
  <c r="Q304" i="7"/>
  <c r="E304" i="7"/>
  <c r="D304" i="7"/>
  <c r="B304" i="7"/>
  <c r="K303" i="7"/>
  <c r="J303" i="7"/>
  <c r="I303" i="7"/>
  <c r="H309" i="7" s="1"/>
  <c r="H303" i="7"/>
  <c r="G303" i="7"/>
  <c r="F303" i="7"/>
  <c r="K302" i="7"/>
  <c r="J302" i="7"/>
  <c r="I302" i="7"/>
  <c r="H311" i="7" s="1"/>
  <c r="H302" i="7"/>
  <c r="G302" i="7"/>
  <c r="F302" i="7"/>
  <c r="V301" i="7"/>
  <c r="T301" i="7"/>
  <c r="R301" i="7"/>
  <c r="K306" i="7" s="1"/>
  <c r="U301" i="7"/>
  <c r="S301" i="7"/>
  <c r="Q301" i="7"/>
  <c r="I306" i="7" s="1"/>
  <c r="E301" i="7"/>
  <c r="D301" i="7"/>
  <c r="A300" i="7"/>
  <c r="I298" i="7"/>
  <c r="J298" i="7"/>
  <c r="I297" i="7"/>
  <c r="J297" i="7"/>
  <c r="A296" i="7"/>
  <c r="H292" i="7"/>
  <c r="J292" i="7"/>
  <c r="I290" i="7"/>
  <c r="H290" i="7"/>
  <c r="G290" i="7"/>
  <c r="E290" i="7"/>
  <c r="J289" i="7"/>
  <c r="E289" i="7"/>
  <c r="J288" i="7"/>
  <c r="E288" i="7"/>
  <c r="K287" i="7"/>
  <c r="P293" i="7" s="1"/>
  <c r="J287" i="7"/>
  <c r="I287" i="7"/>
  <c r="O293" i="7" s="1"/>
  <c r="H287" i="7"/>
  <c r="G287" i="7"/>
  <c r="F287" i="7"/>
  <c r="C286" i="7"/>
  <c r="V285" i="7"/>
  <c r="T285" i="7"/>
  <c r="K289" i="7" s="1"/>
  <c r="R285" i="7"/>
  <c r="K288" i="7" s="1"/>
  <c r="U285" i="7"/>
  <c r="S285" i="7"/>
  <c r="I289" i="7" s="1"/>
  <c r="Q285" i="7"/>
  <c r="I288" i="7" s="1"/>
  <c r="E285" i="7"/>
  <c r="D285" i="7"/>
  <c r="H282" i="7"/>
  <c r="J282" i="7"/>
  <c r="I280" i="7"/>
  <c r="H280" i="7"/>
  <c r="G280" i="7"/>
  <c r="E280" i="7"/>
  <c r="K279" i="7"/>
  <c r="J279" i="7"/>
  <c r="E279" i="7"/>
  <c r="J278" i="7"/>
  <c r="E278" i="7"/>
  <c r="K277" i="7"/>
  <c r="J277" i="7"/>
  <c r="H277" i="7"/>
  <c r="I277" i="7"/>
  <c r="F277" i="7"/>
  <c r="V277" i="7"/>
  <c r="T277" i="7"/>
  <c r="R277" i="7"/>
  <c r="U277" i="7"/>
  <c r="S277" i="7"/>
  <c r="Q277" i="7"/>
  <c r="I278" i="7" s="1"/>
  <c r="O283" i="7" s="1"/>
  <c r="E277" i="7"/>
  <c r="D277" i="7"/>
  <c r="B277" i="7"/>
  <c r="K276" i="7"/>
  <c r="J276" i="7"/>
  <c r="H276" i="7"/>
  <c r="I276" i="7"/>
  <c r="F276" i="7"/>
  <c r="V276" i="7"/>
  <c r="T276" i="7"/>
  <c r="R276" i="7"/>
  <c r="U276" i="7"/>
  <c r="S276" i="7"/>
  <c r="Q276" i="7"/>
  <c r="E276" i="7"/>
  <c r="D276" i="7"/>
  <c r="B276" i="7"/>
  <c r="K275" i="7"/>
  <c r="J275" i="7"/>
  <c r="I275" i="7"/>
  <c r="H275" i="7"/>
  <c r="G275" i="7"/>
  <c r="F275" i="7"/>
  <c r="K274" i="7"/>
  <c r="J274" i="7"/>
  <c r="I274" i="7"/>
  <c r="H281" i="7" s="1"/>
  <c r="H274" i="7"/>
  <c r="G274" i="7"/>
  <c r="F274" i="7"/>
  <c r="K273" i="7"/>
  <c r="P283" i="7" s="1"/>
  <c r="J273" i="7"/>
  <c r="I273" i="7"/>
  <c r="H273" i="7"/>
  <c r="G273" i="7"/>
  <c r="F273" i="7"/>
  <c r="C272" i="7"/>
  <c r="V271" i="7"/>
  <c r="T271" i="7"/>
  <c r="R271" i="7"/>
  <c r="K278" i="7" s="1"/>
  <c r="U271" i="7"/>
  <c r="S271" i="7"/>
  <c r="I279" i="7" s="1"/>
  <c r="Q271" i="7"/>
  <c r="E271" i="7"/>
  <c r="D271" i="7"/>
  <c r="H268" i="7"/>
  <c r="J268" i="7"/>
  <c r="I266" i="7"/>
  <c r="H266" i="7"/>
  <c r="G266" i="7"/>
  <c r="E266" i="7"/>
  <c r="J265" i="7"/>
  <c r="E265" i="7"/>
  <c r="J264" i="7"/>
  <c r="E264" i="7"/>
  <c r="K263" i="7"/>
  <c r="J263" i="7"/>
  <c r="H263" i="7"/>
  <c r="I263" i="7"/>
  <c r="F263" i="7"/>
  <c r="V263" i="7"/>
  <c r="T263" i="7"/>
  <c r="R263" i="7"/>
  <c r="U263" i="7"/>
  <c r="S263" i="7"/>
  <c r="Q263" i="7"/>
  <c r="E263" i="7"/>
  <c r="D263" i="7"/>
  <c r="B263" i="7"/>
  <c r="K262" i="7"/>
  <c r="J262" i="7"/>
  <c r="H262" i="7"/>
  <c r="I262" i="7"/>
  <c r="F262" i="7"/>
  <c r="V262" i="7"/>
  <c r="T262" i="7"/>
  <c r="R262" i="7"/>
  <c r="U262" i="7"/>
  <c r="S262" i="7"/>
  <c r="Q262" i="7"/>
  <c r="E262" i="7"/>
  <c r="D262" i="7"/>
  <c r="B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I260" i="7"/>
  <c r="H260" i="7"/>
  <c r="G260" i="7"/>
  <c r="F260" i="7"/>
  <c r="K259" i="7"/>
  <c r="J259" i="7"/>
  <c r="I259" i="7"/>
  <c r="H259" i="7"/>
  <c r="G259" i="7"/>
  <c r="F259" i="7"/>
  <c r="K258" i="7"/>
  <c r="J258" i="7"/>
  <c r="I258" i="7"/>
  <c r="H258" i="7"/>
  <c r="G258" i="7"/>
  <c r="F258" i="7"/>
  <c r="K257" i="7"/>
  <c r="P269" i="7" s="1"/>
  <c r="J257" i="7"/>
  <c r="I257" i="7"/>
  <c r="H257" i="7"/>
  <c r="G257" i="7"/>
  <c r="F257" i="7"/>
  <c r="C256" i="7"/>
  <c r="V255" i="7"/>
  <c r="T255" i="7"/>
  <c r="K265" i="7" s="1"/>
  <c r="R255" i="7"/>
  <c r="K264" i="7" s="1"/>
  <c r="U255" i="7"/>
  <c r="S255" i="7"/>
  <c r="I265" i="7" s="1"/>
  <c r="Q255" i="7"/>
  <c r="I264" i="7" s="1"/>
  <c r="H267" i="7" s="1"/>
  <c r="E255" i="7"/>
  <c r="D255" i="7"/>
  <c r="H252" i="7"/>
  <c r="J252" i="7"/>
  <c r="I250" i="7"/>
  <c r="H250" i="7"/>
  <c r="G250" i="7"/>
  <c r="E250" i="7"/>
  <c r="J249" i="7"/>
  <c r="E249" i="7"/>
  <c r="J248" i="7"/>
  <c r="E248" i="7"/>
  <c r="K247" i="7"/>
  <c r="J247" i="7"/>
  <c r="H247" i="7"/>
  <c r="I247" i="7"/>
  <c r="F247" i="7"/>
  <c r="V247" i="7"/>
  <c r="T247" i="7"/>
  <c r="R247" i="7"/>
  <c r="U247" i="7"/>
  <c r="S247" i="7"/>
  <c r="Q247" i="7"/>
  <c r="E247" i="7"/>
  <c r="D247" i="7"/>
  <c r="B247" i="7"/>
  <c r="K246" i="7"/>
  <c r="J246" i="7"/>
  <c r="H246" i="7"/>
  <c r="I246" i="7"/>
  <c r="F246" i="7"/>
  <c r="V246" i="7"/>
  <c r="T246" i="7"/>
  <c r="R246" i="7"/>
  <c r="U246" i="7"/>
  <c r="S246" i="7"/>
  <c r="Q246" i="7"/>
  <c r="E246" i="7"/>
  <c r="D246" i="7"/>
  <c r="B246" i="7"/>
  <c r="K245" i="7"/>
  <c r="J245" i="7"/>
  <c r="H245" i="7"/>
  <c r="I245" i="7"/>
  <c r="F245" i="7"/>
  <c r="V245" i="7"/>
  <c r="T245" i="7"/>
  <c r="R245" i="7"/>
  <c r="U245" i="7"/>
  <c r="S245" i="7"/>
  <c r="Q245" i="7"/>
  <c r="E245" i="7"/>
  <c r="D245" i="7"/>
  <c r="B245" i="7"/>
  <c r="K244" i="7"/>
  <c r="J244" i="7"/>
  <c r="H244" i="7"/>
  <c r="I244" i="7"/>
  <c r="F244" i="7"/>
  <c r="V244" i="7"/>
  <c r="T244" i="7"/>
  <c r="R244" i="7"/>
  <c r="U244" i="7"/>
  <c r="S244" i="7"/>
  <c r="Q244" i="7"/>
  <c r="E244" i="7"/>
  <c r="D244" i="7"/>
  <c r="B244" i="7"/>
  <c r="K243" i="7"/>
  <c r="J243" i="7"/>
  <c r="H243" i="7"/>
  <c r="I243" i="7"/>
  <c r="F243" i="7"/>
  <c r="V243" i="7"/>
  <c r="T243" i="7"/>
  <c r="R243" i="7"/>
  <c r="U243" i="7"/>
  <c r="S243" i="7"/>
  <c r="Q243" i="7"/>
  <c r="E243" i="7"/>
  <c r="D243" i="7"/>
  <c r="B243" i="7"/>
  <c r="K242" i="7"/>
  <c r="J242" i="7"/>
  <c r="H242" i="7"/>
  <c r="I242" i="7"/>
  <c r="F242" i="7"/>
  <c r="V242" i="7"/>
  <c r="T242" i="7"/>
  <c r="R242" i="7"/>
  <c r="U242" i="7"/>
  <c r="S242" i="7"/>
  <c r="Q242" i="7"/>
  <c r="E242" i="7"/>
  <c r="D242" i="7"/>
  <c r="B242" i="7"/>
  <c r="K241" i="7"/>
  <c r="J241" i="7"/>
  <c r="H241" i="7"/>
  <c r="I241" i="7"/>
  <c r="F241" i="7"/>
  <c r="V241" i="7"/>
  <c r="T241" i="7"/>
  <c r="R241" i="7"/>
  <c r="U241" i="7"/>
  <c r="S241" i="7"/>
  <c r="Q241" i="7"/>
  <c r="E241" i="7"/>
  <c r="D241" i="7"/>
  <c r="B241" i="7"/>
  <c r="K240" i="7"/>
  <c r="J240" i="7"/>
  <c r="H240" i="7"/>
  <c r="I240" i="7"/>
  <c r="F240" i="7"/>
  <c r="V240" i="7"/>
  <c r="T240" i="7"/>
  <c r="R240" i="7"/>
  <c r="U240" i="7"/>
  <c r="S240" i="7"/>
  <c r="Q240" i="7"/>
  <c r="E240" i="7"/>
  <c r="D240" i="7"/>
  <c r="B240" i="7"/>
  <c r="K239" i="7"/>
  <c r="J239" i="7"/>
  <c r="I239" i="7"/>
  <c r="H239" i="7"/>
  <c r="G239" i="7"/>
  <c r="F239" i="7"/>
  <c r="K238" i="7"/>
  <c r="J238" i="7"/>
  <c r="I238" i="7"/>
  <c r="H238" i="7"/>
  <c r="G238" i="7"/>
  <c r="F238" i="7"/>
  <c r="K237" i="7"/>
  <c r="J253" i="7" s="1"/>
  <c r="J237" i="7"/>
  <c r="I237" i="7"/>
  <c r="O253" i="7" s="1"/>
  <c r="H237" i="7"/>
  <c r="G237" i="7"/>
  <c r="F237" i="7"/>
  <c r="C236" i="7"/>
  <c r="V235" i="7"/>
  <c r="T235" i="7"/>
  <c r="K249" i="7" s="1"/>
  <c r="R235" i="7"/>
  <c r="K248" i="7" s="1"/>
  <c r="U235" i="7"/>
  <c r="S235" i="7"/>
  <c r="I249" i="7" s="1"/>
  <c r="Q235" i="7"/>
  <c r="I248" i="7" s="1"/>
  <c r="E235" i="7"/>
  <c r="D235" i="7"/>
  <c r="A234" i="7"/>
  <c r="I232" i="7"/>
  <c r="J232" i="7"/>
  <c r="I231" i="7"/>
  <c r="J231" i="7"/>
  <c r="A230" i="7"/>
  <c r="I224" i="7"/>
  <c r="H224" i="7"/>
  <c r="G224" i="7"/>
  <c r="E224" i="7"/>
  <c r="J223" i="7"/>
  <c r="E223" i="7"/>
  <c r="J222" i="7"/>
  <c r="E222" i="7"/>
  <c r="K221" i="7"/>
  <c r="J221" i="7"/>
  <c r="H221" i="7"/>
  <c r="I221" i="7"/>
  <c r="H226" i="7" s="1"/>
  <c r="F221" i="7"/>
  <c r="V221" i="7"/>
  <c r="T221" i="7"/>
  <c r="R221" i="7"/>
  <c r="U221" i="7"/>
  <c r="S221" i="7"/>
  <c r="Q221" i="7"/>
  <c r="E221" i="7"/>
  <c r="D221" i="7"/>
  <c r="B221" i="7"/>
  <c r="K220" i="7"/>
  <c r="J226" i="7" s="1"/>
  <c r="J220" i="7"/>
  <c r="H220" i="7"/>
  <c r="I220" i="7"/>
  <c r="F220" i="7"/>
  <c r="V220" i="7"/>
  <c r="T220" i="7"/>
  <c r="R220" i="7"/>
  <c r="K222" i="7" s="1"/>
  <c r="J227" i="7" s="1"/>
  <c r="U220" i="7"/>
  <c r="S220" i="7"/>
  <c r="Q220" i="7"/>
  <c r="E220" i="7"/>
  <c r="D220" i="7"/>
  <c r="B220" i="7"/>
  <c r="K219" i="7"/>
  <c r="J219" i="7"/>
  <c r="I219" i="7"/>
  <c r="H219" i="7"/>
  <c r="G219" i="7"/>
  <c r="F219" i="7"/>
  <c r="K218" i="7"/>
  <c r="J218" i="7"/>
  <c r="I218" i="7"/>
  <c r="H218" i="7"/>
  <c r="G218" i="7"/>
  <c r="F218" i="7"/>
  <c r="K217" i="7"/>
  <c r="J217" i="7"/>
  <c r="I217" i="7"/>
  <c r="H217" i="7"/>
  <c r="G217" i="7"/>
  <c r="F217" i="7"/>
  <c r="K216" i="7"/>
  <c r="J216" i="7"/>
  <c r="I216" i="7"/>
  <c r="H216" i="7"/>
  <c r="G216" i="7"/>
  <c r="F216" i="7"/>
  <c r="C215" i="7"/>
  <c r="V214" i="7"/>
  <c r="T214" i="7"/>
  <c r="K223" i="7" s="1"/>
  <c r="R214" i="7"/>
  <c r="U214" i="7"/>
  <c r="S214" i="7"/>
  <c r="I223" i="7" s="1"/>
  <c r="Q214" i="7"/>
  <c r="I222" i="7" s="1"/>
  <c r="E214" i="7"/>
  <c r="D214" i="7"/>
  <c r="I209" i="7"/>
  <c r="H209" i="7"/>
  <c r="G209" i="7"/>
  <c r="E209" i="7"/>
  <c r="J208" i="7"/>
  <c r="E208" i="7"/>
  <c r="J207" i="7"/>
  <c r="E207" i="7"/>
  <c r="K206" i="7"/>
  <c r="J211" i="7" s="1"/>
  <c r="J206" i="7"/>
  <c r="H206" i="7"/>
  <c r="I206" i="7"/>
  <c r="H211" i="7" s="1"/>
  <c r="F206" i="7"/>
  <c r="V206" i="7"/>
  <c r="T206" i="7"/>
  <c r="R206" i="7"/>
  <c r="U206" i="7"/>
  <c r="S206" i="7"/>
  <c r="Q206" i="7"/>
  <c r="E206" i="7"/>
  <c r="D206" i="7"/>
  <c r="B206" i="7"/>
  <c r="K205" i="7"/>
  <c r="J205" i="7"/>
  <c r="I205" i="7"/>
  <c r="H205" i="7"/>
  <c r="G205" i="7"/>
  <c r="F205" i="7"/>
  <c r="K204" i="7"/>
  <c r="P212" i="7" s="1"/>
  <c r="J204" i="7"/>
  <c r="I204" i="7"/>
  <c r="O212" i="7" s="1"/>
  <c r="H204" i="7"/>
  <c r="G204" i="7"/>
  <c r="F204" i="7"/>
  <c r="V203" i="7"/>
  <c r="T203" i="7"/>
  <c r="K208" i="7" s="1"/>
  <c r="R203" i="7"/>
  <c r="K207" i="7" s="1"/>
  <c r="U203" i="7"/>
  <c r="S203" i="7"/>
  <c r="I208" i="7" s="1"/>
  <c r="Q203" i="7"/>
  <c r="I207" i="7" s="1"/>
  <c r="E203" i="7"/>
  <c r="D203" i="7"/>
  <c r="H200" i="7"/>
  <c r="I198" i="7"/>
  <c r="H198" i="7"/>
  <c r="G198" i="7"/>
  <c r="E198" i="7"/>
  <c r="J197" i="7"/>
  <c r="E197" i="7"/>
  <c r="J196" i="7"/>
  <c r="E196" i="7"/>
  <c r="K195" i="7"/>
  <c r="J200" i="7" s="1"/>
  <c r="J195" i="7"/>
  <c r="H195" i="7"/>
  <c r="I195" i="7"/>
  <c r="F195" i="7"/>
  <c r="V195" i="7"/>
  <c r="T195" i="7"/>
  <c r="R195" i="7"/>
  <c r="U195" i="7"/>
  <c r="S195" i="7"/>
  <c r="I197" i="7" s="1"/>
  <c r="Q195" i="7"/>
  <c r="E195" i="7"/>
  <c r="D195" i="7"/>
  <c r="B195" i="7"/>
  <c r="K194" i="7"/>
  <c r="J194" i="7"/>
  <c r="I194" i="7"/>
  <c r="H194" i="7"/>
  <c r="G194" i="7"/>
  <c r="F194" i="7"/>
  <c r="K193" i="7"/>
  <c r="J193" i="7"/>
  <c r="I193" i="7"/>
  <c r="H193" i="7"/>
  <c r="G193" i="7"/>
  <c r="F193" i="7"/>
  <c r="K192" i="7"/>
  <c r="P201" i="7" s="1"/>
  <c r="J192" i="7"/>
  <c r="I192" i="7"/>
  <c r="O201" i="7" s="1"/>
  <c r="H192" i="7"/>
  <c r="G192" i="7"/>
  <c r="F192" i="7"/>
  <c r="V191" i="7"/>
  <c r="T191" i="7"/>
  <c r="K197" i="7" s="1"/>
  <c r="R191" i="7"/>
  <c r="K196" i="7" s="1"/>
  <c r="U191" i="7"/>
  <c r="S191" i="7"/>
  <c r="Q191" i="7"/>
  <c r="I196" i="7" s="1"/>
  <c r="E191" i="7"/>
  <c r="D191" i="7"/>
  <c r="I186" i="7"/>
  <c r="H186" i="7"/>
  <c r="G186" i="7"/>
  <c r="E186" i="7"/>
  <c r="J185" i="7"/>
  <c r="E185" i="7"/>
  <c r="J184" i="7"/>
  <c r="E184" i="7"/>
  <c r="K183" i="7"/>
  <c r="J183" i="7"/>
  <c r="H183" i="7"/>
  <c r="I183" i="7"/>
  <c r="F183" i="7"/>
  <c r="V183" i="7"/>
  <c r="T183" i="7"/>
  <c r="R183" i="7"/>
  <c r="U183" i="7"/>
  <c r="S183" i="7"/>
  <c r="Q183" i="7"/>
  <c r="E183" i="7"/>
  <c r="D183" i="7"/>
  <c r="B183" i="7"/>
  <c r="K182" i="7"/>
  <c r="J182" i="7"/>
  <c r="H182" i="7"/>
  <c r="I182" i="7"/>
  <c r="F182" i="7"/>
  <c r="V182" i="7"/>
  <c r="T182" i="7"/>
  <c r="R182" i="7"/>
  <c r="U182" i="7"/>
  <c r="S182" i="7"/>
  <c r="I185" i="7" s="1"/>
  <c r="Q182" i="7"/>
  <c r="E182" i="7"/>
  <c r="D182" i="7"/>
  <c r="B182" i="7"/>
  <c r="K181" i="7"/>
  <c r="J181" i="7"/>
  <c r="H181" i="7"/>
  <c r="I181" i="7"/>
  <c r="F181" i="7"/>
  <c r="V181" i="7"/>
  <c r="T181" i="7"/>
  <c r="R181" i="7"/>
  <c r="U181" i="7"/>
  <c r="S181" i="7"/>
  <c r="Q181" i="7"/>
  <c r="E181" i="7"/>
  <c r="D181" i="7"/>
  <c r="B181" i="7"/>
  <c r="K180" i="7"/>
  <c r="J188" i="7" s="1"/>
  <c r="J180" i="7"/>
  <c r="H180" i="7"/>
  <c r="I180" i="7"/>
  <c r="H188" i="7" s="1"/>
  <c r="F180" i="7"/>
  <c r="V180" i="7"/>
  <c r="T180" i="7"/>
  <c r="R180" i="7"/>
  <c r="U180" i="7"/>
  <c r="S180" i="7"/>
  <c r="Q180" i="7"/>
  <c r="E180" i="7"/>
  <c r="D180" i="7"/>
  <c r="B180" i="7"/>
  <c r="K179" i="7"/>
  <c r="J179" i="7"/>
  <c r="I179" i="7"/>
  <c r="H179" i="7"/>
  <c r="G179" i="7"/>
  <c r="F179" i="7"/>
  <c r="K178" i="7"/>
  <c r="J178" i="7"/>
  <c r="I178" i="7"/>
  <c r="H178" i="7"/>
  <c r="G178" i="7"/>
  <c r="F178" i="7"/>
  <c r="K177" i="7"/>
  <c r="J177" i="7"/>
  <c r="I177" i="7"/>
  <c r="H177" i="7"/>
  <c r="G177" i="7"/>
  <c r="F177" i="7"/>
  <c r="K176" i="7"/>
  <c r="P189" i="7" s="1"/>
  <c r="J176" i="7"/>
  <c r="I176" i="7"/>
  <c r="O189" i="7" s="1"/>
  <c r="H176" i="7"/>
  <c r="G176" i="7"/>
  <c r="F176" i="7"/>
  <c r="C175" i="7"/>
  <c r="V174" i="7"/>
  <c r="T174" i="7"/>
  <c r="K185" i="7" s="1"/>
  <c r="R174" i="7"/>
  <c r="K184" i="7" s="1"/>
  <c r="U174" i="7"/>
  <c r="S174" i="7"/>
  <c r="Q174" i="7"/>
  <c r="I184" i="7" s="1"/>
  <c r="H187" i="7" s="1"/>
  <c r="E174" i="7"/>
  <c r="D174" i="7"/>
  <c r="I169" i="7"/>
  <c r="H169" i="7"/>
  <c r="G169" i="7"/>
  <c r="E169" i="7"/>
  <c r="J168" i="7"/>
  <c r="E168" i="7"/>
  <c r="K167" i="7"/>
  <c r="J167" i="7"/>
  <c r="E167" i="7"/>
  <c r="K166" i="7"/>
  <c r="J166" i="7"/>
  <c r="H166" i="7"/>
  <c r="I166" i="7"/>
  <c r="F166" i="7"/>
  <c r="V166" i="7"/>
  <c r="T166" i="7"/>
  <c r="R166" i="7"/>
  <c r="U166" i="7"/>
  <c r="S166" i="7"/>
  <c r="Q166" i="7"/>
  <c r="I167" i="7" s="1"/>
  <c r="E166" i="7"/>
  <c r="D166" i="7"/>
  <c r="B166" i="7"/>
  <c r="K165" i="7"/>
  <c r="J165" i="7"/>
  <c r="H165" i="7"/>
  <c r="I165" i="7"/>
  <c r="F165" i="7"/>
  <c r="V165" i="7"/>
  <c r="T165" i="7"/>
  <c r="R165" i="7"/>
  <c r="U165" i="7"/>
  <c r="S165" i="7"/>
  <c r="Q165" i="7"/>
  <c r="E165" i="7"/>
  <c r="D165" i="7"/>
  <c r="B165" i="7"/>
  <c r="K164" i="7"/>
  <c r="J164" i="7"/>
  <c r="H164" i="7"/>
  <c r="I164" i="7"/>
  <c r="F164" i="7"/>
  <c r="V164" i="7"/>
  <c r="T164" i="7"/>
  <c r="R164" i="7"/>
  <c r="U164" i="7"/>
  <c r="S164" i="7"/>
  <c r="Q164" i="7"/>
  <c r="E164" i="7"/>
  <c r="D164" i="7"/>
  <c r="B164" i="7"/>
  <c r="K163" i="7"/>
  <c r="J163" i="7"/>
  <c r="H163" i="7"/>
  <c r="I163" i="7"/>
  <c r="F163" i="7"/>
  <c r="V163" i="7"/>
  <c r="T163" i="7"/>
  <c r="R163" i="7"/>
  <c r="U163" i="7"/>
  <c r="S163" i="7"/>
  <c r="Q163" i="7"/>
  <c r="E163" i="7"/>
  <c r="D163" i="7"/>
  <c r="B163" i="7"/>
  <c r="K162" i="7"/>
  <c r="J162" i="7"/>
  <c r="H162" i="7"/>
  <c r="I162" i="7"/>
  <c r="H171" i="7" s="1"/>
  <c r="F162" i="7"/>
  <c r="V162" i="7"/>
  <c r="T162" i="7"/>
  <c r="R162" i="7"/>
  <c r="U162" i="7"/>
  <c r="S162" i="7"/>
  <c r="Q162" i="7"/>
  <c r="E162" i="7"/>
  <c r="D162" i="7"/>
  <c r="B162" i="7"/>
  <c r="K161" i="7"/>
  <c r="J171" i="7" s="1"/>
  <c r="J161" i="7"/>
  <c r="H161" i="7"/>
  <c r="I161" i="7"/>
  <c r="F161" i="7"/>
  <c r="V161" i="7"/>
  <c r="T161" i="7"/>
  <c r="R161" i="7"/>
  <c r="U161" i="7"/>
  <c r="S161" i="7"/>
  <c r="Q161" i="7"/>
  <c r="E161" i="7"/>
  <c r="D161" i="7"/>
  <c r="B161" i="7"/>
  <c r="K160" i="7"/>
  <c r="J160" i="7"/>
  <c r="I160" i="7"/>
  <c r="H160" i="7"/>
  <c r="G160" i="7"/>
  <c r="F160" i="7"/>
  <c r="K159" i="7"/>
  <c r="J159" i="7"/>
  <c r="I159" i="7"/>
  <c r="O172" i="7" s="1"/>
  <c r="H159" i="7"/>
  <c r="G159" i="7"/>
  <c r="F159" i="7"/>
  <c r="C158" i="7"/>
  <c r="V157" i="7"/>
  <c r="T157" i="7"/>
  <c r="K168" i="7" s="1"/>
  <c r="R157" i="7"/>
  <c r="U157" i="7"/>
  <c r="S157" i="7"/>
  <c r="I168" i="7" s="1"/>
  <c r="Q157" i="7"/>
  <c r="E157" i="7"/>
  <c r="D157" i="7"/>
  <c r="I152" i="7"/>
  <c r="H152" i="7"/>
  <c r="G152" i="7"/>
  <c r="E152" i="7"/>
  <c r="J151" i="7"/>
  <c r="I151" i="7"/>
  <c r="E151" i="7"/>
  <c r="J150" i="7"/>
  <c r="E150" i="7"/>
  <c r="K149" i="7"/>
  <c r="J149" i="7"/>
  <c r="H149" i="7"/>
  <c r="I149" i="7"/>
  <c r="F149" i="7"/>
  <c r="V149" i="7"/>
  <c r="T149" i="7"/>
  <c r="R149" i="7"/>
  <c r="U149" i="7"/>
  <c r="S149" i="7"/>
  <c r="Q149" i="7"/>
  <c r="E149" i="7"/>
  <c r="D149" i="7"/>
  <c r="B149" i="7"/>
  <c r="K148" i="7"/>
  <c r="J148" i="7"/>
  <c r="H148" i="7"/>
  <c r="I148" i="7"/>
  <c r="H154" i="7" s="1"/>
  <c r="F148" i="7"/>
  <c r="V148" i="7"/>
  <c r="T148" i="7"/>
  <c r="R148" i="7"/>
  <c r="U148" i="7"/>
  <c r="S148" i="7"/>
  <c r="Q148" i="7"/>
  <c r="E148" i="7"/>
  <c r="D148" i="7"/>
  <c r="B148" i="7"/>
  <c r="K147" i="7"/>
  <c r="J154" i="7" s="1"/>
  <c r="J147" i="7"/>
  <c r="H147" i="7"/>
  <c r="I147" i="7"/>
  <c r="F147" i="7"/>
  <c r="V147" i="7"/>
  <c r="T147" i="7"/>
  <c r="R147" i="7"/>
  <c r="U147" i="7"/>
  <c r="S147" i="7"/>
  <c r="Q147" i="7"/>
  <c r="E147" i="7"/>
  <c r="D147" i="7"/>
  <c r="B147" i="7"/>
  <c r="K146" i="7"/>
  <c r="J146" i="7"/>
  <c r="I146" i="7"/>
  <c r="H146" i="7"/>
  <c r="G146" i="7"/>
  <c r="F146" i="7"/>
  <c r="K145" i="7"/>
  <c r="J145" i="7"/>
  <c r="I145" i="7"/>
  <c r="H145" i="7"/>
  <c r="G145" i="7"/>
  <c r="F145" i="7"/>
  <c r="K144" i="7"/>
  <c r="J144" i="7"/>
  <c r="I144" i="7"/>
  <c r="H144" i="7"/>
  <c r="G144" i="7"/>
  <c r="F144" i="7"/>
  <c r="K143" i="7"/>
  <c r="J143" i="7"/>
  <c r="I143" i="7"/>
  <c r="H143" i="7"/>
  <c r="G143" i="7"/>
  <c r="F143" i="7"/>
  <c r="C142" i="7"/>
  <c r="V141" i="7"/>
  <c r="T141" i="7"/>
  <c r="K151" i="7" s="1"/>
  <c r="R141" i="7"/>
  <c r="K150" i="7" s="1"/>
  <c r="U141" i="7"/>
  <c r="S141" i="7"/>
  <c r="Q141" i="7"/>
  <c r="I150" i="7" s="1"/>
  <c r="H155" i="7" s="1"/>
  <c r="E141" i="7"/>
  <c r="D141" i="7"/>
  <c r="H138" i="7"/>
  <c r="I136" i="7"/>
  <c r="H136" i="7"/>
  <c r="G136" i="7"/>
  <c r="E136" i="7"/>
  <c r="J135" i="7"/>
  <c r="E135" i="7"/>
  <c r="J134" i="7"/>
  <c r="E134" i="7"/>
  <c r="K133" i="7"/>
  <c r="J138" i="7" s="1"/>
  <c r="J133" i="7"/>
  <c r="H133" i="7"/>
  <c r="I133" i="7"/>
  <c r="F133" i="7"/>
  <c r="V133" i="7"/>
  <c r="T133" i="7"/>
  <c r="K135" i="7" s="1"/>
  <c r="R133" i="7"/>
  <c r="U133" i="7"/>
  <c r="S133" i="7"/>
  <c r="Q133" i="7"/>
  <c r="E133" i="7"/>
  <c r="D133" i="7"/>
  <c r="B133" i="7"/>
  <c r="K132" i="7"/>
  <c r="J132" i="7"/>
  <c r="I132" i="7"/>
  <c r="H132" i="7"/>
  <c r="G132" i="7"/>
  <c r="F132" i="7"/>
  <c r="K131" i="7"/>
  <c r="J131" i="7"/>
  <c r="I131" i="7"/>
  <c r="H131" i="7"/>
  <c r="G131" i="7"/>
  <c r="F131" i="7"/>
  <c r="V130" i="7"/>
  <c r="T130" i="7"/>
  <c r="R130" i="7"/>
  <c r="K134" i="7" s="1"/>
  <c r="U130" i="7"/>
  <c r="S130" i="7"/>
  <c r="I135" i="7" s="1"/>
  <c r="Q130" i="7"/>
  <c r="I134" i="7" s="1"/>
  <c r="E130" i="7"/>
  <c r="D130" i="7"/>
  <c r="H127" i="7"/>
  <c r="I125" i="7"/>
  <c r="H125" i="7"/>
  <c r="G125" i="7"/>
  <c r="E125" i="7"/>
  <c r="J124" i="7"/>
  <c r="E124" i="7"/>
  <c r="J123" i="7"/>
  <c r="E123" i="7"/>
  <c r="K122" i="7"/>
  <c r="J127" i="7" s="1"/>
  <c r="J122" i="7"/>
  <c r="H122" i="7"/>
  <c r="I122" i="7"/>
  <c r="F122" i="7"/>
  <c r="V122" i="7"/>
  <c r="T122" i="7"/>
  <c r="R122" i="7"/>
  <c r="U122" i="7"/>
  <c r="S122" i="7"/>
  <c r="Q122" i="7"/>
  <c r="I123" i="7" s="1"/>
  <c r="E122" i="7"/>
  <c r="D122" i="7"/>
  <c r="B122" i="7"/>
  <c r="K121" i="7"/>
  <c r="J121" i="7"/>
  <c r="I121" i="7"/>
  <c r="H121" i="7"/>
  <c r="G121" i="7"/>
  <c r="F121" i="7"/>
  <c r="K120" i="7"/>
  <c r="J120" i="7"/>
  <c r="I120" i="7"/>
  <c r="H120" i="7"/>
  <c r="G120" i="7"/>
  <c r="F120" i="7"/>
  <c r="K119" i="7"/>
  <c r="P128" i="7" s="1"/>
  <c r="J119" i="7"/>
  <c r="I119" i="7"/>
  <c r="H119" i="7"/>
  <c r="G119" i="7"/>
  <c r="F119" i="7"/>
  <c r="V118" i="7"/>
  <c r="T118" i="7"/>
  <c r="K124" i="7" s="1"/>
  <c r="R118" i="7"/>
  <c r="K123" i="7" s="1"/>
  <c r="U118" i="7"/>
  <c r="S118" i="7"/>
  <c r="I124" i="7" s="1"/>
  <c r="Q118" i="7"/>
  <c r="E118" i="7"/>
  <c r="D118" i="7"/>
  <c r="H115" i="7"/>
  <c r="I113" i="7"/>
  <c r="H113" i="7"/>
  <c r="G113" i="7"/>
  <c r="E113" i="7"/>
  <c r="J112" i="7"/>
  <c r="E112" i="7"/>
  <c r="J111" i="7"/>
  <c r="I111" i="7"/>
  <c r="E111" i="7"/>
  <c r="K110" i="7"/>
  <c r="J115" i="7" s="1"/>
  <c r="J110" i="7"/>
  <c r="H110" i="7"/>
  <c r="I110" i="7"/>
  <c r="F110" i="7"/>
  <c r="V110" i="7"/>
  <c r="T110" i="7"/>
  <c r="R110" i="7"/>
  <c r="U110" i="7"/>
  <c r="S110" i="7"/>
  <c r="Q110" i="7"/>
  <c r="E110" i="7"/>
  <c r="D110" i="7"/>
  <c r="B110" i="7"/>
  <c r="K109" i="7"/>
  <c r="J109" i="7"/>
  <c r="I109" i="7"/>
  <c r="H109" i="7"/>
  <c r="G109" i="7"/>
  <c r="F109" i="7"/>
  <c r="K108" i="7"/>
  <c r="P116" i="7" s="1"/>
  <c r="J108" i="7"/>
  <c r="I108" i="7"/>
  <c r="O116" i="7" s="1"/>
  <c r="H108" i="7"/>
  <c r="G108" i="7"/>
  <c r="F108" i="7"/>
  <c r="V107" i="7"/>
  <c r="T107" i="7"/>
  <c r="K112" i="7" s="1"/>
  <c r="R107" i="7"/>
  <c r="K111" i="7" s="1"/>
  <c r="U107" i="7"/>
  <c r="S107" i="7"/>
  <c r="I112" i="7" s="1"/>
  <c r="Q107" i="7"/>
  <c r="E107" i="7"/>
  <c r="D107" i="7"/>
  <c r="H104" i="7"/>
  <c r="I102" i="7"/>
  <c r="H102" i="7"/>
  <c r="G102" i="7"/>
  <c r="E102" i="7"/>
  <c r="J101" i="7"/>
  <c r="I101" i="7"/>
  <c r="E101" i="7"/>
  <c r="J100" i="7"/>
  <c r="E100" i="7"/>
  <c r="K99" i="7"/>
  <c r="J104" i="7" s="1"/>
  <c r="J99" i="7"/>
  <c r="H99" i="7"/>
  <c r="I99" i="7"/>
  <c r="F99" i="7"/>
  <c r="V99" i="7"/>
  <c r="T99" i="7"/>
  <c r="K101" i="7" s="1"/>
  <c r="R99" i="7"/>
  <c r="U99" i="7"/>
  <c r="S99" i="7"/>
  <c r="Q99" i="7"/>
  <c r="E99" i="7"/>
  <c r="D99" i="7"/>
  <c r="B99" i="7"/>
  <c r="K98" i="7"/>
  <c r="J98" i="7"/>
  <c r="I98" i="7"/>
  <c r="H98" i="7"/>
  <c r="G98" i="7"/>
  <c r="F98" i="7"/>
  <c r="K97" i="7"/>
  <c r="J97" i="7"/>
  <c r="I97" i="7"/>
  <c r="H97" i="7"/>
  <c r="G97" i="7"/>
  <c r="F97" i="7"/>
  <c r="K96" i="7"/>
  <c r="J96" i="7"/>
  <c r="I96" i="7"/>
  <c r="H103" i="7" s="1"/>
  <c r="H96" i="7"/>
  <c r="G96" i="7"/>
  <c r="F96" i="7"/>
  <c r="K95" i="7"/>
  <c r="J95" i="7"/>
  <c r="I95" i="7"/>
  <c r="H95" i="7"/>
  <c r="G95" i="7"/>
  <c r="F95" i="7"/>
  <c r="V94" i="7"/>
  <c r="T94" i="7"/>
  <c r="R94" i="7"/>
  <c r="K100" i="7" s="1"/>
  <c r="U94" i="7"/>
  <c r="S94" i="7"/>
  <c r="Q94" i="7"/>
  <c r="I100" i="7" s="1"/>
  <c r="O105" i="7" s="1"/>
  <c r="E94" i="7"/>
  <c r="D94" i="7"/>
  <c r="H91" i="7"/>
  <c r="J91" i="7"/>
  <c r="I89" i="7"/>
  <c r="H89" i="7"/>
  <c r="G89" i="7"/>
  <c r="E89" i="7"/>
  <c r="J88" i="7"/>
  <c r="E88" i="7"/>
  <c r="J87" i="7"/>
  <c r="E87" i="7"/>
  <c r="K86" i="7"/>
  <c r="J86" i="7"/>
  <c r="H86" i="7"/>
  <c r="I86" i="7"/>
  <c r="F86" i="7"/>
  <c r="V86" i="7"/>
  <c r="T86" i="7"/>
  <c r="R86" i="7"/>
  <c r="U86" i="7"/>
  <c r="S86" i="7"/>
  <c r="Q86" i="7"/>
  <c r="E86" i="7"/>
  <c r="D86" i="7"/>
  <c r="B86" i="7"/>
  <c r="K85" i="7"/>
  <c r="J85" i="7"/>
  <c r="H85" i="7"/>
  <c r="I85" i="7"/>
  <c r="F85" i="7"/>
  <c r="V85" i="7"/>
  <c r="T85" i="7"/>
  <c r="R85" i="7"/>
  <c r="U85" i="7"/>
  <c r="S85" i="7"/>
  <c r="Q85" i="7"/>
  <c r="E85" i="7"/>
  <c r="D85" i="7"/>
  <c r="B85" i="7"/>
  <c r="K84" i="7"/>
  <c r="J84" i="7"/>
  <c r="I84" i="7"/>
  <c r="H84" i="7"/>
  <c r="G84" i="7"/>
  <c r="F84" i="7"/>
  <c r="K83" i="7"/>
  <c r="J83" i="7"/>
  <c r="I83" i="7"/>
  <c r="H83" i="7"/>
  <c r="G83" i="7"/>
  <c r="F83" i="7"/>
  <c r="K82" i="7"/>
  <c r="J82" i="7"/>
  <c r="I82" i="7"/>
  <c r="H82" i="7"/>
  <c r="G82" i="7"/>
  <c r="F82" i="7"/>
  <c r="K81" i="7"/>
  <c r="J81" i="7"/>
  <c r="I81" i="7"/>
  <c r="H81" i="7"/>
  <c r="G81" i="7"/>
  <c r="F81" i="7"/>
  <c r="C80" i="7"/>
  <c r="V79" i="7"/>
  <c r="T79" i="7"/>
  <c r="K88" i="7" s="1"/>
  <c r="R79" i="7"/>
  <c r="K87" i="7" s="1"/>
  <c r="U79" i="7"/>
  <c r="S79" i="7"/>
  <c r="I88" i="7" s="1"/>
  <c r="Q79" i="7"/>
  <c r="I87" i="7" s="1"/>
  <c r="E79" i="7"/>
  <c r="D79" i="7"/>
  <c r="J76" i="7"/>
  <c r="I74" i="7"/>
  <c r="H74" i="7"/>
  <c r="G74" i="7"/>
  <c r="E74" i="7"/>
  <c r="J73" i="7"/>
  <c r="E73" i="7"/>
  <c r="J72" i="7"/>
  <c r="E72" i="7"/>
  <c r="K71" i="7"/>
  <c r="J71" i="7"/>
  <c r="H71" i="7"/>
  <c r="I71" i="7"/>
  <c r="H76" i="7" s="1"/>
  <c r="F71" i="7"/>
  <c r="V71" i="7"/>
  <c r="T71" i="7"/>
  <c r="R71" i="7"/>
  <c r="U71" i="7"/>
  <c r="S71" i="7"/>
  <c r="Q71" i="7"/>
  <c r="I72" i="7" s="1"/>
  <c r="E71" i="7"/>
  <c r="D71" i="7"/>
  <c r="B71" i="7"/>
  <c r="K70" i="7"/>
  <c r="J70" i="7"/>
  <c r="I70" i="7"/>
  <c r="H70" i="7"/>
  <c r="G70" i="7"/>
  <c r="F70" i="7"/>
  <c r="K69" i="7"/>
  <c r="J69" i="7"/>
  <c r="I69" i="7"/>
  <c r="H69" i="7"/>
  <c r="G69" i="7"/>
  <c r="F69" i="7"/>
  <c r="K68" i="7"/>
  <c r="J68" i="7"/>
  <c r="I68" i="7"/>
  <c r="H68" i="7"/>
  <c r="G68" i="7"/>
  <c r="F68" i="7"/>
  <c r="K67" i="7"/>
  <c r="P77" i="7" s="1"/>
  <c r="J67" i="7"/>
  <c r="I67" i="7"/>
  <c r="O77" i="7" s="1"/>
  <c r="H67" i="7"/>
  <c r="G67" i="7"/>
  <c r="F67" i="7"/>
  <c r="V66" i="7"/>
  <c r="T66" i="7"/>
  <c r="K73" i="7" s="1"/>
  <c r="R66" i="7"/>
  <c r="K72" i="7" s="1"/>
  <c r="U66" i="7"/>
  <c r="S66" i="7"/>
  <c r="I73" i="7" s="1"/>
  <c r="Q66" i="7"/>
  <c r="E66" i="7"/>
  <c r="D66" i="7"/>
  <c r="J63" i="7"/>
  <c r="I61" i="7"/>
  <c r="H61" i="7"/>
  <c r="G61" i="7"/>
  <c r="E61" i="7"/>
  <c r="J60" i="7"/>
  <c r="E60" i="7"/>
  <c r="J59" i="7"/>
  <c r="E59" i="7"/>
  <c r="K58" i="7"/>
  <c r="J58" i="7"/>
  <c r="H58" i="7"/>
  <c r="I58" i="7"/>
  <c r="H63" i="7" s="1"/>
  <c r="F58" i="7"/>
  <c r="V58" i="7"/>
  <c r="T58" i="7"/>
  <c r="R58" i="7"/>
  <c r="U58" i="7"/>
  <c r="S58" i="7"/>
  <c r="Q58" i="7"/>
  <c r="I59" i="7" s="1"/>
  <c r="E58" i="7"/>
  <c r="D58" i="7"/>
  <c r="B58" i="7"/>
  <c r="K57" i="7"/>
  <c r="J57" i="7"/>
  <c r="I57" i="7"/>
  <c r="H57" i="7"/>
  <c r="G57" i="7"/>
  <c r="F57" i="7"/>
  <c r="K56" i="7"/>
  <c r="J56" i="7"/>
  <c r="I56" i="7"/>
  <c r="H56" i="7"/>
  <c r="G56" i="7"/>
  <c r="F56" i="7"/>
  <c r="K55" i="7"/>
  <c r="J62" i="7" s="1"/>
  <c r="J55" i="7"/>
  <c r="I55" i="7"/>
  <c r="H55" i="7"/>
  <c r="G55" i="7"/>
  <c r="F55" i="7"/>
  <c r="V54" i="7"/>
  <c r="T54" i="7"/>
  <c r="K60" i="7" s="1"/>
  <c r="R54" i="7"/>
  <c r="K59" i="7" s="1"/>
  <c r="J64" i="7" s="1"/>
  <c r="U54" i="7"/>
  <c r="S54" i="7"/>
  <c r="I60" i="7" s="1"/>
  <c r="Q54" i="7"/>
  <c r="E54" i="7"/>
  <c r="D54" i="7"/>
  <c r="H51" i="7"/>
  <c r="J51" i="7"/>
  <c r="I49" i="7"/>
  <c r="H49" i="7"/>
  <c r="G49" i="7"/>
  <c r="E49" i="7"/>
  <c r="K48" i="7"/>
  <c r="J48" i="7"/>
  <c r="E48" i="7"/>
  <c r="J47" i="7"/>
  <c r="E47" i="7"/>
  <c r="K46" i="7"/>
  <c r="J46" i="7"/>
  <c r="H46" i="7"/>
  <c r="I46" i="7"/>
  <c r="F46" i="7"/>
  <c r="V46" i="7"/>
  <c r="T46" i="7"/>
  <c r="R46" i="7"/>
  <c r="U46" i="7"/>
  <c r="S46" i="7"/>
  <c r="Q46" i="7"/>
  <c r="E46" i="7"/>
  <c r="D46" i="7"/>
  <c r="B46" i="7"/>
  <c r="K45" i="7"/>
  <c r="J45" i="7"/>
  <c r="I45" i="7"/>
  <c r="H45" i="7"/>
  <c r="G45" i="7"/>
  <c r="F45" i="7"/>
  <c r="K44" i="7"/>
  <c r="J50" i="7" s="1"/>
  <c r="J44" i="7"/>
  <c r="I44" i="7"/>
  <c r="O52" i="7" s="1"/>
  <c r="H44" i="7"/>
  <c r="G44" i="7"/>
  <c r="F44" i="7"/>
  <c r="V43" i="7"/>
  <c r="T43" i="7"/>
  <c r="R43" i="7"/>
  <c r="K47" i="7" s="1"/>
  <c r="J52" i="7" s="1"/>
  <c r="U43" i="7"/>
  <c r="S43" i="7"/>
  <c r="I48" i="7" s="1"/>
  <c r="Q43" i="7"/>
  <c r="I47" i="7" s="1"/>
  <c r="H50" i="7" s="1"/>
  <c r="E43" i="7"/>
  <c r="D43" i="7"/>
  <c r="J40" i="7"/>
  <c r="I38" i="7"/>
  <c r="H38" i="7"/>
  <c r="G38" i="7"/>
  <c r="E38" i="7"/>
  <c r="J37" i="7"/>
  <c r="E37" i="7"/>
  <c r="J36" i="7"/>
  <c r="I36" i="7"/>
  <c r="E36" i="7"/>
  <c r="K35" i="7"/>
  <c r="J35" i="7"/>
  <c r="H35" i="7"/>
  <c r="I35" i="7"/>
  <c r="H40" i="7" s="1"/>
  <c r="F35" i="7"/>
  <c r="V35" i="7"/>
  <c r="T35" i="7"/>
  <c r="R35" i="7"/>
  <c r="U35" i="7"/>
  <c r="S35" i="7"/>
  <c r="Q35" i="7"/>
  <c r="E35" i="7"/>
  <c r="D35" i="7"/>
  <c r="B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K31" i="7"/>
  <c r="J31" i="7"/>
  <c r="I31" i="7"/>
  <c r="O41" i="7" s="1"/>
  <c r="H31" i="7"/>
  <c r="G31" i="7"/>
  <c r="F31" i="7"/>
  <c r="V30" i="7"/>
  <c r="T30" i="7"/>
  <c r="K37" i="7" s="1"/>
  <c r="R30" i="7"/>
  <c r="K36" i="7" s="1"/>
  <c r="U30" i="7"/>
  <c r="S30" i="7"/>
  <c r="I37" i="7" s="1"/>
  <c r="Q30" i="7"/>
  <c r="E30" i="7"/>
  <c r="D30" i="7"/>
  <c r="A29" i="7"/>
  <c r="A11" i="7"/>
  <c r="A8" i="7"/>
  <c r="A6" i="7"/>
  <c r="A1" i="7"/>
  <c r="P139" i="7" l="1"/>
  <c r="J309" i="7"/>
  <c r="H126" i="7"/>
  <c r="H201" i="7"/>
  <c r="H199" i="7"/>
  <c r="H296" i="7"/>
  <c r="H62" i="7"/>
  <c r="H137" i="7"/>
  <c r="H210" i="7"/>
  <c r="H212" i="7"/>
  <c r="P253" i="7"/>
  <c r="J296" i="7" s="1"/>
  <c r="J251" i="7"/>
  <c r="O269" i="7"/>
  <c r="H105" i="7"/>
  <c r="J170" i="7"/>
  <c r="J189" i="7"/>
  <c r="J187" i="7"/>
  <c r="H283" i="7"/>
  <c r="P323" i="7"/>
  <c r="H153" i="7"/>
  <c r="J201" i="7"/>
  <c r="J199" i="7"/>
  <c r="O92" i="7"/>
  <c r="P105" i="7"/>
  <c r="J210" i="7"/>
  <c r="P311" i="7"/>
  <c r="P155" i="7"/>
  <c r="J172" i="7"/>
  <c r="O227" i="7"/>
  <c r="P92" i="7"/>
  <c r="O128" i="7"/>
  <c r="J321" i="7"/>
  <c r="P41" i="7"/>
  <c r="O64" i="7"/>
  <c r="H230" i="7" s="1"/>
  <c r="H139" i="7"/>
  <c r="P227" i="7"/>
  <c r="P52" i="7"/>
  <c r="P64" i="7"/>
  <c r="J90" i="7"/>
  <c r="J114" i="7"/>
  <c r="J126" i="7"/>
  <c r="O155" i="7"/>
  <c r="J267" i="7"/>
  <c r="H323" i="7"/>
  <c r="J92" i="7"/>
  <c r="J116" i="7"/>
  <c r="J128" i="7"/>
  <c r="H170" i="7"/>
  <c r="J225" i="7"/>
  <c r="J269" i="7"/>
  <c r="J291" i="7"/>
  <c r="J39" i="7"/>
  <c r="H52" i="7"/>
  <c r="H64" i="7"/>
  <c r="J75" i="7"/>
  <c r="J281" i="7"/>
  <c r="P172" i="7"/>
  <c r="H90" i="7"/>
  <c r="H114" i="7"/>
  <c r="H172" i="7"/>
  <c r="J293" i="7"/>
  <c r="J41" i="7"/>
  <c r="J77" i="7"/>
  <c r="J153" i="7"/>
  <c r="H189" i="7"/>
  <c r="H251" i="7"/>
  <c r="J283" i="7"/>
  <c r="H92" i="7"/>
  <c r="J103" i="7"/>
  <c r="H116" i="7"/>
  <c r="H128" i="7"/>
  <c r="J137" i="7"/>
  <c r="H225" i="7"/>
  <c r="H269" i="7"/>
  <c r="H291" i="7"/>
  <c r="H39" i="7"/>
  <c r="H75" i="7"/>
  <c r="J155" i="7"/>
  <c r="J212" i="7"/>
  <c r="H253" i="7"/>
  <c r="J105" i="7"/>
  <c r="J139" i="7"/>
  <c r="H227" i="7"/>
  <c r="H293" i="7"/>
  <c r="J311" i="7"/>
  <c r="J323" i="7"/>
  <c r="O311" i="7"/>
  <c r="H326" i="7" s="1"/>
  <c r="H41" i="7"/>
  <c r="H77" i="7"/>
  <c r="O139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P28" i="1"/>
  <c r="W28" i="1"/>
  <c r="AC28" i="1"/>
  <c r="AE28" i="1"/>
  <c r="Q28" i="1" s="1"/>
  <c r="AF28" i="1"/>
  <c r="CT28" i="1" s="1"/>
  <c r="AG28" i="1"/>
  <c r="AH28" i="1"/>
  <c r="AI28" i="1"/>
  <c r="CW28" i="1" s="1"/>
  <c r="V28" i="1" s="1"/>
  <c r="AJ28" i="1"/>
  <c r="CQ28" i="1"/>
  <c r="CU28" i="1"/>
  <c r="T28" i="1" s="1"/>
  <c r="CV28" i="1"/>
  <c r="U28" i="1" s="1"/>
  <c r="CX28" i="1"/>
  <c r="GL28" i="1"/>
  <c r="GN28" i="1"/>
  <c r="GP28" i="1"/>
  <c r="GV28" i="1"/>
  <c r="HC28" i="1"/>
  <c r="GX28" i="1" s="1"/>
  <c r="D29" i="1"/>
  <c r="P29" i="1"/>
  <c r="T29" i="1"/>
  <c r="V29" i="1"/>
  <c r="AC29" i="1"/>
  <c r="AE29" i="1"/>
  <c r="Q29" i="1" s="1"/>
  <c r="AF29" i="1"/>
  <c r="S29" i="1" s="1"/>
  <c r="AG29" i="1"/>
  <c r="AH29" i="1"/>
  <c r="AI29" i="1"/>
  <c r="AJ29" i="1"/>
  <c r="CX29" i="1" s="1"/>
  <c r="W29" i="1" s="1"/>
  <c r="CQ29" i="1"/>
  <c r="CU29" i="1"/>
  <c r="CV29" i="1"/>
  <c r="U29" i="1" s="1"/>
  <c r="CW29" i="1"/>
  <c r="GL29" i="1"/>
  <c r="GN29" i="1"/>
  <c r="GP29" i="1"/>
  <c r="GV29" i="1"/>
  <c r="HC29" i="1"/>
  <c r="GX29" i="1" s="1"/>
  <c r="I30" i="1"/>
  <c r="Q30" i="1" s="1"/>
  <c r="P30" i="1"/>
  <c r="FR30" i="1" s="1"/>
  <c r="R30" i="1"/>
  <c r="T30" i="1"/>
  <c r="U30" i="1"/>
  <c r="AC30" i="1"/>
  <c r="AB30" i="1" s="1"/>
  <c r="AD30" i="1"/>
  <c r="AE30" i="1"/>
  <c r="AF30" i="1"/>
  <c r="CT30" i="1" s="1"/>
  <c r="AG30" i="1"/>
  <c r="AH30" i="1"/>
  <c r="CV30" i="1" s="1"/>
  <c r="AI30" i="1"/>
  <c r="CW30" i="1" s="1"/>
  <c r="V30" i="1" s="1"/>
  <c r="AJ30" i="1"/>
  <c r="CX30" i="1" s="1"/>
  <c r="W30" i="1" s="1"/>
  <c r="CQ30" i="1"/>
  <c r="CR30" i="1"/>
  <c r="CS30" i="1"/>
  <c r="CU30" i="1"/>
  <c r="GL30" i="1"/>
  <c r="GN30" i="1"/>
  <c r="GO30" i="1"/>
  <c r="GP30" i="1"/>
  <c r="GV30" i="1"/>
  <c r="HC30" i="1" s="1"/>
  <c r="GX30" i="1" s="1"/>
  <c r="I31" i="1"/>
  <c r="R31" i="1"/>
  <c r="S31" i="1"/>
  <c r="CZ31" i="1" s="1"/>
  <c r="Y31" i="1" s="1"/>
  <c r="T31" i="1"/>
  <c r="AC31" i="1"/>
  <c r="P31" i="1" s="1"/>
  <c r="AD31" i="1"/>
  <c r="AE31" i="1"/>
  <c r="CS31" i="1" s="1"/>
  <c r="AF31" i="1"/>
  <c r="AG31" i="1"/>
  <c r="AH31" i="1"/>
  <c r="CV31" i="1" s="1"/>
  <c r="U31" i="1" s="1"/>
  <c r="AI31" i="1"/>
  <c r="CW31" i="1" s="1"/>
  <c r="V31" i="1" s="1"/>
  <c r="AJ31" i="1"/>
  <c r="CR31" i="1"/>
  <c r="CT31" i="1"/>
  <c r="CU31" i="1"/>
  <c r="CX31" i="1"/>
  <c r="W31" i="1" s="1"/>
  <c r="CY31" i="1"/>
  <c r="X31" i="1" s="1"/>
  <c r="GL31" i="1"/>
  <c r="GN31" i="1"/>
  <c r="GO31" i="1"/>
  <c r="GP31" i="1"/>
  <c r="GV31" i="1"/>
  <c r="HC31" i="1" s="1"/>
  <c r="GX31" i="1" s="1"/>
  <c r="D32" i="1"/>
  <c r="R32" i="1"/>
  <c r="T32" i="1"/>
  <c r="W32" i="1"/>
  <c r="AB32" i="1"/>
  <c r="AC32" i="1"/>
  <c r="AE32" i="1"/>
  <c r="AD32" i="1" s="1"/>
  <c r="AF32" i="1"/>
  <c r="S32" i="1" s="1"/>
  <c r="AG32" i="1"/>
  <c r="AH32" i="1"/>
  <c r="CV32" i="1" s="1"/>
  <c r="U32" i="1" s="1"/>
  <c r="AI32" i="1"/>
  <c r="AJ32" i="1"/>
  <c r="CX32" i="1" s="1"/>
  <c r="CS32" i="1"/>
  <c r="CU32" i="1"/>
  <c r="CW32" i="1"/>
  <c r="V32" i="1" s="1"/>
  <c r="GL32" i="1"/>
  <c r="GN32" i="1"/>
  <c r="GP32" i="1"/>
  <c r="GV32" i="1"/>
  <c r="HC32" i="1" s="1"/>
  <c r="GX32" i="1" s="1"/>
  <c r="D33" i="1"/>
  <c r="P33" i="1"/>
  <c r="R33" i="1"/>
  <c r="S33" i="1"/>
  <c r="AB33" i="1"/>
  <c r="AC33" i="1"/>
  <c r="AD33" i="1"/>
  <c r="AE33" i="1"/>
  <c r="Q33" i="1" s="1"/>
  <c r="AF33" i="1"/>
  <c r="CT33" i="1" s="1"/>
  <c r="AG33" i="1"/>
  <c r="CU33" i="1" s="1"/>
  <c r="T33" i="1" s="1"/>
  <c r="AH33" i="1"/>
  <c r="CV33" i="1" s="1"/>
  <c r="U33" i="1" s="1"/>
  <c r="AI33" i="1"/>
  <c r="AJ33" i="1"/>
  <c r="CX33" i="1" s="1"/>
  <c r="W33" i="1" s="1"/>
  <c r="CQ33" i="1"/>
  <c r="CR33" i="1"/>
  <c r="CS33" i="1"/>
  <c r="CW33" i="1"/>
  <c r="V33" i="1" s="1"/>
  <c r="GL33" i="1"/>
  <c r="GN33" i="1"/>
  <c r="GP33" i="1"/>
  <c r="GV33" i="1"/>
  <c r="HC33" i="1" s="1"/>
  <c r="GX33" i="1" s="1"/>
  <c r="I34" i="1"/>
  <c r="Q34" i="1" s="1"/>
  <c r="S34" i="1"/>
  <c r="V34" i="1"/>
  <c r="AC34" i="1"/>
  <c r="AE34" i="1"/>
  <c r="CR34" i="1" s="1"/>
  <c r="AF34" i="1"/>
  <c r="CT34" i="1" s="1"/>
  <c r="AG34" i="1"/>
  <c r="CU34" i="1" s="1"/>
  <c r="T34" i="1" s="1"/>
  <c r="AH34" i="1"/>
  <c r="CV34" i="1" s="1"/>
  <c r="U34" i="1" s="1"/>
  <c r="AI34" i="1"/>
  <c r="AJ34" i="1"/>
  <c r="CS34" i="1"/>
  <c r="CW34" i="1"/>
  <c r="CX34" i="1"/>
  <c r="W34" i="1" s="1"/>
  <c r="GL34" i="1"/>
  <c r="GN34" i="1"/>
  <c r="GO34" i="1"/>
  <c r="GP34" i="1"/>
  <c r="GV34" i="1"/>
  <c r="HC34" i="1"/>
  <c r="I35" i="1"/>
  <c r="S35" i="1" s="1"/>
  <c r="Q35" i="1"/>
  <c r="V35" i="1"/>
  <c r="AC35" i="1"/>
  <c r="AE35" i="1"/>
  <c r="AF35" i="1"/>
  <c r="AG35" i="1"/>
  <c r="CU35" i="1" s="1"/>
  <c r="T35" i="1" s="1"/>
  <c r="AH35" i="1"/>
  <c r="AI35" i="1"/>
  <c r="CW35" i="1" s="1"/>
  <c r="AJ35" i="1"/>
  <c r="CX35" i="1" s="1"/>
  <c r="W35" i="1" s="1"/>
  <c r="CR35" i="1"/>
  <c r="CT35" i="1"/>
  <c r="CV35" i="1"/>
  <c r="U35" i="1" s="1"/>
  <c r="GL35" i="1"/>
  <c r="GN35" i="1"/>
  <c r="GO35" i="1"/>
  <c r="GP35" i="1"/>
  <c r="GV35" i="1"/>
  <c r="HC35" i="1" s="1"/>
  <c r="GX35" i="1"/>
  <c r="D36" i="1"/>
  <c r="I36" i="1"/>
  <c r="K36" i="1"/>
  <c r="R36" i="1"/>
  <c r="AC36" i="1"/>
  <c r="AE36" i="1"/>
  <c r="CR36" i="1" s="1"/>
  <c r="AF36" i="1"/>
  <c r="S36" i="1" s="1"/>
  <c r="AG36" i="1"/>
  <c r="CU36" i="1" s="1"/>
  <c r="T36" i="1" s="1"/>
  <c r="AH36" i="1"/>
  <c r="CV36" i="1" s="1"/>
  <c r="U36" i="1" s="1"/>
  <c r="AI36" i="1"/>
  <c r="AJ36" i="1"/>
  <c r="CX36" i="1" s="1"/>
  <c r="W36" i="1" s="1"/>
  <c r="CS36" i="1"/>
  <c r="CW36" i="1"/>
  <c r="V36" i="1" s="1"/>
  <c r="GL36" i="1"/>
  <c r="GN36" i="1"/>
  <c r="GP36" i="1"/>
  <c r="GV36" i="1"/>
  <c r="HC36" i="1" s="1"/>
  <c r="GX36" i="1" s="1"/>
  <c r="D37" i="1"/>
  <c r="I37" i="1"/>
  <c r="K37" i="1"/>
  <c r="P37" i="1"/>
  <c r="R37" i="1"/>
  <c r="U37" i="1"/>
  <c r="AC37" i="1"/>
  <c r="AD37" i="1"/>
  <c r="AE37" i="1"/>
  <c r="AF37" i="1"/>
  <c r="AG37" i="1"/>
  <c r="AH37" i="1"/>
  <c r="CV37" i="1" s="1"/>
  <c r="AI37" i="1"/>
  <c r="CW37" i="1" s="1"/>
  <c r="V37" i="1" s="1"/>
  <c r="AJ37" i="1"/>
  <c r="CX37" i="1" s="1"/>
  <c r="W37" i="1" s="1"/>
  <c r="CQ37" i="1"/>
  <c r="CR37" i="1"/>
  <c r="CS37" i="1"/>
  <c r="CU37" i="1"/>
  <c r="T37" i="1" s="1"/>
  <c r="GL37" i="1"/>
  <c r="GN37" i="1"/>
  <c r="GP37" i="1"/>
  <c r="GV37" i="1"/>
  <c r="HC37" i="1" s="1"/>
  <c r="GX37" i="1" s="1"/>
  <c r="I38" i="1"/>
  <c r="Q38" i="1" s="1"/>
  <c r="AC38" i="1"/>
  <c r="AE38" i="1"/>
  <c r="CS38" i="1" s="1"/>
  <c r="AF38" i="1"/>
  <c r="CT38" i="1" s="1"/>
  <c r="AG38" i="1"/>
  <c r="AH38" i="1"/>
  <c r="AI38" i="1"/>
  <c r="CW38" i="1" s="1"/>
  <c r="AJ38" i="1"/>
  <c r="CX38" i="1" s="1"/>
  <c r="CQ38" i="1"/>
  <c r="CU38" i="1"/>
  <c r="CV38" i="1"/>
  <c r="U38" i="1" s="1"/>
  <c r="GL38" i="1"/>
  <c r="GN38" i="1"/>
  <c r="GO38" i="1"/>
  <c r="GP38" i="1"/>
  <c r="GV38" i="1"/>
  <c r="HC38" i="1" s="1"/>
  <c r="AC39" i="1"/>
  <c r="AB39" i="1" s="1"/>
  <c r="AD39" i="1"/>
  <c r="AE39" i="1"/>
  <c r="AF39" i="1"/>
  <c r="AG39" i="1"/>
  <c r="CU39" i="1" s="1"/>
  <c r="AH39" i="1"/>
  <c r="AI39" i="1"/>
  <c r="CW39" i="1" s="1"/>
  <c r="AJ39" i="1"/>
  <c r="CT39" i="1"/>
  <c r="CV39" i="1"/>
  <c r="CX39" i="1"/>
  <c r="GL39" i="1"/>
  <c r="GN39" i="1"/>
  <c r="GO39" i="1"/>
  <c r="GP39" i="1"/>
  <c r="GV39" i="1"/>
  <c r="HC39" i="1" s="1"/>
  <c r="D40" i="1"/>
  <c r="P40" i="1"/>
  <c r="R40" i="1"/>
  <c r="AC40" i="1"/>
  <c r="AD40" i="1"/>
  <c r="AB40" i="1" s="1"/>
  <c r="AE40" i="1"/>
  <c r="Q40" i="1" s="1"/>
  <c r="AF40" i="1"/>
  <c r="CT40" i="1" s="1"/>
  <c r="AG40" i="1"/>
  <c r="CU40" i="1" s="1"/>
  <c r="T40" i="1" s="1"/>
  <c r="AH40" i="1"/>
  <c r="CV40" i="1" s="1"/>
  <c r="U40" i="1" s="1"/>
  <c r="AI40" i="1"/>
  <c r="AJ40" i="1"/>
  <c r="CX40" i="1" s="1"/>
  <c r="W40" i="1" s="1"/>
  <c r="CQ40" i="1"/>
  <c r="CR40" i="1"/>
  <c r="CS40" i="1"/>
  <c r="CW40" i="1"/>
  <c r="V40" i="1" s="1"/>
  <c r="GL40" i="1"/>
  <c r="GN40" i="1"/>
  <c r="GP40" i="1"/>
  <c r="GV40" i="1"/>
  <c r="HC40" i="1" s="1"/>
  <c r="GX40" i="1" s="1"/>
  <c r="D41" i="1"/>
  <c r="R41" i="1"/>
  <c r="V41" i="1"/>
  <c r="AC41" i="1"/>
  <c r="AE41" i="1"/>
  <c r="CR41" i="1" s="1"/>
  <c r="AF41" i="1"/>
  <c r="CT41" i="1" s="1"/>
  <c r="AG41" i="1"/>
  <c r="CU41" i="1" s="1"/>
  <c r="T41" i="1" s="1"/>
  <c r="AH41" i="1"/>
  <c r="CV41" i="1" s="1"/>
  <c r="U41" i="1" s="1"/>
  <c r="AI41" i="1"/>
  <c r="AJ41" i="1"/>
  <c r="CX41" i="1" s="1"/>
  <c r="W41" i="1" s="1"/>
  <c r="CS41" i="1"/>
  <c r="CW41" i="1"/>
  <c r="GL41" i="1"/>
  <c r="GN41" i="1"/>
  <c r="GP41" i="1"/>
  <c r="GV41" i="1"/>
  <c r="HC41" i="1" s="1"/>
  <c r="GX41" i="1" s="1"/>
  <c r="I42" i="1"/>
  <c r="Q42" i="1" s="1"/>
  <c r="R42" i="1"/>
  <c r="V42" i="1"/>
  <c r="W42" i="1"/>
  <c r="AC42" i="1"/>
  <c r="AE42" i="1"/>
  <c r="AD42" i="1" s="1"/>
  <c r="AF42" i="1"/>
  <c r="AG42" i="1"/>
  <c r="AH42" i="1"/>
  <c r="CV42" i="1" s="1"/>
  <c r="U42" i="1" s="1"/>
  <c r="AI42" i="1"/>
  <c r="AJ42" i="1"/>
  <c r="CX42" i="1" s="1"/>
  <c r="CS42" i="1"/>
  <c r="CT42" i="1"/>
  <c r="CU42" i="1"/>
  <c r="CW42" i="1"/>
  <c r="GL42" i="1"/>
  <c r="GN42" i="1"/>
  <c r="GO42" i="1"/>
  <c r="GP42" i="1"/>
  <c r="GV42" i="1"/>
  <c r="HC42" i="1"/>
  <c r="GX42" i="1" s="1"/>
  <c r="I43" i="1"/>
  <c r="V43" i="1"/>
  <c r="AC43" i="1"/>
  <c r="AE43" i="1"/>
  <c r="AF43" i="1"/>
  <c r="S43" i="1" s="1"/>
  <c r="AG43" i="1"/>
  <c r="CU43" i="1" s="1"/>
  <c r="T43" i="1" s="1"/>
  <c r="AH43" i="1"/>
  <c r="AI43" i="1"/>
  <c r="AJ43" i="1"/>
  <c r="CX43" i="1" s="1"/>
  <c r="W43" i="1" s="1"/>
  <c r="CT43" i="1"/>
  <c r="CV43" i="1"/>
  <c r="U43" i="1" s="1"/>
  <c r="CW43" i="1"/>
  <c r="GL43" i="1"/>
  <c r="GN43" i="1"/>
  <c r="GO43" i="1"/>
  <c r="GP43" i="1"/>
  <c r="GV43" i="1"/>
  <c r="GX43" i="1"/>
  <c r="HC43" i="1"/>
  <c r="D44" i="1"/>
  <c r="I44" i="1"/>
  <c r="I46" i="1" s="1"/>
  <c r="K44" i="1"/>
  <c r="R44" i="1"/>
  <c r="T44" i="1"/>
  <c r="W44" i="1"/>
  <c r="AC44" i="1"/>
  <c r="AE44" i="1"/>
  <c r="AD44" i="1" s="1"/>
  <c r="AB44" i="1" s="1"/>
  <c r="AF44" i="1"/>
  <c r="S44" i="1" s="1"/>
  <c r="AG44" i="1"/>
  <c r="AH44" i="1"/>
  <c r="CV44" i="1" s="1"/>
  <c r="U44" i="1" s="1"/>
  <c r="AI44" i="1"/>
  <c r="AJ44" i="1"/>
  <c r="CX44" i="1" s="1"/>
  <c r="CS44" i="1"/>
  <c r="CU44" i="1"/>
  <c r="CW44" i="1"/>
  <c r="V44" i="1" s="1"/>
  <c r="GL44" i="1"/>
  <c r="GN44" i="1"/>
  <c r="GP44" i="1"/>
  <c r="GV44" i="1"/>
  <c r="HC44" i="1" s="1"/>
  <c r="GX44" i="1" s="1"/>
  <c r="D45" i="1"/>
  <c r="I45" i="1"/>
  <c r="K45" i="1"/>
  <c r="P45" i="1"/>
  <c r="CP45" i="1" s="1"/>
  <c r="O45" i="1" s="1"/>
  <c r="Q45" i="1"/>
  <c r="S45" i="1"/>
  <c r="U45" i="1"/>
  <c r="AC45" i="1"/>
  <c r="AD45" i="1"/>
  <c r="AB45" i="1" s="1"/>
  <c r="AE45" i="1"/>
  <c r="AF45" i="1"/>
  <c r="AG45" i="1"/>
  <c r="AH45" i="1"/>
  <c r="AI45" i="1"/>
  <c r="CW45" i="1" s="1"/>
  <c r="V45" i="1" s="1"/>
  <c r="AJ45" i="1"/>
  <c r="CX45" i="1" s="1"/>
  <c r="W45" i="1" s="1"/>
  <c r="CQ45" i="1"/>
  <c r="CS45" i="1"/>
  <c r="CT45" i="1"/>
  <c r="CU45" i="1"/>
  <c r="T45" i="1" s="1"/>
  <c r="CV45" i="1"/>
  <c r="GL45" i="1"/>
  <c r="GN45" i="1"/>
  <c r="GP45" i="1"/>
  <c r="GV45" i="1"/>
  <c r="GX45" i="1"/>
  <c r="HC45" i="1"/>
  <c r="P46" i="1"/>
  <c r="Q46" i="1"/>
  <c r="V46" i="1"/>
  <c r="AC46" i="1"/>
  <c r="AB46" i="1" s="1"/>
  <c r="AD46" i="1"/>
  <c r="AE46" i="1"/>
  <c r="AF46" i="1"/>
  <c r="AG46" i="1"/>
  <c r="AH46" i="1"/>
  <c r="CV46" i="1" s="1"/>
  <c r="U46" i="1" s="1"/>
  <c r="AI46" i="1"/>
  <c r="AJ46" i="1"/>
  <c r="CX46" i="1" s="1"/>
  <c r="W46" i="1" s="1"/>
  <c r="CQ46" i="1"/>
  <c r="CR46" i="1"/>
  <c r="CU46" i="1"/>
  <c r="T46" i="1" s="1"/>
  <c r="CW46" i="1"/>
  <c r="GL46" i="1"/>
  <c r="GN46" i="1"/>
  <c r="GP46" i="1"/>
  <c r="GV46" i="1"/>
  <c r="GX46" i="1"/>
  <c r="HC46" i="1"/>
  <c r="I47" i="1"/>
  <c r="Q47" i="1" s="1"/>
  <c r="P47" i="1"/>
  <c r="R47" i="1"/>
  <c r="T47" i="1"/>
  <c r="U47" i="1"/>
  <c r="AC47" i="1"/>
  <c r="AB47" i="1" s="1"/>
  <c r="AD47" i="1"/>
  <c r="AE47" i="1"/>
  <c r="AF47" i="1"/>
  <c r="AG47" i="1"/>
  <c r="AH47" i="1"/>
  <c r="CV47" i="1" s="1"/>
  <c r="AI47" i="1"/>
  <c r="CW47" i="1" s="1"/>
  <c r="V47" i="1" s="1"/>
  <c r="AJ47" i="1"/>
  <c r="CQ47" i="1"/>
  <c r="CR47" i="1"/>
  <c r="CS47" i="1"/>
  <c r="CU47" i="1"/>
  <c r="CX47" i="1"/>
  <c r="GL47" i="1"/>
  <c r="GN47" i="1"/>
  <c r="GP47" i="1"/>
  <c r="GV47" i="1"/>
  <c r="HC47" i="1" s="1"/>
  <c r="GX47" i="1"/>
  <c r="I48" i="1"/>
  <c r="S48" i="1" s="1"/>
  <c r="Q48" i="1"/>
  <c r="U48" i="1"/>
  <c r="AC48" i="1"/>
  <c r="AD48" i="1"/>
  <c r="AB48" i="1" s="1"/>
  <c r="AE48" i="1"/>
  <c r="AF48" i="1"/>
  <c r="AG48" i="1"/>
  <c r="AH48" i="1"/>
  <c r="AI48" i="1"/>
  <c r="CW48" i="1" s="1"/>
  <c r="AJ48" i="1"/>
  <c r="CX48" i="1" s="1"/>
  <c r="W48" i="1" s="1"/>
  <c r="CQ48" i="1"/>
  <c r="CS48" i="1"/>
  <c r="CT48" i="1"/>
  <c r="CU48" i="1"/>
  <c r="T48" i="1" s="1"/>
  <c r="CV48" i="1"/>
  <c r="GL48" i="1"/>
  <c r="GN48" i="1"/>
  <c r="GP48" i="1"/>
  <c r="GV48" i="1"/>
  <c r="GX48" i="1"/>
  <c r="HC48" i="1"/>
  <c r="I49" i="1"/>
  <c r="P49" i="1"/>
  <c r="Q49" i="1"/>
  <c r="T49" i="1"/>
  <c r="AC49" i="1"/>
  <c r="AB49" i="1" s="1"/>
  <c r="AD49" i="1"/>
  <c r="AE49" i="1"/>
  <c r="AF49" i="1"/>
  <c r="S49" i="1" s="1"/>
  <c r="AG49" i="1"/>
  <c r="AH49" i="1"/>
  <c r="AI49" i="1"/>
  <c r="AJ49" i="1"/>
  <c r="CX49" i="1" s="1"/>
  <c r="W49" i="1" s="1"/>
  <c r="CQ49" i="1"/>
  <c r="CR49" i="1"/>
  <c r="CU49" i="1"/>
  <c r="CV49" i="1"/>
  <c r="U49" i="1" s="1"/>
  <c r="CW49" i="1"/>
  <c r="V49" i="1" s="1"/>
  <c r="GL49" i="1"/>
  <c r="GN49" i="1"/>
  <c r="GP49" i="1"/>
  <c r="GV49" i="1"/>
  <c r="HC49" i="1"/>
  <c r="GX49" i="1" s="1"/>
  <c r="D50" i="1"/>
  <c r="P50" i="1"/>
  <c r="R50" i="1"/>
  <c r="CY50" i="1" s="1"/>
  <c r="X50" i="1" s="1"/>
  <c r="T50" i="1"/>
  <c r="U50" i="1"/>
  <c r="AC50" i="1"/>
  <c r="AD50" i="1"/>
  <c r="AB50" i="1" s="1"/>
  <c r="AE50" i="1"/>
  <c r="Q50" i="1" s="1"/>
  <c r="AF50" i="1"/>
  <c r="S50" i="1" s="1"/>
  <c r="AG50" i="1"/>
  <c r="AH50" i="1"/>
  <c r="CV50" i="1" s="1"/>
  <c r="AI50" i="1"/>
  <c r="CW50" i="1" s="1"/>
  <c r="V50" i="1" s="1"/>
  <c r="AJ50" i="1"/>
  <c r="CQ50" i="1"/>
  <c r="CR50" i="1"/>
  <c r="CS50" i="1"/>
  <c r="CU50" i="1"/>
  <c r="CX50" i="1"/>
  <c r="W50" i="1" s="1"/>
  <c r="CZ50" i="1"/>
  <c r="Y50" i="1" s="1"/>
  <c r="GL50" i="1"/>
  <c r="GN50" i="1"/>
  <c r="GP50" i="1"/>
  <c r="GV50" i="1"/>
  <c r="HC50" i="1" s="1"/>
  <c r="GX50" i="1"/>
  <c r="D51" i="1"/>
  <c r="P51" i="1"/>
  <c r="Q51" i="1"/>
  <c r="S51" i="1"/>
  <c r="T51" i="1"/>
  <c r="U51" i="1"/>
  <c r="W51" i="1"/>
  <c r="AC51" i="1"/>
  <c r="AD51" i="1"/>
  <c r="AB51" i="1" s="1"/>
  <c r="AE51" i="1"/>
  <c r="AF51" i="1"/>
  <c r="AG51" i="1"/>
  <c r="AH51" i="1"/>
  <c r="AI51" i="1"/>
  <c r="CW51" i="1" s="1"/>
  <c r="V51" i="1" s="1"/>
  <c r="AJ51" i="1"/>
  <c r="CX51" i="1" s="1"/>
  <c r="CQ51" i="1"/>
  <c r="CS51" i="1"/>
  <c r="CT51" i="1"/>
  <c r="CU51" i="1"/>
  <c r="CV51" i="1"/>
  <c r="GL51" i="1"/>
  <c r="GN51" i="1"/>
  <c r="GP51" i="1"/>
  <c r="GV51" i="1"/>
  <c r="GX51" i="1"/>
  <c r="HC51" i="1"/>
  <c r="I52" i="1"/>
  <c r="P52" i="1"/>
  <c r="Q52" i="1"/>
  <c r="CP52" i="1" s="1"/>
  <c r="O52" i="1" s="1"/>
  <c r="S52" i="1"/>
  <c r="AC52" i="1"/>
  <c r="AB52" i="1" s="1"/>
  <c r="AD52" i="1"/>
  <c r="AE52" i="1"/>
  <c r="CS52" i="1" s="1"/>
  <c r="AF52" i="1"/>
  <c r="CT52" i="1" s="1"/>
  <c r="AG52" i="1"/>
  <c r="CU52" i="1" s="1"/>
  <c r="T52" i="1" s="1"/>
  <c r="AH52" i="1"/>
  <c r="AI52" i="1"/>
  <c r="AJ52" i="1"/>
  <c r="CX52" i="1" s="1"/>
  <c r="W52" i="1" s="1"/>
  <c r="CQ52" i="1"/>
  <c r="CR52" i="1"/>
  <c r="CV52" i="1"/>
  <c r="U52" i="1" s="1"/>
  <c r="CW52" i="1"/>
  <c r="V52" i="1" s="1"/>
  <c r="FR52" i="1"/>
  <c r="GL52" i="1"/>
  <c r="GN52" i="1"/>
  <c r="GO52" i="1"/>
  <c r="GP52" i="1"/>
  <c r="GV52" i="1"/>
  <c r="HC52" i="1"/>
  <c r="GX52" i="1" s="1"/>
  <c r="I53" i="1"/>
  <c r="AC53" i="1"/>
  <c r="AE53" i="1"/>
  <c r="AF53" i="1"/>
  <c r="AG53" i="1"/>
  <c r="CU53" i="1" s="1"/>
  <c r="AH53" i="1"/>
  <c r="CV53" i="1" s="1"/>
  <c r="AI53" i="1"/>
  <c r="AJ53" i="1"/>
  <c r="CQ53" i="1"/>
  <c r="CW53" i="1"/>
  <c r="CX53" i="1"/>
  <c r="GL53" i="1"/>
  <c r="GN53" i="1"/>
  <c r="GO53" i="1"/>
  <c r="GP53" i="1"/>
  <c r="GV53" i="1"/>
  <c r="HC53" i="1"/>
  <c r="GX53" i="1" s="1"/>
  <c r="D54" i="1"/>
  <c r="S54" i="1"/>
  <c r="AC54" i="1"/>
  <c r="P54" i="1" s="1"/>
  <c r="AE54" i="1"/>
  <c r="AF54" i="1"/>
  <c r="AG54" i="1"/>
  <c r="CU54" i="1" s="1"/>
  <c r="T54" i="1" s="1"/>
  <c r="AH54" i="1"/>
  <c r="CV54" i="1" s="1"/>
  <c r="U54" i="1" s="1"/>
  <c r="AI54" i="1"/>
  <c r="AJ54" i="1"/>
  <c r="CQ54" i="1"/>
  <c r="CS54" i="1"/>
  <c r="CT54" i="1"/>
  <c r="CW54" i="1"/>
  <c r="V54" i="1" s="1"/>
  <c r="CX54" i="1"/>
  <c r="W54" i="1" s="1"/>
  <c r="GL54" i="1"/>
  <c r="GN54" i="1"/>
  <c r="GP54" i="1"/>
  <c r="GV54" i="1"/>
  <c r="HC54" i="1"/>
  <c r="GX54" i="1" s="1"/>
  <c r="D55" i="1"/>
  <c r="Q55" i="1"/>
  <c r="AC55" i="1"/>
  <c r="AD55" i="1"/>
  <c r="AE55" i="1"/>
  <c r="R55" i="1" s="1"/>
  <c r="CY55" i="1" s="1"/>
  <c r="X55" i="1" s="1"/>
  <c r="AF55" i="1"/>
  <c r="S55" i="1" s="1"/>
  <c r="AG55" i="1"/>
  <c r="AH55" i="1"/>
  <c r="AI55" i="1"/>
  <c r="CW55" i="1" s="1"/>
  <c r="V55" i="1" s="1"/>
  <c r="AJ55" i="1"/>
  <c r="CX55" i="1" s="1"/>
  <c r="W55" i="1" s="1"/>
  <c r="CS55" i="1"/>
  <c r="CU55" i="1"/>
  <c r="T55" i="1" s="1"/>
  <c r="CV55" i="1"/>
  <c r="U55" i="1" s="1"/>
  <c r="GL55" i="1"/>
  <c r="GN55" i="1"/>
  <c r="GP55" i="1"/>
  <c r="GV55" i="1"/>
  <c r="GX55" i="1"/>
  <c r="HC55" i="1"/>
  <c r="I56" i="1"/>
  <c r="Q56" i="1" s="1"/>
  <c r="P56" i="1"/>
  <c r="R56" i="1"/>
  <c r="V56" i="1"/>
  <c r="AC56" i="1"/>
  <c r="AD56" i="1"/>
  <c r="AE56" i="1"/>
  <c r="AF56" i="1"/>
  <c r="AG56" i="1"/>
  <c r="CU56" i="1" s="1"/>
  <c r="T56" i="1" s="1"/>
  <c r="AH56" i="1"/>
  <c r="CV56" i="1" s="1"/>
  <c r="U56" i="1" s="1"/>
  <c r="AI56" i="1"/>
  <c r="AJ56" i="1"/>
  <c r="CR56" i="1"/>
  <c r="CS56" i="1"/>
  <c r="CW56" i="1"/>
  <c r="CX56" i="1"/>
  <c r="W56" i="1" s="1"/>
  <c r="FR56" i="1"/>
  <c r="GL56" i="1"/>
  <c r="GN56" i="1"/>
  <c r="GO56" i="1"/>
  <c r="GP56" i="1"/>
  <c r="GV56" i="1"/>
  <c r="HC56" i="1" s="1"/>
  <c r="GX56" i="1" s="1"/>
  <c r="I57" i="1"/>
  <c r="Q57" i="1" s="1"/>
  <c r="T57" i="1"/>
  <c r="V57" i="1"/>
  <c r="AC57" i="1"/>
  <c r="CQ57" i="1" s="1"/>
  <c r="AE57" i="1"/>
  <c r="AF57" i="1"/>
  <c r="AG57" i="1"/>
  <c r="CU57" i="1" s="1"/>
  <c r="AH57" i="1"/>
  <c r="AI57" i="1"/>
  <c r="CW57" i="1" s="1"/>
  <c r="AJ57" i="1"/>
  <c r="CX57" i="1" s="1"/>
  <c r="W57" i="1" s="1"/>
  <c r="CR57" i="1"/>
  <c r="CS57" i="1"/>
  <c r="CT57" i="1"/>
  <c r="CV57" i="1"/>
  <c r="U57" i="1" s="1"/>
  <c r="GL57" i="1"/>
  <c r="GN57" i="1"/>
  <c r="GO57" i="1"/>
  <c r="GP57" i="1"/>
  <c r="GV57" i="1"/>
  <c r="HC57" i="1" s="1"/>
  <c r="GX57" i="1"/>
  <c r="D58" i="1"/>
  <c r="Q58" i="1"/>
  <c r="T58" i="1"/>
  <c r="AC58" i="1"/>
  <c r="P58" i="1" s="1"/>
  <c r="AE58" i="1"/>
  <c r="AF58" i="1"/>
  <c r="S58" i="1" s="1"/>
  <c r="AG58" i="1"/>
  <c r="AH58" i="1"/>
  <c r="CV58" i="1" s="1"/>
  <c r="U58" i="1" s="1"/>
  <c r="AI58" i="1"/>
  <c r="AJ58" i="1"/>
  <c r="CX58" i="1" s="1"/>
  <c r="W58" i="1" s="1"/>
  <c r="CU58" i="1"/>
  <c r="CW58" i="1"/>
  <c r="V58" i="1" s="1"/>
  <c r="GL58" i="1"/>
  <c r="GN58" i="1"/>
  <c r="GP58" i="1"/>
  <c r="GV58" i="1"/>
  <c r="HC58" i="1" s="1"/>
  <c r="GX58" i="1" s="1"/>
  <c r="D59" i="1"/>
  <c r="P59" i="1"/>
  <c r="V59" i="1"/>
  <c r="AC59" i="1"/>
  <c r="AE59" i="1"/>
  <c r="CR59" i="1" s="1"/>
  <c r="AF59" i="1"/>
  <c r="CT59" i="1" s="1"/>
  <c r="AG59" i="1"/>
  <c r="AH59" i="1"/>
  <c r="CV59" i="1" s="1"/>
  <c r="U59" i="1" s="1"/>
  <c r="AI59" i="1"/>
  <c r="AJ59" i="1"/>
  <c r="CX59" i="1" s="1"/>
  <c r="W59" i="1" s="1"/>
  <c r="CQ59" i="1"/>
  <c r="CU59" i="1"/>
  <c r="T59" i="1" s="1"/>
  <c r="CW59" i="1"/>
  <c r="GL59" i="1"/>
  <c r="GN59" i="1"/>
  <c r="GP59" i="1"/>
  <c r="GV59" i="1"/>
  <c r="HC59" i="1"/>
  <c r="GX59" i="1" s="1"/>
  <c r="I60" i="1"/>
  <c r="Q60" i="1" s="1"/>
  <c r="P60" i="1"/>
  <c r="R60" i="1"/>
  <c r="V60" i="1"/>
  <c r="AC60" i="1"/>
  <c r="AD60" i="1"/>
  <c r="AE60" i="1"/>
  <c r="AF60" i="1"/>
  <c r="AG60" i="1"/>
  <c r="CU60" i="1" s="1"/>
  <c r="T60" i="1" s="1"/>
  <c r="AH60" i="1"/>
  <c r="CV60" i="1" s="1"/>
  <c r="U60" i="1" s="1"/>
  <c r="AI60" i="1"/>
  <c r="CW60" i="1" s="1"/>
  <c r="AJ60" i="1"/>
  <c r="CQ60" i="1"/>
  <c r="CR60" i="1"/>
  <c r="CS60" i="1"/>
  <c r="CX60" i="1"/>
  <c r="W60" i="1" s="1"/>
  <c r="FR60" i="1"/>
  <c r="GL60" i="1"/>
  <c r="GN60" i="1"/>
  <c r="GO60" i="1"/>
  <c r="GP60" i="1"/>
  <c r="GV60" i="1"/>
  <c r="HC60" i="1" s="1"/>
  <c r="GX60" i="1" s="1"/>
  <c r="I61" i="1"/>
  <c r="P61" i="1" s="1"/>
  <c r="FR61" i="1" s="1"/>
  <c r="S61" i="1"/>
  <c r="AC61" i="1"/>
  <c r="CQ61" i="1" s="1"/>
  <c r="AE61" i="1"/>
  <c r="AF61" i="1"/>
  <c r="AG61" i="1"/>
  <c r="CU61" i="1" s="1"/>
  <c r="T61" i="1" s="1"/>
  <c r="AH61" i="1"/>
  <c r="CV61" i="1" s="1"/>
  <c r="U61" i="1" s="1"/>
  <c r="AI61" i="1"/>
  <c r="CW61" i="1" s="1"/>
  <c r="AJ61" i="1"/>
  <c r="CT61" i="1"/>
  <c r="CX61" i="1"/>
  <c r="W61" i="1" s="1"/>
  <c r="GL61" i="1"/>
  <c r="GN61" i="1"/>
  <c r="GO61" i="1"/>
  <c r="GP61" i="1"/>
  <c r="GV61" i="1"/>
  <c r="HC61" i="1" s="1"/>
  <c r="GX61" i="1" s="1"/>
  <c r="D62" i="1"/>
  <c r="R62" i="1"/>
  <c r="T62" i="1"/>
  <c r="W62" i="1"/>
  <c r="AC62" i="1"/>
  <c r="P62" i="1" s="1"/>
  <c r="AD62" i="1"/>
  <c r="AE62" i="1"/>
  <c r="CR62" i="1" s="1"/>
  <c r="AF62" i="1"/>
  <c r="S62" i="1" s="1"/>
  <c r="AG62" i="1"/>
  <c r="AH62" i="1"/>
  <c r="CV62" i="1" s="1"/>
  <c r="U62" i="1" s="1"/>
  <c r="AI62" i="1"/>
  <c r="AJ62" i="1"/>
  <c r="CX62" i="1" s="1"/>
  <c r="CQ62" i="1"/>
  <c r="CS62" i="1"/>
  <c r="CU62" i="1"/>
  <c r="CW62" i="1"/>
  <c r="V62" i="1" s="1"/>
  <c r="CY62" i="1"/>
  <c r="X62" i="1" s="1"/>
  <c r="CZ62" i="1"/>
  <c r="Y62" i="1" s="1"/>
  <c r="GL62" i="1"/>
  <c r="GN62" i="1"/>
  <c r="GP62" i="1"/>
  <c r="GV62" i="1"/>
  <c r="HC62" i="1" s="1"/>
  <c r="GX62" i="1" s="1"/>
  <c r="D63" i="1"/>
  <c r="P63" i="1"/>
  <c r="Q63" i="1"/>
  <c r="S63" i="1"/>
  <c r="V63" i="1"/>
  <c r="AC63" i="1"/>
  <c r="AD63" i="1"/>
  <c r="AB63" i="1" s="1"/>
  <c r="AE63" i="1"/>
  <c r="AF63" i="1"/>
  <c r="CT63" i="1" s="1"/>
  <c r="AG63" i="1"/>
  <c r="CU63" i="1" s="1"/>
  <c r="T63" i="1" s="1"/>
  <c r="AH63" i="1"/>
  <c r="AI63" i="1"/>
  <c r="AJ63" i="1"/>
  <c r="CX63" i="1" s="1"/>
  <c r="W63" i="1" s="1"/>
  <c r="CP63" i="1"/>
  <c r="O63" i="1" s="1"/>
  <c r="CQ63" i="1"/>
  <c r="CS63" i="1"/>
  <c r="CV63" i="1"/>
  <c r="U63" i="1" s="1"/>
  <c r="CW63" i="1"/>
  <c r="GL63" i="1"/>
  <c r="GN63" i="1"/>
  <c r="GP63" i="1"/>
  <c r="GV63" i="1"/>
  <c r="GX63" i="1"/>
  <c r="HC63" i="1"/>
  <c r="I64" i="1"/>
  <c r="Q64" i="1" s="1"/>
  <c r="AC64" i="1"/>
  <c r="AD64" i="1"/>
  <c r="AE64" i="1"/>
  <c r="AF64" i="1"/>
  <c r="AG64" i="1"/>
  <c r="AH64" i="1"/>
  <c r="CV64" i="1" s="1"/>
  <c r="U64" i="1" s="1"/>
  <c r="AI64" i="1"/>
  <c r="AJ64" i="1"/>
  <c r="CX64" i="1" s="1"/>
  <c r="W64" i="1" s="1"/>
  <c r="CR64" i="1"/>
  <c r="CS64" i="1"/>
  <c r="CU64" i="1"/>
  <c r="T64" i="1" s="1"/>
  <c r="CW64" i="1"/>
  <c r="V64" i="1" s="1"/>
  <c r="GL64" i="1"/>
  <c r="GN64" i="1"/>
  <c r="GO64" i="1"/>
  <c r="GP64" i="1"/>
  <c r="GV64" i="1"/>
  <c r="HC64" i="1" s="1"/>
  <c r="GX64" i="1" s="1"/>
  <c r="I65" i="1"/>
  <c r="Q65" i="1" s="1"/>
  <c r="AB65" i="1"/>
  <c r="AC65" i="1"/>
  <c r="CQ65" i="1" s="1"/>
  <c r="AD65" i="1"/>
  <c r="AE65" i="1"/>
  <c r="AF65" i="1"/>
  <c r="AG65" i="1"/>
  <c r="AH65" i="1"/>
  <c r="AI65" i="1"/>
  <c r="CW65" i="1" s="1"/>
  <c r="V65" i="1" s="1"/>
  <c r="AJ65" i="1"/>
  <c r="CX65" i="1" s="1"/>
  <c r="W65" i="1" s="1"/>
  <c r="CR65" i="1"/>
  <c r="CS65" i="1"/>
  <c r="CT65" i="1"/>
  <c r="CU65" i="1"/>
  <c r="T65" i="1" s="1"/>
  <c r="CV65" i="1"/>
  <c r="U65" i="1" s="1"/>
  <c r="GL65" i="1"/>
  <c r="GN65" i="1"/>
  <c r="GO65" i="1"/>
  <c r="GP65" i="1"/>
  <c r="GV65" i="1"/>
  <c r="HC65" i="1" s="1"/>
  <c r="GX65" i="1"/>
  <c r="D66" i="1"/>
  <c r="I66" i="1"/>
  <c r="Q66" i="1" s="1"/>
  <c r="K66" i="1"/>
  <c r="S66" i="1"/>
  <c r="AB66" i="1"/>
  <c r="AC66" i="1"/>
  <c r="P66" i="1" s="1"/>
  <c r="CP66" i="1" s="1"/>
  <c r="O66" i="1" s="1"/>
  <c r="AD66" i="1"/>
  <c r="AE66" i="1"/>
  <c r="AF66" i="1"/>
  <c r="AG66" i="1"/>
  <c r="AH66" i="1"/>
  <c r="CV66" i="1" s="1"/>
  <c r="U66" i="1" s="1"/>
  <c r="AI66" i="1"/>
  <c r="CW66" i="1" s="1"/>
  <c r="V66" i="1" s="1"/>
  <c r="AJ66" i="1"/>
  <c r="CR66" i="1"/>
  <c r="CS66" i="1"/>
  <c r="CT66" i="1"/>
  <c r="CU66" i="1"/>
  <c r="T66" i="1" s="1"/>
  <c r="CX66" i="1"/>
  <c r="W66" i="1" s="1"/>
  <c r="GL66" i="1"/>
  <c r="GN66" i="1"/>
  <c r="GP66" i="1"/>
  <c r="GV66" i="1"/>
  <c r="HC66" i="1" s="1"/>
  <c r="GX66" i="1"/>
  <c r="D67" i="1"/>
  <c r="I67" i="1"/>
  <c r="I71" i="1" s="1"/>
  <c r="K67" i="1"/>
  <c r="S67" i="1"/>
  <c r="AB67" i="1"/>
  <c r="AC67" i="1"/>
  <c r="P67" i="1" s="1"/>
  <c r="AD67" i="1"/>
  <c r="AE67" i="1"/>
  <c r="AF67" i="1"/>
  <c r="AG67" i="1"/>
  <c r="AH67" i="1"/>
  <c r="CV67" i="1" s="1"/>
  <c r="U67" i="1" s="1"/>
  <c r="AI67" i="1"/>
  <c r="CW67" i="1" s="1"/>
  <c r="V67" i="1" s="1"/>
  <c r="AJ67" i="1"/>
  <c r="CR67" i="1"/>
  <c r="CS67" i="1"/>
  <c r="CT67" i="1"/>
  <c r="CU67" i="1"/>
  <c r="T67" i="1" s="1"/>
  <c r="CX67" i="1"/>
  <c r="W67" i="1" s="1"/>
  <c r="GL67" i="1"/>
  <c r="GN67" i="1"/>
  <c r="GP67" i="1"/>
  <c r="GV67" i="1"/>
  <c r="HC67" i="1" s="1"/>
  <c r="GX67" i="1"/>
  <c r="I68" i="1"/>
  <c r="Q68" i="1"/>
  <c r="AC68" i="1"/>
  <c r="AD68" i="1"/>
  <c r="AE68" i="1"/>
  <c r="CR68" i="1" s="1"/>
  <c r="AF68" i="1"/>
  <c r="AG68" i="1"/>
  <c r="AH68" i="1"/>
  <c r="AI68" i="1"/>
  <c r="AJ68" i="1"/>
  <c r="CX68" i="1" s="1"/>
  <c r="W68" i="1" s="1"/>
  <c r="CT68" i="1"/>
  <c r="CU68" i="1"/>
  <c r="T68" i="1" s="1"/>
  <c r="CV68" i="1"/>
  <c r="U68" i="1" s="1"/>
  <c r="CW68" i="1"/>
  <c r="V68" i="1" s="1"/>
  <c r="GL68" i="1"/>
  <c r="GN68" i="1"/>
  <c r="GO68" i="1"/>
  <c r="GP68" i="1"/>
  <c r="GV68" i="1"/>
  <c r="HC68" i="1"/>
  <c r="GX68" i="1" s="1"/>
  <c r="AC69" i="1"/>
  <c r="AD69" i="1"/>
  <c r="AE69" i="1"/>
  <c r="CS69" i="1" s="1"/>
  <c r="AF69" i="1"/>
  <c r="AG69" i="1"/>
  <c r="CU69" i="1" s="1"/>
  <c r="AH69" i="1"/>
  <c r="AI69" i="1"/>
  <c r="AJ69" i="1"/>
  <c r="CX69" i="1" s="1"/>
  <c r="CT69" i="1"/>
  <c r="CV69" i="1"/>
  <c r="CW69" i="1"/>
  <c r="GL69" i="1"/>
  <c r="GN69" i="1"/>
  <c r="GO69" i="1"/>
  <c r="GP69" i="1"/>
  <c r="GV69" i="1"/>
  <c r="HC69" i="1"/>
  <c r="I70" i="1"/>
  <c r="P70" i="1" s="1"/>
  <c r="Q70" i="1"/>
  <c r="AB70" i="1"/>
  <c r="AC70" i="1"/>
  <c r="AD70" i="1"/>
  <c r="AE70" i="1"/>
  <c r="AF70" i="1"/>
  <c r="AG70" i="1"/>
  <c r="AH70" i="1"/>
  <c r="AI70" i="1"/>
  <c r="AJ70" i="1"/>
  <c r="CQ70" i="1"/>
  <c r="CR70" i="1"/>
  <c r="CS70" i="1"/>
  <c r="CU70" i="1"/>
  <c r="T70" i="1" s="1"/>
  <c r="CV70" i="1"/>
  <c r="U70" i="1" s="1"/>
  <c r="CW70" i="1"/>
  <c r="CX70" i="1"/>
  <c r="W70" i="1" s="1"/>
  <c r="GL70" i="1"/>
  <c r="GN70" i="1"/>
  <c r="GO70" i="1"/>
  <c r="GP70" i="1"/>
  <c r="GV70" i="1"/>
  <c r="HC70" i="1" s="1"/>
  <c r="GX70" i="1"/>
  <c r="S71" i="1"/>
  <c r="AC71" i="1"/>
  <c r="CQ71" i="1" s="1"/>
  <c r="AE71" i="1"/>
  <c r="AD71" i="1" s="1"/>
  <c r="AF71" i="1"/>
  <c r="AB71" i="1" s="1"/>
  <c r="AG71" i="1"/>
  <c r="CU71" i="1" s="1"/>
  <c r="AH71" i="1"/>
  <c r="AI71" i="1"/>
  <c r="CW71" i="1" s="1"/>
  <c r="AJ71" i="1"/>
  <c r="CR71" i="1"/>
  <c r="CS71" i="1"/>
  <c r="CV71" i="1"/>
  <c r="U71" i="1" s="1"/>
  <c r="CX71" i="1"/>
  <c r="W71" i="1" s="1"/>
  <c r="GL71" i="1"/>
  <c r="GN71" i="1"/>
  <c r="GO71" i="1"/>
  <c r="GP71" i="1"/>
  <c r="GV71" i="1"/>
  <c r="HC71" i="1"/>
  <c r="AB72" i="1"/>
  <c r="AC72" i="1"/>
  <c r="AD72" i="1"/>
  <c r="AE72" i="1"/>
  <c r="AF72" i="1"/>
  <c r="AG72" i="1"/>
  <c r="AH72" i="1"/>
  <c r="CV72" i="1" s="1"/>
  <c r="AI72" i="1"/>
  <c r="AJ72" i="1"/>
  <c r="CX72" i="1" s="1"/>
  <c r="CR72" i="1"/>
  <c r="CS72" i="1"/>
  <c r="CT72" i="1"/>
  <c r="CU72" i="1"/>
  <c r="CW72" i="1"/>
  <c r="GL72" i="1"/>
  <c r="GN72" i="1"/>
  <c r="GO72" i="1"/>
  <c r="GP72" i="1"/>
  <c r="GV72" i="1"/>
  <c r="HC72" i="1"/>
  <c r="AC73" i="1"/>
  <c r="AD73" i="1"/>
  <c r="AB73" i="1" s="1"/>
  <c r="AE73" i="1"/>
  <c r="CS73" i="1" s="1"/>
  <c r="AF73" i="1"/>
  <c r="CT73" i="1" s="1"/>
  <c r="AG73" i="1"/>
  <c r="AH73" i="1"/>
  <c r="CV73" i="1" s="1"/>
  <c r="AI73" i="1"/>
  <c r="CW73" i="1" s="1"/>
  <c r="AJ73" i="1"/>
  <c r="CX73" i="1" s="1"/>
  <c r="CQ73" i="1"/>
  <c r="CR73" i="1"/>
  <c r="CU73" i="1"/>
  <c r="GL73" i="1"/>
  <c r="GN73" i="1"/>
  <c r="GO73" i="1"/>
  <c r="GP73" i="1"/>
  <c r="GV73" i="1"/>
  <c r="HC73" i="1" s="1"/>
  <c r="D74" i="1"/>
  <c r="I74" i="1"/>
  <c r="Q74" i="1" s="1"/>
  <c r="K74" i="1"/>
  <c r="R74" i="1"/>
  <c r="U74" i="1"/>
  <c r="AB74" i="1"/>
  <c r="AC74" i="1"/>
  <c r="AD74" i="1"/>
  <c r="AE74" i="1"/>
  <c r="AF74" i="1"/>
  <c r="S74" i="1" s="1"/>
  <c r="AG74" i="1"/>
  <c r="AH74" i="1"/>
  <c r="AI74" i="1"/>
  <c r="CW74" i="1" s="1"/>
  <c r="V74" i="1" s="1"/>
  <c r="AJ74" i="1"/>
  <c r="CX74" i="1" s="1"/>
  <c r="W74" i="1" s="1"/>
  <c r="CR74" i="1"/>
  <c r="CS74" i="1"/>
  <c r="CT74" i="1"/>
  <c r="CU74" i="1"/>
  <c r="T74" i="1" s="1"/>
  <c r="CV74" i="1"/>
  <c r="GL74" i="1"/>
  <c r="GN74" i="1"/>
  <c r="GP74" i="1"/>
  <c r="GV74" i="1"/>
  <c r="HC74" i="1" s="1"/>
  <c r="GX74" i="1"/>
  <c r="D75" i="1"/>
  <c r="I75" i="1"/>
  <c r="I77" i="1" s="1"/>
  <c r="Q77" i="1" s="1"/>
  <c r="K75" i="1"/>
  <c r="T75" i="1"/>
  <c r="U75" i="1"/>
  <c r="AC75" i="1"/>
  <c r="AE75" i="1"/>
  <c r="CR75" i="1" s="1"/>
  <c r="AF75" i="1"/>
  <c r="S75" i="1" s="1"/>
  <c r="AG75" i="1"/>
  <c r="CU75" i="1" s="1"/>
  <c r="AH75" i="1"/>
  <c r="CV75" i="1" s="1"/>
  <c r="AI75" i="1"/>
  <c r="CW75" i="1" s="1"/>
  <c r="V75" i="1" s="1"/>
  <c r="AJ75" i="1"/>
  <c r="CX75" i="1" s="1"/>
  <c r="W75" i="1" s="1"/>
  <c r="CQ75" i="1"/>
  <c r="CT75" i="1"/>
  <c r="GL75" i="1"/>
  <c r="GN75" i="1"/>
  <c r="GP75" i="1"/>
  <c r="GV75" i="1"/>
  <c r="HC75" i="1" s="1"/>
  <c r="GX75" i="1" s="1"/>
  <c r="I76" i="1"/>
  <c r="P76" i="1"/>
  <c r="FR76" i="1" s="1"/>
  <c r="Q76" i="1"/>
  <c r="R76" i="1"/>
  <c r="W76" i="1"/>
  <c r="AC76" i="1"/>
  <c r="CQ76" i="1" s="1"/>
  <c r="AE76" i="1"/>
  <c r="AF76" i="1"/>
  <c r="AG76" i="1"/>
  <c r="AH76" i="1"/>
  <c r="CV76" i="1" s="1"/>
  <c r="U76" i="1" s="1"/>
  <c r="AI76" i="1"/>
  <c r="AJ76" i="1"/>
  <c r="CU76" i="1"/>
  <c r="T76" i="1" s="1"/>
  <c r="CW76" i="1"/>
  <c r="V76" i="1" s="1"/>
  <c r="CX76" i="1"/>
  <c r="GL76" i="1"/>
  <c r="GN76" i="1"/>
  <c r="GO76" i="1"/>
  <c r="GP76" i="1"/>
  <c r="GV76" i="1"/>
  <c r="HC76" i="1" s="1"/>
  <c r="GX76" i="1" s="1"/>
  <c r="R77" i="1"/>
  <c r="W77" i="1"/>
  <c r="AC77" i="1"/>
  <c r="AD77" i="1"/>
  <c r="AE77" i="1"/>
  <c r="AF77" i="1"/>
  <c r="AG77" i="1"/>
  <c r="CU77" i="1" s="1"/>
  <c r="T77" i="1" s="1"/>
  <c r="AH77" i="1"/>
  <c r="CV77" i="1" s="1"/>
  <c r="U77" i="1" s="1"/>
  <c r="AI77" i="1"/>
  <c r="AJ77" i="1"/>
  <c r="CX77" i="1" s="1"/>
  <c r="CQ77" i="1"/>
  <c r="CR77" i="1"/>
  <c r="CS77" i="1"/>
  <c r="CW77" i="1"/>
  <c r="V77" i="1" s="1"/>
  <c r="GL77" i="1"/>
  <c r="GN77" i="1"/>
  <c r="GO77" i="1"/>
  <c r="GP77" i="1"/>
  <c r="GV77" i="1"/>
  <c r="HC77" i="1"/>
  <c r="GX77" i="1" s="1"/>
  <c r="I78" i="1"/>
  <c r="R78" i="1"/>
  <c r="V78" i="1"/>
  <c r="AC78" i="1"/>
  <c r="CQ78" i="1" s="1"/>
  <c r="AD78" i="1"/>
  <c r="AE78" i="1"/>
  <c r="CS78" i="1" s="1"/>
  <c r="AF78" i="1"/>
  <c r="CT78" i="1" s="1"/>
  <c r="AG78" i="1"/>
  <c r="CU78" i="1" s="1"/>
  <c r="T78" i="1" s="1"/>
  <c r="AH78" i="1"/>
  <c r="CV78" i="1" s="1"/>
  <c r="U78" i="1" s="1"/>
  <c r="AI78" i="1"/>
  <c r="AJ78" i="1"/>
  <c r="CX78" i="1" s="1"/>
  <c r="W78" i="1" s="1"/>
  <c r="CR78" i="1"/>
  <c r="CW78" i="1"/>
  <c r="GL78" i="1"/>
  <c r="GN78" i="1"/>
  <c r="GO78" i="1"/>
  <c r="GP78" i="1"/>
  <c r="GV78" i="1"/>
  <c r="HC78" i="1"/>
  <c r="GX78" i="1" s="1"/>
  <c r="I79" i="1"/>
  <c r="T79" i="1"/>
  <c r="AC79" i="1"/>
  <c r="AE79" i="1"/>
  <c r="AF79" i="1"/>
  <c r="S79" i="1" s="1"/>
  <c r="AG79" i="1"/>
  <c r="AH79" i="1"/>
  <c r="AI79" i="1"/>
  <c r="CW79" i="1" s="1"/>
  <c r="AJ79" i="1"/>
  <c r="CX79" i="1" s="1"/>
  <c r="CS79" i="1"/>
  <c r="CT79" i="1"/>
  <c r="CU79" i="1"/>
  <c r="CV79" i="1"/>
  <c r="U79" i="1" s="1"/>
  <c r="GL79" i="1"/>
  <c r="GN79" i="1"/>
  <c r="GO79" i="1"/>
  <c r="GP79" i="1"/>
  <c r="GV79" i="1"/>
  <c r="HC79" i="1"/>
  <c r="AC80" i="1"/>
  <c r="AE80" i="1"/>
  <c r="AF80" i="1"/>
  <c r="AG80" i="1"/>
  <c r="CU80" i="1" s="1"/>
  <c r="AH80" i="1"/>
  <c r="CV80" i="1" s="1"/>
  <c r="AI80" i="1"/>
  <c r="CW80" i="1" s="1"/>
  <c r="AJ80" i="1"/>
  <c r="CX80" i="1" s="1"/>
  <c r="CQ80" i="1"/>
  <c r="CT80" i="1"/>
  <c r="GL80" i="1"/>
  <c r="GN80" i="1"/>
  <c r="GO80" i="1"/>
  <c r="GP80" i="1"/>
  <c r="GV80" i="1"/>
  <c r="HC80" i="1"/>
  <c r="I81" i="1"/>
  <c r="P81" i="1"/>
  <c r="Q81" i="1"/>
  <c r="S81" i="1"/>
  <c r="V81" i="1"/>
  <c r="AC81" i="1"/>
  <c r="AD81" i="1"/>
  <c r="AE81" i="1"/>
  <c r="AF81" i="1"/>
  <c r="AG81" i="1"/>
  <c r="AH81" i="1"/>
  <c r="AI81" i="1"/>
  <c r="AJ81" i="1"/>
  <c r="CQ81" i="1"/>
  <c r="CT81" i="1"/>
  <c r="CU81" i="1"/>
  <c r="T81" i="1" s="1"/>
  <c r="CV81" i="1"/>
  <c r="U81" i="1" s="1"/>
  <c r="CW81" i="1"/>
  <c r="CX81" i="1"/>
  <c r="W81" i="1" s="1"/>
  <c r="GL81" i="1"/>
  <c r="GN81" i="1"/>
  <c r="GO81" i="1"/>
  <c r="GP81" i="1"/>
  <c r="GV81" i="1"/>
  <c r="HC81" i="1" s="1"/>
  <c r="GX81" i="1" s="1"/>
  <c r="I82" i="1"/>
  <c r="AC82" i="1"/>
  <c r="AE82" i="1"/>
  <c r="AF82" i="1"/>
  <c r="CT82" i="1" s="1"/>
  <c r="AG82" i="1"/>
  <c r="CU82" i="1" s="1"/>
  <c r="T82" i="1" s="1"/>
  <c r="AH82" i="1"/>
  <c r="AI82" i="1"/>
  <c r="CW82" i="1" s="1"/>
  <c r="V82" i="1" s="1"/>
  <c r="AJ82" i="1"/>
  <c r="CQ82" i="1"/>
  <c r="CS82" i="1"/>
  <c r="CV82" i="1"/>
  <c r="U82" i="1" s="1"/>
  <c r="CX82" i="1"/>
  <c r="GL82" i="1"/>
  <c r="GN82" i="1"/>
  <c r="GO82" i="1"/>
  <c r="GP82" i="1"/>
  <c r="GV82" i="1"/>
  <c r="HC82" i="1"/>
  <c r="I83" i="1"/>
  <c r="S83" i="1" s="1"/>
  <c r="AC83" i="1"/>
  <c r="P83" i="1" s="1"/>
  <c r="AE83" i="1"/>
  <c r="AF83" i="1"/>
  <c r="CT83" i="1" s="1"/>
  <c r="AG83" i="1"/>
  <c r="CU83" i="1" s="1"/>
  <c r="AH83" i="1"/>
  <c r="AI83" i="1"/>
  <c r="AJ83" i="1"/>
  <c r="CQ83" i="1"/>
  <c r="CV83" i="1"/>
  <c r="U83" i="1" s="1"/>
  <c r="CW83" i="1"/>
  <c r="V83" i="1" s="1"/>
  <c r="CX83" i="1"/>
  <c r="W83" i="1" s="1"/>
  <c r="GL83" i="1"/>
  <c r="GN83" i="1"/>
  <c r="GO83" i="1"/>
  <c r="GP83" i="1"/>
  <c r="GV83" i="1"/>
  <c r="HC83" i="1"/>
  <c r="GX83" i="1" s="1"/>
  <c r="I84" i="1"/>
  <c r="Q84" i="1" s="1"/>
  <c r="AC84" i="1"/>
  <c r="AD84" i="1"/>
  <c r="AE84" i="1"/>
  <c r="AF84" i="1"/>
  <c r="AG84" i="1"/>
  <c r="CU84" i="1" s="1"/>
  <c r="T84" i="1" s="1"/>
  <c r="AH84" i="1"/>
  <c r="CV84" i="1" s="1"/>
  <c r="AI84" i="1"/>
  <c r="CW84" i="1" s="1"/>
  <c r="V84" i="1" s="1"/>
  <c r="AJ84" i="1"/>
  <c r="CR84" i="1"/>
  <c r="CS84" i="1"/>
  <c r="CT84" i="1"/>
  <c r="CX84" i="1"/>
  <c r="GL84" i="1"/>
  <c r="GN84" i="1"/>
  <c r="GO84" i="1"/>
  <c r="GP84" i="1"/>
  <c r="GV84" i="1"/>
  <c r="HC84" i="1" s="1"/>
  <c r="I85" i="1"/>
  <c r="GX85" i="1" s="1"/>
  <c r="P85" i="1"/>
  <c r="FR85" i="1" s="1"/>
  <c r="S85" i="1"/>
  <c r="T85" i="1"/>
  <c r="AC85" i="1"/>
  <c r="CQ85" i="1" s="1"/>
  <c r="AD85" i="1"/>
  <c r="AB85" i="1" s="1"/>
  <c r="AE85" i="1"/>
  <c r="AF85" i="1"/>
  <c r="AG85" i="1"/>
  <c r="AH85" i="1"/>
  <c r="CV85" i="1" s="1"/>
  <c r="U85" i="1" s="1"/>
  <c r="AI85" i="1"/>
  <c r="CW85" i="1" s="1"/>
  <c r="V85" i="1" s="1"/>
  <c r="AJ85" i="1"/>
  <c r="CT85" i="1"/>
  <c r="CU85" i="1"/>
  <c r="CX85" i="1"/>
  <c r="W85" i="1" s="1"/>
  <c r="GL85" i="1"/>
  <c r="GN85" i="1"/>
  <c r="GO85" i="1"/>
  <c r="GP85" i="1"/>
  <c r="GV85" i="1"/>
  <c r="HC85" i="1" s="1"/>
  <c r="I86" i="1"/>
  <c r="U86" i="1" s="1"/>
  <c r="W86" i="1"/>
  <c r="AC86" i="1"/>
  <c r="CQ86" i="1" s="1"/>
  <c r="AE86" i="1"/>
  <c r="CR86" i="1" s="1"/>
  <c r="AF86" i="1"/>
  <c r="S86" i="1" s="1"/>
  <c r="AG86" i="1"/>
  <c r="AH86" i="1"/>
  <c r="AI86" i="1"/>
  <c r="CW86" i="1" s="1"/>
  <c r="V86" i="1" s="1"/>
  <c r="AJ86" i="1"/>
  <c r="CX86" i="1" s="1"/>
  <c r="CS86" i="1"/>
  <c r="CU86" i="1"/>
  <c r="T86" i="1" s="1"/>
  <c r="CV86" i="1"/>
  <c r="GL86" i="1"/>
  <c r="GN86" i="1"/>
  <c r="GO86" i="1"/>
  <c r="GP86" i="1"/>
  <c r="GV86" i="1"/>
  <c r="HC86" i="1"/>
  <c r="GX86" i="1" s="1"/>
  <c r="I87" i="1"/>
  <c r="P87" i="1"/>
  <c r="U87" i="1"/>
  <c r="V87" i="1"/>
  <c r="AC87" i="1"/>
  <c r="AE87" i="1"/>
  <c r="AF87" i="1"/>
  <c r="CT87" i="1" s="1"/>
  <c r="AG87" i="1"/>
  <c r="AH87" i="1"/>
  <c r="AI87" i="1"/>
  <c r="CW87" i="1" s="1"/>
  <c r="AJ87" i="1"/>
  <c r="CX87" i="1" s="1"/>
  <c r="W87" i="1" s="1"/>
  <c r="CQ87" i="1"/>
  <c r="CU87" i="1"/>
  <c r="T87" i="1" s="1"/>
  <c r="CV87" i="1"/>
  <c r="FR87" i="1"/>
  <c r="GL87" i="1"/>
  <c r="GN87" i="1"/>
  <c r="GO87" i="1"/>
  <c r="GP87" i="1"/>
  <c r="GV87" i="1"/>
  <c r="HC87" i="1"/>
  <c r="GX87" i="1" s="1"/>
  <c r="D88" i="1"/>
  <c r="I88" i="1"/>
  <c r="I94" i="1" s="1"/>
  <c r="R94" i="1" s="1"/>
  <c r="K88" i="1"/>
  <c r="Q88" i="1"/>
  <c r="U88" i="1"/>
  <c r="V88" i="1"/>
  <c r="AC88" i="1"/>
  <c r="CQ88" i="1" s="1"/>
  <c r="AD88" i="1"/>
  <c r="AB88" i="1" s="1"/>
  <c r="AE88" i="1"/>
  <c r="AF88" i="1"/>
  <c r="S88" i="1" s="1"/>
  <c r="AG88" i="1"/>
  <c r="AH88" i="1"/>
  <c r="AI88" i="1"/>
  <c r="AJ88" i="1"/>
  <c r="CX88" i="1" s="1"/>
  <c r="W88" i="1" s="1"/>
  <c r="CT88" i="1"/>
  <c r="CU88" i="1"/>
  <c r="T88" i="1" s="1"/>
  <c r="CV88" i="1"/>
  <c r="CW88" i="1"/>
  <c r="GL88" i="1"/>
  <c r="GN88" i="1"/>
  <c r="GP88" i="1"/>
  <c r="GV88" i="1"/>
  <c r="HC88" i="1" s="1"/>
  <c r="GX88" i="1" s="1"/>
  <c r="D89" i="1"/>
  <c r="I89" i="1"/>
  <c r="K89" i="1"/>
  <c r="R89" i="1"/>
  <c r="T89" i="1"/>
  <c r="V89" i="1"/>
  <c r="AC89" i="1"/>
  <c r="AE89" i="1"/>
  <c r="AF89" i="1"/>
  <c r="AG89" i="1"/>
  <c r="AH89" i="1"/>
  <c r="AI89" i="1"/>
  <c r="CW89" i="1" s="1"/>
  <c r="AJ89" i="1"/>
  <c r="CX89" i="1" s="1"/>
  <c r="W89" i="1" s="1"/>
  <c r="CQ89" i="1"/>
  <c r="CU89" i="1"/>
  <c r="CV89" i="1"/>
  <c r="U89" i="1" s="1"/>
  <c r="GL89" i="1"/>
  <c r="GN89" i="1"/>
  <c r="GP89" i="1"/>
  <c r="GV89" i="1"/>
  <c r="HC89" i="1" s="1"/>
  <c r="GX89" i="1"/>
  <c r="I90" i="1"/>
  <c r="P90" i="1"/>
  <c r="Q90" i="1"/>
  <c r="R90" i="1"/>
  <c r="S90" i="1"/>
  <c r="CZ90" i="1" s="1"/>
  <c r="Y90" i="1"/>
  <c r="AC90" i="1"/>
  <c r="AE90" i="1"/>
  <c r="AD90" i="1" s="1"/>
  <c r="AB90" i="1" s="1"/>
  <c r="AF90" i="1"/>
  <c r="AG90" i="1"/>
  <c r="CU90" i="1" s="1"/>
  <c r="T90" i="1" s="1"/>
  <c r="AH90" i="1"/>
  <c r="CV90" i="1" s="1"/>
  <c r="U90" i="1" s="1"/>
  <c r="AI90" i="1"/>
  <c r="AJ90" i="1"/>
  <c r="CQ90" i="1"/>
  <c r="CR90" i="1"/>
  <c r="CS90" i="1"/>
  <c r="CT90" i="1"/>
  <c r="CW90" i="1"/>
  <c r="V90" i="1" s="1"/>
  <c r="CX90" i="1"/>
  <c r="W90" i="1" s="1"/>
  <c r="CY90" i="1"/>
  <c r="X90" i="1" s="1"/>
  <c r="GL90" i="1"/>
  <c r="GN90" i="1"/>
  <c r="GO90" i="1"/>
  <c r="GP90" i="1"/>
  <c r="GV90" i="1"/>
  <c r="HC90" i="1" s="1"/>
  <c r="GX90" i="1" s="1"/>
  <c r="I91" i="1"/>
  <c r="Q91" i="1" s="1"/>
  <c r="R91" i="1"/>
  <c r="S91" i="1"/>
  <c r="CZ91" i="1" s="1"/>
  <c r="T91" i="1"/>
  <c r="W91" i="1"/>
  <c r="Y91" i="1"/>
  <c r="AC91" i="1"/>
  <c r="AE91" i="1"/>
  <c r="AD91" i="1" s="1"/>
  <c r="AF91" i="1"/>
  <c r="AB91" i="1" s="1"/>
  <c r="AG91" i="1"/>
  <c r="CU91" i="1" s="1"/>
  <c r="AH91" i="1"/>
  <c r="CV91" i="1" s="1"/>
  <c r="U91" i="1" s="1"/>
  <c r="AI91" i="1"/>
  <c r="CW91" i="1" s="1"/>
  <c r="V91" i="1" s="1"/>
  <c r="AJ91" i="1"/>
  <c r="CQ91" i="1"/>
  <c r="CR91" i="1"/>
  <c r="CS91" i="1"/>
  <c r="CT91" i="1"/>
  <c r="CX91" i="1"/>
  <c r="CY91" i="1"/>
  <c r="X91" i="1" s="1"/>
  <c r="GL91" i="1"/>
  <c r="GN91" i="1"/>
  <c r="GO91" i="1"/>
  <c r="GP91" i="1"/>
  <c r="GV91" i="1"/>
  <c r="HC91" i="1"/>
  <c r="GX91" i="1" s="1"/>
  <c r="I92" i="1"/>
  <c r="Q92" i="1"/>
  <c r="R92" i="1"/>
  <c r="S92" i="1"/>
  <c r="CZ92" i="1" s="1"/>
  <c r="Y92" i="1" s="1"/>
  <c r="V92" i="1"/>
  <c r="AC92" i="1"/>
  <c r="CQ92" i="1" s="1"/>
  <c r="AE92" i="1"/>
  <c r="AD92" i="1" s="1"/>
  <c r="AF92" i="1"/>
  <c r="AG92" i="1"/>
  <c r="AH92" i="1"/>
  <c r="CV92" i="1" s="1"/>
  <c r="U92" i="1" s="1"/>
  <c r="AI92" i="1"/>
  <c r="CW92" i="1" s="1"/>
  <c r="AJ92" i="1"/>
  <c r="CS92" i="1"/>
  <c r="CT92" i="1"/>
  <c r="CU92" i="1"/>
  <c r="T92" i="1" s="1"/>
  <c r="CX92" i="1"/>
  <c r="W92" i="1" s="1"/>
  <c r="GL92" i="1"/>
  <c r="GN92" i="1"/>
  <c r="GO92" i="1"/>
  <c r="GP92" i="1"/>
  <c r="GV92" i="1"/>
  <c r="HC92" i="1"/>
  <c r="GX92" i="1" s="1"/>
  <c r="I93" i="1"/>
  <c r="Q93" i="1"/>
  <c r="T93" i="1"/>
  <c r="U93" i="1"/>
  <c r="W93" i="1"/>
  <c r="Y93" i="1"/>
  <c r="AC93" i="1"/>
  <c r="P93" i="1" s="1"/>
  <c r="AE93" i="1"/>
  <c r="R93" i="1" s="1"/>
  <c r="AF93" i="1"/>
  <c r="S93" i="1" s="1"/>
  <c r="CZ93" i="1" s="1"/>
  <c r="AG93" i="1"/>
  <c r="AH93" i="1"/>
  <c r="CV93" i="1" s="1"/>
  <c r="AI93" i="1"/>
  <c r="CW93" i="1" s="1"/>
  <c r="V93" i="1" s="1"/>
  <c r="AJ93" i="1"/>
  <c r="CX93" i="1" s="1"/>
  <c r="CQ93" i="1"/>
  <c r="CR93" i="1"/>
  <c r="CS93" i="1"/>
  <c r="CT93" i="1"/>
  <c r="CU93" i="1"/>
  <c r="GL93" i="1"/>
  <c r="GN93" i="1"/>
  <c r="GO93" i="1"/>
  <c r="GP93" i="1"/>
  <c r="GV93" i="1"/>
  <c r="HC93" i="1" s="1"/>
  <c r="GX93" i="1"/>
  <c r="S94" i="1"/>
  <c r="CY94" i="1" s="1"/>
  <c r="X94" i="1" s="1"/>
  <c r="AC94" i="1"/>
  <c r="AD94" i="1"/>
  <c r="AE94" i="1"/>
  <c r="AF94" i="1"/>
  <c r="AG94" i="1"/>
  <c r="AH94" i="1"/>
  <c r="AI94" i="1"/>
  <c r="CW94" i="1" s="1"/>
  <c r="V94" i="1" s="1"/>
  <c r="AJ94" i="1"/>
  <c r="CX94" i="1" s="1"/>
  <c r="W94" i="1" s="1"/>
  <c r="CT94" i="1"/>
  <c r="CU94" i="1"/>
  <c r="T94" i="1" s="1"/>
  <c r="CV94" i="1"/>
  <c r="GL94" i="1"/>
  <c r="GN94" i="1"/>
  <c r="GO94" i="1"/>
  <c r="GP94" i="1"/>
  <c r="GV94" i="1"/>
  <c r="HC94" i="1" s="1"/>
  <c r="GX94" i="1" s="1"/>
  <c r="I95" i="1"/>
  <c r="Q95" i="1"/>
  <c r="R95" i="1"/>
  <c r="S95" i="1"/>
  <c r="CZ95" i="1" s="1"/>
  <c r="Y95" i="1" s="1"/>
  <c r="AC95" i="1"/>
  <c r="CQ95" i="1" s="1"/>
  <c r="AE95" i="1"/>
  <c r="AD95" i="1" s="1"/>
  <c r="AF95" i="1"/>
  <c r="CT95" i="1" s="1"/>
  <c r="AG95" i="1"/>
  <c r="CU95" i="1" s="1"/>
  <c r="T95" i="1" s="1"/>
  <c r="AH95" i="1"/>
  <c r="CV95" i="1" s="1"/>
  <c r="U95" i="1" s="1"/>
  <c r="AI95" i="1"/>
  <c r="AJ95" i="1"/>
  <c r="CR95" i="1"/>
  <c r="CS95" i="1"/>
  <c r="CW95" i="1"/>
  <c r="V95" i="1" s="1"/>
  <c r="CX95" i="1"/>
  <c r="W95" i="1" s="1"/>
  <c r="CY95" i="1"/>
  <c r="X95" i="1" s="1"/>
  <c r="GL95" i="1"/>
  <c r="GN95" i="1"/>
  <c r="GO95" i="1"/>
  <c r="GP95" i="1"/>
  <c r="GV95" i="1"/>
  <c r="HC95" i="1"/>
  <c r="GX95" i="1" s="1"/>
  <c r="I96" i="1"/>
  <c r="Q96" i="1" s="1"/>
  <c r="P96" i="1"/>
  <c r="S96" i="1"/>
  <c r="U96" i="1"/>
  <c r="V96" i="1"/>
  <c r="AC96" i="1"/>
  <c r="CQ96" i="1" s="1"/>
  <c r="AD96" i="1"/>
  <c r="AB96" i="1" s="1"/>
  <c r="AE96" i="1"/>
  <c r="AF96" i="1"/>
  <c r="AG96" i="1"/>
  <c r="AH96" i="1"/>
  <c r="CV96" i="1" s="1"/>
  <c r="AI96" i="1"/>
  <c r="CW96" i="1" s="1"/>
  <c r="AJ96" i="1"/>
  <c r="CX96" i="1" s="1"/>
  <c r="W96" i="1" s="1"/>
  <c r="CR96" i="1"/>
  <c r="CS96" i="1"/>
  <c r="CT96" i="1"/>
  <c r="CU96" i="1"/>
  <c r="T96" i="1" s="1"/>
  <c r="GL96" i="1"/>
  <c r="GN96" i="1"/>
  <c r="GO96" i="1"/>
  <c r="GP96" i="1"/>
  <c r="GV96" i="1"/>
  <c r="HC96" i="1" s="1"/>
  <c r="GX96" i="1" s="1"/>
  <c r="I97" i="1"/>
  <c r="S97" i="1" s="1"/>
  <c r="AC97" i="1"/>
  <c r="CQ97" i="1" s="1"/>
  <c r="AE97" i="1"/>
  <c r="AF97" i="1"/>
  <c r="AG97" i="1"/>
  <c r="AH97" i="1"/>
  <c r="AI97" i="1"/>
  <c r="CW97" i="1" s="1"/>
  <c r="AJ97" i="1"/>
  <c r="CX97" i="1" s="1"/>
  <c r="W97" i="1" s="1"/>
  <c r="CT97" i="1"/>
  <c r="CU97" i="1"/>
  <c r="CV97" i="1"/>
  <c r="U97" i="1" s="1"/>
  <c r="GL97" i="1"/>
  <c r="GN97" i="1"/>
  <c r="GO97" i="1"/>
  <c r="GP97" i="1"/>
  <c r="GV97" i="1"/>
  <c r="HC97" i="1" s="1"/>
  <c r="GX97" i="1" s="1"/>
  <c r="D98" i="1"/>
  <c r="P98" i="1"/>
  <c r="Q98" i="1"/>
  <c r="R98" i="1"/>
  <c r="U98" i="1"/>
  <c r="AC98" i="1"/>
  <c r="AB98" i="1" s="1"/>
  <c r="AD98" i="1"/>
  <c r="AE98" i="1"/>
  <c r="AF98" i="1"/>
  <c r="S98" i="1" s="1"/>
  <c r="AG98" i="1"/>
  <c r="AH98" i="1"/>
  <c r="AI98" i="1"/>
  <c r="AJ98" i="1"/>
  <c r="CX98" i="1" s="1"/>
  <c r="W98" i="1" s="1"/>
  <c r="CP98" i="1"/>
  <c r="O98" i="1" s="1"/>
  <c r="CT98" i="1"/>
  <c r="CU98" i="1"/>
  <c r="T98" i="1" s="1"/>
  <c r="CV98" i="1"/>
  <c r="CW98" i="1"/>
  <c r="V98" i="1" s="1"/>
  <c r="GL98" i="1"/>
  <c r="GN98" i="1"/>
  <c r="GP98" i="1"/>
  <c r="GV98" i="1"/>
  <c r="HC98" i="1" s="1"/>
  <c r="GX98" i="1" s="1"/>
  <c r="D99" i="1"/>
  <c r="P99" i="1"/>
  <c r="Q99" i="1"/>
  <c r="R99" i="1"/>
  <c r="T99" i="1"/>
  <c r="W99" i="1"/>
  <c r="AB99" i="1"/>
  <c r="AC99" i="1"/>
  <c r="AE99" i="1"/>
  <c r="AD99" i="1" s="1"/>
  <c r="AF99" i="1"/>
  <c r="CT99" i="1" s="1"/>
  <c r="AG99" i="1"/>
  <c r="CU99" i="1" s="1"/>
  <c r="AH99" i="1"/>
  <c r="CV99" i="1" s="1"/>
  <c r="U99" i="1" s="1"/>
  <c r="AI99" i="1"/>
  <c r="AJ99" i="1"/>
  <c r="CQ99" i="1"/>
  <c r="CR99" i="1"/>
  <c r="CS99" i="1"/>
  <c r="CW99" i="1"/>
  <c r="V99" i="1" s="1"/>
  <c r="CX99" i="1"/>
  <c r="GL99" i="1"/>
  <c r="GN99" i="1"/>
  <c r="GP99" i="1"/>
  <c r="GV99" i="1"/>
  <c r="HC99" i="1"/>
  <c r="GX99" i="1" s="1"/>
  <c r="I100" i="1"/>
  <c r="S100" i="1" s="1"/>
  <c r="P100" i="1"/>
  <c r="V100" i="1"/>
  <c r="AC100" i="1"/>
  <c r="CQ100" i="1" s="1"/>
  <c r="AD100" i="1"/>
  <c r="AE100" i="1"/>
  <c r="AF100" i="1"/>
  <c r="AG100" i="1"/>
  <c r="CU100" i="1" s="1"/>
  <c r="T100" i="1" s="1"/>
  <c r="AH100" i="1"/>
  <c r="CV100" i="1" s="1"/>
  <c r="U100" i="1" s="1"/>
  <c r="AI100" i="1"/>
  <c r="CW100" i="1" s="1"/>
  <c r="AJ100" i="1"/>
  <c r="CX100" i="1" s="1"/>
  <c r="W100" i="1" s="1"/>
  <c r="CR100" i="1"/>
  <c r="CS100" i="1"/>
  <c r="CT100" i="1"/>
  <c r="GL100" i="1"/>
  <c r="GN100" i="1"/>
  <c r="GO100" i="1"/>
  <c r="GP100" i="1"/>
  <c r="GV100" i="1"/>
  <c r="HC100" i="1" s="1"/>
  <c r="I101" i="1"/>
  <c r="S101" i="1" s="1"/>
  <c r="U101" i="1"/>
  <c r="AB101" i="1"/>
  <c r="AC101" i="1"/>
  <c r="CQ101" i="1" s="1"/>
  <c r="AD101" i="1"/>
  <c r="AE101" i="1"/>
  <c r="AF101" i="1"/>
  <c r="AG101" i="1"/>
  <c r="AH101" i="1"/>
  <c r="AI101" i="1"/>
  <c r="CW101" i="1" s="1"/>
  <c r="V101" i="1" s="1"/>
  <c r="AJ101" i="1"/>
  <c r="CX101" i="1" s="1"/>
  <c r="CS101" i="1"/>
  <c r="CT101" i="1"/>
  <c r="CU101" i="1"/>
  <c r="T101" i="1" s="1"/>
  <c r="CV101" i="1"/>
  <c r="GL101" i="1"/>
  <c r="GN101" i="1"/>
  <c r="GO101" i="1"/>
  <c r="GP101" i="1"/>
  <c r="GV101" i="1"/>
  <c r="HC101" i="1" s="1"/>
  <c r="GX101" i="1" s="1"/>
  <c r="D102" i="1"/>
  <c r="Q102" i="1"/>
  <c r="U102" i="1"/>
  <c r="W102" i="1"/>
  <c r="AC102" i="1"/>
  <c r="P102" i="1" s="1"/>
  <c r="CP102" i="1" s="1"/>
  <c r="O102" i="1" s="1"/>
  <c r="AD102" i="1"/>
  <c r="AE102" i="1"/>
  <c r="AF102" i="1"/>
  <c r="S102" i="1" s="1"/>
  <c r="AG102" i="1"/>
  <c r="AH102" i="1"/>
  <c r="AI102" i="1"/>
  <c r="AJ102" i="1"/>
  <c r="CX102" i="1" s="1"/>
  <c r="CQ102" i="1"/>
  <c r="CU102" i="1"/>
  <c r="T102" i="1" s="1"/>
  <c r="CV102" i="1"/>
  <c r="CW102" i="1"/>
  <c r="V102" i="1" s="1"/>
  <c r="GL102" i="1"/>
  <c r="GN102" i="1"/>
  <c r="GP102" i="1"/>
  <c r="GV102" i="1"/>
  <c r="GX102" i="1"/>
  <c r="HC102" i="1"/>
  <c r="D103" i="1"/>
  <c r="P103" i="1"/>
  <c r="R103" i="1"/>
  <c r="S103" i="1"/>
  <c r="T103" i="1"/>
  <c r="W103" i="1"/>
  <c r="AC103" i="1"/>
  <c r="AE103" i="1"/>
  <c r="AD103" i="1" s="1"/>
  <c r="AB103" i="1" s="1"/>
  <c r="AF103" i="1"/>
  <c r="CT103" i="1" s="1"/>
  <c r="AG103" i="1"/>
  <c r="CU103" i="1" s="1"/>
  <c r="AH103" i="1"/>
  <c r="CV103" i="1" s="1"/>
  <c r="U103" i="1" s="1"/>
  <c r="AI103" i="1"/>
  <c r="AJ103" i="1"/>
  <c r="CQ103" i="1"/>
  <c r="CW103" i="1"/>
  <c r="V103" i="1" s="1"/>
  <c r="CX103" i="1"/>
  <c r="GL103" i="1"/>
  <c r="GN103" i="1"/>
  <c r="GP103" i="1"/>
  <c r="GV103" i="1"/>
  <c r="HC103" i="1"/>
  <c r="GX103" i="1" s="1"/>
  <c r="I104" i="1"/>
  <c r="S104" i="1"/>
  <c r="AC104" i="1"/>
  <c r="CQ104" i="1" s="1"/>
  <c r="AD104" i="1"/>
  <c r="AE104" i="1"/>
  <c r="AF104" i="1"/>
  <c r="AG104" i="1"/>
  <c r="AH104" i="1"/>
  <c r="CV104" i="1" s="1"/>
  <c r="U104" i="1" s="1"/>
  <c r="AI104" i="1"/>
  <c r="CW104" i="1" s="1"/>
  <c r="V104" i="1" s="1"/>
  <c r="AJ104" i="1"/>
  <c r="CR104" i="1"/>
  <c r="CS104" i="1"/>
  <c r="CT104" i="1"/>
  <c r="CU104" i="1"/>
  <c r="T104" i="1" s="1"/>
  <c r="CX104" i="1"/>
  <c r="W104" i="1" s="1"/>
  <c r="GL104" i="1"/>
  <c r="GN104" i="1"/>
  <c r="GO104" i="1"/>
  <c r="GP104" i="1"/>
  <c r="GV104" i="1"/>
  <c r="HC104" i="1" s="1"/>
  <c r="I105" i="1"/>
  <c r="S105" i="1" s="1"/>
  <c r="Q105" i="1"/>
  <c r="T105" i="1"/>
  <c r="AC105" i="1"/>
  <c r="CQ105" i="1" s="1"/>
  <c r="AE105" i="1"/>
  <c r="AF105" i="1"/>
  <c r="AG105" i="1"/>
  <c r="AH105" i="1"/>
  <c r="AI105" i="1"/>
  <c r="CW105" i="1" s="1"/>
  <c r="V105" i="1" s="1"/>
  <c r="AJ105" i="1"/>
  <c r="CX105" i="1" s="1"/>
  <c r="W105" i="1" s="1"/>
  <c r="CS105" i="1"/>
  <c r="CT105" i="1"/>
  <c r="CU105" i="1"/>
  <c r="CV105" i="1"/>
  <c r="U105" i="1" s="1"/>
  <c r="GL105" i="1"/>
  <c r="GN105" i="1"/>
  <c r="GO105" i="1"/>
  <c r="GP105" i="1"/>
  <c r="GV105" i="1"/>
  <c r="HC105" i="1" s="1"/>
  <c r="D106" i="1"/>
  <c r="I106" i="1"/>
  <c r="S106" i="1" s="1"/>
  <c r="K106" i="1"/>
  <c r="T106" i="1"/>
  <c r="AC106" i="1"/>
  <c r="CQ106" i="1" s="1"/>
  <c r="AD106" i="1"/>
  <c r="AE106" i="1"/>
  <c r="AF106" i="1"/>
  <c r="AG106" i="1"/>
  <c r="AH106" i="1"/>
  <c r="CV106" i="1" s="1"/>
  <c r="U106" i="1" s="1"/>
  <c r="AI106" i="1"/>
  <c r="CW106" i="1" s="1"/>
  <c r="V106" i="1" s="1"/>
  <c r="AJ106" i="1"/>
  <c r="CX106" i="1" s="1"/>
  <c r="W106" i="1" s="1"/>
  <c r="CR106" i="1"/>
  <c r="CS106" i="1"/>
  <c r="CT106" i="1"/>
  <c r="CU106" i="1"/>
  <c r="GL106" i="1"/>
  <c r="GN106" i="1"/>
  <c r="GP106" i="1"/>
  <c r="CD113" i="1" s="1"/>
  <c r="GV106" i="1"/>
  <c r="HC106" i="1" s="1"/>
  <c r="GX106" i="1"/>
  <c r="D107" i="1"/>
  <c r="I107" i="1"/>
  <c r="K107" i="1"/>
  <c r="P107" i="1"/>
  <c r="R107" i="1"/>
  <c r="U107" i="1"/>
  <c r="V107" i="1"/>
  <c r="AB107" i="1"/>
  <c r="AC107" i="1"/>
  <c r="AD107" i="1"/>
  <c r="AE107" i="1"/>
  <c r="AF107" i="1"/>
  <c r="S107" i="1" s="1"/>
  <c r="AG107" i="1"/>
  <c r="CU107" i="1" s="1"/>
  <c r="T107" i="1" s="1"/>
  <c r="AH107" i="1"/>
  <c r="CV107" i="1" s="1"/>
  <c r="AI107" i="1"/>
  <c r="AJ107" i="1"/>
  <c r="CX107" i="1" s="1"/>
  <c r="W107" i="1" s="1"/>
  <c r="CQ107" i="1"/>
  <c r="CR107" i="1"/>
  <c r="CS107" i="1"/>
  <c r="CT107" i="1"/>
  <c r="CW107" i="1"/>
  <c r="GL107" i="1"/>
  <c r="GN107" i="1"/>
  <c r="GP107" i="1"/>
  <c r="GV107" i="1"/>
  <c r="HC107" i="1" s="1"/>
  <c r="GX107" i="1"/>
  <c r="I108" i="1"/>
  <c r="Q108" i="1" s="1"/>
  <c r="AC108" i="1"/>
  <c r="CQ108" i="1" s="1"/>
  <c r="AD108" i="1"/>
  <c r="AE108" i="1"/>
  <c r="CR108" i="1" s="1"/>
  <c r="AF108" i="1"/>
  <c r="AG108" i="1"/>
  <c r="AH108" i="1"/>
  <c r="AI108" i="1"/>
  <c r="CW108" i="1" s="1"/>
  <c r="V108" i="1" s="1"/>
  <c r="AJ108" i="1"/>
  <c r="CX108" i="1" s="1"/>
  <c r="CS108" i="1"/>
  <c r="CU108" i="1"/>
  <c r="T108" i="1" s="1"/>
  <c r="CV108" i="1"/>
  <c r="U108" i="1" s="1"/>
  <c r="GL108" i="1"/>
  <c r="GN108" i="1"/>
  <c r="GO108" i="1"/>
  <c r="GP108" i="1"/>
  <c r="GV108" i="1"/>
  <c r="HC108" i="1"/>
  <c r="GX108" i="1" s="1"/>
  <c r="AC109" i="1"/>
  <c r="AD109" i="1"/>
  <c r="AE109" i="1"/>
  <c r="CS109" i="1" s="1"/>
  <c r="AF109" i="1"/>
  <c r="CT109" i="1" s="1"/>
  <c r="AG109" i="1"/>
  <c r="AH109" i="1"/>
  <c r="AI109" i="1"/>
  <c r="CW109" i="1" s="1"/>
  <c r="AJ109" i="1"/>
  <c r="CR109" i="1"/>
  <c r="CU109" i="1"/>
  <c r="CV109" i="1"/>
  <c r="CX109" i="1"/>
  <c r="GL109" i="1"/>
  <c r="GN109" i="1"/>
  <c r="GO109" i="1"/>
  <c r="GP109" i="1"/>
  <c r="GV109" i="1"/>
  <c r="HC109" i="1"/>
  <c r="AC110" i="1"/>
  <c r="AE110" i="1"/>
  <c r="CR110" i="1" s="1"/>
  <c r="AF110" i="1"/>
  <c r="CT110" i="1" s="1"/>
  <c r="AG110" i="1"/>
  <c r="AH110" i="1"/>
  <c r="CV110" i="1" s="1"/>
  <c r="AI110" i="1"/>
  <c r="AJ110" i="1"/>
  <c r="CX110" i="1" s="1"/>
  <c r="CQ110" i="1"/>
  <c r="CS110" i="1"/>
  <c r="CU110" i="1"/>
  <c r="CW110" i="1"/>
  <c r="GL110" i="1"/>
  <c r="GN110" i="1"/>
  <c r="GO110" i="1"/>
  <c r="GP110" i="1"/>
  <c r="GV110" i="1"/>
  <c r="HC110" i="1" s="1"/>
  <c r="I111" i="1"/>
  <c r="S111" i="1" s="1"/>
  <c r="Q111" i="1"/>
  <c r="R111" i="1"/>
  <c r="W111" i="1"/>
  <c r="AB111" i="1"/>
  <c r="AC111" i="1"/>
  <c r="AE111" i="1"/>
  <c r="AD111" i="1" s="1"/>
  <c r="AF111" i="1"/>
  <c r="AG111" i="1"/>
  <c r="CU111" i="1" s="1"/>
  <c r="T111" i="1" s="1"/>
  <c r="AH111" i="1"/>
  <c r="CV111" i="1" s="1"/>
  <c r="U111" i="1" s="1"/>
  <c r="AI111" i="1"/>
  <c r="AJ111" i="1"/>
  <c r="CQ111" i="1"/>
  <c r="CS111" i="1"/>
  <c r="CT111" i="1"/>
  <c r="CW111" i="1"/>
  <c r="V111" i="1" s="1"/>
  <c r="CX111" i="1"/>
  <c r="GL111" i="1"/>
  <c r="GN111" i="1"/>
  <c r="GO111" i="1"/>
  <c r="GP111" i="1"/>
  <c r="GV111" i="1"/>
  <c r="GX111" i="1"/>
  <c r="HC111" i="1"/>
  <c r="B113" i="1"/>
  <c r="B26" i="1" s="1"/>
  <c r="C113" i="1"/>
  <c r="C26" i="1" s="1"/>
  <c r="D113" i="1"/>
  <c r="D26" i="1" s="1"/>
  <c r="F113" i="1"/>
  <c r="F26" i="1" s="1"/>
  <c r="G113" i="1"/>
  <c r="G26" i="1" s="1"/>
  <c r="BX113" i="1"/>
  <c r="BX26" i="1" s="1"/>
  <c r="BZ113" i="1"/>
  <c r="BZ26" i="1" s="1"/>
  <c r="CB113" i="1"/>
  <c r="CK113" i="1"/>
  <c r="CL113" i="1"/>
  <c r="CL26" i="1" s="1"/>
  <c r="CM113" i="1"/>
  <c r="CM26" i="1" s="1"/>
  <c r="EG113" i="1"/>
  <c r="EG26" i="1" s="1"/>
  <c r="EI113" i="1"/>
  <c r="ET113" i="1"/>
  <c r="ET26" i="1" s="1"/>
  <c r="EU113" i="1"/>
  <c r="FP113" i="1"/>
  <c r="FP26" i="1" s="1"/>
  <c r="FR113" i="1"/>
  <c r="FR26" i="1" s="1"/>
  <c r="FT113" i="1"/>
  <c r="FT26" i="1" s="1"/>
  <c r="FV113" i="1"/>
  <c r="FV26" i="1" s="1"/>
  <c r="GC113" i="1"/>
  <c r="GC26" i="1" s="1"/>
  <c r="GD113" i="1"/>
  <c r="GD26" i="1" s="1"/>
  <c r="GE113" i="1"/>
  <c r="GE26" i="1" s="1"/>
  <c r="D143" i="1"/>
  <c r="E145" i="1"/>
  <c r="Z145" i="1"/>
  <c r="AA145" i="1"/>
  <c r="AM145" i="1"/>
  <c r="AN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R145" i="1"/>
  <c r="DS145" i="1"/>
  <c r="EE145" i="1"/>
  <c r="EF145" i="1"/>
  <c r="EW145" i="1"/>
  <c r="EX145" i="1"/>
  <c r="EY145" i="1"/>
  <c r="EZ145" i="1"/>
  <c r="FA145" i="1"/>
  <c r="FB145" i="1"/>
  <c r="FC145" i="1"/>
  <c r="FD145" i="1"/>
  <c r="FE145" i="1"/>
  <c r="FF145" i="1"/>
  <c r="FG145" i="1"/>
  <c r="FH145" i="1"/>
  <c r="FI145" i="1"/>
  <c r="FJ145" i="1"/>
  <c r="FK145" i="1"/>
  <c r="FL145" i="1"/>
  <c r="FM145" i="1"/>
  <c r="FN145" i="1"/>
  <c r="FO145" i="1"/>
  <c r="GF145" i="1"/>
  <c r="GG145" i="1"/>
  <c r="GH145" i="1"/>
  <c r="GI145" i="1"/>
  <c r="GJ145" i="1"/>
  <c r="GK145" i="1"/>
  <c r="GL145" i="1"/>
  <c r="GM145" i="1"/>
  <c r="GN145" i="1"/>
  <c r="GO145" i="1"/>
  <c r="GP145" i="1"/>
  <c r="GQ145" i="1"/>
  <c r="GR145" i="1"/>
  <c r="GS145" i="1"/>
  <c r="GT145" i="1"/>
  <c r="GU145" i="1"/>
  <c r="GV145" i="1"/>
  <c r="GW145" i="1"/>
  <c r="GX145" i="1"/>
  <c r="D147" i="1"/>
  <c r="I147" i="1"/>
  <c r="Q147" i="1" s="1"/>
  <c r="K147" i="1"/>
  <c r="AC147" i="1"/>
  <c r="AE147" i="1"/>
  <c r="CR147" i="1" s="1"/>
  <c r="AF147" i="1"/>
  <c r="AG147" i="1"/>
  <c r="CU147" i="1" s="1"/>
  <c r="T147" i="1" s="1"/>
  <c r="AH147" i="1"/>
  <c r="AI147" i="1"/>
  <c r="CW147" i="1" s="1"/>
  <c r="AJ147" i="1"/>
  <c r="CT147" i="1"/>
  <c r="CV147" i="1"/>
  <c r="U147" i="1" s="1"/>
  <c r="CX147" i="1"/>
  <c r="GL147" i="1"/>
  <c r="GN147" i="1"/>
  <c r="GP147" i="1"/>
  <c r="GV147" i="1"/>
  <c r="HC147" i="1"/>
  <c r="GX147" i="1" s="1"/>
  <c r="D148" i="1"/>
  <c r="I148" i="1"/>
  <c r="K148" i="1"/>
  <c r="S148" i="1"/>
  <c r="T148" i="1"/>
  <c r="AC148" i="1"/>
  <c r="AD148" i="1"/>
  <c r="AE148" i="1"/>
  <c r="R148" i="1" s="1"/>
  <c r="AF148" i="1"/>
  <c r="AG148" i="1"/>
  <c r="CU148" i="1" s="1"/>
  <c r="AH148" i="1"/>
  <c r="CV148" i="1" s="1"/>
  <c r="U148" i="1" s="1"/>
  <c r="AI148" i="1"/>
  <c r="CW148" i="1" s="1"/>
  <c r="V148" i="1" s="1"/>
  <c r="AJ148" i="1"/>
  <c r="CR148" i="1"/>
  <c r="CS148" i="1"/>
  <c r="CT148" i="1"/>
  <c r="CX148" i="1"/>
  <c r="W148" i="1" s="1"/>
  <c r="GL148" i="1"/>
  <c r="GN148" i="1"/>
  <c r="GP148" i="1"/>
  <c r="GV148" i="1"/>
  <c r="HC148" i="1" s="1"/>
  <c r="GX148" i="1" s="1"/>
  <c r="AC149" i="1"/>
  <c r="AE149" i="1"/>
  <c r="AF149" i="1"/>
  <c r="AG149" i="1"/>
  <c r="CU149" i="1" s="1"/>
  <c r="AH149" i="1"/>
  <c r="AI149" i="1"/>
  <c r="CW149" i="1" s="1"/>
  <c r="AJ149" i="1"/>
  <c r="CX149" i="1" s="1"/>
  <c r="CT149" i="1"/>
  <c r="CV149" i="1"/>
  <c r="GL149" i="1"/>
  <c r="GN149" i="1"/>
  <c r="GP149" i="1"/>
  <c r="GV149" i="1"/>
  <c r="HC149" i="1" s="1"/>
  <c r="I150" i="1"/>
  <c r="AC150" i="1"/>
  <c r="P150" i="1" s="1"/>
  <c r="AE150" i="1"/>
  <c r="AD150" i="1" s="1"/>
  <c r="AF150" i="1"/>
  <c r="S150" i="1" s="1"/>
  <c r="AG150" i="1"/>
  <c r="CU150" i="1" s="1"/>
  <c r="AH150" i="1"/>
  <c r="AI150" i="1"/>
  <c r="AJ150" i="1"/>
  <c r="CR150" i="1"/>
  <c r="CV150" i="1"/>
  <c r="U150" i="1" s="1"/>
  <c r="CW150" i="1"/>
  <c r="CX150" i="1"/>
  <c r="W150" i="1" s="1"/>
  <c r="GL150" i="1"/>
  <c r="GN150" i="1"/>
  <c r="GP150" i="1"/>
  <c r="GV150" i="1"/>
  <c r="HC150" i="1" s="1"/>
  <c r="I151" i="1"/>
  <c r="W151" i="1"/>
  <c r="AB151" i="1"/>
  <c r="AC151" i="1"/>
  <c r="CQ151" i="1" s="1"/>
  <c r="AD151" i="1"/>
  <c r="AE151" i="1"/>
  <c r="R151" i="1" s="1"/>
  <c r="AF151" i="1"/>
  <c r="AG151" i="1"/>
  <c r="AH151" i="1"/>
  <c r="CV151" i="1" s="1"/>
  <c r="U151" i="1" s="1"/>
  <c r="AI151" i="1"/>
  <c r="CW151" i="1" s="1"/>
  <c r="AJ151" i="1"/>
  <c r="CR151" i="1"/>
  <c r="CS151" i="1"/>
  <c r="CT151" i="1"/>
  <c r="CU151" i="1"/>
  <c r="CX151" i="1"/>
  <c r="GL151" i="1"/>
  <c r="GN151" i="1"/>
  <c r="GP151" i="1"/>
  <c r="GV151" i="1"/>
  <c r="HC151" i="1"/>
  <c r="GX151" i="1" s="1"/>
  <c r="AC152" i="1"/>
  <c r="AD152" i="1"/>
  <c r="AE152" i="1"/>
  <c r="CS152" i="1" s="1"/>
  <c r="AF152" i="1"/>
  <c r="AG152" i="1"/>
  <c r="CU152" i="1" s="1"/>
  <c r="AH152" i="1"/>
  <c r="AI152" i="1"/>
  <c r="AJ152" i="1"/>
  <c r="CX152" i="1" s="1"/>
  <c r="CR152" i="1"/>
  <c r="CT152" i="1"/>
  <c r="CV152" i="1"/>
  <c r="CW152" i="1"/>
  <c r="GL152" i="1"/>
  <c r="GN152" i="1"/>
  <c r="GP152" i="1"/>
  <c r="GV152" i="1"/>
  <c r="HC152" i="1" s="1"/>
  <c r="I153" i="1"/>
  <c r="R153" i="1"/>
  <c r="U153" i="1"/>
  <c r="AC153" i="1"/>
  <c r="AE153" i="1"/>
  <c r="AF153" i="1"/>
  <c r="AG153" i="1"/>
  <c r="CU153" i="1" s="1"/>
  <c r="AH153" i="1"/>
  <c r="CV153" i="1" s="1"/>
  <c r="AI153" i="1"/>
  <c r="AJ153" i="1"/>
  <c r="CQ153" i="1"/>
  <c r="CT153" i="1"/>
  <c r="CW153" i="1"/>
  <c r="V153" i="1" s="1"/>
  <c r="CX153" i="1"/>
  <c r="GL153" i="1"/>
  <c r="GN153" i="1"/>
  <c r="GP153" i="1"/>
  <c r="GV153" i="1"/>
  <c r="HC153" i="1"/>
  <c r="GX153" i="1" s="1"/>
  <c r="I154" i="1"/>
  <c r="S154" i="1"/>
  <c r="V154" i="1"/>
  <c r="AC154" i="1"/>
  <c r="AE154" i="1"/>
  <c r="AF154" i="1"/>
  <c r="AG154" i="1"/>
  <c r="AH154" i="1"/>
  <c r="CV154" i="1" s="1"/>
  <c r="U154" i="1" s="1"/>
  <c r="AI154" i="1"/>
  <c r="CW154" i="1" s="1"/>
  <c r="AJ154" i="1"/>
  <c r="CT154" i="1"/>
  <c r="CU154" i="1"/>
  <c r="T154" i="1" s="1"/>
  <c r="CX154" i="1"/>
  <c r="W154" i="1" s="1"/>
  <c r="GL154" i="1"/>
  <c r="GN154" i="1"/>
  <c r="GP154" i="1"/>
  <c r="GV154" i="1"/>
  <c r="HC154" i="1"/>
  <c r="GX154" i="1" s="1"/>
  <c r="AC155" i="1"/>
  <c r="AD155" i="1"/>
  <c r="AE155" i="1"/>
  <c r="CS155" i="1" s="1"/>
  <c r="AF155" i="1"/>
  <c r="CT155" i="1" s="1"/>
  <c r="AG155" i="1"/>
  <c r="AH155" i="1"/>
  <c r="AI155" i="1"/>
  <c r="CW155" i="1" s="1"/>
  <c r="AJ155" i="1"/>
  <c r="CX155" i="1" s="1"/>
  <c r="CQ155" i="1"/>
  <c r="CR155" i="1"/>
  <c r="CU155" i="1"/>
  <c r="CV155" i="1"/>
  <c r="GL155" i="1"/>
  <c r="GN155" i="1"/>
  <c r="GP155" i="1"/>
  <c r="GV155" i="1"/>
  <c r="HC155" i="1"/>
  <c r="I156" i="1"/>
  <c r="S156" i="1"/>
  <c r="T156" i="1"/>
  <c r="AC156" i="1"/>
  <c r="P156" i="1" s="1"/>
  <c r="AE156" i="1"/>
  <c r="AF156" i="1"/>
  <c r="AG156" i="1"/>
  <c r="CU156" i="1" s="1"/>
  <c r="AH156" i="1"/>
  <c r="CV156" i="1" s="1"/>
  <c r="U156" i="1" s="1"/>
  <c r="AI156" i="1"/>
  <c r="CW156" i="1" s="1"/>
  <c r="V156" i="1" s="1"/>
  <c r="AJ156" i="1"/>
  <c r="CQ156" i="1"/>
  <c r="CT156" i="1"/>
  <c r="CX156" i="1"/>
  <c r="W156" i="1" s="1"/>
  <c r="GL156" i="1"/>
  <c r="GN156" i="1"/>
  <c r="GP156" i="1"/>
  <c r="GV156" i="1"/>
  <c r="HC156" i="1" s="1"/>
  <c r="GX156" i="1"/>
  <c r="I157" i="1"/>
  <c r="W157" i="1" s="1"/>
  <c r="T157" i="1"/>
  <c r="AC157" i="1"/>
  <c r="AE157" i="1"/>
  <c r="R157" i="1" s="1"/>
  <c r="AF157" i="1"/>
  <c r="AG157" i="1"/>
  <c r="CU157" i="1" s="1"/>
  <c r="AH157" i="1"/>
  <c r="AI157" i="1"/>
  <c r="AJ157" i="1"/>
  <c r="CQ157" i="1"/>
  <c r="CV157" i="1"/>
  <c r="U157" i="1" s="1"/>
  <c r="CW157" i="1"/>
  <c r="CX157" i="1"/>
  <c r="GL157" i="1"/>
  <c r="GN157" i="1"/>
  <c r="GP157" i="1"/>
  <c r="GV157" i="1"/>
  <c r="HC157" i="1"/>
  <c r="I158" i="1"/>
  <c r="Q158" i="1" s="1"/>
  <c r="T158" i="1"/>
  <c r="AC158" i="1"/>
  <c r="CQ158" i="1" s="1"/>
  <c r="AD158" i="1"/>
  <c r="AB158" i="1" s="1"/>
  <c r="AE158" i="1"/>
  <c r="R158" i="1" s="1"/>
  <c r="AF158" i="1"/>
  <c r="AG158" i="1"/>
  <c r="CU158" i="1" s="1"/>
  <c r="AH158" i="1"/>
  <c r="CV158" i="1" s="1"/>
  <c r="U158" i="1" s="1"/>
  <c r="AI158" i="1"/>
  <c r="CW158" i="1" s="1"/>
  <c r="V158" i="1" s="1"/>
  <c r="AJ158" i="1"/>
  <c r="CR158" i="1"/>
  <c r="CS158" i="1"/>
  <c r="CT158" i="1"/>
  <c r="CX158" i="1"/>
  <c r="W158" i="1" s="1"/>
  <c r="GL158" i="1"/>
  <c r="GN158" i="1"/>
  <c r="GP158" i="1"/>
  <c r="GV158" i="1"/>
  <c r="HC158" i="1"/>
  <c r="AC159" i="1"/>
  <c r="AD159" i="1"/>
  <c r="AE159" i="1"/>
  <c r="CS159" i="1" s="1"/>
  <c r="AF159" i="1"/>
  <c r="AG159" i="1"/>
  <c r="AH159" i="1"/>
  <c r="AI159" i="1"/>
  <c r="AJ159" i="1"/>
  <c r="CX159" i="1" s="1"/>
  <c r="CQ159" i="1"/>
  <c r="CR159" i="1"/>
  <c r="CU159" i="1"/>
  <c r="CV159" i="1"/>
  <c r="CW159" i="1"/>
  <c r="GL159" i="1"/>
  <c r="GN159" i="1"/>
  <c r="GP159" i="1"/>
  <c r="GV159" i="1"/>
  <c r="HC159" i="1" s="1"/>
  <c r="I160" i="1"/>
  <c r="W160" i="1" s="1"/>
  <c r="Q160" i="1"/>
  <c r="T160" i="1"/>
  <c r="AC160" i="1"/>
  <c r="P160" i="1" s="1"/>
  <c r="AE160" i="1"/>
  <c r="AF160" i="1"/>
  <c r="AG160" i="1"/>
  <c r="CU160" i="1" s="1"/>
  <c r="AH160" i="1"/>
  <c r="CV160" i="1" s="1"/>
  <c r="U160" i="1" s="1"/>
  <c r="AI160" i="1"/>
  <c r="AJ160" i="1"/>
  <c r="CQ160" i="1"/>
  <c r="CW160" i="1"/>
  <c r="V160" i="1" s="1"/>
  <c r="CX160" i="1"/>
  <c r="GL160" i="1"/>
  <c r="GN160" i="1"/>
  <c r="GP160" i="1"/>
  <c r="GV160" i="1"/>
  <c r="HC160" i="1"/>
  <c r="GX160" i="1" s="1"/>
  <c r="I161" i="1"/>
  <c r="Q161" i="1" s="1"/>
  <c r="AB161" i="1"/>
  <c r="AC161" i="1"/>
  <c r="CQ161" i="1" s="1"/>
  <c r="AD161" i="1"/>
  <c r="AE161" i="1"/>
  <c r="AF161" i="1"/>
  <c r="AG161" i="1"/>
  <c r="AH161" i="1"/>
  <c r="CV161" i="1" s="1"/>
  <c r="U161" i="1" s="1"/>
  <c r="AI161" i="1"/>
  <c r="CW161" i="1" s="1"/>
  <c r="AJ161" i="1"/>
  <c r="CX161" i="1" s="1"/>
  <c r="W161" i="1" s="1"/>
  <c r="CR161" i="1"/>
  <c r="CS161" i="1"/>
  <c r="CT161" i="1"/>
  <c r="CU161" i="1"/>
  <c r="T161" i="1" s="1"/>
  <c r="GL161" i="1"/>
  <c r="GN161" i="1"/>
  <c r="GP161" i="1"/>
  <c r="GV161" i="1"/>
  <c r="HC161" i="1"/>
  <c r="I162" i="1"/>
  <c r="P162" i="1"/>
  <c r="R162" i="1"/>
  <c r="U162" i="1"/>
  <c r="X162" i="1"/>
  <c r="AC162" i="1"/>
  <c r="AD162" i="1"/>
  <c r="AE162" i="1"/>
  <c r="CS162" i="1" s="1"/>
  <c r="AF162" i="1"/>
  <c r="S162" i="1" s="1"/>
  <c r="CY162" i="1" s="1"/>
  <c r="AG162" i="1"/>
  <c r="AH162" i="1"/>
  <c r="AI162" i="1"/>
  <c r="AJ162" i="1"/>
  <c r="CX162" i="1" s="1"/>
  <c r="W162" i="1" s="1"/>
  <c r="CR162" i="1"/>
  <c r="CU162" i="1"/>
  <c r="T162" i="1" s="1"/>
  <c r="CV162" i="1"/>
  <c r="CW162" i="1"/>
  <c r="V162" i="1" s="1"/>
  <c r="GL162" i="1"/>
  <c r="GN162" i="1"/>
  <c r="GP162" i="1"/>
  <c r="GV162" i="1"/>
  <c r="HC162" i="1" s="1"/>
  <c r="GX162" i="1"/>
  <c r="I163" i="1"/>
  <c r="T163" i="1"/>
  <c r="W163" i="1"/>
  <c r="AC163" i="1"/>
  <c r="P163" i="1" s="1"/>
  <c r="AE163" i="1"/>
  <c r="AF163" i="1"/>
  <c r="AG163" i="1"/>
  <c r="CU163" i="1" s="1"/>
  <c r="AH163" i="1"/>
  <c r="CV163" i="1" s="1"/>
  <c r="U163" i="1" s="1"/>
  <c r="AI163" i="1"/>
  <c r="AJ163" i="1"/>
  <c r="CQ163" i="1"/>
  <c r="CW163" i="1"/>
  <c r="CX163" i="1"/>
  <c r="GL163" i="1"/>
  <c r="GN163" i="1"/>
  <c r="GP163" i="1"/>
  <c r="GV163" i="1"/>
  <c r="HC163" i="1"/>
  <c r="GX163" i="1" s="1"/>
  <c r="I164" i="1"/>
  <c r="Q164" i="1" s="1"/>
  <c r="S164" i="1"/>
  <c r="AC164" i="1"/>
  <c r="CQ164" i="1" s="1"/>
  <c r="AD164" i="1"/>
  <c r="AB164" i="1" s="1"/>
  <c r="AE164" i="1"/>
  <c r="AF164" i="1"/>
  <c r="AG164" i="1"/>
  <c r="AH164" i="1"/>
  <c r="CV164" i="1" s="1"/>
  <c r="U164" i="1" s="1"/>
  <c r="AI164" i="1"/>
  <c r="CW164" i="1" s="1"/>
  <c r="AJ164" i="1"/>
  <c r="CX164" i="1" s="1"/>
  <c r="W164" i="1" s="1"/>
  <c r="CR164" i="1"/>
  <c r="CS164" i="1"/>
  <c r="CT164" i="1"/>
  <c r="CU164" i="1"/>
  <c r="T164" i="1" s="1"/>
  <c r="GL164" i="1"/>
  <c r="GN164" i="1"/>
  <c r="GP164" i="1"/>
  <c r="FV182" i="1" s="1"/>
  <c r="GV164" i="1"/>
  <c r="GX164" i="1"/>
  <c r="HC164" i="1"/>
  <c r="D165" i="1"/>
  <c r="I165" i="1"/>
  <c r="P165" i="1" s="1"/>
  <c r="K165" i="1"/>
  <c r="S165" i="1"/>
  <c r="AC165" i="1"/>
  <c r="CQ165" i="1" s="1"/>
  <c r="AD165" i="1"/>
  <c r="AB165" i="1" s="1"/>
  <c r="AE165" i="1"/>
  <c r="AF165" i="1"/>
  <c r="AG165" i="1"/>
  <c r="CU165" i="1" s="1"/>
  <c r="T165" i="1" s="1"/>
  <c r="AH165" i="1"/>
  <c r="CV165" i="1" s="1"/>
  <c r="AI165" i="1"/>
  <c r="CW165" i="1" s="1"/>
  <c r="AJ165" i="1"/>
  <c r="CX165" i="1" s="1"/>
  <c r="W165" i="1" s="1"/>
  <c r="CR165" i="1"/>
  <c r="CS165" i="1"/>
  <c r="CT165" i="1"/>
  <c r="GL165" i="1"/>
  <c r="GN165" i="1"/>
  <c r="GP165" i="1"/>
  <c r="GV165" i="1"/>
  <c r="GX165" i="1"/>
  <c r="HC165" i="1"/>
  <c r="D166" i="1"/>
  <c r="I166" i="1"/>
  <c r="K166" i="1"/>
  <c r="P166" i="1"/>
  <c r="S166" i="1"/>
  <c r="V166" i="1"/>
  <c r="AC166" i="1"/>
  <c r="CQ166" i="1" s="1"/>
  <c r="AD166" i="1"/>
  <c r="AB166" i="1" s="1"/>
  <c r="AE166" i="1"/>
  <c r="AF166" i="1"/>
  <c r="AG166" i="1"/>
  <c r="AH166" i="1"/>
  <c r="CV166" i="1" s="1"/>
  <c r="U166" i="1" s="1"/>
  <c r="AI166" i="1"/>
  <c r="CW166" i="1" s="1"/>
  <c r="AJ166" i="1"/>
  <c r="CX166" i="1" s="1"/>
  <c r="W166" i="1" s="1"/>
  <c r="CR166" i="1"/>
  <c r="CS166" i="1"/>
  <c r="CT166" i="1"/>
  <c r="CU166" i="1"/>
  <c r="T166" i="1" s="1"/>
  <c r="GL166" i="1"/>
  <c r="GN166" i="1"/>
  <c r="GP166" i="1"/>
  <c r="GV166" i="1"/>
  <c r="GX166" i="1"/>
  <c r="HC166" i="1"/>
  <c r="AC167" i="1"/>
  <c r="AB167" i="1" s="1"/>
  <c r="AD167" i="1"/>
  <c r="AE167" i="1"/>
  <c r="CS167" i="1" s="1"/>
  <c r="AF167" i="1"/>
  <c r="AG167" i="1"/>
  <c r="AH167" i="1"/>
  <c r="AI167" i="1"/>
  <c r="CW167" i="1" s="1"/>
  <c r="AJ167" i="1"/>
  <c r="CX167" i="1" s="1"/>
  <c r="CR167" i="1"/>
  <c r="CT167" i="1"/>
  <c r="CU167" i="1"/>
  <c r="CV167" i="1"/>
  <c r="GL167" i="1"/>
  <c r="GN167" i="1"/>
  <c r="GP167" i="1"/>
  <c r="GV167" i="1"/>
  <c r="HC167" i="1" s="1"/>
  <c r="I168" i="1"/>
  <c r="W168" i="1"/>
  <c r="AC168" i="1"/>
  <c r="AE168" i="1"/>
  <c r="AF168" i="1"/>
  <c r="AG168" i="1"/>
  <c r="CU168" i="1" s="1"/>
  <c r="T168" i="1" s="1"/>
  <c r="AH168" i="1"/>
  <c r="CV168" i="1" s="1"/>
  <c r="U168" i="1" s="1"/>
  <c r="AI168" i="1"/>
  <c r="AJ168" i="1"/>
  <c r="CQ168" i="1"/>
  <c r="CW168" i="1"/>
  <c r="V168" i="1" s="1"/>
  <c r="CX168" i="1"/>
  <c r="GL168" i="1"/>
  <c r="GN168" i="1"/>
  <c r="GP168" i="1"/>
  <c r="GV168" i="1"/>
  <c r="HC168" i="1"/>
  <c r="GX168" i="1" s="1"/>
  <c r="AC169" i="1"/>
  <c r="CQ169" i="1" s="1"/>
  <c r="AD169" i="1"/>
  <c r="AB169" i="1" s="1"/>
  <c r="AE169" i="1"/>
  <c r="AF169" i="1"/>
  <c r="AG169" i="1"/>
  <c r="CU169" i="1" s="1"/>
  <c r="AH169" i="1"/>
  <c r="CV169" i="1" s="1"/>
  <c r="AI169" i="1"/>
  <c r="CW169" i="1" s="1"/>
  <c r="AJ169" i="1"/>
  <c r="CR169" i="1"/>
  <c r="CS169" i="1"/>
  <c r="CT169" i="1"/>
  <c r="CX169" i="1"/>
  <c r="GL169" i="1"/>
  <c r="GN169" i="1"/>
  <c r="GP169" i="1"/>
  <c r="GV169" i="1"/>
  <c r="HC169" i="1"/>
  <c r="AC170" i="1"/>
  <c r="AD170" i="1"/>
  <c r="AE170" i="1"/>
  <c r="CS170" i="1" s="1"/>
  <c r="AF170" i="1"/>
  <c r="AG170" i="1"/>
  <c r="AH170" i="1"/>
  <c r="AI170" i="1"/>
  <c r="AJ170" i="1"/>
  <c r="CX170" i="1" s="1"/>
  <c r="CR170" i="1"/>
  <c r="CT170" i="1"/>
  <c r="CU170" i="1"/>
  <c r="CV170" i="1"/>
  <c r="CW170" i="1"/>
  <c r="GL170" i="1"/>
  <c r="GN170" i="1"/>
  <c r="GP170" i="1"/>
  <c r="GV170" i="1"/>
  <c r="HC170" i="1" s="1"/>
  <c r="AC171" i="1"/>
  <c r="AE171" i="1"/>
  <c r="CS171" i="1" s="1"/>
  <c r="AF171" i="1"/>
  <c r="AG171" i="1"/>
  <c r="CU171" i="1" s="1"/>
  <c r="AH171" i="1"/>
  <c r="CV171" i="1" s="1"/>
  <c r="AI171" i="1"/>
  <c r="AJ171" i="1"/>
  <c r="CQ171" i="1"/>
  <c r="CW171" i="1"/>
  <c r="CX171" i="1"/>
  <c r="GL171" i="1"/>
  <c r="GN171" i="1"/>
  <c r="GP171" i="1"/>
  <c r="GV171" i="1"/>
  <c r="HC171" i="1"/>
  <c r="I172" i="1"/>
  <c r="Q172" i="1" s="1"/>
  <c r="S172" i="1"/>
  <c r="V172" i="1"/>
  <c r="AC172" i="1"/>
  <c r="CQ172" i="1" s="1"/>
  <c r="AD172" i="1"/>
  <c r="AB172" i="1" s="1"/>
  <c r="AE172" i="1"/>
  <c r="AF172" i="1"/>
  <c r="AG172" i="1"/>
  <c r="CU172" i="1" s="1"/>
  <c r="T172" i="1" s="1"/>
  <c r="AH172" i="1"/>
  <c r="CV172" i="1" s="1"/>
  <c r="U172" i="1" s="1"/>
  <c r="AI172" i="1"/>
  <c r="CW172" i="1" s="1"/>
  <c r="AJ172" i="1"/>
  <c r="CX172" i="1" s="1"/>
  <c r="W172" i="1" s="1"/>
  <c r="CR172" i="1"/>
  <c r="CS172" i="1"/>
  <c r="CT172" i="1"/>
  <c r="GL172" i="1"/>
  <c r="GN172" i="1"/>
  <c r="GP172" i="1"/>
  <c r="GV172" i="1"/>
  <c r="GX172" i="1"/>
  <c r="HC172" i="1"/>
  <c r="D173" i="1"/>
  <c r="I173" i="1"/>
  <c r="K173" i="1"/>
  <c r="P173" i="1"/>
  <c r="S173" i="1"/>
  <c r="V173" i="1"/>
  <c r="AC173" i="1"/>
  <c r="CQ173" i="1" s="1"/>
  <c r="AD173" i="1"/>
  <c r="AB173" i="1" s="1"/>
  <c r="AE173" i="1"/>
  <c r="AF173" i="1"/>
  <c r="AG173" i="1"/>
  <c r="AH173" i="1"/>
  <c r="CV173" i="1" s="1"/>
  <c r="U173" i="1" s="1"/>
  <c r="AI173" i="1"/>
  <c r="CW173" i="1" s="1"/>
  <c r="AJ173" i="1"/>
  <c r="CX173" i="1" s="1"/>
  <c r="W173" i="1" s="1"/>
  <c r="CR173" i="1"/>
  <c r="CS173" i="1"/>
  <c r="CT173" i="1"/>
  <c r="CU173" i="1"/>
  <c r="T173" i="1" s="1"/>
  <c r="GL173" i="1"/>
  <c r="GN173" i="1"/>
  <c r="GP173" i="1"/>
  <c r="GV173" i="1"/>
  <c r="GX173" i="1"/>
  <c r="HC173" i="1"/>
  <c r="D174" i="1"/>
  <c r="I174" i="1"/>
  <c r="K174" i="1"/>
  <c r="S174" i="1"/>
  <c r="V174" i="1"/>
  <c r="AB174" i="1"/>
  <c r="AC174" i="1"/>
  <c r="CQ174" i="1" s="1"/>
  <c r="AD174" i="1"/>
  <c r="AE174" i="1"/>
  <c r="AF174" i="1"/>
  <c r="AG174" i="1"/>
  <c r="AH174" i="1"/>
  <c r="CV174" i="1" s="1"/>
  <c r="AI174" i="1"/>
  <c r="CW174" i="1" s="1"/>
  <c r="AJ174" i="1"/>
  <c r="CX174" i="1" s="1"/>
  <c r="W174" i="1" s="1"/>
  <c r="CR174" i="1"/>
  <c r="CS174" i="1"/>
  <c r="CT174" i="1"/>
  <c r="CU174" i="1"/>
  <c r="T174" i="1" s="1"/>
  <c r="GL174" i="1"/>
  <c r="GN174" i="1"/>
  <c r="GP174" i="1"/>
  <c r="GV174" i="1"/>
  <c r="HC174" i="1"/>
  <c r="AC175" i="1"/>
  <c r="AD175" i="1"/>
  <c r="AE175" i="1"/>
  <c r="CS175" i="1" s="1"/>
  <c r="AF175" i="1"/>
  <c r="AG175" i="1"/>
  <c r="AH175" i="1"/>
  <c r="AI175" i="1"/>
  <c r="AJ175" i="1"/>
  <c r="CX175" i="1" s="1"/>
  <c r="CQ175" i="1"/>
  <c r="CR175" i="1"/>
  <c r="CT175" i="1"/>
  <c r="CU175" i="1"/>
  <c r="CV175" i="1"/>
  <c r="CW175" i="1"/>
  <c r="GL175" i="1"/>
  <c r="GN175" i="1"/>
  <c r="CB182" i="1" s="1"/>
  <c r="GP175" i="1"/>
  <c r="GV175" i="1"/>
  <c r="HC175" i="1" s="1"/>
  <c r="AC176" i="1"/>
  <c r="AE176" i="1"/>
  <c r="AF176" i="1"/>
  <c r="AG176" i="1"/>
  <c r="CU176" i="1" s="1"/>
  <c r="AH176" i="1"/>
  <c r="AI176" i="1"/>
  <c r="AJ176" i="1"/>
  <c r="CQ176" i="1"/>
  <c r="CV176" i="1"/>
  <c r="CW176" i="1"/>
  <c r="CX176" i="1"/>
  <c r="GL176" i="1"/>
  <c r="GN176" i="1"/>
  <c r="GP176" i="1"/>
  <c r="GV176" i="1"/>
  <c r="HC176" i="1"/>
  <c r="I177" i="1"/>
  <c r="Q177" i="1" s="1"/>
  <c r="P177" i="1"/>
  <c r="S177" i="1"/>
  <c r="AC177" i="1"/>
  <c r="CQ177" i="1" s="1"/>
  <c r="AD177" i="1"/>
  <c r="AB177" i="1" s="1"/>
  <c r="AE177" i="1"/>
  <c r="R177" i="1" s="1"/>
  <c r="AF177" i="1"/>
  <c r="AG177" i="1"/>
  <c r="CU177" i="1" s="1"/>
  <c r="T177" i="1" s="1"/>
  <c r="AH177" i="1"/>
  <c r="CV177" i="1" s="1"/>
  <c r="U177" i="1" s="1"/>
  <c r="AI177" i="1"/>
  <c r="CW177" i="1" s="1"/>
  <c r="V177" i="1" s="1"/>
  <c r="AJ177" i="1"/>
  <c r="CX177" i="1" s="1"/>
  <c r="W177" i="1" s="1"/>
  <c r="CR177" i="1"/>
  <c r="CS177" i="1"/>
  <c r="CT177" i="1"/>
  <c r="GL177" i="1"/>
  <c r="GN177" i="1"/>
  <c r="GP177" i="1"/>
  <c r="GV177" i="1"/>
  <c r="GX177" i="1"/>
  <c r="HC177" i="1"/>
  <c r="AC178" i="1"/>
  <c r="AD178" i="1"/>
  <c r="AE178" i="1"/>
  <c r="CS178" i="1" s="1"/>
  <c r="AF178" i="1"/>
  <c r="AG178" i="1"/>
  <c r="AH178" i="1"/>
  <c r="AI178" i="1"/>
  <c r="AJ178" i="1"/>
  <c r="CX178" i="1" s="1"/>
  <c r="CR178" i="1"/>
  <c r="CU178" i="1"/>
  <c r="CV178" i="1"/>
  <c r="CW178" i="1"/>
  <c r="GL178" i="1"/>
  <c r="GN178" i="1"/>
  <c r="GP178" i="1"/>
  <c r="GV178" i="1"/>
  <c r="HC178" i="1" s="1"/>
  <c r="D179" i="1"/>
  <c r="I179" i="1"/>
  <c r="Q179" i="1" s="1"/>
  <c r="K179" i="1"/>
  <c r="P179" i="1"/>
  <c r="R179" i="1"/>
  <c r="U179" i="1"/>
  <c r="AC179" i="1"/>
  <c r="AD179" i="1"/>
  <c r="AE179" i="1"/>
  <c r="CS179" i="1" s="1"/>
  <c r="AF179" i="1"/>
  <c r="AG179" i="1"/>
  <c r="AH179" i="1"/>
  <c r="AI179" i="1"/>
  <c r="AJ179" i="1"/>
  <c r="CX179" i="1" s="1"/>
  <c r="W179" i="1" s="1"/>
  <c r="CQ179" i="1"/>
  <c r="CR179" i="1"/>
  <c r="CU179" i="1"/>
  <c r="T179" i="1" s="1"/>
  <c r="CV179" i="1"/>
  <c r="CW179" i="1"/>
  <c r="V179" i="1" s="1"/>
  <c r="GL179" i="1"/>
  <c r="GN179" i="1"/>
  <c r="GP179" i="1"/>
  <c r="GV179" i="1"/>
  <c r="HC179" i="1" s="1"/>
  <c r="GX179" i="1" s="1"/>
  <c r="D180" i="1"/>
  <c r="I180" i="1"/>
  <c r="K180" i="1"/>
  <c r="R180" i="1"/>
  <c r="U180" i="1"/>
  <c r="AC180" i="1"/>
  <c r="AB180" i="1" s="1"/>
  <c r="AD180" i="1"/>
  <c r="AE180" i="1"/>
  <c r="CS180" i="1" s="1"/>
  <c r="AF180" i="1"/>
  <c r="AG180" i="1"/>
  <c r="CU180" i="1" s="1"/>
  <c r="T180" i="1" s="1"/>
  <c r="AH180" i="1"/>
  <c r="AI180" i="1"/>
  <c r="CW180" i="1" s="1"/>
  <c r="V180" i="1" s="1"/>
  <c r="AJ180" i="1"/>
  <c r="CQ180" i="1"/>
  <c r="CR180" i="1"/>
  <c r="CT180" i="1"/>
  <c r="CV180" i="1"/>
  <c r="CX180" i="1"/>
  <c r="GL180" i="1"/>
  <c r="GN180" i="1"/>
  <c r="GP180" i="1"/>
  <c r="GV180" i="1"/>
  <c r="HC180" i="1" s="1"/>
  <c r="GX180" i="1" s="1"/>
  <c r="B182" i="1"/>
  <c r="B145" i="1" s="1"/>
  <c r="C182" i="1"/>
  <c r="C145" i="1" s="1"/>
  <c r="D182" i="1"/>
  <c r="D145" i="1" s="1"/>
  <c r="F182" i="1"/>
  <c r="F145" i="1" s="1"/>
  <c r="G182" i="1"/>
  <c r="G145" i="1" s="1"/>
  <c r="AP182" i="1"/>
  <c r="AP145" i="1" s="1"/>
  <c r="BB182" i="1"/>
  <c r="BB145" i="1" s="1"/>
  <c r="BD182" i="1"/>
  <c r="BD145" i="1" s="1"/>
  <c r="BX182" i="1"/>
  <c r="BX145" i="1" s="1"/>
  <c r="BY182" i="1"/>
  <c r="BY145" i="1" s="1"/>
  <c r="CK182" i="1"/>
  <c r="CK145" i="1" s="1"/>
  <c r="CL182" i="1"/>
  <c r="CM182" i="1"/>
  <c r="CM145" i="1" s="1"/>
  <c r="EG182" i="1"/>
  <c r="EV182" i="1"/>
  <c r="FP182" i="1"/>
  <c r="FP145" i="1" s="1"/>
  <c r="FQ182" i="1"/>
  <c r="FQ145" i="1" s="1"/>
  <c r="FR182" i="1"/>
  <c r="FR145" i="1" s="1"/>
  <c r="FT182" i="1"/>
  <c r="GC182" i="1"/>
  <c r="ET182" i="1" s="1"/>
  <c r="GD182" i="1"/>
  <c r="GD145" i="1" s="1"/>
  <c r="GE182" i="1"/>
  <c r="GE145" i="1" s="1"/>
  <c r="F195" i="1"/>
  <c r="F207" i="1"/>
  <c r="D212" i="1"/>
  <c r="B214" i="1"/>
  <c r="E214" i="1"/>
  <c r="G214" i="1"/>
  <c r="Z214" i="1"/>
  <c r="AA214" i="1"/>
  <c r="AM214" i="1"/>
  <c r="AN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R214" i="1"/>
  <c r="DS214" i="1"/>
  <c r="EE214" i="1"/>
  <c r="EF214" i="1"/>
  <c r="EW214" i="1"/>
  <c r="EX214" i="1"/>
  <c r="EY214" i="1"/>
  <c r="EZ214" i="1"/>
  <c r="FA214" i="1"/>
  <c r="FB214" i="1"/>
  <c r="FC214" i="1"/>
  <c r="FD214" i="1"/>
  <c r="FE214" i="1"/>
  <c r="FF214" i="1"/>
  <c r="FG214" i="1"/>
  <c r="FH214" i="1"/>
  <c r="FI214" i="1"/>
  <c r="FJ214" i="1"/>
  <c r="FK214" i="1"/>
  <c r="FL214" i="1"/>
  <c r="FM214" i="1"/>
  <c r="FN214" i="1"/>
  <c r="FO214" i="1"/>
  <c r="GF214" i="1"/>
  <c r="GG214" i="1"/>
  <c r="GH214" i="1"/>
  <c r="GI214" i="1"/>
  <c r="GJ214" i="1"/>
  <c r="GK214" i="1"/>
  <c r="GL214" i="1"/>
  <c r="GM214" i="1"/>
  <c r="GN214" i="1"/>
  <c r="GO214" i="1"/>
  <c r="GP214" i="1"/>
  <c r="GQ214" i="1"/>
  <c r="GR214" i="1"/>
  <c r="GS214" i="1"/>
  <c r="GT214" i="1"/>
  <c r="GU214" i="1"/>
  <c r="GV214" i="1"/>
  <c r="GW214" i="1"/>
  <c r="GX214" i="1"/>
  <c r="D216" i="1"/>
  <c r="Q216" i="1"/>
  <c r="S216" i="1"/>
  <c r="W216" i="1"/>
  <c r="AC216" i="1"/>
  <c r="AE216" i="1"/>
  <c r="AF216" i="1"/>
  <c r="AG216" i="1"/>
  <c r="CU216" i="1" s="1"/>
  <c r="T216" i="1" s="1"/>
  <c r="AG227" i="1" s="1"/>
  <c r="AH216" i="1"/>
  <c r="CV216" i="1" s="1"/>
  <c r="U216" i="1" s="1"/>
  <c r="AI216" i="1"/>
  <c r="CW216" i="1" s="1"/>
  <c r="V216" i="1" s="1"/>
  <c r="AJ216" i="1"/>
  <c r="CR216" i="1"/>
  <c r="CT216" i="1"/>
  <c r="CX216" i="1"/>
  <c r="GL216" i="1"/>
  <c r="GN216" i="1"/>
  <c r="GP216" i="1"/>
  <c r="GV216" i="1"/>
  <c r="HC216" i="1"/>
  <c r="GX216" i="1" s="1"/>
  <c r="D217" i="1"/>
  <c r="S217" i="1"/>
  <c r="U217" i="1"/>
  <c r="AC217" i="1"/>
  <c r="AD217" i="1"/>
  <c r="AE217" i="1"/>
  <c r="CS217" i="1" s="1"/>
  <c r="AF217" i="1"/>
  <c r="AG217" i="1"/>
  <c r="CU217" i="1" s="1"/>
  <c r="T217" i="1" s="1"/>
  <c r="AH217" i="1"/>
  <c r="AI217" i="1"/>
  <c r="CW217" i="1" s="1"/>
  <c r="V217" i="1" s="1"/>
  <c r="AJ217" i="1"/>
  <c r="CR217" i="1"/>
  <c r="CT217" i="1"/>
  <c r="CV217" i="1"/>
  <c r="CX217" i="1"/>
  <c r="W217" i="1" s="1"/>
  <c r="GL217" i="1"/>
  <c r="GN217" i="1"/>
  <c r="GP217" i="1"/>
  <c r="GV217" i="1"/>
  <c r="HC217" i="1" s="1"/>
  <c r="GX217" i="1"/>
  <c r="I218" i="1"/>
  <c r="S218" i="1"/>
  <c r="U218" i="1"/>
  <c r="AC218" i="1"/>
  <c r="CQ218" i="1" s="1"/>
  <c r="AE218" i="1"/>
  <c r="Q218" i="1" s="1"/>
  <c r="AF218" i="1"/>
  <c r="AG218" i="1"/>
  <c r="CU218" i="1" s="1"/>
  <c r="T218" i="1" s="1"/>
  <c r="AH218" i="1"/>
  <c r="AI218" i="1"/>
  <c r="CW218" i="1" s="1"/>
  <c r="V218" i="1" s="1"/>
  <c r="AJ218" i="1"/>
  <c r="CT218" i="1"/>
  <c r="CV218" i="1"/>
  <c r="CX218" i="1"/>
  <c r="W218" i="1" s="1"/>
  <c r="GL218" i="1"/>
  <c r="GN218" i="1"/>
  <c r="GO218" i="1"/>
  <c r="GP218" i="1"/>
  <c r="GV218" i="1"/>
  <c r="GX218" i="1"/>
  <c r="HC218" i="1"/>
  <c r="I219" i="1"/>
  <c r="Q219" i="1" s="1"/>
  <c r="R219" i="1"/>
  <c r="S219" i="1"/>
  <c r="AC219" i="1"/>
  <c r="AD219" i="1"/>
  <c r="AB219" i="1" s="1"/>
  <c r="AE219" i="1"/>
  <c r="AF219" i="1"/>
  <c r="CT219" i="1" s="1"/>
  <c r="AG219" i="1"/>
  <c r="CU219" i="1" s="1"/>
  <c r="T219" i="1" s="1"/>
  <c r="AH219" i="1"/>
  <c r="CV219" i="1" s="1"/>
  <c r="U219" i="1" s="1"/>
  <c r="DZ227" i="1" s="1"/>
  <c r="AI219" i="1"/>
  <c r="AJ219" i="1"/>
  <c r="CX219" i="1" s="1"/>
  <c r="W219" i="1" s="1"/>
  <c r="CQ219" i="1"/>
  <c r="CR219" i="1"/>
  <c r="CS219" i="1"/>
  <c r="CW219" i="1"/>
  <c r="GL219" i="1"/>
  <c r="GN219" i="1"/>
  <c r="GO219" i="1"/>
  <c r="GP219" i="1"/>
  <c r="GV219" i="1"/>
  <c r="HC219" i="1" s="1"/>
  <c r="GX219" i="1" s="1"/>
  <c r="I220" i="1"/>
  <c r="Q220" i="1" s="1"/>
  <c r="S220" i="1"/>
  <c r="AC220" i="1"/>
  <c r="CQ220" i="1" s="1"/>
  <c r="AE220" i="1"/>
  <c r="AF220" i="1"/>
  <c r="AG220" i="1"/>
  <c r="CU220" i="1" s="1"/>
  <c r="T220" i="1" s="1"/>
  <c r="AH220" i="1"/>
  <c r="AI220" i="1"/>
  <c r="CW220" i="1" s="1"/>
  <c r="V220" i="1" s="1"/>
  <c r="AJ220" i="1"/>
  <c r="CS220" i="1"/>
  <c r="CT220" i="1"/>
  <c r="CV220" i="1"/>
  <c r="U220" i="1" s="1"/>
  <c r="CX220" i="1"/>
  <c r="W220" i="1" s="1"/>
  <c r="GL220" i="1"/>
  <c r="BZ227" i="1" s="1"/>
  <c r="GN220" i="1"/>
  <c r="CB227" i="1" s="1"/>
  <c r="GO220" i="1"/>
  <c r="GP220" i="1"/>
  <c r="GV220" i="1"/>
  <c r="HC220" i="1" s="1"/>
  <c r="GX220" i="1"/>
  <c r="I221" i="1"/>
  <c r="Q221" i="1" s="1"/>
  <c r="P221" i="1"/>
  <c r="R221" i="1"/>
  <c r="T221" i="1"/>
  <c r="U221" i="1"/>
  <c r="AB221" i="1"/>
  <c r="AC221" i="1"/>
  <c r="AD221" i="1"/>
  <c r="AE221" i="1"/>
  <c r="CR221" i="1" s="1"/>
  <c r="AF221" i="1"/>
  <c r="AG221" i="1"/>
  <c r="AH221" i="1"/>
  <c r="CV221" i="1" s="1"/>
  <c r="AI221" i="1"/>
  <c r="AJ221" i="1"/>
  <c r="CX221" i="1" s="1"/>
  <c r="W221" i="1" s="1"/>
  <c r="CQ221" i="1"/>
  <c r="CS221" i="1"/>
  <c r="CU221" i="1"/>
  <c r="CW221" i="1"/>
  <c r="V221" i="1" s="1"/>
  <c r="GL221" i="1"/>
  <c r="GN221" i="1"/>
  <c r="GO221" i="1"/>
  <c r="GP221" i="1"/>
  <c r="GV221" i="1"/>
  <c r="HC221" i="1"/>
  <c r="GX221" i="1" s="1"/>
  <c r="D222" i="1"/>
  <c r="P222" i="1"/>
  <c r="S222" i="1"/>
  <c r="U222" i="1"/>
  <c r="W222" i="1"/>
  <c r="AC222" i="1"/>
  <c r="AD222" i="1"/>
  <c r="AE222" i="1"/>
  <c r="CS222" i="1" s="1"/>
  <c r="AF222" i="1"/>
  <c r="AG222" i="1"/>
  <c r="CU222" i="1" s="1"/>
  <c r="T222" i="1" s="1"/>
  <c r="AH222" i="1"/>
  <c r="AI222" i="1"/>
  <c r="CW222" i="1" s="1"/>
  <c r="V222" i="1" s="1"/>
  <c r="AJ222" i="1"/>
  <c r="CR222" i="1"/>
  <c r="CT222" i="1"/>
  <c r="CV222" i="1"/>
  <c r="CX222" i="1"/>
  <c r="GL222" i="1"/>
  <c r="GN222" i="1"/>
  <c r="GP222" i="1"/>
  <c r="GV222" i="1"/>
  <c r="HC222" i="1" s="1"/>
  <c r="GX222" i="1" s="1"/>
  <c r="D223" i="1"/>
  <c r="S223" i="1"/>
  <c r="U223" i="1"/>
  <c r="AC223" i="1"/>
  <c r="AE223" i="1"/>
  <c r="AF223" i="1"/>
  <c r="AG223" i="1"/>
  <c r="CU223" i="1" s="1"/>
  <c r="T223" i="1" s="1"/>
  <c r="AH223" i="1"/>
  <c r="AI223" i="1"/>
  <c r="CW223" i="1" s="1"/>
  <c r="V223" i="1" s="1"/>
  <c r="AJ223" i="1"/>
  <c r="CT223" i="1"/>
  <c r="CV223" i="1"/>
  <c r="CX223" i="1"/>
  <c r="W223" i="1" s="1"/>
  <c r="GL223" i="1"/>
  <c r="GN223" i="1"/>
  <c r="FT227" i="1" s="1"/>
  <c r="GP223" i="1"/>
  <c r="GV223" i="1"/>
  <c r="HC223" i="1" s="1"/>
  <c r="GX223" i="1" s="1"/>
  <c r="I224" i="1"/>
  <c r="S224" i="1"/>
  <c r="T224" i="1"/>
  <c r="W224" i="1"/>
  <c r="AC224" i="1"/>
  <c r="AE224" i="1"/>
  <c r="Q224" i="1" s="1"/>
  <c r="AF224" i="1"/>
  <c r="AG224" i="1"/>
  <c r="CU224" i="1" s="1"/>
  <c r="AH224" i="1"/>
  <c r="AI224" i="1"/>
  <c r="CW224" i="1" s="1"/>
  <c r="V224" i="1" s="1"/>
  <c r="AJ224" i="1"/>
  <c r="CT224" i="1"/>
  <c r="CV224" i="1"/>
  <c r="U224" i="1" s="1"/>
  <c r="CX224" i="1"/>
  <c r="GL224" i="1"/>
  <c r="GN224" i="1"/>
  <c r="GO224" i="1"/>
  <c r="GP224" i="1"/>
  <c r="GV224" i="1"/>
  <c r="HC224" i="1" s="1"/>
  <c r="GX224" i="1" s="1"/>
  <c r="I225" i="1"/>
  <c r="Q225" i="1" s="1"/>
  <c r="AB225" i="1"/>
  <c r="AC225" i="1"/>
  <c r="AD225" i="1"/>
  <c r="AE225" i="1"/>
  <c r="CR225" i="1" s="1"/>
  <c r="AF225" i="1"/>
  <c r="AG225" i="1"/>
  <c r="AH225" i="1"/>
  <c r="CV225" i="1" s="1"/>
  <c r="U225" i="1" s="1"/>
  <c r="AI225" i="1"/>
  <c r="AJ225" i="1"/>
  <c r="CX225" i="1" s="1"/>
  <c r="CQ225" i="1"/>
  <c r="CS225" i="1"/>
  <c r="CT225" i="1"/>
  <c r="CU225" i="1"/>
  <c r="T225" i="1" s="1"/>
  <c r="CW225" i="1"/>
  <c r="V225" i="1" s="1"/>
  <c r="GL225" i="1"/>
  <c r="GN225" i="1"/>
  <c r="GO225" i="1"/>
  <c r="GP225" i="1"/>
  <c r="GV225" i="1"/>
  <c r="HC225" i="1"/>
  <c r="GX225" i="1" s="1"/>
  <c r="B227" i="1"/>
  <c r="C227" i="1"/>
  <c r="C214" i="1" s="1"/>
  <c r="D227" i="1"/>
  <c r="D214" i="1" s="1"/>
  <c r="F227" i="1"/>
  <c r="F214" i="1" s="1"/>
  <c r="G227" i="1"/>
  <c r="AI227" i="1"/>
  <c r="AU227" i="1"/>
  <c r="AU214" i="1" s="1"/>
  <c r="BX227" i="1"/>
  <c r="CG227" i="1" s="1"/>
  <c r="CD227" i="1"/>
  <c r="CD214" i="1" s="1"/>
  <c r="CK227" i="1"/>
  <c r="CL227" i="1"/>
  <c r="CL214" i="1" s="1"/>
  <c r="CM227" i="1"/>
  <c r="ET227" i="1"/>
  <c r="P240" i="1" s="1"/>
  <c r="FP227" i="1"/>
  <c r="EG227" i="1" s="1"/>
  <c r="FR227" i="1"/>
  <c r="EI227" i="1" s="1"/>
  <c r="FV227" i="1"/>
  <c r="FV214" i="1" s="1"/>
  <c r="GC227" i="1"/>
  <c r="GC214" i="1" s="1"/>
  <c r="GD227" i="1"/>
  <c r="GD214" i="1" s="1"/>
  <c r="GE227" i="1"/>
  <c r="B257" i="1"/>
  <c r="B22" i="1" s="1"/>
  <c r="C257" i="1"/>
  <c r="C22" i="1" s="1"/>
  <c r="D257" i="1"/>
  <c r="D22" i="1" s="1"/>
  <c r="F257" i="1"/>
  <c r="F22" i="1" s="1"/>
  <c r="G257" i="1"/>
  <c r="G22" i="1" s="1"/>
  <c r="ET257" i="1"/>
  <c r="ET22" i="1" s="1"/>
  <c r="B287" i="1"/>
  <c r="B18" i="1" s="1"/>
  <c r="C287" i="1"/>
  <c r="C18" i="1" s="1"/>
  <c r="D287" i="1"/>
  <c r="D18" i="1" s="1"/>
  <c r="F287" i="1"/>
  <c r="F18" i="1" s="1"/>
  <c r="G287" i="1"/>
  <c r="G18" i="1" s="1"/>
  <c r="F12" i="6"/>
  <c r="G12" i="6"/>
  <c r="J330" i="7" l="1"/>
  <c r="J230" i="7"/>
  <c r="J326" i="7"/>
  <c r="H330" i="7"/>
  <c r="CB214" i="1"/>
  <c r="AS227" i="1"/>
  <c r="AQ227" i="1"/>
  <c r="BZ214" i="1"/>
  <c r="CZ220" i="1"/>
  <c r="Y220" i="1" s="1"/>
  <c r="AH227" i="1"/>
  <c r="FV145" i="1"/>
  <c r="EM182" i="1"/>
  <c r="DZ214" i="1"/>
  <c r="DM227" i="1"/>
  <c r="GB227" i="1"/>
  <c r="CJ227" i="1"/>
  <c r="EI214" i="1"/>
  <c r="P237" i="1"/>
  <c r="EG214" i="1"/>
  <c r="P231" i="1"/>
  <c r="AG214" i="1"/>
  <c r="T227" i="1"/>
  <c r="CZ222" i="1"/>
  <c r="Y222" i="1" s="1"/>
  <c r="CB145" i="1"/>
  <c r="AS182" i="1"/>
  <c r="EK227" i="1"/>
  <c r="FT214" i="1"/>
  <c r="CG214" i="1"/>
  <c r="AX227" i="1"/>
  <c r="DY227" i="1"/>
  <c r="CY165" i="1"/>
  <c r="X165" i="1" s="1"/>
  <c r="CL145" i="1"/>
  <c r="BC182" i="1"/>
  <c r="EU227" i="1"/>
  <c r="AD223" i="1"/>
  <c r="R223" i="1"/>
  <c r="CZ223" i="1" s="1"/>
  <c r="Y223" i="1" s="1"/>
  <c r="CR223" i="1"/>
  <c r="CS223" i="1"/>
  <c r="R220" i="1"/>
  <c r="AD220" i="1"/>
  <c r="AB220" i="1" s="1"/>
  <c r="P219" i="1"/>
  <c r="CT171" i="1"/>
  <c r="ET214" i="1"/>
  <c r="BX214" i="1"/>
  <c r="W178" i="1"/>
  <c r="EV227" i="1"/>
  <c r="GE214" i="1"/>
  <c r="CQ224" i="1"/>
  <c r="AB224" i="1"/>
  <c r="P224" i="1"/>
  <c r="AO227" i="1"/>
  <c r="W225" i="1"/>
  <c r="EB227" i="1" s="1"/>
  <c r="R225" i="1"/>
  <c r="CY218" i="1"/>
  <c r="X218" i="1" s="1"/>
  <c r="P207" i="1"/>
  <c r="EV145" i="1"/>
  <c r="Q180" i="1"/>
  <c r="S180" i="1"/>
  <c r="CD182" i="1"/>
  <c r="T149" i="1"/>
  <c r="P223" i="1"/>
  <c r="AB223" i="1"/>
  <c r="FY227" i="1"/>
  <c r="CR224" i="1"/>
  <c r="CQ217" i="1"/>
  <c r="AB217" i="1"/>
  <c r="FR214" i="1"/>
  <c r="EU182" i="1"/>
  <c r="CR168" i="1"/>
  <c r="AD168" i="1"/>
  <c r="AB168" i="1" s="1"/>
  <c r="CY148" i="1"/>
  <c r="X148" i="1" s="1"/>
  <c r="CZ148" i="1"/>
  <c r="Y148" i="1" s="1"/>
  <c r="V227" i="1"/>
  <c r="AI214" i="1"/>
  <c r="FP214" i="1"/>
  <c r="CR176" i="1"/>
  <c r="AD176" i="1"/>
  <c r="AB176" i="1" s="1"/>
  <c r="CS176" i="1"/>
  <c r="CZ165" i="1"/>
  <c r="Y165" i="1" s="1"/>
  <c r="BZ182" i="1"/>
  <c r="FR221" i="1"/>
  <c r="CP221" i="1"/>
  <c r="O221" i="1" s="1"/>
  <c r="ET287" i="1"/>
  <c r="F246" i="1"/>
  <c r="BC227" i="1"/>
  <c r="CQ223" i="1"/>
  <c r="CR220" i="1"/>
  <c r="CS216" i="1"/>
  <c r="AD216" i="1"/>
  <c r="AB216" i="1" s="1"/>
  <c r="R216" i="1"/>
  <c r="ET145" i="1"/>
  <c r="P195" i="1"/>
  <c r="GX178" i="1"/>
  <c r="CZ173" i="1"/>
  <c r="Y173" i="1" s="1"/>
  <c r="FT145" i="1"/>
  <c r="EK182" i="1"/>
  <c r="AD227" i="1"/>
  <c r="CK214" i="1"/>
  <c r="BB227" i="1"/>
  <c r="S225" i="1"/>
  <c r="Q223" i="1"/>
  <c r="CQ222" i="1"/>
  <c r="AB222" i="1"/>
  <c r="CY220" i="1"/>
  <c r="X220" i="1" s="1"/>
  <c r="CY216" i="1"/>
  <c r="X216" i="1" s="1"/>
  <c r="AK227" i="1" s="1"/>
  <c r="CQ216" i="1"/>
  <c r="P216" i="1"/>
  <c r="GA182" i="1"/>
  <c r="S179" i="1"/>
  <c r="CT179" i="1"/>
  <c r="I178" i="1"/>
  <c r="Q174" i="1"/>
  <c r="P174" i="1"/>
  <c r="CT160" i="1"/>
  <c r="S160" i="1"/>
  <c r="EG145" i="1"/>
  <c r="P186" i="1"/>
  <c r="EG257" i="1"/>
  <c r="EM227" i="1"/>
  <c r="AF227" i="1"/>
  <c r="CT221" i="1"/>
  <c r="S221" i="1"/>
  <c r="DX227" i="1"/>
  <c r="F191" i="1"/>
  <c r="W180" i="1"/>
  <c r="R176" i="1"/>
  <c r="GX174" i="1"/>
  <c r="CS168" i="1"/>
  <c r="R168" i="1"/>
  <c r="CS224" i="1"/>
  <c r="AD224" i="1"/>
  <c r="R224" i="1"/>
  <c r="CY224" i="1" s="1"/>
  <c r="X224" i="1" s="1"/>
  <c r="P218" i="1"/>
  <c r="P270" i="1"/>
  <c r="P217" i="1"/>
  <c r="AJ227" i="1"/>
  <c r="CZ177" i="1"/>
  <c r="Y177" i="1" s="1"/>
  <c r="CY177" i="1"/>
  <c r="X177" i="1" s="1"/>
  <c r="I176" i="1"/>
  <c r="T176" i="1" s="1"/>
  <c r="Q168" i="1"/>
  <c r="CP163" i="1"/>
  <c r="O163" i="1" s="1"/>
  <c r="CY222" i="1"/>
  <c r="X222" i="1" s="1"/>
  <c r="CY219" i="1"/>
  <c r="X219" i="1" s="1"/>
  <c r="CZ219" i="1"/>
  <c r="Y219" i="1" s="1"/>
  <c r="V155" i="1"/>
  <c r="CM214" i="1"/>
  <c r="BD227" i="1"/>
  <c r="P225" i="1"/>
  <c r="V219" i="1"/>
  <c r="EA227" i="1" s="1"/>
  <c r="AD218" i="1"/>
  <c r="AB218" i="1" s="1"/>
  <c r="R218" i="1"/>
  <c r="CZ218" i="1" s="1"/>
  <c r="Y218" i="1" s="1"/>
  <c r="CR218" i="1"/>
  <c r="CS218" i="1"/>
  <c r="EI182" i="1"/>
  <c r="V178" i="1"/>
  <c r="CP162" i="1"/>
  <c r="O162" i="1" s="1"/>
  <c r="GM162" i="1" s="1"/>
  <c r="GO162" i="1" s="1"/>
  <c r="R222" i="1"/>
  <c r="P220" i="1"/>
  <c r="R217" i="1"/>
  <c r="P176" i="1"/>
  <c r="P172" i="1"/>
  <c r="CP172" i="1" s="1"/>
  <c r="O172" i="1" s="1"/>
  <c r="AB170" i="1"/>
  <c r="CR160" i="1"/>
  <c r="AD160" i="1"/>
  <c r="AB160" i="1" s="1"/>
  <c r="GX158" i="1"/>
  <c r="S158" i="1"/>
  <c r="CS157" i="1"/>
  <c r="T155" i="1"/>
  <c r="Q153" i="1"/>
  <c r="T153" i="1"/>
  <c r="Q151" i="1"/>
  <c r="V151" i="1"/>
  <c r="T110" i="1"/>
  <c r="Q222" i="1"/>
  <c r="CP222" i="1" s="1"/>
  <c r="O222" i="1" s="1"/>
  <c r="Q217" i="1"/>
  <c r="DV227" i="1" s="1"/>
  <c r="U174" i="1"/>
  <c r="CQ167" i="1"/>
  <c r="U165" i="1"/>
  <c r="CT163" i="1"/>
  <c r="S163" i="1"/>
  <c r="V161" i="1"/>
  <c r="S159" i="1"/>
  <c r="P158" i="1"/>
  <c r="Q157" i="1"/>
  <c r="Q154" i="1"/>
  <c r="GX150" i="1"/>
  <c r="CQ147" i="1"/>
  <c r="P147" i="1"/>
  <c r="AB147" i="1"/>
  <c r="I167" i="1"/>
  <c r="Q165" i="1"/>
  <c r="CP165" i="1" s="1"/>
  <c r="O165" i="1" s="1"/>
  <c r="GM165" i="1" s="1"/>
  <c r="GO165" i="1" s="1"/>
  <c r="CR163" i="1"/>
  <c r="AD163" i="1"/>
  <c r="AB163" i="1" s="1"/>
  <c r="T152" i="1"/>
  <c r="T150" i="1"/>
  <c r="CR149" i="1"/>
  <c r="CS149" i="1"/>
  <c r="AD149" i="1"/>
  <c r="GC145" i="1"/>
  <c r="S178" i="1"/>
  <c r="CP177" i="1"/>
  <c r="O177" i="1" s="1"/>
  <c r="GM177" i="1" s="1"/>
  <c r="GO177" i="1" s="1"/>
  <c r="AB175" i="1"/>
  <c r="W169" i="1"/>
  <c r="V164" i="1"/>
  <c r="GX161" i="1"/>
  <c r="S161" i="1"/>
  <c r="GX157" i="1"/>
  <c r="GX155" i="1"/>
  <c r="EI26" i="1"/>
  <c r="P123" i="1"/>
  <c r="FY182" i="1"/>
  <c r="EH182" i="1"/>
  <c r="R174" i="1"/>
  <c r="CY174" i="1" s="1"/>
  <c r="X174" i="1" s="1"/>
  <c r="R172" i="1"/>
  <c r="CZ172" i="1" s="1"/>
  <c r="Y172" i="1" s="1"/>
  <c r="I171" i="1"/>
  <c r="V171" i="1" s="1"/>
  <c r="CQ170" i="1"/>
  <c r="CT168" i="1"/>
  <c r="S168" i="1"/>
  <c r="R165" i="1"/>
  <c r="V163" i="1"/>
  <c r="CZ162" i="1"/>
  <c r="Y162" i="1" s="1"/>
  <c r="P161" i="1"/>
  <c r="CS160" i="1"/>
  <c r="AB159" i="1"/>
  <c r="T159" i="1"/>
  <c r="CP150" i="1"/>
  <c r="O150" i="1" s="1"/>
  <c r="AB178" i="1"/>
  <c r="P168" i="1"/>
  <c r="CP168" i="1" s="1"/>
  <c r="O168" i="1" s="1"/>
  <c r="P164" i="1"/>
  <c r="CP164" i="1" s="1"/>
  <c r="O164" i="1" s="1"/>
  <c r="CS163" i="1"/>
  <c r="AB162" i="1"/>
  <c r="R160" i="1"/>
  <c r="CT159" i="1"/>
  <c r="CT157" i="1"/>
  <c r="S157" i="1"/>
  <c r="AD153" i="1"/>
  <c r="AB153" i="1" s="1"/>
  <c r="CR153" i="1"/>
  <c r="CS153" i="1"/>
  <c r="AB150" i="1"/>
  <c r="CR157" i="1"/>
  <c r="AD157" i="1"/>
  <c r="AB157" i="1" s="1"/>
  <c r="AD156" i="1"/>
  <c r="AB156" i="1" s="1"/>
  <c r="CR156" i="1"/>
  <c r="CS156" i="1"/>
  <c r="Q156" i="1"/>
  <c r="CP156" i="1" s="1"/>
  <c r="O156" i="1" s="1"/>
  <c r="R156" i="1"/>
  <c r="CY156" i="1" s="1"/>
  <c r="X156" i="1" s="1"/>
  <c r="R154" i="1"/>
  <c r="CY154" i="1" s="1"/>
  <c r="X154" i="1" s="1"/>
  <c r="CS154" i="1"/>
  <c r="AD154" i="1"/>
  <c r="CR154" i="1"/>
  <c r="AO182" i="1"/>
  <c r="P180" i="1"/>
  <c r="CP180" i="1" s="1"/>
  <c r="O180" i="1" s="1"/>
  <c r="CT178" i="1"/>
  <c r="I175" i="1"/>
  <c r="Q173" i="1"/>
  <c r="CP173" i="1" s="1"/>
  <c r="O173" i="1" s="1"/>
  <c r="GM173" i="1" s="1"/>
  <c r="GO173" i="1" s="1"/>
  <c r="CR171" i="1"/>
  <c r="AD171" i="1"/>
  <c r="AB171" i="1" s="1"/>
  <c r="I170" i="1"/>
  <c r="T170" i="1" s="1"/>
  <c r="Q166" i="1"/>
  <c r="CP166" i="1" s="1"/>
  <c r="O166" i="1" s="1"/>
  <c r="R163" i="1"/>
  <c r="CT162" i="1"/>
  <c r="R161" i="1"/>
  <c r="P157" i="1"/>
  <c r="CQ154" i="1"/>
  <c r="AB154" i="1"/>
  <c r="P154" i="1"/>
  <c r="CP154" i="1" s="1"/>
  <c r="O154" i="1" s="1"/>
  <c r="W153" i="1"/>
  <c r="T151" i="1"/>
  <c r="CT150" i="1"/>
  <c r="V165" i="1"/>
  <c r="Q163" i="1"/>
  <c r="W159" i="1"/>
  <c r="Q150" i="1"/>
  <c r="R150" i="1"/>
  <c r="CZ150" i="1" s="1"/>
  <c r="Y150" i="1" s="1"/>
  <c r="CG182" i="1"/>
  <c r="AB179" i="1"/>
  <c r="CQ178" i="1"/>
  <c r="CT176" i="1"/>
  <c r="S176" i="1"/>
  <c r="R173" i="1"/>
  <c r="CY173" i="1" s="1"/>
  <c r="X173" i="1" s="1"/>
  <c r="I169" i="1"/>
  <c r="T167" i="1"/>
  <c r="R166" i="1"/>
  <c r="CY166" i="1" s="1"/>
  <c r="X166" i="1" s="1"/>
  <c r="R164" i="1"/>
  <c r="CY164" i="1" s="1"/>
  <c r="X164" i="1" s="1"/>
  <c r="CQ162" i="1"/>
  <c r="V157" i="1"/>
  <c r="S153" i="1"/>
  <c r="S151" i="1"/>
  <c r="CQ150" i="1"/>
  <c r="CY107" i="1"/>
  <c r="X107" i="1" s="1"/>
  <c r="CZ107" i="1"/>
  <c r="Y107" i="1" s="1"/>
  <c r="P151" i="1"/>
  <c r="CP151" i="1" s="1"/>
  <c r="O151" i="1" s="1"/>
  <c r="V150" i="1"/>
  <c r="V147" i="1"/>
  <c r="AB148" i="1"/>
  <c r="P148" i="1"/>
  <c r="CQ148" i="1"/>
  <c r="I149" i="1"/>
  <c r="V149" i="1" s="1"/>
  <c r="I155" i="1"/>
  <c r="CD26" i="1"/>
  <c r="AU113" i="1"/>
  <c r="W110" i="1"/>
  <c r="P109" i="1"/>
  <c r="R155" i="1"/>
  <c r="CS150" i="1"/>
  <c r="CK26" i="1"/>
  <c r="BB113" i="1"/>
  <c r="AD147" i="1"/>
  <c r="R147" i="1"/>
  <c r="EU26" i="1"/>
  <c r="P129" i="1"/>
  <c r="CB26" i="1"/>
  <c r="AS113" i="1"/>
  <c r="CY111" i="1"/>
  <c r="X111" i="1" s="1"/>
  <c r="CZ111" i="1"/>
  <c r="Y111" i="1" s="1"/>
  <c r="U110" i="1"/>
  <c r="U109" i="1"/>
  <c r="CP93" i="1"/>
  <c r="O93" i="1" s="1"/>
  <c r="FR93" i="1"/>
  <c r="Q162" i="1"/>
  <c r="P153" i="1"/>
  <c r="AB152" i="1"/>
  <c r="W147" i="1"/>
  <c r="CY106" i="1"/>
  <c r="X106" i="1" s="1"/>
  <c r="CP99" i="1"/>
  <c r="O99" i="1" s="1"/>
  <c r="CY96" i="1"/>
  <c r="X96" i="1" s="1"/>
  <c r="AB155" i="1"/>
  <c r="V109" i="1"/>
  <c r="I159" i="1"/>
  <c r="CQ152" i="1"/>
  <c r="CQ149" i="1"/>
  <c r="AB149" i="1"/>
  <c r="Q148" i="1"/>
  <c r="I152" i="1"/>
  <c r="CS147" i="1"/>
  <c r="S147" i="1"/>
  <c r="CZ104" i="1"/>
  <c r="Y104" i="1" s="1"/>
  <c r="EK113" i="1"/>
  <c r="S108" i="1"/>
  <c r="P108" i="1"/>
  <c r="GX105" i="1"/>
  <c r="Q104" i="1"/>
  <c r="R104" i="1"/>
  <c r="CY104" i="1" s="1"/>
  <c r="X104" i="1" s="1"/>
  <c r="CS103" i="1"/>
  <c r="P97" i="1"/>
  <c r="CY93" i="1"/>
  <c r="X93" i="1" s="1"/>
  <c r="EV113" i="1"/>
  <c r="P111" i="1"/>
  <c r="AD110" i="1"/>
  <c r="AB110" i="1" s="1"/>
  <c r="I110" i="1"/>
  <c r="Q107" i="1"/>
  <c r="I109" i="1"/>
  <c r="AB106" i="1"/>
  <c r="CR103" i="1"/>
  <c r="CQ98" i="1"/>
  <c r="P95" i="1"/>
  <c r="U94" i="1"/>
  <c r="AB93" i="1"/>
  <c r="P92" i="1"/>
  <c r="CR85" i="1"/>
  <c r="R85" i="1"/>
  <c r="CY85" i="1" s="1"/>
  <c r="X85" i="1" s="1"/>
  <c r="CS85" i="1"/>
  <c r="AB69" i="1"/>
  <c r="CQ69" i="1"/>
  <c r="S80" i="1"/>
  <c r="S76" i="1"/>
  <c r="CT76" i="1"/>
  <c r="P117" i="1"/>
  <c r="FY113" i="1"/>
  <c r="AB109" i="1"/>
  <c r="W101" i="1"/>
  <c r="R97" i="1"/>
  <c r="CY97" i="1" s="1"/>
  <c r="X97" i="1" s="1"/>
  <c r="CR97" i="1"/>
  <c r="S89" i="1"/>
  <c r="CT89" i="1"/>
  <c r="CR83" i="1"/>
  <c r="AD83" i="1"/>
  <c r="AB83" i="1" s="1"/>
  <c r="CS83" i="1"/>
  <c r="CR80" i="1"/>
  <c r="CS80" i="1"/>
  <c r="AD80" i="1"/>
  <c r="CR111" i="1"/>
  <c r="CT108" i="1"/>
  <c r="AB108" i="1"/>
  <c r="P105" i="1"/>
  <c r="AB104" i="1"/>
  <c r="CZ103" i="1"/>
  <c r="Y103" i="1" s="1"/>
  <c r="CR102" i="1"/>
  <c r="CS102" i="1"/>
  <c r="FR100" i="1"/>
  <c r="Q100" i="1"/>
  <c r="CP100" i="1" s="1"/>
  <c r="O100" i="1" s="1"/>
  <c r="R100" i="1"/>
  <c r="CY100" i="1" s="1"/>
  <c r="X100" i="1" s="1"/>
  <c r="AD97" i="1"/>
  <c r="Q94" i="1"/>
  <c r="CR89" i="1"/>
  <c r="CS89" i="1"/>
  <c r="AD89" i="1"/>
  <c r="AB89" i="1" s="1"/>
  <c r="Q89" i="1"/>
  <c r="S87" i="1"/>
  <c r="W84" i="1"/>
  <c r="CQ84" i="1"/>
  <c r="AB84" i="1"/>
  <c r="CZ83" i="1"/>
  <c r="Y83" i="1" s="1"/>
  <c r="FR83" i="1"/>
  <c r="AB80" i="1"/>
  <c r="P80" i="1"/>
  <c r="Q79" i="1"/>
  <c r="GX79" i="1"/>
  <c r="P89" i="1"/>
  <c r="CR88" i="1"/>
  <c r="CS88" i="1"/>
  <c r="CT86" i="1"/>
  <c r="Q86" i="1"/>
  <c r="W82" i="1"/>
  <c r="CQ109" i="1"/>
  <c r="W108" i="1"/>
  <c r="Q103" i="1"/>
  <c r="CP103" i="1" s="1"/>
  <c r="O103" i="1" s="1"/>
  <c r="GM103" i="1" s="1"/>
  <c r="GO103" i="1" s="1"/>
  <c r="AB102" i="1"/>
  <c r="AB97" i="1"/>
  <c r="CP96" i="1"/>
  <c r="O96" i="1" s="1"/>
  <c r="CY92" i="1"/>
  <c r="X92" i="1" s="1"/>
  <c r="P86" i="1"/>
  <c r="S84" i="1"/>
  <c r="CZ81" i="1"/>
  <c r="Y81" i="1" s="1"/>
  <c r="S77" i="1"/>
  <c r="CT77" i="1"/>
  <c r="CY71" i="1"/>
  <c r="X71" i="1" s="1"/>
  <c r="CZ71" i="1"/>
  <c r="Y71" i="1" s="1"/>
  <c r="BD113" i="1"/>
  <c r="P106" i="1"/>
  <c r="CP106" i="1" s="1"/>
  <c r="O106" i="1" s="1"/>
  <c r="R105" i="1"/>
  <c r="CZ105" i="1" s="1"/>
  <c r="Y105" i="1" s="1"/>
  <c r="CR105" i="1"/>
  <c r="GX104" i="1"/>
  <c r="Q101" i="1"/>
  <c r="CY98" i="1"/>
  <c r="X98" i="1" s="1"/>
  <c r="GM98" i="1" s="1"/>
  <c r="GO98" i="1" s="1"/>
  <c r="AB95" i="1"/>
  <c r="AB92" i="1"/>
  <c r="CZ85" i="1"/>
  <c r="Y85" i="1" s="1"/>
  <c r="P84" i="1"/>
  <c r="R83" i="1"/>
  <c r="CY83" i="1" s="1"/>
  <c r="X83" i="1" s="1"/>
  <c r="Q82" i="1"/>
  <c r="S82" i="1"/>
  <c r="GX82" i="1"/>
  <c r="V79" i="1"/>
  <c r="CT71" i="1"/>
  <c r="S64" i="1"/>
  <c r="CT64" i="1"/>
  <c r="AB64" i="1"/>
  <c r="BC113" i="1"/>
  <c r="AQ113" i="1"/>
  <c r="AD105" i="1"/>
  <c r="AB105" i="1" s="1"/>
  <c r="CY103" i="1"/>
  <c r="X103" i="1" s="1"/>
  <c r="CT102" i="1"/>
  <c r="P101" i="1"/>
  <c r="AB100" i="1"/>
  <c r="S99" i="1"/>
  <c r="CZ98" i="1"/>
  <c r="Y98" i="1" s="1"/>
  <c r="CR98" i="1"/>
  <c r="CS98" i="1"/>
  <c r="CS97" i="1"/>
  <c r="V97" i="1"/>
  <c r="FR96" i="1"/>
  <c r="Q83" i="1"/>
  <c r="CP83" i="1" s="1"/>
  <c r="O83" i="1" s="1"/>
  <c r="CP81" i="1"/>
  <c r="O81" i="1" s="1"/>
  <c r="FR81" i="1"/>
  <c r="P126" i="1"/>
  <c r="CG113" i="1"/>
  <c r="EM113" i="1"/>
  <c r="AO113" i="1"/>
  <c r="R108" i="1"/>
  <c r="CP107" i="1"/>
  <c r="O107" i="1" s="1"/>
  <c r="GM107" i="1" s="1"/>
  <c r="GO107" i="1" s="1"/>
  <c r="Q106" i="1"/>
  <c r="R106" i="1"/>
  <c r="CZ106" i="1" s="1"/>
  <c r="Y106" i="1" s="1"/>
  <c r="P104" i="1"/>
  <c r="T97" i="1"/>
  <c r="FR90" i="1"/>
  <c r="CP90" i="1"/>
  <c r="O90" i="1" s="1"/>
  <c r="GM90" i="1" s="1"/>
  <c r="CZ79" i="1"/>
  <c r="Y79" i="1" s="1"/>
  <c r="S69" i="1"/>
  <c r="R102" i="1"/>
  <c r="CZ102" i="1" s="1"/>
  <c r="Y102" i="1" s="1"/>
  <c r="CR101" i="1"/>
  <c r="R101" i="1"/>
  <c r="CZ101" i="1" s="1"/>
  <c r="Y101" i="1" s="1"/>
  <c r="GX100" i="1"/>
  <c r="Q97" i="1"/>
  <c r="CZ94" i="1"/>
  <c r="Y94" i="1" s="1"/>
  <c r="AB94" i="1"/>
  <c r="P94" i="1"/>
  <c r="CQ94" i="1"/>
  <c r="R88" i="1"/>
  <c r="CZ88" i="1" s="1"/>
  <c r="Y88" i="1" s="1"/>
  <c r="CS87" i="1"/>
  <c r="Q87" i="1"/>
  <c r="CP87" i="1" s="1"/>
  <c r="O87" i="1" s="1"/>
  <c r="CR87" i="1"/>
  <c r="AD87" i="1"/>
  <c r="AB87" i="1" s="1"/>
  <c r="R87" i="1"/>
  <c r="U84" i="1"/>
  <c r="P75" i="1"/>
  <c r="CQ74" i="1"/>
  <c r="P74" i="1"/>
  <c r="CP74" i="1" s="1"/>
  <c r="O74" i="1" s="1"/>
  <c r="R96" i="1"/>
  <c r="CZ96" i="1" s="1"/>
  <c r="Y96" i="1" s="1"/>
  <c r="CR92" i="1"/>
  <c r="P88" i="1"/>
  <c r="CP88" i="1" s="1"/>
  <c r="O88" i="1" s="1"/>
  <c r="GM88" i="1" s="1"/>
  <c r="GO88" i="1" s="1"/>
  <c r="CR82" i="1"/>
  <c r="AD82" i="1"/>
  <c r="AB82" i="1" s="1"/>
  <c r="R82" i="1"/>
  <c r="AD79" i="1"/>
  <c r="AB79" i="1" s="1"/>
  <c r="R79" i="1"/>
  <c r="CY79" i="1" s="1"/>
  <c r="X79" i="1" s="1"/>
  <c r="R61" i="1"/>
  <c r="CR61" i="1"/>
  <c r="CS61" i="1"/>
  <c r="AD61" i="1"/>
  <c r="AB61" i="1" s="1"/>
  <c r="CT58" i="1"/>
  <c r="S56" i="1"/>
  <c r="CT56" i="1"/>
  <c r="CY88" i="1"/>
  <c r="X88" i="1" s="1"/>
  <c r="AD86" i="1"/>
  <c r="AB86" i="1" s="1"/>
  <c r="R84" i="1"/>
  <c r="P82" i="1"/>
  <c r="P79" i="1"/>
  <c r="CQ79" i="1"/>
  <c r="T73" i="1"/>
  <c r="P68" i="1"/>
  <c r="CQ68" i="1"/>
  <c r="AB68" i="1"/>
  <c r="CY67" i="1"/>
  <c r="X67" i="1" s="1"/>
  <c r="P64" i="1"/>
  <c r="CQ64" i="1"/>
  <c r="CS59" i="1"/>
  <c r="Q53" i="1"/>
  <c r="T53" i="1"/>
  <c r="W53" i="1"/>
  <c r="R81" i="1"/>
  <c r="CY81" i="1" s="1"/>
  <c r="X81" i="1" s="1"/>
  <c r="CR81" i="1"/>
  <c r="CS81" i="1"/>
  <c r="Q71" i="1"/>
  <c r="T71" i="1"/>
  <c r="CZ61" i="1"/>
  <c r="Y61" i="1" s="1"/>
  <c r="CY61" i="1"/>
  <c r="X61" i="1" s="1"/>
  <c r="FR70" i="1"/>
  <c r="P65" i="1"/>
  <c r="CY58" i="1"/>
  <c r="X58" i="1" s="1"/>
  <c r="Q85" i="1"/>
  <c r="CP85" i="1" s="1"/>
  <c r="O85" i="1" s="1"/>
  <c r="T83" i="1"/>
  <c r="AB81" i="1"/>
  <c r="CR79" i="1"/>
  <c r="AB77" i="1"/>
  <c r="P77" i="1"/>
  <c r="CR76" i="1"/>
  <c r="CS76" i="1"/>
  <c r="CY74" i="1"/>
  <c r="X74" i="1" s="1"/>
  <c r="GX73" i="1"/>
  <c r="GX72" i="1"/>
  <c r="W72" i="1"/>
  <c r="CR94" i="1"/>
  <c r="CS94" i="1"/>
  <c r="AD93" i="1"/>
  <c r="P91" i="1"/>
  <c r="R86" i="1"/>
  <c r="CZ86" i="1" s="1"/>
  <c r="Y86" i="1" s="1"/>
  <c r="GX84" i="1"/>
  <c r="W79" i="1"/>
  <c r="S78" i="1"/>
  <c r="AD76" i="1"/>
  <c r="AB76" i="1" s="1"/>
  <c r="CZ74" i="1"/>
  <c r="Y74" i="1" s="1"/>
  <c r="GX71" i="1"/>
  <c r="V71" i="1"/>
  <c r="P36" i="1"/>
  <c r="CQ36" i="1"/>
  <c r="AB36" i="1"/>
  <c r="S38" i="1"/>
  <c r="P38" i="1"/>
  <c r="T38" i="1"/>
  <c r="CT60" i="1"/>
  <c r="S60" i="1"/>
  <c r="CT70" i="1"/>
  <c r="S70" i="1"/>
  <c r="CP70" i="1" s="1"/>
  <c r="O70" i="1" s="1"/>
  <c r="R59" i="1"/>
  <c r="AD59" i="1"/>
  <c r="AB59" i="1" s="1"/>
  <c r="Q59" i="1"/>
  <c r="CP59" i="1" s="1"/>
  <c r="O59" i="1" s="1"/>
  <c r="Q78" i="1"/>
  <c r="V61" i="1"/>
  <c r="Q61" i="1"/>
  <c r="CP61" i="1" s="1"/>
  <c r="O61" i="1" s="1"/>
  <c r="GM61" i="1" s="1"/>
  <c r="AB60" i="1"/>
  <c r="CR58" i="1"/>
  <c r="AD58" i="1"/>
  <c r="AB58" i="1" s="1"/>
  <c r="S57" i="1"/>
  <c r="CT37" i="1"/>
  <c r="S37" i="1"/>
  <c r="P78" i="1"/>
  <c r="R75" i="1"/>
  <c r="CY75" i="1" s="1"/>
  <c r="X75" i="1" s="1"/>
  <c r="S73" i="1"/>
  <c r="CQ72" i="1"/>
  <c r="CR69" i="1"/>
  <c r="CS68" i="1"/>
  <c r="CQ67" i="1"/>
  <c r="CQ66" i="1"/>
  <c r="CT62" i="1"/>
  <c r="AB62" i="1"/>
  <c r="CP58" i="1"/>
  <c r="O58" i="1" s="1"/>
  <c r="AB56" i="1"/>
  <c r="CZ55" i="1"/>
  <c r="Y55" i="1" s="1"/>
  <c r="U53" i="1"/>
  <c r="CY33" i="1"/>
  <c r="X33" i="1" s="1"/>
  <c r="CZ33" i="1"/>
  <c r="Y33" i="1" s="1"/>
  <c r="Q75" i="1"/>
  <c r="AD54" i="1"/>
  <c r="Q54" i="1"/>
  <c r="CP54" i="1" s="1"/>
  <c r="O54" i="1" s="1"/>
  <c r="CR54" i="1"/>
  <c r="CS43" i="1"/>
  <c r="AD43" i="1"/>
  <c r="Q43" i="1"/>
  <c r="CR43" i="1"/>
  <c r="R43" i="1"/>
  <c r="CZ43" i="1" s="1"/>
  <c r="Y43" i="1" s="1"/>
  <c r="R39" i="1"/>
  <c r="W38" i="1"/>
  <c r="AB78" i="1"/>
  <c r="AD75" i="1"/>
  <c r="AB75" i="1" s="1"/>
  <c r="V70" i="1"/>
  <c r="S53" i="1"/>
  <c r="CP51" i="1"/>
  <c r="O51" i="1" s="1"/>
  <c r="CQ43" i="1"/>
  <c r="AB43" i="1"/>
  <c r="P43" i="1"/>
  <c r="CP33" i="1"/>
  <c r="O33" i="1" s="1"/>
  <c r="CQ55" i="1"/>
  <c r="AB55" i="1"/>
  <c r="P55" i="1"/>
  <c r="CP55" i="1" s="1"/>
  <c r="O55" i="1" s="1"/>
  <c r="AD53" i="1"/>
  <c r="AB53" i="1" s="1"/>
  <c r="CR53" i="1"/>
  <c r="CS53" i="1"/>
  <c r="I80" i="1"/>
  <c r="V80" i="1" s="1"/>
  <c r="CS75" i="1"/>
  <c r="R71" i="1"/>
  <c r="R67" i="1"/>
  <c r="CZ67" i="1" s="1"/>
  <c r="Y67" i="1" s="1"/>
  <c r="R66" i="1"/>
  <c r="CY66" i="1" s="1"/>
  <c r="X66" i="1" s="1"/>
  <c r="S65" i="1"/>
  <c r="R64" i="1"/>
  <c r="CR63" i="1"/>
  <c r="R63" i="1"/>
  <c r="CY63" i="1" s="1"/>
  <c r="X63" i="1" s="1"/>
  <c r="CS58" i="1"/>
  <c r="AD57" i="1"/>
  <c r="AB57" i="1" s="1"/>
  <c r="R57" i="1"/>
  <c r="CQ56" i="1"/>
  <c r="FR31" i="1"/>
  <c r="I73" i="1"/>
  <c r="R70" i="1"/>
  <c r="R69" i="1"/>
  <c r="R68" i="1"/>
  <c r="CQ58" i="1"/>
  <c r="R58" i="1"/>
  <c r="CZ58" i="1" s="1"/>
  <c r="Y58" i="1" s="1"/>
  <c r="CZ48" i="1"/>
  <c r="Y48" i="1" s="1"/>
  <c r="P41" i="1"/>
  <c r="CP41" i="1" s="1"/>
  <c r="O41" i="1" s="1"/>
  <c r="CQ41" i="1"/>
  <c r="GX38" i="1"/>
  <c r="CP56" i="1"/>
  <c r="O56" i="1" s="1"/>
  <c r="V53" i="1"/>
  <c r="CP47" i="1"/>
  <c r="O47" i="1" s="1"/>
  <c r="I72" i="1"/>
  <c r="T72" i="1" s="1"/>
  <c r="S68" i="1"/>
  <c r="R65" i="1"/>
  <c r="CP60" i="1"/>
  <c r="O60" i="1" s="1"/>
  <c r="R54" i="1"/>
  <c r="CZ54" i="1" s="1"/>
  <c r="Y54" i="1" s="1"/>
  <c r="CT53" i="1"/>
  <c r="CP46" i="1"/>
  <c r="O46" i="1" s="1"/>
  <c r="S41" i="1"/>
  <c r="P71" i="1"/>
  <c r="I69" i="1"/>
  <c r="P69" i="1" s="1"/>
  <c r="Q67" i="1"/>
  <c r="CP67" i="1" s="1"/>
  <c r="O67" i="1" s="1"/>
  <c r="GM67" i="1" s="1"/>
  <c r="GO67" i="1" s="1"/>
  <c r="R53" i="1"/>
  <c r="CZ52" i="1"/>
  <c r="Y52" i="1" s="1"/>
  <c r="CY36" i="1"/>
  <c r="X36" i="1" s="1"/>
  <c r="CZ36" i="1"/>
  <c r="Y36" i="1" s="1"/>
  <c r="P42" i="1"/>
  <c r="CQ42" i="1"/>
  <c r="AB54" i="1"/>
  <c r="AB42" i="1"/>
  <c r="AB37" i="1"/>
  <c r="GX34" i="1"/>
  <c r="CR29" i="1"/>
  <c r="CP49" i="1"/>
  <c r="O49" i="1" s="1"/>
  <c r="CT47" i="1"/>
  <c r="S47" i="1"/>
  <c r="CZ44" i="1"/>
  <c r="Y44" i="1" s="1"/>
  <c r="CP29" i="1"/>
  <c r="O29" i="1" s="1"/>
  <c r="CT55" i="1"/>
  <c r="R52" i="1"/>
  <c r="CY52" i="1" s="1"/>
  <c r="X52" i="1" s="1"/>
  <c r="GM52" i="1" s="1"/>
  <c r="CR51" i="1"/>
  <c r="R51" i="1"/>
  <c r="CT50" i="1"/>
  <c r="CY44" i="1"/>
  <c r="X44" i="1" s="1"/>
  <c r="P44" i="1"/>
  <c r="CP44" i="1" s="1"/>
  <c r="O44" i="1" s="1"/>
  <c r="GM44" i="1" s="1"/>
  <c r="GO44" i="1" s="1"/>
  <c r="CQ44" i="1"/>
  <c r="T42" i="1"/>
  <c r="V38" i="1"/>
  <c r="AD35" i="1"/>
  <c r="AB35" i="1" s="1"/>
  <c r="R35" i="1"/>
  <c r="CY35" i="1" s="1"/>
  <c r="X35" i="1" s="1"/>
  <c r="CY32" i="1"/>
  <c r="X32" i="1" s="1"/>
  <c r="CZ32" i="1"/>
  <c r="Y32" i="1" s="1"/>
  <c r="Q62" i="1"/>
  <c r="CP62" i="1" s="1"/>
  <c r="O62" i="1" s="1"/>
  <c r="GM62" i="1" s="1"/>
  <c r="GO62" i="1" s="1"/>
  <c r="S59" i="1"/>
  <c r="P57" i="1"/>
  <c r="CR55" i="1"/>
  <c r="R49" i="1"/>
  <c r="CZ49" i="1" s="1"/>
  <c r="Y49" i="1" s="1"/>
  <c r="CS49" i="1"/>
  <c r="V48" i="1"/>
  <c r="P48" i="1"/>
  <c r="CP48" i="1" s="1"/>
  <c r="O48" i="1" s="1"/>
  <c r="S46" i="1"/>
  <c r="CT36" i="1"/>
  <c r="P35" i="1"/>
  <c r="CQ34" i="1"/>
  <c r="P34" i="1"/>
  <c r="R46" i="1"/>
  <c r="CS46" i="1"/>
  <c r="CT44" i="1"/>
  <c r="CY43" i="1"/>
  <c r="X43" i="1" s="1"/>
  <c r="S40" i="1"/>
  <c r="CP40" i="1" s="1"/>
  <c r="O40" i="1" s="1"/>
  <c r="CZ35" i="1"/>
  <c r="Y35" i="1" s="1"/>
  <c r="P32" i="1"/>
  <c r="CQ32" i="1"/>
  <c r="CY29" i="1"/>
  <c r="X29" i="1" s="1"/>
  <c r="CZ29" i="1"/>
  <c r="Y29" i="1" s="1"/>
  <c r="CR38" i="1"/>
  <c r="R38" i="1"/>
  <c r="CQ31" i="1"/>
  <c r="AB31" i="1"/>
  <c r="R29" i="1"/>
  <c r="CS29" i="1"/>
  <c r="AD29" i="1"/>
  <c r="AB29" i="1" s="1"/>
  <c r="AD38" i="1"/>
  <c r="AB38" i="1" s="1"/>
  <c r="CR28" i="1"/>
  <c r="CS28" i="1"/>
  <c r="R28" i="1"/>
  <c r="P53" i="1"/>
  <c r="CP50" i="1"/>
  <c r="O50" i="1" s="1"/>
  <c r="GM50" i="1" s="1"/>
  <c r="GO50" i="1" s="1"/>
  <c r="CR48" i="1"/>
  <c r="R48" i="1"/>
  <c r="CY48" i="1" s="1"/>
  <c r="X48" i="1" s="1"/>
  <c r="CR45" i="1"/>
  <c r="R45" i="1"/>
  <c r="S42" i="1"/>
  <c r="CQ39" i="1"/>
  <c r="Q37" i="1"/>
  <c r="CP37" i="1" s="1"/>
  <c r="O37" i="1" s="1"/>
  <c r="I39" i="1"/>
  <c r="V39" i="1" s="1"/>
  <c r="CS35" i="1"/>
  <c r="R34" i="1"/>
  <c r="CY34" i="1" s="1"/>
  <c r="X34" i="1" s="1"/>
  <c r="CT32" i="1"/>
  <c r="AD28" i="1"/>
  <c r="AB28" i="1" s="1"/>
  <c r="CT49" i="1"/>
  <c r="W47" i="1"/>
  <c r="CT46" i="1"/>
  <c r="CR44" i="1"/>
  <c r="CR42" i="1"/>
  <c r="Q41" i="1"/>
  <c r="CS39" i="1"/>
  <c r="Q36" i="1"/>
  <c r="CQ35" i="1"/>
  <c r="CR32" i="1"/>
  <c r="CP30" i="1"/>
  <c r="O30" i="1" s="1"/>
  <c r="CT29" i="1"/>
  <c r="S28" i="1"/>
  <c r="CP28" i="1" s="1"/>
  <c r="O28" i="1" s="1"/>
  <c r="AD41" i="1"/>
  <c r="AB41" i="1" s="1"/>
  <c r="CR39" i="1"/>
  <c r="AD36" i="1"/>
  <c r="AD34" i="1"/>
  <c r="AB34" i="1" s="1"/>
  <c r="Q31" i="1"/>
  <c r="CP31" i="1" s="1"/>
  <c r="O31" i="1" s="1"/>
  <c r="GM31" i="1" s="1"/>
  <c r="S30" i="1"/>
  <c r="Q44" i="1"/>
  <c r="Q32" i="1"/>
  <c r="EB214" i="1" l="1"/>
  <c r="DO227" i="1"/>
  <c r="GM63" i="1"/>
  <c r="GO63" i="1" s="1"/>
  <c r="EA113" i="1"/>
  <c r="GM83" i="1"/>
  <c r="GM100" i="1"/>
  <c r="FR69" i="1"/>
  <c r="CZ76" i="1"/>
  <c r="Y76" i="1" s="1"/>
  <c r="CY76" i="1"/>
  <c r="X76" i="1" s="1"/>
  <c r="CP76" i="1"/>
  <c r="O76" i="1" s="1"/>
  <c r="GM76" i="1" s="1"/>
  <c r="Q175" i="1"/>
  <c r="U175" i="1"/>
  <c r="R175" i="1"/>
  <c r="GM172" i="1"/>
  <c r="GO172" i="1" s="1"/>
  <c r="GX171" i="1"/>
  <c r="CZ160" i="1"/>
  <c r="Y160" i="1" s="1"/>
  <c r="CY160" i="1"/>
  <c r="X160" i="1" s="1"/>
  <c r="BC145" i="1"/>
  <c r="F198" i="1"/>
  <c r="U171" i="1"/>
  <c r="FR53" i="1"/>
  <c r="CP53" i="1"/>
  <c r="O53" i="1" s="1"/>
  <c r="GM55" i="1"/>
  <c r="GO55" i="1" s="1"/>
  <c r="AJ113" i="1"/>
  <c r="CZ63" i="1"/>
  <c r="Y63" i="1" s="1"/>
  <c r="CY38" i="1"/>
  <c r="X38" i="1" s="1"/>
  <c r="CZ38" i="1"/>
  <c r="Y38" i="1" s="1"/>
  <c r="CZ78" i="1"/>
  <c r="Y78" i="1" s="1"/>
  <c r="CY78" i="1"/>
  <c r="X78" i="1" s="1"/>
  <c r="P72" i="1"/>
  <c r="CY56" i="1"/>
  <c r="X56" i="1" s="1"/>
  <c r="CZ56" i="1"/>
  <c r="Y56" i="1" s="1"/>
  <c r="T69" i="1"/>
  <c r="BC26" i="1"/>
  <c r="F129" i="1"/>
  <c r="BC257" i="1"/>
  <c r="CY101" i="1"/>
  <c r="X101" i="1" s="1"/>
  <c r="S152" i="1"/>
  <c r="Q152" i="1"/>
  <c r="R152" i="1"/>
  <c r="CY105" i="1"/>
  <c r="X105" i="1" s="1"/>
  <c r="CG145" i="1"/>
  <c r="AX182" i="1"/>
  <c r="P175" i="1"/>
  <c r="CP175" i="1" s="1"/>
  <c r="O175" i="1" s="1"/>
  <c r="Q167" i="1"/>
  <c r="R167" i="1"/>
  <c r="U167" i="1"/>
  <c r="GX167" i="1"/>
  <c r="P167" i="1"/>
  <c r="V167" i="1"/>
  <c r="CZ163" i="1"/>
  <c r="Y163" i="1" s="1"/>
  <c r="CY163" i="1"/>
  <c r="X163" i="1" s="1"/>
  <c r="S175" i="1"/>
  <c r="CP160" i="1"/>
  <c r="O160" i="1" s="1"/>
  <c r="GM160" i="1" s="1"/>
  <c r="GO160" i="1" s="1"/>
  <c r="W170" i="1"/>
  <c r="CD145" i="1"/>
  <c r="AU182" i="1"/>
  <c r="FR224" i="1"/>
  <c r="CP224" i="1"/>
  <c r="O224" i="1" s="1"/>
  <c r="U152" i="1"/>
  <c r="CY172" i="1"/>
  <c r="X172" i="1" s="1"/>
  <c r="AO26" i="1"/>
  <c r="F117" i="1"/>
  <c r="AO257" i="1"/>
  <c r="FR80" i="1"/>
  <c r="CP148" i="1"/>
  <c r="O148" i="1" s="1"/>
  <c r="FR68" i="1"/>
  <c r="CP68" i="1"/>
  <c r="O68" i="1" s="1"/>
  <c r="CP97" i="1"/>
  <c r="O97" i="1" s="1"/>
  <c r="FR97" i="1"/>
  <c r="GM156" i="1"/>
  <c r="GO156" i="1" s="1"/>
  <c r="EI145" i="1"/>
  <c r="P192" i="1"/>
  <c r="EI257" i="1"/>
  <c r="U72" i="1"/>
  <c r="V72" i="1"/>
  <c r="AI113" i="1" s="1"/>
  <c r="CY77" i="1"/>
  <c r="X77" i="1" s="1"/>
  <c r="CZ77" i="1"/>
  <c r="Y77" i="1" s="1"/>
  <c r="FR109" i="1"/>
  <c r="CP109" i="1"/>
  <c r="O109" i="1" s="1"/>
  <c r="W149" i="1"/>
  <c r="AJ182" i="1" s="1"/>
  <c r="CZ156" i="1"/>
  <c r="Y156" i="1" s="1"/>
  <c r="W175" i="1"/>
  <c r="T175" i="1"/>
  <c r="GM163" i="1"/>
  <c r="GO163" i="1" s="1"/>
  <c r="FR218" i="1"/>
  <c r="BY227" i="1" s="1"/>
  <c r="CP218" i="1"/>
  <c r="O218" i="1" s="1"/>
  <c r="GM218" i="1" s="1"/>
  <c r="EU145" i="1"/>
  <c r="P198" i="1"/>
  <c r="EU257" i="1"/>
  <c r="CZ166" i="1"/>
  <c r="Y166" i="1" s="1"/>
  <c r="GM166" i="1" s="1"/>
  <c r="GO166" i="1" s="1"/>
  <c r="S171" i="1"/>
  <c r="AH214" i="1"/>
  <c r="U227" i="1"/>
  <c r="CY89" i="1"/>
  <c r="X89" i="1" s="1"/>
  <c r="CZ89" i="1"/>
  <c r="Y89" i="1" s="1"/>
  <c r="GM74" i="1"/>
  <c r="GO74" i="1" s="1"/>
  <c r="CZ75" i="1"/>
  <c r="Y75" i="1" s="1"/>
  <c r="V69" i="1"/>
  <c r="CZ97" i="1"/>
  <c r="Y97" i="1" s="1"/>
  <c r="Q109" i="1"/>
  <c r="R109" i="1"/>
  <c r="S109" i="1"/>
  <c r="W109" i="1"/>
  <c r="AS26" i="1"/>
  <c r="F130" i="1"/>
  <c r="AS257" i="1"/>
  <c r="GM151" i="1"/>
  <c r="GO151" i="1" s="1"/>
  <c r="CP157" i="1"/>
  <c r="O157" i="1" s="1"/>
  <c r="GM157" i="1" s="1"/>
  <c r="GO157" i="1" s="1"/>
  <c r="EH145" i="1"/>
  <c r="P191" i="1"/>
  <c r="CP147" i="1"/>
  <c r="O147" i="1" s="1"/>
  <c r="DW227" i="1"/>
  <c r="CZ217" i="1"/>
  <c r="Y217" i="1" s="1"/>
  <c r="DK227" i="1"/>
  <c r="DX214" i="1"/>
  <c r="CP174" i="1"/>
  <c r="O174" i="1" s="1"/>
  <c r="GM174" i="1" s="1"/>
  <c r="GO174" i="1" s="1"/>
  <c r="GX176" i="1"/>
  <c r="P171" i="1"/>
  <c r="V175" i="1"/>
  <c r="FR84" i="1"/>
  <c r="CP84" i="1"/>
  <c r="O84" i="1" s="1"/>
  <c r="EU214" i="1"/>
  <c r="P243" i="1"/>
  <c r="FR65" i="1"/>
  <c r="CP65" i="1"/>
  <c r="O65" i="1" s="1"/>
  <c r="GM65" i="1" s="1"/>
  <c r="T214" i="1"/>
  <c r="F248" i="1"/>
  <c r="CP78" i="1"/>
  <c r="O78" i="1" s="1"/>
  <c r="GM78" i="1" s="1"/>
  <c r="FR78" i="1"/>
  <c r="CZ65" i="1"/>
  <c r="Y65" i="1" s="1"/>
  <c r="CY65" i="1"/>
  <c r="X65" i="1" s="1"/>
  <c r="GM33" i="1"/>
  <c r="GO33" i="1" s="1"/>
  <c r="CY37" i="1"/>
  <c r="X37" i="1" s="1"/>
  <c r="CZ37" i="1"/>
  <c r="Y37" i="1" s="1"/>
  <c r="FR94" i="1"/>
  <c r="CP94" i="1"/>
  <c r="O94" i="1" s="1"/>
  <c r="GM94" i="1" s="1"/>
  <c r="CZ64" i="1"/>
  <c r="Y64" i="1" s="1"/>
  <c r="CY64" i="1"/>
  <c r="X64" i="1" s="1"/>
  <c r="R80" i="1"/>
  <c r="CP161" i="1"/>
  <c r="O161" i="1" s="1"/>
  <c r="FY145" i="1"/>
  <c r="EP182" i="1"/>
  <c r="FR220" i="1"/>
  <c r="CP220" i="1"/>
  <c r="O220" i="1" s="1"/>
  <c r="GM220" i="1" s="1"/>
  <c r="CY217" i="1"/>
  <c r="X217" i="1" s="1"/>
  <c r="AE227" i="1"/>
  <c r="CZ154" i="1"/>
  <c r="Y154" i="1" s="1"/>
  <c r="GM154" i="1" s="1"/>
  <c r="GO154" i="1" s="1"/>
  <c r="V214" i="1"/>
  <c r="F250" i="1"/>
  <c r="CP219" i="1"/>
  <c r="O219" i="1" s="1"/>
  <c r="GM219" i="1" s="1"/>
  <c r="FR219" i="1"/>
  <c r="FQ227" i="1" s="1"/>
  <c r="DY214" i="1"/>
  <c r="DL227" i="1"/>
  <c r="AK214" i="1"/>
  <c r="X227" i="1"/>
  <c r="Q39" i="1"/>
  <c r="U39" i="1"/>
  <c r="DZ113" i="1" s="1"/>
  <c r="W39" i="1"/>
  <c r="P39" i="1"/>
  <c r="S39" i="1"/>
  <c r="DX113" i="1" s="1"/>
  <c r="Q72" i="1"/>
  <c r="R72" i="1"/>
  <c r="AE113" i="1" s="1"/>
  <c r="S72" i="1"/>
  <c r="Q69" i="1"/>
  <c r="CP69" i="1" s="1"/>
  <c r="O69" i="1" s="1"/>
  <c r="GM69" i="1" s="1"/>
  <c r="U69" i="1"/>
  <c r="CP43" i="1"/>
  <c r="O43" i="1" s="1"/>
  <c r="GM43" i="1" s="1"/>
  <c r="FR43" i="1"/>
  <c r="GM58" i="1"/>
  <c r="GO58" i="1" s="1"/>
  <c r="CP36" i="1"/>
  <c r="O36" i="1" s="1"/>
  <c r="GM36" i="1" s="1"/>
  <c r="GO36" i="1" s="1"/>
  <c r="CP91" i="1"/>
  <c r="O91" i="1" s="1"/>
  <c r="GM91" i="1" s="1"/>
  <c r="FR91" i="1"/>
  <c r="FR77" i="1"/>
  <c r="CP77" i="1"/>
  <c r="O77" i="1" s="1"/>
  <c r="CP64" i="1"/>
  <c r="O64" i="1" s="1"/>
  <c r="FR64" i="1"/>
  <c r="CP79" i="1"/>
  <c r="O79" i="1" s="1"/>
  <c r="GM79" i="1" s="1"/>
  <c r="FR79" i="1"/>
  <c r="CP75" i="1"/>
  <c r="O75" i="1" s="1"/>
  <c r="CY84" i="1"/>
  <c r="X84" i="1" s="1"/>
  <c r="CZ84" i="1"/>
  <c r="Y84" i="1" s="1"/>
  <c r="CY102" i="1"/>
  <c r="X102" i="1" s="1"/>
  <c r="GM102" i="1" s="1"/>
  <c r="GO102" i="1" s="1"/>
  <c r="Q110" i="1"/>
  <c r="R110" i="1"/>
  <c r="S110" i="1"/>
  <c r="P110" i="1"/>
  <c r="CP153" i="1"/>
  <c r="O153" i="1" s="1"/>
  <c r="Q169" i="1"/>
  <c r="S169" i="1"/>
  <c r="GX169" i="1"/>
  <c r="P169" i="1"/>
  <c r="CP169" i="1" s="1"/>
  <c r="O169" i="1" s="1"/>
  <c r="AO145" i="1"/>
  <c r="F186" i="1"/>
  <c r="S149" i="1"/>
  <c r="R169" i="1"/>
  <c r="DN227" i="1"/>
  <c r="EA214" i="1"/>
  <c r="Q176" i="1"/>
  <c r="DV182" i="1" s="1"/>
  <c r="W176" i="1"/>
  <c r="CZ221" i="1"/>
  <c r="Y221" i="1" s="1"/>
  <c r="CY221" i="1"/>
  <c r="X221" i="1" s="1"/>
  <c r="GM221" i="1" s="1"/>
  <c r="Q178" i="1"/>
  <c r="R178" i="1"/>
  <c r="CY178" i="1" s="1"/>
  <c r="X178" i="1" s="1"/>
  <c r="P178" i="1"/>
  <c r="CP178" i="1" s="1"/>
  <c r="O178" i="1" s="1"/>
  <c r="U178" i="1"/>
  <c r="CZ225" i="1"/>
  <c r="Y225" i="1" s="1"/>
  <c r="CY225" i="1"/>
  <c r="X225" i="1" s="1"/>
  <c r="CY180" i="1"/>
  <c r="X180" i="1" s="1"/>
  <c r="CZ180" i="1"/>
  <c r="Y180" i="1" s="1"/>
  <c r="GM180" i="1" s="1"/>
  <c r="GO180" i="1" s="1"/>
  <c r="P252" i="1"/>
  <c r="EV214" i="1"/>
  <c r="F234" i="1"/>
  <c r="AX214" i="1"/>
  <c r="AQ214" i="1"/>
  <c r="F237" i="1"/>
  <c r="CY147" i="1"/>
  <c r="X147" i="1" s="1"/>
  <c r="CZ147" i="1"/>
  <c r="Y147" i="1" s="1"/>
  <c r="GM49" i="1"/>
  <c r="GO49" i="1" s="1"/>
  <c r="CY69" i="1"/>
  <c r="X69" i="1" s="1"/>
  <c r="CZ69" i="1"/>
  <c r="Y69" i="1" s="1"/>
  <c r="ET18" i="1"/>
  <c r="P300" i="1"/>
  <c r="CY51" i="1"/>
  <c r="X51" i="1" s="1"/>
  <c r="CZ51" i="1"/>
  <c r="Y51" i="1" s="1"/>
  <c r="CZ34" i="1"/>
  <c r="Y34" i="1" s="1"/>
  <c r="CZ42" i="1"/>
  <c r="Y42" i="1" s="1"/>
  <c r="CY42" i="1"/>
  <c r="X42" i="1" s="1"/>
  <c r="CP35" i="1"/>
  <c r="O35" i="1" s="1"/>
  <c r="GM35" i="1" s="1"/>
  <c r="FR35" i="1"/>
  <c r="FR71" i="1"/>
  <c r="CP71" i="1"/>
  <c r="O71" i="1" s="1"/>
  <c r="GM71" i="1" s="1"/>
  <c r="CY54" i="1"/>
  <c r="X54" i="1" s="1"/>
  <c r="GM54" i="1" s="1"/>
  <c r="GO54" i="1" s="1"/>
  <c r="Q73" i="1"/>
  <c r="R73" i="1"/>
  <c r="CY73" i="1" s="1"/>
  <c r="X73" i="1" s="1"/>
  <c r="P73" i="1"/>
  <c r="U73" i="1"/>
  <c r="V73" i="1"/>
  <c r="W73" i="1"/>
  <c r="T39" i="1"/>
  <c r="DY113" i="1" s="1"/>
  <c r="CY49" i="1"/>
  <c r="X49" i="1" s="1"/>
  <c r="CZ66" i="1"/>
  <c r="Y66" i="1" s="1"/>
  <c r="GM66" i="1" s="1"/>
  <c r="GO66" i="1" s="1"/>
  <c r="CP82" i="1"/>
  <c r="O82" i="1" s="1"/>
  <c r="FR82" i="1"/>
  <c r="CP104" i="1"/>
  <c r="O104" i="1" s="1"/>
  <c r="GM104" i="1" s="1"/>
  <c r="FR104" i="1"/>
  <c r="CG26" i="1"/>
  <c r="AX113" i="1"/>
  <c r="CZ99" i="1"/>
  <c r="Y99" i="1" s="1"/>
  <c r="CY99" i="1"/>
  <c r="X99" i="1" s="1"/>
  <c r="GM99" i="1" s="1"/>
  <c r="GO99" i="1" s="1"/>
  <c r="FR86" i="1"/>
  <c r="CP86" i="1"/>
  <c r="O86" i="1" s="1"/>
  <c r="GM86" i="1" s="1"/>
  <c r="FR108" i="1"/>
  <c r="CP108" i="1"/>
  <c r="O108" i="1" s="1"/>
  <c r="Q159" i="1"/>
  <c r="P159" i="1"/>
  <c r="CP159" i="1" s="1"/>
  <c r="O159" i="1" s="1"/>
  <c r="GX159" i="1"/>
  <c r="R159" i="1"/>
  <c r="U159" i="1"/>
  <c r="AU26" i="1"/>
  <c r="F132" i="1"/>
  <c r="AU257" i="1"/>
  <c r="U169" i="1"/>
  <c r="V152" i="1"/>
  <c r="EA182" i="1" s="1"/>
  <c r="GX110" i="1"/>
  <c r="GM164" i="1"/>
  <c r="GO164" i="1" s="1"/>
  <c r="CP225" i="1"/>
  <c r="O225" i="1" s="1"/>
  <c r="FR225" i="1"/>
  <c r="U176" i="1"/>
  <c r="GX152" i="1"/>
  <c r="F240" i="1"/>
  <c r="BB214" i="1"/>
  <c r="CZ216" i="1"/>
  <c r="Y216" i="1" s="1"/>
  <c r="DW182" i="1"/>
  <c r="CZ224" i="1"/>
  <c r="Y224" i="1" s="1"/>
  <c r="GX149" i="1"/>
  <c r="CJ182" i="1" s="1"/>
  <c r="CJ214" i="1"/>
  <c r="BA227" i="1"/>
  <c r="F244" i="1"/>
  <c r="AS214" i="1"/>
  <c r="FR95" i="1"/>
  <c r="CP95" i="1"/>
  <c r="O95" i="1" s="1"/>
  <c r="GM95" i="1" s="1"/>
  <c r="FR38" i="1"/>
  <c r="CP38" i="1"/>
  <c r="O38" i="1" s="1"/>
  <c r="GM38" i="1" s="1"/>
  <c r="EM26" i="1"/>
  <c r="P132" i="1"/>
  <c r="EM257" i="1"/>
  <c r="FR57" i="1"/>
  <c r="CP57" i="1"/>
  <c r="O57" i="1" s="1"/>
  <c r="CY68" i="1"/>
  <c r="X68" i="1" s="1"/>
  <c r="CZ68" i="1"/>
  <c r="Y68" i="1" s="1"/>
  <c r="CY30" i="1"/>
  <c r="X30" i="1" s="1"/>
  <c r="CZ30" i="1"/>
  <c r="Y30" i="1" s="1"/>
  <c r="CP34" i="1"/>
  <c r="O34" i="1" s="1"/>
  <c r="FR34" i="1"/>
  <c r="CP32" i="1"/>
  <c r="O32" i="1" s="1"/>
  <c r="GM32" i="1" s="1"/>
  <c r="GO32" i="1" s="1"/>
  <c r="AC113" i="1"/>
  <c r="GM56" i="1"/>
  <c r="CZ57" i="1"/>
  <c r="Y57" i="1" s="1"/>
  <c r="CY57" i="1"/>
  <c r="X57" i="1" s="1"/>
  <c r="CZ70" i="1"/>
  <c r="Y70" i="1" s="1"/>
  <c r="CY70" i="1"/>
  <c r="X70" i="1" s="1"/>
  <c r="GM70" i="1" s="1"/>
  <c r="W80" i="1"/>
  <c r="CP89" i="1"/>
  <c r="O89" i="1" s="1"/>
  <c r="CY87" i="1"/>
  <c r="X87" i="1" s="1"/>
  <c r="CZ87" i="1"/>
  <c r="Y87" i="1" s="1"/>
  <c r="T109" i="1"/>
  <c r="FR111" i="1"/>
  <c r="CP111" i="1"/>
  <c r="O111" i="1" s="1"/>
  <c r="GM111" i="1" s="1"/>
  <c r="CZ108" i="1"/>
  <c r="Y108" i="1" s="1"/>
  <c r="CY108" i="1"/>
  <c r="X108" i="1" s="1"/>
  <c r="CZ100" i="1"/>
  <c r="Y100" i="1" s="1"/>
  <c r="V110" i="1"/>
  <c r="CZ158" i="1"/>
  <c r="Y158" i="1" s="1"/>
  <c r="CY158" i="1"/>
  <c r="X158" i="1" s="1"/>
  <c r="CY150" i="1"/>
  <c r="X150" i="1" s="1"/>
  <c r="GM150" i="1" s="1"/>
  <c r="GO150" i="1" s="1"/>
  <c r="BD214" i="1"/>
  <c r="F252" i="1"/>
  <c r="W167" i="1"/>
  <c r="S227" i="1"/>
  <c r="AF214" i="1"/>
  <c r="CY179" i="1"/>
  <c r="X179" i="1" s="1"/>
  <c r="CZ179" i="1"/>
  <c r="Y179" i="1" s="1"/>
  <c r="CI182" i="1"/>
  <c r="BZ145" i="1"/>
  <c r="AQ182" i="1"/>
  <c r="ES227" i="1"/>
  <c r="GB214" i="1"/>
  <c r="Q171" i="1"/>
  <c r="T171" i="1"/>
  <c r="W171" i="1"/>
  <c r="R171" i="1"/>
  <c r="CZ157" i="1"/>
  <c r="Y157" i="1" s="1"/>
  <c r="CY157" i="1"/>
  <c r="X157" i="1" s="1"/>
  <c r="AO214" i="1"/>
  <c r="F231" i="1"/>
  <c r="CZ59" i="1"/>
  <c r="Y59" i="1" s="1"/>
  <c r="CY59" i="1"/>
  <c r="X59" i="1" s="1"/>
  <c r="GM59" i="1" s="1"/>
  <c r="GO59" i="1" s="1"/>
  <c r="DV113" i="1"/>
  <c r="CZ45" i="1"/>
  <c r="Y45" i="1" s="1"/>
  <c r="CY45" i="1"/>
  <c r="X45" i="1" s="1"/>
  <c r="CZ46" i="1"/>
  <c r="Y46" i="1" s="1"/>
  <c r="CY46" i="1"/>
  <c r="X46" i="1" s="1"/>
  <c r="GM46" i="1" s="1"/>
  <c r="GO46" i="1" s="1"/>
  <c r="GM29" i="1"/>
  <c r="CY41" i="1"/>
  <c r="X41" i="1" s="1"/>
  <c r="GM41" i="1" s="1"/>
  <c r="GO41" i="1" s="1"/>
  <c r="CZ41" i="1"/>
  <c r="Y41" i="1" s="1"/>
  <c r="GM51" i="1"/>
  <c r="GO51" i="1" s="1"/>
  <c r="W69" i="1"/>
  <c r="GX69" i="1"/>
  <c r="FR101" i="1"/>
  <c r="CP101" i="1"/>
  <c r="O101" i="1" s="1"/>
  <c r="GM101" i="1" s="1"/>
  <c r="CY82" i="1"/>
  <c r="X82" i="1" s="1"/>
  <c r="CZ82" i="1"/>
  <c r="Y82" i="1" s="1"/>
  <c r="GM96" i="1"/>
  <c r="FY26" i="1"/>
  <c r="EP113" i="1"/>
  <c r="CP92" i="1"/>
  <c r="O92" i="1" s="1"/>
  <c r="GM92" i="1" s="1"/>
  <c r="FR92" i="1"/>
  <c r="EV26" i="1"/>
  <c r="P138" i="1"/>
  <c r="EV257" i="1"/>
  <c r="EK26" i="1"/>
  <c r="P130" i="1"/>
  <c r="EK257" i="1"/>
  <c r="Q155" i="1"/>
  <c r="P155" i="1"/>
  <c r="U155" i="1"/>
  <c r="W155" i="1"/>
  <c r="Q170" i="1"/>
  <c r="R170" i="1"/>
  <c r="U170" i="1"/>
  <c r="GX170" i="1"/>
  <c r="P170" i="1"/>
  <c r="P152" i="1"/>
  <c r="CP152" i="1" s="1"/>
  <c r="O152" i="1" s="1"/>
  <c r="S167" i="1"/>
  <c r="CZ168" i="1"/>
  <c r="Y168" i="1" s="1"/>
  <c r="CY168" i="1"/>
  <c r="X168" i="1" s="1"/>
  <c r="GM168" i="1" s="1"/>
  <c r="GO168" i="1" s="1"/>
  <c r="S155" i="1"/>
  <c r="AF182" i="1" s="1"/>
  <c r="V176" i="1"/>
  <c r="EM214" i="1"/>
  <c r="P246" i="1"/>
  <c r="GA145" i="1"/>
  <c r="ER182" i="1"/>
  <c r="T178" i="1"/>
  <c r="DY182" i="1" s="1"/>
  <c r="CY223" i="1"/>
  <c r="X223" i="1" s="1"/>
  <c r="V159" i="1"/>
  <c r="AI182" i="1" s="1"/>
  <c r="FY214" i="1"/>
  <c r="EP227" i="1"/>
  <c r="V169" i="1"/>
  <c r="P244" i="1"/>
  <c r="EK214" i="1"/>
  <c r="DM214" i="1"/>
  <c r="P249" i="1"/>
  <c r="T169" i="1"/>
  <c r="AG182" i="1" s="1"/>
  <c r="GM30" i="1"/>
  <c r="GM87" i="1"/>
  <c r="GM48" i="1"/>
  <c r="GO48" i="1" s="1"/>
  <c r="GX80" i="1"/>
  <c r="CJ113" i="1" s="1"/>
  <c r="Q80" i="1"/>
  <c r="AD113" i="1" s="1"/>
  <c r="T80" i="1"/>
  <c r="AG113" i="1" s="1"/>
  <c r="CZ53" i="1"/>
  <c r="Y53" i="1" s="1"/>
  <c r="CY53" i="1"/>
  <c r="X53" i="1" s="1"/>
  <c r="GM106" i="1"/>
  <c r="GO106" i="1" s="1"/>
  <c r="U80" i="1"/>
  <c r="GM93" i="1"/>
  <c r="BB26" i="1"/>
  <c r="F126" i="1"/>
  <c r="BB257" i="1"/>
  <c r="P149" i="1"/>
  <c r="Q149" i="1"/>
  <c r="AD182" i="1" s="1"/>
  <c r="R149" i="1"/>
  <c r="AE182" i="1" s="1"/>
  <c r="U149" i="1"/>
  <c r="CZ176" i="1"/>
  <c r="Y176" i="1" s="1"/>
  <c r="CY176" i="1"/>
  <c r="X176" i="1" s="1"/>
  <c r="CZ161" i="1"/>
  <c r="Y161" i="1" s="1"/>
  <c r="CY161" i="1"/>
  <c r="X161" i="1" s="1"/>
  <c r="DV214" i="1"/>
  <c r="DI227" i="1"/>
  <c r="AJ214" i="1"/>
  <c r="W227" i="1"/>
  <c r="EG22" i="1"/>
  <c r="EG287" i="1"/>
  <c r="P261" i="1"/>
  <c r="AC227" i="1"/>
  <c r="CP216" i="1"/>
  <c r="O216" i="1" s="1"/>
  <c r="AD214" i="1"/>
  <c r="Q227" i="1"/>
  <c r="W152" i="1"/>
  <c r="AS145" i="1"/>
  <c r="F199" i="1"/>
  <c r="CY153" i="1"/>
  <c r="X153" i="1" s="1"/>
  <c r="CZ153" i="1"/>
  <c r="Y153" i="1" s="1"/>
  <c r="CY159" i="1"/>
  <c r="X159" i="1" s="1"/>
  <c r="CZ159" i="1"/>
  <c r="Y159" i="1" s="1"/>
  <c r="AQ26" i="1"/>
  <c r="F123" i="1"/>
  <c r="AQ257" i="1"/>
  <c r="CY80" i="1"/>
  <c r="X80" i="1" s="1"/>
  <c r="CZ80" i="1"/>
  <c r="Y80" i="1" s="1"/>
  <c r="CP42" i="1"/>
  <c r="O42" i="1" s="1"/>
  <c r="FR42" i="1"/>
  <c r="CY60" i="1"/>
  <c r="X60" i="1" s="1"/>
  <c r="GM60" i="1" s="1"/>
  <c r="CZ60" i="1"/>
  <c r="Y60" i="1" s="1"/>
  <c r="CY28" i="1"/>
  <c r="X28" i="1" s="1"/>
  <c r="CZ28" i="1"/>
  <c r="Y28" i="1" s="1"/>
  <c r="AF113" i="1"/>
  <c r="DW113" i="1"/>
  <c r="CY40" i="1"/>
  <c r="X40" i="1" s="1"/>
  <c r="GM40" i="1" s="1"/>
  <c r="GO40" i="1" s="1"/>
  <c r="CZ40" i="1"/>
  <c r="Y40" i="1" s="1"/>
  <c r="CZ47" i="1"/>
  <c r="Y47" i="1" s="1"/>
  <c r="CY47" i="1"/>
  <c r="X47" i="1" s="1"/>
  <c r="GM47" i="1" s="1"/>
  <c r="GO47" i="1" s="1"/>
  <c r="GM85" i="1"/>
  <c r="GX39" i="1"/>
  <c r="GB113" i="1" s="1"/>
  <c r="GM81" i="1"/>
  <c r="BD26" i="1"/>
  <c r="F138" i="1"/>
  <c r="BD257" i="1"/>
  <c r="FR105" i="1"/>
  <c r="CP105" i="1"/>
  <c r="O105" i="1" s="1"/>
  <c r="GM105" i="1" s="1"/>
  <c r="CY86" i="1"/>
  <c r="X86" i="1" s="1"/>
  <c r="GX109" i="1"/>
  <c r="CY151" i="1"/>
  <c r="X151" i="1" s="1"/>
  <c r="CZ151" i="1"/>
  <c r="Y151" i="1" s="1"/>
  <c r="CP158" i="1"/>
  <c r="O158" i="1" s="1"/>
  <c r="GM158" i="1" s="1"/>
  <c r="GO158" i="1" s="1"/>
  <c r="GM222" i="1"/>
  <c r="GO222" i="1" s="1"/>
  <c r="GX175" i="1"/>
  <c r="CP217" i="1"/>
  <c r="O217" i="1" s="1"/>
  <c r="DU227" i="1"/>
  <c r="S170" i="1"/>
  <c r="EK145" i="1"/>
  <c r="P199" i="1"/>
  <c r="BC214" i="1"/>
  <c r="F243" i="1"/>
  <c r="CZ174" i="1"/>
  <c r="Y174" i="1" s="1"/>
  <c r="CZ164" i="1"/>
  <c r="Y164" i="1" s="1"/>
  <c r="CP223" i="1"/>
  <c r="O223" i="1" s="1"/>
  <c r="CP179" i="1"/>
  <c r="O179" i="1" s="1"/>
  <c r="GM179" i="1" s="1"/>
  <c r="GO179" i="1" s="1"/>
  <c r="EM145" i="1"/>
  <c r="P201" i="1"/>
  <c r="V170" i="1"/>
  <c r="DY145" i="1" l="1"/>
  <c r="DL182" i="1"/>
  <c r="EA145" i="1"/>
  <c r="DN182" i="1"/>
  <c r="AD26" i="1"/>
  <c r="Q113" i="1"/>
  <c r="AG145" i="1"/>
  <c r="T182" i="1"/>
  <c r="CJ26" i="1"/>
  <c r="BA113" i="1"/>
  <c r="AE26" i="1"/>
  <c r="R113" i="1"/>
  <c r="AJ145" i="1"/>
  <c r="W182" i="1"/>
  <c r="DV145" i="1"/>
  <c r="DI182" i="1"/>
  <c r="S182" i="1"/>
  <c r="AF145" i="1"/>
  <c r="DX26" i="1"/>
  <c r="DK113" i="1"/>
  <c r="AE145" i="1"/>
  <c r="R182" i="1"/>
  <c r="AI26" i="1"/>
  <c r="V113" i="1"/>
  <c r="AG26" i="1"/>
  <c r="T113" i="1"/>
  <c r="AI145" i="1"/>
  <c r="V182" i="1"/>
  <c r="AJ26" i="1"/>
  <c r="W113" i="1"/>
  <c r="W214" i="1"/>
  <c r="F251" i="1"/>
  <c r="FR39" i="1"/>
  <c r="CP39" i="1"/>
  <c r="O39" i="1" s="1"/>
  <c r="BB22" i="1"/>
  <c r="F270" i="1"/>
  <c r="BB287" i="1"/>
  <c r="CY167" i="1"/>
  <c r="X167" i="1" s="1"/>
  <c r="CZ167" i="1"/>
  <c r="Y167" i="1" s="1"/>
  <c r="GM45" i="1"/>
  <c r="GO45" i="1" s="1"/>
  <c r="DW145" i="1"/>
  <c r="DJ182" i="1"/>
  <c r="AU22" i="1"/>
  <c r="F276" i="1"/>
  <c r="AU287" i="1"/>
  <c r="CY149" i="1"/>
  <c r="X149" i="1" s="1"/>
  <c r="AK182" i="1" s="1"/>
  <c r="CZ149" i="1"/>
  <c r="Y149" i="1" s="1"/>
  <c r="AL182" i="1" s="1"/>
  <c r="EB113" i="1"/>
  <c r="AS22" i="1"/>
  <c r="AS287" i="1"/>
  <c r="F274" i="1"/>
  <c r="T16" i="2" s="1"/>
  <c r="CP176" i="1"/>
  <c r="O176" i="1" s="1"/>
  <c r="GM176" i="1" s="1"/>
  <c r="GO176" i="1" s="1"/>
  <c r="AH113" i="1"/>
  <c r="CP80" i="1"/>
  <c r="O80" i="1" s="1"/>
  <c r="GM80" i="1" s="1"/>
  <c r="AX145" i="1"/>
  <c r="F189" i="1"/>
  <c r="GM53" i="1"/>
  <c r="GM37" i="1"/>
  <c r="GO37" i="1" s="1"/>
  <c r="DH227" i="1"/>
  <c r="DU214" i="1"/>
  <c r="FW227" i="1"/>
  <c r="FX227" i="1"/>
  <c r="FZ227" i="1"/>
  <c r="EP214" i="1"/>
  <c r="P234" i="1"/>
  <c r="EM22" i="1"/>
  <c r="P276" i="1"/>
  <c r="EM287" i="1"/>
  <c r="DZ26" i="1"/>
  <c r="DM113" i="1"/>
  <c r="DK214" i="1"/>
  <c r="P242" i="1"/>
  <c r="EI22" i="1"/>
  <c r="EI287" i="1"/>
  <c r="P267" i="1"/>
  <c r="AO22" i="1"/>
  <c r="AO287" i="1"/>
  <c r="F261" i="1"/>
  <c r="EA26" i="1"/>
  <c r="DN113" i="1"/>
  <c r="CJ145" i="1"/>
  <c r="BA182" i="1"/>
  <c r="P250" i="1"/>
  <c r="DN214" i="1"/>
  <c r="GB26" i="1"/>
  <c r="ES113" i="1"/>
  <c r="GM42" i="1"/>
  <c r="CP170" i="1"/>
  <c r="O170" i="1" s="1"/>
  <c r="EV22" i="1"/>
  <c r="P282" i="1"/>
  <c r="EV287" i="1"/>
  <c r="DV26" i="1"/>
  <c r="DI113" i="1"/>
  <c r="GM34" i="1"/>
  <c r="AX26" i="1"/>
  <c r="F120" i="1"/>
  <c r="AX257" i="1"/>
  <c r="CP73" i="1"/>
  <c r="O73" i="1" s="1"/>
  <c r="FR73" i="1"/>
  <c r="EC227" i="1"/>
  <c r="ED227" i="1"/>
  <c r="U214" i="1"/>
  <c r="F249" i="1"/>
  <c r="CY175" i="1"/>
  <c r="X175" i="1" s="1"/>
  <c r="GM175" i="1" s="1"/>
  <c r="GO175" i="1" s="1"/>
  <c r="CZ175" i="1"/>
  <c r="Y175" i="1" s="1"/>
  <c r="CP72" i="1"/>
  <c r="O72" i="1" s="1"/>
  <c r="GM72" i="1" s="1"/>
  <c r="FR72" i="1"/>
  <c r="AD145" i="1"/>
  <c r="Q182" i="1"/>
  <c r="BY214" i="1"/>
  <c r="AP227" i="1"/>
  <c r="CI227" i="1"/>
  <c r="CP149" i="1"/>
  <c r="O149" i="1" s="1"/>
  <c r="AB182" i="1" s="1"/>
  <c r="EB182" i="1"/>
  <c r="ER145" i="1"/>
  <c r="P193" i="1"/>
  <c r="GM75" i="1"/>
  <c r="GO75" i="1" s="1"/>
  <c r="DJ227" i="1"/>
  <c r="DW214" i="1"/>
  <c r="AC26" i="1"/>
  <c r="CE113" i="1"/>
  <c r="P113" i="1"/>
  <c r="AL227" i="1"/>
  <c r="Q214" i="1"/>
  <c r="F239" i="1"/>
  <c r="GM89" i="1"/>
  <c r="GO89" i="1" s="1"/>
  <c r="GB182" i="1"/>
  <c r="F253" i="1"/>
  <c r="X214" i="1"/>
  <c r="AC182" i="1"/>
  <c r="CZ171" i="1"/>
  <c r="Y171" i="1" s="1"/>
  <c r="CY171" i="1"/>
  <c r="X171" i="1" s="1"/>
  <c r="S214" i="1"/>
  <c r="F242" i="1"/>
  <c r="AQ145" i="1"/>
  <c r="F192" i="1"/>
  <c r="CZ169" i="1"/>
  <c r="Y169" i="1" s="1"/>
  <c r="GM169" i="1" s="1"/>
  <c r="GO169" i="1" s="1"/>
  <c r="CY169" i="1"/>
  <c r="X169" i="1" s="1"/>
  <c r="EP145" i="1"/>
  <c r="P189" i="1"/>
  <c r="GM147" i="1"/>
  <c r="CY109" i="1"/>
  <c r="X109" i="1" s="1"/>
  <c r="CZ109" i="1"/>
  <c r="Y109" i="1" s="1"/>
  <c r="GM109" i="1" s="1"/>
  <c r="DT227" i="1"/>
  <c r="GM217" i="1"/>
  <c r="EK22" i="1"/>
  <c r="EK287" i="1"/>
  <c r="P274" i="1"/>
  <c r="E16" i="2" s="1"/>
  <c r="AE214" i="1"/>
  <c r="R227" i="1"/>
  <c r="GM223" i="1"/>
  <c r="GO223" i="1" s="1"/>
  <c r="AQ22" i="1"/>
  <c r="AQ287" i="1"/>
  <c r="F267" i="1"/>
  <c r="AB227" i="1"/>
  <c r="GM216" i="1"/>
  <c r="GM159" i="1"/>
  <c r="GO159" i="1" s="1"/>
  <c r="DL214" i="1"/>
  <c r="P248" i="1"/>
  <c r="GM84" i="1"/>
  <c r="CZ178" i="1"/>
  <c r="Y178" i="1" s="1"/>
  <c r="GM178" i="1" s="1"/>
  <c r="GO178" i="1" s="1"/>
  <c r="EU22" i="1"/>
  <c r="EU287" i="1"/>
  <c r="P273" i="1"/>
  <c r="GM97" i="1"/>
  <c r="DZ182" i="1"/>
  <c r="CP167" i="1"/>
  <c r="O167" i="1" s="1"/>
  <c r="GM167" i="1" s="1"/>
  <c r="GO167" i="1" s="1"/>
  <c r="CY152" i="1"/>
  <c r="X152" i="1" s="1"/>
  <c r="EC182" i="1" s="1"/>
  <c r="CZ152" i="1"/>
  <c r="Y152" i="1" s="1"/>
  <c r="DX182" i="1"/>
  <c r="GM28" i="1"/>
  <c r="GM148" i="1"/>
  <c r="DT182" i="1"/>
  <c r="DI214" i="1"/>
  <c r="P239" i="1"/>
  <c r="ES214" i="1"/>
  <c r="P247" i="1"/>
  <c r="DW26" i="1"/>
  <c r="DJ113" i="1"/>
  <c r="CE227" i="1"/>
  <c r="AC214" i="1"/>
  <c r="P227" i="1"/>
  <c r="CF227" i="1"/>
  <c r="CH227" i="1"/>
  <c r="EP26" i="1"/>
  <c r="P120" i="1"/>
  <c r="EP257" i="1"/>
  <c r="CI145" i="1"/>
  <c r="AZ182" i="1"/>
  <c r="GM57" i="1"/>
  <c r="GM225" i="1"/>
  <c r="GM82" i="1"/>
  <c r="GM153" i="1"/>
  <c r="GO153" i="1" s="1"/>
  <c r="GM64" i="1"/>
  <c r="CY72" i="1"/>
  <c r="X72" i="1" s="1"/>
  <c r="CZ72" i="1"/>
  <c r="Y72" i="1" s="1"/>
  <c r="GM161" i="1"/>
  <c r="GO161" i="1" s="1"/>
  <c r="GM68" i="1"/>
  <c r="GM224" i="1"/>
  <c r="DY26" i="1"/>
  <c r="DL113" i="1"/>
  <c r="CY39" i="1"/>
  <c r="X39" i="1" s="1"/>
  <c r="EC113" i="1" s="1"/>
  <c r="CZ39" i="1"/>
  <c r="Y39" i="1" s="1"/>
  <c r="ED113" i="1" s="1"/>
  <c r="AF26" i="1"/>
  <c r="S113" i="1"/>
  <c r="CY155" i="1"/>
  <c r="X155" i="1" s="1"/>
  <c r="CZ155" i="1"/>
  <c r="Y155" i="1" s="1"/>
  <c r="BA214" i="1"/>
  <c r="F247" i="1"/>
  <c r="GM108" i="1"/>
  <c r="DU113" i="1"/>
  <c r="FR110" i="1"/>
  <c r="BY113" i="1" s="1"/>
  <c r="CP110" i="1"/>
  <c r="O110" i="1" s="1"/>
  <c r="GM77" i="1"/>
  <c r="GA227" i="1"/>
  <c r="FQ214" i="1"/>
  <c r="EH227" i="1"/>
  <c r="BC22" i="1"/>
  <c r="BC287" i="1"/>
  <c r="F273" i="1"/>
  <c r="CZ73" i="1"/>
  <c r="Y73" i="1" s="1"/>
  <c r="DO214" i="1"/>
  <c r="P251" i="1"/>
  <c r="AH182" i="1"/>
  <c r="DT113" i="1"/>
  <c r="CY170" i="1"/>
  <c r="X170" i="1" s="1"/>
  <c r="CZ170" i="1"/>
  <c r="Y170" i="1" s="1"/>
  <c r="BD22" i="1"/>
  <c r="F282" i="1"/>
  <c r="BD287" i="1"/>
  <c r="EG18" i="1"/>
  <c r="P291" i="1"/>
  <c r="CP155" i="1"/>
  <c r="O155" i="1" s="1"/>
  <c r="GM155" i="1" s="1"/>
  <c r="GO155" i="1" s="1"/>
  <c r="GO29" i="1"/>
  <c r="CZ110" i="1"/>
  <c r="Y110" i="1" s="1"/>
  <c r="AL113" i="1" s="1"/>
  <c r="CY110" i="1"/>
  <c r="X110" i="1" s="1"/>
  <c r="AK113" i="1" s="1"/>
  <c r="CP171" i="1"/>
  <c r="O171" i="1" s="1"/>
  <c r="GM171" i="1" s="1"/>
  <c r="GO171" i="1" s="1"/>
  <c r="DU182" i="1"/>
  <c r="AU145" i="1"/>
  <c r="F201" i="1"/>
  <c r="AK145" i="1" l="1"/>
  <c r="X182" i="1"/>
  <c r="BY26" i="1"/>
  <c r="AP113" i="1"/>
  <c r="CI113" i="1"/>
  <c r="CF113" i="1"/>
  <c r="CH113" i="1"/>
  <c r="EC145" i="1"/>
  <c r="DP182" i="1"/>
  <c r="AL145" i="1"/>
  <c r="Y182" i="1"/>
  <c r="AK26" i="1"/>
  <c r="X113" i="1"/>
  <c r="AB145" i="1"/>
  <c r="O182" i="1"/>
  <c r="EC26" i="1"/>
  <c r="DP113" i="1"/>
  <c r="AL26" i="1"/>
  <c r="Y113" i="1"/>
  <c r="DT214" i="1"/>
  <c r="DG227" i="1"/>
  <c r="BA145" i="1"/>
  <c r="F202" i="1"/>
  <c r="AQ18" i="1"/>
  <c r="F297" i="1"/>
  <c r="AB113" i="1"/>
  <c r="GM152" i="1"/>
  <c r="GO152" i="1" s="1"/>
  <c r="AL214" i="1"/>
  <c r="Y227" i="1"/>
  <c r="EB145" i="1"/>
  <c r="DO182" i="1"/>
  <c r="EV18" i="1"/>
  <c r="P312" i="1"/>
  <c r="DN26" i="1"/>
  <c r="P136" i="1"/>
  <c r="DN257" i="1"/>
  <c r="AU18" i="1"/>
  <c r="F306" i="1"/>
  <c r="FQ113" i="1"/>
  <c r="FZ113" i="1" s="1"/>
  <c r="R145" i="1"/>
  <c r="F196" i="1"/>
  <c r="BA26" i="1"/>
  <c r="F133" i="1"/>
  <c r="BA257" i="1"/>
  <c r="EB26" i="1"/>
  <c r="DO113" i="1"/>
  <c r="DL26" i="1"/>
  <c r="P134" i="1"/>
  <c r="DL257" i="1"/>
  <c r="GA214" i="1"/>
  <c r="ER227" i="1"/>
  <c r="O227" i="1"/>
  <c r="AB214" i="1"/>
  <c r="V26" i="1"/>
  <c r="F136" i="1"/>
  <c r="V257" i="1"/>
  <c r="DQ227" i="1"/>
  <c r="ED214" i="1"/>
  <c r="CH214" i="1"/>
  <c r="AY227" i="1"/>
  <c r="DT145" i="1"/>
  <c r="DG182" i="1"/>
  <c r="R214" i="1"/>
  <c r="F241" i="1"/>
  <c r="AP214" i="1"/>
  <c r="F236" i="1"/>
  <c r="GM170" i="1"/>
  <c r="GO170" i="1" s="1"/>
  <c r="AO18" i="1"/>
  <c r="F291" i="1"/>
  <c r="DJ145" i="1"/>
  <c r="P196" i="1"/>
  <c r="W26" i="1"/>
  <c r="F137" i="1"/>
  <c r="W257" i="1"/>
  <c r="DT26" i="1"/>
  <c r="DG113" i="1"/>
  <c r="AH145" i="1"/>
  <c r="U182" i="1"/>
  <c r="GM39" i="1"/>
  <c r="FS113" i="1" s="1"/>
  <c r="EP22" i="1"/>
  <c r="EP287" i="1"/>
  <c r="P264" i="1"/>
  <c r="CI214" i="1"/>
  <c r="AZ227" i="1"/>
  <c r="GO148" i="1"/>
  <c r="GO147" i="1"/>
  <c r="CE26" i="1"/>
  <c r="AV113" i="1"/>
  <c r="AH26" i="1"/>
  <c r="U113" i="1"/>
  <c r="Q26" i="1"/>
  <c r="F125" i="1"/>
  <c r="Q257" i="1"/>
  <c r="DJ26" i="1"/>
  <c r="P127" i="1"/>
  <c r="DJ257" i="1"/>
  <c r="GO217" i="1"/>
  <c r="FU227" i="1" s="1"/>
  <c r="FS227" i="1"/>
  <c r="GM110" i="1"/>
  <c r="AZ145" i="1"/>
  <c r="F193" i="1"/>
  <c r="DI26" i="1"/>
  <c r="P125" i="1"/>
  <c r="DI257" i="1"/>
  <c r="P230" i="1"/>
  <c r="DH214" i="1"/>
  <c r="R26" i="1"/>
  <c r="F127" i="1"/>
  <c r="R257" i="1"/>
  <c r="FU113" i="1"/>
  <c r="P26" i="1"/>
  <c r="F116" i="1"/>
  <c r="F230" i="1"/>
  <c r="P214" i="1"/>
  <c r="GO28" i="1"/>
  <c r="CC113" i="1" s="1"/>
  <c r="CA113" i="1"/>
  <c r="AC145" i="1"/>
  <c r="CE182" i="1"/>
  <c r="P182" i="1"/>
  <c r="P257" i="1" s="1"/>
  <c r="CF182" i="1"/>
  <c r="CH182" i="1"/>
  <c r="Q145" i="1"/>
  <c r="F194" i="1"/>
  <c r="GM73" i="1"/>
  <c r="V145" i="1"/>
  <c r="F205" i="1"/>
  <c r="S145" i="1"/>
  <c r="F197" i="1"/>
  <c r="GM149" i="1"/>
  <c r="GO149" i="1" s="1"/>
  <c r="EU18" i="1"/>
  <c r="P303" i="1"/>
  <c r="T145" i="1"/>
  <c r="F203" i="1"/>
  <c r="BC18" i="1"/>
  <c r="F303" i="1"/>
  <c r="CF214" i="1"/>
  <c r="AW227" i="1"/>
  <c r="DX145" i="1"/>
  <c r="DK182" i="1"/>
  <c r="AX22" i="1"/>
  <c r="F264" i="1"/>
  <c r="AX287" i="1"/>
  <c r="ES26" i="1"/>
  <c r="P133" i="1"/>
  <c r="EI18" i="1"/>
  <c r="P297" i="1"/>
  <c r="EQ227" i="1"/>
  <c r="FZ214" i="1"/>
  <c r="DI145" i="1"/>
  <c r="P194" i="1"/>
  <c r="DN145" i="1"/>
  <c r="P205" i="1"/>
  <c r="ED26" i="1"/>
  <c r="DQ113" i="1"/>
  <c r="DZ145" i="1"/>
  <c r="DM182" i="1"/>
  <c r="DM26" i="1"/>
  <c r="P135" i="1"/>
  <c r="DM257" i="1"/>
  <c r="DU26" i="1"/>
  <c r="DH113" i="1"/>
  <c r="FW113" i="1"/>
  <c r="EM18" i="1"/>
  <c r="P306" i="1"/>
  <c r="EC214" i="1"/>
  <c r="DP227" i="1"/>
  <c r="DK26" i="1"/>
  <c r="P128" i="1"/>
  <c r="BD18" i="1"/>
  <c r="F312" i="1"/>
  <c r="P236" i="1"/>
  <c r="EH214" i="1"/>
  <c r="S26" i="1"/>
  <c r="F128" i="1"/>
  <c r="S257" i="1"/>
  <c r="DU145" i="1"/>
  <c r="FW182" i="1"/>
  <c r="DH182" i="1"/>
  <c r="FX182" i="1"/>
  <c r="FZ182" i="1"/>
  <c r="CE214" i="1"/>
  <c r="AV227" i="1"/>
  <c r="ED182" i="1"/>
  <c r="EK18" i="1"/>
  <c r="P304" i="1"/>
  <c r="P241" i="1"/>
  <c r="DJ214" i="1"/>
  <c r="EO227" i="1"/>
  <c r="FX214" i="1"/>
  <c r="AS18" i="1"/>
  <c r="F304" i="1"/>
  <c r="T26" i="1"/>
  <c r="F134" i="1"/>
  <c r="T257" i="1"/>
  <c r="GB145" i="1"/>
  <c r="ES182" i="1"/>
  <c r="ES257" i="1" s="1"/>
  <c r="FW214" i="1"/>
  <c r="EN227" i="1"/>
  <c r="BB18" i="1"/>
  <c r="F300" i="1"/>
  <c r="W145" i="1"/>
  <c r="F206" i="1"/>
  <c r="DL145" i="1"/>
  <c r="P203" i="1"/>
  <c r="CA227" i="1"/>
  <c r="GO216" i="1"/>
  <c r="CC227" i="1" s="1"/>
  <c r="P22" i="1" l="1"/>
  <c r="P287" i="1"/>
  <c r="F260" i="1"/>
  <c r="ES22" i="1"/>
  <c r="P277" i="1"/>
  <c r="H16" i="2" s="1"/>
  <c r="ES287" i="1"/>
  <c r="FZ26" i="1"/>
  <c r="EQ113" i="1"/>
  <c r="R22" i="1"/>
  <c r="F271" i="1"/>
  <c r="R287" i="1"/>
  <c r="DM22" i="1"/>
  <c r="DM287" i="1"/>
  <c r="P279" i="1"/>
  <c r="CC26" i="1"/>
  <c r="AT113" i="1"/>
  <c r="DI22" i="1"/>
  <c r="P269" i="1"/>
  <c r="DI287" i="1"/>
  <c r="DO26" i="1"/>
  <c r="P137" i="1"/>
  <c r="DO257" i="1"/>
  <c r="AY214" i="1"/>
  <c r="F235" i="1"/>
  <c r="FW145" i="1"/>
  <c r="EN182" i="1"/>
  <c r="P253" i="1"/>
  <c r="DP214" i="1"/>
  <c r="DM145" i="1"/>
  <c r="P204" i="1"/>
  <c r="U26" i="1"/>
  <c r="F135" i="1"/>
  <c r="U257" i="1"/>
  <c r="V22" i="1"/>
  <c r="F280" i="1"/>
  <c r="V287" i="1"/>
  <c r="BA22" i="1"/>
  <c r="BA287" i="1"/>
  <c r="F277" i="1"/>
  <c r="W16" i="2" s="1"/>
  <c r="CA26" i="1"/>
  <c r="AR113" i="1"/>
  <c r="Y145" i="1"/>
  <c r="F209" i="1"/>
  <c r="FS26" i="1"/>
  <c r="EJ113" i="1"/>
  <c r="DO145" i="1"/>
  <c r="P206" i="1"/>
  <c r="Y26" i="1"/>
  <c r="F140" i="1"/>
  <c r="Y257" i="1"/>
  <c r="CH26" i="1"/>
  <c r="AY113" i="1"/>
  <c r="CA214" i="1"/>
  <c r="AR227" i="1"/>
  <c r="DK145" i="1"/>
  <c r="P197" i="1"/>
  <c r="FZ145" i="1"/>
  <c r="EQ182" i="1"/>
  <c r="EQ214" i="1"/>
  <c r="P235" i="1"/>
  <c r="DH145" i="1"/>
  <c r="P185" i="1"/>
  <c r="EP18" i="1"/>
  <c r="P294" i="1"/>
  <c r="DG214" i="1"/>
  <c r="P229" i="1"/>
  <c r="EO214" i="1"/>
  <c r="P233" i="1"/>
  <c r="S22" i="1"/>
  <c r="S287" i="1"/>
  <c r="F272" i="1"/>
  <c r="Y16" i="2" s="1"/>
  <c r="DQ26" i="1"/>
  <c r="P140" i="1"/>
  <c r="DQ257" i="1"/>
  <c r="AV26" i="1"/>
  <c r="F118" i="1"/>
  <c r="U145" i="1"/>
  <c r="F204" i="1"/>
  <c r="CF26" i="1"/>
  <c r="AW113" i="1"/>
  <c r="F238" i="1"/>
  <c r="AZ214" i="1"/>
  <c r="DK257" i="1"/>
  <c r="Q22" i="1"/>
  <c r="F269" i="1"/>
  <c r="Q287" i="1"/>
  <c r="FX145" i="1"/>
  <c r="EO182" i="1"/>
  <c r="AW214" i="1"/>
  <c r="F233" i="1"/>
  <c r="DQ214" i="1"/>
  <c r="P254" i="1"/>
  <c r="DP145" i="1"/>
  <c r="P208" i="1"/>
  <c r="P232" i="1"/>
  <c r="EN214" i="1"/>
  <c r="Y214" i="1"/>
  <c r="F254" i="1"/>
  <c r="DP26" i="1"/>
  <c r="P139" i="1"/>
  <c r="DP257" i="1"/>
  <c r="CI26" i="1"/>
  <c r="AZ113" i="1"/>
  <c r="ES145" i="1"/>
  <c r="P202" i="1"/>
  <c r="CF145" i="1"/>
  <c r="AW182" i="1"/>
  <c r="DN22" i="1"/>
  <c r="DN287" i="1"/>
  <c r="P280" i="1"/>
  <c r="FW26" i="1"/>
  <c r="EN113" i="1"/>
  <c r="AX18" i="1"/>
  <c r="F294" i="1"/>
  <c r="CH145" i="1"/>
  <c r="AY182" i="1"/>
  <c r="FU26" i="1"/>
  <c r="EL113" i="1"/>
  <c r="EJ227" i="1"/>
  <c r="FS214" i="1"/>
  <c r="CA182" i="1"/>
  <c r="DG26" i="1"/>
  <c r="P115" i="1"/>
  <c r="DG257" i="1"/>
  <c r="O214" i="1"/>
  <c r="F229" i="1"/>
  <c r="AP26" i="1"/>
  <c r="F122" i="1"/>
  <c r="AP257" i="1"/>
  <c r="FQ26" i="1"/>
  <c r="EH113" i="1"/>
  <c r="GA113" i="1"/>
  <c r="O145" i="1"/>
  <c r="F184" i="1"/>
  <c r="DH26" i="1"/>
  <c r="P116" i="1"/>
  <c r="DH257" i="1"/>
  <c r="P145" i="1"/>
  <c r="F185" i="1"/>
  <c r="FU182" i="1"/>
  <c r="W22" i="1"/>
  <c r="F281" i="1"/>
  <c r="W287" i="1"/>
  <c r="DG145" i="1"/>
  <c r="P184" i="1"/>
  <c r="AB26" i="1"/>
  <c r="O113" i="1"/>
  <c r="X145" i="1"/>
  <c r="F208" i="1"/>
  <c r="EL227" i="1"/>
  <c r="FU214" i="1"/>
  <c r="CC182" i="1"/>
  <c r="P238" i="1"/>
  <c r="ER214" i="1"/>
  <c r="ED145" i="1"/>
  <c r="DQ182" i="1"/>
  <c r="DJ22" i="1"/>
  <c r="P271" i="1"/>
  <c r="DJ287" i="1"/>
  <c r="AT227" i="1"/>
  <c r="CC214" i="1"/>
  <c r="T22" i="1"/>
  <c r="F278" i="1"/>
  <c r="T287" i="1"/>
  <c r="F232" i="1"/>
  <c r="AV214" i="1"/>
  <c r="FX113" i="1"/>
  <c r="CE145" i="1"/>
  <c r="AV182" i="1"/>
  <c r="AV257" i="1" s="1"/>
  <c r="FS182" i="1"/>
  <c r="DL22" i="1"/>
  <c r="P278" i="1"/>
  <c r="DL287" i="1"/>
  <c r="X26" i="1"/>
  <c r="F139" i="1"/>
  <c r="X257" i="1"/>
  <c r="AV22" i="1" l="1"/>
  <c r="F262" i="1"/>
  <c r="AV287" i="1"/>
  <c r="EH26" i="1"/>
  <c r="P122" i="1"/>
  <c r="EH257" i="1"/>
  <c r="S18" i="1"/>
  <c r="F302" i="1"/>
  <c r="EQ145" i="1"/>
  <c r="P190" i="1"/>
  <c r="DO22" i="1"/>
  <c r="DO287" i="1"/>
  <c r="P281" i="1"/>
  <c r="AW145" i="1"/>
  <c r="F188" i="1"/>
  <c r="V18" i="1"/>
  <c r="F310" i="1"/>
  <c r="AY145" i="1"/>
  <c r="F190" i="1"/>
  <c r="EJ26" i="1"/>
  <c r="P141" i="1"/>
  <c r="EJ257" i="1"/>
  <c r="U22" i="1"/>
  <c r="F279" i="1"/>
  <c r="U287" i="1"/>
  <c r="AP22" i="1"/>
  <c r="AP287" i="1"/>
  <c r="F266" i="1"/>
  <c r="V16" i="2" s="1"/>
  <c r="EQ26" i="1"/>
  <c r="P121" i="1"/>
  <c r="EQ257" i="1"/>
  <c r="DI18" i="1"/>
  <c r="P299" i="1"/>
  <c r="FX26" i="1"/>
  <c r="EO113" i="1"/>
  <c r="AZ26" i="1"/>
  <c r="F124" i="1"/>
  <c r="AZ257" i="1"/>
  <c r="DH22" i="1"/>
  <c r="P260" i="1"/>
  <c r="DH287" i="1"/>
  <c r="DP22" i="1"/>
  <c r="DP287" i="1"/>
  <c r="P283" i="1"/>
  <c r="AR214" i="1"/>
  <c r="F255" i="1"/>
  <c r="ES18" i="1"/>
  <c r="P307" i="1"/>
  <c r="DK22" i="1"/>
  <c r="P272" i="1"/>
  <c r="J16" i="2" s="1"/>
  <c r="DK287" i="1"/>
  <c r="R18" i="1"/>
  <c r="F301" i="1"/>
  <c r="X22" i="1"/>
  <c r="X287" i="1"/>
  <c r="F283" i="1"/>
  <c r="AW26" i="1"/>
  <c r="F119" i="1"/>
  <c r="AW257" i="1"/>
  <c r="AT214" i="1"/>
  <c r="F245" i="1"/>
  <c r="DG22" i="1"/>
  <c r="P259" i="1"/>
  <c r="DG287" i="1"/>
  <c r="EN26" i="1"/>
  <c r="P118" i="1"/>
  <c r="EN257" i="1"/>
  <c r="EO145" i="1"/>
  <c r="P188" i="1"/>
  <c r="AR26" i="1"/>
  <c r="F141" i="1"/>
  <c r="AR257" i="1"/>
  <c r="T18" i="1"/>
  <c r="F308" i="1"/>
  <c r="AY26" i="1"/>
  <c r="F121" i="1"/>
  <c r="AY257" i="1"/>
  <c r="AT26" i="1"/>
  <c r="F131" i="1"/>
  <c r="AT257" i="1"/>
  <c r="EJ214" i="1"/>
  <c r="P255" i="1"/>
  <c r="EL26" i="1"/>
  <c r="P131" i="1"/>
  <c r="FS145" i="1"/>
  <c r="EJ182" i="1"/>
  <c r="Q18" i="1"/>
  <c r="F299" i="1"/>
  <c r="W18" i="1"/>
  <c r="F311" i="1"/>
  <c r="FU145" i="1"/>
  <c r="EL182" i="1"/>
  <c r="CA145" i="1"/>
  <c r="AR182" i="1"/>
  <c r="DN18" i="1"/>
  <c r="P310" i="1"/>
  <c r="DQ22" i="1"/>
  <c r="DQ287" i="1"/>
  <c r="P284" i="1"/>
  <c r="Y22" i="1"/>
  <c r="F284" i="1"/>
  <c r="Y287" i="1"/>
  <c r="BA18" i="1"/>
  <c r="F307" i="1"/>
  <c r="EN145" i="1"/>
  <c r="P187" i="1"/>
  <c r="P18" i="1"/>
  <c r="F290" i="1"/>
  <c r="CC145" i="1"/>
  <c r="AT182" i="1"/>
  <c r="EL214" i="1"/>
  <c r="P245" i="1"/>
  <c r="DL18" i="1"/>
  <c r="P308" i="1"/>
  <c r="DJ18" i="1"/>
  <c r="P301" i="1"/>
  <c r="O26" i="1"/>
  <c r="F115" i="1"/>
  <c r="O257" i="1"/>
  <c r="AV145" i="1"/>
  <c r="F187" i="1"/>
  <c r="DQ145" i="1"/>
  <c r="P209" i="1"/>
  <c r="GA26" i="1"/>
  <c r="ER113" i="1"/>
  <c r="DM18" i="1"/>
  <c r="P309" i="1"/>
  <c r="EO26" i="1" l="1"/>
  <c r="P119" i="1"/>
  <c r="EO257" i="1"/>
  <c r="DO18" i="1"/>
  <c r="P311" i="1"/>
  <c r="AT22" i="1"/>
  <c r="AT287" i="1"/>
  <c r="F275" i="1"/>
  <c r="U16" i="2" s="1"/>
  <c r="X16" i="2" s="1"/>
  <c r="AC16" i="2" s="1"/>
  <c r="X18" i="1"/>
  <c r="F313" i="1"/>
  <c r="DP18" i="1"/>
  <c r="P313" i="1"/>
  <c r="EQ22" i="1"/>
  <c r="EQ287" i="1"/>
  <c r="P265" i="1"/>
  <c r="O22" i="1"/>
  <c r="O287" i="1"/>
  <c r="F259" i="1"/>
  <c r="EJ22" i="1"/>
  <c r="EJ287" i="1"/>
  <c r="P285" i="1"/>
  <c r="EH22" i="1"/>
  <c r="P266" i="1"/>
  <c r="G16" i="2" s="1"/>
  <c r="EH287" i="1"/>
  <c r="AW22" i="1"/>
  <c r="AW287" i="1"/>
  <c r="F263" i="1"/>
  <c r="AR22" i="1"/>
  <c r="AR287" i="1"/>
  <c r="F285" i="1"/>
  <c r="AR145" i="1"/>
  <c r="F210" i="1"/>
  <c r="EL145" i="1"/>
  <c r="P200" i="1"/>
  <c r="DG18" i="1"/>
  <c r="P289" i="1"/>
  <c r="ER26" i="1"/>
  <c r="P124" i="1"/>
  <c r="ER257" i="1"/>
  <c r="DH18" i="1"/>
  <c r="P290" i="1"/>
  <c r="AT145" i="1"/>
  <c r="F200" i="1"/>
  <c r="DQ18" i="1"/>
  <c r="P314" i="1"/>
  <c r="EJ145" i="1"/>
  <c r="P210" i="1"/>
  <c r="DK18" i="1"/>
  <c r="P302" i="1"/>
  <c r="AP18" i="1"/>
  <c r="F296" i="1"/>
  <c r="AV18" i="1"/>
  <c r="F292" i="1"/>
  <c r="Y18" i="1"/>
  <c r="F314" i="1"/>
  <c r="AZ22" i="1"/>
  <c r="F268" i="1"/>
  <c r="AZ287" i="1"/>
  <c r="EN22" i="1"/>
  <c r="EN287" i="1"/>
  <c r="P262" i="1"/>
  <c r="AY22" i="1"/>
  <c r="AY287" i="1"/>
  <c r="F265" i="1"/>
  <c r="EL257" i="1"/>
  <c r="U18" i="1"/>
  <c r="F309" i="1"/>
  <c r="EH18" i="1" l="1"/>
  <c r="P296" i="1"/>
  <c r="EJ18" i="1"/>
  <c r="P315" i="1"/>
  <c r="AR18" i="1"/>
  <c r="F315" i="1"/>
  <c r="O18" i="1"/>
  <c r="F289" i="1"/>
  <c r="AZ18" i="1"/>
  <c r="F298" i="1"/>
  <c r="AT18" i="1"/>
  <c r="F305" i="1"/>
  <c r="EL22" i="1"/>
  <c r="EL287" i="1"/>
  <c r="P275" i="1"/>
  <c r="F16" i="2" s="1"/>
  <c r="I16" i="2" s="1"/>
  <c r="N16" i="2" s="1"/>
  <c r="AY18" i="1"/>
  <c r="F295" i="1"/>
  <c r="ER22" i="1"/>
  <c r="ER287" i="1"/>
  <c r="P268" i="1"/>
  <c r="EO22" i="1"/>
  <c r="EO287" i="1"/>
  <c r="P263" i="1"/>
  <c r="EN18" i="1"/>
  <c r="P292" i="1"/>
  <c r="AW18" i="1"/>
  <c r="F293" i="1"/>
  <c r="EQ18" i="1"/>
  <c r="P295" i="1"/>
  <c r="EO18" i="1" l="1"/>
  <c r="P293" i="1"/>
  <c r="ER18" i="1"/>
  <c r="P298" i="1"/>
  <c r="EL18" i="1"/>
  <c r="P305" i="1"/>
</calcChain>
</file>

<file path=xl/sharedStrings.xml><?xml version="1.0" encoding="utf-8"?>
<sst xmlns="http://schemas.openxmlformats.org/spreadsheetml/2006/main" count="8340" uniqueCount="594">
  <si>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</si>
  <si>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</si>
  <si>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</si>
  <si>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</si>
  <si>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</si>
  <si>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02-01-08</t>
  </si>
  <si>
    <t>02-01-08 АПС</t>
  </si>
  <si>
    <t>2024-00272-01-0-ИОС5.1</t>
  </si>
  <si>
    <t>Лукьянова А.Л.</t>
  </si>
  <si>
    <t>Сметные нормы списания</t>
  </si>
  <si>
    <t>Коды ОКП для ТСН-2001 МГЭ Дополнение 80</t>
  </si>
  <si>
    <t>ТСН-2001 (МГЭ) Доп 80 - Новое строительство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</si>
  <si>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</si>
  <si>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</si>
  <si>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</si>
  <si>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</si>
  <si>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</si>
  <si>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Автоматическая пожарная сигнализация</t>
  </si>
  <si>
    <t>Монтажные работы</t>
  </si>
  <si>
    <t>1</t>
  </si>
  <si>
    <t>4.10-80-4</t>
  </si>
  <si>
    <t>Аппараты приемные, приборы ПС приемно-контрольные, пусковые, прибор ПС на 4 луча</t>
  </si>
  <si>
    <t>1  ШТ.</t>
  </si>
  <si>
    <t>ТСН-2001.4. Доп. 1-42. Сб. 10, т. 80, поз. 4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</si>
  <si>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</si>
  <si>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</si>
  <si>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</si>
  <si>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</si>
  <si>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</si>
  <si>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1,1</t>
  </si>
  <si>
    <t>КА 1</t>
  </si>
  <si>
    <t>Прибор приемно-контрольный и управления пожарный адресный R3-Рубеж 20П 319538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</si>
  <si>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</si>
  <si>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</si>
  <si>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</si>
  <si>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</si>
  <si>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[42 981 / 1,2 /  7,66] +  3% Трансп +  1,2% Заг.скл</t>
  </si>
  <si>
    <t>3</t>
  </si>
  <si>
    <t>1,2</t>
  </si>
  <si>
    <t>2</t>
  </si>
  <si>
    <t>4.10-170-2</t>
  </si>
  <si>
    <t>Монтаж блока информационно-управляющего (БИУ) в диспетчерской</t>
  </si>
  <si>
    <t>ТСН-2001.4 Доп. 67, Сб. 10, т. 170, поз. 2</t>
  </si>
  <si>
    <t>2,1</t>
  </si>
  <si>
    <t>КА 2</t>
  </si>
  <si>
    <t>Блок индикации и управления R3-Рубеж-БИУ 319531</t>
  </si>
  <si>
    <t>[21 132 / 1,2 /  7,66] +  3% Трансп +  1,2% Заг.скл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</si>
  <si>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</si>
  <si>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</si>
  <si>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</si>
  <si>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</si>
  <si>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</si>
  <si>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3,1</t>
  </si>
  <si>
    <t>КА 3</t>
  </si>
  <si>
    <t>Модуль связи R3-МС 377218</t>
  </si>
  <si>
    <t>[16 828 / 1,2 /  7,66] +  3% Трансп +  1,2% Заг.скл</t>
  </si>
  <si>
    <t>4</t>
  </si>
  <si>
    <t>4.10-81-2</t>
  </si>
  <si>
    <t>Извещатели ПС автоматические, дымовой, фотоэлектрический, радиоизотопный, световой в нормальном исполнении</t>
  </si>
  <si>
    <t>ТСН-2001.4. Доп. 1-42. Сб. 10, т. 81, поз. 2</t>
  </si>
  <si>
    <t>4,1</t>
  </si>
  <si>
    <t>КА 4</t>
  </si>
  <si>
    <t>Извещатель дымовой ИП 212-64-R3 без б/о 337936</t>
  </si>
  <si>
    <t>[1 406 / 1,2 /  7,66] +  3% Трансп +  1,2% Заг.скл</t>
  </si>
  <si>
    <t>5</t>
  </si>
  <si>
    <t>4.10-81-6</t>
  </si>
  <si>
    <t>Конструкция для установки извещателя</t>
  </si>
  <si>
    <t>ТСН-2001.4. Доп. 1-42. Сб. 10, т. 81, поз. 6</t>
  </si>
  <si>
    <t>5,1</t>
  </si>
  <si>
    <t>КА 5</t>
  </si>
  <si>
    <t>Базовое основание W2.03 342655</t>
  </si>
  <si>
    <t>[523 / 1,2 /  9,88] +  2% Заг.скл</t>
  </si>
  <si>
    <t>0</t>
  </si>
  <si>
    <t>5,2</t>
  </si>
  <si>
    <t>КА 6</t>
  </si>
  <si>
    <t>Базовое основание W1.02 338227</t>
  </si>
  <si>
    <t>[208 / 1,2 /  9,88] +  2% Заг.скл</t>
  </si>
  <si>
    <t>6</t>
  </si>
  <si>
    <t>6,1</t>
  </si>
  <si>
    <t>КА 7</t>
  </si>
  <si>
    <t>Извещатель пожарный дымовой оптико-электронный линейный ИПДЛ-264/1-50-R3 342260</t>
  </si>
  <si>
    <t>[21 868 / 1,2 /  7,66] +  3% Трансп +  1,2% Заг.скл</t>
  </si>
  <si>
    <t>7</t>
  </si>
  <si>
    <t>4.10-76-10</t>
  </si>
  <si>
    <t>Монтаж ключа или кнопки на панели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</si>
  <si>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</si>
  <si>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</si>
  <si>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</si>
  <si>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7,1</t>
  </si>
  <si>
    <t>КА 8</t>
  </si>
  <si>
    <t>Извещатель пожарный ручной адресный с изолятором ИПР 513-11ИКЗ-А-R3 301159</t>
  </si>
  <si>
    <t>[1 243 / 1,2 /  7,66] +  3% Трансп +  1,2% Заг.скл</t>
  </si>
  <si>
    <t>8</t>
  </si>
  <si>
    <t>4.10-81-1</t>
  </si>
  <si>
    <t>Извещатели ПС автоматические, тепловой электроконтактный, магнито-контактный в нормальном исполнении</t>
  </si>
  <si>
    <t>ТСН-2001.4. Доп. 1-42. Сб. 10, т. 81, поз. 1</t>
  </si>
  <si>
    <t>8,1</t>
  </si>
  <si>
    <t>КА 9</t>
  </si>
  <si>
    <t>Извещатель пожарный тепловой адресный ИП 101-29-PR-R3 337480</t>
  </si>
  <si>
    <t>[1 504 / 1,2 /  7,66] +  3% Трансп +  1,2% Заг.скл</t>
  </si>
  <si>
    <t>9</t>
  </si>
  <si>
    <t>4.8-60-1</t>
  </si>
  <si>
    <t>Монтаж устройства сигнально-блокировочного</t>
  </si>
  <si>
    <t>ТСН-2001.4 Доп. 79, Сб. 8, т. 60, поз. 1</t>
  </si>
  <si>
    <t>ТСН-2001.4-8. Электротехнические установки</t>
  </si>
  <si>
    <t>ТСН-2001.4-8-1</t>
  </si>
  <si>
    <t>9,1</t>
  </si>
  <si>
    <t>КА 10</t>
  </si>
  <si>
    <t>Изолятор шлейфа ИЗ-1-R3 337647</t>
  </si>
  <si>
    <t>[681 / 1,2 /  7,66] +  3% Трансп +  1,2% Заг.скл</t>
  </si>
  <si>
    <t>10</t>
  </si>
  <si>
    <t>10,1</t>
  </si>
  <si>
    <t>КА 11</t>
  </si>
  <si>
    <t>Оповещатель охранно-пожарный световой адресный ОПОП 1-R3 "Выход" 337637</t>
  </si>
  <si>
    <t>[1 613 / 1,2 /  7,66] +  3% Трансп +  1,2% Заг.скл</t>
  </si>
  <si>
    <t>10,2</t>
  </si>
  <si>
    <t>КА 12</t>
  </si>
  <si>
    <t>Оповещатель охранно-пожарный световой адресный ОПОП 1-R3 "Пожар" 338202</t>
  </si>
  <si>
    <t>[1 387 / 1,2 /  7,66] +  3% Трансп +  1,2% Заг.скл</t>
  </si>
  <si>
    <t>10,3</t>
  </si>
  <si>
    <t>КА 13</t>
  </si>
  <si>
    <t>Оповещатель охранно-пожарный световой ОПОП 1-R3 Стрелка</t>
  </si>
  <si>
    <t>11</t>
  </si>
  <si>
    <t>4.10-173-2</t>
  </si>
  <si>
    <t>Монтаж блока бесперебойного питания (ББП) в диспетчерской</t>
  </si>
  <si>
    <t>ТСН-2001.4 Доп. 67, Сб. 10, т. 173, поз. 2</t>
  </si>
  <si>
    <t>11,1</t>
  </si>
  <si>
    <t>КА 14</t>
  </si>
  <si>
    <t>Источник вторичного электропитания резервированный адресный ИВЭПР 12/2 RS-R3 2х17 БР-R3</t>
  </si>
  <si>
    <t>[8 306 / 1,2 /  7,66] +  3% Трансп +  1,2% Заг.скл</t>
  </si>
  <si>
    <t>11,2</t>
  </si>
  <si>
    <t>КА 15</t>
  </si>
  <si>
    <t>Источник вторичного электропитания резервированный адресный ИВЭПР 12/5 RS-R3 2х40 БР-R3</t>
  </si>
  <si>
    <t>[13 025 / 1,2 /  7,66] +  3% Трансп +  1,2% Заг.скл</t>
  </si>
  <si>
    <t>11,3</t>
  </si>
  <si>
    <t>КА 16</t>
  </si>
  <si>
    <t>Источник вторичного электропитания резервированный адресный ИВЭПР 12/2 RS-R3 2х12 БР-R3</t>
  </si>
  <si>
    <t>[7 634 / 1,2 /  7,66] +  3% Трансп +  1,2% Заг.скл</t>
  </si>
  <si>
    <t>11,4</t>
  </si>
  <si>
    <t>13.1-1-660</t>
  </si>
  <si>
    <t>Аккумулятор герметичный свинцово-кислотный 12 В, 12 А·ч</t>
  </si>
  <si>
    <t>11,5</t>
  </si>
  <si>
    <t>13.1-1-21</t>
  </si>
  <si>
    <t>Батарея аккумуляторная, емкость 17 А·ч, напряжение 12 В</t>
  </si>
  <si>
    <t>11,6</t>
  </si>
  <si>
    <t>13.1-1-451</t>
  </si>
  <si>
    <t>Батарея аккумуляторная, емкость 40 А·ч, напряжение 12 В</t>
  </si>
  <si>
    <t>12</t>
  </si>
  <si>
    <t>4.10-80-13</t>
  </si>
  <si>
    <t>Аппараты приемные, устройства промежуточные на 1 луч</t>
  </si>
  <si>
    <t>ТСН-2001.4. Доп. 1-42. Сб. 10, т. 80, поз. 13</t>
  </si>
  <si>
    <t>12,1</t>
  </si>
  <si>
    <t>КА 17</t>
  </si>
  <si>
    <t>Адресный релейный модуль РМ-1К-R3 337614</t>
  </si>
  <si>
    <t>[3 108 / 1,2 /  7,66] +  3% Трансп +  1,2% Заг.скл</t>
  </si>
  <si>
    <t>12,2</t>
  </si>
  <si>
    <t>КА 18</t>
  </si>
  <si>
    <t>Адресный релейный модуль РМ-1С-R3 337648</t>
  </si>
  <si>
    <t>[2 994 / 1,2 /  7,66] +  3% Трансп +  1,2% Заг.скл</t>
  </si>
  <si>
    <t>12,3</t>
  </si>
  <si>
    <t>КА 19</t>
  </si>
  <si>
    <t>Адресный релейный модуль РМ-4-R3 337434</t>
  </si>
  <si>
    <t>[3 524 / 1,2 /  7,66] +  3% Трансп +  1,2% Заг.скл</t>
  </si>
  <si>
    <t>12,4</t>
  </si>
  <si>
    <t>КА 20</t>
  </si>
  <si>
    <t>Адресный релейный модуль РМ-4К-R3</t>
  </si>
  <si>
    <t>[4 672 / 1,2 /  7,66] +  3% Трансп +  1,2% Заг.скл</t>
  </si>
  <si>
    <t>13</t>
  </si>
  <si>
    <t>4.10-167-1</t>
  </si>
  <si>
    <t>Монтаж блока питания сети (БПС) в диспетчерской</t>
  </si>
  <si>
    <t>ТСН-2001.4 Доп. 69, Сб. 10, т. 167, поз. 1</t>
  </si>
  <si>
    <t>13,1</t>
  </si>
  <si>
    <t>КА 21</t>
  </si>
  <si>
    <t>Бокс резервного электропитания БР12 исп. 2х40 045569</t>
  </si>
  <si>
    <t>[7 759 / 1,2 /  7,66] +  3% Трансп +  1,2% Заг.скл</t>
  </si>
  <si>
    <t>14</t>
  </si>
  <si>
    <t>4.10-76-7</t>
  </si>
  <si>
    <t>Монтаж громкоговорителя или звуковой колонки в помещении</t>
  </si>
  <si>
    <t>ТСН-2001.4 Доп. 67, Сб. 10, т. 76, поз. 7</t>
  </si>
  <si>
    <t>14,1</t>
  </si>
  <si>
    <t>КА 22</t>
  </si>
  <si>
    <t>Оповещатель охранно-пожарный светозвуковой ОПОП 124-7 12В</t>
  </si>
  <si>
    <t>[683 / 1,2 /  7,66] +  3% Трансп +  1,2% Заг.скл</t>
  </si>
  <si>
    <t>15</t>
  </si>
  <si>
    <t>4.8-245-10</t>
  </si>
  <si>
    <t>Монтаж светильников с лампами накаливания, светового настенного указателя</t>
  </si>
  <si>
    <t>100 шт.</t>
  </si>
  <si>
    <t>ТСН-2001.4 Доп. 79, Сб. 8, т. 245, поз. 10</t>
  </si>
  <si>
    <t>15,1</t>
  </si>
  <si>
    <t>13.1-2-611</t>
  </si>
  <si>
    <t>Оповещатель охранно-пожарный световой, типа МАЯК-12-С</t>
  </si>
  <si>
    <t>15,2</t>
  </si>
  <si>
    <t>13.1-2-188</t>
  </si>
  <si>
    <t>Оповещатель охранно-пожарный, световой, типа Молния-220 РИП "Выход"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</si>
  <si>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</si>
  <si>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</si>
  <si>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</si>
  <si>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</si>
  <si>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</si>
  <si>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</si>
  <si>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</si>
  <si>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</si>
  <si>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</si>
  <si>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</si>
  <si>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</si>
  <si>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</si>
  <si>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</si>
  <si>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</si>
  <si>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</si>
  <si>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</si>
  <si>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</si>
  <si>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</si>
  <si>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</si>
  <si>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</si>
  <si>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</si>
  <si>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</si>
  <si>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</si>
  <si>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</si>
  <si>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</si>
  <si>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</si>
  <si>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</si>
  <si>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</si>
  <si>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</si>
  <si>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</si>
  <si>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</si>
  <si>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</si>
  <si>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</si>
  <si>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</si>
  <si>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</si>
  <si>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</si>
  <si>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</si>
  <si>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</si>
  <si>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</si>
  <si>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</si>
  <si>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</si>
  <si>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</si>
  <si>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</si>
  <si>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</si>
  <si>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</si>
  <si>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</si>
  <si>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</si>
  <si>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</si>
  <si>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</si>
  <si>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</si>
  <si>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</si>
  <si>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</si>
  <si>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</si>
  <si>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</si>
  <si>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Огнестойкая кабельная линия</t>
  </si>
  <si>
    <t>16</t>
  </si>
  <si>
    <t>4.10-185-3</t>
  </si>
  <si>
    <t>Прокладка кабеля связи огнестойкого в трубах гофрированных с использованием скобы СМО: по бетонным поверхностям</t>
  </si>
  <si>
    <t>100 м</t>
  </si>
  <si>
    <t>ТСН-2001.4 Доп. 80, Сб. 10, т. 185, поз. 3</t>
  </si>
  <si>
    <t>16,1</t>
  </si>
  <si>
    <t>1.12-5-1162</t>
  </si>
  <si>
    <t>Трубы электротехнические из ПВХ, гофрированные, гибкие, легкие, с протяжкой, прочность при сжатии 350 Н, прочность на разрыв 100 Н, диапазон температур от -25 до + 60°С, негорючие, для скрытой прокладки проводов и кабелей, наружный диаметр 20 мм</t>
  </si>
  <si>
    <t>10 м</t>
  </si>
  <si>
    <t>ТСН-2001.1 Доп. 79, Р. 12, о. 5, поз. 1162</t>
  </si>
  <si>
    <t>16,2</t>
  </si>
  <si>
    <t>1.12-5-516</t>
  </si>
  <si>
    <t>Муфта соединительная из АБС пластика, универсальная, для электротехнических труб, наружный диаметр 20 мм</t>
  </si>
  <si>
    <t>ТСН-2001.1 Доп. 67, Р. 12, о. 5, поз. 516</t>
  </si>
  <si>
    <t>16,3</t>
  </si>
  <si>
    <t>1.21-5-1469</t>
  </si>
  <si>
    <t>Скоба однолапковая стальная оцинкованная, для кабелей диаметром от 19 до 20 мм</t>
  </si>
  <si>
    <t>1000 шт.</t>
  </si>
  <si>
    <t>ТСН-2001.1 Доп. 79, Р. 21, о. 5, поз. 1469</t>
  </si>
  <si>
    <t>16,4</t>
  </si>
  <si>
    <t>КА 23</t>
  </si>
  <si>
    <t>Кабель КПСЭнг(А)-FRLSLTx 1х2х0,5 мм</t>
  </si>
  <si>
    <t>км</t>
  </si>
  <si>
    <t>[24 130 / 1,2 /  9,88] +  2% Заг.скл</t>
  </si>
  <si>
    <t>16,5</t>
  </si>
  <si>
    <t>КА 24</t>
  </si>
  <si>
    <t>Кабель КПСнг(А)-FRLSLTx 1х2х1,5 мм</t>
  </si>
  <si>
    <t>[56 730 / 1,2 /  9,88] +  2% Заг.скл</t>
  </si>
  <si>
    <t>16,6</t>
  </si>
  <si>
    <t>КА 25</t>
  </si>
  <si>
    <t>Кабель КПСнг(А)-FRLSLTx 1х2х1 мм</t>
  </si>
  <si>
    <t>[41 420 / 1,2 /  9,88] +  2% Заг.скл</t>
  </si>
  <si>
    <t>16,7</t>
  </si>
  <si>
    <t>КА 26</t>
  </si>
  <si>
    <t>Кабель КПСнг(А)-FRLSLTx 1х2х0,75 мм</t>
  </si>
  <si>
    <t>[31 580 / 1,2 /  9,88] +  2% Заг.скл</t>
  </si>
  <si>
    <t>16,8</t>
  </si>
  <si>
    <t>1.7-5-390</t>
  </si>
  <si>
    <t>Анкер клиновой стальной оцинкованный, М6х55 мм</t>
  </si>
  <si>
    <t>ТСН-2001.1 Доп. 79, Р. 7, о. 5, поз. 390</t>
  </si>
  <si>
    <t>17</t>
  </si>
  <si>
    <t>4.8-172-1</t>
  </si>
  <si>
    <t>Прокладка по установленным конструкциям, по стенам и колоннам с креплением скобами винипластовой трубы диаметром до 25 мм</t>
  </si>
  <si>
    <t>ТСН-2001.4 Доп. 80, Сб. 8, т. 172, поз. 1</t>
  </si>
  <si>
    <t>17,1</t>
  </si>
  <si>
    <t>1.12-5-43</t>
  </si>
  <si>
    <t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t>
  </si>
  <si>
    <t>м</t>
  </si>
  <si>
    <t>ТСН-2001.1 Доп. 67, Р. 12, о. 5, поз. 43</t>
  </si>
  <si>
    <t>17,2</t>
  </si>
  <si>
    <t>1.21-5-872</t>
  </si>
  <si>
    <t>Скоба двухлапковая стальная оцинкованная, для кабелей диаметром от 25 до 26</t>
  </si>
  <si>
    <t>ТСН-2001.1 Доп. 79, Р. 21, о. 5, поз. 872</t>
  </si>
  <si>
    <t>17,3</t>
  </si>
  <si>
    <t>1.1-1-617</t>
  </si>
  <si>
    <t>Мастика тиоколовая, герметизирующая, нетвердеющая, типа АМ-05</t>
  </si>
  <si>
    <t>кг</t>
  </si>
  <si>
    <t>ТСН-2001.1 Доп. 67, Р. 1, о. 1, поз. 617</t>
  </si>
  <si>
    <t>18</t>
  </si>
  <si>
    <t>4.10-185-13</t>
  </si>
  <si>
    <t>Монтаж огнестойкой ответвительной коробки для кабельных линий связи: по бетонным поверхностям</t>
  </si>
  <si>
    <t>ТСН-2001.4 Доп. 79, Сб. 10, т. 185, поз. 13</t>
  </si>
  <si>
    <t>18,1</t>
  </si>
  <si>
    <t>1.21-5-2488</t>
  </si>
  <si>
    <t>Коробка ответвительная пластиковая, огнестойкая, 6 вводов для труб и кабеля, крышка с уплотнителем и фиксатором, с керамическими клеммными колодками, 4 контакта, степень защиты IP 55, габаритные размеры без учета кабельных вводов 100х100х50 мм</t>
  </si>
  <si>
    <t>ТСН-2001.1 Доп. 79, Р. 21, о. 5, поз. 2488</t>
  </si>
  <si>
    <t>18,2</t>
  </si>
  <si>
    <t>19</t>
  </si>
  <si>
    <t>4.10-185-15</t>
  </si>
  <si>
    <t>Добавлять или исключать при каждом изменении количества присоединяемых кабелей в огнестойкой ответвительной коробке к нормам и расценкам: 4.10-185-11, 4.10-185-12, 4.10-185-13, 4.10-185-14</t>
  </si>
  <si>
    <t>ТСН-2001.4 Доп. 79, Сб. 10, т. 185, поз. 15</t>
  </si>
  <si>
    <t>АРМ диспетчера</t>
  </si>
  <si>
    <t>20</t>
  </si>
  <si>
    <t>4.10-75-6</t>
  </si>
  <si>
    <t>Монтаж аппаратуры настольной массой до 20 кг</t>
  </si>
  <si>
    <t>ТСН-2001.4 Доп. 79, Сб. 10, т. 75, поз. 6</t>
  </si>
  <si>
    <t>20,1</t>
  </si>
  <si>
    <t>КА 27</t>
  </si>
  <si>
    <t>Моноблок Aquarius Mnb Pro T924, клавиатура, мышь</t>
  </si>
  <si>
    <t>[134 364 / 1,2 /  7,66] +  3% Трансп +  1,2% Заг.скл</t>
  </si>
  <si>
    <t>20,2</t>
  </si>
  <si>
    <t>КА 28</t>
  </si>
  <si>
    <t>ПО "FireSec" оперативная задача</t>
  </si>
  <si>
    <t>[23 388 / 1,2 /  7,66]</t>
  </si>
  <si>
    <t>21</t>
  </si>
  <si>
    <t>21,1</t>
  </si>
  <si>
    <t>13.1-1-909</t>
  </si>
  <si>
    <t>Источник бесперебойного питания двойного преобразования со встроенными аккумуляторами, напольный / стоечный, 1-фазный, полная мощность 1 кВА, активная мощность 0,9 кВт, панель управления с ЖК-дисплеем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</si>
  <si>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</si>
  <si>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</si>
  <si>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</si>
  <si>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</si>
  <si>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</si>
  <si>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</si>
  <si>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</si>
  <si>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</si>
  <si>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</si>
  <si>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</si>
  <si>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</si>
  <si>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</si>
  <si>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</si>
  <si>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</si>
  <si>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</si>
  <si>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</si>
  <si>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</si>
  <si>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</si>
  <si>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</si>
  <si>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</si>
  <si>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</si>
  <si>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</si>
  <si>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</si>
  <si>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</si>
  <si>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</si>
  <si>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</si>
  <si>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</si>
  <si>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т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</si>
  <si>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</si>
  <si>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</si>
  <si>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</si>
  <si>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4372420000</t>
  </si>
  <si>
    <t>Блоки информационно-управляющие (БИУ)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</si>
  <si>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</si>
  <si>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</si>
  <si>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</si>
  <si>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</si>
  <si>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4200000000</t>
  </si>
  <si>
    <t>Съемные и выдвижные блоки, ячейки, модули, типовые элементы замены (4300000000)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</si>
  <si>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</si>
  <si>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</si>
  <si>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</si>
  <si>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3428400000</t>
  </si>
  <si>
    <t>Ключи или кнопки пусковые</t>
  </si>
  <si>
    <t>1.1-1-2633</t>
  </si>
  <si>
    <t>ТСН-2001.1 Доп. 79, Р. 1, о. 1, поз. 2633</t>
  </si>
  <si>
    <t>Шплинты оцинкованные, диаметр 2,5 мм</t>
  </si>
  <si>
    <t>1.3-4-124</t>
  </si>
  <si>
    <t>ТСН-2001.1 Доп. 80, Р. 3, о. 4, поз. 124</t>
  </si>
  <si>
    <t>Сталь арматурная для изготовления арматурных изделий на строительной площадке, ГОСТ 5781-82, ГОСТ 34028-2016, класс А-I (А240), диаметр 6 мм</t>
  </si>
  <si>
    <t>1297020000</t>
  </si>
  <si>
    <t>Болты строительные с гайками и шайбами (1297030000, 1610000000, 1620000000, 1680000000)</t>
  </si>
  <si>
    <t>3428000000</t>
  </si>
  <si>
    <t>Устройства сигнально-блокировочные</t>
  </si>
  <si>
    <t>4372910000</t>
  </si>
  <si>
    <t>Блоки бесперебойного питания (ББП)</t>
  </si>
  <si>
    <t>2.1-30-102</t>
  </si>
  <si>
    <t>ТСН-2001.2. Доп. 68. п.1-30-102 (303704)</t>
  </si>
  <si>
    <t>Дрели, мощность до 800 Вт</t>
  </si>
  <si>
    <t>2.1-30-56</t>
  </si>
  <si>
    <t>ТСН-2001.2. Доп. 68. п.1-30-56 (309101)</t>
  </si>
  <si>
    <t>Шуруповерты</t>
  </si>
  <si>
    <t>4372900000</t>
  </si>
  <si>
    <t>Блоки питания сети (БПС)</t>
  </si>
  <si>
    <t>1.1-1-1502</t>
  </si>
  <si>
    <t>ТСН-2001.1 Доп. 79, Р. 1, о. 1, поз. 1502</t>
  </si>
  <si>
    <t>Шурупы с потайной головкой, черные, диаметр 8 мм, длина 100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</si>
  <si>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</si>
  <si>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</si>
  <si>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</si>
  <si>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1.23-13-260</t>
  </si>
  <si>
    <t>ТСН-2001.1 Доп. 79, Р. 23, о. 13, поз. 260</t>
  </si>
  <si>
    <t>Провод силовой с медной жилой, марка ПРТО, напряжение 660 В, число жил и сечение 1х1,5 мм2</t>
  </si>
  <si>
    <t>6652300000</t>
  </si>
  <si>
    <t>Громкоговорители, звуковые колонки</t>
  </si>
  <si>
    <t>2.1-30-96</t>
  </si>
  <si>
    <t>ТСН-2001.2. Доп. 64. п.1-30-96 (303703)</t>
  </si>
  <si>
    <t>Дрели электрические, мощность до 200 Вт</t>
  </si>
  <si>
    <t>1.1-1-1723</t>
  </si>
  <si>
    <t>ТСН-2001.1 Доп. 79, Р. 1, о. 1, поз. 1723</t>
  </si>
  <si>
    <t>Лента изоляционная, прорезиненная, односторонняя</t>
  </si>
  <si>
    <t>1.1-1-238</t>
  </si>
  <si>
    <t>ТСН-2001.1 Доп. 80, Р. 1, о. 1, поз. 238</t>
  </si>
  <si>
    <t>Дюбель пластмассовый</t>
  </si>
  <si>
    <t>1.23-10-18</t>
  </si>
  <si>
    <t>ТСН-2001.1 Доп. 79, Р. 23, о. 10, поз. 18</t>
  </si>
  <si>
    <t>Провод неизолированный для воздушных линий электропередач состоящий из скрученных медных проволок, марка М, сечение 4 мм2</t>
  </si>
  <si>
    <t>3461500000</t>
  </si>
  <si>
    <t>Светильники с лампами накаливания</t>
  </si>
  <si>
    <t>3466100000</t>
  </si>
  <si>
    <t>Лампы накаливания</t>
  </si>
  <si>
    <t>10 шт.</t>
  </si>
  <si>
    <t>2.1-30-10</t>
  </si>
  <si>
    <t>ТСН-2001.2. Доп. 68. п.1-30-10 (304101)</t>
  </si>
  <si>
    <t>Перфораторы, мощность до 800 Вт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</si>
  <si>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</si>
  <si>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</si>
  <si>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</si>
  <si>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</si>
  <si>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</si>
  <si>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</si>
  <si>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</si>
  <si>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</si>
  <si>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</si>
  <si>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</si>
  <si>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</si>
  <si>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</si>
  <si>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</si>
  <si>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</si>
  <si>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</si>
  <si>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</si>
  <si>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</si>
  <si>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</si>
  <si>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</si>
  <si>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</si>
  <si>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1.1-1-1669</t>
  </si>
  <si>
    <t>ТСН-2001.1 Доп. 79, Р. 1, о. 1, поз. 1669</t>
  </si>
  <si>
    <t>Электроды, типа Э-42А, диаметр от 4 до 6 мм</t>
  </si>
  <si>
    <t>1.1-1-237</t>
  </si>
  <si>
    <t>ТСН-2001.1 Доп. 67, Р. 1, о. 1, поз. 237</t>
  </si>
  <si>
    <t>Дюбель с патроном</t>
  </si>
  <si>
    <t>1.1-1-3510</t>
  </si>
  <si>
    <t>ТСН-2001.1 Доп. 79, Р. 1, о. 1, поз. 3510</t>
  </si>
  <si>
    <t>Клей полимерный, универсальный, водостойкий</t>
  </si>
  <si>
    <t>л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</si>
  <si>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</si>
  <si>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</si>
  <si>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</si>
  <si>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</si>
  <si>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</si>
  <si>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</si>
  <si>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2248210000</t>
  </si>
  <si>
    <t>Трубы винипластовые</t>
  </si>
  <si>
    <t>3449650000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</si>
  <si>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</si>
  <si>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</si>
  <si>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</si>
  <si>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</si>
  <si>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</si>
  <si>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3434200000</t>
  </si>
  <si>
    <t>Коробки ответвительные огнестойкие</t>
  </si>
  <si>
    <t>1.1-2-63</t>
  </si>
  <si>
    <t>ТСН-2001.1. Доп. 1-42. Р. 1, о. 2, поз. 63</t>
  </si>
  <si>
    <t>Нитки суровые</t>
  </si>
  <si>
    <t>г</t>
  </si>
  <si>
    <t>5291000000</t>
  </si>
  <si>
    <t>Крепежные изделия</t>
  </si>
  <si>
    <t>5295300000</t>
  </si>
  <si>
    <t>Столы аппаратные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</si>
  <si>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</si>
  <si>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</si>
  <si>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</si>
  <si>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</si>
  <si>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</si>
  <si>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</si>
  <si>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</si>
  <si>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</si>
  <si>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</si>
  <si>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</si>
  <si>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</si>
  <si>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</si>
  <si>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</si>
  <si>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</si>
  <si>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</si>
  <si>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</si>
  <si>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</si>
  <si>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</si>
  <si>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</si>
  <si>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</si>
  <si>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</si>
  <si>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</si>
  <si>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</si>
  <si>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02-01-08 АПС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</si>
  <si>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</si>
  <si>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</si>
  <si>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</si>
  <si>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4.10-80-4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</si>
  <si>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</si>
  <si>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</si>
  <si>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в т.ч. ЗПМ</t>
  </si>
  <si>
    <t>МР</t>
  </si>
  <si>
    <r>
      <t>ОБОРУДОВАНИЕ:_x000D_
Прибор приемно-контрольный и управления пожарный адресный R3-Рубеж 20П 319538</t>
    </r>
    <r>
      <rPr>
        <i/>
        <sz val="10"/>
        <color rgb="FF821E82"/>
        <rFont val="Arial"/>
        <family val="2"/>
        <charset val="204"/>
      </rPr>
      <t xml:space="preserve">
4 873,98 = [42 981 / 1,2 /  7,66] +  3% Трансп +  1,2%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</si>
  <si>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</si>
  <si>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</si>
  <si>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</si>
  <si>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</si>
  <si>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</si>
  <si>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</si>
  <si>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</si>
  <si>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</si>
  <si>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4.10-170-2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</si>
  <si>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Блок индикации и управления R3-Рубеж-БИУ 319531</t>
    </r>
    <r>
      <rPr>
        <i/>
        <sz val="10"/>
        <color rgb="FF821E82"/>
        <rFont val="Arial"/>
        <family val="2"/>
        <charset val="204"/>
      </rPr>
      <t xml:space="preserve">
2 396,35 = [21 132 / 1,2 /  7,66] +  3% Трансп +  1,2% Заг.скл</t>
    </r>
  </si>
  <si>
    <r>
      <t>4.11-12-1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</si>
  <si>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Модуль связи R3-МС 377218</t>
    </r>
    <r>
      <rPr>
        <i/>
        <sz val="10"/>
        <color rgb="FF821E82"/>
        <rFont val="Arial"/>
        <family val="2"/>
        <charset val="204"/>
      </rPr>
      <t xml:space="preserve">
1 908,27 = [16 828 / 1,2 /  7,66] +  3% Трансп +  1,2% Заг.скл</t>
    </r>
  </si>
  <si>
    <r>
      <t>4.10-81-2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</si>
  <si>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Извещатель дымовой ИП 212-64-R3 без б/о 337936</t>
    </r>
    <r>
      <rPr>
        <i/>
        <sz val="10"/>
        <color rgb="FF821E82"/>
        <rFont val="Arial"/>
        <family val="2"/>
        <charset val="204"/>
      </rPr>
      <t xml:space="preserve">
159,44 = [1 406 / 1,2 /  7,66] +  3% Трансп +  1,2% Заг.скл</t>
    </r>
  </si>
  <si>
    <r>
      <t>4.10-81-6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</si>
  <si>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Базовое основание W2.03 342655</t>
    </r>
    <r>
      <rPr>
        <i/>
        <sz val="10"/>
        <rFont val="Arial"/>
        <family val="2"/>
        <charset val="204"/>
      </rPr>
      <t xml:space="preserve">
44,99 = [523 / 1,2 /  9,88] +  2% Заг.скл</t>
    </r>
  </si>
  <si>
    <r>
      <t>Базовое основание W1.02 338227</t>
    </r>
    <r>
      <rPr>
        <i/>
        <sz val="10"/>
        <rFont val="Arial"/>
        <family val="2"/>
        <charset val="204"/>
      </rPr>
      <t xml:space="preserve">
17,89 = [208 / 1,2 /  9,88] +  2% Заг.скл</t>
    </r>
  </si>
  <si>
    <r>
      <t>ОБОРУДОВАНИЕ:_x000D_
Извещатель пожарный дымовой оптико-электронный линейный ИПДЛ-264/1-50-R3 342260</t>
    </r>
    <r>
      <rPr>
        <i/>
        <sz val="10"/>
        <color rgb="FF821E82"/>
        <rFont val="Arial"/>
        <family val="2"/>
        <charset val="204"/>
      </rPr>
      <t xml:space="preserve">
2 479,80 = [21 868 / 1,2 /  7,66] +  3% Трансп +  1,2% Заг.скл</t>
    </r>
  </si>
  <si>
    <r>
      <t>4.10-76-10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</si>
  <si>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Извещатель пожарный ручной адресный с изолятором ИПР 513-11ИКЗ-А-R3 301159</t>
    </r>
    <r>
      <rPr>
        <i/>
        <sz val="10"/>
        <color rgb="FF821E82"/>
        <rFont val="Arial"/>
        <family val="2"/>
        <charset val="204"/>
      </rPr>
      <t xml:space="preserve">
140,96 = [1 243 / 1,2 /  7,66] +  3% Трансп +  1,2% Заг.скл</t>
    </r>
  </si>
  <si>
    <r>
      <t>4.10-81-1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</si>
  <si>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Извещатель пожарный тепловой адресный ИП 101-29-PR-R3 337480</t>
    </r>
    <r>
      <rPr>
        <i/>
        <sz val="10"/>
        <color rgb="FF821E82"/>
        <rFont val="Arial"/>
        <family val="2"/>
        <charset val="204"/>
      </rPr>
      <t xml:space="preserve">
170,55 = [1 504 / 1,2 /  7,66] +  3% Трансп +  1,2% Заг.скл</t>
    </r>
  </si>
  <si>
    <r>
      <t>4.8-60-1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</si>
  <si>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Изолятор шлейфа ИЗ-1-R3 337647</t>
    </r>
    <r>
      <rPr>
        <i/>
        <sz val="10"/>
        <color rgb="FF821E82"/>
        <rFont val="Arial"/>
        <family val="2"/>
        <charset val="204"/>
      </rPr>
      <t xml:space="preserve">
77,23 = [681 / 1,2 /  7,66] +  3% Трансп +  1,2% Заг.скл</t>
    </r>
  </si>
  <si>
    <r>
      <t>ОБОРУДОВАНИЕ:_x000D_
Оповещатель охранно-пожарный световой адресный ОПОП 1-R3 "Выход" 337637</t>
    </r>
    <r>
      <rPr>
        <i/>
        <sz val="10"/>
        <color rgb="FF821E82"/>
        <rFont val="Arial"/>
        <family val="2"/>
        <charset val="204"/>
      </rPr>
      <t xml:space="preserve">
182,91 = [1 613 / 1,2 /  7,66] +  3% Трансп +  1,2% Заг.скл</t>
    </r>
  </si>
  <si>
    <r>
      <t>ОБОРУДОВАНИЕ:_x000D_
Оповещатель охранно-пожарный световой адресный ОПОП 1-R3 "Пожар" 338202</t>
    </r>
    <r>
      <rPr>
        <i/>
        <sz val="10"/>
        <color rgb="FF821E82"/>
        <rFont val="Arial"/>
        <family val="2"/>
        <charset val="204"/>
      </rPr>
      <t xml:space="preserve">
157,29 = [1 387 / 1,2 /  7,66] +  3% Трансп +  1,2% Заг.скл</t>
    </r>
  </si>
  <si>
    <r>
      <t>ОБОРУДОВАНИЕ:_x000D_
Оповещатель охранно-пожарный световой ОПОП 1-R3 Стрелка</t>
    </r>
    <r>
      <rPr>
        <i/>
        <sz val="10"/>
        <color rgb="FF821E82"/>
        <rFont val="Arial"/>
        <family val="2"/>
        <charset val="204"/>
      </rPr>
      <t xml:space="preserve">
182,91 = [1 613 / 1,2 /  7,66] +  3% Трансп +  1,2% Заг.скл</t>
    </r>
  </si>
  <si>
    <r>
      <t>4.10-173-2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</si>
  <si>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Источник вторичного электропитания резервированный адресный ИВЭПР 12/2 RS-R3 2х17 БР-R3</t>
    </r>
    <r>
      <rPr>
        <i/>
        <sz val="10"/>
        <color rgb="FF821E82"/>
        <rFont val="Arial"/>
        <family val="2"/>
        <charset val="204"/>
      </rPr>
      <t xml:space="preserve">
941,89 = [8 306 / 1,2 /  7,66] +  3% Трансп +  1,2% Заг.скл</t>
    </r>
  </si>
  <si>
    <r>
      <t>ОБОРУДОВАНИЕ:_x000D_
Источник вторичного электропитания резервированный адресный ИВЭПР 12/5 RS-R3 2х40 БР-R3</t>
    </r>
    <r>
      <rPr>
        <i/>
        <sz val="10"/>
        <color rgb="FF821E82"/>
        <rFont val="Arial"/>
        <family val="2"/>
        <charset val="204"/>
      </rPr>
      <t xml:space="preserve">
1 477,01 = [13 025 / 1,2 /  7,66] +  3% Трансп +  1,2% Заг.скл</t>
    </r>
  </si>
  <si>
    <r>
      <t>ОБОРУДОВАНИЕ:_x000D_
Источник вторичного электропитания резервированный адресный ИВЭПР 12/2 RS-R3 2х12 БР-R3</t>
    </r>
    <r>
      <rPr>
        <i/>
        <sz val="10"/>
        <color rgb="FF821E82"/>
        <rFont val="Arial"/>
        <family val="2"/>
        <charset val="204"/>
      </rPr>
      <t xml:space="preserve">
865,69 = [7 634 / 1,2 /  7,66] +  3% Трансп +  1,2% Заг.скл</t>
    </r>
  </si>
  <si>
    <t>ОБОРУДОВАНИЕ:_x000D_
Аккумулятор герметичный свинцово-кислотный 12 В, 12 А·ч</t>
  </si>
  <si>
    <t>ОБОРУДОВАНИЕ:_x000D_
Батарея аккумуляторная, емкость 17 А·ч, напряжение 12 В</t>
  </si>
  <si>
    <t>ОБОРУДОВАНИЕ:_x000D_
Батарея аккумуляторная, емкость 40 А·ч, напряжение 12 В</t>
  </si>
  <si>
    <r>
      <t>4.10-80-13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</si>
  <si>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Адресный релейный модуль РМ-1К-R3 337614</t>
    </r>
    <r>
      <rPr>
        <i/>
        <sz val="10"/>
        <color rgb="FF821E82"/>
        <rFont val="Arial"/>
        <family val="2"/>
        <charset val="204"/>
      </rPr>
      <t xml:space="preserve">
352,44 = [3 108 / 1,2 /  7,66] +  3% Трансп +  1,2% Заг.скл</t>
    </r>
  </si>
  <si>
    <r>
      <t>ОБОРУДОВАНИЕ:_x000D_
Адресный релейный модуль РМ-1С-R3 337648</t>
    </r>
    <r>
      <rPr>
        <i/>
        <sz val="10"/>
        <color rgb="FF821E82"/>
        <rFont val="Arial"/>
        <family val="2"/>
        <charset val="204"/>
      </rPr>
      <t xml:space="preserve">
339,52 = [2 994 / 1,2 /  7,66] +  3% Трансп +  1,2% Заг.скл</t>
    </r>
  </si>
  <si>
    <r>
      <t>ОБОРУДОВАНИЕ:_x000D_
Адресный релейный модуль РМ-4-R3 337434</t>
    </r>
    <r>
      <rPr>
        <i/>
        <sz val="10"/>
        <color rgb="FF821E82"/>
        <rFont val="Arial"/>
        <family val="2"/>
        <charset val="204"/>
      </rPr>
      <t xml:space="preserve">
399,62 = [3 524 / 1,2 /  7,66] +  3% Трансп +  1,2% Заг.скл</t>
    </r>
  </si>
  <si>
    <r>
      <t>ОБОРУДОВАНИЕ:_x000D_
Адресный релейный модуль РМ-4К-R3</t>
    </r>
    <r>
      <rPr>
        <i/>
        <sz val="10"/>
        <color rgb="FF821E82"/>
        <rFont val="Arial"/>
        <family val="2"/>
        <charset val="204"/>
      </rPr>
      <t xml:space="preserve">
529,80 = [4 672 / 1,2 /  7,66] +  3% Трансп +  1,2% Заг.скл</t>
    </r>
  </si>
  <si>
    <r>
      <t>4.10-167-1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</si>
  <si>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Бокс резервного электропитания БР12 исп. 2х40 045569</t>
    </r>
    <r>
      <rPr>
        <i/>
        <sz val="10"/>
        <color rgb="FF821E82"/>
        <rFont val="Arial"/>
        <family val="2"/>
        <charset val="204"/>
      </rPr>
      <t xml:space="preserve">
879,85 = [7 759 / 1,2 /  7,66] +  3% Трансп +  1,2% Заг.скл</t>
    </r>
  </si>
  <si>
    <r>
      <t>4.10-76-7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</si>
  <si>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Оповещатель охранно-пожарный светозвуковой ОПОП 124-7 12В</t>
    </r>
    <r>
      <rPr>
        <i/>
        <sz val="10"/>
        <color rgb="FF821E82"/>
        <rFont val="Arial"/>
        <family val="2"/>
        <charset val="204"/>
      </rPr>
      <t xml:space="preserve">
77,45 = [683 / 1,2 /  7,66] +  3% Трансп +  1,2% Заг.скл</t>
    </r>
  </si>
  <si>
    <r>
      <t>4.8-245-10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</si>
  <si>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ОБОРУДОВАНИЕ:_x000D_
Оповещатель охранно-пожарный световой, типа МАЯК-12-С</t>
  </si>
  <si>
    <t>ОБОРУДОВАНИЕ:_x000D_
Оповещатель охранно-пожарный, световой, типа Молния-220 РИП "Выход"</t>
  </si>
  <si>
    <t xml:space="preserve">   Итого по ТСН-2001.16</t>
  </si>
  <si>
    <t xml:space="preserve">   Итого возвратных сумм</t>
  </si>
  <si>
    <r>
      <t>4.10-185-3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</si>
  <si>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КПСЭнг(А)-FRLSLTx 1х2х0,5 мм</t>
    </r>
    <r>
      <rPr>
        <i/>
        <sz val="10"/>
        <rFont val="Arial"/>
        <family val="2"/>
        <charset val="204"/>
      </rPr>
      <t xml:space="preserve">
2 075,97 = [24 130 / 1,2 /  9,88] +  2% Заг.скл</t>
    </r>
  </si>
  <si>
    <r>
      <t>Кабель КПСнг(А)-FRLSLTx 1х2х1,5 мм</t>
    </r>
    <r>
      <rPr>
        <i/>
        <sz val="10"/>
        <rFont val="Arial"/>
        <family val="2"/>
        <charset val="204"/>
      </rPr>
      <t xml:space="preserve">
4 880,62 = [56 730 / 1,2 /  9,88] +  2% Заг.скл</t>
    </r>
  </si>
  <si>
    <r>
      <t>Кабель КПСнг(А)-FRLSLTx 1х2х1 мм</t>
    </r>
    <r>
      <rPr>
        <i/>
        <sz val="10"/>
        <rFont val="Arial"/>
        <family val="2"/>
        <charset val="204"/>
      </rPr>
      <t xml:space="preserve">
3 563,46 = [41 420 / 1,2 /  9,88] +  2% Заг.скл</t>
    </r>
  </si>
  <si>
    <r>
      <t>Кабель КПСнг(А)-FRLSLTx 1х2х0,75 мм</t>
    </r>
    <r>
      <rPr>
        <i/>
        <sz val="10"/>
        <rFont val="Arial"/>
        <family val="2"/>
        <charset val="204"/>
      </rPr>
      <t xml:space="preserve">
2 716,90 = [31 580 / 1,2 /  9,88] +  2% Заг.скл</t>
    </r>
  </si>
  <si>
    <r>
      <t>4.8-172-1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</si>
  <si>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4.10-185-13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</si>
  <si>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4.10-185-15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</si>
  <si>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4.10-75-6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</si>
  <si>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Моноблок Aquarius Mnb Pro T924, клавиатура, мышь</t>
    </r>
    <r>
      <rPr>
        <i/>
        <sz val="10"/>
        <color rgb="FF821E82"/>
        <rFont val="Arial"/>
        <family val="2"/>
        <charset val="204"/>
      </rPr>
      <t xml:space="preserve">
15 236,68 = [134 364 / 1,2 /  7,66] +  3% Трансп +  1,2% Заг.скл</t>
    </r>
  </si>
  <si>
    <r>
      <t>ОБОРУДОВАНИЕ:_x000D_
ПО "FireSec" оперативная задача</t>
    </r>
    <r>
      <rPr>
        <i/>
        <sz val="10"/>
        <color rgb="FF821E82"/>
        <rFont val="Arial"/>
        <family val="2"/>
        <charset val="204"/>
      </rPr>
      <t xml:space="preserve">
2 544,39 = [23 388 / 1,2 /  7,66]</t>
    </r>
  </si>
  <si>
    <t>ОБОРУДОВАНИЕ:_x000D_
Источник бесперебойного питания двойного преобразования со встроенными аккумуляторами, напольный / стоечный, 1-фазный, полная мощность 1 кВА, активная мощность 0,9 кВт, панель управления с ЖК-дисплеем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</si>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</sst>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39"/>
  <sheetViews>
    <sheetView tabSelected="1" zoomScaleNormal="100" workbookViewId="0">
      <selection activeCell="J5" sqref="J5"/>
    </sheetView>
  </sheetViews>
  <sheetFormatPr defaultRowHeight="12.45" x14ac:dyDescent="0.3"/>
  <cols>
    <col min="1" max="1" width="5.69140625" customWidth="1"/>
    <col min="2" max="2" width="11.69140625" customWidth="1"/>
    <col min="3" max="3" width="40.69140625" customWidth="1"/>
    <col min="4" max="4" width="11.69140625" customWidth="1"/>
    <col min="5" max="5" width="9.4609375" bestFit="1" customWidth="1"/>
    <col min="6" max="11" width="13.3046875" customWidth="1"/>
    <col min="15" max="41" width="0" hidden="1" customWidth="1"/>
    <col min="42" max="42" width="130.4609375" hidden="1" customWidth="1"/>
    <col min="43" max="47" width="0" hidden="1" customWidth="1"/>
  </cols>
  <sheetData>
    <row r="1" spans="1:42" x14ac:dyDescent="0.3">
      <c r="A1" s="10" t="str">
        <f>Source!B1</f>
        <v>Smeta.RU  (495) 974-1589</v>
      </c>
    </row>
    <row r="2" spans="1:42" ht="14.15" x14ac:dyDescent="0.35">
      <c r="A2" s="11"/>
      <c r="B2" s="11"/>
      <c r="C2" s="11"/>
      <c r="D2" s="11"/>
      <c r="E2" s="11"/>
      <c r="F2" s="11"/>
      <c r="G2" s="11"/>
      <c r="H2" s="11"/>
      <c r="I2" s="11"/>
      <c r="J2" s="31" t="s">
        <v>508</v>
      </c>
      <c r="K2" s="31"/>
    </row>
    <row r="3" spans="1:42" ht="30.9" x14ac:dyDescent="0.4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509</v>
      </c>
    </row>
    <row r="4" spans="1:42" x14ac:dyDescent="0.3">
      <c r="A4" s="13" t="s">
        <v>486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15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45" x14ac:dyDescent="0.4">
      <c r="A6" s="12" t="str">
        <f>CONCATENATE( "ЛОКАЛЬНАЯ СМЕТА № ",IF(Source!F20&lt;&gt;"Новая локальная смета", Source!F20, ""))</f>
        <v>ЛОКАЛЬНАЯ СМЕТА № 02-01-08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15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7.600000000000001" x14ac:dyDescent="0.4">
      <c r="A8" s="15" t="str">
        <f>IF(Source!G20&lt;&gt;"Новая локальная смета", Source!G20, "")</f>
        <v>Автоматическая пожарная сигнализация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3">
      <c r="A9" s="16" t="s">
        <v>487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15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15" x14ac:dyDescent="0.35">
      <c r="A11" s="18" t="str">
        <f>CONCATENATE( "Основание: чертежи № ", Source!J20)</f>
        <v>Основание: чертежи № 2024-00272-01-0-ИОС5.1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15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0.75" x14ac:dyDescent="0.35">
      <c r="A13" s="11"/>
      <c r="B13" s="11"/>
      <c r="C13" s="11"/>
      <c r="D13" s="11"/>
      <c r="E13" s="11"/>
      <c r="F13" s="11"/>
      <c r="G13" s="11"/>
      <c r="H13" s="11"/>
      <c r="I13" s="20" t="s">
        <v>488</v>
      </c>
      <c r="J13" s="20" t="s">
        <v>489</v>
      </c>
      <c r="K13" s="11"/>
    </row>
    <row r="14" spans="1:42" ht="14.15" x14ac:dyDescent="0.35">
      <c r="A14" s="11"/>
      <c r="B14" s="11"/>
      <c r="C14" s="11"/>
      <c r="D14" s="11"/>
      <c r="E14" s="21" t="s">
        <v>490</v>
      </c>
      <c r="F14" s="21"/>
      <c r="G14" s="21"/>
      <c r="H14" s="21"/>
      <c r="I14" s="22">
        <f>I15+I16+I17+I18</f>
        <v>426.77</v>
      </c>
      <c r="J14" s="22">
        <f>J15+J16+J17+J18</f>
        <v>8690.2800000000007</v>
      </c>
      <c r="K14" s="23" t="s">
        <v>579</v>
      </c>
    </row>
    <row r="15" spans="1:42" ht="14.15" x14ac:dyDescent="0.35">
      <c r="A15" s="11"/>
      <c r="B15" s="11"/>
      <c r="C15" s="11"/>
      <c r="D15" s="11"/>
      <c r="E15" s="24" t="s">
        <v>491</v>
      </c>
      <c r="F15" s="24"/>
      <c r="G15" s="24"/>
      <c r="H15" s="24"/>
      <c r="I15" s="25">
        <f>ROUND((Source!F274)/1000, 2)</f>
        <v>0</v>
      </c>
      <c r="J15" s="25">
        <f>ROUND((Source!P274)/1000, 2)</f>
        <v>0</v>
      </c>
      <c r="K15" s="11" t="s">
        <v>579</v>
      </c>
    </row>
    <row r="16" spans="1:42" ht="14.15" x14ac:dyDescent="0.35">
      <c r="A16" s="11"/>
      <c r="B16" s="11"/>
      <c r="C16" s="11"/>
      <c r="D16" s="11"/>
      <c r="E16" s="24" t="s">
        <v>492</v>
      </c>
      <c r="F16" s="24"/>
      <c r="G16" s="24"/>
      <c r="H16" s="24"/>
      <c r="I16" s="25">
        <f>ROUND((Source!F275)/1000, 2)</f>
        <v>185.3</v>
      </c>
      <c r="J16" s="25">
        <f>ROUND((Source!P275)/1000, 2)</f>
        <v>6829.43</v>
      </c>
      <c r="K16" s="11" t="s">
        <v>579</v>
      </c>
    </row>
    <row r="17" spans="1:42" ht="14.15" x14ac:dyDescent="0.35">
      <c r="A17" s="11"/>
      <c r="B17" s="11"/>
      <c r="C17" s="11"/>
      <c r="D17" s="11"/>
      <c r="E17" s="24" t="s">
        <v>493</v>
      </c>
      <c r="F17" s="24"/>
      <c r="G17" s="24"/>
      <c r="H17" s="24"/>
      <c r="I17" s="25">
        <f>ROUND((Source!F266)/1000, 2)</f>
        <v>241.47</v>
      </c>
      <c r="J17" s="25">
        <f>ROUND((Source!P266)/1000, 2)</f>
        <v>1860.85</v>
      </c>
      <c r="K17" s="11" t="s">
        <v>579</v>
      </c>
    </row>
    <row r="18" spans="1:42" ht="14.15" x14ac:dyDescent="0.35">
      <c r="A18" s="11"/>
      <c r="B18" s="11"/>
      <c r="C18" s="11"/>
      <c r="D18" s="11"/>
      <c r="E18" s="24" t="s">
        <v>494</v>
      </c>
      <c r="F18" s="24"/>
      <c r="G18" s="24"/>
      <c r="H18" s="24"/>
      <c r="I18" s="25">
        <f>ROUND((Source!F276+Source!F277)/1000, 2)</f>
        <v>0</v>
      </c>
      <c r="J18" s="25">
        <f>ROUND((Source!P276+Source!P277)/1000, 2)</f>
        <v>0</v>
      </c>
      <c r="K18" s="11" t="s">
        <v>579</v>
      </c>
    </row>
    <row r="19" spans="1:42" ht="14.15" x14ac:dyDescent="0.35">
      <c r="A19" s="11"/>
      <c r="B19" s="11"/>
      <c r="C19" s="11"/>
      <c r="D19" s="11"/>
      <c r="E19" s="24" t="s">
        <v>495</v>
      </c>
      <c r="F19" s="24"/>
      <c r="G19" s="24"/>
      <c r="H19" s="24"/>
      <c r="I19" s="25">
        <f>(Source!F272+ Source!F271)/1000</f>
        <v>47.252480000000006</v>
      </c>
      <c r="J19" s="25">
        <f>((Source!P272 + Source!P271)/1000)</f>
        <v>2598.4138899999998</v>
      </c>
      <c r="K19" s="11" t="s">
        <v>579</v>
      </c>
    </row>
    <row r="20" spans="1:42" ht="14.15" x14ac:dyDescent="0.35">
      <c r="A20" s="11"/>
      <c r="B20" s="11"/>
      <c r="C20" s="11"/>
      <c r="D20" s="11"/>
      <c r="E20" s="24" t="s">
        <v>496</v>
      </c>
      <c r="F20" s="24"/>
      <c r="G20" s="24"/>
      <c r="H20" s="24"/>
      <c r="I20" s="25">
        <f>Source!F279</f>
        <v>3826.3564838400002</v>
      </c>
      <c r="J20" s="25"/>
      <c r="K20" s="11" t="s">
        <v>357</v>
      </c>
    </row>
    <row r="21" spans="1:42" ht="14.15" hidden="1" x14ac:dyDescent="0.35">
      <c r="A21" s="11"/>
      <c r="B21" s="11"/>
      <c r="C21" s="11"/>
      <c r="D21" s="11"/>
      <c r="E21" s="26" t="s">
        <v>497</v>
      </c>
      <c r="F21" s="26"/>
      <c r="G21" s="26"/>
      <c r="H21" s="26"/>
      <c r="I21" s="25"/>
      <c r="J21" s="25"/>
      <c r="K21" s="11"/>
    </row>
    <row r="22" spans="1:42" ht="14.15" hidden="1" x14ac:dyDescent="0.35">
      <c r="A22" s="11"/>
      <c r="B22" s="11"/>
      <c r="C22" s="11"/>
      <c r="D22" s="11"/>
      <c r="E22" s="27" t="s">
        <v>233</v>
      </c>
      <c r="F22" s="27"/>
      <c r="G22" s="27"/>
      <c r="H22" s="27"/>
      <c r="I22" s="25">
        <f>SUM(Y28:Y332)/1000</f>
        <v>0</v>
      </c>
      <c r="J22" s="25">
        <f>SUM(Z28:Z332)/1000</f>
        <v>0</v>
      </c>
      <c r="K22" s="11" t="s">
        <v>579</v>
      </c>
    </row>
    <row r="23" spans="1:42" ht="14.15" x14ac:dyDescent="0.35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15" x14ac:dyDescent="0.35">
      <c r="A24" s="11" t="s">
        <v>510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3" x14ac:dyDescent="0.35">
      <c r="A25" s="18" t="s">
        <v>511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511</v>
      </c>
    </row>
    <row r="26" spans="1:42" ht="99" x14ac:dyDescent="0.3">
      <c r="A26" s="29" t="s">
        <v>498</v>
      </c>
      <c r="B26" s="29" t="s">
        <v>499</v>
      </c>
      <c r="C26" s="29" t="s">
        <v>500</v>
      </c>
      <c r="D26" s="29" t="s">
        <v>501</v>
      </c>
      <c r="E26" s="29" t="s">
        <v>502</v>
      </c>
      <c r="F26" s="29" t="s">
        <v>503</v>
      </c>
      <c r="G26" s="30" t="s">
        <v>504</v>
      </c>
      <c r="H26" s="30" t="s">
        <v>505</v>
      </c>
      <c r="I26" s="29" t="s">
        <v>512</v>
      </c>
      <c r="J26" s="29" t="s">
        <v>506</v>
      </c>
      <c r="K26" s="29" t="s">
        <v>507</v>
      </c>
    </row>
    <row r="27" spans="1:42" ht="14.15" x14ac:dyDescent="0.3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3" x14ac:dyDescent="0.3">
      <c r="A29" s="34" t="str">
        <f>CONCATENATE("Раздел: ",IF(Source!G24&lt;&gt;"Новый раздел", Source!G24, ""))</f>
        <v>Раздел: Монтажные работы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78.45" x14ac:dyDescent="0.3">
      <c r="A30" s="35">
        <v>1</v>
      </c>
      <c r="B30" s="35" t="s">
        <v>513</v>
      </c>
      <c r="C30" s="35" t="s">
        <v>21</v>
      </c>
      <c r="D30" s="37" t="str">
        <f>Source!H28</f>
        <v>1  ШТ.</v>
      </c>
      <c r="E30" s="36">
        <f>Source!I28</f>
        <v>7</v>
      </c>
      <c r="F30" s="39"/>
      <c r="G30" s="38"/>
      <c r="H30" s="36"/>
      <c r="I30" s="39"/>
      <c r="J30" s="36"/>
      <c r="K30" s="39"/>
      <c r="Q30">
        <f>Source!X28</f>
        <v>324.98</v>
      </c>
      <c r="R30">
        <f>Source!X29</f>
        <v>17870.71</v>
      </c>
      <c r="S30">
        <f>Source!Y28</f>
        <v>166.1</v>
      </c>
      <c r="T30">
        <f>Source!Y29</f>
        <v>9133.92</v>
      </c>
      <c r="U30">
        <f>ROUND((175/100)*ROUND(Source!R28, 2), 2)</f>
        <v>0.14000000000000001</v>
      </c>
      <c r="V30">
        <f>ROUND((0/100)*ROUND(Source!R29, 2), 2)</f>
        <v>0</v>
      </c>
      <c r="AC30">
        <v>0</v>
      </c>
    </row>
    <row r="31" spans="1:42" ht="14.15" x14ac:dyDescent="0.3">
      <c r="A31" s="35"/>
      <c r="B31" s="35"/>
      <c r="C31" s="35" t="s">
        <v>514</v>
      </c>
      <c r="D31" s="37"/>
      <c r="E31" s="36"/>
      <c r="F31" s="39">
        <f>Source!AO28</f>
        <v>44.78</v>
      </c>
      <c r="G31" s="38" t="str">
        <f>Source!DG28</f>
        <v>*1,1</v>
      </c>
      <c r="H31" s="36">
        <f>Source!AV29</f>
        <v>1.0469999999999999</v>
      </c>
      <c r="I31" s="39">
        <f>Source!S28</f>
        <v>361.01</v>
      </c>
      <c r="J31" s="36">
        <f>IF(Source!BA29&lt;&gt; 0, Source!BA29, 1)</f>
        <v>54.99</v>
      </c>
      <c r="K31" s="39">
        <f>Source!S29</f>
        <v>19851.939999999999</v>
      </c>
    </row>
    <row r="32" spans="1:42" ht="14.15" x14ac:dyDescent="0.3">
      <c r="A32" s="35"/>
      <c r="B32" s="35"/>
      <c r="C32" s="35" t="s">
        <v>515</v>
      </c>
      <c r="D32" s="37"/>
      <c r="E32" s="36"/>
      <c r="F32" s="39">
        <f>Source!AM28</f>
        <v>0.12</v>
      </c>
      <c r="G32" s="38" t="str">
        <f>Source!DE28</f>
        <v>*1,1</v>
      </c>
      <c r="H32" s="36">
        <f>Source!AV29</f>
        <v>1.0469999999999999</v>
      </c>
      <c r="I32" s="39">
        <f>Source!Q28</f>
        <v>0.97</v>
      </c>
      <c r="J32" s="36">
        <f>IF(Source!BB29&lt;&gt; 0, Source!BB29, 1)</f>
        <v>13.75</v>
      </c>
      <c r="K32" s="39">
        <f>Source!Q29</f>
        <v>13.34</v>
      </c>
    </row>
    <row r="33" spans="1:29" ht="14.15" x14ac:dyDescent="0.3">
      <c r="A33" s="35"/>
      <c r="B33" s="35"/>
      <c r="C33" s="35" t="s">
        <v>516</v>
      </c>
      <c r="D33" s="37"/>
      <c r="E33" s="36"/>
      <c r="F33" s="39">
        <f>Source!AN28</f>
        <v>0.01</v>
      </c>
      <c r="G33" s="38" t="str">
        <f>Source!DF28</f>
        <v>*1,1</v>
      </c>
      <c r="H33" s="36">
        <f>Source!AV29</f>
        <v>1.0469999999999999</v>
      </c>
      <c r="I33" s="40">
        <f>Source!R28</f>
        <v>0.08</v>
      </c>
      <c r="J33" s="36">
        <f>IF(Source!BS29&lt;&gt; 0, Source!BS29, 1)</f>
        <v>54.99</v>
      </c>
      <c r="K33" s="40">
        <f>Source!R29</f>
        <v>4.4000000000000004</v>
      </c>
    </row>
    <row r="34" spans="1:29" ht="14.15" x14ac:dyDescent="0.3">
      <c r="A34" s="35"/>
      <c r="B34" s="35"/>
      <c r="C34" s="35" t="s">
        <v>517</v>
      </c>
      <c r="D34" s="37"/>
      <c r="E34" s="36"/>
      <c r="F34" s="39">
        <f>Source!AL28</f>
        <v>6.44</v>
      </c>
      <c r="G34" s="38" t="str">
        <f>Source!DD28</f>
        <v/>
      </c>
      <c r="H34" s="36">
        <f>Source!AW29</f>
        <v>1</v>
      </c>
      <c r="I34" s="39">
        <f>Source!P28</f>
        <v>45.08</v>
      </c>
      <c r="J34" s="36">
        <f>IF(Source!BC29&lt;&gt; 0, Source!BC29, 1)</f>
        <v>9.89</v>
      </c>
      <c r="K34" s="39">
        <f>Source!P29</f>
        <v>445.84</v>
      </c>
    </row>
    <row r="35" spans="1:29" ht="82.3" x14ac:dyDescent="0.3">
      <c r="A35" s="41" t="s">
        <v>29</v>
      </c>
      <c r="B35" s="41" t="str">
        <f>Source!F30</f>
        <v>КА 1</v>
      </c>
      <c r="C35" s="41" t="s">
        <v>518</v>
      </c>
      <c r="D35" s="42" t="str">
        <f>Source!H30</f>
        <v>шт.</v>
      </c>
      <c r="E35" s="43">
        <f>Source!I30</f>
        <v>7</v>
      </c>
      <c r="F35" s="44">
        <f>Source!AK30</f>
        <v>4873.9799999999996</v>
      </c>
      <c r="G35" s="45" t="s">
        <v>3</v>
      </c>
      <c r="H35" s="43">
        <f>Source!AW31</f>
        <v>1</v>
      </c>
      <c r="I35" s="44">
        <f>Source!O30</f>
        <v>34117.86</v>
      </c>
      <c r="J35" s="43">
        <f>IF(Source!BC31&lt;&gt; 0, Source!BC31, 1)</f>
        <v>7.66</v>
      </c>
      <c r="K35" s="44">
        <f>Source!O31</f>
        <v>261342.81</v>
      </c>
      <c r="Q35">
        <f>Source!X30</f>
        <v>0</v>
      </c>
      <c r="R35">
        <f>Source!X31</f>
        <v>0</v>
      </c>
      <c r="S35">
        <f>Source!Y30</f>
        <v>0</v>
      </c>
      <c r="T35">
        <f>Source!Y31</f>
        <v>0</v>
      </c>
      <c r="U35">
        <f>ROUND((175/100)*ROUND(Source!R30, 2), 2)</f>
        <v>0</v>
      </c>
      <c r="V35">
        <f>ROUND((0/100)*ROUND(Source!R31, 2), 2)</f>
        <v>0</v>
      </c>
      <c r="AC35">
        <v>5</v>
      </c>
    </row>
    <row r="36" spans="1:29" ht="14.15" x14ac:dyDescent="0.3">
      <c r="A36" s="35"/>
      <c r="B36" s="35"/>
      <c r="C36" s="35" t="s">
        <v>519</v>
      </c>
      <c r="D36" s="37" t="s">
        <v>520</v>
      </c>
      <c r="E36" s="36">
        <f>Source!BZ29</f>
        <v>90</v>
      </c>
      <c r="F36" s="39"/>
      <c r="G36" s="38"/>
      <c r="H36" s="36"/>
      <c r="I36" s="39">
        <f>SUM(Q30:Q35)</f>
        <v>324.98</v>
      </c>
      <c r="J36" s="36">
        <f>Source!AT29</f>
        <v>90</v>
      </c>
      <c r="K36" s="39">
        <f>SUM(R30:R35)</f>
        <v>17870.71</v>
      </c>
    </row>
    <row r="37" spans="1:29" ht="14.15" x14ac:dyDescent="0.3">
      <c r="A37" s="35"/>
      <c r="B37" s="35"/>
      <c r="C37" s="35" t="s">
        <v>521</v>
      </c>
      <c r="D37" s="37" t="s">
        <v>520</v>
      </c>
      <c r="E37" s="36">
        <f>Source!CA29</f>
        <v>46</v>
      </c>
      <c r="F37" s="39"/>
      <c r="G37" s="38"/>
      <c r="H37" s="36"/>
      <c r="I37" s="39">
        <f>SUM(S30:S36)</f>
        <v>166.1</v>
      </c>
      <c r="J37" s="36">
        <f>Source!AU29</f>
        <v>46</v>
      </c>
      <c r="K37" s="39">
        <f>SUM(T30:T36)</f>
        <v>9133.92</v>
      </c>
    </row>
    <row r="38" spans="1:29" ht="14.15" x14ac:dyDescent="0.3">
      <c r="A38" s="46"/>
      <c r="B38" s="46"/>
      <c r="C38" s="46" t="s">
        <v>522</v>
      </c>
      <c r="D38" s="47" t="s">
        <v>523</v>
      </c>
      <c r="E38" s="48">
        <f>Source!AQ28</f>
        <v>3.3</v>
      </c>
      <c r="F38" s="49"/>
      <c r="G38" s="50" t="str">
        <f>Source!DI28</f>
        <v>*1,1</v>
      </c>
      <c r="H38" s="48">
        <f>Source!AV29</f>
        <v>1.0469999999999999</v>
      </c>
      <c r="I38" s="49">
        <f>Source!U28</f>
        <v>26.60427</v>
      </c>
      <c r="J38" s="48"/>
      <c r="K38" s="49"/>
    </row>
    <row r="39" spans="1:29" ht="14.15" x14ac:dyDescent="0.3">
      <c r="C39" s="51" t="s">
        <v>524</v>
      </c>
      <c r="H39" s="52">
        <f>I31+I32+I34+I36+I37+SUM(I35:I35)-SUMIF(AC35:AC35, 5, I35:I35)-SUMIF(AC35:AC35, 6, I35:I35)</f>
        <v>898.13999999999942</v>
      </c>
      <c r="I39" s="52"/>
      <c r="J39" s="52">
        <f>K31+K32+K34+K36+K37+SUM(K35:K35)-SUMIF(AC35:AC35, 5, K35:K35)-SUMIF(AC35:AC35, 6, K35:K35)</f>
        <v>47315.75</v>
      </c>
      <c r="K39" s="52"/>
    </row>
    <row r="40" spans="1:29" ht="14.15" x14ac:dyDescent="0.3">
      <c r="C40" s="51" t="s">
        <v>525</v>
      </c>
      <c r="H40" s="54">
        <f>SUMIF(AC35:AC35, 5, I35:I35)+SUMIF(AC35:AC35, 6, I35:I35)</f>
        <v>34117.86</v>
      </c>
      <c r="I40" s="54"/>
      <c r="J40" s="54">
        <f>SUMIF(AC35:AC35, 5, K35:K35)+SUMIF(AC35:AC35, 6, K35:K35)</f>
        <v>261342.81</v>
      </c>
      <c r="K40" s="54"/>
    </row>
    <row r="41" spans="1:29" ht="14.15" x14ac:dyDescent="0.3">
      <c r="C41" s="51" t="s">
        <v>526</v>
      </c>
      <c r="H41" s="54">
        <f>I31+I32+I34+I36+I37+SUM(I35:I35)</f>
        <v>35016</v>
      </c>
      <c r="I41" s="54"/>
      <c r="J41" s="54">
        <f>K31+K32+K34+K36+K37+SUM(K35:K35)</f>
        <v>308658.56</v>
      </c>
      <c r="K41" s="54"/>
      <c r="O41" s="55">
        <f>I31+I32+I34+I36+I37+SUM(I35:I35)</f>
        <v>35016</v>
      </c>
      <c r="P41" s="55">
        <f>K31+K32+K34+K36+K37+SUM(K35:K35)</f>
        <v>308658.56</v>
      </c>
    </row>
    <row r="43" spans="1:29" ht="78.45" x14ac:dyDescent="0.3">
      <c r="A43" s="35">
        <v>2</v>
      </c>
      <c r="B43" s="35" t="s">
        <v>527</v>
      </c>
      <c r="C43" s="35" t="s">
        <v>41</v>
      </c>
      <c r="D43" s="37" t="str">
        <f>Source!H32</f>
        <v>1  ШТ.</v>
      </c>
      <c r="E43" s="36">
        <f>Source!I32</f>
        <v>2</v>
      </c>
      <c r="F43" s="39"/>
      <c r="G43" s="38"/>
      <c r="H43" s="36"/>
      <c r="I43" s="39"/>
      <c r="J43" s="36"/>
      <c r="K43" s="39"/>
      <c r="Q43">
        <f>Source!X32</f>
        <v>69.38</v>
      </c>
      <c r="R43">
        <f>Source!X33</f>
        <v>3815.26</v>
      </c>
      <c r="S43">
        <f>Source!Y32</f>
        <v>35.46</v>
      </c>
      <c r="T43">
        <f>Source!Y33</f>
        <v>1950.02</v>
      </c>
      <c r="U43">
        <f>ROUND((175/100)*ROUND(Source!R32, 2), 2)</f>
        <v>0</v>
      </c>
      <c r="V43">
        <f>ROUND((0/100)*ROUND(Source!R33, 2), 2)</f>
        <v>0</v>
      </c>
      <c r="AC43">
        <v>0</v>
      </c>
    </row>
    <row r="44" spans="1:29" ht="14.15" x14ac:dyDescent="0.3">
      <c r="A44" s="35"/>
      <c r="B44" s="35"/>
      <c r="C44" s="35" t="s">
        <v>514</v>
      </c>
      <c r="D44" s="37"/>
      <c r="E44" s="36"/>
      <c r="F44" s="39">
        <f>Source!AO32</f>
        <v>33.47</v>
      </c>
      <c r="G44" s="38" t="str">
        <f>Source!DG32</f>
        <v>*1,1</v>
      </c>
      <c r="H44" s="36">
        <f>Source!AV33</f>
        <v>1.0469999999999999</v>
      </c>
      <c r="I44" s="39">
        <f>Source!S32</f>
        <v>77.09</v>
      </c>
      <c r="J44" s="36">
        <f>IF(Source!BA33&lt;&gt; 0, Source!BA33, 1)</f>
        <v>54.99</v>
      </c>
      <c r="K44" s="39">
        <f>Source!S33</f>
        <v>4239.18</v>
      </c>
    </row>
    <row r="45" spans="1:29" ht="14.15" x14ac:dyDescent="0.3">
      <c r="A45" s="35"/>
      <c r="B45" s="35"/>
      <c r="C45" s="35" t="s">
        <v>517</v>
      </c>
      <c r="D45" s="37"/>
      <c r="E45" s="36"/>
      <c r="F45" s="39">
        <f>Source!AL32</f>
        <v>2.34</v>
      </c>
      <c r="G45" s="38" t="str">
        <f>Source!DD32</f>
        <v/>
      </c>
      <c r="H45" s="36">
        <f>Source!AW33</f>
        <v>1</v>
      </c>
      <c r="I45" s="39">
        <f>Source!P32</f>
        <v>4.68</v>
      </c>
      <c r="J45" s="36">
        <f>IF(Source!BC33&lt;&gt; 0, Source!BC33, 1)</f>
        <v>10.26</v>
      </c>
      <c r="K45" s="39">
        <f>Source!P33</f>
        <v>48.02</v>
      </c>
    </row>
    <row r="46" spans="1:29" ht="68.150000000000006" x14ac:dyDescent="0.3">
      <c r="A46" s="41" t="s">
        <v>43</v>
      </c>
      <c r="B46" s="41" t="str">
        <f>Source!F34</f>
        <v>КА 2</v>
      </c>
      <c r="C46" s="41" t="s">
        <v>528</v>
      </c>
      <c r="D46" s="42" t="str">
        <f>Source!H34</f>
        <v>шт.</v>
      </c>
      <c r="E46" s="43">
        <f>Source!I34</f>
        <v>2</v>
      </c>
      <c r="F46" s="44">
        <f>Source!AK34</f>
        <v>2396.35</v>
      </c>
      <c r="G46" s="45" t="s">
        <v>3</v>
      </c>
      <c r="H46" s="43">
        <f>Source!AW35</f>
        <v>1</v>
      </c>
      <c r="I46" s="44">
        <f>Source!O34</f>
        <v>4792.7</v>
      </c>
      <c r="J46" s="43">
        <f>IF(Source!BC35&lt;&gt; 0, Source!BC35, 1)</f>
        <v>7.66</v>
      </c>
      <c r="K46" s="44">
        <f>Source!O35</f>
        <v>36712.080000000002</v>
      </c>
      <c r="Q46">
        <f>Source!X34</f>
        <v>0</v>
      </c>
      <c r="R46">
        <f>Source!X35</f>
        <v>0</v>
      </c>
      <c r="S46">
        <f>Source!Y34</f>
        <v>0</v>
      </c>
      <c r="T46">
        <f>Source!Y35</f>
        <v>0</v>
      </c>
      <c r="U46">
        <f>ROUND((175/100)*ROUND(Source!R34, 2), 2)</f>
        <v>0</v>
      </c>
      <c r="V46">
        <f>ROUND((0/100)*ROUND(Source!R35, 2), 2)</f>
        <v>0</v>
      </c>
      <c r="AC46">
        <v>5</v>
      </c>
    </row>
    <row r="47" spans="1:29" ht="14.15" x14ac:dyDescent="0.3">
      <c r="A47" s="35"/>
      <c r="B47" s="35"/>
      <c r="C47" s="35" t="s">
        <v>519</v>
      </c>
      <c r="D47" s="37" t="s">
        <v>520</v>
      </c>
      <c r="E47" s="36">
        <f>Source!BZ33</f>
        <v>90</v>
      </c>
      <c r="F47" s="39"/>
      <c r="G47" s="38"/>
      <c r="H47" s="36"/>
      <c r="I47" s="39">
        <f>SUM(Q43:Q46)</f>
        <v>69.38</v>
      </c>
      <c r="J47" s="36">
        <f>Source!AT33</f>
        <v>90</v>
      </c>
      <c r="K47" s="39">
        <f>SUM(R43:R46)</f>
        <v>3815.26</v>
      </c>
    </row>
    <row r="48" spans="1:29" ht="14.15" x14ac:dyDescent="0.3">
      <c r="A48" s="35"/>
      <c r="B48" s="35"/>
      <c r="C48" s="35" t="s">
        <v>521</v>
      </c>
      <c r="D48" s="37" t="s">
        <v>520</v>
      </c>
      <c r="E48" s="36">
        <f>Source!CA33</f>
        <v>46</v>
      </c>
      <c r="F48" s="39"/>
      <c r="G48" s="38"/>
      <c r="H48" s="36"/>
      <c r="I48" s="39">
        <f>SUM(S43:S47)</f>
        <v>35.46</v>
      </c>
      <c r="J48" s="36">
        <f>Source!AU33</f>
        <v>46</v>
      </c>
      <c r="K48" s="39">
        <f>SUM(T43:T47)</f>
        <v>1950.02</v>
      </c>
    </row>
    <row r="49" spans="1:29" ht="14.15" x14ac:dyDescent="0.3">
      <c r="A49" s="46"/>
      <c r="B49" s="46"/>
      <c r="C49" s="46" t="s">
        <v>522</v>
      </c>
      <c r="D49" s="47" t="s">
        <v>523</v>
      </c>
      <c r="E49" s="48">
        <f>Source!AQ32</f>
        <v>2.65</v>
      </c>
      <c r="F49" s="49"/>
      <c r="G49" s="50" t="str">
        <f>Source!DI32</f>
        <v>*1,1</v>
      </c>
      <c r="H49" s="48">
        <f>Source!AV33</f>
        <v>1.0469999999999999</v>
      </c>
      <c r="I49" s="49">
        <f>Source!U32</f>
        <v>6.1040099999999997</v>
      </c>
      <c r="J49" s="48"/>
      <c r="K49" s="49"/>
    </row>
    <row r="50" spans="1:29" ht="14.15" x14ac:dyDescent="0.3">
      <c r="C50" s="51" t="s">
        <v>524</v>
      </c>
      <c r="H50" s="52">
        <f>I44+I45+I47+I48+SUM(I46:I46)-SUMIF(AC46:AC46, 5, I46:I46)-SUMIF(AC46:AC46, 6, I46:I46)</f>
        <v>186.60999999999967</v>
      </c>
      <c r="I50" s="52"/>
      <c r="J50" s="52">
        <f>K44+K45+K47+K48+SUM(K46:K46)-SUMIF(AC46:AC46, 5, K46:K46)-SUMIF(AC46:AC46, 6, K46:K46)</f>
        <v>10052.480000000003</v>
      </c>
      <c r="K50" s="52"/>
    </row>
    <row r="51" spans="1:29" ht="14.15" x14ac:dyDescent="0.3">
      <c r="C51" s="51" t="s">
        <v>525</v>
      </c>
      <c r="H51" s="54">
        <f>SUMIF(AC46:AC46, 5, I46:I46)+SUMIF(AC46:AC46, 6, I46:I46)</f>
        <v>4792.7</v>
      </c>
      <c r="I51" s="54"/>
      <c r="J51" s="54">
        <f>SUMIF(AC46:AC46, 5, K46:K46)+SUMIF(AC46:AC46, 6, K46:K46)</f>
        <v>36712.080000000002</v>
      </c>
      <c r="K51" s="54"/>
    </row>
    <row r="52" spans="1:29" ht="14.15" x14ac:dyDescent="0.3">
      <c r="C52" s="51" t="s">
        <v>526</v>
      </c>
      <c r="H52" s="54">
        <f>I44+I45+I47+I48+SUM(I46:I46)</f>
        <v>4979.3099999999995</v>
      </c>
      <c r="I52" s="54"/>
      <c r="J52" s="54">
        <f>K44+K45+K47+K48+SUM(K46:K46)</f>
        <v>46764.560000000005</v>
      </c>
      <c r="K52" s="54"/>
      <c r="O52" s="55">
        <f>I44+I45+I47+I48+SUM(I46:I46)</f>
        <v>4979.3099999999995</v>
      </c>
      <c r="P52" s="55">
        <f>K44+K45+K47+K48+SUM(K46:K46)</f>
        <v>46764.560000000005</v>
      </c>
    </row>
    <row r="54" spans="1:29" ht="78.45" x14ac:dyDescent="0.3">
      <c r="A54" s="35">
        <v>3</v>
      </c>
      <c r="B54" s="35" t="s">
        <v>529</v>
      </c>
      <c r="C54" s="35" t="s">
        <v>48</v>
      </c>
      <c r="D54" s="37" t="str">
        <f>Source!H36</f>
        <v>1  ШТ.</v>
      </c>
      <c r="E54" s="36">
        <f>Source!I36</f>
        <v>1</v>
      </c>
      <c r="F54" s="39"/>
      <c r="G54" s="38"/>
      <c r="H54" s="36"/>
      <c r="I54" s="39"/>
      <c r="J54" s="36"/>
      <c r="K54" s="39"/>
      <c r="Q54">
        <f>Source!X36</f>
        <v>12.16</v>
      </c>
      <c r="R54">
        <f>Source!X37</f>
        <v>668.63</v>
      </c>
      <c r="S54">
        <f>Source!Y36</f>
        <v>6.21</v>
      </c>
      <c r="T54">
        <f>Source!Y37</f>
        <v>341.74</v>
      </c>
      <c r="U54">
        <f>ROUND((175/100)*ROUND(Source!R36, 2), 2)</f>
        <v>0.16</v>
      </c>
      <c r="V54">
        <f>ROUND((0/100)*ROUND(Source!R37, 2), 2)</f>
        <v>0</v>
      </c>
      <c r="AC54">
        <v>0</v>
      </c>
    </row>
    <row r="55" spans="1:29" ht="14.15" x14ac:dyDescent="0.3">
      <c r="A55" s="35"/>
      <c r="B55" s="35"/>
      <c r="C55" s="35" t="s">
        <v>514</v>
      </c>
      <c r="D55" s="37"/>
      <c r="E55" s="36"/>
      <c r="F55" s="39">
        <f>Source!AO36</f>
        <v>11.65</v>
      </c>
      <c r="G55" s="38" t="str">
        <f>Source!DG36</f>
        <v>*1,1</v>
      </c>
      <c r="H55" s="36">
        <f>Source!AV37</f>
        <v>1.0469999999999999</v>
      </c>
      <c r="I55" s="39">
        <f>Source!S36</f>
        <v>13.42</v>
      </c>
      <c r="J55" s="36">
        <f>IF(Source!BA37&lt;&gt; 0, Source!BA37, 1)</f>
        <v>54.99</v>
      </c>
      <c r="K55" s="39">
        <f>Source!S37</f>
        <v>737.97</v>
      </c>
    </row>
    <row r="56" spans="1:29" ht="14.15" x14ac:dyDescent="0.3">
      <c r="A56" s="35"/>
      <c r="B56" s="35"/>
      <c r="C56" s="35" t="s">
        <v>515</v>
      </c>
      <c r="D56" s="37"/>
      <c r="E56" s="36"/>
      <c r="F56" s="39">
        <f>Source!AM36</f>
        <v>0.5</v>
      </c>
      <c r="G56" s="38" t="str">
        <f>Source!DE36</f>
        <v>*1,1</v>
      </c>
      <c r="H56" s="36">
        <f>Source!AV37</f>
        <v>1.0469999999999999</v>
      </c>
      <c r="I56" s="39">
        <f>Source!Q36</f>
        <v>0.57999999999999996</v>
      </c>
      <c r="J56" s="36">
        <f>IF(Source!BB37&lt;&gt; 0, Source!BB37, 1)</f>
        <v>16.260000000000002</v>
      </c>
      <c r="K56" s="39">
        <f>Source!Q37</f>
        <v>9.43</v>
      </c>
    </row>
    <row r="57" spans="1:29" ht="14.15" x14ac:dyDescent="0.3">
      <c r="A57" s="35"/>
      <c r="B57" s="35"/>
      <c r="C57" s="35" t="s">
        <v>516</v>
      </c>
      <c r="D57" s="37"/>
      <c r="E57" s="36"/>
      <c r="F57" s="39">
        <f>Source!AN36</f>
        <v>0.08</v>
      </c>
      <c r="G57" s="38" t="str">
        <f>Source!DF36</f>
        <v>*1,1</v>
      </c>
      <c r="H57" s="36">
        <f>Source!AV37</f>
        <v>1.0469999999999999</v>
      </c>
      <c r="I57" s="40">
        <f>Source!R36</f>
        <v>0.09</v>
      </c>
      <c r="J57" s="36">
        <f>IF(Source!BS37&lt;&gt; 0, Source!BS37, 1)</f>
        <v>54.99</v>
      </c>
      <c r="K57" s="40">
        <f>Source!R37</f>
        <v>4.95</v>
      </c>
    </row>
    <row r="58" spans="1:29" ht="54" x14ac:dyDescent="0.3">
      <c r="A58" s="41" t="s">
        <v>52</v>
      </c>
      <c r="B58" s="41" t="str">
        <f>Source!F38</f>
        <v>КА 3</v>
      </c>
      <c r="C58" s="41" t="s">
        <v>530</v>
      </c>
      <c r="D58" s="42" t="str">
        <f>Source!H38</f>
        <v>шт.</v>
      </c>
      <c r="E58" s="43">
        <f>Source!I38</f>
        <v>1</v>
      </c>
      <c r="F58" s="44">
        <f>Source!AK38</f>
        <v>1908.2700000000002</v>
      </c>
      <c r="G58" s="45" t="s">
        <v>3</v>
      </c>
      <c r="H58" s="43">
        <f>Source!AW39</f>
        <v>1</v>
      </c>
      <c r="I58" s="44">
        <f>Source!O38</f>
        <v>1908.27</v>
      </c>
      <c r="J58" s="43">
        <f>IF(Source!BC39&lt;&gt; 0, Source!BC39, 1)</f>
        <v>7.66</v>
      </c>
      <c r="K58" s="44">
        <f>Source!O39</f>
        <v>14617.35</v>
      </c>
      <c r="Q58">
        <f>Source!X38</f>
        <v>0</v>
      </c>
      <c r="R58">
        <f>Source!X39</f>
        <v>0</v>
      </c>
      <c r="S58">
        <f>Source!Y38</f>
        <v>0</v>
      </c>
      <c r="T58">
        <f>Source!Y39</f>
        <v>0</v>
      </c>
      <c r="U58">
        <f>ROUND((175/100)*ROUND(Source!R38, 2), 2)</f>
        <v>0</v>
      </c>
      <c r="V58">
        <f>ROUND((0/100)*ROUND(Source!R39, 2), 2)</f>
        <v>0</v>
      </c>
      <c r="AC58">
        <v>5</v>
      </c>
    </row>
    <row r="59" spans="1:29" ht="14.15" x14ac:dyDescent="0.3">
      <c r="A59" s="35"/>
      <c r="B59" s="35"/>
      <c r="C59" s="35" t="s">
        <v>519</v>
      </c>
      <c r="D59" s="37" t="s">
        <v>520</v>
      </c>
      <c r="E59" s="36">
        <f>Source!BZ37</f>
        <v>90</v>
      </c>
      <c r="F59" s="39"/>
      <c r="G59" s="38"/>
      <c r="H59" s="36"/>
      <c r="I59" s="39">
        <f>SUM(Q54:Q58)</f>
        <v>12.16</v>
      </c>
      <c r="J59" s="36">
        <f>Source!AT37</f>
        <v>90</v>
      </c>
      <c r="K59" s="39">
        <f>SUM(R54:R58)</f>
        <v>668.63</v>
      </c>
    </row>
    <row r="60" spans="1:29" ht="14.15" x14ac:dyDescent="0.3">
      <c r="A60" s="35"/>
      <c r="B60" s="35"/>
      <c r="C60" s="35" t="s">
        <v>521</v>
      </c>
      <c r="D60" s="37" t="s">
        <v>520</v>
      </c>
      <c r="E60" s="36">
        <f>Source!CA37</f>
        <v>46</v>
      </c>
      <c r="F60" s="39"/>
      <c r="G60" s="38"/>
      <c r="H60" s="36"/>
      <c r="I60" s="39">
        <f>SUM(S54:S59)</f>
        <v>6.21</v>
      </c>
      <c r="J60" s="36">
        <f>Source!AU37</f>
        <v>46</v>
      </c>
      <c r="K60" s="39">
        <f>SUM(T54:T59)</f>
        <v>341.74</v>
      </c>
    </row>
    <row r="61" spans="1:29" ht="14.15" x14ac:dyDescent="0.3">
      <c r="A61" s="46"/>
      <c r="B61" s="46"/>
      <c r="C61" s="46" t="s">
        <v>522</v>
      </c>
      <c r="D61" s="47" t="s">
        <v>523</v>
      </c>
      <c r="E61" s="48">
        <f>Source!AQ36</f>
        <v>1.03</v>
      </c>
      <c r="F61" s="49"/>
      <c r="G61" s="50" t="str">
        <f>Source!DI36</f>
        <v>*1,1</v>
      </c>
      <c r="H61" s="48">
        <f>Source!AV37</f>
        <v>1.0469999999999999</v>
      </c>
      <c r="I61" s="49">
        <f>Source!U36</f>
        <v>1.1862510000000002</v>
      </c>
      <c r="J61" s="48"/>
      <c r="K61" s="49"/>
    </row>
    <row r="62" spans="1:29" ht="14.15" x14ac:dyDescent="0.3">
      <c r="C62" s="51" t="s">
        <v>524</v>
      </c>
      <c r="H62" s="52">
        <f>I55+I56+I59+I60+SUM(I58:I58)-SUMIF(AC58:AC58, 5, I58:I58)-SUMIF(AC58:AC58, 6, I58:I58)</f>
        <v>32.369999999999891</v>
      </c>
      <c r="I62" s="52"/>
      <c r="J62" s="52">
        <f>K55+K56+K59+K60+SUM(K58:K58)-SUMIF(AC58:AC58, 5, K58:K58)-SUMIF(AC58:AC58, 6, K58:K58)</f>
        <v>1757.7700000000004</v>
      </c>
      <c r="K62" s="52"/>
    </row>
    <row r="63" spans="1:29" ht="14.15" x14ac:dyDescent="0.3">
      <c r="C63" s="51" t="s">
        <v>525</v>
      </c>
      <c r="H63" s="54">
        <f>SUMIF(AC58:AC58, 5, I58:I58)+SUMIF(AC58:AC58, 6, I58:I58)</f>
        <v>1908.27</v>
      </c>
      <c r="I63" s="54"/>
      <c r="J63" s="54">
        <f>SUMIF(AC58:AC58, 5, K58:K58)+SUMIF(AC58:AC58, 6, K58:K58)</f>
        <v>14617.35</v>
      </c>
      <c r="K63" s="54"/>
    </row>
    <row r="64" spans="1:29" ht="14.15" x14ac:dyDescent="0.3">
      <c r="C64" s="51" t="s">
        <v>526</v>
      </c>
      <c r="H64" s="54">
        <f>I55+I56+I59+I60+SUM(I58:I58)</f>
        <v>1940.6399999999999</v>
      </c>
      <c r="I64" s="54"/>
      <c r="J64" s="54">
        <f>K55+K56+K59+K60+SUM(K58:K58)</f>
        <v>16375.12</v>
      </c>
      <c r="K64" s="54"/>
      <c r="O64" s="55">
        <f>I55+I56+I59+I60+SUM(I58:I58)</f>
        <v>1940.6399999999999</v>
      </c>
      <c r="P64" s="55">
        <f>K55+K56+K59+K60+SUM(K58:K58)</f>
        <v>16375.12</v>
      </c>
    </row>
    <row r="66" spans="1:29" ht="78.45" x14ac:dyDescent="0.3">
      <c r="A66" s="35">
        <v>4</v>
      </c>
      <c r="B66" s="35" t="s">
        <v>531</v>
      </c>
      <c r="C66" s="35" t="s">
        <v>58</v>
      </c>
      <c r="D66" s="37" t="str">
        <f>Source!H40</f>
        <v>1  ШТ.</v>
      </c>
      <c r="E66" s="36">
        <f>Source!I40</f>
        <v>589</v>
      </c>
      <c r="F66" s="39"/>
      <c r="G66" s="38"/>
      <c r="H66" s="36"/>
      <c r="I66" s="39"/>
      <c r="J66" s="36"/>
      <c r="K66" s="39"/>
      <c r="Q66">
        <f>Source!X40</f>
        <v>12949.05</v>
      </c>
      <c r="R66">
        <f>Source!X41</f>
        <v>712068.09</v>
      </c>
      <c r="S66">
        <f>Source!Y40</f>
        <v>6618.4</v>
      </c>
      <c r="T66">
        <f>Source!Y41</f>
        <v>363945.91</v>
      </c>
      <c r="U66">
        <f>ROUND((175/100)*ROUND(Source!R40, 2), 2)</f>
        <v>11.87</v>
      </c>
      <c r="V66">
        <f>ROUND((0/100)*ROUND(Source!R41, 2), 2)</f>
        <v>0</v>
      </c>
      <c r="AC66">
        <v>0</v>
      </c>
    </row>
    <row r="67" spans="1:29" ht="14.15" x14ac:dyDescent="0.3">
      <c r="A67" s="35"/>
      <c r="B67" s="35"/>
      <c r="C67" s="35" t="s">
        <v>514</v>
      </c>
      <c r="D67" s="37"/>
      <c r="E67" s="36"/>
      <c r="F67" s="39">
        <f>Source!AO40</f>
        <v>21.2</v>
      </c>
      <c r="G67" s="38" t="str">
        <f>Source!DG40</f>
        <v>*1,1</v>
      </c>
      <c r="H67" s="36">
        <f>Source!AV41</f>
        <v>1.0469999999999999</v>
      </c>
      <c r="I67" s="39">
        <f>Source!S40</f>
        <v>14381.05</v>
      </c>
      <c r="J67" s="36">
        <f>IF(Source!BA41&lt;&gt; 0, Source!BA41, 1)</f>
        <v>54.99</v>
      </c>
      <c r="K67" s="39">
        <f>Source!S41</f>
        <v>790813.94</v>
      </c>
    </row>
    <row r="68" spans="1:29" ht="14.15" x14ac:dyDescent="0.3">
      <c r="A68" s="35"/>
      <c r="B68" s="35"/>
      <c r="C68" s="35" t="s">
        <v>515</v>
      </c>
      <c r="D68" s="37"/>
      <c r="E68" s="36"/>
      <c r="F68" s="39">
        <f>Source!AM40</f>
        <v>0.06</v>
      </c>
      <c r="G68" s="38" t="str">
        <f>Source!DE40</f>
        <v>*1,1</v>
      </c>
      <c r="H68" s="36">
        <f>Source!AV41</f>
        <v>1.0469999999999999</v>
      </c>
      <c r="I68" s="39">
        <f>Source!Q40</f>
        <v>40.700000000000003</v>
      </c>
      <c r="J68" s="36">
        <f>IF(Source!BB41&lt;&gt; 0, Source!BB41, 1)</f>
        <v>17.5</v>
      </c>
      <c r="K68" s="39">
        <f>Source!Q41</f>
        <v>712.25</v>
      </c>
    </row>
    <row r="69" spans="1:29" ht="14.15" x14ac:dyDescent="0.3">
      <c r="A69" s="35"/>
      <c r="B69" s="35"/>
      <c r="C69" s="35" t="s">
        <v>516</v>
      </c>
      <c r="D69" s="37"/>
      <c r="E69" s="36"/>
      <c r="F69" s="39">
        <f>Source!AN40</f>
        <v>0.01</v>
      </c>
      <c r="G69" s="38" t="str">
        <f>Source!DF40</f>
        <v>*1,1</v>
      </c>
      <c r="H69" s="36">
        <f>Source!AV41</f>
        <v>1.0469999999999999</v>
      </c>
      <c r="I69" s="40">
        <f>Source!R40</f>
        <v>6.78</v>
      </c>
      <c r="J69" s="36">
        <f>IF(Source!BS41&lt;&gt; 0, Source!BS41, 1)</f>
        <v>54.99</v>
      </c>
      <c r="K69" s="40">
        <f>Source!R41</f>
        <v>372.83</v>
      </c>
    </row>
    <row r="70" spans="1:29" ht="14.15" x14ac:dyDescent="0.3">
      <c r="A70" s="35"/>
      <c r="B70" s="35"/>
      <c r="C70" s="35" t="s">
        <v>517</v>
      </c>
      <c r="D70" s="37"/>
      <c r="E70" s="36"/>
      <c r="F70" s="39">
        <f>Source!AL40</f>
        <v>1.26</v>
      </c>
      <c r="G70" s="38" t="str">
        <f>Source!DD40</f>
        <v/>
      </c>
      <c r="H70" s="36">
        <f>Source!AW41</f>
        <v>1</v>
      </c>
      <c r="I70" s="39">
        <f>Source!P40</f>
        <v>742.14</v>
      </c>
      <c r="J70" s="36">
        <f>IF(Source!BC41&lt;&gt; 0, Source!BC41, 1)</f>
        <v>9.89</v>
      </c>
      <c r="K70" s="39">
        <f>Source!P41</f>
        <v>7339.76</v>
      </c>
    </row>
    <row r="71" spans="1:29" ht="68.150000000000006" x14ac:dyDescent="0.3">
      <c r="A71" s="41" t="s">
        <v>60</v>
      </c>
      <c r="B71" s="41" t="str">
        <f>Source!F42</f>
        <v>КА 4</v>
      </c>
      <c r="C71" s="41" t="s">
        <v>532</v>
      </c>
      <c r="D71" s="42" t="str">
        <f>Source!H42</f>
        <v>шт.</v>
      </c>
      <c r="E71" s="43">
        <f>Source!I42</f>
        <v>589</v>
      </c>
      <c r="F71" s="44">
        <f>Source!AK42</f>
        <v>159.44</v>
      </c>
      <c r="G71" s="45" t="s">
        <v>3</v>
      </c>
      <c r="H71" s="43">
        <f>Source!AW43</f>
        <v>1</v>
      </c>
      <c r="I71" s="44">
        <f>Source!O42</f>
        <v>93910.16</v>
      </c>
      <c r="J71" s="43">
        <f>IF(Source!BC43&lt;&gt; 0, Source!BC43, 1)</f>
        <v>7.66</v>
      </c>
      <c r="K71" s="44">
        <f>Source!O43</f>
        <v>719351.83</v>
      </c>
      <c r="Q71">
        <f>Source!X42</f>
        <v>0</v>
      </c>
      <c r="R71">
        <f>Source!X43</f>
        <v>0</v>
      </c>
      <c r="S71">
        <f>Source!Y42</f>
        <v>0</v>
      </c>
      <c r="T71">
        <f>Source!Y43</f>
        <v>0</v>
      </c>
      <c r="U71">
        <f>ROUND((175/100)*ROUND(Source!R42, 2), 2)</f>
        <v>0</v>
      </c>
      <c r="V71">
        <f>ROUND((0/100)*ROUND(Source!R43, 2), 2)</f>
        <v>0</v>
      </c>
      <c r="AC71">
        <v>5</v>
      </c>
    </row>
    <row r="72" spans="1:29" ht="14.15" x14ac:dyDescent="0.3">
      <c r="A72" s="35"/>
      <c r="B72" s="35"/>
      <c r="C72" s="35" t="s">
        <v>519</v>
      </c>
      <c r="D72" s="37" t="s">
        <v>520</v>
      </c>
      <c r="E72" s="36">
        <f>Source!BZ41</f>
        <v>90</v>
      </c>
      <c r="F72" s="39"/>
      <c r="G72" s="38"/>
      <c r="H72" s="36"/>
      <c r="I72" s="39">
        <f>SUM(Q66:Q71)</f>
        <v>12949.05</v>
      </c>
      <c r="J72" s="36">
        <f>Source!AT41</f>
        <v>90</v>
      </c>
      <c r="K72" s="39">
        <f>SUM(R66:R71)</f>
        <v>712068.09</v>
      </c>
    </row>
    <row r="73" spans="1:29" ht="14.15" x14ac:dyDescent="0.3">
      <c r="A73" s="35"/>
      <c r="B73" s="35"/>
      <c r="C73" s="35" t="s">
        <v>521</v>
      </c>
      <c r="D73" s="37" t="s">
        <v>520</v>
      </c>
      <c r="E73" s="36">
        <f>Source!CA41</f>
        <v>46</v>
      </c>
      <c r="F73" s="39"/>
      <c r="G73" s="38"/>
      <c r="H73" s="36"/>
      <c r="I73" s="39">
        <f>SUM(S66:S72)</f>
        <v>6618.4</v>
      </c>
      <c r="J73" s="36">
        <f>Source!AU41</f>
        <v>46</v>
      </c>
      <c r="K73" s="39">
        <f>SUM(T66:T72)</f>
        <v>363945.91</v>
      </c>
    </row>
    <row r="74" spans="1:29" ht="14.15" x14ac:dyDescent="0.3">
      <c r="A74" s="46"/>
      <c r="B74" s="46"/>
      <c r="C74" s="46" t="s">
        <v>522</v>
      </c>
      <c r="D74" s="47" t="s">
        <v>523</v>
      </c>
      <c r="E74" s="48">
        <f>Source!AQ40</f>
        <v>1.68</v>
      </c>
      <c r="F74" s="49"/>
      <c r="G74" s="50" t="str">
        <f>Source!DI40</f>
        <v>*1,1</v>
      </c>
      <c r="H74" s="48">
        <f>Source!AV41</f>
        <v>1.0469999999999999</v>
      </c>
      <c r="I74" s="49">
        <f>Source!U40</f>
        <v>1139.6301839999999</v>
      </c>
      <c r="J74" s="48"/>
      <c r="K74" s="49"/>
    </row>
    <row r="75" spans="1:29" ht="14.15" x14ac:dyDescent="0.3">
      <c r="C75" s="51" t="s">
        <v>524</v>
      </c>
      <c r="H75" s="52">
        <f>I67+I68+I70+I72+I73+SUM(I71:I71)-SUMIF(AC71:AC71, 5, I71:I71)-SUMIF(AC71:AC71, 6, I71:I71)</f>
        <v>34731.339999999997</v>
      </c>
      <c r="I75" s="52"/>
      <c r="J75" s="52">
        <f>K67+K68+K70+K72+K73+SUM(K71:K71)-SUMIF(AC71:AC71, 5, K71:K71)-SUMIF(AC71:AC71, 6, K71:K71)</f>
        <v>1874879.9499999997</v>
      </c>
      <c r="K75" s="52"/>
    </row>
    <row r="76" spans="1:29" ht="14.15" x14ac:dyDescent="0.3">
      <c r="C76" s="51" t="s">
        <v>525</v>
      </c>
      <c r="H76" s="54">
        <f>SUMIF(AC71:AC71, 5, I71:I71)+SUMIF(AC71:AC71, 6, I71:I71)</f>
        <v>93910.16</v>
      </c>
      <c r="I76" s="54"/>
      <c r="J76" s="54">
        <f>SUMIF(AC71:AC71, 5, K71:K71)+SUMIF(AC71:AC71, 6, K71:K71)</f>
        <v>719351.83</v>
      </c>
      <c r="K76" s="54"/>
    </row>
    <row r="77" spans="1:29" ht="14.15" x14ac:dyDescent="0.3">
      <c r="C77" s="51" t="s">
        <v>526</v>
      </c>
      <c r="H77" s="54">
        <f>I67+I68+I70+I72+I73+SUM(I71:I71)</f>
        <v>128641.5</v>
      </c>
      <c r="I77" s="54"/>
      <c r="J77" s="54">
        <f>K67+K68+K70+K72+K73+SUM(K71:K71)</f>
        <v>2594231.7799999998</v>
      </c>
      <c r="K77" s="54"/>
      <c r="O77" s="55">
        <f>I67+I68+I70+I72+I73+SUM(I71:I71)</f>
        <v>128641.5</v>
      </c>
      <c r="P77" s="55">
        <f>K67+K68+K70+K72+K73+SUM(K71:K71)</f>
        <v>2594231.7799999998</v>
      </c>
    </row>
    <row r="79" spans="1:29" ht="78.45" x14ac:dyDescent="0.3">
      <c r="A79" s="35">
        <v>5</v>
      </c>
      <c r="B79" s="35" t="s">
        <v>533</v>
      </c>
      <c r="C79" s="35" t="s">
        <v>66</v>
      </c>
      <c r="D79" s="37" t="str">
        <f>Source!H44</f>
        <v>1  ШТ.</v>
      </c>
      <c r="E79" s="36">
        <f>Source!I44</f>
        <v>589</v>
      </c>
      <c r="F79" s="39"/>
      <c r="G79" s="38"/>
      <c r="H79" s="36"/>
      <c r="I79" s="39"/>
      <c r="J79" s="36"/>
      <c r="K79" s="39"/>
      <c r="Q79">
        <f>Source!X44</f>
        <v>2869.43</v>
      </c>
      <c r="R79">
        <f>Source!X45</f>
        <v>157789.68</v>
      </c>
      <c r="S79">
        <f>Source!Y44</f>
        <v>1466.6</v>
      </c>
      <c r="T79">
        <f>Source!Y45</f>
        <v>80648.06</v>
      </c>
      <c r="U79">
        <f>ROUND((175/100)*ROUND(Source!R44, 2), 2)</f>
        <v>332.4</v>
      </c>
      <c r="V79">
        <f>ROUND((0/100)*ROUND(Source!R45, 2), 2)</f>
        <v>0</v>
      </c>
      <c r="AC79">
        <v>0</v>
      </c>
    </row>
    <row r="80" spans="1:29" x14ac:dyDescent="0.3">
      <c r="C80" s="56" t="str">
        <f>"Объем: "&amp;Source!I44&amp;"=136+"&amp;"453"</f>
        <v>Объем: 589=136+453</v>
      </c>
    </row>
    <row r="81" spans="1:29" ht="14.15" x14ac:dyDescent="0.3">
      <c r="A81" s="35"/>
      <c r="B81" s="35"/>
      <c r="C81" s="35" t="s">
        <v>514</v>
      </c>
      <c r="D81" s="37"/>
      <c r="E81" s="36"/>
      <c r="F81" s="39">
        <f>Source!AO44</f>
        <v>4.42</v>
      </c>
      <c r="G81" s="38" t="str">
        <f>Source!DG44</f>
        <v>*1,1</v>
      </c>
      <c r="H81" s="36">
        <f>Source!AV45</f>
        <v>1.0469999999999999</v>
      </c>
      <c r="I81" s="39">
        <f>Source!S44</f>
        <v>2998.31</v>
      </c>
      <c r="J81" s="36">
        <f>IF(Source!BA45&lt;&gt; 0, Source!BA45, 1)</f>
        <v>54.99</v>
      </c>
      <c r="K81" s="39">
        <f>Source!S45</f>
        <v>164877.07</v>
      </c>
    </row>
    <row r="82" spans="1:29" ht="14.15" x14ac:dyDescent="0.3">
      <c r="A82" s="35"/>
      <c r="B82" s="35"/>
      <c r="C82" s="35" t="s">
        <v>515</v>
      </c>
      <c r="D82" s="37"/>
      <c r="E82" s="36"/>
      <c r="F82" s="39">
        <f>Source!AM44</f>
        <v>4.5599999999999996</v>
      </c>
      <c r="G82" s="38" t="str">
        <f>Source!DE44</f>
        <v>*1,1</v>
      </c>
      <c r="H82" s="36">
        <f>Source!AV45</f>
        <v>1.0469999999999999</v>
      </c>
      <c r="I82" s="39">
        <f>Source!Q44</f>
        <v>3093.28</v>
      </c>
      <c r="J82" s="36">
        <f>IF(Source!BB45&lt;&gt; 0, Source!BB45, 1)</f>
        <v>12.8</v>
      </c>
      <c r="K82" s="39">
        <f>Source!Q45</f>
        <v>39593.980000000003</v>
      </c>
    </row>
    <row r="83" spans="1:29" ht="14.15" x14ac:dyDescent="0.3">
      <c r="A83" s="35"/>
      <c r="B83" s="35"/>
      <c r="C83" s="35" t="s">
        <v>516</v>
      </c>
      <c r="D83" s="37"/>
      <c r="E83" s="36"/>
      <c r="F83" s="39">
        <f>Source!AN44</f>
        <v>0.28000000000000003</v>
      </c>
      <c r="G83" s="38" t="str">
        <f>Source!DF44</f>
        <v>*1,1</v>
      </c>
      <c r="H83" s="36">
        <f>Source!AV45</f>
        <v>1.0469999999999999</v>
      </c>
      <c r="I83" s="40">
        <f>Source!R44</f>
        <v>189.94</v>
      </c>
      <c r="J83" s="36">
        <f>IF(Source!BS45&lt;&gt; 0, Source!BS45, 1)</f>
        <v>54.99</v>
      </c>
      <c r="K83" s="40">
        <f>Source!R45</f>
        <v>10444.799999999999</v>
      </c>
    </row>
    <row r="84" spans="1:29" ht="14.15" x14ac:dyDescent="0.3">
      <c r="A84" s="35"/>
      <c r="B84" s="35"/>
      <c r="C84" s="35" t="s">
        <v>517</v>
      </c>
      <c r="D84" s="37"/>
      <c r="E84" s="36"/>
      <c r="F84" s="39">
        <f>Source!AL44</f>
        <v>1.05</v>
      </c>
      <c r="G84" s="38" t="str">
        <f>Source!DD44</f>
        <v/>
      </c>
      <c r="H84" s="36">
        <f>Source!AW45</f>
        <v>1</v>
      </c>
      <c r="I84" s="39">
        <f>Source!P44</f>
        <v>618.45000000000005</v>
      </c>
      <c r="J84" s="36">
        <f>IF(Source!BC45&lt;&gt; 0, Source!BC45, 1)</f>
        <v>9.89</v>
      </c>
      <c r="K84" s="39">
        <f>Source!P45</f>
        <v>6116.47</v>
      </c>
    </row>
    <row r="85" spans="1:29" ht="27" x14ac:dyDescent="0.3">
      <c r="A85" s="35" t="s">
        <v>68</v>
      </c>
      <c r="B85" s="35" t="str">
        <f>Source!F46</f>
        <v>КА 5</v>
      </c>
      <c r="C85" s="35" t="s">
        <v>534</v>
      </c>
      <c r="D85" s="37" t="str">
        <f>Source!H46</f>
        <v>шт.</v>
      </c>
      <c r="E85" s="36">
        <f>Source!I46</f>
        <v>136</v>
      </c>
      <c r="F85" s="39">
        <f>Source!AK46</f>
        <v>44.99</v>
      </c>
      <c r="G85" s="57" t="s">
        <v>3</v>
      </c>
      <c r="H85" s="36">
        <f>Source!AW47</f>
        <v>1</v>
      </c>
      <c r="I85" s="39">
        <f>Source!O46</f>
        <v>6118.64</v>
      </c>
      <c r="J85" s="36">
        <f>IF(Source!BC47&lt;&gt; 0, Source!BC47, 1)</f>
        <v>9.8800000000000008</v>
      </c>
      <c r="K85" s="39">
        <f>Source!O47</f>
        <v>60452.160000000003</v>
      </c>
      <c r="Q85">
        <f>Source!X46</f>
        <v>0</v>
      </c>
      <c r="R85">
        <f>Source!X47</f>
        <v>0</v>
      </c>
      <c r="S85">
        <f>Source!Y46</f>
        <v>0</v>
      </c>
      <c r="T85">
        <f>Source!Y47</f>
        <v>0</v>
      </c>
      <c r="U85">
        <f>ROUND((175/100)*ROUND(Source!R46, 2), 2)</f>
        <v>0</v>
      </c>
      <c r="V85">
        <f>ROUND((0/100)*ROUND(Source!R47, 2), 2)</f>
        <v>0</v>
      </c>
      <c r="AC85">
        <v>3</v>
      </c>
    </row>
    <row r="86" spans="1:29" ht="27" x14ac:dyDescent="0.3">
      <c r="A86" s="35" t="s">
        <v>73</v>
      </c>
      <c r="B86" s="35" t="str">
        <f>Source!F48</f>
        <v>КА 6</v>
      </c>
      <c r="C86" s="35" t="s">
        <v>535</v>
      </c>
      <c r="D86" s="37" t="str">
        <f>Source!H48</f>
        <v>шт.</v>
      </c>
      <c r="E86" s="36">
        <f>Source!I48</f>
        <v>453</v>
      </c>
      <c r="F86" s="39">
        <f>Source!AK48</f>
        <v>17.89</v>
      </c>
      <c r="G86" s="57" t="s">
        <v>3</v>
      </c>
      <c r="H86" s="36">
        <f>Source!AW49</f>
        <v>1</v>
      </c>
      <c r="I86" s="39">
        <f>Source!O48</f>
        <v>8104.17</v>
      </c>
      <c r="J86" s="36">
        <f>IF(Source!BC49&lt;&gt; 0, Source!BC49, 1)</f>
        <v>9.8800000000000008</v>
      </c>
      <c r="K86" s="39">
        <f>Source!O49</f>
        <v>80069.2</v>
      </c>
      <c r="Q86">
        <f>Source!X48</f>
        <v>0</v>
      </c>
      <c r="R86">
        <f>Source!X49</f>
        <v>0</v>
      </c>
      <c r="S86">
        <f>Source!Y48</f>
        <v>0</v>
      </c>
      <c r="T86">
        <f>Source!Y49</f>
        <v>0</v>
      </c>
      <c r="U86">
        <f>ROUND((175/100)*ROUND(Source!R48, 2), 2)</f>
        <v>0</v>
      </c>
      <c r="V86">
        <f>ROUND((0/100)*ROUND(Source!R49, 2), 2)</f>
        <v>0</v>
      </c>
      <c r="AC86">
        <v>3</v>
      </c>
    </row>
    <row r="87" spans="1:29" ht="14.15" x14ac:dyDescent="0.3">
      <c r="A87" s="35"/>
      <c r="B87" s="35"/>
      <c r="C87" s="35" t="s">
        <v>519</v>
      </c>
      <c r="D87" s="37" t="s">
        <v>520</v>
      </c>
      <c r="E87" s="36">
        <f>Source!BZ45</f>
        <v>90</v>
      </c>
      <c r="F87" s="39"/>
      <c r="G87" s="38"/>
      <c r="H87" s="36"/>
      <c r="I87" s="39">
        <f>SUM(Q79:Q86)</f>
        <v>2869.43</v>
      </c>
      <c r="J87" s="36">
        <f>Source!AT45</f>
        <v>90</v>
      </c>
      <c r="K87" s="39">
        <f>SUM(R79:R86)</f>
        <v>157789.68</v>
      </c>
    </row>
    <row r="88" spans="1:29" ht="14.15" x14ac:dyDescent="0.3">
      <c r="A88" s="35"/>
      <c r="B88" s="35"/>
      <c r="C88" s="35" t="s">
        <v>521</v>
      </c>
      <c r="D88" s="37" t="s">
        <v>520</v>
      </c>
      <c r="E88" s="36">
        <f>Source!CA45</f>
        <v>46</v>
      </c>
      <c r="F88" s="39"/>
      <c r="G88" s="38"/>
      <c r="H88" s="36"/>
      <c r="I88" s="39">
        <f>SUM(S79:S87)</f>
        <v>1466.6</v>
      </c>
      <c r="J88" s="36">
        <f>Source!AU45</f>
        <v>46</v>
      </c>
      <c r="K88" s="39">
        <f>SUM(T79:T87)</f>
        <v>80648.06</v>
      </c>
    </row>
    <row r="89" spans="1:29" ht="14.15" x14ac:dyDescent="0.3">
      <c r="A89" s="46"/>
      <c r="B89" s="46"/>
      <c r="C89" s="46" t="s">
        <v>522</v>
      </c>
      <c r="D89" s="47" t="s">
        <v>523</v>
      </c>
      <c r="E89" s="48">
        <f>Source!AQ44</f>
        <v>0.35</v>
      </c>
      <c r="F89" s="49"/>
      <c r="G89" s="50" t="str">
        <f>Source!DI44</f>
        <v>*1,1</v>
      </c>
      <c r="H89" s="48">
        <f>Source!AV45</f>
        <v>1.0469999999999999</v>
      </c>
      <c r="I89" s="49">
        <f>Source!U44</f>
        <v>237.422955</v>
      </c>
      <c r="J89" s="48"/>
      <c r="K89" s="49"/>
    </row>
    <row r="90" spans="1:29" ht="14.15" x14ac:dyDescent="0.3">
      <c r="C90" s="51" t="s">
        <v>524</v>
      </c>
      <c r="H90" s="52">
        <f>I81+I82+I84+I87+I88+SUM(I85:I86)-SUMIF(AC85:AC86, 5, I85:I86)-SUMIF(AC85:AC86, 6, I85:I86)</f>
        <v>25268.880000000001</v>
      </c>
      <c r="I90" s="52"/>
      <c r="J90" s="52">
        <f>K81+K82+K84+K87+K88+SUM(K85:K86)-SUMIF(AC85:AC86, 5, K85:K86)-SUMIF(AC85:AC86, 6, K85:K86)</f>
        <v>589546.62</v>
      </c>
      <c r="K90" s="52"/>
    </row>
    <row r="91" spans="1:29" ht="14.15" hidden="1" x14ac:dyDescent="0.3">
      <c r="C91" s="51" t="s">
        <v>525</v>
      </c>
      <c r="H91" s="54">
        <f>SUMIF(AC85:AC86, 5, I85:I86)+SUMIF(AC85:AC86, 6, I85:I86)</f>
        <v>0</v>
      </c>
      <c r="I91" s="54"/>
      <c r="J91" s="54">
        <f>SUMIF(AC85:AC86, 5, K85:K86)+SUMIF(AC85:AC86, 6, K85:K86)</f>
        <v>0</v>
      </c>
      <c r="K91" s="54"/>
    </row>
    <row r="92" spans="1:29" ht="14.15" x14ac:dyDescent="0.3">
      <c r="C92" s="51" t="s">
        <v>526</v>
      </c>
      <c r="H92" s="54">
        <f>I81+I82+I84+I87+I88+SUM(I85:I86)</f>
        <v>25268.880000000001</v>
      </c>
      <c r="I92" s="54"/>
      <c r="J92" s="54">
        <f>K81+K82+K84+K87+K88+SUM(K85:K86)</f>
        <v>589546.62</v>
      </c>
      <c r="K92" s="54"/>
      <c r="O92" s="55">
        <f>I81+I82+I84+I87+I88+SUM(I85:I86)</f>
        <v>25268.880000000001</v>
      </c>
      <c r="P92" s="55">
        <f>K81+K82+K84+K87+K88+SUM(K85:K86)</f>
        <v>589546.62</v>
      </c>
    </row>
    <row r="94" spans="1:29" ht="78.45" x14ac:dyDescent="0.3">
      <c r="A94" s="35">
        <v>6</v>
      </c>
      <c r="B94" s="35" t="s">
        <v>531</v>
      </c>
      <c r="C94" s="35" t="s">
        <v>58</v>
      </c>
      <c r="D94" s="37" t="str">
        <f>Source!H50</f>
        <v>1  ШТ.</v>
      </c>
      <c r="E94" s="36">
        <f>Source!I50</f>
        <v>12</v>
      </c>
      <c r="F94" s="39"/>
      <c r="G94" s="38"/>
      <c r="H94" s="36"/>
      <c r="I94" s="39"/>
      <c r="J94" s="36"/>
      <c r="K94" s="39"/>
      <c r="Q94">
        <f>Source!X50</f>
        <v>263.82</v>
      </c>
      <c r="R94">
        <f>Source!X51</f>
        <v>14507.3</v>
      </c>
      <c r="S94">
        <f>Source!Y50</f>
        <v>134.84</v>
      </c>
      <c r="T94">
        <f>Source!Y51</f>
        <v>7414.84</v>
      </c>
      <c r="U94">
        <f>ROUND((175/100)*ROUND(Source!R50, 2), 2)</f>
        <v>0.25</v>
      </c>
      <c r="V94">
        <f>ROUND((0/100)*ROUND(Source!R51, 2), 2)</f>
        <v>0</v>
      </c>
      <c r="AC94">
        <v>0</v>
      </c>
    </row>
    <row r="95" spans="1:29" ht="14.15" x14ac:dyDescent="0.3">
      <c r="A95" s="35"/>
      <c r="B95" s="35"/>
      <c r="C95" s="35" t="s">
        <v>514</v>
      </c>
      <c r="D95" s="37"/>
      <c r="E95" s="36"/>
      <c r="F95" s="39">
        <f>Source!AO50</f>
        <v>21.2</v>
      </c>
      <c r="G95" s="38" t="str">
        <f>Source!DG50</f>
        <v>*1,1</v>
      </c>
      <c r="H95" s="36">
        <f>Source!AV51</f>
        <v>1.0469999999999999</v>
      </c>
      <c r="I95" s="39">
        <f>Source!S50</f>
        <v>292.99</v>
      </c>
      <c r="J95" s="36">
        <f>IF(Source!BA51&lt;&gt; 0, Source!BA51, 1)</f>
        <v>54.99</v>
      </c>
      <c r="K95" s="39">
        <f>Source!S51</f>
        <v>16111.52</v>
      </c>
    </row>
    <row r="96" spans="1:29" ht="14.15" x14ac:dyDescent="0.3">
      <c r="A96" s="35"/>
      <c r="B96" s="35"/>
      <c r="C96" s="35" t="s">
        <v>515</v>
      </c>
      <c r="D96" s="37"/>
      <c r="E96" s="36"/>
      <c r="F96" s="39">
        <f>Source!AM50</f>
        <v>0.06</v>
      </c>
      <c r="G96" s="38" t="str">
        <f>Source!DE50</f>
        <v>*1,1</v>
      </c>
      <c r="H96" s="36">
        <f>Source!AV51</f>
        <v>1.0469999999999999</v>
      </c>
      <c r="I96" s="39">
        <f>Source!Q50</f>
        <v>0.83</v>
      </c>
      <c r="J96" s="36">
        <f>IF(Source!BB51&lt;&gt; 0, Source!BB51, 1)</f>
        <v>17.5</v>
      </c>
      <c r="K96" s="39">
        <f>Source!Q51</f>
        <v>14.53</v>
      </c>
    </row>
    <row r="97" spans="1:29" ht="14.15" x14ac:dyDescent="0.3">
      <c r="A97" s="35"/>
      <c r="B97" s="35"/>
      <c r="C97" s="35" t="s">
        <v>516</v>
      </c>
      <c r="D97" s="37"/>
      <c r="E97" s="36"/>
      <c r="F97" s="39">
        <f>Source!AN50</f>
        <v>0.01</v>
      </c>
      <c r="G97" s="38" t="str">
        <f>Source!DF50</f>
        <v>*1,1</v>
      </c>
      <c r="H97" s="36">
        <f>Source!AV51</f>
        <v>1.0469999999999999</v>
      </c>
      <c r="I97" s="40">
        <f>Source!R50</f>
        <v>0.14000000000000001</v>
      </c>
      <c r="J97" s="36">
        <f>IF(Source!BS51&lt;&gt; 0, Source!BS51, 1)</f>
        <v>54.99</v>
      </c>
      <c r="K97" s="40">
        <f>Source!R51</f>
        <v>7.7</v>
      </c>
    </row>
    <row r="98" spans="1:29" ht="14.15" x14ac:dyDescent="0.3">
      <c r="A98" s="35"/>
      <c r="B98" s="35"/>
      <c r="C98" s="35" t="s">
        <v>517</v>
      </c>
      <c r="D98" s="37"/>
      <c r="E98" s="36"/>
      <c r="F98" s="39">
        <f>Source!AL50</f>
        <v>1.26</v>
      </c>
      <c r="G98" s="38" t="str">
        <f>Source!DD50</f>
        <v/>
      </c>
      <c r="H98" s="36">
        <f>Source!AW51</f>
        <v>1</v>
      </c>
      <c r="I98" s="39">
        <f>Source!P50</f>
        <v>15.12</v>
      </c>
      <c r="J98" s="36">
        <f>IF(Source!BC51&lt;&gt; 0, Source!BC51, 1)</f>
        <v>9.89</v>
      </c>
      <c r="K98" s="39">
        <f>Source!P51</f>
        <v>149.54</v>
      </c>
    </row>
    <row r="99" spans="1:29" ht="82.3" x14ac:dyDescent="0.3">
      <c r="A99" s="41" t="s">
        <v>78</v>
      </c>
      <c r="B99" s="41" t="str">
        <f>Source!F52</f>
        <v>КА 7</v>
      </c>
      <c r="C99" s="41" t="s">
        <v>536</v>
      </c>
      <c r="D99" s="42" t="str">
        <f>Source!H52</f>
        <v>шт.</v>
      </c>
      <c r="E99" s="43">
        <f>Source!I52</f>
        <v>12</v>
      </c>
      <c r="F99" s="44">
        <f>Source!AK52</f>
        <v>2479.8000000000002</v>
      </c>
      <c r="G99" s="45" t="s">
        <v>3</v>
      </c>
      <c r="H99" s="43">
        <f>Source!AW53</f>
        <v>1</v>
      </c>
      <c r="I99" s="44">
        <f>Source!O52</f>
        <v>29757.599999999999</v>
      </c>
      <c r="J99" s="43">
        <f>IF(Source!BC53&lt;&gt; 0, Source!BC53, 1)</f>
        <v>7.66</v>
      </c>
      <c r="K99" s="44">
        <f>Source!O53</f>
        <v>227943.22</v>
      </c>
      <c r="Q99">
        <f>Source!X52</f>
        <v>0</v>
      </c>
      <c r="R99">
        <f>Source!X53</f>
        <v>0</v>
      </c>
      <c r="S99">
        <f>Source!Y52</f>
        <v>0</v>
      </c>
      <c r="T99">
        <f>Source!Y53</f>
        <v>0</v>
      </c>
      <c r="U99">
        <f>ROUND((175/100)*ROUND(Source!R52, 2), 2)</f>
        <v>0</v>
      </c>
      <c r="V99">
        <f>ROUND((0/100)*ROUND(Source!R53, 2), 2)</f>
        <v>0</v>
      </c>
      <c r="AC99">
        <v>5</v>
      </c>
    </row>
    <row r="100" spans="1:29" ht="14.15" x14ac:dyDescent="0.3">
      <c r="A100" s="35"/>
      <c r="B100" s="35"/>
      <c r="C100" s="35" t="s">
        <v>519</v>
      </c>
      <c r="D100" s="37" t="s">
        <v>520</v>
      </c>
      <c r="E100" s="36">
        <f>Source!BZ51</f>
        <v>90</v>
      </c>
      <c r="F100" s="39"/>
      <c r="G100" s="38"/>
      <c r="H100" s="36"/>
      <c r="I100" s="39">
        <f>SUM(Q94:Q99)</f>
        <v>263.82</v>
      </c>
      <c r="J100" s="36">
        <f>Source!AT51</f>
        <v>90</v>
      </c>
      <c r="K100" s="39">
        <f>SUM(R94:R99)</f>
        <v>14507.3</v>
      </c>
    </row>
    <row r="101" spans="1:29" ht="14.15" x14ac:dyDescent="0.3">
      <c r="A101" s="35"/>
      <c r="B101" s="35"/>
      <c r="C101" s="35" t="s">
        <v>521</v>
      </c>
      <c r="D101" s="37" t="s">
        <v>520</v>
      </c>
      <c r="E101" s="36">
        <f>Source!CA51</f>
        <v>46</v>
      </c>
      <c r="F101" s="39"/>
      <c r="G101" s="38"/>
      <c r="H101" s="36"/>
      <c r="I101" s="39">
        <f>SUM(S94:S100)</f>
        <v>134.84</v>
      </c>
      <c r="J101" s="36">
        <f>Source!AU51</f>
        <v>46</v>
      </c>
      <c r="K101" s="39">
        <f>SUM(T94:T100)</f>
        <v>7414.84</v>
      </c>
    </row>
    <row r="102" spans="1:29" ht="14.15" x14ac:dyDescent="0.3">
      <c r="A102" s="46"/>
      <c r="B102" s="46"/>
      <c r="C102" s="46" t="s">
        <v>522</v>
      </c>
      <c r="D102" s="47" t="s">
        <v>523</v>
      </c>
      <c r="E102" s="48">
        <f>Source!AQ50</f>
        <v>1.68</v>
      </c>
      <c r="F102" s="49"/>
      <c r="G102" s="50" t="str">
        <f>Source!DI50</f>
        <v>*1,1</v>
      </c>
      <c r="H102" s="48">
        <f>Source!AV51</f>
        <v>1.0469999999999999</v>
      </c>
      <c r="I102" s="49">
        <f>Source!U50</f>
        <v>23.218271999999999</v>
      </c>
      <c r="J102" s="48"/>
      <c r="K102" s="49"/>
    </row>
    <row r="103" spans="1:29" ht="14.15" x14ac:dyDescent="0.3">
      <c r="C103" s="51" t="s">
        <v>524</v>
      </c>
      <c r="H103" s="52">
        <f>I95+I96+I98+I100+I101+SUM(I99:I99)-SUMIF(AC99:AC99, 5, I99:I99)-SUMIF(AC99:AC99, 6, I99:I99)</f>
        <v>707.59999999999854</v>
      </c>
      <c r="I103" s="52"/>
      <c r="J103" s="52">
        <f>K95+K96+K98+K100+K101+SUM(K99:K99)-SUMIF(AC99:AC99, 5, K99:K99)-SUMIF(AC99:AC99, 6, K99:K99)</f>
        <v>38197.73000000001</v>
      </c>
      <c r="K103" s="52"/>
    </row>
    <row r="104" spans="1:29" ht="14.15" x14ac:dyDescent="0.3">
      <c r="C104" s="51" t="s">
        <v>525</v>
      </c>
      <c r="H104" s="54">
        <f>SUMIF(AC99:AC99, 5, I99:I99)+SUMIF(AC99:AC99, 6, I99:I99)</f>
        <v>29757.599999999999</v>
      </c>
      <c r="I104" s="54"/>
      <c r="J104" s="54">
        <f>SUMIF(AC99:AC99, 5, K99:K99)+SUMIF(AC99:AC99, 6, K99:K99)</f>
        <v>227943.22</v>
      </c>
      <c r="K104" s="54"/>
    </row>
    <row r="105" spans="1:29" ht="14.15" x14ac:dyDescent="0.3">
      <c r="C105" s="51" t="s">
        <v>526</v>
      </c>
      <c r="H105" s="54">
        <f>I95+I96+I98+I100+I101+SUM(I99:I99)</f>
        <v>30465.199999999997</v>
      </c>
      <c r="I105" s="54"/>
      <c r="J105" s="54">
        <f>K95+K96+K98+K100+K101+SUM(K99:K99)</f>
        <v>266140.95</v>
      </c>
      <c r="K105" s="54"/>
      <c r="O105" s="55">
        <f>I95+I96+I98+I100+I101+SUM(I99:I99)</f>
        <v>30465.199999999997</v>
      </c>
      <c r="P105" s="55">
        <f>K95+K96+K98+K100+K101+SUM(K99:K99)</f>
        <v>266140.95</v>
      </c>
    </row>
    <row r="107" spans="1:29" ht="78.45" x14ac:dyDescent="0.3">
      <c r="A107" s="35">
        <v>7</v>
      </c>
      <c r="B107" s="35" t="s">
        <v>537</v>
      </c>
      <c r="C107" s="35" t="s">
        <v>84</v>
      </c>
      <c r="D107" s="37" t="str">
        <f>Source!H54</f>
        <v>1  ШТ.</v>
      </c>
      <c r="E107" s="36">
        <f>Source!I54</f>
        <v>24</v>
      </c>
      <c r="F107" s="39"/>
      <c r="G107" s="38"/>
      <c r="H107" s="36"/>
      <c r="I107" s="39"/>
      <c r="J107" s="36"/>
      <c r="K107" s="39"/>
      <c r="Q107">
        <f>Source!X54</f>
        <v>312.22000000000003</v>
      </c>
      <c r="R107">
        <f>Source!X55</f>
        <v>17168.84</v>
      </c>
      <c r="S107">
        <f>Source!Y54</f>
        <v>174.18</v>
      </c>
      <c r="T107">
        <f>Source!Y55</f>
        <v>9578.4</v>
      </c>
      <c r="U107">
        <f>ROUND((175/100)*ROUND(Source!R54, 2), 2)</f>
        <v>0</v>
      </c>
      <c r="V107">
        <f>ROUND((0/100)*ROUND(Source!R55, 2), 2)</f>
        <v>0</v>
      </c>
      <c r="AC107">
        <v>0</v>
      </c>
    </row>
    <row r="108" spans="1:29" ht="14.15" x14ac:dyDescent="0.3">
      <c r="A108" s="35"/>
      <c r="B108" s="35"/>
      <c r="C108" s="35" t="s">
        <v>514</v>
      </c>
      <c r="D108" s="37"/>
      <c r="E108" s="36"/>
      <c r="F108" s="39">
        <f>Source!AO54</f>
        <v>11.89</v>
      </c>
      <c r="G108" s="38" t="str">
        <f>Source!DG54</f>
        <v>*1,1</v>
      </c>
      <c r="H108" s="36">
        <f>Source!AV55</f>
        <v>1.0469999999999999</v>
      </c>
      <c r="I108" s="39">
        <f>Source!S54</f>
        <v>328.65</v>
      </c>
      <c r="J108" s="36">
        <f>IF(Source!BA55&lt;&gt; 0, Source!BA55, 1)</f>
        <v>54.99</v>
      </c>
      <c r="K108" s="39">
        <f>Source!S55</f>
        <v>18072.46</v>
      </c>
    </row>
    <row r="109" spans="1:29" ht="14.15" x14ac:dyDescent="0.3">
      <c r="A109" s="35"/>
      <c r="B109" s="35"/>
      <c r="C109" s="35" t="s">
        <v>517</v>
      </c>
      <c r="D109" s="37"/>
      <c r="E109" s="36"/>
      <c r="F109" s="39">
        <f>Source!AL54</f>
        <v>1.67</v>
      </c>
      <c r="G109" s="38" t="str">
        <f>Source!DD54</f>
        <v/>
      </c>
      <c r="H109" s="36">
        <f>Source!AW55</f>
        <v>1</v>
      </c>
      <c r="I109" s="39">
        <f>Source!P54</f>
        <v>40.08</v>
      </c>
      <c r="J109" s="36">
        <f>IF(Source!BC55&lt;&gt; 0, Source!BC55, 1)</f>
        <v>18.61</v>
      </c>
      <c r="K109" s="39">
        <f>Source!P55</f>
        <v>745.89</v>
      </c>
    </row>
    <row r="110" spans="1:29" ht="82.3" x14ac:dyDescent="0.3">
      <c r="A110" s="41" t="s">
        <v>88</v>
      </c>
      <c r="B110" s="41" t="str">
        <f>Source!F56</f>
        <v>КА 8</v>
      </c>
      <c r="C110" s="41" t="s">
        <v>538</v>
      </c>
      <c r="D110" s="42" t="str">
        <f>Source!H56</f>
        <v>шт.</v>
      </c>
      <c r="E110" s="43">
        <f>Source!I56</f>
        <v>24</v>
      </c>
      <c r="F110" s="44">
        <f>Source!AK56</f>
        <v>140.95999999999998</v>
      </c>
      <c r="G110" s="45" t="s">
        <v>3</v>
      </c>
      <c r="H110" s="43">
        <f>Source!AW57</f>
        <v>1</v>
      </c>
      <c r="I110" s="44">
        <f>Source!O56</f>
        <v>3383.04</v>
      </c>
      <c r="J110" s="43">
        <f>IF(Source!BC57&lt;&gt; 0, Source!BC57, 1)</f>
        <v>7.66</v>
      </c>
      <c r="K110" s="44">
        <f>Source!O57</f>
        <v>25914.09</v>
      </c>
      <c r="Q110">
        <f>Source!X56</f>
        <v>0</v>
      </c>
      <c r="R110">
        <f>Source!X57</f>
        <v>0</v>
      </c>
      <c r="S110">
        <f>Source!Y56</f>
        <v>0</v>
      </c>
      <c r="T110">
        <f>Source!Y57</f>
        <v>0</v>
      </c>
      <c r="U110">
        <f>ROUND((175/100)*ROUND(Source!R56, 2), 2)</f>
        <v>0</v>
      </c>
      <c r="V110">
        <f>ROUND((0/100)*ROUND(Source!R57, 2), 2)</f>
        <v>0</v>
      </c>
      <c r="AC110">
        <v>5</v>
      </c>
    </row>
    <row r="111" spans="1:29" ht="14.15" x14ac:dyDescent="0.3">
      <c r="A111" s="35"/>
      <c r="B111" s="35"/>
      <c r="C111" s="35" t="s">
        <v>519</v>
      </c>
      <c r="D111" s="37" t="s">
        <v>520</v>
      </c>
      <c r="E111" s="36">
        <f>Source!BZ55</f>
        <v>95</v>
      </c>
      <c r="F111" s="39"/>
      <c r="G111" s="38"/>
      <c r="H111" s="36"/>
      <c r="I111" s="39">
        <f>SUM(Q107:Q110)</f>
        <v>312.22000000000003</v>
      </c>
      <c r="J111" s="36">
        <f>Source!AT55</f>
        <v>95</v>
      </c>
      <c r="K111" s="39">
        <f>SUM(R107:R110)</f>
        <v>17168.84</v>
      </c>
    </row>
    <row r="112" spans="1:29" ht="14.15" x14ac:dyDescent="0.3">
      <c r="A112" s="35"/>
      <c r="B112" s="35"/>
      <c r="C112" s="35" t="s">
        <v>521</v>
      </c>
      <c r="D112" s="37" t="s">
        <v>520</v>
      </c>
      <c r="E112" s="36">
        <f>Source!CA55</f>
        <v>53</v>
      </c>
      <c r="F112" s="39"/>
      <c r="G112" s="38"/>
      <c r="H112" s="36"/>
      <c r="I112" s="39">
        <f>SUM(S107:S111)</f>
        <v>174.18</v>
      </c>
      <c r="J112" s="36">
        <f>Source!AU55</f>
        <v>53</v>
      </c>
      <c r="K112" s="39">
        <f>SUM(T107:T111)</f>
        <v>9578.4</v>
      </c>
    </row>
    <row r="113" spans="1:29" ht="14.15" x14ac:dyDescent="0.3">
      <c r="A113" s="46"/>
      <c r="B113" s="46"/>
      <c r="C113" s="46" t="s">
        <v>522</v>
      </c>
      <c r="D113" s="47" t="s">
        <v>523</v>
      </c>
      <c r="E113" s="48">
        <f>Source!AQ54</f>
        <v>1</v>
      </c>
      <c r="F113" s="49"/>
      <c r="G113" s="50" t="str">
        <f>Source!DI54</f>
        <v>*1,1</v>
      </c>
      <c r="H113" s="48">
        <f>Source!AV55</f>
        <v>1.0469999999999999</v>
      </c>
      <c r="I113" s="49">
        <f>Source!U54</f>
        <v>27.640799999999999</v>
      </c>
      <c r="J113" s="48"/>
      <c r="K113" s="49"/>
    </row>
    <row r="114" spans="1:29" ht="14.15" x14ac:dyDescent="0.3">
      <c r="C114" s="51" t="s">
        <v>524</v>
      </c>
      <c r="H114" s="52">
        <f>I108+I109+I111+I112+SUM(I110:I110)-SUMIF(AC110:AC110, 5, I110:I110)-SUMIF(AC110:AC110, 6, I110:I110)</f>
        <v>855.13000000000011</v>
      </c>
      <c r="I114" s="52"/>
      <c r="J114" s="52">
        <f>K108+K109+K111+K112+SUM(K110:K110)-SUMIF(AC110:AC110, 5, K110:K110)-SUMIF(AC110:AC110, 6, K110:K110)</f>
        <v>45565.590000000011</v>
      </c>
      <c r="K114" s="52"/>
    </row>
    <row r="115" spans="1:29" ht="14.15" x14ac:dyDescent="0.3">
      <c r="C115" s="51" t="s">
        <v>525</v>
      </c>
      <c r="H115" s="54">
        <f>SUMIF(AC110:AC110, 5, I110:I110)+SUMIF(AC110:AC110, 6, I110:I110)</f>
        <v>3383.04</v>
      </c>
      <c r="I115" s="54"/>
      <c r="J115" s="54">
        <f>SUMIF(AC110:AC110, 5, K110:K110)+SUMIF(AC110:AC110, 6, K110:K110)</f>
        <v>25914.09</v>
      </c>
      <c r="K115" s="54"/>
    </row>
    <row r="116" spans="1:29" ht="14.15" x14ac:dyDescent="0.3">
      <c r="C116" s="51" t="s">
        <v>526</v>
      </c>
      <c r="H116" s="54">
        <f>I108+I109+I111+I112+SUM(I110:I110)</f>
        <v>4238.17</v>
      </c>
      <c r="I116" s="54"/>
      <c r="J116" s="54">
        <f>K108+K109+K111+K112+SUM(K110:K110)</f>
        <v>71479.680000000008</v>
      </c>
      <c r="K116" s="54"/>
      <c r="O116" s="55">
        <f>I108+I109+I111+I112+SUM(I110:I110)</f>
        <v>4238.17</v>
      </c>
      <c r="P116" s="55">
        <f>K108+K109+K111+K112+SUM(K110:K110)</f>
        <v>71479.680000000008</v>
      </c>
    </row>
    <row r="118" spans="1:29" ht="78.45" x14ac:dyDescent="0.3">
      <c r="A118" s="35">
        <v>8</v>
      </c>
      <c r="B118" s="35" t="s">
        <v>539</v>
      </c>
      <c r="C118" s="35" t="s">
        <v>94</v>
      </c>
      <c r="D118" s="37" t="str">
        <f>Source!H58</f>
        <v>1  ШТ.</v>
      </c>
      <c r="E118" s="36">
        <f>Source!I58</f>
        <v>5</v>
      </c>
      <c r="F118" s="39"/>
      <c r="G118" s="38"/>
      <c r="H118" s="36"/>
      <c r="I118" s="39"/>
      <c r="J118" s="36"/>
      <c r="K118" s="39"/>
      <c r="Q118">
        <f>Source!X58</f>
        <v>54.94</v>
      </c>
      <c r="R118">
        <f>Source!X59</f>
        <v>3020.93</v>
      </c>
      <c r="S118">
        <f>Source!Y58</f>
        <v>28.08</v>
      </c>
      <c r="T118">
        <f>Source!Y59</f>
        <v>1544.03</v>
      </c>
      <c r="U118">
        <f>ROUND((175/100)*ROUND(Source!R58, 2), 2)</f>
        <v>0</v>
      </c>
      <c r="V118">
        <f>ROUND((0/100)*ROUND(Source!R59, 2), 2)</f>
        <v>0</v>
      </c>
      <c r="AC118">
        <v>0</v>
      </c>
    </row>
    <row r="119" spans="1:29" ht="14.15" x14ac:dyDescent="0.3">
      <c r="A119" s="35"/>
      <c r="B119" s="35"/>
      <c r="C119" s="35" t="s">
        <v>514</v>
      </c>
      <c r="D119" s="37"/>
      <c r="E119" s="36"/>
      <c r="F119" s="39">
        <f>Source!AO58</f>
        <v>10.6</v>
      </c>
      <c r="G119" s="38" t="str">
        <f>Source!DG58</f>
        <v>*1,1</v>
      </c>
      <c r="H119" s="36">
        <f>Source!AV59</f>
        <v>1.0469999999999999</v>
      </c>
      <c r="I119" s="39">
        <f>Source!S58</f>
        <v>61.04</v>
      </c>
      <c r="J119" s="36">
        <f>IF(Source!BA59&lt;&gt; 0, Source!BA59, 1)</f>
        <v>54.99</v>
      </c>
      <c r="K119" s="39">
        <f>Source!S59</f>
        <v>3356.59</v>
      </c>
    </row>
    <row r="120" spans="1:29" ht="14.15" x14ac:dyDescent="0.3">
      <c r="A120" s="35"/>
      <c r="B120" s="35"/>
      <c r="C120" s="35" t="s">
        <v>515</v>
      </c>
      <c r="D120" s="37"/>
      <c r="E120" s="36"/>
      <c r="F120" s="39">
        <f>Source!AM58</f>
        <v>0.03</v>
      </c>
      <c r="G120" s="38" t="str">
        <f>Source!DE58</f>
        <v>*1,1</v>
      </c>
      <c r="H120" s="36">
        <f>Source!AV59</f>
        <v>1.0469999999999999</v>
      </c>
      <c r="I120" s="39">
        <f>Source!Q58</f>
        <v>0.17</v>
      </c>
      <c r="J120" s="36">
        <f>IF(Source!BB59&lt;&gt; 0, Source!BB59, 1)</f>
        <v>10</v>
      </c>
      <c r="K120" s="39">
        <f>Source!Q59</f>
        <v>1.7</v>
      </c>
    </row>
    <row r="121" spans="1:29" ht="14.15" x14ac:dyDescent="0.3">
      <c r="A121" s="35"/>
      <c r="B121" s="35"/>
      <c r="C121" s="35" t="s">
        <v>517</v>
      </c>
      <c r="D121" s="37"/>
      <c r="E121" s="36"/>
      <c r="F121" s="39">
        <f>Source!AL58</f>
        <v>0.56000000000000005</v>
      </c>
      <c r="G121" s="38" t="str">
        <f>Source!DD58</f>
        <v/>
      </c>
      <c r="H121" s="36">
        <f>Source!AW59</f>
        <v>1</v>
      </c>
      <c r="I121" s="39">
        <f>Source!P58</f>
        <v>2.8</v>
      </c>
      <c r="J121" s="36">
        <f>IF(Source!BC59&lt;&gt; 0, Source!BC59, 1)</f>
        <v>9.89</v>
      </c>
      <c r="K121" s="39">
        <f>Source!P59</f>
        <v>27.69</v>
      </c>
    </row>
    <row r="122" spans="1:29" ht="68.150000000000006" x14ac:dyDescent="0.3">
      <c r="A122" s="41" t="s">
        <v>96</v>
      </c>
      <c r="B122" s="41" t="str">
        <f>Source!F60</f>
        <v>КА 9</v>
      </c>
      <c r="C122" s="41" t="s">
        <v>540</v>
      </c>
      <c r="D122" s="42" t="str">
        <f>Source!H60</f>
        <v>шт.</v>
      </c>
      <c r="E122" s="43">
        <f>Source!I60</f>
        <v>5</v>
      </c>
      <c r="F122" s="44">
        <f>Source!AK60</f>
        <v>170.55</v>
      </c>
      <c r="G122" s="45" t="s">
        <v>3</v>
      </c>
      <c r="H122" s="43">
        <f>Source!AW61</f>
        <v>1</v>
      </c>
      <c r="I122" s="44">
        <f>Source!O60</f>
        <v>852.75</v>
      </c>
      <c r="J122" s="43">
        <f>IF(Source!BC61&lt;&gt; 0, Source!BC61, 1)</f>
        <v>7.66</v>
      </c>
      <c r="K122" s="44">
        <f>Source!O61</f>
        <v>6532.07</v>
      </c>
      <c r="Q122">
        <f>Source!X60</f>
        <v>0</v>
      </c>
      <c r="R122">
        <f>Source!X61</f>
        <v>0</v>
      </c>
      <c r="S122">
        <f>Source!Y60</f>
        <v>0</v>
      </c>
      <c r="T122">
        <f>Source!Y61</f>
        <v>0</v>
      </c>
      <c r="U122">
        <f>ROUND((175/100)*ROUND(Source!R60, 2), 2)</f>
        <v>0</v>
      </c>
      <c r="V122">
        <f>ROUND((0/100)*ROUND(Source!R61, 2), 2)</f>
        <v>0</v>
      </c>
      <c r="AC122">
        <v>5</v>
      </c>
    </row>
    <row r="123" spans="1:29" ht="14.15" x14ac:dyDescent="0.3">
      <c r="A123" s="35"/>
      <c r="B123" s="35"/>
      <c r="C123" s="35" t="s">
        <v>519</v>
      </c>
      <c r="D123" s="37" t="s">
        <v>520</v>
      </c>
      <c r="E123" s="36">
        <f>Source!BZ59</f>
        <v>90</v>
      </c>
      <c r="F123" s="39"/>
      <c r="G123" s="38"/>
      <c r="H123" s="36"/>
      <c r="I123" s="39">
        <f>SUM(Q118:Q122)</f>
        <v>54.94</v>
      </c>
      <c r="J123" s="36">
        <f>Source!AT59</f>
        <v>90</v>
      </c>
      <c r="K123" s="39">
        <f>SUM(R118:R122)</f>
        <v>3020.93</v>
      </c>
    </row>
    <row r="124" spans="1:29" ht="14.15" x14ac:dyDescent="0.3">
      <c r="A124" s="35"/>
      <c r="B124" s="35"/>
      <c r="C124" s="35" t="s">
        <v>521</v>
      </c>
      <c r="D124" s="37" t="s">
        <v>520</v>
      </c>
      <c r="E124" s="36">
        <f>Source!CA59</f>
        <v>46</v>
      </c>
      <c r="F124" s="39"/>
      <c r="G124" s="38"/>
      <c r="H124" s="36"/>
      <c r="I124" s="39">
        <f>SUM(S118:S123)</f>
        <v>28.08</v>
      </c>
      <c r="J124" s="36">
        <f>Source!AU59</f>
        <v>46</v>
      </c>
      <c r="K124" s="39">
        <f>SUM(T118:T123)</f>
        <v>1544.03</v>
      </c>
    </row>
    <row r="125" spans="1:29" ht="14.15" x14ac:dyDescent="0.3">
      <c r="A125" s="46"/>
      <c r="B125" s="46"/>
      <c r="C125" s="46" t="s">
        <v>522</v>
      </c>
      <c r="D125" s="47" t="s">
        <v>523</v>
      </c>
      <c r="E125" s="48">
        <f>Source!AQ58</f>
        <v>0.84</v>
      </c>
      <c r="F125" s="49"/>
      <c r="G125" s="50" t="str">
        <f>Source!DI58</f>
        <v>*1,1</v>
      </c>
      <c r="H125" s="48">
        <f>Source!AV59</f>
        <v>1.0469999999999999</v>
      </c>
      <c r="I125" s="49">
        <f>Source!U58</f>
        <v>4.8371399999999998</v>
      </c>
      <c r="J125" s="48"/>
      <c r="K125" s="49"/>
    </row>
    <row r="126" spans="1:29" ht="14.15" x14ac:dyDescent="0.3">
      <c r="C126" s="51" t="s">
        <v>524</v>
      </c>
      <c r="H126" s="52">
        <f>I119+I120+I121+I123+I124+SUM(I122:I122)-SUMIF(AC122:AC122, 5, I122:I122)-SUMIF(AC122:AC122, 6, I122:I122)</f>
        <v>147.02999999999997</v>
      </c>
      <c r="I126" s="52"/>
      <c r="J126" s="52">
        <f>K119+K120+K121+K123+K124+SUM(K122:K122)-SUMIF(AC122:AC122, 5, K122:K122)-SUMIF(AC122:AC122, 6, K122:K122)</f>
        <v>7950.9399999999987</v>
      </c>
      <c r="K126" s="52"/>
    </row>
    <row r="127" spans="1:29" ht="14.15" x14ac:dyDescent="0.3">
      <c r="C127" s="51" t="s">
        <v>525</v>
      </c>
      <c r="H127" s="54">
        <f>SUMIF(AC122:AC122, 5, I122:I122)+SUMIF(AC122:AC122, 6, I122:I122)</f>
        <v>852.75</v>
      </c>
      <c r="I127" s="54"/>
      <c r="J127" s="54">
        <f>SUMIF(AC122:AC122, 5, K122:K122)+SUMIF(AC122:AC122, 6, K122:K122)</f>
        <v>6532.07</v>
      </c>
      <c r="K127" s="54"/>
    </row>
    <row r="128" spans="1:29" ht="14.15" x14ac:dyDescent="0.3">
      <c r="C128" s="51" t="s">
        <v>526</v>
      </c>
      <c r="H128" s="54">
        <f>I119+I120+I121+I123+I124+SUM(I122:I122)</f>
        <v>999.78</v>
      </c>
      <c r="I128" s="54"/>
      <c r="J128" s="54">
        <f>K119+K120+K121+K123+K124+SUM(K122:K122)</f>
        <v>14483.009999999998</v>
      </c>
      <c r="K128" s="54"/>
      <c r="O128" s="55">
        <f>I119+I120+I121+I123+I124+SUM(I122:I122)</f>
        <v>999.78</v>
      </c>
      <c r="P128" s="55">
        <f>K119+K120+K121+K123+K124+SUM(K122:K122)</f>
        <v>14483.009999999998</v>
      </c>
    </row>
    <row r="130" spans="1:29" ht="78.45" x14ac:dyDescent="0.3">
      <c r="A130" s="35">
        <v>9</v>
      </c>
      <c r="B130" s="35" t="s">
        <v>541</v>
      </c>
      <c r="C130" s="35" t="s">
        <v>102</v>
      </c>
      <c r="D130" s="37" t="str">
        <f>Source!H62</f>
        <v>1  ШТ.</v>
      </c>
      <c r="E130" s="36">
        <f>Source!I62</f>
        <v>89</v>
      </c>
      <c r="F130" s="39"/>
      <c r="G130" s="38"/>
      <c r="H130" s="36"/>
      <c r="I130" s="39"/>
      <c r="J130" s="36"/>
      <c r="K130" s="39"/>
      <c r="Q130">
        <f>Source!X62</f>
        <v>2585.08</v>
      </c>
      <c r="R130">
        <f>Source!X63</f>
        <v>142153.5</v>
      </c>
      <c r="S130">
        <f>Source!Y62</f>
        <v>1359.17</v>
      </c>
      <c r="T130">
        <f>Source!Y63</f>
        <v>74740.5</v>
      </c>
      <c r="U130">
        <f>ROUND((175/100)*ROUND(Source!R62, 2), 2)</f>
        <v>0</v>
      </c>
      <c r="V130">
        <f>ROUND((0/100)*ROUND(Source!R63, 2), 2)</f>
        <v>0</v>
      </c>
      <c r="AC130">
        <v>0</v>
      </c>
    </row>
    <row r="131" spans="1:29" ht="14.15" x14ac:dyDescent="0.3">
      <c r="A131" s="35"/>
      <c r="B131" s="35"/>
      <c r="C131" s="35" t="s">
        <v>514</v>
      </c>
      <c r="D131" s="37"/>
      <c r="E131" s="36"/>
      <c r="F131" s="39">
        <f>Source!AO62</f>
        <v>26</v>
      </c>
      <c r="G131" s="38" t="str">
        <f>Source!DG62</f>
        <v>*1,1</v>
      </c>
      <c r="H131" s="36">
        <f>Source!AV63</f>
        <v>1.0469999999999999</v>
      </c>
      <c r="I131" s="39">
        <f>Source!S62</f>
        <v>2665.03</v>
      </c>
      <c r="J131" s="36">
        <f>IF(Source!BA63&lt;&gt; 0, Source!BA63, 1)</f>
        <v>54.99</v>
      </c>
      <c r="K131" s="39">
        <f>Source!S63</f>
        <v>146550</v>
      </c>
    </row>
    <row r="132" spans="1:29" ht="14.15" x14ac:dyDescent="0.3">
      <c r="A132" s="35"/>
      <c r="B132" s="35"/>
      <c r="C132" s="35" t="s">
        <v>517</v>
      </c>
      <c r="D132" s="37"/>
      <c r="E132" s="36"/>
      <c r="F132" s="39">
        <f>Source!AL62</f>
        <v>28.45</v>
      </c>
      <c r="G132" s="38" t="str">
        <f>Source!DD62</f>
        <v/>
      </c>
      <c r="H132" s="36">
        <f>Source!AW63</f>
        <v>1</v>
      </c>
      <c r="I132" s="39">
        <f>Source!P62</f>
        <v>2532.0500000000002</v>
      </c>
      <c r="J132" s="36">
        <f>IF(Source!BC63&lt;&gt; 0, Source!BC63, 1)</f>
        <v>7.05</v>
      </c>
      <c r="K132" s="39">
        <f>Source!P63</f>
        <v>17850.95</v>
      </c>
    </row>
    <row r="133" spans="1:29" ht="54" x14ac:dyDescent="0.3">
      <c r="A133" s="41" t="s">
        <v>106</v>
      </c>
      <c r="B133" s="41" t="str">
        <f>Source!F64</f>
        <v>КА 10</v>
      </c>
      <c r="C133" s="41" t="s">
        <v>542</v>
      </c>
      <c r="D133" s="42" t="str">
        <f>Source!H64</f>
        <v>шт.</v>
      </c>
      <c r="E133" s="43">
        <f>Source!I64</f>
        <v>89</v>
      </c>
      <c r="F133" s="44">
        <f>Source!AK64</f>
        <v>77.23</v>
      </c>
      <c r="G133" s="45" t="s">
        <v>3</v>
      </c>
      <c r="H133" s="43">
        <f>Source!AW65</f>
        <v>1</v>
      </c>
      <c r="I133" s="44">
        <f>Source!O64</f>
        <v>6873.47</v>
      </c>
      <c r="J133" s="43">
        <f>IF(Source!BC65&lt;&gt; 0, Source!BC65, 1)</f>
        <v>7.66</v>
      </c>
      <c r="K133" s="44">
        <f>Source!O65</f>
        <v>52650.78</v>
      </c>
      <c r="Q133">
        <f>Source!X64</f>
        <v>0</v>
      </c>
      <c r="R133">
        <f>Source!X65</f>
        <v>0</v>
      </c>
      <c r="S133">
        <f>Source!Y64</f>
        <v>0</v>
      </c>
      <c r="T133">
        <f>Source!Y65</f>
        <v>0</v>
      </c>
      <c r="U133">
        <f>ROUND((175/100)*ROUND(Source!R64, 2), 2)</f>
        <v>0</v>
      </c>
      <c r="V133">
        <f>ROUND((0/100)*ROUND(Source!R65, 2), 2)</f>
        <v>0</v>
      </c>
      <c r="AC133">
        <v>5</v>
      </c>
    </row>
    <row r="134" spans="1:29" ht="14.15" x14ac:dyDescent="0.3">
      <c r="A134" s="35"/>
      <c r="B134" s="35"/>
      <c r="C134" s="35" t="s">
        <v>519</v>
      </c>
      <c r="D134" s="37" t="s">
        <v>520</v>
      </c>
      <c r="E134" s="36">
        <f>Source!BZ63</f>
        <v>97</v>
      </c>
      <c r="F134" s="39"/>
      <c r="G134" s="38"/>
      <c r="H134" s="36"/>
      <c r="I134" s="39">
        <f>SUM(Q130:Q133)</f>
        <v>2585.08</v>
      </c>
      <c r="J134" s="36">
        <f>Source!AT63</f>
        <v>97</v>
      </c>
      <c r="K134" s="39">
        <f>SUM(R130:R133)</f>
        <v>142153.5</v>
      </c>
    </row>
    <row r="135" spans="1:29" ht="14.15" x14ac:dyDescent="0.3">
      <c r="A135" s="35"/>
      <c r="B135" s="35"/>
      <c r="C135" s="35" t="s">
        <v>521</v>
      </c>
      <c r="D135" s="37" t="s">
        <v>520</v>
      </c>
      <c r="E135" s="36">
        <f>Source!CA63</f>
        <v>51</v>
      </c>
      <c r="F135" s="39"/>
      <c r="G135" s="38"/>
      <c r="H135" s="36"/>
      <c r="I135" s="39">
        <f>SUM(S130:S134)</f>
        <v>1359.17</v>
      </c>
      <c r="J135" s="36">
        <f>Source!AU63</f>
        <v>51</v>
      </c>
      <c r="K135" s="39">
        <f>SUM(T130:T134)</f>
        <v>74740.5</v>
      </c>
    </row>
    <row r="136" spans="1:29" ht="14.15" x14ac:dyDescent="0.3">
      <c r="A136" s="46"/>
      <c r="B136" s="46"/>
      <c r="C136" s="46" t="s">
        <v>522</v>
      </c>
      <c r="D136" s="47" t="s">
        <v>523</v>
      </c>
      <c r="E136" s="48">
        <f>Source!AQ62</f>
        <v>2.06</v>
      </c>
      <c r="F136" s="49"/>
      <c r="G136" s="50" t="str">
        <f>Source!DI62</f>
        <v>*1,1</v>
      </c>
      <c r="H136" s="48">
        <f>Source!AV63</f>
        <v>1.0469999999999999</v>
      </c>
      <c r="I136" s="49">
        <f>Source!U62</f>
        <v>211.15267800000004</v>
      </c>
      <c r="J136" s="48"/>
      <c r="K136" s="49"/>
    </row>
    <row r="137" spans="1:29" ht="14.15" x14ac:dyDescent="0.3">
      <c r="C137" s="51" t="s">
        <v>524</v>
      </c>
      <c r="H137" s="52">
        <f>I131+I132+I134+I135+SUM(I133:I133)-SUMIF(AC133:AC133, 5, I133:I133)-SUMIF(AC133:AC133, 6, I133:I133)</f>
        <v>9141.3299999999981</v>
      </c>
      <c r="I137" s="52"/>
      <c r="J137" s="52">
        <f>K131+K132+K134+K135+SUM(K133:K133)-SUMIF(AC133:AC133, 5, K133:K133)-SUMIF(AC133:AC133, 6, K133:K133)</f>
        <v>381294.94999999995</v>
      </c>
      <c r="K137" s="52"/>
    </row>
    <row r="138" spans="1:29" ht="14.15" x14ac:dyDescent="0.3">
      <c r="C138" s="51" t="s">
        <v>525</v>
      </c>
      <c r="H138" s="54">
        <f>SUMIF(AC133:AC133, 5, I133:I133)+SUMIF(AC133:AC133, 6, I133:I133)</f>
        <v>6873.47</v>
      </c>
      <c r="I138" s="54"/>
      <c r="J138" s="54">
        <f>SUMIF(AC133:AC133, 5, K133:K133)+SUMIF(AC133:AC133, 6, K133:K133)</f>
        <v>52650.78</v>
      </c>
      <c r="K138" s="54"/>
    </row>
    <row r="139" spans="1:29" ht="14.15" x14ac:dyDescent="0.3">
      <c r="C139" s="51" t="s">
        <v>526</v>
      </c>
      <c r="H139" s="54">
        <f>I131+I132+I134+I135+SUM(I133:I133)</f>
        <v>16014.8</v>
      </c>
      <c r="I139" s="54"/>
      <c r="J139" s="54">
        <f>K131+K132+K134+K135+SUM(K133:K133)</f>
        <v>433945.73</v>
      </c>
      <c r="K139" s="54"/>
      <c r="O139" s="55">
        <f>I131+I132+I134+I135+SUM(I133:I133)</f>
        <v>16014.8</v>
      </c>
      <c r="P139" s="55">
        <f>K131+K132+K134+K135+SUM(K133:K133)</f>
        <v>433945.73</v>
      </c>
    </row>
    <row r="141" spans="1:29" ht="78.45" x14ac:dyDescent="0.3">
      <c r="A141" s="35">
        <v>10</v>
      </c>
      <c r="B141" s="35" t="s">
        <v>531</v>
      </c>
      <c r="C141" s="35" t="s">
        <v>58</v>
      </c>
      <c r="D141" s="37" t="str">
        <f>Source!H66</f>
        <v>1  ШТ.</v>
      </c>
      <c r="E141" s="36">
        <f>Source!I66</f>
        <v>104</v>
      </c>
      <c r="F141" s="39"/>
      <c r="G141" s="38"/>
      <c r="H141" s="36"/>
      <c r="I141" s="39"/>
      <c r="J141" s="36"/>
      <c r="K141" s="39"/>
      <c r="Q141">
        <f>Source!X66</f>
        <v>2286.42</v>
      </c>
      <c r="R141">
        <f>Source!X67</f>
        <v>125730.41</v>
      </c>
      <c r="S141">
        <f>Source!Y66</f>
        <v>1168.6199999999999</v>
      </c>
      <c r="T141">
        <f>Source!Y67</f>
        <v>64262.21</v>
      </c>
      <c r="U141">
        <f>ROUND((175/100)*ROUND(Source!R66, 2), 2)</f>
        <v>2.1</v>
      </c>
      <c r="V141">
        <f>ROUND((0/100)*ROUND(Source!R67, 2), 2)</f>
        <v>0</v>
      </c>
      <c r="AC141">
        <v>0</v>
      </c>
    </row>
    <row r="142" spans="1:29" x14ac:dyDescent="0.3">
      <c r="C142" s="56" t="str">
        <f>"Объем: "&amp;Source!I66&amp;"=78+"&amp;"1+"&amp;"25"</f>
        <v>Объем: 104=78+1+25</v>
      </c>
    </row>
    <row r="143" spans="1:29" ht="14.15" x14ac:dyDescent="0.3">
      <c r="A143" s="35"/>
      <c r="B143" s="35"/>
      <c r="C143" s="35" t="s">
        <v>514</v>
      </c>
      <c r="D143" s="37"/>
      <c r="E143" s="36"/>
      <c r="F143" s="39">
        <f>Source!AO66</f>
        <v>21.2</v>
      </c>
      <c r="G143" s="38" t="str">
        <f>Source!DG66</f>
        <v>*1,1</v>
      </c>
      <c r="H143" s="36">
        <f>Source!AV67</f>
        <v>1.0469999999999999</v>
      </c>
      <c r="I143" s="39">
        <f>Source!S66</f>
        <v>2539.27</v>
      </c>
      <c r="J143" s="36">
        <f>IF(Source!BA67&lt;&gt; 0, Source!BA67, 1)</f>
        <v>54.99</v>
      </c>
      <c r="K143" s="39">
        <f>Source!S67</f>
        <v>139634.46</v>
      </c>
    </row>
    <row r="144" spans="1:29" ht="14.15" x14ac:dyDescent="0.3">
      <c r="A144" s="35"/>
      <c r="B144" s="35"/>
      <c r="C144" s="35" t="s">
        <v>515</v>
      </c>
      <c r="D144" s="37"/>
      <c r="E144" s="36"/>
      <c r="F144" s="39">
        <f>Source!AM66</f>
        <v>0.06</v>
      </c>
      <c r="G144" s="38" t="str">
        <f>Source!DE66</f>
        <v>*1,1</v>
      </c>
      <c r="H144" s="36">
        <f>Source!AV67</f>
        <v>1.0469999999999999</v>
      </c>
      <c r="I144" s="39">
        <f>Source!Q66</f>
        <v>7.19</v>
      </c>
      <c r="J144" s="36">
        <f>IF(Source!BB67&lt;&gt; 0, Source!BB67, 1)</f>
        <v>17.5</v>
      </c>
      <c r="K144" s="39">
        <f>Source!Q67</f>
        <v>125.83</v>
      </c>
    </row>
    <row r="145" spans="1:29" ht="14.15" x14ac:dyDescent="0.3">
      <c r="A145" s="35"/>
      <c r="B145" s="35"/>
      <c r="C145" s="35" t="s">
        <v>516</v>
      </c>
      <c r="D145" s="37"/>
      <c r="E145" s="36"/>
      <c r="F145" s="39">
        <f>Source!AN66</f>
        <v>0.01</v>
      </c>
      <c r="G145" s="38" t="str">
        <f>Source!DF66</f>
        <v>*1,1</v>
      </c>
      <c r="H145" s="36">
        <f>Source!AV67</f>
        <v>1.0469999999999999</v>
      </c>
      <c r="I145" s="40">
        <f>Source!R66</f>
        <v>1.2</v>
      </c>
      <c r="J145" s="36">
        <f>IF(Source!BS67&lt;&gt; 0, Source!BS67, 1)</f>
        <v>54.99</v>
      </c>
      <c r="K145" s="40">
        <f>Source!R67</f>
        <v>65.989999999999995</v>
      </c>
    </row>
    <row r="146" spans="1:29" ht="14.15" x14ac:dyDescent="0.3">
      <c r="A146" s="35"/>
      <c r="B146" s="35"/>
      <c r="C146" s="35" t="s">
        <v>517</v>
      </c>
      <c r="D146" s="37"/>
      <c r="E146" s="36"/>
      <c r="F146" s="39">
        <f>Source!AL66</f>
        <v>1.26</v>
      </c>
      <c r="G146" s="38" t="str">
        <f>Source!DD66</f>
        <v/>
      </c>
      <c r="H146" s="36">
        <f>Source!AW67</f>
        <v>1</v>
      </c>
      <c r="I146" s="39">
        <f>Source!P66</f>
        <v>131.04</v>
      </c>
      <c r="J146" s="36">
        <f>IF(Source!BC67&lt;&gt; 0, Source!BC67, 1)</f>
        <v>9.89</v>
      </c>
      <c r="K146" s="39">
        <f>Source!P67</f>
        <v>1295.99</v>
      </c>
    </row>
    <row r="147" spans="1:29" ht="82.3" x14ac:dyDescent="0.3">
      <c r="A147" s="41" t="s">
        <v>111</v>
      </c>
      <c r="B147" s="41" t="str">
        <f>Source!F68</f>
        <v>КА 11</v>
      </c>
      <c r="C147" s="41" t="s">
        <v>543</v>
      </c>
      <c r="D147" s="42" t="str">
        <f>Source!H68</f>
        <v>шт.</v>
      </c>
      <c r="E147" s="43">
        <f>Source!I68</f>
        <v>78</v>
      </c>
      <c r="F147" s="44">
        <f>Source!AK68</f>
        <v>182.90999999999997</v>
      </c>
      <c r="G147" s="45" t="s">
        <v>3</v>
      </c>
      <c r="H147" s="43">
        <f>Source!AW69</f>
        <v>1</v>
      </c>
      <c r="I147" s="44">
        <f>Source!O68</f>
        <v>14266.98</v>
      </c>
      <c r="J147" s="43">
        <f>IF(Source!BC69&lt;&gt; 0, Source!BC69, 1)</f>
        <v>7.66</v>
      </c>
      <c r="K147" s="44">
        <f>Source!O69</f>
        <v>109285.07</v>
      </c>
      <c r="Q147">
        <f>Source!X68</f>
        <v>0</v>
      </c>
      <c r="R147">
        <f>Source!X69</f>
        <v>0</v>
      </c>
      <c r="S147">
        <f>Source!Y68</f>
        <v>0</v>
      </c>
      <c r="T147">
        <f>Source!Y69</f>
        <v>0</v>
      </c>
      <c r="U147">
        <f>ROUND((175/100)*ROUND(Source!R68, 2), 2)</f>
        <v>0</v>
      </c>
      <c r="V147">
        <f>ROUND((0/100)*ROUND(Source!R69, 2), 2)</f>
        <v>0</v>
      </c>
      <c r="AC147">
        <v>5</v>
      </c>
    </row>
    <row r="148" spans="1:29" ht="82.3" x14ac:dyDescent="0.3">
      <c r="A148" s="41" t="s">
        <v>115</v>
      </c>
      <c r="B148" s="41" t="str">
        <f>Source!F70</f>
        <v>КА 12</v>
      </c>
      <c r="C148" s="41" t="s">
        <v>544</v>
      </c>
      <c r="D148" s="42" t="str">
        <f>Source!H70</f>
        <v>шт.</v>
      </c>
      <c r="E148" s="43">
        <f>Source!I70</f>
        <v>1</v>
      </c>
      <c r="F148" s="44">
        <f>Source!AK70</f>
        <v>157.29</v>
      </c>
      <c r="G148" s="45" t="s">
        <v>3</v>
      </c>
      <c r="H148" s="43">
        <f>Source!AW71</f>
        <v>1</v>
      </c>
      <c r="I148" s="44">
        <f>Source!O70</f>
        <v>157.29</v>
      </c>
      <c r="J148" s="43">
        <f>IF(Source!BC71&lt;&gt; 0, Source!BC71, 1)</f>
        <v>7.66</v>
      </c>
      <c r="K148" s="44">
        <f>Source!O71</f>
        <v>1204.8399999999999</v>
      </c>
      <c r="Q148">
        <f>Source!X70</f>
        <v>0</v>
      </c>
      <c r="R148">
        <f>Source!X71</f>
        <v>0</v>
      </c>
      <c r="S148">
        <f>Source!Y70</f>
        <v>0</v>
      </c>
      <c r="T148">
        <f>Source!Y71</f>
        <v>0</v>
      </c>
      <c r="U148">
        <f>ROUND((175/100)*ROUND(Source!R70, 2), 2)</f>
        <v>0</v>
      </c>
      <c r="V148">
        <f>ROUND((0/100)*ROUND(Source!R71, 2), 2)</f>
        <v>0</v>
      </c>
      <c r="AC148">
        <v>5</v>
      </c>
    </row>
    <row r="149" spans="1:29" ht="68.150000000000006" x14ac:dyDescent="0.3">
      <c r="A149" s="41" t="s">
        <v>119</v>
      </c>
      <c r="B149" s="41" t="str">
        <f>Source!F72</f>
        <v>КА 13</v>
      </c>
      <c r="C149" s="41" t="s">
        <v>545</v>
      </c>
      <c r="D149" s="42" t="str">
        <f>Source!H72</f>
        <v>шт.</v>
      </c>
      <c r="E149" s="43">
        <f>Source!I72</f>
        <v>25</v>
      </c>
      <c r="F149" s="44">
        <f>Source!AK72</f>
        <v>182.90999999999997</v>
      </c>
      <c r="G149" s="45" t="s">
        <v>3</v>
      </c>
      <c r="H149" s="43">
        <f>Source!AW73</f>
        <v>1</v>
      </c>
      <c r="I149" s="44">
        <f>Source!O72</f>
        <v>4572.75</v>
      </c>
      <c r="J149" s="43">
        <f>IF(Source!BC73&lt;&gt; 0, Source!BC73, 1)</f>
        <v>7.66</v>
      </c>
      <c r="K149" s="44">
        <f>Source!O73</f>
        <v>35027.269999999997</v>
      </c>
      <c r="Q149">
        <f>Source!X72</f>
        <v>0</v>
      </c>
      <c r="R149">
        <f>Source!X73</f>
        <v>0</v>
      </c>
      <c r="S149">
        <f>Source!Y72</f>
        <v>0</v>
      </c>
      <c r="T149">
        <f>Source!Y73</f>
        <v>0</v>
      </c>
      <c r="U149">
        <f>ROUND((175/100)*ROUND(Source!R72, 2), 2)</f>
        <v>0</v>
      </c>
      <c r="V149">
        <f>ROUND((0/100)*ROUND(Source!R73, 2), 2)</f>
        <v>0</v>
      </c>
      <c r="AC149">
        <v>5</v>
      </c>
    </row>
    <row r="150" spans="1:29" ht="14.15" x14ac:dyDescent="0.3">
      <c r="A150" s="35"/>
      <c r="B150" s="35"/>
      <c r="C150" s="35" t="s">
        <v>519</v>
      </c>
      <c r="D150" s="37" t="s">
        <v>520</v>
      </c>
      <c r="E150" s="36">
        <f>Source!BZ67</f>
        <v>90</v>
      </c>
      <c r="F150" s="39"/>
      <c r="G150" s="38"/>
      <c r="H150" s="36"/>
      <c r="I150" s="39">
        <f>SUM(Q141:Q149)</f>
        <v>2286.42</v>
      </c>
      <c r="J150" s="36">
        <f>Source!AT67</f>
        <v>90</v>
      </c>
      <c r="K150" s="39">
        <f>SUM(R141:R149)</f>
        <v>125730.41</v>
      </c>
    </row>
    <row r="151" spans="1:29" ht="14.15" x14ac:dyDescent="0.3">
      <c r="A151" s="35"/>
      <c r="B151" s="35"/>
      <c r="C151" s="35" t="s">
        <v>521</v>
      </c>
      <c r="D151" s="37" t="s">
        <v>520</v>
      </c>
      <c r="E151" s="36">
        <f>Source!CA67</f>
        <v>46</v>
      </c>
      <c r="F151" s="39"/>
      <c r="G151" s="38"/>
      <c r="H151" s="36"/>
      <c r="I151" s="39">
        <f>SUM(S141:S150)</f>
        <v>1168.6199999999999</v>
      </c>
      <c r="J151" s="36">
        <f>Source!AU67</f>
        <v>46</v>
      </c>
      <c r="K151" s="39">
        <f>SUM(T141:T150)</f>
        <v>64262.21</v>
      </c>
    </row>
    <row r="152" spans="1:29" ht="14.15" x14ac:dyDescent="0.3">
      <c r="A152" s="46"/>
      <c r="B152" s="46"/>
      <c r="C152" s="46" t="s">
        <v>522</v>
      </c>
      <c r="D152" s="47" t="s">
        <v>523</v>
      </c>
      <c r="E152" s="48">
        <f>Source!AQ66</f>
        <v>1.68</v>
      </c>
      <c r="F152" s="49"/>
      <c r="G152" s="50" t="str">
        <f>Source!DI66</f>
        <v>*1,1</v>
      </c>
      <c r="H152" s="48">
        <f>Source!AV67</f>
        <v>1.0469999999999999</v>
      </c>
      <c r="I152" s="49">
        <f>Source!U66</f>
        <v>201.22502399999999</v>
      </c>
      <c r="J152" s="48"/>
      <c r="K152" s="49"/>
    </row>
    <row r="153" spans="1:29" ht="14.15" x14ac:dyDescent="0.3">
      <c r="C153" s="51" t="s">
        <v>524</v>
      </c>
      <c r="H153" s="52">
        <f>I143+I144+I146+I150+I151+SUM(I147:I149)-SUMIF(AC147:AC149, 5, I147:I149)-SUMIF(AC147:AC149, 6, I147:I149)</f>
        <v>6132.5400000000009</v>
      </c>
      <c r="I153" s="52"/>
      <c r="J153" s="52">
        <f>K143+K144+K146+K150+K151+SUM(K147:K149)-SUMIF(AC147:AC149, 5, K147:K149)-SUMIF(AC147:AC149, 6, K147:K149)</f>
        <v>331048.89999999997</v>
      </c>
      <c r="K153" s="52"/>
    </row>
    <row r="154" spans="1:29" ht="14.15" x14ac:dyDescent="0.3">
      <c r="C154" s="51" t="s">
        <v>525</v>
      </c>
      <c r="H154" s="54">
        <f>SUMIF(AC147:AC149, 5, I147:I149)+SUMIF(AC147:AC149, 6, I147:I149)</f>
        <v>18997.02</v>
      </c>
      <c r="I154" s="54"/>
      <c r="J154" s="54">
        <f>SUMIF(AC147:AC149, 5, K147:K149)+SUMIF(AC147:AC149, 6, K147:K149)</f>
        <v>145517.18</v>
      </c>
      <c r="K154" s="54"/>
    </row>
    <row r="155" spans="1:29" ht="14.15" x14ac:dyDescent="0.3">
      <c r="C155" s="51" t="s">
        <v>526</v>
      </c>
      <c r="H155" s="54">
        <f>I143+I144+I146+I150+I151+SUM(I147:I149)</f>
        <v>25129.56</v>
      </c>
      <c r="I155" s="54"/>
      <c r="J155" s="54">
        <f>K143+K144+K146+K150+K151+SUM(K147:K149)</f>
        <v>476566.07999999996</v>
      </c>
      <c r="K155" s="54"/>
      <c r="O155" s="55">
        <f>I143+I144+I146+I150+I151+SUM(I147:I149)</f>
        <v>25129.56</v>
      </c>
      <c r="P155" s="55">
        <f>K143+K144+K146+K150+K151+SUM(K147:K149)</f>
        <v>476566.07999999996</v>
      </c>
    </row>
    <row r="157" spans="1:29" ht="78.45" x14ac:dyDescent="0.3">
      <c r="A157" s="35">
        <v>11</v>
      </c>
      <c r="B157" s="35" t="s">
        <v>546</v>
      </c>
      <c r="C157" s="35" t="s">
        <v>124</v>
      </c>
      <c r="D157" s="37" t="str">
        <f>Source!H74</f>
        <v>1  ШТ.</v>
      </c>
      <c r="E157" s="36">
        <f>Source!I74</f>
        <v>7</v>
      </c>
      <c r="F157" s="39"/>
      <c r="G157" s="38"/>
      <c r="H157" s="36"/>
      <c r="I157" s="39"/>
      <c r="J157" s="36"/>
      <c r="K157" s="39"/>
      <c r="Q157">
        <f>Source!X74</f>
        <v>291.47000000000003</v>
      </c>
      <c r="R157">
        <f>Source!X75</f>
        <v>16027.66</v>
      </c>
      <c r="S157">
        <f>Source!Y74</f>
        <v>148.97</v>
      </c>
      <c r="T157">
        <f>Source!Y75</f>
        <v>8191.91</v>
      </c>
      <c r="U157">
        <f>ROUND((175/100)*ROUND(Source!R74, 2), 2)</f>
        <v>0</v>
      </c>
      <c r="V157">
        <f>ROUND((0/100)*ROUND(Source!R75, 2), 2)</f>
        <v>0</v>
      </c>
      <c r="AC157">
        <v>0</v>
      </c>
    </row>
    <row r="158" spans="1:29" x14ac:dyDescent="0.3">
      <c r="C158" s="56" t="str">
        <f>"Объем: "&amp;Source!I74&amp;"=2+"&amp;"1+"&amp;"4"</f>
        <v>Объем: 7=2+1+4</v>
      </c>
    </row>
    <row r="159" spans="1:29" ht="14.15" x14ac:dyDescent="0.3">
      <c r="A159" s="35"/>
      <c r="B159" s="35"/>
      <c r="C159" s="35" t="s">
        <v>514</v>
      </c>
      <c r="D159" s="37"/>
      <c r="E159" s="36"/>
      <c r="F159" s="39">
        <f>Source!AO74</f>
        <v>40.17</v>
      </c>
      <c r="G159" s="38" t="str">
        <f>Source!DG74</f>
        <v>*1,1</v>
      </c>
      <c r="H159" s="36">
        <f>Source!AV75</f>
        <v>1.0469999999999999</v>
      </c>
      <c r="I159" s="39">
        <f>Source!S74</f>
        <v>323.85000000000002</v>
      </c>
      <c r="J159" s="36">
        <f>IF(Source!BA75&lt;&gt; 0, Source!BA75, 1)</f>
        <v>54.99</v>
      </c>
      <c r="K159" s="39">
        <f>Source!S75</f>
        <v>17808.509999999998</v>
      </c>
    </row>
    <row r="160" spans="1:29" ht="14.15" x14ac:dyDescent="0.3">
      <c r="A160" s="35"/>
      <c r="B160" s="35"/>
      <c r="C160" s="35" t="s">
        <v>517</v>
      </c>
      <c r="D160" s="37"/>
      <c r="E160" s="36"/>
      <c r="F160" s="39">
        <f>Source!AL74</f>
        <v>2.34</v>
      </c>
      <c r="G160" s="38" t="str">
        <f>Source!DD74</f>
        <v/>
      </c>
      <c r="H160" s="36">
        <f>Source!AW75</f>
        <v>1</v>
      </c>
      <c r="I160" s="39">
        <f>Source!P74</f>
        <v>16.38</v>
      </c>
      <c r="J160" s="36">
        <f>IF(Source!BC75&lt;&gt; 0, Source!BC75, 1)</f>
        <v>10.26</v>
      </c>
      <c r="K160" s="39">
        <f>Source!P75</f>
        <v>168.06</v>
      </c>
    </row>
    <row r="161" spans="1:29" ht="82.3" x14ac:dyDescent="0.3">
      <c r="A161" s="41" t="s">
        <v>126</v>
      </c>
      <c r="B161" s="41" t="str">
        <f>Source!F76</f>
        <v>КА 14</v>
      </c>
      <c r="C161" s="41" t="s">
        <v>547</v>
      </c>
      <c r="D161" s="42" t="str">
        <f>Source!H76</f>
        <v>шт.</v>
      </c>
      <c r="E161" s="43">
        <f>Source!I76</f>
        <v>2</v>
      </c>
      <c r="F161" s="44">
        <f>Source!AK76</f>
        <v>941.89</v>
      </c>
      <c r="G161" s="45" t="s">
        <v>3</v>
      </c>
      <c r="H161" s="43">
        <f>Source!AW77</f>
        <v>1</v>
      </c>
      <c r="I161" s="44">
        <f>Source!O76</f>
        <v>1883.78</v>
      </c>
      <c r="J161" s="43">
        <f>IF(Source!BC77&lt;&gt; 0, Source!BC77, 1)</f>
        <v>7.66</v>
      </c>
      <c r="K161" s="44">
        <f>Source!O77</f>
        <v>14429.75</v>
      </c>
      <c r="Q161">
        <f>Source!X76</f>
        <v>0</v>
      </c>
      <c r="R161">
        <f>Source!X77</f>
        <v>0</v>
      </c>
      <c r="S161">
        <f>Source!Y76</f>
        <v>0</v>
      </c>
      <c r="T161">
        <f>Source!Y77</f>
        <v>0</v>
      </c>
      <c r="U161">
        <f>ROUND((175/100)*ROUND(Source!R76, 2), 2)</f>
        <v>0</v>
      </c>
      <c r="V161">
        <f>ROUND((0/100)*ROUND(Source!R77, 2), 2)</f>
        <v>0</v>
      </c>
      <c r="AC161">
        <v>5</v>
      </c>
    </row>
    <row r="162" spans="1:29" ht="82.3" x14ac:dyDescent="0.3">
      <c r="A162" s="41" t="s">
        <v>130</v>
      </c>
      <c r="B162" s="41" t="str">
        <f>Source!F78</f>
        <v>КА 15</v>
      </c>
      <c r="C162" s="41" t="s">
        <v>548</v>
      </c>
      <c r="D162" s="42" t="str">
        <f>Source!H78</f>
        <v>шт.</v>
      </c>
      <c r="E162" s="43">
        <f>Source!I78</f>
        <v>1</v>
      </c>
      <c r="F162" s="44">
        <f>Source!AK78</f>
        <v>1477.01</v>
      </c>
      <c r="G162" s="45" t="s">
        <v>3</v>
      </c>
      <c r="H162" s="43">
        <f>Source!AW79</f>
        <v>1</v>
      </c>
      <c r="I162" s="44">
        <f>Source!O78</f>
        <v>1477.01</v>
      </c>
      <c r="J162" s="43">
        <f>IF(Source!BC79&lt;&gt; 0, Source!BC79, 1)</f>
        <v>7.66</v>
      </c>
      <c r="K162" s="44">
        <f>Source!O79</f>
        <v>11313.9</v>
      </c>
      <c r="Q162">
        <f>Source!X78</f>
        <v>0</v>
      </c>
      <c r="R162">
        <f>Source!X79</f>
        <v>0</v>
      </c>
      <c r="S162">
        <f>Source!Y78</f>
        <v>0</v>
      </c>
      <c r="T162">
        <f>Source!Y79</f>
        <v>0</v>
      </c>
      <c r="U162">
        <f>ROUND((175/100)*ROUND(Source!R78, 2), 2)</f>
        <v>0</v>
      </c>
      <c r="V162">
        <f>ROUND((0/100)*ROUND(Source!R79, 2), 2)</f>
        <v>0</v>
      </c>
      <c r="AC162">
        <v>5</v>
      </c>
    </row>
    <row r="163" spans="1:29" ht="82.3" x14ac:dyDescent="0.3">
      <c r="A163" s="41" t="s">
        <v>134</v>
      </c>
      <c r="B163" s="41" t="str">
        <f>Source!F80</f>
        <v>КА 16</v>
      </c>
      <c r="C163" s="41" t="s">
        <v>549</v>
      </c>
      <c r="D163" s="42" t="str">
        <f>Source!H80</f>
        <v>шт.</v>
      </c>
      <c r="E163" s="43">
        <f>Source!I80</f>
        <v>4</v>
      </c>
      <c r="F163" s="44">
        <f>Source!AK80</f>
        <v>865.68999999999994</v>
      </c>
      <c r="G163" s="45" t="s">
        <v>3</v>
      </c>
      <c r="H163" s="43">
        <f>Source!AW81</f>
        <v>1</v>
      </c>
      <c r="I163" s="44">
        <f>Source!O80</f>
        <v>3462.76</v>
      </c>
      <c r="J163" s="43">
        <f>IF(Source!BC81&lt;&gt; 0, Source!BC81, 1)</f>
        <v>7.66</v>
      </c>
      <c r="K163" s="44">
        <f>Source!O81</f>
        <v>26524.74</v>
      </c>
      <c r="Q163">
        <f>Source!X80</f>
        <v>0</v>
      </c>
      <c r="R163">
        <f>Source!X81</f>
        <v>0</v>
      </c>
      <c r="S163">
        <f>Source!Y80</f>
        <v>0</v>
      </c>
      <c r="T163">
        <f>Source!Y81</f>
        <v>0</v>
      </c>
      <c r="U163">
        <f>ROUND((175/100)*ROUND(Source!R80, 2), 2)</f>
        <v>0</v>
      </c>
      <c r="V163">
        <f>ROUND((0/100)*ROUND(Source!R81, 2), 2)</f>
        <v>0</v>
      </c>
      <c r="AC163">
        <v>5</v>
      </c>
    </row>
    <row r="164" spans="1:29" ht="42.45" x14ac:dyDescent="0.3">
      <c r="A164" s="41" t="s">
        <v>138</v>
      </c>
      <c r="B164" s="41" t="str">
        <f>Source!F82</f>
        <v>13.1-1-660</v>
      </c>
      <c r="C164" s="41" t="s">
        <v>550</v>
      </c>
      <c r="D164" s="42" t="str">
        <f>Source!H82</f>
        <v>шт.</v>
      </c>
      <c r="E164" s="43">
        <f>Source!I82</f>
        <v>8</v>
      </c>
      <c r="F164" s="44">
        <f>Source!AK82</f>
        <v>285.2</v>
      </c>
      <c r="G164" s="45" t="s">
        <v>3</v>
      </c>
      <c r="H164" s="43">
        <f>Source!AW83</f>
        <v>1</v>
      </c>
      <c r="I164" s="44">
        <f>Source!O82</f>
        <v>2281.6</v>
      </c>
      <c r="J164" s="43">
        <f>IF(Source!BC83&lt;&gt; 0, Source!BC83, 1)</f>
        <v>6.35</v>
      </c>
      <c r="K164" s="44">
        <f>Source!O83</f>
        <v>14488.16</v>
      </c>
      <c r="Q164">
        <f>Source!X82</f>
        <v>0</v>
      </c>
      <c r="R164">
        <f>Source!X83</f>
        <v>0</v>
      </c>
      <c r="S164">
        <f>Source!Y82</f>
        <v>0</v>
      </c>
      <c r="T164">
        <f>Source!Y83</f>
        <v>0</v>
      </c>
      <c r="U164">
        <f>ROUND((175/100)*ROUND(Source!R82, 2), 2)</f>
        <v>0</v>
      </c>
      <c r="V164">
        <f>ROUND((0/100)*ROUND(Source!R83, 2), 2)</f>
        <v>0</v>
      </c>
      <c r="AC164">
        <v>5</v>
      </c>
    </row>
    <row r="165" spans="1:29" ht="42.45" x14ac:dyDescent="0.3">
      <c r="A165" s="41" t="s">
        <v>141</v>
      </c>
      <c r="B165" s="41" t="str">
        <f>Source!F84</f>
        <v>13.1-1-21</v>
      </c>
      <c r="C165" s="41" t="s">
        <v>551</v>
      </c>
      <c r="D165" s="42" t="str">
        <f>Source!H84</f>
        <v>шт.</v>
      </c>
      <c r="E165" s="43">
        <f>Source!I84</f>
        <v>4</v>
      </c>
      <c r="F165" s="44">
        <f>Source!AK84</f>
        <v>278.35000000000002</v>
      </c>
      <c r="G165" s="45" t="s">
        <v>3</v>
      </c>
      <c r="H165" s="43">
        <f>Source!AW85</f>
        <v>1</v>
      </c>
      <c r="I165" s="44">
        <f>Source!O84</f>
        <v>1113.4000000000001</v>
      </c>
      <c r="J165" s="43">
        <f>IF(Source!BC85&lt;&gt; 0, Source!BC85, 1)</f>
        <v>9.1300000000000008</v>
      </c>
      <c r="K165" s="44">
        <f>Source!O85</f>
        <v>10165.34</v>
      </c>
      <c r="Q165">
        <f>Source!X84</f>
        <v>0</v>
      </c>
      <c r="R165">
        <f>Source!X85</f>
        <v>0</v>
      </c>
      <c r="S165">
        <f>Source!Y84</f>
        <v>0</v>
      </c>
      <c r="T165">
        <f>Source!Y85</f>
        <v>0</v>
      </c>
      <c r="U165">
        <f>ROUND((175/100)*ROUND(Source!R84, 2), 2)</f>
        <v>0</v>
      </c>
      <c r="V165">
        <f>ROUND((0/100)*ROUND(Source!R85, 2), 2)</f>
        <v>0</v>
      </c>
      <c r="AC165">
        <v>5</v>
      </c>
    </row>
    <row r="166" spans="1:29" ht="42.45" x14ac:dyDescent="0.3">
      <c r="A166" s="41" t="s">
        <v>144</v>
      </c>
      <c r="B166" s="41" t="str">
        <f>Source!F86</f>
        <v>13.1-1-451</v>
      </c>
      <c r="C166" s="41" t="s">
        <v>552</v>
      </c>
      <c r="D166" s="42" t="str">
        <f>Source!H86</f>
        <v>шт.</v>
      </c>
      <c r="E166" s="43">
        <f>Source!I86</f>
        <v>2</v>
      </c>
      <c r="F166" s="44">
        <f>Source!AK86</f>
        <v>698.81</v>
      </c>
      <c r="G166" s="45" t="s">
        <v>3</v>
      </c>
      <c r="H166" s="43">
        <f>Source!AW87</f>
        <v>1</v>
      </c>
      <c r="I166" s="44">
        <f>Source!O86</f>
        <v>1397.62</v>
      </c>
      <c r="J166" s="43">
        <f>IF(Source!BC87&lt;&gt; 0, Source!BC87, 1)</f>
        <v>7.9</v>
      </c>
      <c r="K166" s="44">
        <f>Source!O87</f>
        <v>11041.2</v>
      </c>
      <c r="Q166">
        <f>Source!X86</f>
        <v>0</v>
      </c>
      <c r="R166">
        <f>Source!X87</f>
        <v>0</v>
      </c>
      <c r="S166">
        <f>Source!Y86</f>
        <v>0</v>
      </c>
      <c r="T166">
        <f>Source!Y87</f>
        <v>0</v>
      </c>
      <c r="U166">
        <f>ROUND((175/100)*ROUND(Source!R86, 2), 2)</f>
        <v>0</v>
      </c>
      <c r="V166">
        <f>ROUND((0/100)*ROUND(Source!R87, 2), 2)</f>
        <v>0</v>
      </c>
      <c r="AC166">
        <v>5</v>
      </c>
    </row>
    <row r="167" spans="1:29" ht="14.15" x14ac:dyDescent="0.3">
      <c r="A167" s="35"/>
      <c r="B167" s="35"/>
      <c r="C167" s="35" t="s">
        <v>519</v>
      </c>
      <c r="D167" s="37" t="s">
        <v>520</v>
      </c>
      <c r="E167" s="36">
        <f>Source!BZ75</f>
        <v>90</v>
      </c>
      <c r="F167" s="39"/>
      <c r="G167" s="38"/>
      <c r="H167" s="36"/>
      <c r="I167" s="39">
        <f>SUM(Q157:Q166)</f>
        <v>291.47000000000003</v>
      </c>
      <c r="J167" s="36">
        <f>Source!AT75</f>
        <v>90</v>
      </c>
      <c r="K167" s="39">
        <f>SUM(R157:R166)</f>
        <v>16027.66</v>
      </c>
    </row>
    <row r="168" spans="1:29" ht="14.15" x14ac:dyDescent="0.3">
      <c r="A168" s="35"/>
      <c r="B168" s="35"/>
      <c r="C168" s="35" t="s">
        <v>521</v>
      </c>
      <c r="D168" s="37" t="s">
        <v>520</v>
      </c>
      <c r="E168" s="36">
        <f>Source!CA75</f>
        <v>46</v>
      </c>
      <c r="F168" s="39"/>
      <c r="G168" s="38"/>
      <c r="H168" s="36"/>
      <c r="I168" s="39">
        <f>SUM(S157:S167)</f>
        <v>148.97</v>
      </c>
      <c r="J168" s="36">
        <f>Source!AU75</f>
        <v>46</v>
      </c>
      <c r="K168" s="39">
        <f>SUM(T157:T167)</f>
        <v>8191.91</v>
      </c>
    </row>
    <row r="169" spans="1:29" ht="14.15" x14ac:dyDescent="0.3">
      <c r="A169" s="46"/>
      <c r="B169" s="46"/>
      <c r="C169" s="46" t="s">
        <v>522</v>
      </c>
      <c r="D169" s="47" t="s">
        <v>523</v>
      </c>
      <c r="E169" s="48">
        <f>Source!AQ74</f>
        <v>3.18</v>
      </c>
      <c r="F169" s="49"/>
      <c r="G169" s="50" t="str">
        <f>Source!DI74</f>
        <v>*1,1</v>
      </c>
      <c r="H169" s="48">
        <f>Source!AV75</f>
        <v>1.0469999999999999</v>
      </c>
      <c r="I169" s="49">
        <f>Source!U74</f>
        <v>25.636842000000001</v>
      </c>
      <c r="J169" s="48"/>
      <c r="K169" s="49"/>
    </row>
    <row r="170" spans="1:29" ht="14.15" x14ac:dyDescent="0.3">
      <c r="C170" s="51" t="s">
        <v>524</v>
      </c>
      <c r="H170" s="52">
        <f>I159+I160+I167+I168+SUM(I161:I166)-SUMIF(AC161:AC166, 5, I161:I166)-SUMIF(AC161:AC166, 6, I161:I166)</f>
        <v>780.67000000000007</v>
      </c>
      <c r="I170" s="52"/>
      <c r="J170" s="52">
        <f>K159+K160+K167+K168+SUM(K161:K166)-SUMIF(AC161:AC166, 5, K161:K166)-SUMIF(AC161:AC166, 6, K161:K166)</f>
        <v>42196.14</v>
      </c>
      <c r="K170" s="52"/>
    </row>
    <row r="171" spans="1:29" ht="14.15" x14ac:dyDescent="0.3">
      <c r="C171" s="51" t="s">
        <v>525</v>
      </c>
      <c r="H171" s="54">
        <f>SUMIF(AC161:AC166, 5, I161:I166)+SUMIF(AC161:AC166, 6, I161:I166)</f>
        <v>11616.169999999998</v>
      </c>
      <c r="I171" s="54"/>
      <c r="J171" s="54">
        <f>SUMIF(AC161:AC166, 5, K161:K166)+SUMIF(AC161:AC166, 6, K161:K166)</f>
        <v>87963.09</v>
      </c>
      <c r="K171" s="54"/>
    </row>
    <row r="172" spans="1:29" ht="14.15" x14ac:dyDescent="0.3">
      <c r="C172" s="51" t="s">
        <v>526</v>
      </c>
      <c r="H172" s="54">
        <f>I159+I160+I167+I168+SUM(I161:I166)</f>
        <v>12396.839999999998</v>
      </c>
      <c r="I172" s="54"/>
      <c r="J172" s="54">
        <f>K159+K160+K167+K168+SUM(K161:K166)</f>
        <v>130159.23</v>
      </c>
      <c r="K172" s="54"/>
      <c r="O172" s="55">
        <f>I159+I160+I167+I168+SUM(I161:I166)</f>
        <v>12396.839999999998</v>
      </c>
      <c r="P172" s="55">
        <f>K159+K160+K167+K168+SUM(K161:K166)</f>
        <v>130159.23</v>
      </c>
    </row>
    <row r="174" spans="1:29" ht="78.45" x14ac:dyDescent="0.3">
      <c r="A174" s="35">
        <v>12</v>
      </c>
      <c r="B174" s="35" t="s">
        <v>553</v>
      </c>
      <c r="C174" s="35" t="s">
        <v>149</v>
      </c>
      <c r="D174" s="37" t="str">
        <f>Source!H88</f>
        <v>1  ШТ.</v>
      </c>
      <c r="E174" s="36">
        <f>Source!I88</f>
        <v>30</v>
      </c>
      <c r="F174" s="39"/>
      <c r="G174" s="38"/>
      <c r="H174" s="36"/>
      <c r="I174" s="39"/>
      <c r="J174" s="36"/>
      <c r="K174" s="39"/>
      <c r="Q174">
        <f>Source!X88</f>
        <v>500.02</v>
      </c>
      <c r="R174">
        <f>Source!X89</f>
        <v>27496.22</v>
      </c>
      <c r="S174">
        <f>Source!Y88</f>
        <v>255.57</v>
      </c>
      <c r="T174">
        <f>Source!Y89</f>
        <v>14053.62</v>
      </c>
      <c r="U174">
        <f>ROUND((175/100)*ROUND(Source!R88, 2), 2)</f>
        <v>0.61</v>
      </c>
      <c r="V174">
        <f>ROUND((0/100)*ROUND(Source!R89, 2), 2)</f>
        <v>0</v>
      </c>
      <c r="AC174">
        <v>0</v>
      </c>
    </row>
    <row r="175" spans="1:29" x14ac:dyDescent="0.3">
      <c r="C175" s="56" t="str">
        <f>"Объем: "&amp;Source!I88&amp;"=1+"&amp;"26+"&amp;"1+"&amp;"2"</f>
        <v>Объем: 30=1+26+1+2</v>
      </c>
    </row>
    <row r="176" spans="1:29" ht="14.15" x14ac:dyDescent="0.3">
      <c r="A176" s="35"/>
      <c r="B176" s="35"/>
      <c r="C176" s="35" t="s">
        <v>514</v>
      </c>
      <c r="D176" s="37"/>
      <c r="E176" s="36"/>
      <c r="F176" s="39">
        <f>Source!AO88</f>
        <v>16.07</v>
      </c>
      <c r="G176" s="38" t="str">
        <f>Source!DG88</f>
        <v>*1,1</v>
      </c>
      <c r="H176" s="36">
        <f>Source!AV89</f>
        <v>1.0469999999999999</v>
      </c>
      <c r="I176" s="39">
        <f>Source!S88</f>
        <v>555.23</v>
      </c>
      <c r="J176" s="36">
        <f>IF(Source!BA89&lt;&gt; 0, Source!BA89, 1)</f>
        <v>54.99</v>
      </c>
      <c r="K176" s="39">
        <f>Source!S89</f>
        <v>30532.1</v>
      </c>
    </row>
    <row r="177" spans="1:29" ht="14.15" x14ac:dyDescent="0.3">
      <c r="A177" s="35"/>
      <c r="B177" s="35"/>
      <c r="C177" s="35" t="s">
        <v>515</v>
      </c>
      <c r="D177" s="37"/>
      <c r="E177" s="36"/>
      <c r="F177" s="39">
        <f>Source!AM88</f>
        <v>0.05</v>
      </c>
      <c r="G177" s="38" t="str">
        <f>Source!DE88</f>
        <v>*1,1</v>
      </c>
      <c r="H177" s="36">
        <f>Source!AV89</f>
        <v>1.0469999999999999</v>
      </c>
      <c r="I177" s="39">
        <f>Source!Q88</f>
        <v>1.73</v>
      </c>
      <c r="J177" s="36">
        <f>IF(Source!BB89&lt;&gt; 0, Source!BB89, 1)</f>
        <v>19</v>
      </c>
      <c r="K177" s="39">
        <f>Source!Q89</f>
        <v>32.869999999999997</v>
      </c>
    </row>
    <row r="178" spans="1:29" ht="14.15" x14ac:dyDescent="0.3">
      <c r="A178" s="35"/>
      <c r="B178" s="35"/>
      <c r="C178" s="35" t="s">
        <v>516</v>
      </c>
      <c r="D178" s="37"/>
      <c r="E178" s="36"/>
      <c r="F178" s="39">
        <f>Source!AN88</f>
        <v>0.01</v>
      </c>
      <c r="G178" s="38" t="str">
        <f>Source!DF88</f>
        <v>*1,1</v>
      </c>
      <c r="H178" s="36">
        <f>Source!AV89</f>
        <v>1.0469999999999999</v>
      </c>
      <c r="I178" s="40">
        <f>Source!R88</f>
        <v>0.35</v>
      </c>
      <c r="J178" s="36">
        <f>IF(Source!BS89&lt;&gt; 0, Source!BS89, 1)</f>
        <v>54.99</v>
      </c>
      <c r="K178" s="40">
        <f>Source!R89</f>
        <v>19.25</v>
      </c>
    </row>
    <row r="179" spans="1:29" ht="14.15" x14ac:dyDescent="0.3">
      <c r="A179" s="35"/>
      <c r="B179" s="35"/>
      <c r="C179" s="35" t="s">
        <v>517</v>
      </c>
      <c r="D179" s="37"/>
      <c r="E179" s="36"/>
      <c r="F179" s="39">
        <f>Source!AL88</f>
        <v>1.96</v>
      </c>
      <c r="G179" s="38" t="str">
        <f>Source!DD88</f>
        <v/>
      </c>
      <c r="H179" s="36">
        <f>Source!AW89</f>
        <v>1</v>
      </c>
      <c r="I179" s="39">
        <f>Source!P88</f>
        <v>58.8</v>
      </c>
      <c r="J179" s="36">
        <f>IF(Source!BC89&lt;&gt; 0, Source!BC89, 1)</f>
        <v>9.89</v>
      </c>
      <c r="K179" s="39">
        <f>Source!P89</f>
        <v>581.53</v>
      </c>
    </row>
    <row r="180" spans="1:29" ht="68.150000000000006" x14ac:dyDescent="0.3">
      <c r="A180" s="41" t="s">
        <v>151</v>
      </c>
      <c r="B180" s="41" t="str">
        <f>Source!F90</f>
        <v>КА 17</v>
      </c>
      <c r="C180" s="41" t="s">
        <v>554</v>
      </c>
      <c r="D180" s="42" t="str">
        <f>Source!H90</f>
        <v>шт.</v>
      </c>
      <c r="E180" s="43">
        <f>Source!I90</f>
        <v>1</v>
      </c>
      <c r="F180" s="44">
        <f>Source!AK90</f>
        <v>352.44</v>
      </c>
      <c r="G180" s="45" t="s">
        <v>3</v>
      </c>
      <c r="H180" s="43">
        <f>Source!AW91</f>
        <v>1</v>
      </c>
      <c r="I180" s="44">
        <f>Source!O90</f>
        <v>352.44</v>
      </c>
      <c r="J180" s="43">
        <f>IF(Source!BC91&lt;&gt; 0, Source!BC91, 1)</f>
        <v>7.66</v>
      </c>
      <c r="K180" s="44">
        <f>Source!O91</f>
        <v>2699.69</v>
      </c>
      <c r="Q180">
        <f>Source!X90</f>
        <v>0</v>
      </c>
      <c r="R180">
        <f>Source!X91</f>
        <v>0</v>
      </c>
      <c r="S180">
        <f>Source!Y90</f>
        <v>0</v>
      </c>
      <c r="T180">
        <f>Source!Y91</f>
        <v>0</v>
      </c>
      <c r="U180">
        <f>ROUND((175/100)*ROUND(Source!R90, 2), 2)</f>
        <v>0</v>
      </c>
      <c r="V180">
        <f>ROUND((0/100)*ROUND(Source!R91, 2), 2)</f>
        <v>0</v>
      </c>
      <c r="AC180">
        <v>5</v>
      </c>
    </row>
    <row r="181" spans="1:29" ht="68.150000000000006" x14ac:dyDescent="0.3">
      <c r="A181" s="41" t="s">
        <v>155</v>
      </c>
      <c r="B181" s="41" t="str">
        <f>Source!F92</f>
        <v>КА 18</v>
      </c>
      <c r="C181" s="41" t="s">
        <v>555</v>
      </c>
      <c r="D181" s="42" t="str">
        <f>Source!H92</f>
        <v>шт.</v>
      </c>
      <c r="E181" s="43">
        <f>Source!I92</f>
        <v>26</v>
      </c>
      <c r="F181" s="44">
        <f>Source!AK92</f>
        <v>339.52</v>
      </c>
      <c r="G181" s="45" t="s">
        <v>3</v>
      </c>
      <c r="H181" s="43">
        <f>Source!AW93</f>
        <v>1</v>
      </c>
      <c r="I181" s="44">
        <f>Source!O92</f>
        <v>8827.52</v>
      </c>
      <c r="J181" s="43">
        <f>IF(Source!BC93&lt;&gt; 0, Source!BC93, 1)</f>
        <v>7.66</v>
      </c>
      <c r="K181" s="44">
        <f>Source!O93</f>
        <v>67618.8</v>
      </c>
      <c r="Q181">
        <f>Source!X92</f>
        <v>0</v>
      </c>
      <c r="R181">
        <f>Source!X93</f>
        <v>0</v>
      </c>
      <c r="S181">
        <f>Source!Y92</f>
        <v>0</v>
      </c>
      <c r="T181">
        <f>Source!Y93</f>
        <v>0</v>
      </c>
      <c r="U181">
        <f>ROUND((175/100)*ROUND(Source!R92, 2), 2)</f>
        <v>0</v>
      </c>
      <c r="V181">
        <f>ROUND((0/100)*ROUND(Source!R93, 2), 2)</f>
        <v>0</v>
      </c>
      <c r="AC181">
        <v>5</v>
      </c>
    </row>
    <row r="182" spans="1:29" ht="68.150000000000006" x14ac:dyDescent="0.3">
      <c r="A182" s="41" t="s">
        <v>159</v>
      </c>
      <c r="B182" s="41" t="str">
        <f>Source!F94</f>
        <v>КА 19</v>
      </c>
      <c r="C182" s="41" t="s">
        <v>556</v>
      </c>
      <c r="D182" s="42" t="str">
        <f>Source!H94</f>
        <v>шт.</v>
      </c>
      <c r="E182" s="43">
        <f>Source!I94</f>
        <v>1</v>
      </c>
      <c r="F182" s="44">
        <f>Source!AK94</f>
        <v>399.62</v>
      </c>
      <c r="G182" s="45" t="s">
        <v>3</v>
      </c>
      <c r="H182" s="43">
        <f>Source!AW95</f>
        <v>1</v>
      </c>
      <c r="I182" s="44">
        <f>Source!O94</f>
        <v>399.62</v>
      </c>
      <c r="J182" s="43">
        <f>IF(Source!BC95&lt;&gt; 0, Source!BC95, 1)</f>
        <v>7.66</v>
      </c>
      <c r="K182" s="44">
        <f>Source!O95</f>
        <v>3061.09</v>
      </c>
      <c r="Q182">
        <f>Source!X94</f>
        <v>0</v>
      </c>
      <c r="R182">
        <f>Source!X95</f>
        <v>0</v>
      </c>
      <c r="S182">
        <f>Source!Y94</f>
        <v>0</v>
      </c>
      <c r="T182">
        <f>Source!Y95</f>
        <v>0</v>
      </c>
      <c r="U182">
        <f>ROUND((175/100)*ROUND(Source!R94, 2), 2)</f>
        <v>0</v>
      </c>
      <c r="V182">
        <f>ROUND((0/100)*ROUND(Source!R95, 2), 2)</f>
        <v>0</v>
      </c>
      <c r="AC182">
        <v>5</v>
      </c>
    </row>
    <row r="183" spans="1:29" ht="54" x14ac:dyDescent="0.3">
      <c r="A183" s="41" t="s">
        <v>163</v>
      </c>
      <c r="B183" s="41" t="str">
        <f>Source!F96</f>
        <v>КА 20</v>
      </c>
      <c r="C183" s="41" t="s">
        <v>557</v>
      </c>
      <c r="D183" s="42" t="str">
        <f>Source!H96</f>
        <v>шт.</v>
      </c>
      <c r="E183" s="43">
        <f>Source!I96</f>
        <v>2</v>
      </c>
      <c r="F183" s="44">
        <f>Source!AK96</f>
        <v>529.79999999999995</v>
      </c>
      <c r="G183" s="45" t="s">
        <v>3</v>
      </c>
      <c r="H183" s="43">
        <f>Source!AW97</f>
        <v>1</v>
      </c>
      <c r="I183" s="44">
        <f>Source!O96</f>
        <v>1059.5999999999999</v>
      </c>
      <c r="J183" s="43">
        <f>IF(Source!BC97&lt;&gt; 0, Source!BC97, 1)</f>
        <v>7.66</v>
      </c>
      <c r="K183" s="44">
        <f>Source!O97</f>
        <v>8116.54</v>
      </c>
      <c r="Q183">
        <f>Source!X96</f>
        <v>0</v>
      </c>
      <c r="R183">
        <f>Source!X97</f>
        <v>0</v>
      </c>
      <c r="S183">
        <f>Source!Y96</f>
        <v>0</v>
      </c>
      <c r="T183">
        <f>Source!Y97</f>
        <v>0</v>
      </c>
      <c r="U183">
        <f>ROUND((175/100)*ROUND(Source!R96, 2), 2)</f>
        <v>0</v>
      </c>
      <c r="V183">
        <f>ROUND((0/100)*ROUND(Source!R97, 2), 2)</f>
        <v>0</v>
      </c>
      <c r="AC183">
        <v>5</v>
      </c>
    </row>
    <row r="184" spans="1:29" ht="14.15" x14ac:dyDescent="0.3">
      <c r="A184" s="35"/>
      <c r="B184" s="35"/>
      <c r="C184" s="35" t="s">
        <v>519</v>
      </c>
      <c r="D184" s="37" t="s">
        <v>520</v>
      </c>
      <c r="E184" s="36">
        <f>Source!BZ89</f>
        <v>90</v>
      </c>
      <c r="F184" s="39"/>
      <c r="G184" s="38"/>
      <c r="H184" s="36"/>
      <c r="I184" s="39">
        <f>SUM(Q174:Q183)</f>
        <v>500.02</v>
      </c>
      <c r="J184" s="36">
        <f>Source!AT89</f>
        <v>90</v>
      </c>
      <c r="K184" s="39">
        <f>SUM(R174:R183)</f>
        <v>27496.22</v>
      </c>
    </row>
    <row r="185" spans="1:29" ht="14.15" x14ac:dyDescent="0.3">
      <c r="A185" s="35"/>
      <c r="B185" s="35"/>
      <c r="C185" s="35" t="s">
        <v>521</v>
      </c>
      <c r="D185" s="37" t="s">
        <v>520</v>
      </c>
      <c r="E185" s="36">
        <f>Source!CA89</f>
        <v>46</v>
      </c>
      <c r="F185" s="39"/>
      <c r="G185" s="38"/>
      <c r="H185" s="36"/>
      <c r="I185" s="39">
        <f>SUM(S174:S184)</f>
        <v>255.57</v>
      </c>
      <c r="J185" s="36">
        <f>Source!AU89</f>
        <v>46</v>
      </c>
      <c r="K185" s="39">
        <f>SUM(T174:T184)</f>
        <v>14053.62</v>
      </c>
    </row>
    <row r="186" spans="1:29" ht="14.15" x14ac:dyDescent="0.3">
      <c r="A186" s="46"/>
      <c r="B186" s="46"/>
      <c r="C186" s="46" t="s">
        <v>522</v>
      </c>
      <c r="D186" s="47" t="s">
        <v>523</v>
      </c>
      <c r="E186" s="48">
        <f>Source!AQ88</f>
        <v>1.2</v>
      </c>
      <c r="F186" s="49"/>
      <c r="G186" s="50" t="str">
        <f>Source!DI88</f>
        <v>*1,1</v>
      </c>
      <c r="H186" s="48">
        <f>Source!AV89</f>
        <v>1.0469999999999999</v>
      </c>
      <c r="I186" s="49">
        <f>Source!U88</f>
        <v>41.461199999999998</v>
      </c>
      <c r="J186" s="48"/>
      <c r="K186" s="49"/>
    </row>
    <row r="187" spans="1:29" ht="14.15" x14ac:dyDescent="0.3">
      <c r="C187" s="51" t="s">
        <v>524</v>
      </c>
      <c r="H187" s="52">
        <f>I176+I177+I179+I184+I185+SUM(I180:I183)-SUMIF(AC180:AC183, 5, I180:I183)-SUMIF(AC180:AC183, 6, I180:I183)</f>
        <v>1371.3500000000004</v>
      </c>
      <c r="I187" s="52"/>
      <c r="J187" s="52">
        <f>K176+K177+K179+K184+K185+SUM(K180:K183)-SUMIF(AC180:AC183, 5, K180:K183)-SUMIF(AC180:AC183, 6, K180:K183)</f>
        <v>72696.34</v>
      </c>
      <c r="K187" s="52"/>
    </row>
    <row r="188" spans="1:29" ht="14.15" x14ac:dyDescent="0.3">
      <c r="C188" s="51" t="s">
        <v>525</v>
      </c>
      <c r="H188" s="54">
        <f>SUMIF(AC180:AC183, 5, I180:I183)+SUMIF(AC180:AC183, 6, I180:I183)</f>
        <v>10639.180000000002</v>
      </c>
      <c r="I188" s="54"/>
      <c r="J188" s="54">
        <f>SUMIF(AC180:AC183, 5, K180:K183)+SUMIF(AC180:AC183, 6, K180:K183)</f>
        <v>81496.12</v>
      </c>
      <c r="K188" s="54"/>
    </row>
    <row r="189" spans="1:29" ht="14.15" x14ac:dyDescent="0.3">
      <c r="C189" s="51" t="s">
        <v>526</v>
      </c>
      <c r="H189" s="54">
        <f>I176+I177+I179+I184+I185+SUM(I180:I183)</f>
        <v>12010.530000000002</v>
      </c>
      <c r="I189" s="54"/>
      <c r="J189" s="54">
        <f>K176+K177+K179+K184+K185+SUM(K180:K183)</f>
        <v>154192.46</v>
      </c>
      <c r="K189" s="54"/>
      <c r="O189" s="55">
        <f>I176+I177+I179+I184+I185+SUM(I180:I183)</f>
        <v>12010.530000000002</v>
      </c>
      <c r="P189" s="55">
        <f>K176+K177+K179+K184+K185+SUM(K180:K183)</f>
        <v>154192.46</v>
      </c>
    </row>
    <row r="191" spans="1:29" ht="78.45" x14ac:dyDescent="0.3">
      <c r="A191" s="35">
        <v>13</v>
      </c>
      <c r="B191" s="35" t="s">
        <v>558</v>
      </c>
      <c r="C191" s="35" t="s">
        <v>169</v>
      </c>
      <c r="D191" s="37" t="str">
        <f>Source!H98</f>
        <v>1  ШТ.</v>
      </c>
      <c r="E191" s="36">
        <f>Source!I98</f>
        <v>2</v>
      </c>
      <c r="F191" s="39"/>
      <c r="G191" s="38"/>
      <c r="H191" s="36"/>
      <c r="I191" s="39"/>
      <c r="J191" s="36"/>
      <c r="K191" s="39"/>
      <c r="Q191">
        <f>Source!X98</f>
        <v>39.270000000000003</v>
      </c>
      <c r="R191">
        <f>Source!X99</f>
        <v>2159.29</v>
      </c>
      <c r="S191">
        <f>Source!Y98</f>
        <v>20.07</v>
      </c>
      <c r="T191">
        <f>Source!Y99</f>
        <v>1103.6400000000001</v>
      </c>
      <c r="U191">
        <f>ROUND((175/100)*ROUND(Source!R98, 2), 2)</f>
        <v>0</v>
      </c>
      <c r="V191">
        <f>ROUND((0/100)*ROUND(Source!R99, 2), 2)</f>
        <v>0</v>
      </c>
      <c r="AC191">
        <v>0</v>
      </c>
    </row>
    <row r="192" spans="1:29" ht="14.15" x14ac:dyDescent="0.3">
      <c r="A192" s="35"/>
      <c r="B192" s="35"/>
      <c r="C192" s="35" t="s">
        <v>514</v>
      </c>
      <c r="D192" s="37"/>
      <c r="E192" s="36"/>
      <c r="F192" s="39">
        <f>Source!AO98</f>
        <v>18.940000000000001</v>
      </c>
      <c r="G192" s="38" t="str">
        <f>Source!DG98</f>
        <v>*1,1</v>
      </c>
      <c r="H192" s="36">
        <f>Source!AV99</f>
        <v>1.0469999999999999</v>
      </c>
      <c r="I192" s="39">
        <f>Source!S98</f>
        <v>43.63</v>
      </c>
      <c r="J192" s="36">
        <f>IF(Source!BA99&lt;&gt; 0, Source!BA99, 1)</f>
        <v>54.99</v>
      </c>
      <c r="K192" s="39">
        <f>Source!S99</f>
        <v>2399.21</v>
      </c>
    </row>
    <row r="193" spans="1:29" ht="14.15" x14ac:dyDescent="0.3">
      <c r="A193" s="35"/>
      <c r="B193" s="35"/>
      <c r="C193" s="35" t="s">
        <v>515</v>
      </c>
      <c r="D193" s="37"/>
      <c r="E193" s="36"/>
      <c r="F193" s="39">
        <f>Source!AM98</f>
        <v>0.02</v>
      </c>
      <c r="G193" s="38" t="str">
        <f>Source!DE98</f>
        <v>*1,1</v>
      </c>
      <c r="H193" s="36">
        <f>Source!AV99</f>
        <v>1.0469999999999999</v>
      </c>
      <c r="I193" s="39">
        <f>Source!Q98</f>
        <v>0.05</v>
      </c>
      <c r="J193" s="36">
        <f>IF(Source!BB99&lt;&gt; 0, Source!BB99, 1)</f>
        <v>10</v>
      </c>
      <c r="K193" s="39">
        <f>Source!Q99</f>
        <v>0.5</v>
      </c>
    </row>
    <row r="194" spans="1:29" ht="14.15" x14ac:dyDescent="0.3">
      <c r="A194" s="35"/>
      <c r="B194" s="35"/>
      <c r="C194" s="35" t="s">
        <v>517</v>
      </c>
      <c r="D194" s="37"/>
      <c r="E194" s="36"/>
      <c r="F194" s="39">
        <f>Source!AL98</f>
        <v>2.34</v>
      </c>
      <c r="G194" s="38" t="str">
        <f>Source!DD98</f>
        <v/>
      </c>
      <c r="H194" s="36">
        <f>Source!AW99</f>
        <v>1</v>
      </c>
      <c r="I194" s="39">
        <f>Source!P98</f>
        <v>4.68</v>
      </c>
      <c r="J194" s="36">
        <f>IF(Source!BC99&lt;&gt; 0, Source!BC99, 1)</f>
        <v>10.26</v>
      </c>
      <c r="K194" s="39">
        <f>Source!P99</f>
        <v>48.02</v>
      </c>
    </row>
    <row r="195" spans="1:29" ht="68.150000000000006" x14ac:dyDescent="0.3">
      <c r="A195" s="41" t="s">
        <v>171</v>
      </c>
      <c r="B195" s="41" t="str">
        <f>Source!F100</f>
        <v>КА 21</v>
      </c>
      <c r="C195" s="41" t="s">
        <v>559</v>
      </c>
      <c r="D195" s="42" t="str">
        <f>Source!H100</f>
        <v>шт.</v>
      </c>
      <c r="E195" s="43">
        <f>Source!I100</f>
        <v>2</v>
      </c>
      <c r="F195" s="44">
        <f>Source!AK100</f>
        <v>879.85</v>
      </c>
      <c r="G195" s="45" t="s">
        <v>3</v>
      </c>
      <c r="H195" s="43">
        <f>Source!AW101</f>
        <v>1</v>
      </c>
      <c r="I195" s="44">
        <f>Source!O100</f>
        <v>1759.7</v>
      </c>
      <c r="J195" s="43">
        <f>IF(Source!BC101&lt;&gt; 0, Source!BC101, 1)</f>
        <v>7.66</v>
      </c>
      <c r="K195" s="44">
        <f>Source!O101</f>
        <v>13479.3</v>
      </c>
      <c r="Q195">
        <f>Source!X100</f>
        <v>0</v>
      </c>
      <c r="R195">
        <f>Source!X101</f>
        <v>0</v>
      </c>
      <c r="S195">
        <f>Source!Y100</f>
        <v>0</v>
      </c>
      <c r="T195">
        <f>Source!Y101</f>
        <v>0</v>
      </c>
      <c r="U195">
        <f>ROUND((175/100)*ROUND(Source!R100, 2), 2)</f>
        <v>0</v>
      </c>
      <c r="V195">
        <f>ROUND((0/100)*ROUND(Source!R101, 2), 2)</f>
        <v>0</v>
      </c>
      <c r="AC195">
        <v>5</v>
      </c>
    </row>
    <row r="196" spans="1:29" ht="14.15" x14ac:dyDescent="0.3">
      <c r="A196" s="35"/>
      <c r="B196" s="35"/>
      <c r="C196" s="35" t="s">
        <v>519</v>
      </c>
      <c r="D196" s="37" t="s">
        <v>520</v>
      </c>
      <c r="E196" s="36">
        <f>Source!BZ99</f>
        <v>90</v>
      </c>
      <c r="F196" s="39"/>
      <c r="G196" s="38"/>
      <c r="H196" s="36"/>
      <c r="I196" s="39">
        <f>SUM(Q191:Q195)</f>
        <v>39.270000000000003</v>
      </c>
      <c r="J196" s="36">
        <f>Source!AT99</f>
        <v>90</v>
      </c>
      <c r="K196" s="39">
        <f>SUM(R191:R195)</f>
        <v>2159.29</v>
      </c>
    </row>
    <row r="197" spans="1:29" ht="14.15" x14ac:dyDescent="0.3">
      <c r="A197" s="35"/>
      <c r="B197" s="35"/>
      <c r="C197" s="35" t="s">
        <v>521</v>
      </c>
      <c r="D197" s="37" t="s">
        <v>520</v>
      </c>
      <c r="E197" s="36">
        <f>Source!CA99</f>
        <v>46</v>
      </c>
      <c r="F197" s="39"/>
      <c r="G197" s="38"/>
      <c r="H197" s="36"/>
      <c r="I197" s="39">
        <f>SUM(S191:S196)</f>
        <v>20.07</v>
      </c>
      <c r="J197" s="36">
        <f>Source!AU99</f>
        <v>46</v>
      </c>
      <c r="K197" s="39">
        <f>SUM(T191:T196)</f>
        <v>1103.6400000000001</v>
      </c>
    </row>
    <row r="198" spans="1:29" ht="14.15" x14ac:dyDescent="0.3">
      <c r="A198" s="46"/>
      <c r="B198" s="46"/>
      <c r="C198" s="46" t="s">
        <v>522</v>
      </c>
      <c r="D198" s="47" t="s">
        <v>523</v>
      </c>
      <c r="E198" s="48">
        <f>Source!AQ98</f>
        <v>1.36</v>
      </c>
      <c r="F198" s="49"/>
      <c r="G198" s="50" t="str">
        <f>Source!DI98</f>
        <v>*1,1</v>
      </c>
      <c r="H198" s="48">
        <f>Source!AV99</f>
        <v>1.0469999999999999</v>
      </c>
      <c r="I198" s="49">
        <f>Source!U98</f>
        <v>3.1326240000000003</v>
      </c>
      <c r="J198" s="48"/>
      <c r="K198" s="49"/>
    </row>
    <row r="199" spans="1:29" ht="14.15" x14ac:dyDescent="0.3">
      <c r="C199" s="51" t="s">
        <v>524</v>
      </c>
      <c r="H199" s="52">
        <f>I192+I193+I194+I196+I197+SUM(I195:I195)-SUMIF(AC195:AC195, 5, I195:I195)-SUMIF(AC195:AC195, 6, I195:I195)</f>
        <v>107.70000000000005</v>
      </c>
      <c r="I199" s="52"/>
      <c r="J199" s="52">
        <f>K192+K193+K194+K196+K197+SUM(K195:K195)-SUMIF(AC195:AC195, 5, K195:K195)-SUMIF(AC195:AC195, 6, K195:K195)</f>
        <v>5710.66</v>
      </c>
      <c r="K199" s="52"/>
    </row>
    <row r="200" spans="1:29" ht="14.15" x14ac:dyDescent="0.3">
      <c r="C200" s="51" t="s">
        <v>525</v>
      </c>
      <c r="H200" s="54">
        <f>SUMIF(AC195:AC195, 5, I195:I195)+SUMIF(AC195:AC195, 6, I195:I195)</f>
        <v>1759.7</v>
      </c>
      <c r="I200" s="54"/>
      <c r="J200" s="54">
        <f>SUMIF(AC195:AC195, 5, K195:K195)+SUMIF(AC195:AC195, 6, K195:K195)</f>
        <v>13479.3</v>
      </c>
      <c r="K200" s="54"/>
    </row>
    <row r="201" spans="1:29" ht="14.15" x14ac:dyDescent="0.3">
      <c r="C201" s="51" t="s">
        <v>526</v>
      </c>
      <c r="H201" s="54">
        <f>I192+I193+I194+I196+I197+SUM(I195:I195)</f>
        <v>1867.4</v>
      </c>
      <c r="I201" s="54"/>
      <c r="J201" s="54">
        <f>K192+K193+K194+K196+K197+SUM(K195:K195)</f>
        <v>19189.96</v>
      </c>
      <c r="K201" s="54"/>
      <c r="O201" s="55">
        <f>I192+I193+I194+I196+I197+SUM(I195:I195)</f>
        <v>1867.4</v>
      </c>
      <c r="P201" s="55">
        <f>K192+K193+K194+K196+K197+SUM(K195:K195)</f>
        <v>19189.96</v>
      </c>
    </row>
    <row r="203" spans="1:29" ht="78.45" x14ac:dyDescent="0.3">
      <c r="A203" s="35">
        <v>14</v>
      </c>
      <c r="B203" s="35" t="s">
        <v>560</v>
      </c>
      <c r="C203" s="35" t="s">
        <v>177</v>
      </c>
      <c r="D203" s="37" t="str">
        <f>Source!H102</f>
        <v>1  ШТ.</v>
      </c>
      <c r="E203" s="36">
        <f>Source!I102</f>
        <v>24</v>
      </c>
      <c r="F203" s="39"/>
      <c r="G203" s="38"/>
      <c r="H203" s="36"/>
      <c r="I203" s="39"/>
      <c r="J203" s="36"/>
      <c r="K203" s="39"/>
      <c r="Q203">
        <f>Source!X102</f>
        <v>624.44000000000005</v>
      </c>
      <c r="R203">
        <f>Source!X103</f>
        <v>34337.68</v>
      </c>
      <c r="S203">
        <f>Source!Y102</f>
        <v>348.37</v>
      </c>
      <c r="T203">
        <f>Source!Y103</f>
        <v>19156.810000000001</v>
      </c>
      <c r="U203">
        <f>ROUND((175/100)*ROUND(Source!R102, 2), 2)</f>
        <v>0</v>
      </c>
      <c r="V203">
        <f>ROUND((0/100)*ROUND(Source!R103, 2), 2)</f>
        <v>0</v>
      </c>
      <c r="AC203">
        <v>0</v>
      </c>
    </row>
    <row r="204" spans="1:29" ht="14.15" x14ac:dyDescent="0.3">
      <c r="A204" s="35"/>
      <c r="B204" s="35"/>
      <c r="C204" s="35" t="s">
        <v>514</v>
      </c>
      <c r="D204" s="37"/>
      <c r="E204" s="36"/>
      <c r="F204" s="39">
        <f>Source!AO102</f>
        <v>23.78</v>
      </c>
      <c r="G204" s="38" t="str">
        <f>Source!DG102</f>
        <v>*1,1</v>
      </c>
      <c r="H204" s="36">
        <f>Source!AV103</f>
        <v>1.0469999999999999</v>
      </c>
      <c r="I204" s="39">
        <f>Source!S102</f>
        <v>657.3</v>
      </c>
      <c r="J204" s="36">
        <f>IF(Source!BA103&lt;&gt; 0, Source!BA103, 1)</f>
        <v>54.99</v>
      </c>
      <c r="K204" s="39">
        <f>Source!S103</f>
        <v>36144.93</v>
      </c>
    </row>
    <row r="205" spans="1:29" ht="14.15" x14ac:dyDescent="0.3">
      <c r="A205" s="35"/>
      <c r="B205" s="35"/>
      <c r="C205" s="35" t="s">
        <v>517</v>
      </c>
      <c r="D205" s="37"/>
      <c r="E205" s="36"/>
      <c r="F205" s="39">
        <f>Source!AL102</f>
        <v>24.46</v>
      </c>
      <c r="G205" s="38" t="str">
        <f>Source!DD102</f>
        <v/>
      </c>
      <c r="H205" s="36">
        <f>Source!AW103</f>
        <v>1</v>
      </c>
      <c r="I205" s="39">
        <f>Source!P102</f>
        <v>587.04</v>
      </c>
      <c r="J205" s="36">
        <f>IF(Source!BC103&lt;&gt; 0, Source!BC103, 1)</f>
        <v>10.93</v>
      </c>
      <c r="K205" s="39">
        <f>Source!P103</f>
        <v>6416.35</v>
      </c>
    </row>
    <row r="206" spans="1:29" ht="68.150000000000006" x14ac:dyDescent="0.3">
      <c r="A206" s="41" t="s">
        <v>179</v>
      </c>
      <c r="B206" s="41" t="str">
        <f>Source!F104</f>
        <v>КА 22</v>
      </c>
      <c r="C206" s="41" t="s">
        <v>561</v>
      </c>
      <c r="D206" s="42" t="str">
        <f>Source!H104</f>
        <v>шт.</v>
      </c>
      <c r="E206" s="43">
        <f>Source!I104</f>
        <v>24</v>
      </c>
      <c r="F206" s="44">
        <f>Source!AK104</f>
        <v>77.45</v>
      </c>
      <c r="G206" s="45" t="s">
        <v>3</v>
      </c>
      <c r="H206" s="43">
        <f>Source!AW105</f>
        <v>1</v>
      </c>
      <c r="I206" s="44">
        <f>Source!O104</f>
        <v>1858.8</v>
      </c>
      <c r="J206" s="43">
        <f>IF(Source!BC105&lt;&gt; 0, Source!BC105, 1)</f>
        <v>7.66</v>
      </c>
      <c r="K206" s="44">
        <f>Source!O105</f>
        <v>14238.41</v>
      </c>
      <c r="Q206">
        <f>Source!X104</f>
        <v>0</v>
      </c>
      <c r="R206">
        <f>Source!X105</f>
        <v>0</v>
      </c>
      <c r="S206">
        <f>Source!Y104</f>
        <v>0</v>
      </c>
      <c r="T206">
        <f>Source!Y105</f>
        <v>0</v>
      </c>
      <c r="U206">
        <f>ROUND((175/100)*ROUND(Source!R104, 2), 2)</f>
        <v>0</v>
      </c>
      <c r="V206">
        <f>ROUND((0/100)*ROUND(Source!R105, 2), 2)</f>
        <v>0</v>
      </c>
      <c r="AC206">
        <v>5</v>
      </c>
    </row>
    <row r="207" spans="1:29" ht="14.15" x14ac:dyDescent="0.3">
      <c r="A207" s="35"/>
      <c r="B207" s="35"/>
      <c r="C207" s="35" t="s">
        <v>519</v>
      </c>
      <c r="D207" s="37" t="s">
        <v>520</v>
      </c>
      <c r="E207" s="36">
        <f>Source!BZ103</f>
        <v>95</v>
      </c>
      <c r="F207" s="39"/>
      <c r="G207" s="38"/>
      <c r="H207" s="36"/>
      <c r="I207" s="39">
        <f>SUM(Q203:Q206)</f>
        <v>624.44000000000005</v>
      </c>
      <c r="J207" s="36">
        <f>Source!AT103</f>
        <v>95</v>
      </c>
      <c r="K207" s="39">
        <f>SUM(R203:R206)</f>
        <v>34337.68</v>
      </c>
    </row>
    <row r="208" spans="1:29" ht="14.15" x14ac:dyDescent="0.3">
      <c r="A208" s="35"/>
      <c r="B208" s="35"/>
      <c r="C208" s="35" t="s">
        <v>521</v>
      </c>
      <c r="D208" s="37" t="s">
        <v>520</v>
      </c>
      <c r="E208" s="36">
        <f>Source!CA103</f>
        <v>53</v>
      </c>
      <c r="F208" s="39"/>
      <c r="G208" s="38"/>
      <c r="H208" s="36"/>
      <c r="I208" s="39">
        <f>SUM(S203:S207)</f>
        <v>348.37</v>
      </c>
      <c r="J208" s="36">
        <f>Source!AU103</f>
        <v>53</v>
      </c>
      <c r="K208" s="39">
        <f>SUM(T203:T207)</f>
        <v>19156.810000000001</v>
      </c>
    </row>
    <row r="209" spans="1:29" ht="14.15" x14ac:dyDescent="0.3">
      <c r="A209" s="46"/>
      <c r="B209" s="46"/>
      <c r="C209" s="46" t="s">
        <v>522</v>
      </c>
      <c r="D209" s="47" t="s">
        <v>523</v>
      </c>
      <c r="E209" s="48">
        <f>Source!AQ102</f>
        <v>2</v>
      </c>
      <c r="F209" s="49"/>
      <c r="G209" s="50" t="str">
        <f>Source!DI102</f>
        <v>*1,1</v>
      </c>
      <c r="H209" s="48">
        <f>Source!AV103</f>
        <v>1.0469999999999999</v>
      </c>
      <c r="I209" s="49">
        <f>Source!U102</f>
        <v>55.281599999999997</v>
      </c>
      <c r="J209" s="48"/>
      <c r="K209" s="49"/>
    </row>
    <row r="210" spans="1:29" ht="14.15" x14ac:dyDescent="0.3">
      <c r="C210" s="51" t="s">
        <v>524</v>
      </c>
      <c r="H210" s="52">
        <f>I204+I205+I207+I208+SUM(I206:I206)-SUMIF(AC206:AC206, 5, I206:I206)-SUMIF(AC206:AC206, 6, I206:I206)</f>
        <v>2217.1499999999996</v>
      </c>
      <c r="I210" s="52"/>
      <c r="J210" s="52">
        <f>K204+K205+K207+K208+SUM(K206:K206)-SUMIF(AC206:AC206, 5, K206:K206)-SUMIF(AC206:AC206, 6, K206:K206)</f>
        <v>96055.76999999999</v>
      </c>
      <c r="K210" s="52"/>
    </row>
    <row r="211" spans="1:29" ht="14.15" x14ac:dyDescent="0.3">
      <c r="C211" s="51" t="s">
        <v>525</v>
      </c>
      <c r="H211" s="54">
        <f>SUMIF(AC206:AC206, 5, I206:I206)+SUMIF(AC206:AC206, 6, I206:I206)</f>
        <v>1858.8</v>
      </c>
      <c r="I211" s="54"/>
      <c r="J211" s="54">
        <f>SUMIF(AC206:AC206, 5, K206:K206)+SUMIF(AC206:AC206, 6, K206:K206)</f>
        <v>14238.41</v>
      </c>
      <c r="K211" s="54"/>
    </row>
    <row r="212" spans="1:29" ht="14.15" x14ac:dyDescent="0.3">
      <c r="C212" s="51" t="s">
        <v>526</v>
      </c>
      <c r="H212" s="54">
        <f>I204+I205+I207+I208+SUM(I206:I206)</f>
        <v>4075.95</v>
      </c>
      <c r="I212" s="54"/>
      <c r="J212" s="54">
        <f>K204+K205+K207+K208+SUM(K206:K206)</f>
        <v>110294.18</v>
      </c>
      <c r="K212" s="54"/>
      <c r="O212" s="55">
        <f>I204+I205+I207+I208+SUM(I206:I206)</f>
        <v>4075.95</v>
      </c>
      <c r="P212" s="55">
        <f>K204+K205+K207+K208+SUM(K206:K206)</f>
        <v>110294.18</v>
      </c>
    </row>
    <row r="214" spans="1:29" ht="78.45" x14ac:dyDescent="0.3">
      <c r="A214" s="35">
        <v>15</v>
      </c>
      <c r="B214" s="35" t="s">
        <v>562</v>
      </c>
      <c r="C214" s="35" t="s">
        <v>185</v>
      </c>
      <c r="D214" s="37" t="str">
        <f>Source!H106</f>
        <v>100 шт.</v>
      </c>
      <c r="E214" s="36">
        <f>Source!I106</f>
        <v>0.04</v>
      </c>
      <c r="F214" s="39"/>
      <c r="G214" s="38"/>
      <c r="H214" s="36"/>
      <c r="I214" s="39"/>
      <c r="J214" s="36"/>
      <c r="K214" s="39"/>
      <c r="Q214">
        <f>Source!X106</f>
        <v>49.73</v>
      </c>
      <c r="R214">
        <f>Source!X107</f>
        <v>2734.75</v>
      </c>
      <c r="S214">
        <f>Source!Y106</f>
        <v>26.15</v>
      </c>
      <c r="T214">
        <f>Source!Y107</f>
        <v>1437.86</v>
      </c>
      <c r="U214">
        <f>ROUND((175/100)*ROUND(Source!R106, 2), 2)</f>
        <v>1.05</v>
      </c>
      <c r="V214">
        <f>ROUND((0/100)*ROUND(Source!R107, 2), 2)</f>
        <v>0</v>
      </c>
      <c r="AC214">
        <v>0</v>
      </c>
    </row>
    <row r="215" spans="1:29" x14ac:dyDescent="0.3">
      <c r="C215" s="56" t="str">
        <f>"Объем: "&amp;Source!I106&amp;"=(2+"&amp;"2)/"&amp;"100"</f>
        <v>Объем: 0,04=(2+2)/100</v>
      </c>
    </row>
    <row r="216" spans="1:29" ht="14.15" x14ac:dyDescent="0.3">
      <c r="A216" s="35"/>
      <c r="B216" s="35"/>
      <c r="C216" s="35" t="s">
        <v>514</v>
      </c>
      <c r="D216" s="37"/>
      <c r="E216" s="36"/>
      <c r="F216" s="39">
        <f>Source!AO106</f>
        <v>1099.8599999999999</v>
      </c>
      <c r="G216" s="38" t="str">
        <f>Source!DG106</f>
        <v>*1,1</v>
      </c>
      <c r="H216" s="36">
        <f>Source!AV107</f>
        <v>1.0469999999999999</v>
      </c>
      <c r="I216" s="39">
        <f>Source!S106</f>
        <v>50.67</v>
      </c>
      <c r="J216" s="36">
        <f>IF(Source!BA107&lt;&gt; 0, Source!BA107, 1)</f>
        <v>54.99</v>
      </c>
      <c r="K216" s="39">
        <f>Source!S107</f>
        <v>2786.34</v>
      </c>
    </row>
    <row r="217" spans="1:29" ht="14.15" x14ac:dyDescent="0.3">
      <c r="A217" s="35"/>
      <c r="B217" s="35"/>
      <c r="C217" s="35" t="s">
        <v>515</v>
      </c>
      <c r="D217" s="37"/>
      <c r="E217" s="36"/>
      <c r="F217" s="39">
        <f>Source!AM106</f>
        <v>93.32</v>
      </c>
      <c r="G217" s="38" t="str">
        <f>Source!DE106</f>
        <v>*1,1</v>
      </c>
      <c r="H217" s="36">
        <f>Source!AV107</f>
        <v>1.0469999999999999</v>
      </c>
      <c r="I217" s="39">
        <f>Source!Q106</f>
        <v>4.3</v>
      </c>
      <c r="J217" s="36">
        <f>IF(Source!BB107&lt;&gt; 0, Source!BB107, 1)</f>
        <v>15.65</v>
      </c>
      <c r="K217" s="39">
        <f>Source!Q107</f>
        <v>67.3</v>
      </c>
    </row>
    <row r="218" spans="1:29" ht="14.15" x14ac:dyDescent="0.3">
      <c r="A218" s="35"/>
      <c r="B218" s="35"/>
      <c r="C218" s="35" t="s">
        <v>516</v>
      </c>
      <c r="D218" s="37"/>
      <c r="E218" s="36"/>
      <c r="F218" s="39">
        <f>Source!AN106</f>
        <v>13</v>
      </c>
      <c r="G218" s="38" t="str">
        <f>Source!DF106</f>
        <v>*1,1</v>
      </c>
      <c r="H218" s="36">
        <f>Source!AV107</f>
        <v>1.0469999999999999</v>
      </c>
      <c r="I218" s="40">
        <f>Source!R106</f>
        <v>0.6</v>
      </c>
      <c r="J218" s="36">
        <f>IF(Source!BS107&lt;&gt; 0, Source!BS107, 1)</f>
        <v>54.99</v>
      </c>
      <c r="K218" s="40">
        <f>Source!R107</f>
        <v>32.99</v>
      </c>
    </row>
    <row r="219" spans="1:29" ht="14.15" x14ac:dyDescent="0.3">
      <c r="A219" s="35"/>
      <c r="B219" s="35"/>
      <c r="C219" s="35" t="s">
        <v>517</v>
      </c>
      <c r="D219" s="37"/>
      <c r="E219" s="36"/>
      <c r="F219" s="39">
        <f>Source!AL106</f>
        <v>81.36</v>
      </c>
      <c r="G219" s="38" t="str">
        <f>Source!DD106</f>
        <v/>
      </c>
      <c r="H219" s="36">
        <f>Source!AW107</f>
        <v>1</v>
      </c>
      <c r="I219" s="39">
        <f>Source!P106</f>
        <v>3.25</v>
      </c>
      <c r="J219" s="36">
        <f>IF(Source!BC107&lt;&gt; 0, Source!BC107, 1)</f>
        <v>10.65</v>
      </c>
      <c r="K219" s="39">
        <f>Source!P107</f>
        <v>34.61</v>
      </c>
    </row>
    <row r="220" spans="1:29" ht="42.45" x14ac:dyDescent="0.3">
      <c r="A220" s="41" t="s">
        <v>188</v>
      </c>
      <c r="B220" s="41" t="str">
        <f>Source!F108</f>
        <v>13.1-2-611</v>
      </c>
      <c r="C220" s="41" t="s">
        <v>563</v>
      </c>
      <c r="D220" s="42" t="str">
        <f>Source!H108</f>
        <v>шт.</v>
      </c>
      <c r="E220" s="43">
        <f>Source!I108</f>
        <v>2</v>
      </c>
      <c r="F220" s="44">
        <f>Source!AK108</f>
        <v>53.88</v>
      </c>
      <c r="G220" s="45" t="s">
        <v>3</v>
      </c>
      <c r="H220" s="43">
        <f>Source!AW109</f>
        <v>1</v>
      </c>
      <c r="I220" s="44">
        <f>Source!O108</f>
        <v>107.76</v>
      </c>
      <c r="J220" s="43">
        <f>IF(Source!BC109&lt;&gt; 0, Source!BC109, 1)</f>
        <v>3.56</v>
      </c>
      <c r="K220" s="44">
        <f>Source!O109</f>
        <v>383.63</v>
      </c>
      <c r="Q220">
        <f>Source!X108</f>
        <v>0</v>
      </c>
      <c r="R220">
        <f>Source!X109</f>
        <v>0</v>
      </c>
      <c r="S220">
        <f>Source!Y108</f>
        <v>0</v>
      </c>
      <c r="T220">
        <f>Source!Y109</f>
        <v>0</v>
      </c>
      <c r="U220">
        <f>ROUND((175/100)*ROUND(Source!R108, 2), 2)</f>
        <v>0</v>
      </c>
      <c r="V220">
        <f>ROUND((0/100)*ROUND(Source!R109, 2), 2)</f>
        <v>0</v>
      </c>
      <c r="AC220">
        <v>5</v>
      </c>
    </row>
    <row r="221" spans="1:29" ht="42.45" x14ac:dyDescent="0.3">
      <c r="A221" s="41" t="s">
        <v>191</v>
      </c>
      <c r="B221" s="41" t="str">
        <f>Source!F110</f>
        <v>13.1-2-188</v>
      </c>
      <c r="C221" s="41" t="s">
        <v>564</v>
      </c>
      <c r="D221" s="42" t="str">
        <f>Source!H110</f>
        <v>шт.</v>
      </c>
      <c r="E221" s="43">
        <f>Source!I110</f>
        <v>2</v>
      </c>
      <c r="F221" s="44">
        <f>Source!AK110</f>
        <v>299.45</v>
      </c>
      <c r="G221" s="45" t="s">
        <v>3</v>
      </c>
      <c r="H221" s="43">
        <f>Source!AW111</f>
        <v>1</v>
      </c>
      <c r="I221" s="44">
        <f>Source!O110</f>
        <v>598.9</v>
      </c>
      <c r="J221" s="43">
        <f>IF(Source!BC111&lt;&gt; 0, Source!BC111, 1)</f>
        <v>4.3600000000000003</v>
      </c>
      <c r="K221" s="44">
        <f>Source!O111</f>
        <v>2611.1999999999998</v>
      </c>
      <c r="Q221">
        <f>Source!X110</f>
        <v>0</v>
      </c>
      <c r="R221">
        <f>Source!X111</f>
        <v>0</v>
      </c>
      <c r="S221">
        <f>Source!Y110</f>
        <v>0</v>
      </c>
      <c r="T221">
        <f>Source!Y111</f>
        <v>0</v>
      </c>
      <c r="U221">
        <f>ROUND((175/100)*ROUND(Source!R110, 2), 2)</f>
        <v>0</v>
      </c>
      <c r="V221">
        <f>ROUND((0/100)*ROUND(Source!R111, 2), 2)</f>
        <v>0</v>
      </c>
      <c r="AC221">
        <v>5</v>
      </c>
    </row>
    <row r="222" spans="1:29" ht="14.15" x14ac:dyDescent="0.3">
      <c r="A222" s="35"/>
      <c r="B222" s="35"/>
      <c r="C222" s="35" t="s">
        <v>519</v>
      </c>
      <c r="D222" s="37" t="s">
        <v>520</v>
      </c>
      <c r="E222" s="36">
        <f>Source!BZ107</f>
        <v>97</v>
      </c>
      <c r="F222" s="39"/>
      <c r="G222" s="38"/>
      <c r="H222" s="36"/>
      <c r="I222" s="39">
        <f>SUM(Q214:Q221)</f>
        <v>49.73</v>
      </c>
      <c r="J222" s="36">
        <f>Source!AT107</f>
        <v>97</v>
      </c>
      <c r="K222" s="39">
        <f>SUM(R214:R221)</f>
        <v>2734.75</v>
      </c>
    </row>
    <row r="223" spans="1:29" ht="14.15" x14ac:dyDescent="0.3">
      <c r="A223" s="35"/>
      <c r="B223" s="35"/>
      <c r="C223" s="35" t="s">
        <v>521</v>
      </c>
      <c r="D223" s="37" t="s">
        <v>520</v>
      </c>
      <c r="E223" s="36">
        <f>Source!CA107</f>
        <v>51</v>
      </c>
      <c r="F223" s="39"/>
      <c r="G223" s="38"/>
      <c r="H223" s="36"/>
      <c r="I223" s="39">
        <f>SUM(S214:S222)</f>
        <v>26.15</v>
      </c>
      <c r="J223" s="36">
        <f>Source!AU107</f>
        <v>51</v>
      </c>
      <c r="K223" s="39">
        <f>SUM(T214:T222)</f>
        <v>1437.86</v>
      </c>
    </row>
    <row r="224" spans="1:29" ht="14.15" x14ac:dyDescent="0.3">
      <c r="A224" s="46"/>
      <c r="B224" s="46"/>
      <c r="C224" s="46" t="s">
        <v>522</v>
      </c>
      <c r="D224" s="47" t="s">
        <v>523</v>
      </c>
      <c r="E224" s="48">
        <f>Source!AQ106</f>
        <v>84.67</v>
      </c>
      <c r="F224" s="49"/>
      <c r="G224" s="50" t="str">
        <f>Source!DI106</f>
        <v>*1,1</v>
      </c>
      <c r="H224" s="48">
        <f>Source!AV107</f>
        <v>1.0469999999999999</v>
      </c>
      <c r="I224" s="49">
        <f>Source!U106</f>
        <v>3.9005775600000003</v>
      </c>
      <c r="J224" s="48"/>
      <c r="K224" s="49"/>
    </row>
    <row r="225" spans="1:29" ht="14.15" x14ac:dyDescent="0.3">
      <c r="C225" s="51" t="s">
        <v>524</v>
      </c>
      <c r="H225" s="52">
        <f>I216+I217+I219+I222+I223+SUM(I220:I221)-SUMIF(AC220:AC221, 5, I220:I221)-SUMIF(AC220:AC221, 6, I220:I221)</f>
        <v>134.10000000000002</v>
      </c>
      <c r="I225" s="52"/>
      <c r="J225" s="52">
        <f>K216+K217+K219+K222+K223+SUM(K220:K221)-SUMIF(AC220:AC221, 5, K220:K221)-SUMIF(AC220:AC221, 6, K220:K221)</f>
        <v>7060.8599999999988</v>
      </c>
      <c r="K225" s="52"/>
    </row>
    <row r="226" spans="1:29" ht="14.15" x14ac:dyDescent="0.3">
      <c r="C226" s="51" t="s">
        <v>525</v>
      </c>
      <c r="H226" s="54">
        <f>SUMIF(AC220:AC221, 5, I220:I221)+SUMIF(AC220:AC221, 6, I220:I221)</f>
        <v>706.66</v>
      </c>
      <c r="I226" s="54"/>
      <c r="J226" s="54">
        <f>SUMIF(AC220:AC221, 5, K220:K221)+SUMIF(AC220:AC221, 6, K220:K221)</f>
        <v>2994.83</v>
      </c>
      <c r="K226" s="54"/>
    </row>
    <row r="227" spans="1:29" ht="14.15" x14ac:dyDescent="0.3">
      <c r="C227" s="51" t="s">
        <v>526</v>
      </c>
      <c r="H227" s="54">
        <f>I216+I217+I219+I222+I223+SUM(I220:I221)</f>
        <v>840.76</v>
      </c>
      <c r="I227" s="54"/>
      <c r="J227" s="54">
        <f>K216+K217+K219+K222+K223+SUM(K220:K221)</f>
        <v>10055.689999999999</v>
      </c>
      <c r="K227" s="54"/>
      <c r="O227" s="55">
        <f>I216+I217+I219+I222+I223+SUM(I220:I221)</f>
        <v>840.76</v>
      </c>
      <c r="P227" s="55">
        <f>K216+K217+K219+K222+K223+SUM(K220:K221)</f>
        <v>10055.689999999999</v>
      </c>
    </row>
    <row r="230" spans="1:29" ht="14.15" x14ac:dyDescent="0.35">
      <c r="A230" s="59" t="str">
        <f>CONCATENATE("Итого по разделу: ",IF(Source!G113&lt;&gt;"Новый раздел", Source!G113, ""))</f>
        <v>Итого по разделу: Монтажные работы</v>
      </c>
      <c r="B230" s="59"/>
      <c r="C230" s="59"/>
      <c r="D230" s="59"/>
      <c r="E230" s="59"/>
      <c r="F230" s="59"/>
      <c r="G230" s="59"/>
      <c r="H230" s="54">
        <f>SUM(O29:O229)</f>
        <v>303885.32000000012</v>
      </c>
      <c r="I230" s="53"/>
      <c r="J230" s="54">
        <f>SUM(P29:P229)</f>
        <v>5242083.6100000003</v>
      </c>
      <c r="K230" s="53"/>
    </row>
    <row r="231" spans="1:29" hidden="1" x14ac:dyDescent="0.3">
      <c r="A231" t="s">
        <v>565</v>
      </c>
      <c r="I231">
        <f>SUM(W29:W230)</f>
        <v>0</v>
      </c>
      <c r="J231">
        <f>SUM(X29:X230)</f>
        <v>0</v>
      </c>
    </row>
    <row r="232" spans="1:29" hidden="1" x14ac:dyDescent="0.3">
      <c r="A232" t="s">
        <v>566</v>
      </c>
      <c r="I232">
        <f>SUM(Y29:Y231)</f>
        <v>0</v>
      </c>
      <c r="J232">
        <f>SUM(Z29:Z231)</f>
        <v>0</v>
      </c>
    </row>
    <row r="234" spans="1:29" ht="16.3" x14ac:dyDescent="0.3">
      <c r="A234" s="34" t="str">
        <f>CONCATENATE("Раздел: ",IF(Source!G143&lt;&gt;"Новый раздел", Source!G143, ""))</f>
        <v>Раздел: Огнестойкая кабельная линия</v>
      </c>
      <c r="B234" s="34"/>
      <c r="C234" s="34"/>
      <c r="D234" s="34"/>
      <c r="E234" s="34"/>
      <c r="F234" s="34"/>
      <c r="G234" s="34"/>
      <c r="H234" s="34"/>
      <c r="I234" s="34"/>
      <c r="J234" s="34"/>
      <c r="K234" s="34"/>
    </row>
    <row r="235" spans="1:29" ht="78.45" x14ac:dyDescent="0.3">
      <c r="A235" s="35">
        <v>16</v>
      </c>
      <c r="B235" s="35" t="s">
        <v>567</v>
      </c>
      <c r="C235" s="35" t="s">
        <v>251</v>
      </c>
      <c r="D235" s="37" t="str">
        <f>Source!H147</f>
        <v>100 м</v>
      </c>
      <c r="E235" s="36">
        <f>Source!I147</f>
        <v>59.84</v>
      </c>
      <c r="F235" s="39"/>
      <c r="G235" s="38"/>
      <c r="H235" s="36"/>
      <c r="I235" s="39"/>
      <c r="J235" s="36"/>
      <c r="K235" s="39"/>
      <c r="Q235">
        <f>Source!X147</f>
        <v>18248.650000000001</v>
      </c>
      <c r="R235">
        <f>Source!X148</f>
        <v>1003493.38</v>
      </c>
      <c r="S235">
        <f>Source!Y147</f>
        <v>9327.09</v>
      </c>
      <c r="T235">
        <f>Source!Y148</f>
        <v>512896.61</v>
      </c>
      <c r="U235">
        <f>ROUND((175/100)*ROUND(Source!R147, 2), 2)</f>
        <v>0</v>
      </c>
      <c r="V235">
        <f>ROUND((0/100)*ROUND(Source!R148, 2), 2)</f>
        <v>0</v>
      </c>
      <c r="AC235">
        <v>0</v>
      </c>
    </row>
    <row r="236" spans="1:29" x14ac:dyDescent="0.3">
      <c r="C236" s="56" t="str">
        <f>"Объем: "&amp;Source!I147&amp;"=(500+"&amp;"4+"&amp;"430+"&amp;"5050)/"&amp;"100"</f>
        <v>Объем: 59,84=(500+4+430+5050)/100</v>
      </c>
    </row>
    <row r="237" spans="1:29" ht="14.15" x14ac:dyDescent="0.3">
      <c r="A237" s="35"/>
      <c r="B237" s="35"/>
      <c r="C237" s="35" t="s">
        <v>514</v>
      </c>
      <c r="D237" s="37"/>
      <c r="E237" s="36"/>
      <c r="F237" s="39">
        <f>Source!AO147</f>
        <v>294.20999999999998</v>
      </c>
      <c r="G237" s="38" t="str">
        <f>Source!DG147</f>
        <v>*1,1</v>
      </c>
      <c r="H237" s="36">
        <f>Source!AV148</f>
        <v>1.0469999999999999</v>
      </c>
      <c r="I237" s="39">
        <f>Source!S147</f>
        <v>20276.28</v>
      </c>
      <c r="J237" s="36">
        <f>IF(Source!BA148&lt;&gt; 0, Source!BA148, 1)</f>
        <v>54.99</v>
      </c>
      <c r="K237" s="39">
        <f>Source!S148</f>
        <v>1114992.6399999999</v>
      </c>
    </row>
    <row r="238" spans="1:29" ht="14.15" x14ac:dyDescent="0.3">
      <c r="A238" s="35"/>
      <c r="B238" s="35"/>
      <c r="C238" s="35" t="s">
        <v>515</v>
      </c>
      <c r="D238" s="37"/>
      <c r="E238" s="36"/>
      <c r="F238" s="39">
        <f>Source!AM147</f>
        <v>4.05</v>
      </c>
      <c r="G238" s="38" t="str">
        <f>Source!DE147</f>
        <v>*1,1</v>
      </c>
      <c r="H238" s="36">
        <f>Source!AV148</f>
        <v>1.0469999999999999</v>
      </c>
      <c r="I238" s="39">
        <f>Source!Q147</f>
        <v>279.12</v>
      </c>
      <c r="J238" s="36">
        <f>IF(Source!BB148&lt;&gt; 0, Source!BB148, 1)</f>
        <v>8.7200000000000006</v>
      </c>
      <c r="K238" s="39">
        <f>Source!Q148</f>
        <v>2433.9299999999998</v>
      </c>
    </row>
    <row r="239" spans="1:29" ht="14.15" x14ac:dyDescent="0.3">
      <c r="A239" s="35"/>
      <c r="B239" s="35"/>
      <c r="C239" s="35" t="s">
        <v>517</v>
      </c>
      <c r="D239" s="37"/>
      <c r="E239" s="36"/>
      <c r="F239" s="39">
        <f>Source!AL147</f>
        <v>19.420000000000002</v>
      </c>
      <c r="G239" s="38" t="str">
        <f>Source!DD147</f>
        <v/>
      </c>
      <c r="H239" s="36">
        <f>Source!AW148</f>
        <v>1</v>
      </c>
      <c r="I239" s="39">
        <f>Source!P147</f>
        <v>1162.0899999999999</v>
      </c>
      <c r="J239" s="36">
        <f>IF(Source!BC148&lt;&gt; 0, Source!BC148, 1)</f>
        <v>6.66</v>
      </c>
      <c r="K239" s="39">
        <f>Source!P148</f>
        <v>7739.52</v>
      </c>
    </row>
    <row r="240" spans="1:29" ht="99" x14ac:dyDescent="0.3">
      <c r="A240" s="35" t="s">
        <v>254</v>
      </c>
      <c r="B240" s="35" t="str">
        <f>Source!F149</f>
        <v>1.12-5-1162</v>
      </c>
      <c r="C240" s="35" t="s">
        <v>256</v>
      </c>
      <c r="D240" s="37" t="str">
        <f>Source!H149</f>
        <v>10 м</v>
      </c>
      <c r="E240" s="36">
        <f>Source!I149</f>
        <v>610.36800000000005</v>
      </c>
      <c r="F240" s="39">
        <f>Source!AK149</f>
        <v>12.08</v>
      </c>
      <c r="G240" s="57" t="s">
        <v>3</v>
      </c>
      <c r="H240" s="36">
        <f>Source!AW150</f>
        <v>1</v>
      </c>
      <c r="I240" s="39">
        <f>Source!O149</f>
        <v>7373.25</v>
      </c>
      <c r="J240" s="36">
        <f>IF(Source!BC150&lt;&gt; 0, Source!BC150, 1)</f>
        <v>12.95</v>
      </c>
      <c r="K240" s="39">
        <f>Source!O150</f>
        <v>95483.59</v>
      </c>
      <c r="Q240">
        <f>Source!X149</f>
        <v>0</v>
      </c>
      <c r="R240">
        <f>Source!X150</f>
        <v>0</v>
      </c>
      <c r="S240">
        <f>Source!Y149</f>
        <v>0</v>
      </c>
      <c r="T240">
        <f>Source!Y150</f>
        <v>0</v>
      </c>
      <c r="U240">
        <f>ROUND((175/100)*ROUND(Source!R149, 2), 2)</f>
        <v>0</v>
      </c>
      <c r="V240">
        <f>ROUND((0/100)*ROUND(Source!R150, 2), 2)</f>
        <v>0</v>
      </c>
      <c r="AC240">
        <v>3</v>
      </c>
    </row>
    <row r="241" spans="1:29" ht="42.45" x14ac:dyDescent="0.3">
      <c r="A241" s="35" t="s">
        <v>259</v>
      </c>
      <c r="B241" s="35" t="str">
        <f>Source!F151</f>
        <v>1.12-5-516</v>
      </c>
      <c r="C241" s="35" t="s">
        <v>261</v>
      </c>
      <c r="D241" s="37" t="str">
        <f>Source!H151</f>
        <v>шт.</v>
      </c>
      <c r="E241" s="36">
        <f>Source!I151</f>
        <v>200</v>
      </c>
      <c r="F241" s="39">
        <f>Source!AK151</f>
        <v>0.95</v>
      </c>
      <c r="G241" s="57" t="s">
        <v>3</v>
      </c>
      <c r="H241" s="36">
        <f>Source!AW152</f>
        <v>1</v>
      </c>
      <c r="I241" s="39">
        <f>Source!O151</f>
        <v>190</v>
      </c>
      <c r="J241" s="36">
        <f>IF(Source!BC152&lt;&gt; 0, Source!BC152, 1)</f>
        <v>5.86</v>
      </c>
      <c r="K241" s="39">
        <f>Source!O152</f>
        <v>1113.4000000000001</v>
      </c>
      <c r="Q241">
        <f>Source!X151</f>
        <v>0</v>
      </c>
      <c r="R241">
        <f>Source!X152</f>
        <v>0</v>
      </c>
      <c r="S241">
        <f>Source!Y151</f>
        <v>0</v>
      </c>
      <c r="T241">
        <f>Source!Y152</f>
        <v>0</v>
      </c>
      <c r="U241">
        <f>ROUND((175/100)*ROUND(Source!R151, 2), 2)</f>
        <v>0</v>
      </c>
      <c r="V241">
        <f>ROUND((0/100)*ROUND(Source!R152, 2), 2)</f>
        <v>0</v>
      </c>
      <c r="AC241">
        <v>3</v>
      </c>
    </row>
    <row r="242" spans="1:29" ht="42.45" x14ac:dyDescent="0.3">
      <c r="A242" s="35" t="s">
        <v>263</v>
      </c>
      <c r="B242" s="35" t="str">
        <f>Source!F153</f>
        <v>1.21-5-1469</v>
      </c>
      <c r="C242" s="35" t="s">
        <v>265</v>
      </c>
      <c r="D242" s="37" t="str">
        <f>Source!H153</f>
        <v>1000 шт.</v>
      </c>
      <c r="E242" s="36">
        <f>Source!I153</f>
        <v>17.952000000000002</v>
      </c>
      <c r="F242" s="39">
        <f>Source!AK153</f>
        <v>396.59</v>
      </c>
      <c r="G242" s="57" t="s">
        <v>3</v>
      </c>
      <c r="H242" s="36">
        <f>Source!AW154</f>
        <v>1</v>
      </c>
      <c r="I242" s="39">
        <f>Source!O153</f>
        <v>7119.58</v>
      </c>
      <c r="J242" s="36">
        <f>IF(Source!BC154&lt;&gt; 0, Source!BC154, 1)</f>
        <v>4.63</v>
      </c>
      <c r="K242" s="39">
        <f>Source!O154</f>
        <v>32963.660000000003</v>
      </c>
      <c r="Q242">
        <f>Source!X153</f>
        <v>0</v>
      </c>
      <c r="R242">
        <f>Source!X154</f>
        <v>0</v>
      </c>
      <c r="S242">
        <f>Source!Y153</f>
        <v>0</v>
      </c>
      <c r="T242">
        <f>Source!Y154</f>
        <v>0</v>
      </c>
      <c r="U242">
        <f>ROUND((175/100)*ROUND(Source!R153, 2), 2)</f>
        <v>0</v>
      </c>
      <c r="V242">
        <f>ROUND((0/100)*ROUND(Source!R154, 2), 2)</f>
        <v>0</v>
      </c>
      <c r="AC242">
        <v>3</v>
      </c>
    </row>
    <row r="243" spans="1:29" ht="27" x14ac:dyDescent="0.3">
      <c r="A243" s="35" t="s">
        <v>268</v>
      </c>
      <c r="B243" s="35" t="str">
        <f>Source!F155</f>
        <v>КА 23</v>
      </c>
      <c r="C243" s="35" t="s">
        <v>568</v>
      </c>
      <c r="D243" s="37" t="str">
        <f>Source!H155</f>
        <v>км</v>
      </c>
      <c r="E243" s="36">
        <f>Source!I155</f>
        <v>0.51</v>
      </c>
      <c r="F243" s="39">
        <f>Source!AK155</f>
        <v>2075.9699999999998</v>
      </c>
      <c r="G243" s="57" t="s">
        <v>3</v>
      </c>
      <c r="H243" s="36">
        <f>Source!AW156</f>
        <v>1</v>
      </c>
      <c r="I243" s="39">
        <f>Source!O155</f>
        <v>1058.74</v>
      </c>
      <c r="J243" s="36">
        <f>IF(Source!BC156&lt;&gt; 0, Source!BC156, 1)</f>
        <v>9.8800000000000008</v>
      </c>
      <c r="K243" s="39">
        <f>Source!O156</f>
        <v>10460.35</v>
      </c>
      <c r="Q243">
        <f>Source!X155</f>
        <v>0</v>
      </c>
      <c r="R243">
        <f>Source!X156</f>
        <v>0</v>
      </c>
      <c r="S243">
        <f>Source!Y155</f>
        <v>0</v>
      </c>
      <c r="T243">
        <f>Source!Y156</f>
        <v>0</v>
      </c>
      <c r="U243">
        <f>ROUND((175/100)*ROUND(Source!R155, 2), 2)</f>
        <v>0</v>
      </c>
      <c r="V243">
        <f>ROUND((0/100)*ROUND(Source!R156, 2), 2)</f>
        <v>0</v>
      </c>
      <c r="AC243">
        <v>3</v>
      </c>
    </row>
    <row r="244" spans="1:29" ht="27" x14ac:dyDescent="0.3">
      <c r="A244" s="35" t="s">
        <v>273</v>
      </c>
      <c r="B244" s="35" t="str">
        <f>Source!F157</f>
        <v>КА 24</v>
      </c>
      <c r="C244" s="35" t="s">
        <v>569</v>
      </c>
      <c r="D244" s="37" t="str">
        <f>Source!H157</f>
        <v>км</v>
      </c>
      <c r="E244" s="36">
        <f>Source!I157</f>
        <v>4.0800000000000003E-3</v>
      </c>
      <c r="F244" s="39">
        <f>Source!AK157</f>
        <v>4880.62</v>
      </c>
      <c r="G244" s="57" t="s">
        <v>3</v>
      </c>
      <c r="H244" s="36">
        <f>Source!AW158</f>
        <v>1</v>
      </c>
      <c r="I244" s="39">
        <f>Source!O157</f>
        <v>19.91</v>
      </c>
      <c r="J244" s="36">
        <f>IF(Source!BC158&lt;&gt; 0, Source!BC158, 1)</f>
        <v>9.8800000000000008</v>
      </c>
      <c r="K244" s="39">
        <f>Source!O158</f>
        <v>196.71</v>
      </c>
      <c r="Q244">
        <f>Source!X157</f>
        <v>0</v>
      </c>
      <c r="R244">
        <f>Source!X158</f>
        <v>0</v>
      </c>
      <c r="S244">
        <f>Source!Y157</f>
        <v>0</v>
      </c>
      <c r="T244">
        <f>Source!Y158</f>
        <v>0</v>
      </c>
      <c r="U244">
        <f>ROUND((175/100)*ROUND(Source!R157, 2), 2)</f>
        <v>0</v>
      </c>
      <c r="V244">
        <f>ROUND((0/100)*ROUND(Source!R158, 2), 2)</f>
        <v>0</v>
      </c>
      <c r="AC244">
        <v>3</v>
      </c>
    </row>
    <row r="245" spans="1:29" ht="27" x14ac:dyDescent="0.3">
      <c r="A245" s="35" t="s">
        <v>277</v>
      </c>
      <c r="B245" s="35" t="str">
        <f>Source!F159</f>
        <v>КА 25</v>
      </c>
      <c r="C245" s="35" t="s">
        <v>570</v>
      </c>
      <c r="D245" s="37" t="str">
        <f>Source!H159</f>
        <v>км</v>
      </c>
      <c r="E245" s="36">
        <f>Source!I159</f>
        <v>0.43859999999999999</v>
      </c>
      <c r="F245" s="39">
        <f>Source!AK159</f>
        <v>3563.46</v>
      </c>
      <c r="G245" s="57" t="s">
        <v>3</v>
      </c>
      <c r="H245" s="36">
        <f>Source!AW160</f>
        <v>1</v>
      </c>
      <c r="I245" s="39">
        <f>Source!O159</f>
        <v>1562.93</v>
      </c>
      <c r="J245" s="36">
        <f>IF(Source!BC160&lt;&gt; 0, Source!BC160, 1)</f>
        <v>9.8800000000000008</v>
      </c>
      <c r="K245" s="39">
        <f>Source!O160</f>
        <v>15441.75</v>
      </c>
      <c r="Q245">
        <f>Source!X159</f>
        <v>0</v>
      </c>
      <c r="R245">
        <f>Source!X160</f>
        <v>0</v>
      </c>
      <c r="S245">
        <f>Source!Y159</f>
        <v>0</v>
      </c>
      <c r="T245">
        <f>Source!Y160</f>
        <v>0</v>
      </c>
      <c r="U245">
        <f>ROUND((175/100)*ROUND(Source!R159, 2), 2)</f>
        <v>0</v>
      </c>
      <c r="V245">
        <f>ROUND((0/100)*ROUND(Source!R160, 2), 2)</f>
        <v>0</v>
      </c>
      <c r="AC245">
        <v>3</v>
      </c>
    </row>
    <row r="246" spans="1:29" ht="27" x14ac:dyDescent="0.3">
      <c r="A246" s="35" t="s">
        <v>281</v>
      </c>
      <c r="B246" s="35" t="str">
        <f>Source!F161</f>
        <v>КА 26</v>
      </c>
      <c r="C246" s="35" t="s">
        <v>571</v>
      </c>
      <c r="D246" s="37" t="str">
        <f>Source!H161</f>
        <v>км</v>
      </c>
      <c r="E246" s="36">
        <f>Source!I161</f>
        <v>5.1509999999999998</v>
      </c>
      <c r="F246" s="39">
        <f>Source!AK161</f>
        <v>2716.9</v>
      </c>
      <c r="G246" s="57" t="s">
        <v>3</v>
      </c>
      <c r="H246" s="36">
        <f>Source!AW162</f>
        <v>1</v>
      </c>
      <c r="I246" s="39">
        <f>Source!O161</f>
        <v>13994.75</v>
      </c>
      <c r="J246" s="36">
        <f>IF(Source!BC162&lt;&gt; 0, Source!BC162, 1)</f>
        <v>9.8800000000000008</v>
      </c>
      <c r="K246" s="39">
        <f>Source!O162</f>
        <v>138268.13</v>
      </c>
      <c r="Q246">
        <f>Source!X161</f>
        <v>0</v>
      </c>
      <c r="R246">
        <f>Source!X162</f>
        <v>0</v>
      </c>
      <c r="S246">
        <f>Source!Y161</f>
        <v>0</v>
      </c>
      <c r="T246">
        <f>Source!Y162</f>
        <v>0</v>
      </c>
      <c r="U246">
        <f>ROUND((175/100)*ROUND(Source!R161, 2), 2)</f>
        <v>0</v>
      </c>
      <c r="V246">
        <f>ROUND((0/100)*ROUND(Source!R162, 2), 2)</f>
        <v>0</v>
      </c>
      <c r="AC246">
        <v>3</v>
      </c>
    </row>
    <row r="247" spans="1:29" ht="28.3" x14ac:dyDescent="0.3">
      <c r="A247" s="35" t="s">
        <v>285</v>
      </c>
      <c r="B247" s="35" t="str">
        <f>Source!F163</f>
        <v>1.7-5-390</v>
      </c>
      <c r="C247" s="35" t="s">
        <v>287</v>
      </c>
      <c r="D247" s="37" t="str">
        <f>Source!H163</f>
        <v>100 шт.</v>
      </c>
      <c r="E247" s="36">
        <f>Source!I163</f>
        <v>141.22239999999999</v>
      </c>
      <c r="F247" s="39">
        <f>Source!AK163</f>
        <v>32.200000000000003</v>
      </c>
      <c r="G247" s="57" t="s">
        <v>3</v>
      </c>
      <c r="H247" s="36">
        <f>Source!AW164</f>
        <v>1</v>
      </c>
      <c r="I247" s="39">
        <f>Source!O163</f>
        <v>4547.3599999999997</v>
      </c>
      <c r="J247" s="36">
        <f>IF(Source!BC164&lt;&gt; 0, Source!BC164, 1)</f>
        <v>19.39</v>
      </c>
      <c r="K247" s="39">
        <f>Source!O164</f>
        <v>88173.31</v>
      </c>
      <c r="Q247">
        <f>Source!X163</f>
        <v>0</v>
      </c>
      <c r="R247">
        <f>Source!X164</f>
        <v>0</v>
      </c>
      <c r="S247">
        <f>Source!Y163</f>
        <v>0</v>
      </c>
      <c r="T247">
        <f>Source!Y164</f>
        <v>0</v>
      </c>
      <c r="U247">
        <f>ROUND((175/100)*ROUND(Source!R163, 2), 2)</f>
        <v>0</v>
      </c>
      <c r="V247">
        <f>ROUND((0/100)*ROUND(Source!R164, 2), 2)</f>
        <v>0</v>
      </c>
      <c r="AC247">
        <v>3</v>
      </c>
    </row>
    <row r="248" spans="1:29" ht="14.15" x14ac:dyDescent="0.3">
      <c r="A248" s="35"/>
      <c r="B248" s="35"/>
      <c r="C248" s="35" t="s">
        <v>519</v>
      </c>
      <c r="D248" s="37" t="s">
        <v>520</v>
      </c>
      <c r="E248" s="36">
        <f>Source!BZ148</f>
        <v>90</v>
      </c>
      <c r="F248" s="39"/>
      <c r="G248" s="38"/>
      <c r="H248" s="36"/>
      <c r="I248" s="39">
        <f>SUM(Q235:Q247)</f>
        <v>18248.650000000001</v>
      </c>
      <c r="J248" s="36">
        <f>Source!AT148</f>
        <v>90</v>
      </c>
      <c r="K248" s="39">
        <f>SUM(R235:R247)</f>
        <v>1003493.38</v>
      </c>
    </row>
    <row r="249" spans="1:29" ht="14.15" x14ac:dyDescent="0.3">
      <c r="A249" s="35"/>
      <c r="B249" s="35"/>
      <c r="C249" s="35" t="s">
        <v>521</v>
      </c>
      <c r="D249" s="37" t="s">
        <v>520</v>
      </c>
      <c r="E249" s="36">
        <f>Source!CA148</f>
        <v>46</v>
      </c>
      <c r="F249" s="39"/>
      <c r="G249" s="38"/>
      <c r="H249" s="36"/>
      <c r="I249" s="39">
        <f>SUM(S235:S248)</f>
        <v>9327.09</v>
      </c>
      <c r="J249" s="36">
        <f>Source!AU148</f>
        <v>46</v>
      </c>
      <c r="K249" s="39">
        <f>SUM(T235:T248)</f>
        <v>512896.61</v>
      </c>
    </row>
    <row r="250" spans="1:29" ht="14.15" x14ac:dyDescent="0.3">
      <c r="A250" s="46"/>
      <c r="B250" s="46"/>
      <c r="C250" s="46" t="s">
        <v>522</v>
      </c>
      <c r="D250" s="47" t="s">
        <v>523</v>
      </c>
      <c r="E250" s="48">
        <f>Source!AQ147</f>
        <v>24.76</v>
      </c>
      <c r="F250" s="49"/>
      <c r="G250" s="50" t="str">
        <f>Source!DI147</f>
        <v>*1,1</v>
      </c>
      <c r="H250" s="48">
        <f>Source!AV148</f>
        <v>1.0469999999999999</v>
      </c>
      <c r="I250" s="49">
        <f>Source!U147</f>
        <v>1706.4029452800003</v>
      </c>
      <c r="J250" s="48"/>
      <c r="K250" s="49"/>
    </row>
    <row r="251" spans="1:29" ht="14.15" x14ac:dyDescent="0.3">
      <c r="C251" s="51" t="s">
        <v>524</v>
      </c>
      <c r="H251" s="52">
        <f>I237+I238+I239+I248+I249+SUM(I240:I247)-SUMIF(AC240:AC247, 5, I240:I247)-SUMIF(AC240:AC247, 6, I240:I247)</f>
        <v>85159.75</v>
      </c>
      <c r="I251" s="52"/>
      <c r="J251" s="52">
        <f>K237+K238+K239+K248+K249+SUM(K240:K247)-SUMIF(AC240:AC247, 5, K240:K247)-SUMIF(AC240:AC247, 6, K240:K247)</f>
        <v>3023656.9799999995</v>
      </c>
      <c r="K251" s="52"/>
    </row>
    <row r="252" spans="1:29" ht="14.15" hidden="1" x14ac:dyDescent="0.3">
      <c r="C252" s="51" t="s">
        <v>525</v>
      </c>
      <c r="H252" s="54">
        <f>SUMIF(AC240:AC247, 5, I240:I247)+SUMIF(AC240:AC247, 6, I240:I247)</f>
        <v>0</v>
      </c>
      <c r="I252" s="54"/>
      <c r="J252" s="54">
        <f>SUMIF(AC240:AC247, 5, K240:K247)+SUMIF(AC240:AC247, 6, K240:K247)</f>
        <v>0</v>
      </c>
      <c r="K252" s="54"/>
    </row>
    <row r="253" spans="1:29" ht="14.15" x14ac:dyDescent="0.3">
      <c r="C253" s="51" t="s">
        <v>526</v>
      </c>
      <c r="H253" s="54">
        <f>I237+I238+I239+I248+I249+SUM(I240:I247)</f>
        <v>85159.75</v>
      </c>
      <c r="I253" s="54"/>
      <c r="J253" s="54">
        <f>K237+K238+K239+K248+K249+SUM(K240:K247)</f>
        <v>3023656.9799999995</v>
      </c>
      <c r="K253" s="54"/>
      <c r="O253" s="55">
        <f>I237+I238+I239+I248+I249+SUM(I240:I247)</f>
        <v>85159.75</v>
      </c>
      <c r="P253" s="55">
        <f>K237+K238+K239+K248+K249+SUM(K240:K247)</f>
        <v>3023656.9799999995</v>
      </c>
    </row>
    <row r="255" spans="1:29" ht="78.45" x14ac:dyDescent="0.3">
      <c r="A255" s="35">
        <v>17</v>
      </c>
      <c r="B255" s="35" t="s">
        <v>572</v>
      </c>
      <c r="C255" s="35" t="s">
        <v>291</v>
      </c>
      <c r="D255" s="37" t="str">
        <f>Source!H165</f>
        <v>100 м</v>
      </c>
      <c r="E255" s="36">
        <f>Source!I165</f>
        <v>0.3</v>
      </c>
      <c r="F255" s="39"/>
      <c r="G255" s="38"/>
      <c r="H255" s="36"/>
      <c r="I255" s="39"/>
      <c r="J255" s="36"/>
      <c r="K255" s="39"/>
      <c r="Q255">
        <f>Source!X165</f>
        <v>85.89</v>
      </c>
      <c r="R255">
        <f>Source!X166</f>
        <v>4723.29</v>
      </c>
      <c r="S255">
        <f>Source!Y165</f>
        <v>45.16</v>
      </c>
      <c r="T255">
        <f>Source!Y166</f>
        <v>2483.38</v>
      </c>
      <c r="U255">
        <f>ROUND((175/100)*ROUND(Source!R165, 2), 2)</f>
        <v>0.77</v>
      </c>
      <c r="V255">
        <f>ROUND((0/100)*ROUND(Source!R166, 2), 2)</f>
        <v>0</v>
      </c>
      <c r="AC255">
        <v>0</v>
      </c>
    </row>
    <row r="256" spans="1:29" x14ac:dyDescent="0.3">
      <c r="C256" s="56" t="str">
        <f>"Объем: "&amp;Source!I165&amp;"=30/"&amp;"100"</f>
        <v>Объем: 0,3=30/100</v>
      </c>
    </row>
    <row r="257" spans="1:29" ht="14.15" x14ac:dyDescent="0.3">
      <c r="A257" s="35"/>
      <c r="B257" s="35"/>
      <c r="C257" s="35" t="s">
        <v>514</v>
      </c>
      <c r="D257" s="37"/>
      <c r="E257" s="36"/>
      <c r="F257" s="39">
        <f>Source!AO165</f>
        <v>255.02</v>
      </c>
      <c r="G257" s="38" t="str">
        <f>Source!DG165</f>
        <v>*1,1</v>
      </c>
      <c r="H257" s="36">
        <f>Source!AV166</f>
        <v>1.0469999999999999</v>
      </c>
      <c r="I257" s="39">
        <f>Source!S165</f>
        <v>88.11</v>
      </c>
      <c r="J257" s="36">
        <f>IF(Source!BA166&lt;&gt; 0, Source!BA166, 1)</f>
        <v>54.99</v>
      </c>
      <c r="K257" s="39">
        <f>Source!S166</f>
        <v>4845.17</v>
      </c>
    </row>
    <row r="258" spans="1:29" ht="14.15" x14ac:dyDescent="0.3">
      <c r="A258" s="35"/>
      <c r="B258" s="35"/>
      <c r="C258" s="35" t="s">
        <v>515</v>
      </c>
      <c r="D258" s="37"/>
      <c r="E258" s="36"/>
      <c r="F258" s="39">
        <f>Source!AM165</f>
        <v>28.09</v>
      </c>
      <c r="G258" s="38" t="str">
        <f>Source!DE165</f>
        <v>*1,1</v>
      </c>
      <c r="H258" s="36">
        <f>Source!AV166</f>
        <v>1.0469999999999999</v>
      </c>
      <c r="I258" s="39">
        <f>Source!Q165</f>
        <v>9.7100000000000009</v>
      </c>
      <c r="J258" s="36">
        <f>IF(Source!BB166&lt;&gt; 0, Source!BB166, 1)</f>
        <v>12.61</v>
      </c>
      <c r="K258" s="39">
        <f>Source!Q166</f>
        <v>122.44</v>
      </c>
    </row>
    <row r="259" spans="1:29" ht="14.15" x14ac:dyDescent="0.3">
      <c r="A259" s="35"/>
      <c r="B259" s="35"/>
      <c r="C259" s="35" t="s">
        <v>516</v>
      </c>
      <c r="D259" s="37"/>
      <c r="E259" s="36"/>
      <c r="F259" s="39">
        <f>Source!AN165</f>
        <v>1.26</v>
      </c>
      <c r="G259" s="38" t="str">
        <f>Source!DF165</f>
        <v>*1,1</v>
      </c>
      <c r="H259" s="36">
        <f>Source!AV166</f>
        <v>1.0469999999999999</v>
      </c>
      <c r="I259" s="40">
        <f>Source!R165</f>
        <v>0.44</v>
      </c>
      <c r="J259" s="36">
        <f>IF(Source!BS166&lt;&gt; 0, Source!BS166, 1)</f>
        <v>54.99</v>
      </c>
      <c r="K259" s="40">
        <f>Source!R166</f>
        <v>24.2</v>
      </c>
    </row>
    <row r="260" spans="1:29" ht="14.15" x14ac:dyDescent="0.3">
      <c r="A260" s="35"/>
      <c r="B260" s="35"/>
      <c r="C260" s="35" t="s">
        <v>517</v>
      </c>
      <c r="D260" s="37"/>
      <c r="E260" s="36"/>
      <c r="F260" s="39">
        <f>Source!AL165</f>
        <v>981</v>
      </c>
      <c r="G260" s="38" t="str">
        <f>Source!DD165</f>
        <v/>
      </c>
      <c r="H260" s="36">
        <f>Source!AW166</f>
        <v>1</v>
      </c>
      <c r="I260" s="39">
        <f>Source!P165</f>
        <v>294.3</v>
      </c>
      <c r="J260" s="36">
        <f>IF(Source!BC166&lt;&gt; 0, Source!BC166, 1)</f>
        <v>2.77</v>
      </c>
      <c r="K260" s="39">
        <f>Source!P166</f>
        <v>815.21</v>
      </c>
    </row>
    <row r="261" spans="1:29" ht="70.75" x14ac:dyDescent="0.3">
      <c r="A261" s="35" t="s">
        <v>293</v>
      </c>
      <c r="B261" s="35" t="str">
        <f>Source!F167</f>
        <v>1.12-5-43</v>
      </c>
      <c r="C261" s="35" t="s">
        <v>295</v>
      </c>
      <c r="D261" s="37" t="str">
        <f>Source!H167</f>
        <v>м</v>
      </c>
      <c r="E261" s="36">
        <f>Source!I167</f>
        <v>30.6</v>
      </c>
      <c r="F261" s="39">
        <f>Source!AK167</f>
        <v>5.78</v>
      </c>
      <c r="G261" s="57" t="s">
        <v>3</v>
      </c>
      <c r="H261" s="36">
        <f>Source!AW168</f>
        <v>1</v>
      </c>
      <c r="I261" s="39">
        <f>Source!O167</f>
        <v>176.87</v>
      </c>
      <c r="J261" s="36">
        <f>IF(Source!BC168&lt;&gt; 0, Source!BC168, 1)</f>
        <v>6.14</v>
      </c>
      <c r="K261" s="39">
        <f>Source!O168</f>
        <v>1085.98</v>
      </c>
      <c r="Q261">
        <f>Source!X167</f>
        <v>0</v>
      </c>
      <c r="R261">
        <f>Source!X168</f>
        <v>0</v>
      </c>
      <c r="S261">
        <f>Source!Y167</f>
        <v>0</v>
      </c>
      <c r="T261">
        <f>Source!Y168</f>
        <v>0</v>
      </c>
      <c r="U261">
        <f>ROUND((175/100)*ROUND(Source!R167, 2), 2)</f>
        <v>0</v>
      </c>
      <c r="V261">
        <f>ROUND((0/100)*ROUND(Source!R168, 2), 2)</f>
        <v>0</v>
      </c>
      <c r="AC261">
        <v>3</v>
      </c>
    </row>
    <row r="262" spans="1:29" ht="42.45" x14ac:dyDescent="0.3">
      <c r="A262" s="35" t="s">
        <v>298</v>
      </c>
      <c r="B262" s="35" t="str">
        <f>Source!F169</f>
        <v>1.21-5-872</v>
      </c>
      <c r="C262" s="35" t="s">
        <v>300</v>
      </c>
      <c r="D262" s="37" t="str">
        <f>Source!H169</f>
        <v>1000 шт.</v>
      </c>
      <c r="E262" s="36">
        <f>Source!I169</f>
        <v>6.6000000000000003E-2</v>
      </c>
      <c r="F262" s="39">
        <f>Source!AK169</f>
        <v>919.92</v>
      </c>
      <c r="G262" s="57" t="s">
        <v>3</v>
      </c>
      <c r="H262" s="36">
        <f>Source!AW170</f>
        <v>1</v>
      </c>
      <c r="I262" s="39">
        <f>Source!O169</f>
        <v>60.71</v>
      </c>
      <c r="J262" s="36">
        <f>IF(Source!BC170&lt;&gt; 0, Source!BC170, 1)</f>
        <v>2.84</v>
      </c>
      <c r="K262" s="39">
        <f>Source!O170</f>
        <v>172.42</v>
      </c>
      <c r="Q262">
        <f>Source!X169</f>
        <v>0</v>
      </c>
      <c r="R262">
        <f>Source!X170</f>
        <v>0</v>
      </c>
      <c r="S262">
        <f>Source!Y169</f>
        <v>0</v>
      </c>
      <c r="T262">
        <f>Source!Y170</f>
        <v>0</v>
      </c>
      <c r="U262">
        <f>ROUND((175/100)*ROUND(Source!R169, 2), 2)</f>
        <v>0</v>
      </c>
      <c r="V262">
        <f>ROUND((0/100)*ROUND(Source!R170, 2), 2)</f>
        <v>0</v>
      </c>
      <c r="AC262">
        <v>3</v>
      </c>
    </row>
    <row r="263" spans="1:29" ht="28.3" x14ac:dyDescent="0.3">
      <c r="A263" s="35" t="s">
        <v>302</v>
      </c>
      <c r="B263" s="35" t="str">
        <f>Source!F171</f>
        <v>1.1-1-617</v>
      </c>
      <c r="C263" s="35" t="s">
        <v>304</v>
      </c>
      <c r="D263" s="37" t="str">
        <f>Source!H171</f>
        <v>кг</v>
      </c>
      <c r="E263" s="36">
        <f>Source!I171</f>
        <v>5</v>
      </c>
      <c r="F263" s="39">
        <f>Source!AK171</f>
        <v>42.53</v>
      </c>
      <c r="G263" s="57" t="s">
        <v>3</v>
      </c>
      <c r="H263" s="36">
        <f>Source!AW172</f>
        <v>1</v>
      </c>
      <c r="I263" s="39">
        <f>Source!O171</f>
        <v>212.65</v>
      </c>
      <c r="J263" s="36">
        <f>IF(Source!BC172&lt;&gt; 0, Source!BC172, 1)</f>
        <v>4.22</v>
      </c>
      <c r="K263" s="39">
        <f>Source!O172</f>
        <v>897.38</v>
      </c>
      <c r="Q263">
        <f>Source!X171</f>
        <v>0</v>
      </c>
      <c r="R263">
        <f>Source!X172</f>
        <v>0</v>
      </c>
      <c r="S263">
        <f>Source!Y171</f>
        <v>0</v>
      </c>
      <c r="T263">
        <f>Source!Y172</f>
        <v>0</v>
      </c>
      <c r="U263">
        <f>ROUND((175/100)*ROUND(Source!R171, 2), 2)</f>
        <v>0</v>
      </c>
      <c r="V263">
        <f>ROUND((0/100)*ROUND(Source!R172, 2), 2)</f>
        <v>0</v>
      </c>
      <c r="AC263">
        <v>3</v>
      </c>
    </row>
    <row r="264" spans="1:29" ht="14.15" x14ac:dyDescent="0.3">
      <c r="A264" s="35"/>
      <c r="B264" s="35"/>
      <c r="C264" s="35" t="s">
        <v>519</v>
      </c>
      <c r="D264" s="37" t="s">
        <v>520</v>
      </c>
      <c r="E264" s="36">
        <f>Source!BZ166</f>
        <v>97</v>
      </c>
      <c r="F264" s="39"/>
      <c r="G264" s="38"/>
      <c r="H264" s="36"/>
      <c r="I264" s="39">
        <f>SUM(Q255:Q263)</f>
        <v>85.89</v>
      </c>
      <c r="J264" s="36">
        <f>Source!AT166</f>
        <v>97</v>
      </c>
      <c r="K264" s="39">
        <f>SUM(R255:R263)</f>
        <v>4723.29</v>
      </c>
    </row>
    <row r="265" spans="1:29" ht="14.15" x14ac:dyDescent="0.3">
      <c r="A265" s="35"/>
      <c r="B265" s="35"/>
      <c r="C265" s="35" t="s">
        <v>521</v>
      </c>
      <c r="D265" s="37" t="s">
        <v>520</v>
      </c>
      <c r="E265" s="36">
        <f>Source!CA166</f>
        <v>51</v>
      </c>
      <c r="F265" s="39"/>
      <c r="G265" s="38"/>
      <c r="H265" s="36"/>
      <c r="I265" s="39">
        <f>SUM(S255:S264)</f>
        <v>45.16</v>
      </c>
      <c r="J265" s="36">
        <f>Source!AU166</f>
        <v>51</v>
      </c>
      <c r="K265" s="39">
        <f>SUM(T255:T264)</f>
        <v>2483.38</v>
      </c>
    </row>
    <row r="266" spans="1:29" ht="14.15" x14ac:dyDescent="0.3">
      <c r="A266" s="46"/>
      <c r="B266" s="46"/>
      <c r="C266" s="46" t="s">
        <v>522</v>
      </c>
      <c r="D266" s="47" t="s">
        <v>523</v>
      </c>
      <c r="E266" s="48">
        <f>Source!AQ165</f>
        <v>20.7</v>
      </c>
      <c r="F266" s="49"/>
      <c r="G266" s="50" t="str">
        <f>Source!DI165</f>
        <v>*1,1</v>
      </c>
      <c r="H266" s="48">
        <f>Source!AV166</f>
        <v>1.0469999999999999</v>
      </c>
      <c r="I266" s="49">
        <f>Source!U165</f>
        <v>7.1520569999999983</v>
      </c>
      <c r="J266" s="48"/>
      <c r="K266" s="49"/>
    </row>
    <row r="267" spans="1:29" ht="14.15" x14ac:dyDescent="0.3">
      <c r="C267" s="51" t="s">
        <v>524</v>
      </c>
      <c r="H267" s="52">
        <f>I257+I258+I260+I264+I265+SUM(I261:I263)-SUMIF(AC261:AC263, 5, I261:I263)-SUMIF(AC261:AC263, 6, I261:I263)</f>
        <v>973.4</v>
      </c>
      <c r="I267" s="52"/>
      <c r="J267" s="52">
        <f>K257+K258+K260+K264+K265+SUM(K261:K263)-SUMIF(AC261:AC263, 5, K261:K263)-SUMIF(AC261:AC263, 6, K261:K263)</f>
        <v>15145.270000000002</v>
      </c>
      <c r="K267" s="52"/>
    </row>
    <row r="268" spans="1:29" ht="14.15" hidden="1" x14ac:dyDescent="0.3">
      <c r="C268" s="51" t="s">
        <v>525</v>
      </c>
      <c r="H268" s="54">
        <f>SUMIF(AC261:AC263, 5, I261:I263)+SUMIF(AC261:AC263, 6, I261:I263)</f>
        <v>0</v>
      </c>
      <c r="I268" s="54"/>
      <c r="J268" s="54">
        <f>SUMIF(AC261:AC263, 5, K261:K263)+SUMIF(AC261:AC263, 6, K261:K263)</f>
        <v>0</v>
      </c>
      <c r="K268" s="54"/>
    </row>
    <row r="269" spans="1:29" ht="14.15" x14ac:dyDescent="0.3">
      <c r="C269" s="51" t="s">
        <v>526</v>
      </c>
      <c r="H269" s="54">
        <f>I257+I258+I260+I264+I265+SUM(I261:I263)</f>
        <v>973.4</v>
      </c>
      <c r="I269" s="54"/>
      <c r="J269" s="54">
        <f>K257+K258+K260+K264+K265+SUM(K261:K263)</f>
        <v>15145.270000000002</v>
      </c>
      <c r="K269" s="54"/>
      <c r="O269" s="55">
        <f>I257+I258+I260+I264+I265+SUM(I261:I263)</f>
        <v>973.4</v>
      </c>
      <c r="P269" s="55">
        <f>K257+K258+K260+K264+K265+SUM(K261:K263)</f>
        <v>15145.270000000002</v>
      </c>
    </row>
    <row r="271" spans="1:29" ht="78.45" x14ac:dyDescent="0.3">
      <c r="A271" s="35">
        <v>18</v>
      </c>
      <c r="B271" s="35" t="s">
        <v>573</v>
      </c>
      <c r="C271" s="35" t="s">
        <v>309</v>
      </c>
      <c r="D271" s="37" t="str">
        <f>Source!H173</f>
        <v>100 шт.</v>
      </c>
      <c r="E271" s="36">
        <f>Source!I173</f>
        <v>1</v>
      </c>
      <c r="F271" s="39"/>
      <c r="G271" s="38"/>
      <c r="H271" s="36"/>
      <c r="I271" s="39"/>
      <c r="J271" s="36"/>
      <c r="K271" s="39"/>
      <c r="Q271">
        <f>Source!X173</f>
        <v>922.03</v>
      </c>
      <c r="R271">
        <f>Source!X174</f>
        <v>50702.54</v>
      </c>
      <c r="S271">
        <f>Source!Y173</f>
        <v>471.26</v>
      </c>
      <c r="T271">
        <f>Source!Y174</f>
        <v>25914.63</v>
      </c>
      <c r="U271">
        <f>ROUND((175/100)*ROUND(Source!R173, 2), 2)</f>
        <v>0</v>
      </c>
      <c r="V271">
        <f>ROUND((0/100)*ROUND(Source!R174, 2), 2)</f>
        <v>0</v>
      </c>
      <c r="AC271">
        <v>0</v>
      </c>
    </row>
    <row r="272" spans="1:29" x14ac:dyDescent="0.3">
      <c r="C272" s="56" t="str">
        <f>"Объем: "&amp;Source!I173&amp;"=100/"&amp;"100"</f>
        <v>Объем: 1=100/100</v>
      </c>
    </row>
    <row r="273" spans="1:29" ht="14.15" x14ac:dyDescent="0.3">
      <c r="A273" s="35"/>
      <c r="B273" s="35"/>
      <c r="C273" s="35" t="s">
        <v>514</v>
      </c>
      <c r="D273" s="37"/>
      <c r="E273" s="36"/>
      <c r="F273" s="39">
        <f>Source!AO173</f>
        <v>889.54</v>
      </c>
      <c r="G273" s="38" t="str">
        <f>Source!DG173</f>
        <v>*1,1</v>
      </c>
      <c r="H273" s="36">
        <f>Source!AV174</f>
        <v>1.0469999999999999</v>
      </c>
      <c r="I273" s="39">
        <f>Source!S173</f>
        <v>1024.48</v>
      </c>
      <c r="J273" s="36">
        <f>IF(Source!BA174&lt;&gt; 0, Source!BA174, 1)</f>
        <v>54.99</v>
      </c>
      <c r="K273" s="39">
        <f>Source!S174</f>
        <v>56336.160000000003</v>
      </c>
    </row>
    <row r="274" spans="1:29" ht="14.15" x14ac:dyDescent="0.3">
      <c r="A274" s="35"/>
      <c r="B274" s="35"/>
      <c r="C274" s="35" t="s">
        <v>515</v>
      </c>
      <c r="D274" s="37"/>
      <c r="E274" s="36"/>
      <c r="F274" s="39">
        <f>Source!AM173</f>
        <v>6.06</v>
      </c>
      <c r="G274" s="38" t="str">
        <f>Source!DE173</f>
        <v>*1,1</v>
      </c>
      <c r="H274" s="36">
        <f>Source!AV174</f>
        <v>1.0469999999999999</v>
      </c>
      <c r="I274" s="39">
        <f>Source!Q173</f>
        <v>6.98</v>
      </c>
      <c r="J274" s="36">
        <f>IF(Source!BB174&lt;&gt; 0, Source!BB174, 1)</f>
        <v>8.7200000000000006</v>
      </c>
      <c r="K274" s="39">
        <f>Source!Q174</f>
        <v>60.87</v>
      </c>
    </row>
    <row r="275" spans="1:29" ht="14.15" x14ac:dyDescent="0.3">
      <c r="A275" s="35"/>
      <c r="B275" s="35"/>
      <c r="C275" s="35" t="s">
        <v>517</v>
      </c>
      <c r="D275" s="37"/>
      <c r="E275" s="36"/>
      <c r="F275" s="39">
        <f>Source!AL173</f>
        <v>3.41</v>
      </c>
      <c r="G275" s="38" t="str">
        <f>Source!DD173</f>
        <v/>
      </c>
      <c r="H275" s="36">
        <f>Source!AW174</f>
        <v>1</v>
      </c>
      <c r="I275" s="39">
        <f>Source!P173</f>
        <v>3.41</v>
      </c>
      <c r="J275" s="36">
        <f>IF(Source!BC174&lt;&gt; 0, Source!BC174, 1)</f>
        <v>11.67</v>
      </c>
      <c r="K275" s="39">
        <f>Source!P174</f>
        <v>39.79</v>
      </c>
    </row>
    <row r="276" spans="1:29" ht="99" x14ac:dyDescent="0.3">
      <c r="A276" s="35" t="s">
        <v>311</v>
      </c>
      <c r="B276" s="35" t="str">
        <f>Source!F175</f>
        <v>1.21-5-2488</v>
      </c>
      <c r="C276" s="35" t="s">
        <v>313</v>
      </c>
      <c r="D276" s="37" t="str">
        <f>Source!H175</f>
        <v>шт.</v>
      </c>
      <c r="E276" s="36">
        <f>Source!I175</f>
        <v>100</v>
      </c>
      <c r="F276" s="39">
        <f>Source!AK175</f>
        <v>131.71</v>
      </c>
      <c r="G276" s="57" t="s">
        <v>3</v>
      </c>
      <c r="H276" s="36">
        <f>Source!AW176</f>
        <v>1</v>
      </c>
      <c r="I276" s="39">
        <f>Source!O175</f>
        <v>13171</v>
      </c>
      <c r="J276" s="36">
        <f>IF(Source!BC176&lt;&gt; 0, Source!BC176, 1)</f>
        <v>4.78</v>
      </c>
      <c r="K276" s="39">
        <f>Source!O176</f>
        <v>62957.38</v>
      </c>
      <c r="Q276">
        <f>Source!X175</f>
        <v>0</v>
      </c>
      <c r="R276">
        <f>Source!X176</f>
        <v>0</v>
      </c>
      <c r="S276">
        <f>Source!Y175</f>
        <v>0</v>
      </c>
      <c r="T276">
        <f>Source!Y176</f>
        <v>0</v>
      </c>
      <c r="U276">
        <f>ROUND((175/100)*ROUND(Source!R175, 2), 2)</f>
        <v>0</v>
      </c>
      <c r="V276">
        <f>ROUND((0/100)*ROUND(Source!R176, 2), 2)</f>
        <v>0</v>
      </c>
      <c r="AC276">
        <v>3</v>
      </c>
    </row>
    <row r="277" spans="1:29" ht="28.3" x14ac:dyDescent="0.3">
      <c r="A277" s="35" t="s">
        <v>315</v>
      </c>
      <c r="B277" s="35" t="str">
        <f>Source!F177</f>
        <v>1.7-5-390</v>
      </c>
      <c r="C277" s="35" t="s">
        <v>287</v>
      </c>
      <c r="D277" s="37" t="str">
        <f>Source!H177</f>
        <v>100 шт.</v>
      </c>
      <c r="E277" s="36">
        <f>Source!I177</f>
        <v>2.02</v>
      </c>
      <c r="F277" s="39">
        <f>Source!AK177</f>
        <v>32.200000000000003</v>
      </c>
      <c r="G277" s="57" t="s">
        <v>3</v>
      </c>
      <c r="H277" s="36">
        <f>Source!AW178</f>
        <v>1</v>
      </c>
      <c r="I277" s="39">
        <f>Source!O177</f>
        <v>65.040000000000006</v>
      </c>
      <c r="J277" s="36">
        <f>IF(Source!BC178&lt;&gt; 0, Source!BC178, 1)</f>
        <v>19.39</v>
      </c>
      <c r="K277" s="39">
        <f>Source!O178</f>
        <v>1261.1300000000001</v>
      </c>
      <c r="Q277">
        <f>Source!X177</f>
        <v>0</v>
      </c>
      <c r="R277">
        <f>Source!X178</f>
        <v>0</v>
      </c>
      <c r="S277">
        <f>Source!Y177</f>
        <v>0</v>
      </c>
      <c r="T277">
        <f>Source!Y178</f>
        <v>0</v>
      </c>
      <c r="U277">
        <f>ROUND((175/100)*ROUND(Source!R177, 2), 2)</f>
        <v>0</v>
      </c>
      <c r="V277">
        <f>ROUND((0/100)*ROUND(Source!R178, 2), 2)</f>
        <v>0</v>
      </c>
      <c r="AC277">
        <v>3</v>
      </c>
    </row>
    <row r="278" spans="1:29" ht="14.15" x14ac:dyDescent="0.3">
      <c r="A278" s="35"/>
      <c r="B278" s="35"/>
      <c r="C278" s="35" t="s">
        <v>519</v>
      </c>
      <c r="D278" s="37" t="s">
        <v>520</v>
      </c>
      <c r="E278" s="36">
        <f>Source!BZ174</f>
        <v>90</v>
      </c>
      <c r="F278" s="39"/>
      <c r="G278" s="38"/>
      <c r="H278" s="36"/>
      <c r="I278" s="39">
        <f>SUM(Q271:Q277)</f>
        <v>922.03</v>
      </c>
      <c r="J278" s="36">
        <f>Source!AT174</f>
        <v>90</v>
      </c>
      <c r="K278" s="39">
        <f>SUM(R271:R277)</f>
        <v>50702.54</v>
      </c>
    </row>
    <row r="279" spans="1:29" ht="14.15" x14ac:dyDescent="0.3">
      <c r="A279" s="35"/>
      <c r="B279" s="35"/>
      <c r="C279" s="35" t="s">
        <v>521</v>
      </c>
      <c r="D279" s="37" t="s">
        <v>520</v>
      </c>
      <c r="E279" s="36">
        <f>Source!CA174</f>
        <v>46</v>
      </c>
      <c r="F279" s="39"/>
      <c r="G279" s="38"/>
      <c r="H279" s="36"/>
      <c r="I279" s="39">
        <f>SUM(S271:S278)</f>
        <v>471.26</v>
      </c>
      <c r="J279" s="36">
        <f>Source!AU174</f>
        <v>46</v>
      </c>
      <c r="K279" s="39">
        <f>SUM(T271:T278)</f>
        <v>25914.63</v>
      </c>
    </row>
    <row r="280" spans="1:29" ht="14.15" x14ac:dyDescent="0.3">
      <c r="A280" s="46"/>
      <c r="B280" s="46"/>
      <c r="C280" s="46" t="s">
        <v>522</v>
      </c>
      <c r="D280" s="47" t="s">
        <v>523</v>
      </c>
      <c r="E280" s="48">
        <f>Source!AQ173</f>
        <v>69.3</v>
      </c>
      <c r="F280" s="49"/>
      <c r="G280" s="50" t="str">
        <f>Source!DI173</f>
        <v>*1,1</v>
      </c>
      <c r="H280" s="48">
        <f>Source!AV174</f>
        <v>1.0469999999999999</v>
      </c>
      <c r="I280" s="49">
        <f>Source!U173</f>
        <v>79.812809999999999</v>
      </c>
      <c r="J280" s="48"/>
      <c r="K280" s="49"/>
    </row>
    <row r="281" spans="1:29" ht="14.15" x14ac:dyDescent="0.3">
      <c r="C281" s="51" t="s">
        <v>524</v>
      </c>
      <c r="H281" s="52">
        <f>I273+I274+I275+I278+I279+SUM(I276:I277)-SUMIF(AC276:AC277, 5, I276:I277)-SUMIF(AC276:AC277, 6, I276:I277)</f>
        <v>15664.2</v>
      </c>
      <c r="I281" s="52"/>
      <c r="J281" s="52">
        <f>K273+K274+K275+K278+K279+SUM(K276:K277)-SUMIF(AC276:AC277, 5, K276:K277)-SUMIF(AC276:AC277, 6, K276:K277)</f>
        <v>197272.5</v>
      </c>
      <c r="K281" s="52"/>
    </row>
    <row r="282" spans="1:29" ht="14.15" hidden="1" x14ac:dyDescent="0.3">
      <c r="C282" s="51" t="s">
        <v>525</v>
      </c>
      <c r="H282" s="54">
        <f>SUMIF(AC276:AC277, 5, I276:I277)+SUMIF(AC276:AC277, 6, I276:I277)</f>
        <v>0</v>
      </c>
      <c r="I282" s="54"/>
      <c r="J282" s="54">
        <f>SUMIF(AC276:AC277, 5, K276:K277)+SUMIF(AC276:AC277, 6, K276:K277)</f>
        <v>0</v>
      </c>
      <c r="K282" s="54"/>
    </row>
    <row r="283" spans="1:29" ht="14.15" x14ac:dyDescent="0.3">
      <c r="C283" s="51" t="s">
        <v>526</v>
      </c>
      <c r="H283" s="54">
        <f>I273+I274+I275+I278+I279+SUM(I276:I277)</f>
        <v>15664.2</v>
      </c>
      <c r="I283" s="54"/>
      <c r="J283" s="54">
        <f>K273+K274+K275+K278+K279+SUM(K276:K277)</f>
        <v>197272.5</v>
      </c>
      <c r="K283" s="54"/>
      <c r="O283" s="55">
        <f>I273+I274+I275+I278+I279+SUM(I276:I277)</f>
        <v>15664.2</v>
      </c>
      <c r="P283" s="55">
        <f>K273+K274+K275+K278+K279+SUM(K276:K277)</f>
        <v>197272.5</v>
      </c>
    </row>
    <row r="285" spans="1:29" ht="78.45" x14ac:dyDescent="0.3">
      <c r="A285" s="35">
        <v>19</v>
      </c>
      <c r="B285" s="35" t="s">
        <v>574</v>
      </c>
      <c r="C285" s="35" t="s">
        <v>318</v>
      </c>
      <c r="D285" s="37" t="str">
        <f>Source!H179</f>
        <v>100 шт.</v>
      </c>
      <c r="E285" s="36">
        <f>Source!I179</f>
        <v>1</v>
      </c>
      <c r="F285" s="39"/>
      <c r="G285" s="38"/>
      <c r="H285" s="36"/>
      <c r="I285" s="39"/>
      <c r="J285" s="36"/>
      <c r="K285" s="39"/>
      <c r="Q285">
        <f>Source!X179</f>
        <v>172.71</v>
      </c>
      <c r="R285">
        <f>Source!X180</f>
        <v>9497.32</v>
      </c>
      <c r="S285">
        <f>Source!Y179</f>
        <v>88.27</v>
      </c>
      <c r="T285">
        <f>Source!Y180</f>
        <v>4854.1899999999996</v>
      </c>
      <c r="U285">
        <f>ROUND((175/100)*ROUND(Source!R179, 2), 2)</f>
        <v>0</v>
      </c>
      <c r="V285">
        <f>ROUND((0/100)*ROUND(Source!R180, 2), 2)</f>
        <v>0</v>
      </c>
      <c r="AC285">
        <v>0</v>
      </c>
    </row>
    <row r="286" spans="1:29" x14ac:dyDescent="0.3">
      <c r="C286" s="56" t="str">
        <f>"Объем: "&amp;Source!I179&amp;"=100/"&amp;"100"</f>
        <v>Объем: 1=100/100</v>
      </c>
    </row>
    <row r="287" spans="1:29" ht="14.15" x14ac:dyDescent="0.3">
      <c r="A287" s="35"/>
      <c r="B287" s="35"/>
      <c r="C287" s="35" t="s">
        <v>514</v>
      </c>
      <c r="D287" s="37"/>
      <c r="E287" s="36"/>
      <c r="F287" s="39">
        <f>Source!AO179</f>
        <v>166.62</v>
      </c>
      <c r="G287" s="38" t="str">
        <f>Source!DG179</f>
        <v>*1,1</v>
      </c>
      <c r="H287" s="36">
        <f>Source!AV180</f>
        <v>1.0469999999999999</v>
      </c>
      <c r="I287" s="39">
        <f>Source!S179</f>
        <v>191.9</v>
      </c>
      <c r="J287" s="36">
        <f>IF(Source!BA180&lt;&gt; 0, Source!BA180, 1)</f>
        <v>54.99</v>
      </c>
      <c r="K287" s="39">
        <f>Source!S180</f>
        <v>10552.58</v>
      </c>
    </row>
    <row r="288" spans="1:29" ht="14.15" x14ac:dyDescent="0.3">
      <c r="A288" s="35"/>
      <c r="B288" s="35"/>
      <c r="C288" s="35" t="s">
        <v>519</v>
      </c>
      <c r="D288" s="37" t="s">
        <v>520</v>
      </c>
      <c r="E288" s="36">
        <f>Source!BZ180</f>
        <v>90</v>
      </c>
      <c r="F288" s="39"/>
      <c r="G288" s="38"/>
      <c r="H288" s="36"/>
      <c r="I288" s="39">
        <f>SUM(Q285:Q287)</f>
        <v>172.71</v>
      </c>
      <c r="J288" s="36">
        <f>Source!AT180</f>
        <v>90</v>
      </c>
      <c r="K288" s="39">
        <f>SUM(R285:R287)</f>
        <v>9497.32</v>
      </c>
    </row>
    <row r="289" spans="1:29" ht="14.15" x14ac:dyDescent="0.3">
      <c r="A289" s="35"/>
      <c r="B289" s="35"/>
      <c r="C289" s="35" t="s">
        <v>521</v>
      </c>
      <c r="D289" s="37" t="s">
        <v>520</v>
      </c>
      <c r="E289" s="36">
        <f>Source!CA180</f>
        <v>46</v>
      </c>
      <c r="F289" s="39"/>
      <c r="G289" s="38"/>
      <c r="H289" s="36"/>
      <c r="I289" s="39">
        <f>SUM(S285:S288)</f>
        <v>88.27</v>
      </c>
      <c r="J289" s="36">
        <f>Source!AU180</f>
        <v>46</v>
      </c>
      <c r="K289" s="39">
        <f>SUM(T285:T288)</f>
        <v>4854.1899999999996</v>
      </c>
    </row>
    <row r="290" spans="1:29" ht="14.15" x14ac:dyDescent="0.3">
      <c r="A290" s="46"/>
      <c r="B290" s="46"/>
      <c r="C290" s="46" t="s">
        <v>522</v>
      </c>
      <c r="D290" s="47" t="s">
        <v>523</v>
      </c>
      <c r="E290" s="48">
        <f>Source!AQ179</f>
        <v>12.96</v>
      </c>
      <c r="F290" s="49"/>
      <c r="G290" s="50" t="str">
        <f>Source!DI179</f>
        <v>*1,1</v>
      </c>
      <c r="H290" s="48">
        <f>Source!AV180</f>
        <v>1.0469999999999999</v>
      </c>
      <c r="I290" s="49">
        <f>Source!U179</f>
        <v>14.926032000000001</v>
      </c>
      <c r="J290" s="48"/>
      <c r="K290" s="49"/>
    </row>
    <row r="291" spans="1:29" ht="14.15" x14ac:dyDescent="0.3">
      <c r="C291" s="51" t="s">
        <v>524</v>
      </c>
      <c r="H291" s="52">
        <f>I287+I288+I289+0-0-0</f>
        <v>452.88</v>
      </c>
      <c r="I291" s="52"/>
      <c r="J291" s="52">
        <f>K287+K288+K289+0-0-0</f>
        <v>24904.09</v>
      </c>
      <c r="K291" s="52"/>
    </row>
    <row r="292" spans="1:29" ht="14.15" hidden="1" x14ac:dyDescent="0.3">
      <c r="C292" s="51" t="s">
        <v>525</v>
      </c>
      <c r="H292" s="54">
        <f>0+0</f>
        <v>0</v>
      </c>
      <c r="I292" s="54"/>
      <c r="J292" s="54">
        <f>0+0</f>
        <v>0</v>
      </c>
      <c r="K292" s="54"/>
    </row>
    <row r="293" spans="1:29" ht="14.15" x14ac:dyDescent="0.3">
      <c r="C293" s="51" t="s">
        <v>526</v>
      </c>
      <c r="H293" s="54">
        <f>I287+I288+I289+0</f>
        <v>452.88</v>
      </c>
      <c r="I293" s="54"/>
      <c r="J293" s="54">
        <f>K287+K288+K289+0</f>
        <v>24904.09</v>
      </c>
      <c r="K293" s="54"/>
      <c r="O293" s="55">
        <f>I287+I288+I289+0</f>
        <v>452.88</v>
      </c>
      <c r="P293" s="55">
        <f>K287+K288+K289+0</f>
        <v>24904.09</v>
      </c>
    </row>
    <row r="296" spans="1:29" ht="14.15" x14ac:dyDescent="0.35">
      <c r="A296" s="59" t="str">
        <f>CONCATENATE("Итого по разделу: ",IF(Source!G182&lt;&gt;"Новый раздел", Source!G182, ""))</f>
        <v>Итого по разделу: Огнестойкая кабельная линия</v>
      </c>
      <c r="B296" s="59"/>
      <c r="C296" s="59"/>
      <c r="D296" s="59"/>
      <c r="E296" s="59"/>
      <c r="F296" s="59"/>
      <c r="G296" s="59"/>
      <c r="H296" s="54">
        <f>SUM(O234:O295)</f>
        <v>102250.23</v>
      </c>
      <c r="I296" s="53"/>
      <c r="J296" s="54">
        <f>SUM(P234:P295)</f>
        <v>3260978.8399999994</v>
      </c>
      <c r="K296" s="53"/>
    </row>
    <row r="297" spans="1:29" hidden="1" x14ac:dyDescent="0.3">
      <c r="A297" t="s">
        <v>565</v>
      </c>
      <c r="I297">
        <f>SUM(W234:W296)</f>
        <v>0</v>
      </c>
      <c r="J297">
        <f>SUM(X234:X296)</f>
        <v>0</v>
      </c>
    </row>
    <row r="298" spans="1:29" hidden="1" x14ac:dyDescent="0.3">
      <c r="A298" t="s">
        <v>566</v>
      </c>
      <c r="I298">
        <f>SUM(Y234:Y297)</f>
        <v>0</v>
      </c>
      <c r="J298">
        <f>SUM(Z234:Z297)</f>
        <v>0</v>
      </c>
    </row>
    <row r="300" spans="1:29" ht="16.3" x14ac:dyDescent="0.3">
      <c r="A300" s="34" t="str">
        <f>CONCATENATE("Раздел: ",IF(Source!G212&lt;&gt;"Новый раздел", Source!G212, ""))</f>
        <v>Раздел: АРМ диспетчера</v>
      </c>
      <c r="B300" s="34"/>
      <c r="C300" s="34"/>
      <c r="D300" s="34"/>
      <c r="E300" s="34"/>
      <c r="F300" s="34"/>
      <c r="G300" s="34"/>
      <c r="H300" s="34"/>
      <c r="I300" s="34"/>
      <c r="J300" s="34"/>
      <c r="K300" s="34"/>
    </row>
    <row r="301" spans="1:29" ht="78.45" x14ac:dyDescent="0.3">
      <c r="A301" s="35">
        <v>20</v>
      </c>
      <c r="B301" s="35" t="s">
        <v>575</v>
      </c>
      <c r="C301" s="35" t="s">
        <v>323</v>
      </c>
      <c r="D301" s="37" t="str">
        <f>Source!H216</f>
        <v>1  ШТ.</v>
      </c>
      <c r="E301" s="36">
        <f>Source!I216</f>
        <v>1</v>
      </c>
      <c r="F301" s="39"/>
      <c r="G301" s="38"/>
      <c r="H301" s="36"/>
      <c r="I301" s="39"/>
      <c r="J301" s="36"/>
      <c r="K301" s="39"/>
      <c r="Q301">
        <f>Source!X216</f>
        <v>96.65</v>
      </c>
      <c r="R301">
        <f>Source!X217</f>
        <v>5314.95</v>
      </c>
      <c r="S301">
        <f>Source!Y216</f>
        <v>53.92</v>
      </c>
      <c r="T301">
        <f>Source!Y217</f>
        <v>2965.18</v>
      </c>
      <c r="U301">
        <f>ROUND((175/100)*ROUND(Source!R216, 2), 2)</f>
        <v>0</v>
      </c>
      <c r="V301">
        <f>ROUND((0/100)*ROUND(Source!R217, 2), 2)</f>
        <v>0</v>
      </c>
      <c r="AC301">
        <v>0</v>
      </c>
    </row>
    <row r="302" spans="1:29" ht="14.15" x14ac:dyDescent="0.3">
      <c r="A302" s="35"/>
      <c r="B302" s="35"/>
      <c r="C302" s="35" t="s">
        <v>514</v>
      </c>
      <c r="D302" s="37"/>
      <c r="E302" s="36"/>
      <c r="F302" s="39">
        <f>Source!AO216</f>
        <v>88.34</v>
      </c>
      <c r="G302" s="38" t="str">
        <f>Source!DG216</f>
        <v>*1,1</v>
      </c>
      <c r="H302" s="36">
        <f>Source!AV217</f>
        <v>1.0469999999999999</v>
      </c>
      <c r="I302" s="39">
        <f>Source!S216</f>
        <v>101.74</v>
      </c>
      <c r="J302" s="36">
        <f>IF(Source!BA217&lt;&gt; 0, Source!BA217, 1)</f>
        <v>54.99</v>
      </c>
      <c r="K302" s="39">
        <f>Source!S217</f>
        <v>5594.68</v>
      </c>
    </row>
    <row r="303" spans="1:29" ht="14.15" x14ac:dyDescent="0.3">
      <c r="A303" s="35"/>
      <c r="B303" s="35"/>
      <c r="C303" s="35" t="s">
        <v>517</v>
      </c>
      <c r="D303" s="37"/>
      <c r="E303" s="36"/>
      <c r="F303" s="39">
        <f>Source!AL216</f>
        <v>34.869999999999997</v>
      </c>
      <c r="G303" s="38" t="str">
        <f>Source!DD216</f>
        <v/>
      </c>
      <c r="H303" s="36">
        <f>Source!AW217</f>
        <v>1</v>
      </c>
      <c r="I303" s="39">
        <f>Source!P216</f>
        <v>34.869999999999997</v>
      </c>
      <c r="J303" s="36">
        <f>IF(Source!BC217&lt;&gt; 0, Source!BC217, 1)</f>
        <v>11.35</v>
      </c>
      <c r="K303" s="39">
        <f>Source!P217</f>
        <v>395.77</v>
      </c>
    </row>
    <row r="304" spans="1:29" ht="68.150000000000006" x14ac:dyDescent="0.3">
      <c r="A304" s="41" t="s">
        <v>325</v>
      </c>
      <c r="B304" s="41" t="str">
        <f>Source!F218</f>
        <v>КА 27</v>
      </c>
      <c r="C304" s="41" t="s">
        <v>576</v>
      </c>
      <c r="D304" s="42" t="str">
        <f>Source!H218</f>
        <v>шт.</v>
      </c>
      <c r="E304" s="43">
        <f>Source!I218</f>
        <v>1</v>
      </c>
      <c r="F304" s="44">
        <f>Source!AK218</f>
        <v>15236.68</v>
      </c>
      <c r="G304" s="45" t="s">
        <v>3</v>
      </c>
      <c r="H304" s="43">
        <f>Source!AW219</f>
        <v>1</v>
      </c>
      <c r="I304" s="44">
        <f>Source!O218</f>
        <v>15236.68</v>
      </c>
      <c r="J304" s="43">
        <f>IF(Source!BC219&lt;&gt; 0, Source!BC219, 1)</f>
        <v>7.66</v>
      </c>
      <c r="K304" s="44">
        <f>Source!O219</f>
        <v>116712.97</v>
      </c>
      <c r="Q304">
        <f>Source!X218</f>
        <v>0</v>
      </c>
      <c r="R304">
        <f>Source!X219</f>
        <v>0</v>
      </c>
      <c r="S304">
        <f>Source!Y218</f>
        <v>0</v>
      </c>
      <c r="T304">
        <f>Source!Y219</f>
        <v>0</v>
      </c>
      <c r="U304">
        <f>ROUND((175/100)*ROUND(Source!R218, 2), 2)</f>
        <v>0</v>
      </c>
      <c r="V304">
        <f>ROUND((0/100)*ROUND(Source!R219, 2), 2)</f>
        <v>0</v>
      </c>
      <c r="AC304">
        <v>5</v>
      </c>
    </row>
    <row r="305" spans="1:29" ht="41.15" x14ac:dyDescent="0.3">
      <c r="A305" s="41" t="s">
        <v>329</v>
      </c>
      <c r="B305" s="41" t="str">
        <f>Source!F220</f>
        <v>КА 28</v>
      </c>
      <c r="C305" s="41" t="s">
        <v>577</v>
      </c>
      <c r="D305" s="42" t="str">
        <f>Source!H220</f>
        <v>шт.</v>
      </c>
      <c r="E305" s="43">
        <f>Source!I220</f>
        <v>1</v>
      </c>
      <c r="F305" s="44">
        <f>Source!AK220</f>
        <v>2544.39</v>
      </c>
      <c r="G305" s="45" t="s">
        <v>3</v>
      </c>
      <c r="H305" s="43">
        <f>Source!AW221</f>
        <v>1</v>
      </c>
      <c r="I305" s="44">
        <f>Source!O220</f>
        <v>2544.39</v>
      </c>
      <c r="J305" s="43">
        <f>IF(Source!BC221&lt;&gt; 0, Source!BC221, 1)</f>
        <v>7.66</v>
      </c>
      <c r="K305" s="44">
        <f>Source!O221</f>
        <v>19490.03</v>
      </c>
      <c r="Q305">
        <f>Source!X220</f>
        <v>0</v>
      </c>
      <c r="R305">
        <f>Source!X221</f>
        <v>0</v>
      </c>
      <c r="S305">
        <f>Source!Y220</f>
        <v>0</v>
      </c>
      <c r="T305">
        <f>Source!Y221</f>
        <v>0</v>
      </c>
      <c r="U305">
        <f>ROUND((175/100)*ROUND(Source!R220, 2), 2)</f>
        <v>0</v>
      </c>
      <c r="V305">
        <f>ROUND((0/100)*ROUND(Source!R221, 2), 2)</f>
        <v>0</v>
      </c>
      <c r="AC305">
        <v>5</v>
      </c>
    </row>
    <row r="306" spans="1:29" ht="14.15" x14ac:dyDescent="0.3">
      <c r="A306" s="35"/>
      <c r="B306" s="35"/>
      <c r="C306" s="35" t="s">
        <v>519</v>
      </c>
      <c r="D306" s="37" t="s">
        <v>520</v>
      </c>
      <c r="E306" s="36">
        <f>Source!BZ217</f>
        <v>95</v>
      </c>
      <c r="F306" s="39"/>
      <c r="G306" s="38"/>
      <c r="H306" s="36"/>
      <c r="I306" s="39">
        <f>SUM(Q301:Q305)</f>
        <v>96.65</v>
      </c>
      <c r="J306" s="36">
        <f>Source!AT217</f>
        <v>95</v>
      </c>
      <c r="K306" s="39">
        <f>SUM(R301:R305)</f>
        <v>5314.95</v>
      </c>
    </row>
    <row r="307" spans="1:29" ht="14.15" x14ac:dyDescent="0.3">
      <c r="A307" s="35"/>
      <c r="B307" s="35"/>
      <c r="C307" s="35" t="s">
        <v>521</v>
      </c>
      <c r="D307" s="37" t="s">
        <v>520</v>
      </c>
      <c r="E307" s="36">
        <f>Source!CA217</f>
        <v>53</v>
      </c>
      <c r="F307" s="39"/>
      <c r="G307" s="38"/>
      <c r="H307" s="36"/>
      <c r="I307" s="39">
        <f>SUM(S301:S306)</f>
        <v>53.92</v>
      </c>
      <c r="J307" s="36">
        <f>Source!AU217</f>
        <v>53</v>
      </c>
      <c r="K307" s="39">
        <f>SUM(T301:T306)</f>
        <v>2965.18</v>
      </c>
    </row>
    <row r="308" spans="1:29" ht="14.15" x14ac:dyDescent="0.3">
      <c r="A308" s="46"/>
      <c r="B308" s="46"/>
      <c r="C308" s="46" t="s">
        <v>522</v>
      </c>
      <c r="D308" s="47" t="s">
        <v>523</v>
      </c>
      <c r="E308" s="48">
        <f>Source!AQ216</f>
        <v>7</v>
      </c>
      <c r="F308" s="49"/>
      <c r="G308" s="50" t="str">
        <f>Source!DI216</f>
        <v>*1,1</v>
      </c>
      <c r="H308" s="48">
        <f>Source!AV217</f>
        <v>1.0469999999999999</v>
      </c>
      <c r="I308" s="49">
        <f>Source!U216</f>
        <v>8.0619000000000014</v>
      </c>
      <c r="J308" s="48"/>
      <c r="K308" s="49"/>
    </row>
    <row r="309" spans="1:29" ht="14.15" x14ac:dyDescent="0.3">
      <c r="C309" s="51" t="s">
        <v>524</v>
      </c>
      <c r="H309" s="52">
        <f>I302+I303+I306+I307+SUM(I304:I305)-SUMIF(AC304:AC305, 5, I304:I305)-SUMIF(AC304:AC305, 6, I304:I305)</f>
        <v>287.18000000000029</v>
      </c>
      <c r="I309" s="52"/>
      <c r="J309" s="52">
        <f>K302+K303+K306+K307+SUM(K304:K305)-SUMIF(AC304:AC305, 5, K304:K305)-SUMIF(AC304:AC305, 6, K304:K305)</f>
        <v>14270.580000000016</v>
      </c>
      <c r="K309" s="52"/>
    </row>
    <row r="310" spans="1:29" ht="14.15" x14ac:dyDescent="0.3">
      <c r="C310" s="51" t="s">
        <v>525</v>
      </c>
      <c r="H310" s="54">
        <f>SUMIF(AC304:AC305, 5, I304:I305)+SUMIF(AC304:AC305, 6, I304:I305)</f>
        <v>17781.07</v>
      </c>
      <c r="I310" s="54"/>
      <c r="J310" s="54">
        <f>SUMIF(AC304:AC305, 5, K304:K305)+SUMIF(AC304:AC305, 6, K304:K305)</f>
        <v>136203</v>
      </c>
      <c r="K310" s="54"/>
    </row>
    <row r="311" spans="1:29" ht="14.15" x14ac:dyDescent="0.3">
      <c r="C311" s="51" t="s">
        <v>526</v>
      </c>
      <c r="H311" s="54">
        <f>I302+I303+I306+I307+SUM(I304:I305)</f>
        <v>18068.25</v>
      </c>
      <c r="I311" s="54"/>
      <c r="J311" s="54">
        <f>K302+K303+K306+K307+SUM(K304:K305)</f>
        <v>150473.58000000002</v>
      </c>
      <c r="K311" s="54"/>
      <c r="O311" s="55">
        <f>I302+I303+I306+I307+SUM(I304:I305)</f>
        <v>18068.25</v>
      </c>
      <c r="P311" s="55">
        <f>K302+K303+K306+K307+SUM(K304:K305)</f>
        <v>150473.58000000002</v>
      </c>
    </row>
    <row r="313" spans="1:29" ht="78.45" x14ac:dyDescent="0.3">
      <c r="A313" s="35">
        <v>21</v>
      </c>
      <c r="B313" s="35" t="s">
        <v>558</v>
      </c>
      <c r="C313" s="35" t="s">
        <v>169</v>
      </c>
      <c r="D313" s="37" t="str">
        <f>Source!H222</f>
        <v>1  ШТ.</v>
      </c>
      <c r="E313" s="36">
        <f>Source!I222</f>
        <v>1</v>
      </c>
      <c r="F313" s="39"/>
      <c r="G313" s="38"/>
      <c r="H313" s="36"/>
      <c r="I313" s="39"/>
      <c r="J313" s="36"/>
      <c r="K313" s="39"/>
      <c r="Q313">
        <f>Source!X222</f>
        <v>19.63</v>
      </c>
      <c r="R313">
        <f>Source!X223</f>
        <v>1079.4000000000001</v>
      </c>
      <c r="S313">
        <f>Source!Y222</f>
        <v>10.029999999999999</v>
      </c>
      <c r="T313">
        <f>Source!Y223</f>
        <v>551.69000000000005</v>
      </c>
      <c r="U313">
        <f>ROUND((175/100)*ROUND(Source!R222, 2), 2)</f>
        <v>0</v>
      </c>
      <c r="V313">
        <f>ROUND((0/100)*ROUND(Source!R223, 2), 2)</f>
        <v>0</v>
      </c>
      <c r="AC313">
        <v>0</v>
      </c>
    </row>
    <row r="314" spans="1:29" ht="14.15" x14ac:dyDescent="0.3">
      <c r="A314" s="35"/>
      <c r="B314" s="35"/>
      <c r="C314" s="35" t="s">
        <v>514</v>
      </c>
      <c r="D314" s="37"/>
      <c r="E314" s="36"/>
      <c r="F314" s="39">
        <f>Source!AO222</f>
        <v>18.940000000000001</v>
      </c>
      <c r="G314" s="38" t="str">
        <f>Source!DG222</f>
        <v>*1,1</v>
      </c>
      <c r="H314" s="36">
        <f>Source!AV223</f>
        <v>1.0469999999999999</v>
      </c>
      <c r="I314" s="39">
        <f>Source!S222</f>
        <v>21.81</v>
      </c>
      <c r="J314" s="36">
        <f>IF(Source!BA223&lt;&gt; 0, Source!BA223, 1)</f>
        <v>54.99</v>
      </c>
      <c r="K314" s="39">
        <f>Source!S223</f>
        <v>1199.33</v>
      </c>
    </row>
    <row r="315" spans="1:29" ht="14.15" x14ac:dyDescent="0.3">
      <c r="A315" s="35"/>
      <c r="B315" s="35"/>
      <c r="C315" s="35" t="s">
        <v>515</v>
      </c>
      <c r="D315" s="37"/>
      <c r="E315" s="36"/>
      <c r="F315" s="39">
        <f>Source!AM222</f>
        <v>0.02</v>
      </c>
      <c r="G315" s="38" t="str">
        <f>Source!DE222</f>
        <v>*1,1</v>
      </c>
      <c r="H315" s="36">
        <f>Source!AV223</f>
        <v>1.0469999999999999</v>
      </c>
      <c r="I315" s="39">
        <f>Source!Q222</f>
        <v>0.02</v>
      </c>
      <c r="J315" s="36">
        <f>IF(Source!BB223&lt;&gt; 0, Source!BB223, 1)</f>
        <v>10</v>
      </c>
      <c r="K315" s="39">
        <f>Source!Q223</f>
        <v>0.2</v>
      </c>
    </row>
    <row r="316" spans="1:29" ht="14.15" x14ac:dyDescent="0.3">
      <c r="A316" s="35"/>
      <c r="B316" s="35"/>
      <c r="C316" s="35" t="s">
        <v>517</v>
      </c>
      <c r="D316" s="37"/>
      <c r="E316" s="36"/>
      <c r="F316" s="39">
        <f>Source!AL222</f>
        <v>2.34</v>
      </c>
      <c r="G316" s="38" t="str">
        <f>Source!DD222</f>
        <v/>
      </c>
      <c r="H316" s="36">
        <f>Source!AW223</f>
        <v>1</v>
      </c>
      <c r="I316" s="39">
        <f>Source!P222</f>
        <v>2.34</v>
      </c>
      <c r="J316" s="36">
        <f>IF(Source!BC223&lt;&gt; 0, Source!BC223, 1)</f>
        <v>10.26</v>
      </c>
      <c r="K316" s="39">
        <f>Source!P223</f>
        <v>24.01</v>
      </c>
    </row>
    <row r="317" spans="1:29" ht="99" x14ac:dyDescent="0.3">
      <c r="A317" s="41" t="s">
        <v>334</v>
      </c>
      <c r="B317" s="41" t="str">
        <f>Source!F224</f>
        <v>13.1-1-909</v>
      </c>
      <c r="C317" s="41" t="s">
        <v>578</v>
      </c>
      <c r="D317" s="42" t="str">
        <f>Source!H224</f>
        <v>шт.</v>
      </c>
      <c r="E317" s="43">
        <f>Source!I224</f>
        <v>1</v>
      </c>
      <c r="F317" s="44">
        <f>Source!AK224</f>
        <v>2519.9299999999998</v>
      </c>
      <c r="G317" s="45" t="s">
        <v>3</v>
      </c>
      <c r="H317" s="43">
        <f>Source!AW225</f>
        <v>1</v>
      </c>
      <c r="I317" s="44">
        <f>Source!O224</f>
        <v>2519.9299999999998</v>
      </c>
      <c r="J317" s="43">
        <f>IF(Source!BC225&lt;&gt; 0, Source!BC225, 1)</f>
        <v>13.45</v>
      </c>
      <c r="K317" s="44">
        <f>Source!O225</f>
        <v>33893.06</v>
      </c>
      <c r="Q317">
        <f>Source!X224</f>
        <v>0</v>
      </c>
      <c r="R317">
        <f>Source!X225</f>
        <v>0</v>
      </c>
      <c r="S317">
        <f>Source!Y224</f>
        <v>0</v>
      </c>
      <c r="T317">
        <f>Source!Y225</f>
        <v>0</v>
      </c>
      <c r="U317">
        <f>ROUND((175/100)*ROUND(Source!R224, 2), 2)</f>
        <v>0</v>
      </c>
      <c r="V317">
        <f>ROUND((0/100)*ROUND(Source!R225, 2), 2)</f>
        <v>0</v>
      </c>
      <c r="AC317">
        <v>5</v>
      </c>
    </row>
    <row r="318" spans="1:29" ht="14.15" x14ac:dyDescent="0.3">
      <c r="A318" s="35"/>
      <c r="B318" s="35"/>
      <c r="C318" s="35" t="s">
        <v>519</v>
      </c>
      <c r="D318" s="37" t="s">
        <v>520</v>
      </c>
      <c r="E318" s="36">
        <f>Source!BZ223</f>
        <v>90</v>
      </c>
      <c r="F318" s="39"/>
      <c r="G318" s="38"/>
      <c r="H318" s="36"/>
      <c r="I318" s="39">
        <f>SUM(Q313:Q317)</f>
        <v>19.63</v>
      </c>
      <c r="J318" s="36">
        <f>Source!AT223</f>
        <v>90</v>
      </c>
      <c r="K318" s="39">
        <f>SUM(R313:R317)</f>
        <v>1079.4000000000001</v>
      </c>
    </row>
    <row r="319" spans="1:29" ht="14.15" x14ac:dyDescent="0.3">
      <c r="A319" s="35"/>
      <c r="B319" s="35"/>
      <c r="C319" s="35" t="s">
        <v>521</v>
      </c>
      <c r="D319" s="37" t="s">
        <v>520</v>
      </c>
      <c r="E319" s="36">
        <f>Source!CA223</f>
        <v>46</v>
      </c>
      <c r="F319" s="39"/>
      <c r="G319" s="38"/>
      <c r="H319" s="36"/>
      <c r="I319" s="39">
        <f>SUM(S313:S318)</f>
        <v>10.029999999999999</v>
      </c>
      <c r="J319" s="36">
        <f>Source!AU223</f>
        <v>46</v>
      </c>
      <c r="K319" s="39">
        <f>SUM(T313:T318)</f>
        <v>551.69000000000005</v>
      </c>
    </row>
    <row r="320" spans="1:29" ht="14.15" x14ac:dyDescent="0.3">
      <c r="A320" s="46"/>
      <c r="B320" s="46"/>
      <c r="C320" s="46" t="s">
        <v>522</v>
      </c>
      <c r="D320" s="47" t="s">
        <v>523</v>
      </c>
      <c r="E320" s="48">
        <f>Source!AQ222</f>
        <v>1.36</v>
      </c>
      <c r="F320" s="49"/>
      <c r="G320" s="50" t="str">
        <f>Source!DI222</f>
        <v>*1,1</v>
      </c>
      <c r="H320" s="48">
        <f>Source!AV223</f>
        <v>1.0469999999999999</v>
      </c>
      <c r="I320" s="49">
        <f>Source!U222</f>
        <v>1.5663120000000001</v>
      </c>
      <c r="J320" s="48"/>
      <c r="K320" s="49"/>
    </row>
    <row r="321" spans="1:16" ht="14.15" x14ac:dyDescent="0.3">
      <c r="C321" s="51" t="s">
        <v>524</v>
      </c>
      <c r="H321" s="52">
        <f>I314+I315+I316+I318+I319+SUM(I317:I317)-SUMIF(AC317:AC317, 5, I317:I317)-SUMIF(AC317:AC317, 6, I317:I317)</f>
        <v>53.829999999999927</v>
      </c>
      <c r="I321" s="52"/>
      <c r="J321" s="52">
        <f>K314+K315+K316+K318+K319+SUM(K317:K317)-SUMIF(AC317:AC317, 5, K317:K317)-SUMIF(AC317:AC317, 6, K317:K317)</f>
        <v>2854.6299999999974</v>
      </c>
      <c r="K321" s="52"/>
    </row>
    <row r="322" spans="1:16" ht="14.15" x14ac:dyDescent="0.3">
      <c r="C322" s="51" t="s">
        <v>525</v>
      </c>
      <c r="H322" s="54">
        <f>SUMIF(AC317:AC317, 5, I317:I317)+SUMIF(AC317:AC317, 6, I317:I317)</f>
        <v>2519.9299999999998</v>
      </c>
      <c r="I322" s="54"/>
      <c r="J322" s="54">
        <f>SUMIF(AC317:AC317, 5, K317:K317)+SUMIF(AC317:AC317, 6, K317:K317)</f>
        <v>33893.06</v>
      </c>
      <c r="K322" s="54"/>
    </row>
    <row r="323" spans="1:16" ht="14.15" x14ac:dyDescent="0.3">
      <c r="C323" s="51" t="s">
        <v>526</v>
      </c>
      <c r="H323" s="54">
        <f>I314+I315+I316+I318+I319+SUM(I317:I317)</f>
        <v>2573.7599999999998</v>
      </c>
      <c r="I323" s="54"/>
      <c r="J323" s="54">
        <f>K314+K315+K316+K318+K319+SUM(K317:K317)</f>
        <v>36747.689999999995</v>
      </c>
      <c r="K323" s="54"/>
      <c r="O323" s="55">
        <f>I314+I315+I316+I318+I319+SUM(I317:I317)</f>
        <v>2573.7599999999998</v>
      </c>
      <c r="P323" s="55">
        <f>K314+K315+K316+K318+K319+SUM(K317:K317)</f>
        <v>36747.689999999995</v>
      </c>
    </row>
    <row r="326" spans="1:16" ht="14.15" x14ac:dyDescent="0.35">
      <c r="A326" s="59" t="str">
        <f>CONCATENATE("Итого по разделу: ",IF(Source!G227&lt;&gt;"Новый раздел", Source!G227, ""))</f>
        <v>Итого по разделу: АРМ диспетчера</v>
      </c>
      <c r="B326" s="59"/>
      <c r="C326" s="59"/>
      <c r="D326" s="59"/>
      <c r="E326" s="59"/>
      <c r="F326" s="59"/>
      <c r="G326" s="59"/>
      <c r="H326" s="54">
        <f>SUM(O300:O325)</f>
        <v>20642.009999999998</v>
      </c>
      <c r="I326" s="53"/>
      <c r="J326" s="54">
        <f>SUM(P300:P325)</f>
        <v>187221.27000000002</v>
      </c>
      <c r="K326" s="53"/>
    </row>
    <row r="327" spans="1:16" hidden="1" x14ac:dyDescent="0.3">
      <c r="A327" t="s">
        <v>565</v>
      </c>
      <c r="I327">
        <f>SUM(W300:W326)</f>
        <v>0</v>
      </c>
      <c r="J327">
        <f>SUM(X300:X326)</f>
        <v>0</v>
      </c>
    </row>
    <row r="328" spans="1:16" hidden="1" x14ac:dyDescent="0.3">
      <c r="A328" t="s">
        <v>566</v>
      </c>
      <c r="I328">
        <f>SUM(Y300:Y327)</f>
        <v>0</v>
      </c>
      <c r="J328">
        <f>SUM(Z300:Z327)</f>
        <v>0</v>
      </c>
    </row>
    <row r="330" spans="1:16" ht="14.15" x14ac:dyDescent="0.35">
      <c r="A330" s="59" t="str">
        <f>CONCATENATE("Итого по локальной смете: ",IF(Source!G257&lt;&gt;"Новая локальная смета", Source!G257, ""))</f>
        <v>Итого по локальной смете: Автоматическая пожарная сигнализация</v>
      </c>
      <c r="B330" s="59"/>
      <c r="C330" s="59"/>
      <c r="D330" s="59"/>
      <c r="E330" s="59"/>
      <c r="F330" s="59"/>
      <c r="G330" s="59"/>
      <c r="H330" s="54">
        <f>SUM(O28:O329)</f>
        <v>426777.56000000017</v>
      </c>
      <c r="I330" s="53"/>
      <c r="J330" s="54">
        <f>SUM(P28:P329)</f>
        <v>8690283.7199999988</v>
      </c>
      <c r="K330" s="53"/>
    </row>
    <row r="331" spans="1:16" hidden="1" x14ac:dyDescent="0.3">
      <c r="A331" t="s">
        <v>565</v>
      </c>
      <c r="I331">
        <f>SUM(W28:W330)</f>
        <v>0</v>
      </c>
      <c r="J331">
        <f>SUM(X28:X330)</f>
        <v>0</v>
      </c>
    </row>
    <row r="332" spans="1:16" hidden="1" x14ac:dyDescent="0.3">
      <c r="A332" t="s">
        <v>566</v>
      </c>
      <c r="I332">
        <f>SUM(Y28:Y331)</f>
        <v>0</v>
      </c>
      <c r="J332">
        <f>SUM(Z28:Z331)</f>
        <v>0</v>
      </c>
    </row>
    <row r="335" spans="1:16" ht="14.15" x14ac:dyDescent="0.35">
      <c r="A335" s="60" t="s">
        <v>580</v>
      </c>
      <c r="B335" s="60"/>
      <c r="C335" s="61" t="str">
        <f>IF(Source!AC12&lt;&gt;"", Source!AC12," ")</f>
        <v xml:space="preserve"> </v>
      </c>
      <c r="D335" s="61"/>
      <c r="E335" s="61"/>
      <c r="F335" s="61"/>
      <c r="G335" s="61"/>
      <c r="H335" s="24" t="str">
        <f>IF(Source!AB12&lt;&gt;"", Source!AB12," ")</f>
        <v>Лукьянова А.Л.</v>
      </c>
      <c r="I335" s="24"/>
      <c r="J335" s="24"/>
      <c r="K335" s="24"/>
    </row>
    <row r="336" spans="1:16" ht="14.15" x14ac:dyDescent="0.35">
      <c r="A336" s="11"/>
      <c r="B336" s="11"/>
      <c r="C336" s="13" t="s">
        <v>581</v>
      </c>
      <c r="D336" s="13"/>
      <c r="E336" s="13"/>
      <c r="F336" s="13"/>
      <c r="G336" s="13"/>
      <c r="H336" s="11"/>
      <c r="I336" s="11"/>
      <c r="J336" s="11"/>
      <c r="K336" s="11"/>
    </row>
    <row r="337" spans="1:11" ht="14.15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1:11" ht="14.15" x14ac:dyDescent="0.35">
      <c r="A338" s="60" t="s">
        <v>582</v>
      </c>
      <c r="B338" s="60"/>
      <c r="C338" s="61" t="str">
        <f>IF(Source!AE12&lt;&gt;"", Source!AE12," ")</f>
        <v xml:space="preserve"> </v>
      </c>
      <c r="D338" s="61"/>
      <c r="E338" s="61"/>
      <c r="F338" s="61"/>
      <c r="G338" s="61"/>
      <c r="H338" s="24" t="str">
        <f>IF(Source!AD12&lt;&gt;"", Source!AD12," ")</f>
        <v xml:space="preserve"> </v>
      </c>
      <c r="I338" s="24"/>
      <c r="J338" s="24"/>
      <c r="K338" s="24"/>
    </row>
    <row r="339" spans="1:11" ht="14.15" x14ac:dyDescent="0.35">
      <c r="A339" s="11"/>
      <c r="B339" s="11"/>
      <c r="C339" s="13" t="s">
        <v>581</v>
      </c>
      <c r="D339" s="13"/>
      <c r="E339" s="13"/>
      <c r="F339" s="13"/>
      <c r="G339" s="13"/>
      <c r="H339" s="11"/>
      <c r="I339" s="11"/>
      <c r="J339" s="11"/>
      <c r="K339" s="11"/>
    </row>
  </sheetData>
  <mergeCells count="164">
    <mergeCell ref="A335:B335"/>
    <mergeCell ref="H335:K335"/>
    <mergeCell ref="C336:G336"/>
    <mergeCell ref="A338:B338"/>
    <mergeCell ref="H338:K338"/>
    <mergeCell ref="C339:G339"/>
    <mergeCell ref="H323:I323"/>
    <mergeCell ref="J323:K323"/>
    <mergeCell ref="J326:K326"/>
    <mergeCell ref="H326:I326"/>
    <mergeCell ref="A326:G326"/>
    <mergeCell ref="J330:K330"/>
    <mergeCell ref="H330:I330"/>
    <mergeCell ref="A330:G330"/>
    <mergeCell ref="H311:I311"/>
    <mergeCell ref="J311:K311"/>
    <mergeCell ref="H321:I321"/>
    <mergeCell ref="J321:K321"/>
    <mergeCell ref="H322:I322"/>
    <mergeCell ref="J322:K322"/>
    <mergeCell ref="A296:G296"/>
    <mergeCell ref="A300:K300"/>
    <mergeCell ref="H309:I309"/>
    <mergeCell ref="J309:K309"/>
    <mergeCell ref="H310:I310"/>
    <mergeCell ref="J310:K310"/>
    <mergeCell ref="H292:I292"/>
    <mergeCell ref="J292:K292"/>
    <mergeCell ref="H293:I293"/>
    <mergeCell ref="J293:K293"/>
    <mergeCell ref="J296:K296"/>
    <mergeCell ref="H296:I296"/>
    <mergeCell ref="H282:I282"/>
    <mergeCell ref="J282:K282"/>
    <mergeCell ref="H283:I283"/>
    <mergeCell ref="J283:K283"/>
    <mergeCell ref="H291:I291"/>
    <mergeCell ref="J291:K291"/>
    <mergeCell ref="H268:I268"/>
    <mergeCell ref="J268:K268"/>
    <mergeCell ref="H269:I269"/>
    <mergeCell ref="J269:K269"/>
    <mergeCell ref="H281:I281"/>
    <mergeCell ref="J281:K281"/>
    <mergeCell ref="H252:I252"/>
    <mergeCell ref="J252:K252"/>
    <mergeCell ref="H253:I253"/>
    <mergeCell ref="J253:K253"/>
    <mergeCell ref="H267:I267"/>
    <mergeCell ref="J267:K267"/>
    <mergeCell ref="J230:K230"/>
    <mergeCell ref="H230:I230"/>
    <mergeCell ref="A230:G230"/>
    <mergeCell ref="A234:K234"/>
    <mergeCell ref="H251:I251"/>
    <mergeCell ref="J251:K251"/>
    <mergeCell ref="H225:I225"/>
    <mergeCell ref="J225:K225"/>
    <mergeCell ref="H226:I226"/>
    <mergeCell ref="J226:K226"/>
    <mergeCell ref="H227:I227"/>
    <mergeCell ref="J227:K227"/>
    <mergeCell ref="H210:I210"/>
    <mergeCell ref="J210:K210"/>
    <mergeCell ref="H211:I211"/>
    <mergeCell ref="J211:K211"/>
    <mergeCell ref="H212:I212"/>
    <mergeCell ref="J212:K212"/>
    <mergeCell ref="H199:I199"/>
    <mergeCell ref="J199:K199"/>
    <mergeCell ref="H200:I200"/>
    <mergeCell ref="J200:K200"/>
    <mergeCell ref="H201:I201"/>
    <mergeCell ref="J201:K201"/>
    <mergeCell ref="H187:I187"/>
    <mergeCell ref="J187:K187"/>
    <mergeCell ref="H188:I188"/>
    <mergeCell ref="J188:K188"/>
    <mergeCell ref="H189:I189"/>
    <mergeCell ref="J189:K189"/>
    <mergeCell ref="H170:I170"/>
    <mergeCell ref="J170:K170"/>
    <mergeCell ref="H171:I171"/>
    <mergeCell ref="J171:K171"/>
    <mergeCell ref="H172:I172"/>
    <mergeCell ref="J172:K172"/>
    <mergeCell ref="H153:I153"/>
    <mergeCell ref="J153:K153"/>
    <mergeCell ref="H154:I154"/>
    <mergeCell ref="J154:K154"/>
    <mergeCell ref="H155:I155"/>
    <mergeCell ref="J155:K155"/>
    <mergeCell ref="H137:I137"/>
    <mergeCell ref="J137:K137"/>
    <mergeCell ref="H138:I138"/>
    <mergeCell ref="J138:K138"/>
    <mergeCell ref="H139:I139"/>
    <mergeCell ref="J139:K139"/>
    <mergeCell ref="H126:I126"/>
    <mergeCell ref="J126:K126"/>
    <mergeCell ref="H127:I127"/>
    <mergeCell ref="J127:K127"/>
    <mergeCell ref="H128:I128"/>
    <mergeCell ref="J128:K128"/>
    <mergeCell ref="H114:I114"/>
    <mergeCell ref="J114:K114"/>
    <mergeCell ref="H115:I115"/>
    <mergeCell ref="J115:K115"/>
    <mergeCell ref="H116:I116"/>
    <mergeCell ref="J116:K116"/>
    <mergeCell ref="H103:I103"/>
    <mergeCell ref="J103:K103"/>
    <mergeCell ref="H104:I104"/>
    <mergeCell ref="J104:K104"/>
    <mergeCell ref="H105:I105"/>
    <mergeCell ref="J105:K105"/>
    <mergeCell ref="H90:I90"/>
    <mergeCell ref="J90:K90"/>
    <mergeCell ref="H91:I91"/>
    <mergeCell ref="J91:K91"/>
    <mergeCell ref="H92:I92"/>
    <mergeCell ref="J92:K92"/>
    <mergeCell ref="H75:I75"/>
    <mergeCell ref="J75:K75"/>
    <mergeCell ref="H76:I76"/>
    <mergeCell ref="J76:K76"/>
    <mergeCell ref="H77:I77"/>
    <mergeCell ref="J77:K77"/>
    <mergeCell ref="H62:I62"/>
    <mergeCell ref="J62:K62"/>
    <mergeCell ref="H63:I63"/>
    <mergeCell ref="J63:K63"/>
    <mergeCell ref="H64:I64"/>
    <mergeCell ref="J64:K64"/>
    <mergeCell ref="H50:I50"/>
    <mergeCell ref="J50:K50"/>
    <mergeCell ref="H51:I51"/>
    <mergeCell ref="J51:K51"/>
    <mergeCell ref="H52:I52"/>
    <mergeCell ref="J52:K52"/>
    <mergeCell ref="H39:I39"/>
    <mergeCell ref="J39:K39"/>
    <mergeCell ref="H40:I40"/>
    <mergeCell ref="J40:K40"/>
    <mergeCell ref="H41:I41"/>
    <mergeCell ref="J41:K4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0"/>
  <sheetViews>
    <sheetView zoomScaleNormal="100" workbookViewId="0"/>
  </sheetViews>
  <sheetFormatPr defaultRowHeight="12.45" x14ac:dyDescent="0.3"/>
  <cols>
    <col min="1" max="2" width="6.69140625" customWidth="1"/>
    <col min="3" max="3" width="75.69140625" customWidth="1"/>
    <col min="4" max="8" width="15.69140625" customWidth="1"/>
    <col min="30" max="32" width="0" hidden="1" customWidth="1"/>
  </cols>
  <sheetData>
    <row r="1" spans="1:8" x14ac:dyDescent="0.3">
      <c r="A1" s="10" t="str">
        <f>Source!B1</f>
        <v>Smeta.RU  (495) 974-1589</v>
      </c>
    </row>
    <row r="2" spans="1:8" ht="14.15" x14ac:dyDescent="0.35">
      <c r="D2" s="11"/>
      <c r="E2" s="11"/>
    </row>
    <row r="3" spans="1:8" ht="14.15" x14ac:dyDescent="0.35">
      <c r="D3" s="11"/>
      <c r="E3" s="58" t="s">
        <v>583</v>
      </c>
    </row>
    <row r="4" spans="1:8" ht="14.15" x14ac:dyDescent="0.35">
      <c r="D4" s="58"/>
      <c r="E4" s="58"/>
    </row>
    <row r="5" spans="1:8" ht="14.15" x14ac:dyDescent="0.35">
      <c r="D5" s="62" t="s">
        <v>584</v>
      </c>
      <c r="E5" s="62"/>
    </row>
    <row r="6" spans="1:8" ht="14.15" x14ac:dyDescent="0.35">
      <c r="D6" s="63"/>
      <c r="E6" s="63"/>
    </row>
    <row r="7" spans="1:8" ht="14.15" x14ac:dyDescent="0.35">
      <c r="D7" s="62" t="s">
        <v>584</v>
      </c>
      <c r="E7" s="62"/>
    </row>
    <row r="8" spans="1:8" ht="14.15" x14ac:dyDescent="0.35">
      <c r="D8" s="63"/>
      <c r="E8" s="63"/>
    </row>
    <row r="9" spans="1:8" ht="14.15" x14ac:dyDescent="0.35">
      <c r="D9" s="58" t="s">
        <v>585</v>
      </c>
      <c r="E9" s="11"/>
    </row>
    <row r="10" spans="1:8" ht="14.15" x14ac:dyDescent="0.35">
      <c r="D10" s="11"/>
      <c r="E10" s="11"/>
    </row>
    <row r="12" spans="1:8" ht="15.45" x14ac:dyDescent="0.3">
      <c r="B12" s="64" t="str">
        <f>CONCATENATE("Ведомость объемов работ ", IF(Source!AN15&lt;&gt;"", Source!AN15," "))</f>
        <v xml:space="preserve">Ведомость объемов работ  </v>
      </c>
      <c r="C12" s="64"/>
      <c r="D12" s="64"/>
      <c r="E12" s="64"/>
    </row>
    <row r="13" spans="1:8" ht="14.15" x14ac:dyDescent="0.3">
      <c r="B13" s="65" t="str">
        <f>CONCATENATE(Source!F12, " ", Source!G12)</f>
        <v>02-01-08 02-01-08 АПС</v>
      </c>
      <c r="C13" s="65"/>
      <c r="D13" s="65"/>
      <c r="E13" s="65"/>
    </row>
    <row r="14" spans="1:8" hidden="1" x14ac:dyDescent="0.3"/>
    <row r="16" spans="1:8" ht="70.75" x14ac:dyDescent="0.3">
      <c r="A16" s="30" t="s">
        <v>498</v>
      </c>
      <c r="B16" s="30" t="s">
        <v>586</v>
      </c>
      <c r="C16" s="30" t="s">
        <v>500</v>
      </c>
      <c r="D16" s="30" t="s">
        <v>587</v>
      </c>
      <c r="E16" s="30" t="s">
        <v>588</v>
      </c>
      <c r="F16" s="30" t="s">
        <v>589</v>
      </c>
      <c r="G16" s="30" t="s">
        <v>590</v>
      </c>
      <c r="H16" s="30" t="s">
        <v>591</v>
      </c>
    </row>
    <row r="17" spans="1:8" ht="14.15" x14ac:dyDescent="0.3">
      <c r="A17" s="30">
        <v>1</v>
      </c>
      <c r="B17" s="30">
        <v>2</v>
      </c>
      <c r="C17" s="30">
        <v>3</v>
      </c>
      <c r="D17" s="30">
        <v>4</v>
      </c>
      <c r="E17" s="30">
        <v>5</v>
      </c>
      <c r="F17" s="30">
        <v>6</v>
      </c>
      <c r="G17" s="30">
        <v>7</v>
      </c>
      <c r="H17" s="30">
        <v>8</v>
      </c>
    </row>
    <row r="18" spans="1:8" ht="16.3" x14ac:dyDescent="0.4">
      <c r="A18" s="66" t="str">
        <f>CONCATENATE("Локальная смета: ", Source!G20)</f>
        <v>Локальная смета: Автоматическая пожарная сигнализация</v>
      </c>
      <c r="B18" s="66"/>
      <c r="C18" s="66"/>
      <c r="D18" s="66"/>
      <c r="E18" s="66"/>
      <c r="F18" s="66"/>
      <c r="G18" s="66"/>
      <c r="H18" s="66"/>
    </row>
    <row r="19" spans="1:8" ht="16.3" x14ac:dyDescent="0.4">
      <c r="A19" s="66" t="str">
        <f>CONCATENATE("Раздел: ", Source!G24)</f>
        <v>Раздел: Монтажные работы</v>
      </c>
      <c r="B19" s="66"/>
      <c r="C19" s="66"/>
      <c r="D19" s="66"/>
      <c r="E19" s="66"/>
      <c r="F19" s="66"/>
      <c r="G19" s="66"/>
      <c r="H19" s="66"/>
    </row>
    <row r="20" spans="1:8" ht="28.3" x14ac:dyDescent="0.3">
      <c r="A20" s="30">
        <v>1</v>
      </c>
      <c r="B20" s="30" t="str">
        <f>Source!E28</f>
        <v>1</v>
      </c>
      <c r="C20" s="69" t="str">
        <f>Source!G28</f>
        <v>Аппараты приемные, приборы ПС приемно-контрольные, пусковые, прибор ПС на 4 луча</v>
      </c>
      <c r="D20" s="30" t="s">
        <v>22</v>
      </c>
      <c r="E20" s="70">
        <f>Source!I28</f>
        <v>7</v>
      </c>
      <c r="F20" s="30" t="str">
        <f>Source!U24</f>
        <v/>
      </c>
      <c r="G20" s="30">
        <f>Source!I28</f>
        <v>7</v>
      </c>
      <c r="H20" s="69"/>
    </row>
    <row r="21" spans="1:8" ht="28.3" x14ac:dyDescent="0.3">
      <c r="A21" s="30">
        <v>1.1000000000000001</v>
      </c>
      <c r="B21" s="30" t="str">
        <f>Source!E30</f>
        <v>1,1</v>
      </c>
      <c r="C21" s="69" t="str">
        <f>Source!G30</f>
        <v>Прибор приемно-контрольный и управления пожарный адресный R3-Рубеж 20П 319538</v>
      </c>
      <c r="D21" s="30" t="s">
        <v>32</v>
      </c>
      <c r="E21" s="70">
        <f>Source!I30</f>
        <v>7</v>
      </c>
      <c r="F21" s="30" t="str">
        <f>Source!U24</f>
        <v/>
      </c>
      <c r="G21" s="30"/>
      <c r="H21" s="69"/>
    </row>
    <row r="22" spans="1:8" ht="14.15" x14ac:dyDescent="0.3">
      <c r="A22" s="30">
        <v>2</v>
      </c>
      <c r="B22" s="30" t="str">
        <f>Source!E32</f>
        <v>2</v>
      </c>
      <c r="C22" s="69" t="str">
        <f>Source!G32</f>
        <v>Монтаж блока информационно-управляющего (БИУ) в диспетчерской</v>
      </c>
      <c r="D22" s="30" t="s">
        <v>22</v>
      </c>
      <c r="E22" s="70">
        <f>Source!I32</f>
        <v>2</v>
      </c>
      <c r="F22" s="30" t="str">
        <f>Source!U24</f>
        <v/>
      </c>
      <c r="G22" s="30">
        <f>Source!I32</f>
        <v>2</v>
      </c>
      <c r="H22" s="69"/>
    </row>
    <row r="23" spans="1:8" ht="14.15" x14ac:dyDescent="0.3">
      <c r="A23" s="30">
        <v>2.1</v>
      </c>
      <c r="B23" s="30" t="str">
        <f>Source!E34</f>
        <v>2,1</v>
      </c>
      <c r="C23" s="69" t="str">
        <f>Source!G34</f>
        <v>Блок индикации и управления R3-Рубеж-БИУ 319531</v>
      </c>
      <c r="D23" s="30" t="s">
        <v>32</v>
      </c>
      <c r="E23" s="70">
        <f>Source!I34</f>
        <v>2</v>
      </c>
      <c r="F23" s="30" t="str">
        <f>Source!U24</f>
        <v/>
      </c>
      <c r="G23" s="30"/>
      <c r="H23" s="69"/>
    </row>
    <row r="24" spans="1:8" ht="14.15" x14ac:dyDescent="0.3">
      <c r="A24" s="30">
        <v>3</v>
      </c>
      <c r="B24" s="30" t="str">
        <f>Source!E36</f>
        <v>3</v>
      </c>
      <c r="C24" s="69" t="str">
        <f>Source!G36</f>
        <v>Установка съемных и выдвижных блоков (модулей, ячеек, ТЭЗ) массой до 5 кг</v>
      </c>
      <c r="D24" s="30" t="s">
        <v>22</v>
      </c>
      <c r="E24" s="70">
        <f>Source!I36</f>
        <v>1</v>
      </c>
      <c r="F24" s="30" t="str">
        <f>Source!U24</f>
        <v/>
      </c>
      <c r="G24" s="30">
        <f>Source!I36</f>
        <v>1</v>
      </c>
      <c r="H24" s="69"/>
    </row>
    <row r="25" spans="1:8" ht="14.15" x14ac:dyDescent="0.3">
      <c r="A25" s="30">
        <v>3.1</v>
      </c>
      <c r="B25" s="30" t="str">
        <f>Source!E38</f>
        <v>3,1</v>
      </c>
      <c r="C25" s="69" t="str">
        <f>Source!G38</f>
        <v>Модуль связи R3-МС 377218</v>
      </c>
      <c r="D25" s="30" t="s">
        <v>32</v>
      </c>
      <c r="E25" s="70">
        <f>Source!I38</f>
        <v>1</v>
      </c>
      <c r="F25" s="30" t="str">
        <f>Source!U24</f>
        <v/>
      </c>
      <c r="G25" s="30"/>
      <c r="H25" s="69"/>
    </row>
    <row r="26" spans="1:8" ht="28.3" x14ac:dyDescent="0.3">
      <c r="A26" s="30">
        <v>4</v>
      </c>
      <c r="B26" s="30" t="str">
        <f>Source!E40</f>
        <v>4</v>
      </c>
      <c r="C26" s="69" t="str">
        <f>Source!G40</f>
        <v>Извещатели ПС автоматические, дымовой, фотоэлектрический, радиоизотопный, световой в нормальном исполнении</v>
      </c>
      <c r="D26" s="30" t="s">
        <v>22</v>
      </c>
      <c r="E26" s="70">
        <f>Source!I40</f>
        <v>589</v>
      </c>
      <c r="F26" s="30" t="str">
        <f>Source!U24</f>
        <v/>
      </c>
      <c r="G26" s="30">
        <f>Source!I40</f>
        <v>589</v>
      </c>
      <c r="H26" s="69"/>
    </row>
    <row r="27" spans="1:8" ht="14.15" x14ac:dyDescent="0.3">
      <c r="A27" s="30">
        <v>4.0999999999999996</v>
      </c>
      <c r="B27" s="30" t="str">
        <f>Source!E42</f>
        <v>4,1</v>
      </c>
      <c r="C27" s="69" t="str">
        <f>Source!G42</f>
        <v>Извещатель дымовой ИП 212-64-R3 без б/о 337936</v>
      </c>
      <c r="D27" s="30" t="s">
        <v>32</v>
      </c>
      <c r="E27" s="70">
        <f>Source!I42</f>
        <v>589</v>
      </c>
      <c r="F27" s="30" t="str">
        <f>Source!U24</f>
        <v/>
      </c>
      <c r="G27" s="30"/>
      <c r="H27" s="69"/>
    </row>
    <row r="28" spans="1:8" ht="14.15" x14ac:dyDescent="0.3">
      <c r="A28" s="30">
        <v>5</v>
      </c>
      <c r="B28" s="30" t="str">
        <f>Source!E44</f>
        <v>5</v>
      </c>
      <c r="C28" s="69" t="str">
        <f>Source!G44</f>
        <v>Конструкция для установки извещателя</v>
      </c>
      <c r="D28" s="30" t="s">
        <v>22</v>
      </c>
      <c r="E28" s="70">
        <f>Source!I44</f>
        <v>589</v>
      </c>
      <c r="F28" s="30" t="str">
        <f>Source!U24</f>
        <v/>
      </c>
      <c r="G28" s="30" t="str">
        <f>"=136+"&amp;"453"</f>
        <v>=136+453</v>
      </c>
      <c r="H28" s="69"/>
    </row>
    <row r="29" spans="1:8" ht="14.15" x14ac:dyDescent="0.3">
      <c r="A29" s="30">
        <v>5.0999999999999996</v>
      </c>
      <c r="B29" s="30" t="str">
        <f>Source!E46</f>
        <v>5,1</v>
      </c>
      <c r="C29" s="69" t="str">
        <f>Source!G46</f>
        <v>Базовое основание W2.03 342655</v>
      </c>
      <c r="D29" s="30" t="s">
        <v>32</v>
      </c>
      <c r="E29" s="70">
        <f>Source!I46</f>
        <v>136</v>
      </c>
      <c r="F29" s="30" t="str">
        <f>Source!U24</f>
        <v/>
      </c>
      <c r="G29" s="30"/>
      <c r="H29" s="69"/>
    </row>
    <row r="30" spans="1:8" ht="14.15" x14ac:dyDescent="0.3">
      <c r="A30" s="30">
        <v>5.2</v>
      </c>
      <c r="B30" s="30" t="str">
        <f>Source!E48</f>
        <v>5,2</v>
      </c>
      <c r="C30" s="69" t="str">
        <f>Source!G48</f>
        <v>Базовое основание W1.02 338227</v>
      </c>
      <c r="D30" s="30" t="s">
        <v>32</v>
      </c>
      <c r="E30" s="70">
        <f>Source!I48</f>
        <v>453</v>
      </c>
      <c r="F30" s="30" t="str">
        <f>Source!U24</f>
        <v/>
      </c>
      <c r="G30" s="30"/>
      <c r="H30" s="69"/>
    </row>
    <row r="31" spans="1:8" ht="28.3" x14ac:dyDescent="0.3">
      <c r="A31" s="30">
        <v>6</v>
      </c>
      <c r="B31" s="30" t="str">
        <f>Source!E50</f>
        <v>6</v>
      </c>
      <c r="C31" s="69" t="str">
        <f>Source!G50</f>
        <v>Извещатели ПС автоматические, дымовой, фотоэлектрический, радиоизотопный, световой в нормальном исполнении</v>
      </c>
      <c r="D31" s="30" t="s">
        <v>22</v>
      </c>
      <c r="E31" s="70">
        <f>Source!I50</f>
        <v>12</v>
      </c>
      <c r="F31" s="30" t="str">
        <f>Source!U24</f>
        <v/>
      </c>
      <c r="G31" s="30">
        <f>Source!I50</f>
        <v>12</v>
      </c>
      <c r="H31" s="69"/>
    </row>
    <row r="32" spans="1:8" ht="28.3" x14ac:dyDescent="0.3">
      <c r="A32" s="30">
        <v>6.1</v>
      </c>
      <c r="B32" s="30" t="str">
        <f>Source!E52</f>
        <v>6,1</v>
      </c>
      <c r="C32" s="69" t="str">
        <f>Source!G52</f>
        <v>Извещатель пожарный дымовой оптико-электронный линейный ИПДЛ-264/1-50-R3 342260</v>
      </c>
      <c r="D32" s="30" t="s">
        <v>32</v>
      </c>
      <c r="E32" s="70">
        <f>Source!I52</f>
        <v>12</v>
      </c>
      <c r="F32" s="30" t="str">
        <f>Source!U24</f>
        <v/>
      </c>
      <c r="G32" s="30"/>
      <c r="H32" s="69"/>
    </row>
    <row r="33" spans="1:8" ht="14.15" x14ac:dyDescent="0.3">
      <c r="A33" s="30">
        <v>7</v>
      </c>
      <c r="B33" s="30" t="str">
        <f>Source!E54</f>
        <v>7</v>
      </c>
      <c r="C33" s="69" t="str">
        <f>Source!G54</f>
        <v>Монтаж ключа или кнопки на панели</v>
      </c>
      <c r="D33" s="30" t="s">
        <v>22</v>
      </c>
      <c r="E33" s="70">
        <f>Source!I54</f>
        <v>24</v>
      </c>
      <c r="F33" s="30" t="str">
        <f>Source!U24</f>
        <v/>
      </c>
      <c r="G33" s="30">
        <f>Source!I54</f>
        <v>24</v>
      </c>
      <c r="H33" s="69"/>
    </row>
    <row r="34" spans="1:8" ht="28.3" x14ac:dyDescent="0.3">
      <c r="A34" s="30">
        <v>7.1</v>
      </c>
      <c r="B34" s="30" t="str">
        <f>Source!E56</f>
        <v>7,1</v>
      </c>
      <c r="C34" s="69" t="str">
        <f>Source!G56</f>
        <v>Извещатель пожарный ручной адресный с изолятором ИПР 513-11ИКЗ-А-R3 301159</v>
      </c>
      <c r="D34" s="30" t="s">
        <v>32</v>
      </c>
      <c r="E34" s="70">
        <f>Source!I56</f>
        <v>24</v>
      </c>
      <c r="F34" s="30" t="str">
        <f>Source!U24</f>
        <v/>
      </c>
      <c r="G34" s="30"/>
      <c r="H34" s="69"/>
    </row>
    <row r="35" spans="1:8" ht="28.3" x14ac:dyDescent="0.3">
      <c r="A35" s="30">
        <v>8</v>
      </c>
      <c r="B35" s="30" t="str">
        <f>Source!E58</f>
        <v>8</v>
      </c>
      <c r="C35" s="69" t="str">
        <f>Source!G58</f>
        <v>Извещатели ПС автоматические, тепловой электроконтактный, магнито-контактный в нормальном исполнении</v>
      </c>
      <c r="D35" s="30" t="s">
        <v>22</v>
      </c>
      <c r="E35" s="70">
        <f>Source!I58</f>
        <v>5</v>
      </c>
      <c r="F35" s="30" t="str">
        <f>Source!U24</f>
        <v/>
      </c>
      <c r="G35" s="30">
        <f>Source!I58</f>
        <v>5</v>
      </c>
      <c r="H35" s="69"/>
    </row>
    <row r="36" spans="1:8" ht="14.15" x14ac:dyDescent="0.3">
      <c r="A36" s="30">
        <v>8.1</v>
      </c>
      <c r="B36" s="30" t="str">
        <f>Source!E60</f>
        <v>8,1</v>
      </c>
      <c r="C36" s="69" t="str">
        <f>Source!G60</f>
        <v>Извещатель пожарный тепловой адресный ИП 101-29-PR-R3 337480</v>
      </c>
      <c r="D36" s="30" t="s">
        <v>32</v>
      </c>
      <c r="E36" s="70">
        <f>Source!I60</f>
        <v>5</v>
      </c>
      <c r="F36" s="30" t="str">
        <f>Source!U24</f>
        <v/>
      </c>
      <c r="G36" s="30"/>
      <c r="H36" s="69"/>
    </row>
    <row r="37" spans="1:8" ht="14.15" x14ac:dyDescent="0.3">
      <c r="A37" s="30">
        <v>9</v>
      </c>
      <c r="B37" s="30" t="str">
        <f>Source!E62</f>
        <v>9</v>
      </c>
      <c r="C37" s="69" t="str">
        <f>Source!G62</f>
        <v>Монтаж устройства сигнально-блокировочного</v>
      </c>
      <c r="D37" s="30" t="s">
        <v>22</v>
      </c>
      <c r="E37" s="70">
        <f>Source!I62</f>
        <v>89</v>
      </c>
      <c r="F37" s="30" t="str">
        <f>Source!U24</f>
        <v/>
      </c>
      <c r="G37" s="30">
        <f>Source!I62</f>
        <v>89</v>
      </c>
      <c r="H37" s="69"/>
    </row>
    <row r="38" spans="1:8" ht="14.15" x14ac:dyDescent="0.3">
      <c r="A38" s="30">
        <v>9.1</v>
      </c>
      <c r="B38" s="30" t="str">
        <f>Source!E64</f>
        <v>9,1</v>
      </c>
      <c r="C38" s="69" t="str">
        <f>Source!G64</f>
        <v>Изолятор шлейфа ИЗ-1-R3 337647</v>
      </c>
      <c r="D38" s="30" t="s">
        <v>32</v>
      </c>
      <c r="E38" s="70">
        <f>Source!I64</f>
        <v>89</v>
      </c>
      <c r="F38" s="30" t="str">
        <f>Source!U24</f>
        <v/>
      </c>
      <c r="G38" s="30"/>
      <c r="H38" s="69"/>
    </row>
    <row r="39" spans="1:8" ht="28.3" x14ac:dyDescent="0.3">
      <c r="A39" s="30">
        <v>10</v>
      </c>
      <c r="B39" s="30" t="str">
        <f>Source!E66</f>
        <v>10</v>
      </c>
      <c r="C39" s="69" t="str">
        <f>Source!G66</f>
        <v>Извещатели ПС автоматические, дымовой, фотоэлектрический, радиоизотопный, световой в нормальном исполнении</v>
      </c>
      <c r="D39" s="30" t="s">
        <v>22</v>
      </c>
      <c r="E39" s="70">
        <f>Source!I66</f>
        <v>104</v>
      </c>
      <c r="F39" s="30" t="str">
        <f>Source!U24</f>
        <v/>
      </c>
      <c r="G39" s="30" t="str">
        <f>"=78+"&amp;"1+"&amp;"25"</f>
        <v>=78+1+25</v>
      </c>
      <c r="H39" s="69"/>
    </row>
    <row r="40" spans="1:8" ht="28.3" x14ac:dyDescent="0.3">
      <c r="A40" s="30">
        <v>10.1</v>
      </c>
      <c r="B40" s="30" t="str">
        <f>Source!E68</f>
        <v>10,1</v>
      </c>
      <c r="C40" s="69" t="str">
        <f>Source!G68</f>
        <v>Оповещатель охранно-пожарный световой адресный ОПОП 1-R3 "Выход" 337637</v>
      </c>
      <c r="D40" s="30" t="s">
        <v>32</v>
      </c>
      <c r="E40" s="70">
        <f>Source!I68</f>
        <v>78</v>
      </c>
      <c r="F40" s="30" t="str">
        <f>Source!U24</f>
        <v/>
      </c>
      <c r="G40" s="30"/>
      <c r="H40" s="69"/>
    </row>
    <row r="41" spans="1:8" ht="28.3" x14ac:dyDescent="0.3">
      <c r="A41" s="30">
        <v>10.199999999999999</v>
      </c>
      <c r="B41" s="30" t="str">
        <f>Source!E70</f>
        <v>10,2</v>
      </c>
      <c r="C41" s="69" t="str">
        <f>Source!G70</f>
        <v>Оповещатель охранно-пожарный световой адресный ОПОП 1-R3 "Пожар" 338202</v>
      </c>
      <c r="D41" s="30" t="s">
        <v>32</v>
      </c>
      <c r="E41" s="70">
        <f>Source!I70</f>
        <v>1</v>
      </c>
      <c r="F41" s="30" t="str">
        <f>Source!U24</f>
        <v/>
      </c>
      <c r="G41" s="30"/>
      <c r="H41" s="69"/>
    </row>
    <row r="42" spans="1:8" ht="14.15" x14ac:dyDescent="0.3">
      <c r="A42" s="30">
        <v>10.3</v>
      </c>
      <c r="B42" s="30" t="str">
        <f>Source!E72</f>
        <v>10,3</v>
      </c>
      <c r="C42" s="69" t="str">
        <f>Source!G72</f>
        <v>Оповещатель охранно-пожарный световой ОПОП 1-R3 Стрелка</v>
      </c>
      <c r="D42" s="30" t="s">
        <v>32</v>
      </c>
      <c r="E42" s="70">
        <f>Source!I72</f>
        <v>25</v>
      </c>
      <c r="F42" s="30" t="str">
        <f>Source!U24</f>
        <v/>
      </c>
      <c r="G42" s="30"/>
      <c r="H42" s="69"/>
    </row>
    <row r="43" spans="1:8" ht="14.15" x14ac:dyDescent="0.3">
      <c r="A43" s="30">
        <v>11</v>
      </c>
      <c r="B43" s="30" t="str">
        <f>Source!E74</f>
        <v>11</v>
      </c>
      <c r="C43" s="69" t="str">
        <f>Source!G74</f>
        <v>Монтаж блока бесперебойного питания (ББП) в диспетчерской</v>
      </c>
      <c r="D43" s="30" t="s">
        <v>22</v>
      </c>
      <c r="E43" s="70">
        <f>Source!I74</f>
        <v>7</v>
      </c>
      <c r="F43" s="30" t="str">
        <f>Source!U24</f>
        <v/>
      </c>
      <c r="G43" s="30" t="str">
        <f>"=2+"&amp;"1+"&amp;"4"</f>
        <v>=2+1+4</v>
      </c>
      <c r="H43" s="69"/>
    </row>
    <row r="44" spans="1:8" ht="28.3" x14ac:dyDescent="0.3">
      <c r="A44" s="30">
        <v>11.1</v>
      </c>
      <c r="B44" s="30" t="str">
        <f>Source!E76</f>
        <v>11,1</v>
      </c>
      <c r="C44" s="69" t="str">
        <f>Source!G76</f>
        <v>Источник вторичного электропитания резервированный адресный ИВЭПР 12/2 RS-R3 2х17 БР-R3</v>
      </c>
      <c r="D44" s="30" t="s">
        <v>32</v>
      </c>
      <c r="E44" s="70">
        <f>Source!I76</f>
        <v>2</v>
      </c>
      <c r="F44" s="30" t="str">
        <f>Source!U24</f>
        <v/>
      </c>
      <c r="G44" s="30"/>
      <c r="H44" s="69"/>
    </row>
    <row r="45" spans="1:8" ht="28.3" x14ac:dyDescent="0.3">
      <c r="A45" s="30">
        <v>11.2</v>
      </c>
      <c r="B45" s="30" t="str">
        <f>Source!E78</f>
        <v>11,2</v>
      </c>
      <c r="C45" s="69" t="str">
        <f>Source!G78</f>
        <v>Источник вторичного электропитания резервированный адресный ИВЭПР 12/5 RS-R3 2х40 БР-R3</v>
      </c>
      <c r="D45" s="30" t="s">
        <v>32</v>
      </c>
      <c r="E45" s="70">
        <f>Source!I78</f>
        <v>1</v>
      </c>
      <c r="F45" s="30" t="str">
        <f>Source!U24</f>
        <v/>
      </c>
      <c r="G45" s="30"/>
      <c r="H45" s="69"/>
    </row>
    <row r="46" spans="1:8" ht="28.3" x14ac:dyDescent="0.3">
      <c r="A46" s="30">
        <v>11.3</v>
      </c>
      <c r="B46" s="30" t="str">
        <f>Source!E80</f>
        <v>11,3</v>
      </c>
      <c r="C46" s="69" t="str">
        <f>Source!G80</f>
        <v>Источник вторичного электропитания резервированный адресный ИВЭПР 12/2 RS-R3 2х12 БР-R3</v>
      </c>
      <c r="D46" s="30" t="s">
        <v>32</v>
      </c>
      <c r="E46" s="70">
        <f>Source!I80</f>
        <v>4</v>
      </c>
      <c r="F46" s="30" t="str">
        <f>Source!U24</f>
        <v/>
      </c>
      <c r="G46" s="30"/>
      <c r="H46" s="69"/>
    </row>
    <row r="47" spans="1:8" ht="14.15" x14ac:dyDescent="0.3">
      <c r="A47" s="30">
        <v>11.4</v>
      </c>
      <c r="B47" s="30" t="str">
        <f>Source!E82</f>
        <v>11,4</v>
      </c>
      <c r="C47" s="69" t="str">
        <f>Source!G82</f>
        <v>Аккумулятор герметичный свинцово-кислотный 12 В, 12 А·ч</v>
      </c>
      <c r="D47" s="30" t="s">
        <v>32</v>
      </c>
      <c r="E47" s="70">
        <f>Source!I82</f>
        <v>8</v>
      </c>
      <c r="F47" s="30" t="str">
        <f>Source!U24</f>
        <v/>
      </c>
      <c r="G47" s="30"/>
      <c r="H47" s="69"/>
    </row>
    <row r="48" spans="1:8" ht="14.15" x14ac:dyDescent="0.3">
      <c r="A48" s="30">
        <v>11.5</v>
      </c>
      <c r="B48" s="30" t="str">
        <f>Source!E84</f>
        <v>11,5</v>
      </c>
      <c r="C48" s="69" t="str">
        <f>Source!G84</f>
        <v>Батарея аккумуляторная, емкость 17 А·ч, напряжение 12 В</v>
      </c>
      <c r="D48" s="30" t="s">
        <v>32</v>
      </c>
      <c r="E48" s="70">
        <f>Source!I84</f>
        <v>4</v>
      </c>
      <c r="F48" s="30" t="str">
        <f>Source!U24</f>
        <v/>
      </c>
      <c r="G48" s="30"/>
      <c r="H48" s="69"/>
    </row>
    <row r="49" spans="1:8" ht="14.15" x14ac:dyDescent="0.3">
      <c r="A49" s="30">
        <v>11.6</v>
      </c>
      <c r="B49" s="30" t="str">
        <f>Source!E86</f>
        <v>11,6</v>
      </c>
      <c r="C49" s="69" t="str">
        <f>Source!G86</f>
        <v>Батарея аккумуляторная, емкость 40 А·ч, напряжение 12 В</v>
      </c>
      <c r="D49" s="30" t="s">
        <v>32</v>
      </c>
      <c r="E49" s="70">
        <f>Source!I86</f>
        <v>2</v>
      </c>
      <c r="F49" s="30" t="str">
        <f>Source!U24</f>
        <v/>
      </c>
      <c r="G49" s="30"/>
      <c r="H49" s="69"/>
    </row>
    <row r="50" spans="1:8" ht="14.15" x14ac:dyDescent="0.3">
      <c r="A50" s="30">
        <v>12</v>
      </c>
      <c r="B50" s="30" t="str">
        <f>Source!E88</f>
        <v>12</v>
      </c>
      <c r="C50" s="69" t="str">
        <f>Source!G88</f>
        <v>Аппараты приемные, устройства промежуточные на 1 луч</v>
      </c>
      <c r="D50" s="30" t="s">
        <v>22</v>
      </c>
      <c r="E50" s="70">
        <f>Source!I88</f>
        <v>30</v>
      </c>
      <c r="F50" s="30" t="str">
        <f>Source!U24</f>
        <v/>
      </c>
      <c r="G50" s="30" t="str">
        <f>"=1+"&amp;"26+"&amp;"1+"&amp;"2"</f>
        <v>=1+26+1+2</v>
      </c>
      <c r="H50" s="69"/>
    </row>
    <row r="51" spans="1:8" ht="14.15" x14ac:dyDescent="0.3">
      <c r="A51" s="30">
        <v>12.1</v>
      </c>
      <c r="B51" s="30" t="str">
        <f>Source!E90</f>
        <v>12,1</v>
      </c>
      <c r="C51" s="69" t="str">
        <f>Source!G90</f>
        <v>Адресный релейный модуль РМ-1К-R3 337614</v>
      </c>
      <c r="D51" s="30" t="s">
        <v>32</v>
      </c>
      <c r="E51" s="70">
        <f>Source!I90</f>
        <v>1</v>
      </c>
      <c r="F51" s="30" t="str">
        <f>Source!U24</f>
        <v/>
      </c>
      <c r="G51" s="30"/>
      <c r="H51" s="69"/>
    </row>
    <row r="52" spans="1:8" ht="14.15" x14ac:dyDescent="0.3">
      <c r="A52" s="30">
        <v>12.2</v>
      </c>
      <c r="B52" s="30" t="str">
        <f>Source!E92</f>
        <v>12,2</v>
      </c>
      <c r="C52" s="69" t="str">
        <f>Source!G92</f>
        <v>Адресный релейный модуль РМ-1С-R3 337648</v>
      </c>
      <c r="D52" s="30" t="s">
        <v>32</v>
      </c>
      <c r="E52" s="70">
        <f>Source!I92</f>
        <v>26</v>
      </c>
      <c r="F52" s="30" t="str">
        <f>Source!U24</f>
        <v/>
      </c>
      <c r="G52" s="30"/>
      <c r="H52" s="69"/>
    </row>
    <row r="53" spans="1:8" ht="14.15" x14ac:dyDescent="0.3">
      <c r="A53" s="30">
        <v>12.3</v>
      </c>
      <c r="B53" s="30" t="str">
        <f>Source!E94</f>
        <v>12,3</v>
      </c>
      <c r="C53" s="69" t="str">
        <f>Source!G94</f>
        <v>Адресный релейный модуль РМ-4-R3 337434</v>
      </c>
      <c r="D53" s="30" t="s">
        <v>32</v>
      </c>
      <c r="E53" s="70">
        <f>Source!I94</f>
        <v>1</v>
      </c>
      <c r="F53" s="30" t="str">
        <f>Source!U24</f>
        <v/>
      </c>
      <c r="G53" s="30"/>
      <c r="H53" s="69"/>
    </row>
    <row r="54" spans="1:8" ht="14.15" x14ac:dyDescent="0.3">
      <c r="A54" s="30">
        <v>12.4</v>
      </c>
      <c r="B54" s="30" t="str">
        <f>Source!E96</f>
        <v>12,4</v>
      </c>
      <c r="C54" s="69" t="str">
        <f>Source!G96</f>
        <v>Адресный релейный модуль РМ-4К-R3</v>
      </c>
      <c r="D54" s="30" t="s">
        <v>32</v>
      </c>
      <c r="E54" s="70">
        <f>Source!I96</f>
        <v>2</v>
      </c>
      <c r="F54" s="30" t="str">
        <f>Source!U24</f>
        <v/>
      </c>
      <c r="G54" s="30"/>
      <c r="H54" s="69"/>
    </row>
    <row r="55" spans="1:8" ht="14.15" x14ac:dyDescent="0.3">
      <c r="A55" s="30">
        <v>13</v>
      </c>
      <c r="B55" s="30" t="str">
        <f>Source!E98</f>
        <v>13</v>
      </c>
      <c r="C55" s="69" t="str">
        <f>Source!G98</f>
        <v>Монтаж блока питания сети (БПС) в диспетчерской</v>
      </c>
      <c r="D55" s="30" t="s">
        <v>22</v>
      </c>
      <c r="E55" s="70">
        <f>Source!I98</f>
        <v>2</v>
      </c>
      <c r="F55" s="30" t="str">
        <f>Source!U24</f>
        <v/>
      </c>
      <c r="G55" s="30">
        <f>Source!I98</f>
        <v>2</v>
      </c>
      <c r="H55" s="69"/>
    </row>
    <row r="56" spans="1:8" ht="14.15" x14ac:dyDescent="0.3">
      <c r="A56" s="30">
        <v>13.1</v>
      </c>
      <c r="B56" s="30" t="str">
        <f>Source!E100</f>
        <v>13,1</v>
      </c>
      <c r="C56" s="69" t="str">
        <f>Source!G100</f>
        <v>Бокс резервного электропитания БР12 исп. 2х40 045569</v>
      </c>
      <c r="D56" s="30" t="s">
        <v>32</v>
      </c>
      <c r="E56" s="70">
        <f>Source!I100</f>
        <v>2</v>
      </c>
      <c r="F56" s="30" t="str">
        <f>Source!U24</f>
        <v/>
      </c>
      <c r="G56" s="30"/>
      <c r="H56" s="69"/>
    </row>
    <row r="57" spans="1:8" ht="14.15" x14ac:dyDescent="0.3">
      <c r="A57" s="30">
        <v>14</v>
      </c>
      <c r="B57" s="30" t="str">
        <f>Source!E102</f>
        <v>14</v>
      </c>
      <c r="C57" s="69" t="str">
        <f>Source!G102</f>
        <v>Монтаж громкоговорителя или звуковой колонки в помещении</v>
      </c>
      <c r="D57" s="30" t="s">
        <v>22</v>
      </c>
      <c r="E57" s="70">
        <f>Source!I102</f>
        <v>24</v>
      </c>
      <c r="F57" s="30" t="str">
        <f>Source!U24</f>
        <v/>
      </c>
      <c r="G57" s="30">
        <f>Source!I102</f>
        <v>24</v>
      </c>
      <c r="H57" s="69"/>
    </row>
    <row r="58" spans="1:8" ht="14.15" x14ac:dyDescent="0.3">
      <c r="A58" s="30">
        <v>14.1</v>
      </c>
      <c r="B58" s="30" t="str">
        <f>Source!E104</f>
        <v>14,1</v>
      </c>
      <c r="C58" s="69" t="str">
        <f>Source!G104</f>
        <v>Оповещатель охранно-пожарный светозвуковой ОПОП 124-7 12В</v>
      </c>
      <c r="D58" s="30" t="s">
        <v>32</v>
      </c>
      <c r="E58" s="70">
        <f>Source!I104</f>
        <v>24</v>
      </c>
      <c r="F58" s="30" t="str">
        <f>Source!U24</f>
        <v/>
      </c>
      <c r="G58" s="30"/>
      <c r="H58" s="69"/>
    </row>
    <row r="59" spans="1:8" ht="14.15" x14ac:dyDescent="0.3">
      <c r="A59" s="30">
        <v>15</v>
      </c>
      <c r="B59" s="30" t="str">
        <f>Source!E106</f>
        <v>15</v>
      </c>
      <c r="C59" s="69" t="str">
        <f>Source!G106</f>
        <v>Монтаж светильников с лампами накаливания, светового настенного указателя</v>
      </c>
      <c r="D59" s="30" t="s">
        <v>186</v>
      </c>
      <c r="E59" s="70">
        <f>Source!I106</f>
        <v>0.04</v>
      </c>
      <c r="F59" s="30" t="str">
        <f>Source!U24</f>
        <v/>
      </c>
      <c r="G59" s="30" t="str">
        <f>"=(2+"&amp;"2)/"&amp;"100"</f>
        <v>=(2+2)/100</v>
      </c>
      <c r="H59" s="69"/>
    </row>
    <row r="60" spans="1:8" ht="14.15" x14ac:dyDescent="0.3">
      <c r="A60" s="30">
        <v>15.1</v>
      </c>
      <c r="B60" s="30" t="str">
        <f>Source!E108</f>
        <v>15,1</v>
      </c>
      <c r="C60" s="69" t="str">
        <f>Source!G108</f>
        <v>Оповещатель охранно-пожарный световой, типа МАЯК-12-С</v>
      </c>
      <c r="D60" s="30" t="s">
        <v>32</v>
      </c>
      <c r="E60" s="70">
        <f>Source!I108</f>
        <v>2</v>
      </c>
      <c r="F60" s="30" t="str">
        <f>Source!U24</f>
        <v/>
      </c>
      <c r="G60" s="30"/>
      <c r="H60" s="69"/>
    </row>
    <row r="61" spans="1:8" ht="14.15" x14ac:dyDescent="0.3">
      <c r="A61" s="30">
        <v>15.2</v>
      </c>
      <c r="B61" s="30" t="str">
        <f>Source!E110</f>
        <v>15,2</v>
      </c>
      <c r="C61" s="69" t="str">
        <f>Source!G110</f>
        <v>Оповещатель охранно-пожарный, световой, типа Молния-220 РИП "Выход"</v>
      </c>
      <c r="D61" s="30" t="s">
        <v>32</v>
      </c>
      <c r="E61" s="70">
        <f>Source!I110</f>
        <v>2</v>
      </c>
      <c r="F61" s="30" t="str">
        <f>Source!U24</f>
        <v/>
      </c>
      <c r="G61" s="30"/>
      <c r="H61" s="69"/>
    </row>
    <row r="62" spans="1:8" ht="16.3" x14ac:dyDescent="0.4">
      <c r="A62" s="66" t="str">
        <f>CONCATENATE("Раздел: ", Source!G143)</f>
        <v>Раздел: Огнестойкая кабельная линия</v>
      </c>
      <c r="B62" s="66"/>
      <c r="C62" s="66"/>
      <c r="D62" s="66"/>
      <c r="E62" s="66"/>
      <c r="F62" s="66"/>
      <c r="G62" s="66"/>
      <c r="H62" s="66"/>
    </row>
    <row r="63" spans="1:8" ht="28.3" x14ac:dyDescent="0.3">
      <c r="A63" s="30">
        <v>16</v>
      </c>
      <c r="B63" s="30" t="str">
        <f>Source!E147</f>
        <v>16</v>
      </c>
      <c r="C63" s="69" t="str">
        <f>Source!G147</f>
        <v>Прокладка кабеля связи огнестойкого в трубах гофрированных с использованием скобы СМО: по бетонным поверхностям</v>
      </c>
      <c r="D63" s="30" t="s">
        <v>252</v>
      </c>
      <c r="E63" s="70">
        <f>Source!I147</f>
        <v>59.84</v>
      </c>
      <c r="F63" s="30" t="str">
        <f>Source!U143</f>
        <v/>
      </c>
      <c r="G63" s="30" t="str">
        <f>"=(500+"&amp;"4+"&amp;"430+"&amp;"5050)/"&amp;"100"</f>
        <v>=(500+4+430+5050)/100</v>
      </c>
      <c r="H63" s="69"/>
    </row>
    <row r="64" spans="1:8" ht="56.6" x14ac:dyDescent="0.3">
      <c r="A64" s="30">
        <v>16.100000000000001</v>
      </c>
      <c r="B64" s="30" t="str">
        <f>Source!E149</f>
        <v>16,1</v>
      </c>
      <c r="C64" s="69" t="str">
        <f>Source!G149</f>
        <v>Трубы электротехнические из ПВХ, гофрированные, гибкие, легкие, с протяжкой, прочность при сжатии 350 Н, прочность на разрыв 100 Н, диапазон температур от -25 до + 60°С, негорючие, для скрытой прокладки проводов и кабелей, наружный диаметр 20 мм</v>
      </c>
      <c r="D64" s="30" t="s">
        <v>257</v>
      </c>
      <c r="E64" s="70">
        <f>Source!I149</f>
        <v>610.36800000000005</v>
      </c>
      <c r="F64" s="30" t="str">
        <f>Source!U143</f>
        <v/>
      </c>
      <c r="G64" s="30"/>
      <c r="H64" s="69"/>
    </row>
    <row r="65" spans="1:8" ht="28.3" x14ac:dyDescent="0.3">
      <c r="A65" s="30">
        <v>16.2</v>
      </c>
      <c r="B65" s="30" t="str">
        <f>Source!E151</f>
        <v>16,2</v>
      </c>
      <c r="C65" s="69" t="str">
        <f>Source!G151</f>
        <v>Муфта соединительная из АБС пластика, универсальная, для электротехнических труб, наружный диаметр 20 мм</v>
      </c>
      <c r="D65" s="30" t="s">
        <v>32</v>
      </c>
      <c r="E65" s="70">
        <f>Source!I151</f>
        <v>200</v>
      </c>
      <c r="F65" s="30" t="str">
        <f>Source!U143</f>
        <v/>
      </c>
      <c r="G65" s="30"/>
      <c r="H65" s="69"/>
    </row>
    <row r="66" spans="1:8" ht="28.3" x14ac:dyDescent="0.3">
      <c r="A66" s="30">
        <v>16.3</v>
      </c>
      <c r="B66" s="30" t="str">
        <f>Source!E153</f>
        <v>16,3</v>
      </c>
      <c r="C66" s="69" t="str">
        <f>Source!G153</f>
        <v>Скоба однолапковая стальная оцинкованная, для кабелей диаметром от 19 до 20 мм</v>
      </c>
      <c r="D66" s="30" t="s">
        <v>266</v>
      </c>
      <c r="E66" s="70">
        <f>Source!I153</f>
        <v>17.952000000000002</v>
      </c>
      <c r="F66" s="30" t="str">
        <f>Source!U143</f>
        <v/>
      </c>
      <c r="G66" s="30"/>
      <c r="H66" s="69"/>
    </row>
    <row r="67" spans="1:8" ht="14.15" x14ac:dyDescent="0.3">
      <c r="A67" s="30">
        <v>16.399999999999999</v>
      </c>
      <c r="B67" s="30" t="str">
        <f>Source!E155</f>
        <v>16,4</v>
      </c>
      <c r="C67" s="69" t="str">
        <f>Source!G155</f>
        <v>Кабель КПСЭнг(А)-FRLSLTx 1х2х0,5 мм</v>
      </c>
      <c r="D67" s="30" t="s">
        <v>271</v>
      </c>
      <c r="E67" s="70">
        <f>Source!I155</f>
        <v>0.51</v>
      </c>
      <c r="F67" s="30" t="str">
        <f>Source!U143</f>
        <v/>
      </c>
      <c r="G67" s="30"/>
      <c r="H67" s="69"/>
    </row>
    <row r="68" spans="1:8" ht="14.15" x14ac:dyDescent="0.3">
      <c r="A68" s="30">
        <v>16.5</v>
      </c>
      <c r="B68" s="30" t="str">
        <f>Source!E157</f>
        <v>16,5</v>
      </c>
      <c r="C68" s="69" t="str">
        <f>Source!G157</f>
        <v>Кабель КПСнг(А)-FRLSLTx 1х2х1,5 мм</v>
      </c>
      <c r="D68" s="30" t="s">
        <v>271</v>
      </c>
      <c r="E68" s="70">
        <f>Source!I157</f>
        <v>4.0800000000000003E-3</v>
      </c>
      <c r="F68" s="30" t="str">
        <f>Source!U143</f>
        <v/>
      </c>
      <c r="G68" s="30"/>
      <c r="H68" s="69"/>
    </row>
    <row r="69" spans="1:8" ht="14.15" x14ac:dyDescent="0.3">
      <c r="A69" s="30">
        <v>16.600000000000001</v>
      </c>
      <c r="B69" s="30" t="str">
        <f>Source!E159</f>
        <v>16,6</v>
      </c>
      <c r="C69" s="69" t="str">
        <f>Source!G159</f>
        <v>Кабель КПСнг(А)-FRLSLTx 1х2х1 мм</v>
      </c>
      <c r="D69" s="30" t="s">
        <v>271</v>
      </c>
      <c r="E69" s="70">
        <f>Source!I159</f>
        <v>0.43859999999999999</v>
      </c>
      <c r="F69" s="30" t="str">
        <f>Source!U143</f>
        <v/>
      </c>
      <c r="G69" s="30"/>
      <c r="H69" s="69"/>
    </row>
    <row r="70" spans="1:8" ht="14.15" x14ac:dyDescent="0.3">
      <c r="A70" s="30">
        <v>16.7</v>
      </c>
      <c r="B70" s="30" t="str">
        <f>Source!E161</f>
        <v>16,7</v>
      </c>
      <c r="C70" s="69" t="str">
        <f>Source!G161</f>
        <v>Кабель КПСнг(А)-FRLSLTx 1х2х0,75 мм</v>
      </c>
      <c r="D70" s="30" t="s">
        <v>271</v>
      </c>
      <c r="E70" s="70">
        <f>Source!I161</f>
        <v>5.1509999999999998</v>
      </c>
      <c r="F70" s="30" t="str">
        <f>Source!U143</f>
        <v/>
      </c>
      <c r="G70" s="30"/>
      <c r="H70" s="69"/>
    </row>
    <row r="71" spans="1:8" ht="14.15" x14ac:dyDescent="0.3">
      <c r="A71" s="30">
        <v>16.8</v>
      </c>
      <c r="B71" s="30" t="str">
        <f>Source!E163</f>
        <v>16,8</v>
      </c>
      <c r="C71" s="69" t="str">
        <f>Source!G163</f>
        <v>Анкер клиновой стальной оцинкованный, М6х55 мм</v>
      </c>
      <c r="D71" s="30" t="s">
        <v>186</v>
      </c>
      <c r="E71" s="70">
        <f>Source!I163</f>
        <v>141.22239999999999</v>
      </c>
      <c r="F71" s="30" t="str">
        <f>Source!U143</f>
        <v/>
      </c>
      <c r="G71" s="30"/>
      <c r="H71" s="69"/>
    </row>
    <row r="72" spans="1:8" ht="28.3" x14ac:dyDescent="0.3">
      <c r="A72" s="30">
        <v>17</v>
      </c>
      <c r="B72" s="30" t="str">
        <f>Source!E165</f>
        <v>17</v>
      </c>
      <c r="C72" s="69" t="str">
        <f>Source!G165</f>
        <v>Прокладка по установленным конструкциям, по стенам и колоннам с креплением скобами винипластовой трубы диаметром до 25 мм</v>
      </c>
      <c r="D72" s="30" t="s">
        <v>252</v>
      </c>
      <c r="E72" s="70">
        <f>Source!I165</f>
        <v>0.3</v>
      </c>
      <c r="F72" s="30" t="str">
        <f>Source!U143</f>
        <v/>
      </c>
      <c r="G72" s="30" t="str">
        <f>"=30/"&amp;"100"</f>
        <v>=30/100</v>
      </c>
      <c r="H72" s="69"/>
    </row>
    <row r="73" spans="1:8" ht="42.45" x14ac:dyDescent="0.3">
      <c r="A73" s="30">
        <v>17.100000000000001</v>
      </c>
      <c r="B73" s="30" t="str">
        <f>Source!E167</f>
        <v>17,1</v>
      </c>
      <c r="C73" s="69" t="str">
        <f>Source!G167</f>
        <v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v>
      </c>
      <c r="D73" s="30" t="s">
        <v>296</v>
      </c>
      <c r="E73" s="70">
        <f>Source!I167</f>
        <v>30.6</v>
      </c>
      <c r="F73" s="30" t="str">
        <f>Source!U143</f>
        <v/>
      </c>
      <c r="G73" s="30"/>
      <c r="H73" s="69"/>
    </row>
    <row r="74" spans="1:8" ht="28.3" x14ac:dyDescent="0.3">
      <c r="A74" s="30">
        <v>17.2</v>
      </c>
      <c r="B74" s="30" t="str">
        <f>Source!E169</f>
        <v>17,2</v>
      </c>
      <c r="C74" s="69" t="str">
        <f>Source!G169</f>
        <v>Скоба двухлапковая стальная оцинкованная, для кабелей диаметром от 25 до 26</v>
      </c>
      <c r="D74" s="30" t="s">
        <v>266</v>
      </c>
      <c r="E74" s="70">
        <f>Source!I169</f>
        <v>6.6000000000000003E-2</v>
      </c>
      <c r="F74" s="30" t="str">
        <f>Source!U143</f>
        <v/>
      </c>
      <c r="G74" s="30"/>
      <c r="H74" s="69"/>
    </row>
    <row r="75" spans="1:8" ht="14.15" x14ac:dyDescent="0.3">
      <c r="A75" s="30">
        <v>17.3</v>
      </c>
      <c r="B75" s="30" t="str">
        <f>Source!E171</f>
        <v>17,3</v>
      </c>
      <c r="C75" s="69" t="str">
        <f>Source!G171</f>
        <v>Мастика тиоколовая, герметизирующая, нетвердеющая, типа АМ-05</v>
      </c>
      <c r="D75" s="30" t="s">
        <v>305</v>
      </c>
      <c r="E75" s="70">
        <f>Source!I171</f>
        <v>5</v>
      </c>
      <c r="F75" s="30" t="str">
        <f>Source!U143</f>
        <v/>
      </c>
      <c r="G75" s="30"/>
      <c r="H75" s="69"/>
    </row>
    <row r="76" spans="1:8" ht="28.3" x14ac:dyDescent="0.3">
      <c r="A76" s="30">
        <v>18</v>
      </c>
      <c r="B76" s="30" t="str">
        <f>Source!E173</f>
        <v>18</v>
      </c>
      <c r="C76" s="69" t="str">
        <f>Source!G173</f>
        <v>Монтаж огнестойкой ответвительной коробки для кабельных линий связи: по бетонным поверхностям</v>
      </c>
      <c r="D76" s="30" t="s">
        <v>186</v>
      </c>
      <c r="E76" s="70">
        <f>Source!I173</f>
        <v>1</v>
      </c>
      <c r="F76" s="30" t="str">
        <f>Source!U143</f>
        <v/>
      </c>
      <c r="G76" s="30" t="str">
        <f>"=100/"&amp;"100"</f>
        <v>=100/100</v>
      </c>
      <c r="H76" s="69"/>
    </row>
    <row r="77" spans="1:8" ht="56.6" x14ac:dyDescent="0.3">
      <c r="A77" s="30">
        <v>18.100000000000001</v>
      </c>
      <c r="B77" s="30" t="str">
        <f>Source!E175</f>
        <v>18,1</v>
      </c>
      <c r="C77" s="69" t="str">
        <f>Source!G175</f>
        <v>Коробка ответвительная пластиковая, огнестойкая, 6 вводов для труб и кабеля, крышка с уплотнителем и фиксатором, с керамическими клеммными колодками, 4 контакта, степень защиты IP 55, габаритные размеры без учета кабельных вводов 100х100х50 мм</v>
      </c>
      <c r="D77" s="30" t="s">
        <v>32</v>
      </c>
      <c r="E77" s="70">
        <f>Source!I175</f>
        <v>100</v>
      </c>
      <c r="F77" s="30" t="str">
        <f>Source!U143</f>
        <v/>
      </c>
      <c r="G77" s="30"/>
      <c r="H77" s="69"/>
    </row>
    <row r="78" spans="1:8" ht="14.15" x14ac:dyDescent="0.3">
      <c r="A78" s="30">
        <v>18.2</v>
      </c>
      <c r="B78" s="30" t="str">
        <f>Source!E177</f>
        <v>18,2</v>
      </c>
      <c r="C78" s="69" t="str">
        <f>Source!G177</f>
        <v>Анкер клиновой стальной оцинкованный, М6х55 мм</v>
      </c>
      <c r="D78" s="30" t="s">
        <v>186</v>
      </c>
      <c r="E78" s="70">
        <f>Source!I177</f>
        <v>2.02</v>
      </c>
      <c r="F78" s="30" t="str">
        <f>Source!U143</f>
        <v/>
      </c>
      <c r="G78" s="30"/>
      <c r="H78" s="69"/>
    </row>
    <row r="79" spans="1:8" ht="42.45" x14ac:dyDescent="0.3">
      <c r="A79" s="30">
        <v>19</v>
      </c>
      <c r="B79" s="30" t="str">
        <f>Source!E179</f>
        <v>19</v>
      </c>
      <c r="C79" s="69" t="str">
        <f>Source!G179</f>
        <v>Добавлять или исключать при каждом изменении количества присоединяемых кабелей в огнестойкой ответвительной коробке к нормам и расценкам: 4.10-185-11, 4.10-185-12, 4.10-185-13, 4.10-185-14</v>
      </c>
      <c r="D79" s="30" t="s">
        <v>186</v>
      </c>
      <c r="E79" s="70">
        <f>Source!I179</f>
        <v>1</v>
      </c>
      <c r="F79" s="30" t="str">
        <f>Source!U143</f>
        <v/>
      </c>
      <c r="G79" s="30" t="str">
        <f>"=100/"&amp;"100"</f>
        <v>=100/100</v>
      </c>
      <c r="H79" s="69"/>
    </row>
    <row r="80" spans="1:8" ht="16.3" x14ac:dyDescent="0.4">
      <c r="A80" s="66" t="str">
        <f>CONCATENATE("Раздел: ", Source!G212)</f>
        <v>Раздел: АРМ диспетчера</v>
      </c>
      <c r="B80" s="66"/>
      <c r="C80" s="66"/>
      <c r="D80" s="66"/>
      <c r="E80" s="66"/>
      <c r="F80" s="66"/>
      <c r="G80" s="66"/>
      <c r="H80" s="66"/>
    </row>
    <row r="81" spans="1:8" ht="14.15" x14ac:dyDescent="0.3">
      <c r="A81" s="30">
        <v>20</v>
      </c>
      <c r="B81" s="30" t="str">
        <f>Source!E216</f>
        <v>20</v>
      </c>
      <c r="C81" s="69" t="str">
        <f>Source!G216</f>
        <v>Монтаж аппаратуры настольной массой до 20 кг</v>
      </c>
      <c r="D81" s="30" t="s">
        <v>22</v>
      </c>
      <c r="E81" s="70">
        <f>Source!I216</f>
        <v>1</v>
      </c>
      <c r="F81" s="30" t="str">
        <f>Source!U212</f>
        <v/>
      </c>
      <c r="G81" s="30">
        <f>Source!I216</f>
        <v>1</v>
      </c>
      <c r="H81" s="69"/>
    </row>
    <row r="82" spans="1:8" ht="14.15" x14ac:dyDescent="0.3">
      <c r="A82" s="30">
        <v>20.100000000000001</v>
      </c>
      <c r="B82" s="30" t="str">
        <f>Source!E218</f>
        <v>20,1</v>
      </c>
      <c r="C82" s="69" t="str">
        <f>Source!G218</f>
        <v>Моноблок Aquarius Mnb Pro T924, клавиатура, мышь</v>
      </c>
      <c r="D82" s="30" t="s">
        <v>32</v>
      </c>
      <c r="E82" s="70">
        <f>Source!I218</f>
        <v>1</v>
      </c>
      <c r="F82" s="30" t="str">
        <f>Source!U212</f>
        <v/>
      </c>
      <c r="G82" s="30"/>
      <c r="H82" s="69"/>
    </row>
    <row r="83" spans="1:8" ht="14.15" x14ac:dyDescent="0.3">
      <c r="A83" s="30">
        <v>20.2</v>
      </c>
      <c r="B83" s="30" t="str">
        <f>Source!E220</f>
        <v>20,2</v>
      </c>
      <c r="C83" s="69" t="str">
        <f>Source!G220</f>
        <v>ПО "FireSec" оперативная задача</v>
      </c>
      <c r="D83" s="30" t="s">
        <v>32</v>
      </c>
      <c r="E83" s="70">
        <f>Source!I220</f>
        <v>1</v>
      </c>
      <c r="F83" s="30" t="str">
        <f>Source!U212</f>
        <v/>
      </c>
      <c r="G83" s="30"/>
      <c r="H83" s="69"/>
    </row>
    <row r="84" spans="1:8" ht="14.15" x14ac:dyDescent="0.3">
      <c r="A84" s="30">
        <v>21</v>
      </c>
      <c r="B84" s="30" t="str">
        <f>Source!E222</f>
        <v>21</v>
      </c>
      <c r="C84" s="69" t="str">
        <f>Source!G222</f>
        <v>Монтаж блока питания сети (БПС) в диспетчерской</v>
      </c>
      <c r="D84" s="30" t="s">
        <v>22</v>
      </c>
      <c r="E84" s="70">
        <f>Source!I222</f>
        <v>1</v>
      </c>
      <c r="F84" s="30" t="str">
        <f>Source!U212</f>
        <v/>
      </c>
      <c r="G84" s="30">
        <f>Source!I222</f>
        <v>1</v>
      </c>
      <c r="H84" s="69"/>
    </row>
    <row r="85" spans="1:8" ht="42.45" x14ac:dyDescent="0.3">
      <c r="A85" s="29">
        <v>21.1</v>
      </c>
      <c r="B85" s="29" t="str">
        <f>Source!E224</f>
        <v>21,1</v>
      </c>
      <c r="C85" s="67" t="str">
        <f>Source!G224</f>
        <v>Источник бесперебойного питания двойного преобразования со встроенными аккумуляторами, напольный / стоечный, 1-фазный, полная мощность 1 кВА, активная мощность 0,9 кВт, панель управления с ЖК-дисплеем</v>
      </c>
      <c r="D85" s="29" t="s">
        <v>32</v>
      </c>
      <c r="E85" s="68">
        <f>Source!I224</f>
        <v>1</v>
      </c>
      <c r="F85" s="29" t="str">
        <f>Source!U212</f>
        <v/>
      </c>
      <c r="G85" s="29"/>
      <c r="H85" s="67"/>
    </row>
    <row r="88" spans="1:8" ht="14.15" x14ac:dyDescent="0.35">
      <c r="C88" s="71" t="s">
        <v>592</v>
      </c>
      <c r="D88" s="71" t="str">
        <f>IF(Source!X12&lt;&gt;"", Source!X12," ")</f>
        <v xml:space="preserve"> </v>
      </c>
      <c r="E88" s="72"/>
    </row>
    <row r="89" spans="1:8" ht="14.15" x14ac:dyDescent="0.35">
      <c r="C89" s="11"/>
      <c r="D89" s="72"/>
      <c r="E89" s="72"/>
    </row>
    <row r="90" spans="1:8" ht="14.15" x14ac:dyDescent="0.35">
      <c r="C90" s="73" t="s">
        <v>593</v>
      </c>
      <c r="D90" s="73" t="str">
        <f>IF(Source!AB12&lt;&gt;"", Source!AB12," ")</f>
        <v>Лукьянова А.Л.</v>
      </c>
      <c r="E90" s="72"/>
    </row>
  </sheetData>
  <mergeCells count="8">
    <mergeCell ref="A62:H62"/>
    <mergeCell ref="A80:H80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34"/>
  <sheetViews>
    <sheetView workbookViewId="0">
      <selection activeCell="A330" sqref="A330:AX330"/>
    </sheetView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326</v>
      </c>
      <c r="C12" s="1">
        <v>0</v>
      </c>
      <c r="D12" s="1">
        <f>ROW(A287)</f>
        <v>287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8202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3">
      <c r="A18" s="3">
        <v>52</v>
      </c>
      <c r="B18" s="3">
        <f t="shared" ref="B18:G18" si="0">B287</f>
        <v>326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02-01-08</v>
      </c>
      <c r="G18" s="3" t="str">
        <f t="shared" si="0"/>
        <v>02-01-08 АПС</v>
      </c>
      <c r="H18" s="3"/>
      <c r="I18" s="3"/>
      <c r="J18" s="3"/>
      <c r="K18" s="3"/>
      <c r="L18" s="3"/>
      <c r="M18" s="3"/>
      <c r="N18" s="3"/>
      <c r="O18" s="3">
        <f t="shared" ref="O18:AT18" si="1">O287</f>
        <v>362047.07</v>
      </c>
      <c r="P18" s="3">
        <f t="shared" si="1"/>
        <v>311548.58</v>
      </c>
      <c r="Q18" s="3">
        <f t="shared" si="1"/>
        <v>3445.63</v>
      </c>
      <c r="R18" s="3">
        <f t="shared" si="1"/>
        <v>199.62</v>
      </c>
      <c r="S18" s="3">
        <f t="shared" si="1"/>
        <v>47052.86</v>
      </c>
      <c r="T18" s="3">
        <f t="shared" si="1"/>
        <v>0</v>
      </c>
      <c r="U18" s="3">
        <f t="shared" si="1"/>
        <v>3826.3564838400002</v>
      </c>
      <c r="V18" s="3">
        <f t="shared" si="1"/>
        <v>0</v>
      </c>
      <c r="W18" s="3">
        <f t="shared" si="1"/>
        <v>0</v>
      </c>
      <c r="X18" s="3">
        <f t="shared" si="1"/>
        <v>42777.97</v>
      </c>
      <c r="Y18" s="3">
        <f t="shared" si="1"/>
        <v>21952.52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241474.38</v>
      </c>
      <c r="AQ18" s="3">
        <f t="shared" si="1"/>
        <v>0</v>
      </c>
      <c r="AR18" s="3">
        <f t="shared" si="1"/>
        <v>426777.56</v>
      </c>
      <c r="AS18" s="3">
        <f t="shared" si="1"/>
        <v>0</v>
      </c>
      <c r="AT18" s="3">
        <f t="shared" si="1"/>
        <v>185303.18</v>
      </c>
      <c r="AU18" s="3">
        <f t="shared" ref="AU18:BZ18" si="2">AU287</f>
        <v>0</v>
      </c>
      <c r="AV18" s="3">
        <f t="shared" si="2"/>
        <v>311548.58</v>
      </c>
      <c r="AW18" s="3">
        <f t="shared" si="2"/>
        <v>70074.2</v>
      </c>
      <c r="AX18" s="3">
        <f t="shared" si="2"/>
        <v>0</v>
      </c>
      <c r="AY18" s="3">
        <f t="shared" si="2"/>
        <v>70074.2</v>
      </c>
      <c r="AZ18" s="3">
        <f t="shared" si="2"/>
        <v>241474.38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CA287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DG287</f>
        <v>5130754.74</v>
      </c>
      <c r="DH18" s="4">
        <f t="shared" si="4"/>
        <v>2500128.79</v>
      </c>
      <c r="DI18" s="4">
        <f t="shared" si="4"/>
        <v>43189.17</v>
      </c>
      <c r="DJ18" s="4">
        <f t="shared" si="4"/>
        <v>10977.11</v>
      </c>
      <c r="DK18" s="4">
        <f t="shared" si="4"/>
        <v>2587436.7799999998</v>
      </c>
      <c r="DL18" s="4">
        <f t="shared" si="4"/>
        <v>0</v>
      </c>
      <c r="DM18" s="4">
        <f t="shared" si="4"/>
        <v>3826.3564838400002</v>
      </c>
      <c r="DN18" s="4">
        <f t="shared" si="4"/>
        <v>0</v>
      </c>
      <c r="DO18" s="4">
        <f t="shared" si="4"/>
        <v>0</v>
      </c>
      <c r="DP18" s="4">
        <f t="shared" si="4"/>
        <v>2352359.83</v>
      </c>
      <c r="DQ18" s="4">
        <f t="shared" si="4"/>
        <v>1207169.1499999999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1860849.22</v>
      </c>
      <c r="EI18" s="4">
        <f t="shared" si="4"/>
        <v>0</v>
      </c>
      <c r="EJ18" s="4">
        <f t="shared" si="4"/>
        <v>8690283.7200000007</v>
      </c>
      <c r="EK18" s="4">
        <f t="shared" si="4"/>
        <v>0</v>
      </c>
      <c r="EL18" s="4">
        <f t="shared" si="4"/>
        <v>6829434.5</v>
      </c>
      <c r="EM18" s="4">
        <f t="shared" ref="EM18:FR18" si="5">EM287</f>
        <v>0</v>
      </c>
      <c r="EN18" s="4">
        <f t="shared" si="5"/>
        <v>2500128.79</v>
      </c>
      <c r="EO18" s="4">
        <f t="shared" si="5"/>
        <v>639279.56999999995</v>
      </c>
      <c r="EP18" s="4">
        <f t="shared" si="5"/>
        <v>0</v>
      </c>
      <c r="EQ18" s="4">
        <f t="shared" si="5"/>
        <v>639279.56999999995</v>
      </c>
      <c r="ER18" s="4">
        <f t="shared" si="5"/>
        <v>1860849.22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FS287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3">
      <c r="A20" s="1">
        <v>3</v>
      </c>
      <c r="B20" s="1">
        <v>1</v>
      </c>
      <c r="C20" s="1"/>
      <c r="D20" s="1">
        <f>ROW(A257)</f>
        <v>257</v>
      </c>
      <c r="E20" s="1"/>
      <c r="F20" s="1" t="s">
        <v>5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3">
      <c r="A22" s="3">
        <v>52</v>
      </c>
      <c r="B22" s="3">
        <f t="shared" ref="B22:G22" si="7">B257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02-01-08</v>
      </c>
      <c r="G22" s="3" t="str">
        <f t="shared" si="7"/>
        <v>Автоматическая пожарная сигнализация</v>
      </c>
      <c r="H22" s="3"/>
      <c r="I22" s="3"/>
      <c r="J22" s="3"/>
      <c r="K22" s="3"/>
      <c r="L22" s="3"/>
      <c r="M22" s="3"/>
      <c r="N22" s="3"/>
      <c r="O22" s="3">
        <f t="shared" ref="O22:AT22" si="8">O257</f>
        <v>362047.07</v>
      </c>
      <c r="P22" s="3">
        <f t="shared" si="8"/>
        <v>311548.58</v>
      </c>
      <c r="Q22" s="3">
        <f t="shared" si="8"/>
        <v>3445.63</v>
      </c>
      <c r="R22" s="3">
        <f t="shared" si="8"/>
        <v>199.62</v>
      </c>
      <c r="S22" s="3">
        <f t="shared" si="8"/>
        <v>47052.86</v>
      </c>
      <c r="T22" s="3">
        <f t="shared" si="8"/>
        <v>0</v>
      </c>
      <c r="U22" s="3">
        <f t="shared" si="8"/>
        <v>3826.3564838400002</v>
      </c>
      <c r="V22" s="3">
        <f t="shared" si="8"/>
        <v>0</v>
      </c>
      <c r="W22" s="3">
        <f t="shared" si="8"/>
        <v>0</v>
      </c>
      <c r="X22" s="3">
        <f t="shared" si="8"/>
        <v>42777.97</v>
      </c>
      <c r="Y22" s="3">
        <f t="shared" si="8"/>
        <v>21952.52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241474.38</v>
      </c>
      <c r="AQ22" s="3">
        <f t="shared" si="8"/>
        <v>0</v>
      </c>
      <c r="AR22" s="3">
        <f t="shared" si="8"/>
        <v>426777.56</v>
      </c>
      <c r="AS22" s="3">
        <f t="shared" si="8"/>
        <v>0</v>
      </c>
      <c r="AT22" s="3">
        <f t="shared" si="8"/>
        <v>185303.18</v>
      </c>
      <c r="AU22" s="3">
        <f t="shared" ref="AU22:BZ22" si="9">AU257</f>
        <v>0</v>
      </c>
      <c r="AV22" s="3">
        <f t="shared" si="9"/>
        <v>311548.58</v>
      </c>
      <c r="AW22" s="3">
        <f t="shared" si="9"/>
        <v>70074.2</v>
      </c>
      <c r="AX22" s="3">
        <f t="shared" si="9"/>
        <v>0</v>
      </c>
      <c r="AY22" s="3">
        <f t="shared" si="9"/>
        <v>70074.2</v>
      </c>
      <c r="AZ22" s="3">
        <f t="shared" si="9"/>
        <v>241474.38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CA257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DG257</f>
        <v>5130754.74</v>
      </c>
      <c r="DH22" s="4">
        <f t="shared" si="11"/>
        <v>2500128.79</v>
      </c>
      <c r="DI22" s="4">
        <f t="shared" si="11"/>
        <v>43189.17</v>
      </c>
      <c r="DJ22" s="4">
        <f t="shared" si="11"/>
        <v>10977.11</v>
      </c>
      <c r="DK22" s="4">
        <f t="shared" si="11"/>
        <v>2587436.7799999998</v>
      </c>
      <c r="DL22" s="4">
        <f t="shared" si="11"/>
        <v>0</v>
      </c>
      <c r="DM22" s="4">
        <f t="shared" si="11"/>
        <v>3826.3564838400002</v>
      </c>
      <c r="DN22" s="4">
        <f t="shared" si="11"/>
        <v>0</v>
      </c>
      <c r="DO22" s="4">
        <f t="shared" si="11"/>
        <v>0</v>
      </c>
      <c r="DP22" s="4">
        <f t="shared" si="11"/>
        <v>2352359.83</v>
      </c>
      <c r="DQ22" s="4">
        <f t="shared" si="11"/>
        <v>1207169.1499999999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1860849.22</v>
      </c>
      <c r="EI22" s="4">
        <f t="shared" si="11"/>
        <v>0</v>
      </c>
      <c r="EJ22" s="4">
        <f t="shared" si="11"/>
        <v>8690283.7200000007</v>
      </c>
      <c r="EK22" s="4">
        <f t="shared" si="11"/>
        <v>0</v>
      </c>
      <c r="EL22" s="4">
        <f t="shared" si="11"/>
        <v>6829434.5</v>
      </c>
      <c r="EM22" s="4">
        <f t="shared" ref="EM22:FR22" si="12">EM257</f>
        <v>0</v>
      </c>
      <c r="EN22" s="4">
        <f t="shared" si="12"/>
        <v>2500128.79</v>
      </c>
      <c r="EO22" s="4">
        <f t="shared" si="12"/>
        <v>639279.56999999995</v>
      </c>
      <c r="EP22" s="4">
        <f t="shared" si="12"/>
        <v>0</v>
      </c>
      <c r="EQ22" s="4">
        <f t="shared" si="12"/>
        <v>639279.56999999995</v>
      </c>
      <c r="ER22" s="4">
        <f t="shared" si="12"/>
        <v>1860849.22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FS257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3">
      <c r="A24" s="1">
        <v>4</v>
      </c>
      <c r="B24" s="1">
        <v>1</v>
      </c>
      <c r="C24" s="1"/>
      <c r="D24" s="1">
        <f>ROW(A113)</f>
        <v>113</v>
      </c>
      <c r="E24" s="1"/>
      <c r="F24" s="1" t="s">
        <v>3</v>
      </c>
      <c r="G24" s="1" t="s">
        <v>18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3">
      <c r="A26" s="3">
        <v>52</v>
      </c>
      <c r="B26" s="3">
        <f t="shared" ref="B26:G26" si="14">B113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Монтажные работы</v>
      </c>
      <c r="H26" s="3"/>
      <c r="I26" s="3"/>
      <c r="J26" s="3"/>
      <c r="K26" s="3"/>
      <c r="L26" s="3"/>
      <c r="M26" s="3"/>
      <c r="N26" s="3"/>
      <c r="O26" s="3">
        <f t="shared" ref="O26:AT26" si="15">O113</f>
        <v>268696.12</v>
      </c>
      <c r="P26" s="3">
        <f t="shared" si="15"/>
        <v>240197.78</v>
      </c>
      <c r="Q26" s="3">
        <f t="shared" si="15"/>
        <v>3149.8</v>
      </c>
      <c r="R26" s="3">
        <f t="shared" si="15"/>
        <v>199.18</v>
      </c>
      <c r="S26" s="3">
        <f t="shared" si="15"/>
        <v>25348.54</v>
      </c>
      <c r="T26" s="3">
        <f t="shared" si="15"/>
        <v>0</v>
      </c>
      <c r="U26" s="3">
        <f t="shared" si="15"/>
        <v>2008.4344275600001</v>
      </c>
      <c r="V26" s="3">
        <f t="shared" si="15"/>
        <v>0</v>
      </c>
      <c r="W26" s="3">
        <f t="shared" si="15"/>
        <v>0</v>
      </c>
      <c r="X26" s="3">
        <f t="shared" si="15"/>
        <v>23232.41</v>
      </c>
      <c r="Y26" s="3">
        <f t="shared" si="15"/>
        <v>11956.79</v>
      </c>
      <c r="Z26" s="3">
        <f t="shared" si="15"/>
        <v>0</v>
      </c>
      <c r="AA26" s="3">
        <f t="shared" si="15"/>
        <v>0</v>
      </c>
      <c r="AB26" s="3">
        <f t="shared" si="15"/>
        <v>268696.12</v>
      </c>
      <c r="AC26" s="3">
        <f t="shared" si="15"/>
        <v>240197.78</v>
      </c>
      <c r="AD26" s="3">
        <f t="shared" si="15"/>
        <v>3149.8</v>
      </c>
      <c r="AE26" s="3">
        <f t="shared" si="15"/>
        <v>199.18</v>
      </c>
      <c r="AF26" s="3">
        <f t="shared" si="15"/>
        <v>25348.54</v>
      </c>
      <c r="AG26" s="3">
        <f t="shared" si="15"/>
        <v>0</v>
      </c>
      <c r="AH26" s="3">
        <f t="shared" si="15"/>
        <v>2008.4344275600001</v>
      </c>
      <c r="AI26" s="3">
        <f t="shared" si="15"/>
        <v>0</v>
      </c>
      <c r="AJ26" s="3">
        <f t="shared" si="15"/>
        <v>0</v>
      </c>
      <c r="AK26" s="3">
        <f t="shared" si="15"/>
        <v>23232.41</v>
      </c>
      <c r="AL26" s="3">
        <f t="shared" si="15"/>
        <v>11956.79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221173.38</v>
      </c>
      <c r="AQ26" s="3">
        <f t="shared" si="15"/>
        <v>0</v>
      </c>
      <c r="AR26" s="3">
        <f t="shared" si="15"/>
        <v>303885.32</v>
      </c>
      <c r="AS26" s="3">
        <f t="shared" si="15"/>
        <v>0</v>
      </c>
      <c r="AT26" s="3">
        <f t="shared" si="15"/>
        <v>82711.94</v>
      </c>
      <c r="AU26" s="3">
        <f t="shared" ref="AU26:BZ26" si="16">AU113</f>
        <v>0</v>
      </c>
      <c r="AV26" s="3">
        <f t="shared" si="16"/>
        <v>240197.78</v>
      </c>
      <c r="AW26" s="3">
        <f t="shared" si="16"/>
        <v>19024.400000000001</v>
      </c>
      <c r="AX26" s="3">
        <f t="shared" si="16"/>
        <v>0</v>
      </c>
      <c r="AY26" s="3">
        <f t="shared" si="16"/>
        <v>19024.400000000001</v>
      </c>
      <c r="AZ26" s="3">
        <f t="shared" si="16"/>
        <v>221173.38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221173.38</v>
      </c>
      <c r="BZ26" s="3">
        <f t="shared" si="16"/>
        <v>0</v>
      </c>
      <c r="CA26" s="3">
        <f t="shared" ref="CA26:DF26" si="17">CA113</f>
        <v>303885.32</v>
      </c>
      <c r="CB26" s="3">
        <f t="shared" si="17"/>
        <v>0</v>
      </c>
      <c r="CC26" s="3">
        <f t="shared" si="17"/>
        <v>82711.94</v>
      </c>
      <c r="CD26" s="3">
        <f t="shared" si="17"/>
        <v>0</v>
      </c>
      <c r="CE26" s="3">
        <f t="shared" si="17"/>
        <v>240197.78</v>
      </c>
      <c r="CF26" s="3">
        <f t="shared" si="17"/>
        <v>19024.399999999994</v>
      </c>
      <c r="CG26" s="3">
        <f t="shared" si="17"/>
        <v>0</v>
      </c>
      <c r="CH26" s="3">
        <f t="shared" si="17"/>
        <v>19024.399999999994</v>
      </c>
      <c r="CI26" s="3">
        <f t="shared" si="17"/>
        <v>221173.38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DG113</f>
        <v>3307031.19</v>
      </c>
      <c r="DH26" s="4">
        <f t="shared" si="18"/>
        <v>1872543.24</v>
      </c>
      <c r="DI26" s="4">
        <f t="shared" si="18"/>
        <v>40571.730000000003</v>
      </c>
      <c r="DJ26" s="4">
        <f t="shared" si="18"/>
        <v>10952.91</v>
      </c>
      <c r="DK26" s="4">
        <f t="shared" si="18"/>
        <v>1393916.22</v>
      </c>
      <c r="DL26" s="4">
        <f t="shared" si="18"/>
        <v>0</v>
      </c>
      <c r="DM26" s="4">
        <f t="shared" si="18"/>
        <v>2008.4344275600001</v>
      </c>
      <c r="DN26" s="4">
        <f t="shared" si="18"/>
        <v>0</v>
      </c>
      <c r="DO26" s="4">
        <f t="shared" si="18"/>
        <v>0</v>
      </c>
      <c r="DP26" s="4">
        <f t="shared" si="18"/>
        <v>1277548.95</v>
      </c>
      <c r="DQ26" s="4">
        <f t="shared" si="18"/>
        <v>657503.47</v>
      </c>
      <c r="DR26" s="4">
        <f t="shared" si="18"/>
        <v>0</v>
      </c>
      <c r="DS26" s="4">
        <f t="shared" si="18"/>
        <v>0</v>
      </c>
      <c r="DT26" s="4">
        <f t="shared" si="18"/>
        <v>3307031.19</v>
      </c>
      <c r="DU26" s="4">
        <f t="shared" si="18"/>
        <v>1872543.24</v>
      </c>
      <c r="DV26" s="4">
        <f t="shared" si="18"/>
        <v>40571.730000000003</v>
      </c>
      <c r="DW26" s="4">
        <f t="shared" si="18"/>
        <v>10952.91</v>
      </c>
      <c r="DX26" s="4">
        <f t="shared" si="18"/>
        <v>1393916.22</v>
      </c>
      <c r="DY26" s="4">
        <f t="shared" si="18"/>
        <v>0</v>
      </c>
      <c r="DZ26" s="4">
        <f t="shared" si="18"/>
        <v>2008.4344275600001</v>
      </c>
      <c r="EA26" s="4">
        <f t="shared" si="18"/>
        <v>0</v>
      </c>
      <c r="EB26" s="4">
        <f t="shared" si="18"/>
        <v>0</v>
      </c>
      <c r="EC26" s="4">
        <f t="shared" si="18"/>
        <v>1277548.95</v>
      </c>
      <c r="ED26" s="4">
        <f t="shared" si="18"/>
        <v>657503.47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1690753.16</v>
      </c>
      <c r="EI26" s="4">
        <f t="shared" si="18"/>
        <v>0</v>
      </c>
      <c r="EJ26" s="4">
        <f t="shared" si="18"/>
        <v>5242083.6100000003</v>
      </c>
      <c r="EK26" s="4">
        <f t="shared" si="18"/>
        <v>0</v>
      </c>
      <c r="EL26" s="4">
        <f t="shared" si="18"/>
        <v>3551330.45</v>
      </c>
      <c r="EM26" s="4">
        <f t="shared" ref="EM26:FR26" si="19">EM113</f>
        <v>0</v>
      </c>
      <c r="EN26" s="4">
        <f t="shared" si="19"/>
        <v>1872543.24</v>
      </c>
      <c r="EO26" s="4">
        <f t="shared" si="19"/>
        <v>181790.07999999999</v>
      </c>
      <c r="EP26" s="4">
        <f t="shared" si="19"/>
        <v>0</v>
      </c>
      <c r="EQ26" s="4">
        <f t="shared" si="19"/>
        <v>181790.07999999999</v>
      </c>
      <c r="ER26" s="4">
        <f t="shared" si="19"/>
        <v>1690753.16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1690753.16</v>
      </c>
      <c r="FR26" s="4">
        <f t="shared" si="19"/>
        <v>0</v>
      </c>
      <c r="FS26" s="4">
        <f t="shared" ref="FS26:GX26" si="20">FS113</f>
        <v>5242083.6100000003</v>
      </c>
      <c r="FT26" s="4">
        <f t="shared" si="20"/>
        <v>0</v>
      </c>
      <c r="FU26" s="4">
        <f t="shared" si="20"/>
        <v>3551330.45</v>
      </c>
      <c r="FV26" s="4">
        <f t="shared" si="20"/>
        <v>0</v>
      </c>
      <c r="FW26" s="4">
        <f t="shared" si="20"/>
        <v>1872543.24</v>
      </c>
      <c r="FX26" s="4">
        <f t="shared" si="20"/>
        <v>181790.08000000007</v>
      </c>
      <c r="FY26" s="4">
        <f t="shared" si="20"/>
        <v>0</v>
      </c>
      <c r="FZ26" s="4">
        <f t="shared" si="20"/>
        <v>181790.08000000007</v>
      </c>
      <c r="GA26" s="4">
        <f t="shared" si="20"/>
        <v>1690753.16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3">
      <c r="A28" s="2">
        <v>17</v>
      </c>
      <c r="B28" s="2">
        <v>1</v>
      </c>
      <c r="C28" s="2"/>
      <c r="D28" s="2">
        <f>ROW(EtalonRes!A1)</f>
        <v>1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7</v>
      </c>
      <c r="J28" s="2">
        <v>0</v>
      </c>
      <c r="K28" s="2">
        <v>7</v>
      </c>
      <c r="L28" s="2"/>
      <c r="M28" s="2"/>
      <c r="N28" s="2"/>
      <c r="O28" s="2">
        <f t="shared" ref="O28:O59" si="21">ROUND(CP28,2)</f>
        <v>407.06</v>
      </c>
      <c r="P28" s="2">
        <f>ROUND((ROUND((AC28*AW28*I28),2)*BC28),2)</f>
        <v>45.08</v>
      </c>
      <c r="Q28" s="2">
        <f>(ROUND((ROUND((((ET28*1.1))*AV28*I28),2)*BB28),2)+ROUND((ROUND(((AE28-((EU28*1.1)))*AV28*I28),2)*BS28),2))</f>
        <v>0.97</v>
      </c>
      <c r="R28" s="2">
        <f t="shared" ref="R28:R59" si="22">ROUND((ROUND((AE28*AV28*I28),2)*BS28),2)</f>
        <v>0.08</v>
      </c>
      <c r="S28" s="2">
        <f t="shared" ref="S28:S59" si="23">ROUND((ROUND((AF28*AV28*I28),2)*BA28),2)</f>
        <v>361.01</v>
      </c>
      <c r="T28" s="2">
        <f t="shared" ref="T28:T59" si="24">ROUND(CU28*I28,2)</f>
        <v>0</v>
      </c>
      <c r="U28" s="2">
        <f t="shared" ref="U28:U59" si="25">CV28*I28</f>
        <v>26.60427</v>
      </c>
      <c r="V28" s="2">
        <f t="shared" ref="V28:V59" si="26">CW28*I28</f>
        <v>0</v>
      </c>
      <c r="W28" s="2">
        <f t="shared" ref="W28:W59" si="27">ROUND(CX28*I28,2)</f>
        <v>0</v>
      </c>
      <c r="X28" s="2">
        <f t="shared" ref="X28:X59" si="28">ROUND(CY28,2)</f>
        <v>324.98</v>
      </c>
      <c r="Y28" s="2">
        <f t="shared" ref="Y28:Y59" si="29">ROUND(CZ28,2)</f>
        <v>166.1</v>
      </c>
      <c r="Z28" s="2"/>
      <c r="AA28" s="2">
        <v>56498966</v>
      </c>
      <c r="AB28" s="2">
        <f t="shared" ref="AB28:AB59" si="30">ROUND((AC28+AD28+AF28),6)</f>
        <v>55.83</v>
      </c>
      <c r="AC28" s="2">
        <f t="shared" ref="AC28:AC59" si="31">ROUND((ES28),6)</f>
        <v>6.44</v>
      </c>
      <c r="AD28" s="2">
        <f>ROUND(((((ET28*1.1))-((EU28*1.1)))+AE28),6)</f>
        <v>0.13200000000000001</v>
      </c>
      <c r="AE28" s="2">
        <f>ROUND(((EU28*1.1)),6)</f>
        <v>1.0999999999999999E-2</v>
      </c>
      <c r="AF28" s="2">
        <f>ROUND(((EV28*1.1)),6)</f>
        <v>49.258000000000003</v>
      </c>
      <c r="AG28" s="2">
        <f t="shared" ref="AG28:AG59" si="32">ROUND((AP28),6)</f>
        <v>0</v>
      </c>
      <c r="AH28" s="2">
        <f>((EW28*1.1))</f>
        <v>3.63</v>
      </c>
      <c r="AI28" s="2">
        <f>((EX28*1.1))</f>
        <v>0</v>
      </c>
      <c r="AJ28" s="2">
        <f t="shared" ref="AJ28:AJ59" si="33">(AS28)</f>
        <v>0</v>
      </c>
      <c r="AK28" s="2">
        <v>51.34</v>
      </c>
      <c r="AL28" s="2">
        <v>6.44</v>
      </c>
      <c r="AM28" s="2">
        <v>0.12</v>
      </c>
      <c r="AN28" s="2">
        <v>0.01</v>
      </c>
      <c r="AO28" s="2">
        <v>44.78</v>
      </c>
      <c r="AP28" s="2">
        <v>0</v>
      </c>
      <c r="AQ28" s="2">
        <v>3.3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ref="CP28:CP59" si="34">(P28+Q28+S28)</f>
        <v>407.06</v>
      </c>
      <c r="CQ28" s="2">
        <f>ROUND((ROUND((AC28*AW28*1),2)*BC28),2)</f>
        <v>6.44</v>
      </c>
      <c r="CR28" s="2">
        <f>(ROUND((ROUND((((ET28*1.1))*AV28*1),2)*BB28),2)+ROUND((ROUND(((AE28-((EU28*1.1)))*AV28*1),2)*BS28),2))</f>
        <v>0.14000000000000001</v>
      </c>
      <c r="CS28" s="2">
        <f t="shared" ref="CS28:CS59" si="35">ROUND((ROUND((AE28*AV28*1),2)*BS28),2)</f>
        <v>0.01</v>
      </c>
      <c r="CT28" s="2">
        <f t="shared" ref="CT28:CT59" si="36">ROUND((ROUND((AF28*AV28*1),2)*BA28),2)</f>
        <v>51.57</v>
      </c>
      <c r="CU28" s="2">
        <f t="shared" ref="CU28:CU59" si="37">AG28</f>
        <v>0</v>
      </c>
      <c r="CV28" s="2">
        <f t="shared" ref="CV28:CV59" si="38">(AH28*AV28)</f>
        <v>3.8006099999999998</v>
      </c>
      <c r="CW28" s="2">
        <f t="shared" ref="CW28:CW59" si="39">AI28</f>
        <v>0</v>
      </c>
      <c r="CX28" s="2">
        <f t="shared" ref="CX28:CX59" si="40">AJ28</f>
        <v>0</v>
      </c>
      <c r="CY28" s="2">
        <f t="shared" ref="CY28:CY59" si="41">(((S28+R28)*AT28)/100)</f>
        <v>324.98099999999999</v>
      </c>
      <c r="CZ28" s="2">
        <f t="shared" ref="CZ28:CZ59" si="42">(((S28+R28)*AU28)/100)</f>
        <v>166.10139999999998</v>
      </c>
      <c r="DA28" s="2"/>
      <c r="DB28" s="2"/>
      <c r="DC28" s="2" t="s">
        <v>3</v>
      </c>
      <c r="DD28" s="2" t="s">
        <v>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58162630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68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51.34</v>
      </c>
      <c r="ES28" s="2">
        <v>6.44</v>
      </c>
      <c r="ET28" s="2">
        <v>0.12</v>
      </c>
      <c r="EU28" s="2">
        <v>0.01</v>
      </c>
      <c r="EV28" s="2">
        <v>44.78</v>
      </c>
      <c r="EW28" s="2">
        <v>3.3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-1862862500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43">ROUND(IF(AND(BH28=3,BI28=3,FS28&lt;&gt;0),P28,0),2)</f>
        <v>0</v>
      </c>
      <c r="GM28" s="2">
        <f t="shared" ref="GM28:GM59" si="44">ROUND(O28+X28+Y28,2)+GX28</f>
        <v>898.14</v>
      </c>
      <c r="GN28" s="2">
        <f t="shared" ref="GN28:GN59" si="45">IF(OR(BI28=0,BI28=1),GM28-GX28,0)</f>
        <v>0</v>
      </c>
      <c r="GO28" s="2">
        <f t="shared" ref="GO28:GO59" si="46">IF(BI28=2,GM28-GX28,0)</f>
        <v>898.14</v>
      </c>
      <c r="GP28" s="2">
        <f t="shared" ref="GP28:GP59" si="47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8">ROUND((GT28),6)</f>
        <v>0</v>
      </c>
      <c r="GW28" s="2">
        <v>1</v>
      </c>
      <c r="GX28" s="2">
        <f t="shared" ref="GX28:GX59" si="49">ROUND(HC28*I28,2)</f>
        <v>0</v>
      </c>
      <c r="GY28" s="2"/>
      <c r="GZ28" s="2"/>
      <c r="HA28" s="2">
        <v>0</v>
      </c>
      <c r="HB28" s="2">
        <v>0</v>
      </c>
      <c r="HC28" s="2">
        <f t="shared" ref="HC28:HC59" si="50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3">
      <c r="A29">
        <v>17</v>
      </c>
      <c r="B29">
        <v>1</v>
      </c>
      <c r="D29">
        <f>ROW(EtalonRes!A2)</f>
        <v>2</v>
      </c>
      <c r="E29" t="s">
        <v>19</v>
      </c>
      <c r="F29" t="s">
        <v>20</v>
      </c>
      <c r="G29" t="s">
        <v>21</v>
      </c>
      <c r="H29" t="s">
        <v>22</v>
      </c>
      <c r="I29">
        <v>7</v>
      </c>
      <c r="J29">
        <v>0</v>
      </c>
      <c r="K29">
        <v>7</v>
      </c>
      <c r="O29">
        <f t="shared" si="21"/>
        <v>20311.12</v>
      </c>
      <c r="P29">
        <f>ROUND((ROUND((AC29*AW29*I29),2)*BC29),2)</f>
        <v>445.84</v>
      </c>
      <c r="Q29">
        <f>(ROUND((ROUND((((ET29*1.1))*AV29*I29),2)*BB29),2)+ROUND((ROUND(((AE29-((EU29*1.1)))*AV29*I29),2)*BS29),2))</f>
        <v>13.34</v>
      </c>
      <c r="R29">
        <f t="shared" si="22"/>
        <v>4.4000000000000004</v>
      </c>
      <c r="S29">
        <f t="shared" si="23"/>
        <v>19851.939999999999</v>
      </c>
      <c r="T29">
        <f t="shared" si="24"/>
        <v>0</v>
      </c>
      <c r="U29">
        <f t="shared" si="25"/>
        <v>26.60427</v>
      </c>
      <c r="V29">
        <f t="shared" si="26"/>
        <v>0</v>
      </c>
      <c r="W29">
        <f t="shared" si="27"/>
        <v>0</v>
      </c>
      <c r="X29">
        <f t="shared" si="28"/>
        <v>17870.71</v>
      </c>
      <c r="Y29">
        <f t="shared" si="29"/>
        <v>9133.92</v>
      </c>
      <c r="AA29">
        <v>56498968</v>
      </c>
      <c r="AB29">
        <f t="shared" si="30"/>
        <v>55.83</v>
      </c>
      <c r="AC29">
        <f t="shared" si="31"/>
        <v>6.44</v>
      </c>
      <c r="AD29">
        <f>ROUND(((((ET29*1.1))-((EU29*1.1)))+AE29),6)</f>
        <v>0.13200000000000001</v>
      </c>
      <c r="AE29">
        <f>ROUND(((EU29*1.1)),6)</f>
        <v>1.0999999999999999E-2</v>
      </c>
      <c r="AF29">
        <f>ROUND(((EV29*1.1)),6)</f>
        <v>49.258000000000003</v>
      </c>
      <c r="AG29">
        <f t="shared" si="32"/>
        <v>0</v>
      </c>
      <c r="AH29">
        <f>((EW29*1.1))</f>
        <v>3.63</v>
      </c>
      <c r="AI29">
        <f>((EX29*1.1))</f>
        <v>0</v>
      </c>
      <c r="AJ29">
        <f t="shared" si="33"/>
        <v>0</v>
      </c>
      <c r="AK29">
        <v>51.34</v>
      </c>
      <c r="AL29">
        <v>6.44</v>
      </c>
      <c r="AM29">
        <v>0.12</v>
      </c>
      <c r="AN29">
        <v>0.01</v>
      </c>
      <c r="AO29">
        <v>44.78</v>
      </c>
      <c r="AP29">
        <v>0</v>
      </c>
      <c r="AQ29">
        <v>3.3</v>
      </c>
      <c r="AR29">
        <v>0</v>
      </c>
      <c r="AS29">
        <v>0</v>
      </c>
      <c r="AT29">
        <v>90</v>
      </c>
      <c r="AU29">
        <v>46</v>
      </c>
      <c r="AV29">
        <v>1.0469999999999999</v>
      </c>
      <c r="AW29">
        <v>1</v>
      </c>
      <c r="AZ29">
        <v>1</v>
      </c>
      <c r="BA29">
        <v>54.99</v>
      </c>
      <c r="BB29">
        <v>13.75</v>
      </c>
      <c r="BC29">
        <v>9.89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23</v>
      </c>
      <c r="BM29">
        <v>68</v>
      </c>
      <c r="BN29">
        <v>0</v>
      </c>
      <c r="BO29" t="s">
        <v>20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34"/>
        <v>20311.12</v>
      </c>
      <c r="CQ29">
        <f>ROUND((ROUND((AC29*AW29*1),2)*BC29),2)</f>
        <v>63.69</v>
      </c>
      <c r="CR29">
        <f>(ROUND((ROUND((((ET29*1.1))*AV29*1),2)*BB29),2)+ROUND((ROUND(((AE29-((EU29*1.1)))*AV29*1),2)*BS29),2))</f>
        <v>1.93</v>
      </c>
      <c r="CS29">
        <f t="shared" si="35"/>
        <v>0.55000000000000004</v>
      </c>
      <c r="CT29">
        <f t="shared" si="36"/>
        <v>2835.83</v>
      </c>
      <c r="CU29">
        <f t="shared" si="37"/>
        <v>0</v>
      </c>
      <c r="CV29">
        <f t="shared" si="38"/>
        <v>3.8006099999999998</v>
      </c>
      <c r="CW29">
        <f t="shared" si="39"/>
        <v>0</v>
      </c>
      <c r="CX29">
        <f t="shared" si="40"/>
        <v>0</v>
      </c>
      <c r="CY29">
        <f t="shared" si="41"/>
        <v>17870.706000000002</v>
      </c>
      <c r="CZ29">
        <f t="shared" si="42"/>
        <v>9133.9164000000001</v>
      </c>
      <c r="DC29" t="s">
        <v>3</v>
      </c>
      <c r="DD29" t="s">
        <v>3</v>
      </c>
      <c r="DE29" t="s">
        <v>24</v>
      </c>
      <c r="DF29" t="s">
        <v>24</v>
      </c>
      <c r="DG29" t="s">
        <v>24</v>
      </c>
      <c r="DH29" t="s">
        <v>3</v>
      </c>
      <c r="DI29" t="s">
        <v>24</v>
      </c>
      <c r="DJ29" t="s">
        <v>24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22</v>
      </c>
      <c r="DW29" t="s">
        <v>22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58162630</v>
      </c>
      <c r="EF29">
        <v>40</v>
      </c>
      <c r="EG29" t="s">
        <v>25</v>
      </c>
      <c r="EH29">
        <v>0</v>
      </c>
      <c r="EI29" t="s">
        <v>3</v>
      </c>
      <c r="EJ29">
        <v>2</v>
      </c>
      <c r="EK29">
        <v>68</v>
      </c>
      <c r="EL29" t="s">
        <v>26</v>
      </c>
      <c r="EM29" t="s">
        <v>27</v>
      </c>
      <c r="EO29" t="s">
        <v>28</v>
      </c>
      <c r="EQ29">
        <v>0</v>
      </c>
      <c r="ER29">
        <v>51.34</v>
      </c>
      <c r="ES29">
        <v>6.44</v>
      </c>
      <c r="ET29">
        <v>0.12</v>
      </c>
      <c r="EU29">
        <v>0.01</v>
      </c>
      <c r="EV29">
        <v>44.78</v>
      </c>
      <c r="EW29">
        <v>3.3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-1862862500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3"/>
        <v>0</v>
      </c>
      <c r="GM29">
        <f t="shared" si="44"/>
        <v>47315.75</v>
      </c>
      <c r="GN29">
        <f t="shared" si="45"/>
        <v>0</v>
      </c>
      <c r="GO29">
        <f t="shared" si="46"/>
        <v>47315.75</v>
      </c>
      <c r="GP29">
        <f t="shared" si="47"/>
        <v>0</v>
      </c>
      <c r="GR29">
        <v>0</v>
      </c>
      <c r="GS29">
        <v>3</v>
      </c>
      <c r="GT29">
        <v>0</v>
      </c>
      <c r="GU29" t="s">
        <v>3</v>
      </c>
      <c r="GV29">
        <f t="shared" si="48"/>
        <v>0</v>
      </c>
      <c r="GW29">
        <v>1</v>
      </c>
      <c r="GX29">
        <f t="shared" si="49"/>
        <v>0</v>
      </c>
      <c r="HA29">
        <v>0</v>
      </c>
      <c r="HB29">
        <v>0</v>
      </c>
      <c r="HC29">
        <f t="shared" si="50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3">
      <c r="A30" s="2">
        <v>18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f>I28*J30</f>
        <v>7</v>
      </c>
      <c r="J30" s="2">
        <v>1</v>
      </c>
      <c r="K30" s="2">
        <v>1</v>
      </c>
      <c r="L30" s="2"/>
      <c r="M30" s="2"/>
      <c r="N30" s="2"/>
      <c r="O30" s="2">
        <f t="shared" si="21"/>
        <v>34117.86</v>
      </c>
      <c r="P30" s="2">
        <f>ROUND((ROUND((AC30*I30),2)*BC30),2)</f>
        <v>34117.86</v>
      </c>
      <c r="Q30" s="2">
        <f>(ROUND((ROUND(((ET30)*AV30*I30),2)*BB30),2)+ROUND((ROUND(((AE30-(EU30))*AV30*I30),2)*BS30),2))</f>
        <v>0</v>
      </c>
      <c r="R30" s="2">
        <f t="shared" si="22"/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si="28"/>
        <v>0</v>
      </c>
      <c r="Y30" s="2">
        <f t="shared" si="29"/>
        <v>0</v>
      </c>
      <c r="Z30" s="2"/>
      <c r="AA30" s="2">
        <v>56498966</v>
      </c>
      <c r="AB30" s="2">
        <f t="shared" si="30"/>
        <v>4873.9799999999996</v>
      </c>
      <c r="AC30" s="2">
        <f t="shared" si="31"/>
        <v>4873.9799999999996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32"/>
        <v>0</v>
      </c>
      <c r="AH30" s="2">
        <f>(EW30)</f>
        <v>0</v>
      </c>
      <c r="AI30" s="2">
        <f>(EX30)</f>
        <v>0</v>
      </c>
      <c r="AJ30" s="2">
        <f t="shared" si="33"/>
        <v>0</v>
      </c>
      <c r="AK30" s="2">
        <v>4873.9799999999996</v>
      </c>
      <c r="AL30" s="2">
        <v>4873.9799999999996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4"/>
        <v>34117.86</v>
      </c>
      <c r="CQ30" s="2">
        <f>ROUND((ROUND((AC30*1),2)*BC30),2)</f>
        <v>4873.9799999999996</v>
      </c>
      <c r="CR30" s="2">
        <f>(ROUND((ROUND(((ET30)*AV30*1),2)*BB30),2)+ROUND((ROUND(((AE30-(EU30))*AV30*1),2)*BS30),2))</f>
        <v>0</v>
      </c>
      <c r="CS30" s="2">
        <f t="shared" si="35"/>
        <v>0</v>
      </c>
      <c r="CT30" s="2">
        <f t="shared" si="36"/>
        <v>0</v>
      </c>
      <c r="CU30" s="2">
        <f t="shared" si="37"/>
        <v>0</v>
      </c>
      <c r="CV30" s="2">
        <f t="shared" si="38"/>
        <v>0</v>
      </c>
      <c r="CW30" s="2">
        <f t="shared" si="39"/>
        <v>0</v>
      </c>
      <c r="CX30" s="2">
        <f t="shared" si="40"/>
        <v>0</v>
      </c>
      <c r="CY30" s="2">
        <f t="shared" si="41"/>
        <v>0</v>
      </c>
      <c r="CZ30" s="2">
        <f t="shared" si="42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58162750</v>
      </c>
      <c r="EF30" s="2">
        <v>130</v>
      </c>
      <c r="EG30" s="2" t="s">
        <v>33</v>
      </c>
      <c r="EH30" s="2">
        <v>0</v>
      </c>
      <c r="EI30" s="2" t="s">
        <v>3</v>
      </c>
      <c r="EJ30" s="2">
        <v>3</v>
      </c>
      <c r="EK30" s="2">
        <v>746</v>
      </c>
      <c r="EL30" s="2" t="s">
        <v>34</v>
      </c>
      <c r="EM30" s="2" t="s">
        <v>35</v>
      </c>
      <c r="EN30" s="2"/>
      <c r="EO30" s="2" t="s">
        <v>3</v>
      </c>
      <c r="EP30" s="2"/>
      <c r="EQ30" s="2">
        <v>0</v>
      </c>
      <c r="ER30" s="2">
        <v>0</v>
      </c>
      <c r="ES30" s="2">
        <v>4873.9799999999996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34117.86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36</v>
      </c>
      <c r="GB30" s="2"/>
      <c r="GC30" s="2"/>
      <c r="GD30" s="2">
        <v>1</v>
      </c>
      <c r="GE30" s="2"/>
      <c r="GF30" s="2">
        <v>1356071934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43"/>
        <v>0</v>
      </c>
      <c r="GM30" s="2">
        <f t="shared" si="44"/>
        <v>34117.86</v>
      </c>
      <c r="GN30" s="2">
        <f t="shared" si="45"/>
        <v>0</v>
      </c>
      <c r="GO30" s="2">
        <f t="shared" si="46"/>
        <v>0</v>
      </c>
      <c r="GP30" s="2">
        <f t="shared" si="47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8"/>
        <v>0</v>
      </c>
      <c r="GW30" s="2">
        <v>1</v>
      </c>
      <c r="GX30" s="2">
        <f t="shared" si="49"/>
        <v>0</v>
      </c>
      <c r="GY30" s="2"/>
      <c r="GZ30" s="2"/>
      <c r="HA30" s="2">
        <v>0</v>
      </c>
      <c r="HB30" s="2">
        <v>0</v>
      </c>
      <c r="HC30" s="2">
        <f t="shared" si="50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3">
      <c r="A31">
        <v>18</v>
      </c>
      <c r="B31">
        <v>1</v>
      </c>
      <c r="E31" t="s">
        <v>29</v>
      </c>
      <c r="F31" t="s">
        <v>30</v>
      </c>
      <c r="G31" t="s">
        <v>31</v>
      </c>
      <c r="H31" t="s">
        <v>32</v>
      </c>
      <c r="I31">
        <f>I29*J31</f>
        <v>7</v>
      </c>
      <c r="J31">
        <v>1</v>
      </c>
      <c r="K31">
        <v>1</v>
      </c>
      <c r="O31">
        <f t="shared" si="21"/>
        <v>261342.81</v>
      </c>
      <c r="P31">
        <f>ROUND((ROUND((AC31*I31),2)*BC31),2)</f>
        <v>261342.81</v>
      </c>
      <c r="Q31">
        <f>(ROUND((ROUND(((ET31)*AV31*I31),2)*BB31),2)+ROUND((ROUND(((AE31-(EU31))*AV31*I31),2)*BS31),2))</f>
        <v>0</v>
      </c>
      <c r="R31">
        <f t="shared" si="22"/>
        <v>0</v>
      </c>
      <c r="S31">
        <f t="shared" si="23"/>
        <v>0</v>
      </c>
      <c r="T31">
        <f t="shared" si="24"/>
        <v>0</v>
      </c>
      <c r="U31">
        <f t="shared" si="25"/>
        <v>0</v>
      </c>
      <c r="V31">
        <f t="shared" si="26"/>
        <v>0</v>
      </c>
      <c r="W31">
        <f t="shared" si="27"/>
        <v>0</v>
      </c>
      <c r="X31">
        <f t="shared" si="28"/>
        <v>0</v>
      </c>
      <c r="Y31">
        <f t="shared" si="29"/>
        <v>0</v>
      </c>
      <c r="AA31">
        <v>56498968</v>
      </c>
      <c r="AB31">
        <f t="shared" si="30"/>
        <v>4873.9799999999996</v>
      </c>
      <c r="AC31">
        <f t="shared" si="31"/>
        <v>4873.9799999999996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32"/>
        <v>0</v>
      </c>
      <c r="AH31">
        <f>(EW31)</f>
        <v>0</v>
      </c>
      <c r="AI31">
        <f>(EX31)</f>
        <v>0</v>
      </c>
      <c r="AJ31">
        <f t="shared" si="33"/>
        <v>0</v>
      </c>
      <c r="AK31">
        <v>4873.9799999999996</v>
      </c>
      <c r="AL31">
        <v>4873.9799999999996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90</v>
      </c>
      <c r="CA31">
        <v>46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4"/>
        <v>261342.81</v>
      </c>
      <c r="CQ31">
        <f>ROUND((ROUND((AC31*1),2)*BC31),2)</f>
        <v>37334.69</v>
      </c>
      <c r="CR31">
        <f>(ROUND((ROUND(((ET31)*AV31*1),2)*BB31),2)+ROUND((ROUND(((AE31-(EU31))*AV31*1),2)*BS31),2))</f>
        <v>0</v>
      </c>
      <c r="CS31">
        <f t="shared" si="35"/>
        <v>0</v>
      </c>
      <c r="CT31">
        <f t="shared" si="36"/>
        <v>0</v>
      </c>
      <c r="CU31">
        <f t="shared" si="37"/>
        <v>0</v>
      </c>
      <c r="CV31">
        <f t="shared" si="38"/>
        <v>0</v>
      </c>
      <c r="CW31">
        <f t="shared" si="39"/>
        <v>0</v>
      </c>
      <c r="CX31">
        <f t="shared" si="40"/>
        <v>0</v>
      </c>
      <c r="CY31">
        <f t="shared" si="41"/>
        <v>0</v>
      </c>
      <c r="CZ31">
        <f t="shared" si="42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32</v>
      </c>
      <c r="DW31" t="s">
        <v>32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58162750</v>
      </c>
      <c r="EF31">
        <v>130</v>
      </c>
      <c r="EG31" t="s">
        <v>33</v>
      </c>
      <c r="EH31">
        <v>0</v>
      </c>
      <c r="EI31" t="s">
        <v>3</v>
      </c>
      <c r="EJ31">
        <v>3</v>
      </c>
      <c r="EK31">
        <v>746</v>
      </c>
      <c r="EL31" t="s">
        <v>34</v>
      </c>
      <c r="EM31" t="s">
        <v>35</v>
      </c>
      <c r="EO31" t="s">
        <v>3</v>
      </c>
      <c r="EQ31">
        <v>0</v>
      </c>
      <c r="ER31">
        <v>4873.9799999999996</v>
      </c>
      <c r="ES31">
        <v>4873.9799999999996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5</v>
      </c>
      <c r="FC31">
        <v>1</v>
      </c>
      <c r="FD31">
        <v>18</v>
      </c>
      <c r="FF31">
        <v>42981</v>
      </c>
      <c r="FQ31">
        <v>0</v>
      </c>
      <c r="FR31">
        <f>P31</f>
        <v>261342.81</v>
      </c>
      <c r="FS31">
        <v>0</v>
      </c>
      <c r="FX31">
        <v>90</v>
      </c>
      <c r="FY31">
        <v>46</v>
      </c>
      <c r="GA31" t="s">
        <v>36</v>
      </c>
      <c r="GD31">
        <v>1</v>
      </c>
      <c r="GF31">
        <v>1356071934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43"/>
        <v>0</v>
      </c>
      <c r="GM31">
        <f t="shared" si="44"/>
        <v>261342.81</v>
      </c>
      <c r="GN31">
        <f t="shared" si="45"/>
        <v>0</v>
      </c>
      <c r="GO31">
        <f t="shared" si="46"/>
        <v>0</v>
      </c>
      <c r="GP31">
        <f t="shared" si="47"/>
        <v>0</v>
      </c>
      <c r="GR31">
        <v>1</v>
      </c>
      <c r="GS31">
        <v>1</v>
      </c>
      <c r="GT31">
        <v>0</v>
      </c>
      <c r="GU31" t="s">
        <v>3</v>
      </c>
      <c r="GV31">
        <f t="shared" si="48"/>
        <v>0</v>
      </c>
      <c r="GW31">
        <v>1</v>
      </c>
      <c r="GX31">
        <f t="shared" si="49"/>
        <v>0</v>
      </c>
      <c r="HA31">
        <v>0</v>
      </c>
      <c r="HB31">
        <v>0</v>
      </c>
      <c r="HC31">
        <f t="shared" si="50"/>
        <v>0</v>
      </c>
      <c r="HE31" t="s">
        <v>37</v>
      </c>
      <c r="HF31" t="s">
        <v>38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3">
      <c r="A32" s="2">
        <v>17</v>
      </c>
      <c r="B32" s="2">
        <v>1</v>
      </c>
      <c r="C32" s="2"/>
      <c r="D32" s="2">
        <f>ROW(EtalonRes!A7)</f>
        <v>7</v>
      </c>
      <c r="E32" s="2" t="s">
        <v>39</v>
      </c>
      <c r="F32" s="2" t="s">
        <v>40</v>
      </c>
      <c r="G32" s="2" t="s">
        <v>41</v>
      </c>
      <c r="H32" s="2" t="s">
        <v>22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81.77</v>
      </c>
      <c r="P32" s="2">
        <f>ROUND((ROUND((AC32*AW32*I32),2)*BC32),2)</f>
        <v>4.68</v>
      </c>
      <c r="Q32" s="2">
        <f>(ROUND((ROUND((((ET32*1.1))*AV32*I32),2)*BB32),2)+ROUND((ROUND(((AE32-((EU32*1.1)))*AV32*I32),2)*BS32),2))</f>
        <v>0</v>
      </c>
      <c r="R32" s="2">
        <f t="shared" si="22"/>
        <v>0</v>
      </c>
      <c r="S32" s="2">
        <f t="shared" si="23"/>
        <v>77.09</v>
      </c>
      <c r="T32" s="2">
        <f t="shared" si="24"/>
        <v>0</v>
      </c>
      <c r="U32" s="2">
        <f t="shared" si="25"/>
        <v>6.1040099999999997</v>
      </c>
      <c r="V32" s="2">
        <f t="shared" si="26"/>
        <v>0</v>
      </c>
      <c r="W32" s="2">
        <f t="shared" si="27"/>
        <v>0</v>
      </c>
      <c r="X32" s="2">
        <f t="shared" si="28"/>
        <v>69.38</v>
      </c>
      <c r="Y32" s="2">
        <f t="shared" si="29"/>
        <v>35.46</v>
      </c>
      <c r="Z32" s="2"/>
      <c r="AA32" s="2">
        <v>56498966</v>
      </c>
      <c r="AB32" s="2">
        <f t="shared" si="30"/>
        <v>39.156999999999996</v>
      </c>
      <c r="AC32" s="2">
        <f t="shared" si="31"/>
        <v>2.34</v>
      </c>
      <c r="AD32" s="2">
        <f>ROUND(((((ET32*1.1))-((EU32*1.1)))+AE32),6)</f>
        <v>0</v>
      </c>
      <c r="AE32" s="2">
        <f>ROUND(((EU32*1.1)),6)</f>
        <v>0</v>
      </c>
      <c r="AF32" s="2">
        <f>ROUND(((EV32*1.1)),6)</f>
        <v>36.817</v>
      </c>
      <c r="AG32" s="2">
        <f t="shared" si="32"/>
        <v>0</v>
      </c>
      <c r="AH32" s="2">
        <f>((EW32*1.1))</f>
        <v>2.915</v>
      </c>
      <c r="AI32" s="2">
        <f>((EX32*1.1))</f>
        <v>0</v>
      </c>
      <c r="AJ32" s="2">
        <f t="shared" si="33"/>
        <v>0</v>
      </c>
      <c r="AK32" s="2">
        <v>35.81</v>
      </c>
      <c r="AL32" s="2">
        <v>2.34</v>
      </c>
      <c r="AM32" s="2">
        <v>0</v>
      </c>
      <c r="AN32" s="2">
        <v>0</v>
      </c>
      <c r="AO32" s="2">
        <v>33.47</v>
      </c>
      <c r="AP32" s="2">
        <v>0</v>
      </c>
      <c r="AQ32" s="2">
        <v>2.65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42</v>
      </c>
      <c r="BK32" s="2"/>
      <c r="BL32" s="2"/>
      <c r="BM32" s="2">
        <v>68</v>
      </c>
      <c r="BN32" s="2">
        <v>0</v>
      </c>
      <c r="BO32" s="2" t="s">
        <v>40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4"/>
        <v>81.77000000000001</v>
      </c>
      <c r="CQ32" s="2">
        <f>ROUND((ROUND((AC32*AW32*1),2)*BC32),2)</f>
        <v>2.34</v>
      </c>
      <c r="CR32" s="2">
        <f>(ROUND((ROUND((((ET32*1.1))*AV32*1),2)*BB32),2)+ROUND((ROUND(((AE32-((EU32*1.1)))*AV32*1),2)*BS32),2))</f>
        <v>0</v>
      </c>
      <c r="CS32" s="2">
        <f t="shared" si="35"/>
        <v>0</v>
      </c>
      <c r="CT32" s="2">
        <f t="shared" si="36"/>
        <v>38.549999999999997</v>
      </c>
      <c r="CU32" s="2">
        <f t="shared" si="37"/>
        <v>0</v>
      </c>
      <c r="CV32" s="2">
        <f t="shared" si="38"/>
        <v>3.0520049999999999</v>
      </c>
      <c r="CW32" s="2">
        <f t="shared" si="39"/>
        <v>0</v>
      </c>
      <c r="CX32" s="2">
        <f t="shared" si="40"/>
        <v>0</v>
      </c>
      <c r="CY32" s="2">
        <f t="shared" si="41"/>
        <v>69.381</v>
      </c>
      <c r="CZ32" s="2">
        <f t="shared" si="42"/>
        <v>35.461400000000005</v>
      </c>
      <c r="DA32" s="2"/>
      <c r="DB32" s="2"/>
      <c r="DC32" s="2" t="s">
        <v>3</v>
      </c>
      <c r="DD32" s="2" t="s">
        <v>3</v>
      </c>
      <c r="DE32" s="2" t="s">
        <v>24</v>
      </c>
      <c r="DF32" s="2" t="s">
        <v>24</v>
      </c>
      <c r="DG32" s="2" t="s">
        <v>24</v>
      </c>
      <c r="DH32" s="2" t="s">
        <v>3</v>
      </c>
      <c r="DI32" s="2" t="s">
        <v>24</v>
      </c>
      <c r="DJ32" s="2" t="s">
        <v>24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22</v>
      </c>
      <c r="DW32" s="2" t="s">
        <v>22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58162630</v>
      </c>
      <c r="EF32" s="2">
        <v>40</v>
      </c>
      <c r="EG32" s="2" t="s">
        <v>25</v>
      </c>
      <c r="EH32" s="2">
        <v>0</v>
      </c>
      <c r="EI32" s="2" t="s">
        <v>3</v>
      </c>
      <c r="EJ32" s="2">
        <v>2</v>
      </c>
      <c r="EK32" s="2">
        <v>68</v>
      </c>
      <c r="EL32" s="2" t="s">
        <v>26</v>
      </c>
      <c r="EM32" s="2" t="s">
        <v>27</v>
      </c>
      <c r="EN32" s="2"/>
      <c r="EO32" s="2" t="s">
        <v>28</v>
      </c>
      <c r="EP32" s="2"/>
      <c r="EQ32" s="2">
        <v>0</v>
      </c>
      <c r="ER32" s="2">
        <v>35.81</v>
      </c>
      <c r="ES32" s="2">
        <v>2.34</v>
      </c>
      <c r="ET32" s="2">
        <v>0</v>
      </c>
      <c r="EU32" s="2">
        <v>0</v>
      </c>
      <c r="EV32" s="2">
        <v>33.47</v>
      </c>
      <c r="EW32" s="2">
        <v>2.65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-1323780471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43"/>
        <v>0</v>
      </c>
      <c r="GM32" s="2">
        <f t="shared" si="44"/>
        <v>186.61</v>
      </c>
      <c r="GN32" s="2">
        <f t="shared" si="45"/>
        <v>0</v>
      </c>
      <c r="GO32" s="2">
        <f t="shared" si="46"/>
        <v>186.61</v>
      </c>
      <c r="GP32" s="2">
        <f t="shared" si="47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8"/>
        <v>0</v>
      </c>
      <c r="GW32" s="2">
        <v>1</v>
      </c>
      <c r="GX32" s="2">
        <f t="shared" si="49"/>
        <v>0</v>
      </c>
      <c r="GY32" s="2"/>
      <c r="GZ32" s="2"/>
      <c r="HA32" s="2">
        <v>0</v>
      </c>
      <c r="HB32" s="2">
        <v>0</v>
      </c>
      <c r="HC32" s="2">
        <f t="shared" si="50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3">
      <c r="A33">
        <v>17</v>
      </c>
      <c r="B33">
        <v>1</v>
      </c>
      <c r="D33">
        <f>ROW(EtalonRes!A12)</f>
        <v>12</v>
      </c>
      <c r="E33" t="s">
        <v>39</v>
      </c>
      <c r="F33" t="s">
        <v>40</v>
      </c>
      <c r="G33" t="s">
        <v>41</v>
      </c>
      <c r="H33" t="s">
        <v>22</v>
      </c>
      <c r="I33">
        <v>2</v>
      </c>
      <c r="J33">
        <v>0</v>
      </c>
      <c r="K33">
        <v>2</v>
      </c>
      <c r="O33">
        <f t="shared" si="21"/>
        <v>4287.2</v>
      </c>
      <c r="P33">
        <f>ROUND((ROUND((AC33*AW33*I33),2)*BC33),2)</f>
        <v>48.02</v>
      </c>
      <c r="Q33">
        <f>(ROUND((ROUND((((ET33*1.1))*AV33*I33),2)*BB33),2)+ROUND((ROUND(((AE33-((EU33*1.1)))*AV33*I33),2)*BS33),2))</f>
        <v>0</v>
      </c>
      <c r="R33">
        <f t="shared" si="22"/>
        <v>0</v>
      </c>
      <c r="S33">
        <f t="shared" si="23"/>
        <v>4239.18</v>
      </c>
      <c r="T33">
        <f t="shared" si="24"/>
        <v>0</v>
      </c>
      <c r="U33">
        <f t="shared" si="25"/>
        <v>6.1040099999999997</v>
      </c>
      <c r="V33">
        <f t="shared" si="26"/>
        <v>0</v>
      </c>
      <c r="W33">
        <f t="shared" si="27"/>
        <v>0</v>
      </c>
      <c r="X33">
        <f t="shared" si="28"/>
        <v>3815.26</v>
      </c>
      <c r="Y33">
        <f t="shared" si="29"/>
        <v>1950.02</v>
      </c>
      <c r="AA33">
        <v>56498968</v>
      </c>
      <c r="AB33">
        <f t="shared" si="30"/>
        <v>39.156999999999996</v>
      </c>
      <c r="AC33">
        <f t="shared" si="31"/>
        <v>2.34</v>
      </c>
      <c r="AD33">
        <f>ROUND(((((ET33*1.1))-((EU33*1.1)))+AE33),6)</f>
        <v>0</v>
      </c>
      <c r="AE33">
        <f>ROUND(((EU33*1.1)),6)</f>
        <v>0</v>
      </c>
      <c r="AF33">
        <f>ROUND(((EV33*1.1)),6)</f>
        <v>36.817</v>
      </c>
      <c r="AG33">
        <f t="shared" si="32"/>
        <v>0</v>
      </c>
      <c r="AH33">
        <f>((EW33*1.1))</f>
        <v>2.915</v>
      </c>
      <c r="AI33">
        <f>((EX33*1.1))</f>
        <v>0</v>
      </c>
      <c r="AJ33">
        <f t="shared" si="33"/>
        <v>0</v>
      </c>
      <c r="AK33">
        <v>35.81</v>
      </c>
      <c r="AL33">
        <v>2.34</v>
      </c>
      <c r="AM33">
        <v>0</v>
      </c>
      <c r="AN33">
        <v>0</v>
      </c>
      <c r="AO33">
        <v>33.47</v>
      </c>
      <c r="AP33">
        <v>0</v>
      </c>
      <c r="AQ33">
        <v>2.65</v>
      </c>
      <c r="AR33">
        <v>0</v>
      </c>
      <c r="AS33">
        <v>0</v>
      </c>
      <c r="AT33">
        <v>90</v>
      </c>
      <c r="AU33">
        <v>46</v>
      </c>
      <c r="AV33">
        <v>1.0469999999999999</v>
      </c>
      <c r="AW33">
        <v>1</v>
      </c>
      <c r="AZ33">
        <v>1</v>
      </c>
      <c r="BA33">
        <v>54.99</v>
      </c>
      <c r="BB33">
        <v>1</v>
      </c>
      <c r="BC33">
        <v>10.26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42</v>
      </c>
      <c r="BM33">
        <v>68</v>
      </c>
      <c r="BN33">
        <v>0</v>
      </c>
      <c r="BO33" t="s">
        <v>40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90</v>
      </c>
      <c r="CA33">
        <v>46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4"/>
        <v>4287.2000000000007</v>
      </c>
      <c r="CQ33">
        <f>ROUND((ROUND((AC33*AW33*1),2)*BC33),2)</f>
        <v>24.01</v>
      </c>
      <c r="CR33">
        <f>(ROUND((ROUND((((ET33*1.1))*AV33*1),2)*BB33),2)+ROUND((ROUND(((AE33-((EU33*1.1)))*AV33*1),2)*BS33),2))</f>
        <v>0</v>
      </c>
      <c r="CS33">
        <f t="shared" si="35"/>
        <v>0</v>
      </c>
      <c r="CT33">
        <f t="shared" si="36"/>
        <v>2119.86</v>
      </c>
      <c r="CU33">
        <f t="shared" si="37"/>
        <v>0</v>
      </c>
      <c r="CV33">
        <f t="shared" si="38"/>
        <v>3.0520049999999999</v>
      </c>
      <c r="CW33">
        <f t="shared" si="39"/>
        <v>0</v>
      </c>
      <c r="CX33">
        <f t="shared" si="40"/>
        <v>0</v>
      </c>
      <c r="CY33">
        <f t="shared" si="41"/>
        <v>3815.2620000000002</v>
      </c>
      <c r="CZ33">
        <f t="shared" si="42"/>
        <v>1950.0228000000002</v>
      </c>
      <c r="DC33" t="s">
        <v>3</v>
      </c>
      <c r="DD33" t="s">
        <v>3</v>
      </c>
      <c r="DE33" t="s">
        <v>24</v>
      </c>
      <c r="DF33" t="s">
        <v>24</v>
      </c>
      <c r="DG33" t="s">
        <v>24</v>
      </c>
      <c r="DH33" t="s">
        <v>3</v>
      </c>
      <c r="DI33" t="s">
        <v>24</v>
      </c>
      <c r="DJ33" t="s">
        <v>24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22</v>
      </c>
      <c r="DW33" t="s">
        <v>22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58162630</v>
      </c>
      <c r="EF33">
        <v>40</v>
      </c>
      <c r="EG33" t="s">
        <v>25</v>
      </c>
      <c r="EH33">
        <v>0</v>
      </c>
      <c r="EI33" t="s">
        <v>3</v>
      </c>
      <c r="EJ33">
        <v>2</v>
      </c>
      <c r="EK33">
        <v>68</v>
      </c>
      <c r="EL33" t="s">
        <v>26</v>
      </c>
      <c r="EM33" t="s">
        <v>27</v>
      </c>
      <c r="EO33" t="s">
        <v>28</v>
      </c>
      <c r="EQ33">
        <v>0</v>
      </c>
      <c r="ER33">
        <v>35.81</v>
      </c>
      <c r="ES33">
        <v>2.34</v>
      </c>
      <c r="ET33">
        <v>0</v>
      </c>
      <c r="EU33">
        <v>0</v>
      </c>
      <c r="EV33">
        <v>33.47</v>
      </c>
      <c r="EW33">
        <v>2.65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90</v>
      </c>
      <c r="FY33">
        <v>46</v>
      </c>
      <c r="GA33" t="s">
        <v>3</v>
      </c>
      <c r="GD33">
        <v>1</v>
      </c>
      <c r="GF33">
        <v>-1323780471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43"/>
        <v>0</v>
      </c>
      <c r="GM33">
        <f t="shared" si="44"/>
        <v>10052.48</v>
      </c>
      <c r="GN33">
        <f t="shared" si="45"/>
        <v>0</v>
      </c>
      <c r="GO33">
        <f t="shared" si="46"/>
        <v>10052.48</v>
      </c>
      <c r="GP33">
        <f t="shared" si="47"/>
        <v>0</v>
      </c>
      <c r="GR33">
        <v>0</v>
      </c>
      <c r="GS33">
        <v>3</v>
      </c>
      <c r="GT33">
        <v>0</v>
      </c>
      <c r="GU33" t="s">
        <v>3</v>
      </c>
      <c r="GV33">
        <f t="shared" si="48"/>
        <v>0</v>
      </c>
      <c r="GW33">
        <v>1</v>
      </c>
      <c r="GX33">
        <f t="shared" si="49"/>
        <v>0</v>
      </c>
      <c r="HA33">
        <v>0</v>
      </c>
      <c r="HB33">
        <v>0</v>
      </c>
      <c r="HC33">
        <f t="shared" si="50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3">
      <c r="A34" s="2">
        <v>18</v>
      </c>
      <c r="B34" s="2">
        <v>1</v>
      </c>
      <c r="C34" s="2"/>
      <c r="D34" s="2"/>
      <c r="E34" s="2" t="s">
        <v>43</v>
      </c>
      <c r="F34" s="2" t="s">
        <v>44</v>
      </c>
      <c r="G34" s="2" t="s">
        <v>45</v>
      </c>
      <c r="H34" s="2" t="s">
        <v>32</v>
      </c>
      <c r="I34" s="2">
        <f>I32*J34</f>
        <v>2</v>
      </c>
      <c r="J34" s="2">
        <v>1</v>
      </c>
      <c r="K34" s="2">
        <v>1</v>
      </c>
      <c r="L34" s="2"/>
      <c r="M34" s="2"/>
      <c r="N34" s="2"/>
      <c r="O34" s="2">
        <f t="shared" si="21"/>
        <v>4792.7</v>
      </c>
      <c r="P34" s="2">
        <f>ROUND((ROUND((AC34*I34),2)*BC34),2)</f>
        <v>4792.7</v>
      </c>
      <c r="Q34" s="2">
        <f>(ROUND((ROUND(((ET34)*AV34*I34),2)*BB34),2)+ROUND((ROUND(((AE34-(EU34))*AV34*I34),2)*BS34),2))</f>
        <v>0</v>
      </c>
      <c r="R34" s="2">
        <f t="shared" si="22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28"/>
        <v>0</v>
      </c>
      <c r="Y34" s="2">
        <f t="shared" si="29"/>
        <v>0</v>
      </c>
      <c r="Z34" s="2"/>
      <c r="AA34" s="2">
        <v>56498966</v>
      </c>
      <c r="AB34" s="2">
        <f t="shared" si="30"/>
        <v>2396.35</v>
      </c>
      <c r="AC34" s="2">
        <f t="shared" si="31"/>
        <v>2396.35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32"/>
        <v>0</v>
      </c>
      <c r="AH34" s="2">
        <f>(EW34)</f>
        <v>0</v>
      </c>
      <c r="AI34" s="2">
        <f>(EX34)</f>
        <v>0</v>
      </c>
      <c r="AJ34" s="2">
        <f t="shared" si="33"/>
        <v>0</v>
      </c>
      <c r="AK34" s="2">
        <v>2396.35</v>
      </c>
      <c r="AL34" s="2">
        <v>2396.35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0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4"/>
        <v>4792.7</v>
      </c>
      <c r="CQ34" s="2">
        <f>ROUND((ROUND((AC34*1),2)*BC34),2)</f>
        <v>2396.35</v>
      </c>
      <c r="CR34" s="2">
        <f>(ROUND((ROUND(((ET34)*AV34*1),2)*BB34),2)+ROUND((ROUND(((AE34-(EU34))*AV34*1),2)*BS34),2))</f>
        <v>0</v>
      </c>
      <c r="CS34" s="2">
        <f t="shared" si="35"/>
        <v>0</v>
      </c>
      <c r="CT34" s="2">
        <f t="shared" si="36"/>
        <v>0</v>
      </c>
      <c r="CU34" s="2">
        <f t="shared" si="37"/>
        <v>0</v>
      </c>
      <c r="CV34" s="2">
        <f t="shared" si="38"/>
        <v>0</v>
      </c>
      <c r="CW34" s="2">
        <f t="shared" si="39"/>
        <v>0</v>
      </c>
      <c r="CX34" s="2">
        <f t="shared" si="40"/>
        <v>0</v>
      </c>
      <c r="CY34" s="2">
        <f t="shared" si="41"/>
        <v>0</v>
      </c>
      <c r="CZ34" s="2">
        <f t="shared" si="42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32</v>
      </c>
      <c r="DW34" s="2" t="s">
        <v>32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58162750</v>
      </c>
      <c r="EF34" s="2">
        <v>130</v>
      </c>
      <c r="EG34" s="2" t="s">
        <v>33</v>
      </c>
      <c r="EH34" s="2">
        <v>0</v>
      </c>
      <c r="EI34" s="2" t="s">
        <v>3</v>
      </c>
      <c r="EJ34" s="2">
        <v>3</v>
      </c>
      <c r="EK34" s="2">
        <v>746</v>
      </c>
      <c r="EL34" s="2" t="s">
        <v>34</v>
      </c>
      <c r="EM34" s="2" t="s">
        <v>35</v>
      </c>
      <c r="EN34" s="2"/>
      <c r="EO34" s="2" t="s">
        <v>3</v>
      </c>
      <c r="EP34" s="2"/>
      <c r="EQ34" s="2">
        <v>0</v>
      </c>
      <c r="ER34" s="2">
        <v>0</v>
      </c>
      <c r="ES34" s="2">
        <v>2396.35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4792.7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46</v>
      </c>
      <c r="GB34" s="2"/>
      <c r="GC34" s="2"/>
      <c r="GD34" s="2">
        <v>1</v>
      </c>
      <c r="GE34" s="2"/>
      <c r="GF34" s="2">
        <v>212161352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43"/>
        <v>0</v>
      </c>
      <c r="GM34" s="2">
        <f t="shared" si="44"/>
        <v>4792.7</v>
      </c>
      <c r="GN34" s="2">
        <f t="shared" si="45"/>
        <v>0</v>
      </c>
      <c r="GO34" s="2">
        <f t="shared" si="46"/>
        <v>0</v>
      </c>
      <c r="GP34" s="2">
        <f t="shared" si="47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8"/>
        <v>0</v>
      </c>
      <c r="GW34" s="2">
        <v>1</v>
      </c>
      <c r="GX34" s="2">
        <f t="shared" si="49"/>
        <v>0</v>
      </c>
      <c r="GY34" s="2"/>
      <c r="GZ34" s="2"/>
      <c r="HA34" s="2">
        <v>0</v>
      </c>
      <c r="HB34" s="2">
        <v>0</v>
      </c>
      <c r="HC34" s="2">
        <f t="shared" si="50"/>
        <v>0</v>
      </c>
      <c r="HD34" s="2"/>
      <c r="HE34" s="2" t="s">
        <v>37</v>
      </c>
      <c r="HF34" s="2" t="s">
        <v>38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3">
      <c r="A35">
        <v>18</v>
      </c>
      <c r="B35">
        <v>1</v>
      </c>
      <c r="E35" t="s">
        <v>43</v>
      </c>
      <c r="F35" t="s">
        <v>44</v>
      </c>
      <c r="G35" t="s">
        <v>45</v>
      </c>
      <c r="H35" t="s">
        <v>32</v>
      </c>
      <c r="I35">
        <f>I33*J35</f>
        <v>2</v>
      </c>
      <c r="J35">
        <v>1</v>
      </c>
      <c r="K35">
        <v>1</v>
      </c>
      <c r="O35">
        <f t="shared" si="21"/>
        <v>36712.080000000002</v>
      </c>
      <c r="P35">
        <f>ROUND((ROUND((AC35*I35),2)*BC35),2)</f>
        <v>36712.080000000002</v>
      </c>
      <c r="Q35">
        <f>(ROUND((ROUND(((ET35)*AV35*I35),2)*BB35),2)+ROUND((ROUND(((AE35-(EU35))*AV35*I35),2)*BS35),2))</f>
        <v>0</v>
      </c>
      <c r="R35">
        <f t="shared" si="22"/>
        <v>0</v>
      </c>
      <c r="S35">
        <f t="shared" si="23"/>
        <v>0</v>
      </c>
      <c r="T35">
        <f t="shared" si="24"/>
        <v>0</v>
      </c>
      <c r="U35">
        <f t="shared" si="25"/>
        <v>0</v>
      </c>
      <c r="V35">
        <f t="shared" si="26"/>
        <v>0</v>
      </c>
      <c r="W35">
        <f t="shared" si="27"/>
        <v>0</v>
      </c>
      <c r="X35">
        <f t="shared" si="28"/>
        <v>0</v>
      </c>
      <c r="Y35">
        <f t="shared" si="29"/>
        <v>0</v>
      </c>
      <c r="AA35">
        <v>56498968</v>
      </c>
      <c r="AB35">
        <f t="shared" si="30"/>
        <v>2396.35</v>
      </c>
      <c r="AC35">
        <f t="shared" si="31"/>
        <v>2396.35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32"/>
        <v>0</v>
      </c>
      <c r="AH35">
        <f>(EW35)</f>
        <v>0</v>
      </c>
      <c r="AI35">
        <f>(EX35)</f>
        <v>0</v>
      </c>
      <c r="AJ35">
        <f t="shared" si="33"/>
        <v>0</v>
      </c>
      <c r="AK35">
        <v>2396.35</v>
      </c>
      <c r="AL35">
        <v>2396.35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7.66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3</v>
      </c>
      <c r="BJ35" t="s">
        <v>3</v>
      </c>
      <c r="BM35">
        <v>746</v>
      </c>
      <c r="BN35">
        <v>0</v>
      </c>
      <c r="BO35" t="s">
        <v>3</v>
      </c>
      <c r="BP35">
        <v>0</v>
      </c>
      <c r="BQ35">
        <v>130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90</v>
      </c>
      <c r="CA35">
        <v>46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4"/>
        <v>36712.080000000002</v>
      </c>
      <c r="CQ35">
        <f>ROUND((ROUND((AC35*1),2)*BC35),2)</f>
        <v>18356.04</v>
      </c>
      <c r="CR35">
        <f>(ROUND((ROUND(((ET35)*AV35*1),2)*BB35),2)+ROUND((ROUND(((AE35-(EU35))*AV35*1),2)*BS35),2))</f>
        <v>0</v>
      </c>
      <c r="CS35">
        <f t="shared" si="35"/>
        <v>0</v>
      </c>
      <c r="CT35">
        <f t="shared" si="36"/>
        <v>0</v>
      </c>
      <c r="CU35">
        <f t="shared" si="37"/>
        <v>0</v>
      </c>
      <c r="CV35">
        <f t="shared" si="38"/>
        <v>0</v>
      </c>
      <c r="CW35">
        <f t="shared" si="39"/>
        <v>0</v>
      </c>
      <c r="CX35">
        <f t="shared" si="40"/>
        <v>0</v>
      </c>
      <c r="CY35">
        <f t="shared" si="41"/>
        <v>0</v>
      </c>
      <c r="CZ35">
        <f t="shared" si="42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32</v>
      </c>
      <c r="DW35" t="s">
        <v>32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58162750</v>
      </c>
      <c r="EF35">
        <v>130</v>
      </c>
      <c r="EG35" t="s">
        <v>33</v>
      </c>
      <c r="EH35">
        <v>0</v>
      </c>
      <c r="EI35" t="s">
        <v>3</v>
      </c>
      <c r="EJ35">
        <v>3</v>
      </c>
      <c r="EK35">
        <v>746</v>
      </c>
      <c r="EL35" t="s">
        <v>34</v>
      </c>
      <c r="EM35" t="s">
        <v>35</v>
      </c>
      <c r="EO35" t="s">
        <v>3</v>
      </c>
      <c r="EQ35">
        <v>0</v>
      </c>
      <c r="ER35">
        <v>2396.35</v>
      </c>
      <c r="ES35">
        <v>2396.35</v>
      </c>
      <c r="ET35">
        <v>0</v>
      </c>
      <c r="EU35">
        <v>0</v>
      </c>
      <c r="EV35">
        <v>0</v>
      </c>
      <c r="EW35">
        <v>0</v>
      </c>
      <c r="EX35">
        <v>0</v>
      </c>
      <c r="EZ35">
        <v>5</v>
      </c>
      <c r="FC35">
        <v>1</v>
      </c>
      <c r="FD35">
        <v>18</v>
      </c>
      <c r="FF35">
        <v>21132</v>
      </c>
      <c r="FQ35">
        <v>0</v>
      </c>
      <c r="FR35">
        <f>P35</f>
        <v>36712.080000000002</v>
      </c>
      <c r="FS35">
        <v>0</v>
      </c>
      <c r="FX35">
        <v>90</v>
      </c>
      <c r="FY35">
        <v>46</v>
      </c>
      <c r="GA35" t="s">
        <v>46</v>
      </c>
      <c r="GD35">
        <v>1</v>
      </c>
      <c r="GF35">
        <v>212161352</v>
      </c>
      <c r="GG35">
        <v>2</v>
      </c>
      <c r="GH35">
        <v>3</v>
      </c>
      <c r="GI35">
        <v>5</v>
      </c>
      <c r="GJ35">
        <v>0</v>
      </c>
      <c r="GK35">
        <v>0</v>
      </c>
      <c r="GL35">
        <f t="shared" si="43"/>
        <v>0</v>
      </c>
      <c r="GM35">
        <f t="shared" si="44"/>
        <v>36712.080000000002</v>
      </c>
      <c r="GN35">
        <f t="shared" si="45"/>
        <v>0</v>
      </c>
      <c r="GO35">
        <f t="shared" si="46"/>
        <v>0</v>
      </c>
      <c r="GP35">
        <f t="shared" si="47"/>
        <v>0</v>
      </c>
      <c r="GR35">
        <v>1</v>
      </c>
      <c r="GS35">
        <v>1</v>
      </c>
      <c r="GT35">
        <v>0</v>
      </c>
      <c r="GU35" t="s">
        <v>3</v>
      </c>
      <c r="GV35">
        <f t="shared" si="48"/>
        <v>0</v>
      </c>
      <c r="GW35">
        <v>1</v>
      </c>
      <c r="GX35">
        <f t="shared" si="49"/>
        <v>0</v>
      </c>
      <c r="HA35">
        <v>0</v>
      </c>
      <c r="HB35">
        <v>0</v>
      </c>
      <c r="HC35">
        <f t="shared" si="50"/>
        <v>0</v>
      </c>
      <c r="HE35" t="s">
        <v>37</v>
      </c>
      <c r="HF35" t="s">
        <v>38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3">
      <c r="A36" s="2">
        <v>17</v>
      </c>
      <c r="B36" s="2">
        <v>1</v>
      </c>
      <c r="C36" s="2"/>
      <c r="D36" s="2">
        <f>ROW(EtalonRes!A15)</f>
        <v>15</v>
      </c>
      <c r="E36" s="2" t="s">
        <v>37</v>
      </c>
      <c r="F36" s="2" t="s">
        <v>47</v>
      </c>
      <c r="G36" s="2" t="s">
        <v>48</v>
      </c>
      <c r="H36" s="2" t="s">
        <v>22</v>
      </c>
      <c r="I36" s="2">
        <f>ROUND(ROUND(1,4),9)</f>
        <v>1</v>
      </c>
      <c r="J36" s="2">
        <v>0</v>
      </c>
      <c r="K36" s="2">
        <f>ROUND(ROUND(1,4),9)</f>
        <v>1</v>
      </c>
      <c r="L36" s="2"/>
      <c r="M36" s="2"/>
      <c r="N36" s="2"/>
      <c r="O36" s="2">
        <f t="shared" si="21"/>
        <v>14</v>
      </c>
      <c r="P36" s="2">
        <f>ROUND((ROUND((AC36*AW36*I36),2)*BC36),2)</f>
        <v>0</v>
      </c>
      <c r="Q36" s="2">
        <f>(ROUND((ROUND((((ET36*1.1))*AV36*I36),2)*BB36),2)+ROUND((ROUND(((AE36-((EU36*1.1)))*AV36*I36),2)*BS36),2))</f>
        <v>0.57999999999999996</v>
      </c>
      <c r="R36" s="2">
        <f t="shared" si="22"/>
        <v>0.09</v>
      </c>
      <c r="S36" s="2">
        <f t="shared" si="23"/>
        <v>13.42</v>
      </c>
      <c r="T36" s="2">
        <f t="shared" si="24"/>
        <v>0</v>
      </c>
      <c r="U36" s="2">
        <f t="shared" si="25"/>
        <v>1.1862510000000002</v>
      </c>
      <c r="V36" s="2">
        <f t="shared" si="26"/>
        <v>0</v>
      </c>
      <c r="W36" s="2">
        <f t="shared" si="27"/>
        <v>0</v>
      </c>
      <c r="X36" s="2">
        <f t="shared" si="28"/>
        <v>12.16</v>
      </c>
      <c r="Y36" s="2">
        <f t="shared" si="29"/>
        <v>6.21</v>
      </c>
      <c r="Z36" s="2"/>
      <c r="AA36" s="2">
        <v>56498966</v>
      </c>
      <c r="AB36" s="2">
        <f t="shared" si="30"/>
        <v>13.365</v>
      </c>
      <c r="AC36" s="2">
        <f t="shared" si="31"/>
        <v>0</v>
      </c>
      <c r="AD36" s="2">
        <f>ROUND(((((ET36*1.1))-((EU36*1.1)))+AE36),6)</f>
        <v>0.55000000000000004</v>
      </c>
      <c r="AE36" s="2">
        <f>ROUND(((EU36*1.1)),6)</f>
        <v>8.7999999999999995E-2</v>
      </c>
      <c r="AF36" s="2">
        <f>ROUND(((EV36*1.1)),6)</f>
        <v>12.815</v>
      </c>
      <c r="AG36" s="2">
        <f t="shared" si="32"/>
        <v>0</v>
      </c>
      <c r="AH36" s="2">
        <f>((EW36*1.1))</f>
        <v>1.1330000000000002</v>
      </c>
      <c r="AI36" s="2">
        <f>((EX36*1.1))</f>
        <v>0</v>
      </c>
      <c r="AJ36" s="2">
        <f t="shared" si="33"/>
        <v>0</v>
      </c>
      <c r="AK36" s="2">
        <v>12.15</v>
      </c>
      <c r="AL36" s="2">
        <v>0</v>
      </c>
      <c r="AM36" s="2">
        <v>0.5</v>
      </c>
      <c r="AN36" s="2">
        <v>0.08</v>
      </c>
      <c r="AO36" s="2">
        <v>11.65</v>
      </c>
      <c r="AP36" s="2">
        <v>0</v>
      </c>
      <c r="AQ36" s="2">
        <v>1.03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49</v>
      </c>
      <c r="BK36" s="2"/>
      <c r="BL36" s="2"/>
      <c r="BM36" s="2">
        <v>72</v>
      </c>
      <c r="BN36" s="2">
        <v>0</v>
      </c>
      <c r="BO36" s="2" t="s">
        <v>47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4"/>
        <v>14</v>
      </c>
      <c r="CQ36" s="2">
        <f>ROUND((ROUND((AC36*AW36*1),2)*BC36),2)</f>
        <v>0</v>
      </c>
      <c r="CR36" s="2">
        <f>(ROUND((ROUND((((ET36*1.1))*AV36*1),2)*BB36),2)+ROUND((ROUND(((AE36-((EU36*1.1)))*AV36*1),2)*BS36),2))</f>
        <v>0.57999999999999996</v>
      </c>
      <c r="CS36" s="2">
        <f t="shared" si="35"/>
        <v>0.09</v>
      </c>
      <c r="CT36" s="2">
        <f t="shared" si="36"/>
        <v>13.42</v>
      </c>
      <c r="CU36" s="2">
        <f t="shared" si="37"/>
        <v>0</v>
      </c>
      <c r="CV36" s="2">
        <f t="shared" si="38"/>
        <v>1.1862510000000002</v>
      </c>
      <c r="CW36" s="2">
        <f t="shared" si="39"/>
        <v>0</v>
      </c>
      <c r="CX36" s="2">
        <f t="shared" si="40"/>
        <v>0</v>
      </c>
      <c r="CY36" s="2">
        <f t="shared" si="41"/>
        <v>12.159000000000001</v>
      </c>
      <c r="CZ36" s="2">
        <f t="shared" si="42"/>
        <v>6.2146000000000008</v>
      </c>
      <c r="DA36" s="2"/>
      <c r="DB36" s="2"/>
      <c r="DC36" s="2" t="s">
        <v>3</v>
      </c>
      <c r="DD36" s="2" t="s">
        <v>3</v>
      </c>
      <c r="DE36" s="2" t="s">
        <v>24</v>
      </c>
      <c r="DF36" s="2" t="s">
        <v>24</v>
      </c>
      <c r="DG36" s="2" t="s">
        <v>24</v>
      </c>
      <c r="DH36" s="2" t="s">
        <v>3</v>
      </c>
      <c r="DI36" s="2" t="s">
        <v>24</v>
      </c>
      <c r="DJ36" s="2" t="s">
        <v>24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58162634</v>
      </c>
      <c r="EF36" s="2">
        <v>40</v>
      </c>
      <c r="EG36" s="2" t="s">
        <v>25</v>
      </c>
      <c r="EH36" s="2">
        <v>0</v>
      </c>
      <c r="EI36" s="2" t="s">
        <v>3</v>
      </c>
      <c r="EJ36" s="2">
        <v>2</v>
      </c>
      <c r="EK36" s="2">
        <v>72</v>
      </c>
      <c r="EL36" s="2" t="s">
        <v>50</v>
      </c>
      <c r="EM36" s="2" t="s">
        <v>51</v>
      </c>
      <c r="EN36" s="2"/>
      <c r="EO36" s="2" t="s">
        <v>28</v>
      </c>
      <c r="EP36" s="2"/>
      <c r="EQ36" s="2">
        <v>0</v>
      </c>
      <c r="ER36" s="2">
        <v>12.15</v>
      </c>
      <c r="ES36" s="2">
        <v>0</v>
      </c>
      <c r="ET36" s="2">
        <v>0.5</v>
      </c>
      <c r="EU36" s="2">
        <v>0.08</v>
      </c>
      <c r="EV36" s="2">
        <v>11.65</v>
      </c>
      <c r="EW36" s="2">
        <v>1.03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1708693888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43"/>
        <v>0</v>
      </c>
      <c r="GM36" s="2">
        <f t="shared" si="44"/>
        <v>32.369999999999997</v>
      </c>
      <c r="GN36" s="2">
        <f t="shared" si="45"/>
        <v>0</v>
      </c>
      <c r="GO36" s="2">
        <f t="shared" si="46"/>
        <v>32.369999999999997</v>
      </c>
      <c r="GP36" s="2">
        <f t="shared" si="47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8"/>
        <v>0</v>
      </c>
      <c r="GW36" s="2">
        <v>1</v>
      </c>
      <c r="GX36" s="2">
        <f t="shared" si="49"/>
        <v>0</v>
      </c>
      <c r="GY36" s="2"/>
      <c r="GZ36" s="2"/>
      <c r="HA36" s="2">
        <v>0</v>
      </c>
      <c r="HB36" s="2">
        <v>0</v>
      </c>
      <c r="HC36" s="2">
        <f t="shared" si="50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3">
      <c r="A37">
        <v>17</v>
      </c>
      <c r="B37">
        <v>1</v>
      </c>
      <c r="D37">
        <f>ROW(EtalonRes!A18)</f>
        <v>18</v>
      </c>
      <c r="E37" t="s">
        <v>37</v>
      </c>
      <c r="F37" t="s">
        <v>47</v>
      </c>
      <c r="G37" t="s">
        <v>48</v>
      </c>
      <c r="H37" t="s">
        <v>22</v>
      </c>
      <c r="I37">
        <f>ROUND(ROUND(1,4),9)</f>
        <v>1</v>
      </c>
      <c r="J37">
        <v>0</v>
      </c>
      <c r="K37">
        <f>ROUND(ROUND(1,4),9)</f>
        <v>1</v>
      </c>
      <c r="O37">
        <f t="shared" si="21"/>
        <v>747.4</v>
      </c>
      <c r="P37">
        <f>ROUND((ROUND((AC37*AW37*I37),2)*BC37),2)</f>
        <v>0</v>
      </c>
      <c r="Q37">
        <f>(ROUND((ROUND((((ET37*1.1))*AV37*I37),2)*BB37),2)+ROUND((ROUND(((AE37-((EU37*1.1)))*AV37*I37),2)*BS37),2))</f>
        <v>9.43</v>
      </c>
      <c r="R37">
        <f t="shared" si="22"/>
        <v>4.95</v>
      </c>
      <c r="S37">
        <f t="shared" si="23"/>
        <v>737.97</v>
      </c>
      <c r="T37">
        <f t="shared" si="24"/>
        <v>0</v>
      </c>
      <c r="U37">
        <f t="shared" si="25"/>
        <v>1.1862510000000002</v>
      </c>
      <c r="V37">
        <f t="shared" si="26"/>
        <v>0</v>
      </c>
      <c r="W37">
        <f t="shared" si="27"/>
        <v>0</v>
      </c>
      <c r="X37">
        <f t="shared" si="28"/>
        <v>668.63</v>
      </c>
      <c r="Y37">
        <f t="shared" si="29"/>
        <v>341.74</v>
      </c>
      <c r="AA37">
        <v>56498968</v>
      </c>
      <c r="AB37">
        <f t="shared" si="30"/>
        <v>13.365</v>
      </c>
      <c r="AC37">
        <f t="shared" si="31"/>
        <v>0</v>
      </c>
      <c r="AD37">
        <f>ROUND(((((ET37*1.1))-((EU37*1.1)))+AE37),6)</f>
        <v>0.55000000000000004</v>
      </c>
      <c r="AE37">
        <f>ROUND(((EU37*1.1)),6)</f>
        <v>8.7999999999999995E-2</v>
      </c>
      <c r="AF37">
        <f>ROUND(((EV37*1.1)),6)</f>
        <v>12.815</v>
      </c>
      <c r="AG37">
        <f t="shared" si="32"/>
        <v>0</v>
      </c>
      <c r="AH37">
        <f>((EW37*1.1))</f>
        <v>1.1330000000000002</v>
      </c>
      <c r="AI37">
        <f>((EX37*1.1))</f>
        <v>0</v>
      </c>
      <c r="AJ37">
        <f t="shared" si="33"/>
        <v>0</v>
      </c>
      <c r="AK37">
        <v>12.15</v>
      </c>
      <c r="AL37">
        <v>0</v>
      </c>
      <c r="AM37">
        <v>0.5</v>
      </c>
      <c r="AN37">
        <v>0.08</v>
      </c>
      <c r="AO37">
        <v>11.65</v>
      </c>
      <c r="AP37">
        <v>0</v>
      </c>
      <c r="AQ37">
        <v>1.03</v>
      </c>
      <c r="AR37">
        <v>0</v>
      </c>
      <c r="AS37">
        <v>0</v>
      </c>
      <c r="AT37">
        <v>90</v>
      </c>
      <c r="AU37">
        <v>46</v>
      </c>
      <c r="AV37">
        <v>1.0469999999999999</v>
      </c>
      <c r="AW37">
        <v>1</v>
      </c>
      <c r="AZ37">
        <v>1</v>
      </c>
      <c r="BA37">
        <v>54.99</v>
      </c>
      <c r="BB37">
        <v>16.260000000000002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2</v>
      </c>
      <c r="BJ37" t="s">
        <v>49</v>
      </c>
      <c r="BM37">
        <v>72</v>
      </c>
      <c r="BN37">
        <v>0</v>
      </c>
      <c r="BO37" t="s">
        <v>47</v>
      </c>
      <c r="BP37">
        <v>1</v>
      </c>
      <c r="BQ37">
        <v>40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90</v>
      </c>
      <c r="CA37">
        <v>46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34"/>
        <v>747.4</v>
      </c>
      <c r="CQ37">
        <f>ROUND((ROUND((AC37*AW37*1),2)*BC37),2)</f>
        <v>0</v>
      </c>
      <c r="CR37">
        <f>(ROUND((ROUND((((ET37*1.1))*AV37*1),2)*BB37),2)+ROUND((ROUND(((AE37-((EU37*1.1)))*AV37*1),2)*BS37),2))</f>
        <v>9.43</v>
      </c>
      <c r="CS37">
        <f t="shared" si="35"/>
        <v>4.95</v>
      </c>
      <c r="CT37">
        <f t="shared" si="36"/>
        <v>737.97</v>
      </c>
      <c r="CU37">
        <f t="shared" si="37"/>
        <v>0</v>
      </c>
      <c r="CV37">
        <f t="shared" si="38"/>
        <v>1.1862510000000002</v>
      </c>
      <c r="CW37">
        <f t="shared" si="39"/>
        <v>0</v>
      </c>
      <c r="CX37">
        <f t="shared" si="40"/>
        <v>0</v>
      </c>
      <c r="CY37">
        <f t="shared" si="41"/>
        <v>668.62800000000004</v>
      </c>
      <c r="CZ37">
        <f t="shared" si="42"/>
        <v>341.74320000000006</v>
      </c>
      <c r="DC37" t="s">
        <v>3</v>
      </c>
      <c r="DD37" t="s">
        <v>3</v>
      </c>
      <c r="DE37" t="s">
        <v>24</v>
      </c>
      <c r="DF37" t="s">
        <v>24</v>
      </c>
      <c r="DG37" t="s">
        <v>24</v>
      </c>
      <c r="DH37" t="s">
        <v>3</v>
      </c>
      <c r="DI37" t="s">
        <v>24</v>
      </c>
      <c r="DJ37" t="s">
        <v>24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22</v>
      </c>
      <c r="DW37" t="s">
        <v>22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58162634</v>
      </c>
      <c r="EF37">
        <v>40</v>
      </c>
      <c r="EG37" t="s">
        <v>25</v>
      </c>
      <c r="EH37">
        <v>0</v>
      </c>
      <c r="EI37" t="s">
        <v>3</v>
      </c>
      <c r="EJ37">
        <v>2</v>
      </c>
      <c r="EK37">
        <v>72</v>
      </c>
      <c r="EL37" t="s">
        <v>50</v>
      </c>
      <c r="EM37" t="s">
        <v>51</v>
      </c>
      <c r="EO37" t="s">
        <v>28</v>
      </c>
      <c r="EQ37">
        <v>0</v>
      </c>
      <c r="ER37">
        <v>12.15</v>
      </c>
      <c r="ES37">
        <v>0</v>
      </c>
      <c r="ET37">
        <v>0.5</v>
      </c>
      <c r="EU37">
        <v>0.08</v>
      </c>
      <c r="EV37">
        <v>11.65</v>
      </c>
      <c r="EW37">
        <v>1.03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90</v>
      </c>
      <c r="FY37">
        <v>46</v>
      </c>
      <c r="GA37" t="s">
        <v>3</v>
      </c>
      <c r="GD37">
        <v>1</v>
      </c>
      <c r="GF37">
        <v>1708693888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3"/>
        <v>0</v>
      </c>
      <c r="GM37">
        <f t="shared" si="44"/>
        <v>1757.77</v>
      </c>
      <c r="GN37">
        <f t="shared" si="45"/>
        <v>0</v>
      </c>
      <c r="GO37">
        <f t="shared" si="46"/>
        <v>1757.77</v>
      </c>
      <c r="GP37">
        <f t="shared" si="47"/>
        <v>0</v>
      </c>
      <c r="GR37">
        <v>0</v>
      </c>
      <c r="GS37">
        <v>3</v>
      </c>
      <c r="GT37">
        <v>0</v>
      </c>
      <c r="GU37" t="s">
        <v>3</v>
      </c>
      <c r="GV37">
        <f t="shared" si="48"/>
        <v>0</v>
      </c>
      <c r="GW37">
        <v>1</v>
      </c>
      <c r="GX37">
        <f t="shared" si="49"/>
        <v>0</v>
      </c>
      <c r="HA37">
        <v>0</v>
      </c>
      <c r="HB37">
        <v>0</v>
      </c>
      <c r="HC37">
        <f t="shared" si="50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3">
      <c r="A38" s="2">
        <v>18</v>
      </c>
      <c r="B38" s="2">
        <v>1</v>
      </c>
      <c r="C38" s="2"/>
      <c r="D38" s="2"/>
      <c r="E38" s="2" t="s">
        <v>52</v>
      </c>
      <c r="F38" s="2" t="s">
        <v>53</v>
      </c>
      <c r="G38" s="2" t="s">
        <v>54</v>
      </c>
      <c r="H38" s="2" t="s">
        <v>32</v>
      </c>
      <c r="I38" s="2">
        <f>I36*J38</f>
        <v>1</v>
      </c>
      <c r="J38" s="2">
        <v>1</v>
      </c>
      <c r="K38" s="2">
        <v>1</v>
      </c>
      <c r="L38" s="2"/>
      <c r="M38" s="2"/>
      <c r="N38" s="2"/>
      <c r="O38" s="2">
        <f t="shared" si="21"/>
        <v>1908.27</v>
      </c>
      <c r="P38" s="2">
        <f>ROUND((ROUND((AC38*I38),2)*BC38),2)</f>
        <v>1908.27</v>
      </c>
      <c r="Q38" s="2">
        <f>(ROUND((ROUND(((ET38)*AV38*I38),2)*BB38),2)+ROUND((ROUND(((AE38-(EU38))*AV38*I38),2)*BS38),2))</f>
        <v>0</v>
      </c>
      <c r="R38" s="2">
        <f t="shared" si="22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28"/>
        <v>0</v>
      </c>
      <c r="Y38" s="2">
        <f t="shared" si="29"/>
        <v>0</v>
      </c>
      <c r="Z38" s="2"/>
      <c r="AA38" s="2">
        <v>56498966</v>
      </c>
      <c r="AB38" s="2">
        <f t="shared" si="30"/>
        <v>1908.27</v>
      </c>
      <c r="AC38" s="2">
        <f t="shared" si="31"/>
        <v>1908.27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32"/>
        <v>0</v>
      </c>
      <c r="AH38" s="2">
        <f>(EW38)</f>
        <v>0</v>
      </c>
      <c r="AI38" s="2">
        <f>(EX38)</f>
        <v>0</v>
      </c>
      <c r="AJ38" s="2">
        <f t="shared" si="33"/>
        <v>0</v>
      </c>
      <c r="AK38" s="2">
        <v>1908.2700000000002</v>
      </c>
      <c r="AL38" s="2">
        <v>1908.2700000000002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4"/>
        <v>1908.27</v>
      </c>
      <c r="CQ38" s="2">
        <f>ROUND((ROUND((AC38*1),2)*BC38),2)</f>
        <v>1908.27</v>
      </c>
      <c r="CR38" s="2">
        <f>(ROUND((ROUND(((ET38)*AV38*1),2)*BB38),2)+ROUND((ROUND(((AE38-(EU38))*AV38*1),2)*BS38),2))</f>
        <v>0</v>
      </c>
      <c r="CS38" s="2">
        <f t="shared" si="35"/>
        <v>0</v>
      </c>
      <c r="CT38" s="2">
        <f t="shared" si="36"/>
        <v>0</v>
      </c>
      <c r="CU38" s="2">
        <f t="shared" si="37"/>
        <v>0</v>
      </c>
      <c r="CV38" s="2">
        <f t="shared" si="38"/>
        <v>0</v>
      </c>
      <c r="CW38" s="2">
        <f t="shared" si="39"/>
        <v>0</v>
      </c>
      <c r="CX38" s="2">
        <f t="shared" si="40"/>
        <v>0</v>
      </c>
      <c r="CY38" s="2">
        <f t="shared" si="41"/>
        <v>0</v>
      </c>
      <c r="CZ38" s="2">
        <f t="shared" si="42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32</v>
      </c>
      <c r="DW38" s="2" t="s">
        <v>32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58162750</v>
      </c>
      <c r="EF38" s="2">
        <v>130</v>
      </c>
      <c r="EG38" s="2" t="s">
        <v>33</v>
      </c>
      <c r="EH38" s="2">
        <v>0</v>
      </c>
      <c r="EI38" s="2" t="s">
        <v>3</v>
      </c>
      <c r="EJ38" s="2">
        <v>3</v>
      </c>
      <c r="EK38" s="2">
        <v>746</v>
      </c>
      <c r="EL38" s="2" t="s">
        <v>34</v>
      </c>
      <c r="EM38" s="2" t="s">
        <v>35</v>
      </c>
      <c r="EN38" s="2"/>
      <c r="EO38" s="2" t="s">
        <v>3</v>
      </c>
      <c r="EP38" s="2"/>
      <c r="EQ38" s="2">
        <v>0</v>
      </c>
      <c r="ER38" s="2">
        <v>0</v>
      </c>
      <c r="ES38" s="2">
        <v>1908.2700000000002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1908.27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55</v>
      </c>
      <c r="GB38" s="2"/>
      <c r="GC38" s="2"/>
      <c r="GD38" s="2">
        <v>1</v>
      </c>
      <c r="GE38" s="2"/>
      <c r="GF38" s="2">
        <v>1719580913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43"/>
        <v>0</v>
      </c>
      <c r="GM38" s="2">
        <f t="shared" si="44"/>
        <v>1908.27</v>
      </c>
      <c r="GN38" s="2">
        <f t="shared" si="45"/>
        <v>0</v>
      </c>
      <c r="GO38" s="2">
        <f t="shared" si="46"/>
        <v>0</v>
      </c>
      <c r="GP38" s="2">
        <f t="shared" si="47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8"/>
        <v>0</v>
      </c>
      <c r="GW38" s="2">
        <v>1</v>
      </c>
      <c r="GX38" s="2">
        <f t="shared" si="49"/>
        <v>0</v>
      </c>
      <c r="GY38" s="2"/>
      <c r="GZ38" s="2"/>
      <c r="HA38" s="2">
        <v>0</v>
      </c>
      <c r="HB38" s="2">
        <v>0</v>
      </c>
      <c r="HC38" s="2">
        <f t="shared" si="50"/>
        <v>0</v>
      </c>
      <c r="HD38" s="2"/>
      <c r="HE38" s="2" t="s">
        <v>37</v>
      </c>
      <c r="HF38" s="2" t="s">
        <v>38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3">
      <c r="A39">
        <v>18</v>
      </c>
      <c r="B39">
        <v>1</v>
      </c>
      <c r="E39" t="s">
        <v>52</v>
      </c>
      <c r="F39" t="s">
        <v>53</v>
      </c>
      <c r="G39" t="s">
        <v>54</v>
      </c>
      <c r="H39" t="s">
        <v>32</v>
      </c>
      <c r="I39">
        <f>I37*J39</f>
        <v>1</v>
      </c>
      <c r="J39">
        <v>1</v>
      </c>
      <c r="K39">
        <v>1</v>
      </c>
      <c r="O39">
        <f t="shared" si="21"/>
        <v>14617.35</v>
      </c>
      <c r="P39">
        <f>ROUND((ROUND((AC39*I39),2)*BC39),2)</f>
        <v>14617.35</v>
      </c>
      <c r="Q39">
        <f>(ROUND((ROUND(((ET39)*AV39*I39),2)*BB39),2)+ROUND((ROUND(((AE39-(EU39))*AV39*I39),2)*BS39),2))</f>
        <v>0</v>
      </c>
      <c r="R39">
        <f t="shared" si="22"/>
        <v>0</v>
      </c>
      <c r="S39">
        <f t="shared" si="23"/>
        <v>0</v>
      </c>
      <c r="T39">
        <f t="shared" si="24"/>
        <v>0</v>
      </c>
      <c r="U39">
        <f t="shared" si="25"/>
        <v>0</v>
      </c>
      <c r="V39">
        <f t="shared" si="26"/>
        <v>0</v>
      </c>
      <c r="W39">
        <f t="shared" si="27"/>
        <v>0</v>
      </c>
      <c r="X39">
        <f t="shared" si="28"/>
        <v>0</v>
      </c>
      <c r="Y39">
        <f t="shared" si="29"/>
        <v>0</v>
      </c>
      <c r="AA39">
        <v>56498968</v>
      </c>
      <c r="AB39">
        <f t="shared" si="30"/>
        <v>1908.27</v>
      </c>
      <c r="AC39">
        <f t="shared" si="31"/>
        <v>1908.27</v>
      </c>
      <c r="AD39">
        <f>ROUND((((ET39)-(EU39))+AE39),6)</f>
        <v>0</v>
      </c>
      <c r="AE39">
        <f>ROUND((EU39),6)</f>
        <v>0</v>
      </c>
      <c r="AF39">
        <f>ROUND((EV39),6)</f>
        <v>0</v>
      </c>
      <c r="AG39">
        <f t="shared" si="32"/>
        <v>0</v>
      </c>
      <c r="AH39">
        <f>(EW39)</f>
        <v>0</v>
      </c>
      <c r="AI39">
        <f>(EX39)</f>
        <v>0</v>
      </c>
      <c r="AJ39">
        <f t="shared" si="33"/>
        <v>0</v>
      </c>
      <c r="AK39">
        <v>1908.2700000000002</v>
      </c>
      <c r="AL39">
        <v>1908.2700000000002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7.66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3</v>
      </c>
      <c r="BJ39" t="s">
        <v>3</v>
      </c>
      <c r="BM39">
        <v>746</v>
      </c>
      <c r="BN39">
        <v>0</v>
      </c>
      <c r="BO39" t="s">
        <v>3</v>
      </c>
      <c r="BP39">
        <v>0</v>
      </c>
      <c r="BQ39">
        <v>130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90</v>
      </c>
      <c r="CA39">
        <v>46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4"/>
        <v>14617.35</v>
      </c>
      <c r="CQ39">
        <f>ROUND((ROUND((AC39*1),2)*BC39),2)</f>
        <v>14617.35</v>
      </c>
      <c r="CR39">
        <f>(ROUND((ROUND(((ET39)*AV39*1),2)*BB39),2)+ROUND((ROUND(((AE39-(EU39))*AV39*1),2)*BS39),2))</f>
        <v>0</v>
      </c>
      <c r="CS39">
        <f t="shared" si="35"/>
        <v>0</v>
      </c>
      <c r="CT39">
        <f t="shared" si="36"/>
        <v>0</v>
      </c>
      <c r="CU39">
        <f t="shared" si="37"/>
        <v>0</v>
      </c>
      <c r="CV39">
        <f t="shared" si="38"/>
        <v>0</v>
      </c>
      <c r="CW39">
        <f t="shared" si="39"/>
        <v>0</v>
      </c>
      <c r="CX39">
        <f t="shared" si="40"/>
        <v>0</v>
      </c>
      <c r="CY39">
        <f t="shared" si="41"/>
        <v>0</v>
      </c>
      <c r="CZ39">
        <f t="shared" si="42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1010</v>
      </c>
      <c r="DV39" t="s">
        <v>32</v>
      </c>
      <c r="DW39" t="s">
        <v>32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58162750</v>
      </c>
      <c r="EF39">
        <v>130</v>
      </c>
      <c r="EG39" t="s">
        <v>33</v>
      </c>
      <c r="EH39">
        <v>0</v>
      </c>
      <c r="EI39" t="s">
        <v>3</v>
      </c>
      <c r="EJ39">
        <v>3</v>
      </c>
      <c r="EK39">
        <v>746</v>
      </c>
      <c r="EL39" t="s">
        <v>34</v>
      </c>
      <c r="EM39" t="s">
        <v>35</v>
      </c>
      <c r="EO39" t="s">
        <v>3</v>
      </c>
      <c r="EQ39">
        <v>0</v>
      </c>
      <c r="ER39">
        <v>1908.2700000000002</v>
      </c>
      <c r="ES39">
        <v>1908.2700000000002</v>
      </c>
      <c r="ET39">
        <v>0</v>
      </c>
      <c r="EU39">
        <v>0</v>
      </c>
      <c r="EV39">
        <v>0</v>
      </c>
      <c r="EW39">
        <v>0</v>
      </c>
      <c r="EX39">
        <v>0</v>
      </c>
      <c r="EZ39">
        <v>5</v>
      </c>
      <c r="FC39">
        <v>1</v>
      </c>
      <c r="FD39">
        <v>18</v>
      </c>
      <c r="FF39">
        <v>16828</v>
      </c>
      <c r="FQ39">
        <v>0</v>
      </c>
      <c r="FR39">
        <f>P39</f>
        <v>14617.35</v>
      </c>
      <c r="FS39">
        <v>0</v>
      </c>
      <c r="FX39">
        <v>90</v>
      </c>
      <c r="FY39">
        <v>46</v>
      </c>
      <c r="GA39" t="s">
        <v>55</v>
      </c>
      <c r="GD39">
        <v>1</v>
      </c>
      <c r="GF39">
        <v>1719580913</v>
      </c>
      <c r="GG39">
        <v>2</v>
      </c>
      <c r="GH39">
        <v>3</v>
      </c>
      <c r="GI39">
        <v>5</v>
      </c>
      <c r="GJ39">
        <v>0</v>
      </c>
      <c r="GK39">
        <v>0</v>
      </c>
      <c r="GL39">
        <f t="shared" si="43"/>
        <v>0</v>
      </c>
      <c r="GM39">
        <f t="shared" si="44"/>
        <v>14617.35</v>
      </c>
      <c r="GN39">
        <f t="shared" si="45"/>
        <v>0</v>
      </c>
      <c r="GO39">
        <f t="shared" si="46"/>
        <v>0</v>
      </c>
      <c r="GP39">
        <f t="shared" si="47"/>
        <v>0</v>
      </c>
      <c r="GR39">
        <v>1</v>
      </c>
      <c r="GS39">
        <v>1</v>
      </c>
      <c r="GT39">
        <v>0</v>
      </c>
      <c r="GU39" t="s">
        <v>3</v>
      </c>
      <c r="GV39">
        <f t="shared" si="48"/>
        <v>0</v>
      </c>
      <c r="GW39">
        <v>1</v>
      </c>
      <c r="GX39">
        <f t="shared" si="49"/>
        <v>0</v>
      </c>
      <c r="HA39">
        <v>0</v>
      </c>
      <c r="HB39">
        <v>0</v>
      </c>
      <c r="HC39">
        <f t="shared" si="50"/>
        <v>0</v>
      </c>
      <c r="HE39" t="s">
        <v>37</v>
      </c>
      <c r="HF39" t="s">
        <v>38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3">
      <c r="A40" s="2">
        <v>17</v>
      </c>
      <c r="B40" s="2">
        <v>1</v>
      </c>
      <c r="C40" s="2"/>
      <c r="D40" s="2">
        <f>ROW(EtalonRes!A19)</f>
        <v>19</v>
      </c>
      <c r="E40" s="2" t="s">
        <v>56</v>
      </c>
      <c r="F40" s="2" t="s">
        <v>57</v>
      </c>
      <c r="G40" s="2" t="s">
        <v>58</v>
      </c>
      <c r="H40" s="2" t="s">
        <v>22</v>
      </c>
      <c r="I40" s="2">
        <v>589</v>
      </c>
      <c r="J40" s="2">
        <v>0</v>
      </c>
      <c r="K40" s="2">
        <v>589</v>
      </c>
      <c r="L40" s="2"/>
      <c r="M40" s="2"/>
      <c r="N40" s="2"/>
      <c r="O40" s="2">
        <f t="shared" si="21"/>
        <v>15163.89</v>
      </c>
      <c r="P40" s="2">
        <f>ROUND((ROUND((AC40*AW40*I40),2)*BC40),2)</f>
        <v>742.14</v>
      </c>
      <c r="Q40" s="2">
        <f>(ROUND((ROUND((((ET40*1.1))*AV40*I40),2)*BB40),2)+ROUND((ROUND(((AE40-((EU40*1.1)))*AV40*I40),2)*BS40),2))</f>
        <v>40.700000000000003</v>
      </c>
      <c r="R40" s="2">
        <f t="shared" si="22"/>
        <v>6.78</v>
      </c>
      <c r="S40" s="2">
        <f t="shared" si="23"/>
        <v>14381.05</v>
      </c>
      <c r="T40" s="2">
        <f t="shared" si="24"/>
        <v>0</v>
      </c>
      <c r="U40" s="2">
        <f t="shared" si="25"/>
        <v>1139.6301839999999</v>
      </c>
      <c r="V40" s="2">
        <f t="shared" si="26"/>
        <v>0</v>
      </c>
      <c r="W40" s="2">
        <f t="shared" si="27"/>
        <v>0</v>
      </c>
      <c r="X40" s="2">
        <f t="shared" si="28"/>
        <v>12949.05</v>
      </c>
      <c r="Y40" s="2">
        <f t="shared" si="29"/>
        <v>6618.4</v>
      </c>
      <c r="Z40" s="2"/>
      <c r="AA40" s="2">
        <v>56498966</v>
      </c>
      <c r="AB40" s="2">
        <f t="shared" si="30"/>
        <v>24.646000000000001</v>
      </c>
      <c r="AC40" s="2">
        <f t="shared" si="31"/>
        <v>1.26</v>
      </c>
      <c r="AD40" s="2">
        <f>ROUND(((((ET40*1.1))-((EU40*1.1)))+AE40),6)</f>
        <v>6.6000000000000003E-2</v>
      </c>
      <c r="AE40" s="2">
        <f>ROUND(((EU40*1.1)),6)</f>
        <v>1.0999999999999999E-2</v>
      </c>
      <c r="AF40" s="2">
        <f>ROUND(((EV40*1.1)),6)</f>
        <v>23.32</v>
      </c>
      <c r="AG40" s="2">
        <f t="shared" si="32"/>
        <v>0</v>
      </c>
      <c r="AH40" s="2">
        <f>((EW40*1.1))</f>
        <v>1.8480000000000001</v>
      </c>
      <c r="AI40" s="2">
        <f>((EX40*1.1))</f>
        <v>0</v>
      </c>
      <c r="AJ40" s="2">
        <f t="shared" si="33"/>
        <v>0</v>
      </c>
      <c r="AK40" s="2">
        <v>22.52</v>
      </c>
      <c r="AL40" s="2">
        <v>1.26</v>
      </c>
      <c r="AM40" s="2">
        <v>0.06</v>
      </c>
      <c r="AN40" s="2">
        <v>0.01</v>
      </c>
      <c r="AO40" s="2">
        <v>21.2</v>
      </c>
      <c r="AP40" s="2">
        <v>0</v>
      </c>
      <c r="AQ40" s="2">
        <v>1.68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59</v>
      </c>
      <c r="BK40" s="2"/>
      <c r="BL40" s="2"/>
      <c r="BM40" s="2">
        <v>68</v>
      </c>
      <c r="BN40" s="2">
        <v>0</v>
      </c>
      <c r="BO40" s="2" t="s">
        <v>57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4"/>
        <v>15163.89</v>
      </c>
      <c r="CQ40" s="2">
        <f>ROUND((ROUND((AC40*AW40*1),2)*BC40),2)</f>
        <v>1.26</v>
      </c>
      <c r="CR40" s="2">
        <f>(ROUND((ROUND((((ET40*1.1))*AV40*1),2)*BB40),2)+ROUND((ROUND(((AE40-((EU40*1.1)))*AV40*1),2)*BS40),2))</f>
        <v>7.0000000000000007E-2</v>
      </c>
      <c r="CS40" s="2">
        <f t="shared" si="35"/>
        <v>0.01</v>
      </c>
      <c r="CT40" s="2">
        <f t="shared" si="36"/>
        <v>24.42</v>
      </c>
      <c r="CU40" s="2">
        <f t="shared" si="37"/>
        <v>0</v>
      </c>
      <c r="CV40" s="2">
        <f t="shared" si="38"/>
        <v>1.9348559999999999</v>
      </c>
      <c r="CW40" s="2">
        <f t="shared" si="39"/>
        <v>0</v>
      </c>
      <c r="CX40" s="2">
        <f t="shared" si="40"/>
        <v>0</v>
      </c>
      <c r="CY40" s="2">
        <f t="shared" si="41"/>
        <v>12949.046999999999</v>
      </c>
      <c r="CZ40" s="2">
        <f t="shared" si="42"/>
        <v>6618.4018000000005</v>
      </c>
      <c r="DA40" s="2"/>
      <c r="DB40" s="2"/>
      <c r="DC40" s="2" t="s">
        <v>3</v>
      </c>
      <c r="DD40" s="2" t="s">
        <v>3</v>
      </c>
      <c r="DE40" s="2" t="s">
        <v>24</v>
      </c>
      <c r="DF40" s="2" t="s">
        <v>24</v>
      </c>
      <c r="DG40" s="2" t="s">
        <v>24</v>
      </c>
      <c r="DH40" s="2" t="s">
        <v>3</v>
      </c>
      <c r="DI40" s="2" t="s">
        <v>24</v>
      </c>
      <c r="DJ40" s="2" t="s">
        <v>24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58162630</v>
      </c>
      <c r="EF40" s="2">
        <v>40</v>
      </c>
      <c r="EG40" s="2" t="s">
        <v>25</v>
      </c>
      <c r="EH40" s="2">
        <v>0</v>
      </c>
      <c r="EI40" s="2" t="s">
        <v>3</v>
      </c>
      <c r="EJ40" s="2">
        <v>2</v>
      </c>
      <c r="EK40" s="2">
        <v>68</v>
      </c>
      <c r="EL40" s="2" t="s">
        <v>26</v>
      </c>
      <c r="EM40" s="2" t="s">
        <v>27</v>
      </c>
      <c r="EN40" s="2"/>
      <c r="EO40" s="2" t="s">
        <v>28</v>
      </c>
      <c r="EP40" s="2"/>
      <c r="EQ40" s="2">
        <v>0</v>
      </c>
      <c r="ER40" s="2">
        <v>22.52</v>
      </c>
      <c r="ES40" s="2">
        <v>1.26</v>
      </c>
      <c r="ET40" s="2">
        <v>0.06</v>
      </c>
      <c r="EU40" s="2">
        <v>0.01</v>
      </c>
      <c r="EV40" s="2">
        <v>21.2</v>
      </c>
      <c r="EW40" s="2">
        <v>1.68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-1912799884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43"/>
        <v>0</v>
      </c>
      <c r="GM40" s="2">
        <f t="shared" si="44"/>
        <v>34731.339999999997</v>
      </c>
      <c r="GN40" s="2">
        <f t="shared" si="45"/>
        <v>0</v>
      </c>
      <c r="GO40" s="2">
        <f t="shared" si="46"/>
        <v>34731.339999999997</v>
      </c>
      <c r="GP40" s="2">
        <f t="shared" si="47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8"/>
        <v>0</v>
      </c>
      <c r="GW40" s="2">
        <v>1</v>
      </c>
      <c r="GX40" s="2">
        <f t="shared" si="49"/>
        <v>0</v>
      </c>
      <c r="GY40" s="2"/>
      <c r="GZ40" s="2"/>
      <c r="HA40" s="2">
        <v>0</v>
      </c>
      <c r="HB40" s="2">
        <v>0</v>
      </c>
      <c r="HC40" s="2">
        <f t="shared" si="50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3">
      <c r="A41">
        <v>17</v>
      </c>
      <c r="B41">
        <v>1</v>
      </c>
      <c r="D41">
        <f>ROW(EtalonRes!A20)</f>
        <v>20</v>
      </c>
      <c r="E41" t="s">
        <v>56</v>
      </c>
      <c r="F41" t="s">
        <v>57</v>
      </c>
      <c r="G41" t="s">
        <v>58</v>
      </c>
      <c r="H41" t="s">
        <v>22</v>
      </c>
      <c r="I41">
        <v>589</v>
      </c>
      <c r="J41">
        <v>0</v>
      </c>
      <c r="K41">
        <v>589</v>
      </c>
      <c r="O41">
        <f t="shared" si="21"/>
        <v>798865.95</v>
      </c>
      <c r="P41">
        <f>ROUND((ROUND((AC41*AW41*I41),2)*BC41),2)</f>
        <v>7339.76</v>
      </c>
      <c r="Q41">
        <f>(ROUND((ROUND((((ET41*1.1))*AV41*I41),2)*BB41),2)+ROUND((ROUND(((AE41-((EU41*1.1)))*AV41*I41),2)*BS41),2))</f>
        <v>712.25</v>
      </c>
      <c r="R41">
        <f t="shared" si="22"/>
        <v>372.83</v>
      </c>
      <c r="S41">
        <f t="shared" si="23"/>
        <v>790813.94</v>
      </c>
      <c r="T41">
        <f t="shared" si="24"/>
        <v>0</v>
      </c>
      <c r="U41">
        <f t="shared" si="25"/>
        <v>1139.6301839999999</v>
      </c>
      <c r="V41">
        <f t="shared" si="26"/>
        <v>0</v>
      </c>
      <c r="W41">
        <f t="shared" si="27"/>
        <v>0</v>
      </c>
      <c r="X41">
        <f t="shared" si="28"/>
        <v>712068.09</v>
      </c>
      <c r="Y41">
        <f t="shared" si="29"/>
        <v>363945.91</v>
      </c>
      <c r="AA41">
        <v>56498968</v>
      </c>
      <c r="AB41">
        <f t="shared" si="30"/>
        <v>24.646000000000001</v>
      </c>
      <c r="AC41">
        <f t="shared" si="31"/>
        <v>1.26</v>
      </c>
      <c r="AD41">
        <f>ROUND(((((ET41*1.1))-((EU41*1.1)))+AE41),6)</f>
        <v>6.6000000000000003E-2</v>
      </c>
      <c r="AE41">
        <f>ROUND(((EU41*1.1)),6)</f>
        <v>1.0999999999999999E-2</v>
      </c>
      <c r="AF41">
        <f>ROUND(((EV41*1.1)),6)</f>
        <v>23.32</v>
      </c>
      <c r="AG41">
        <f t="shared" si="32"/>
        <v>0</v>
      </c>
      <c r="AH41">
        <f>((EW41*1.1))</f>
        <v>1.8480000000000001</v>
      </c>
      <c r="AI41">
        <f>((EX41*1.1))</f>
        <v>0</v>
      </c>
      <c r="AJ41">
        <f t="shared" si="33"/>
        <v>0</v>
      </c>
      <c r="AK41">
        <v>22.52</v>
      </c>
      <c r="AL41">
        <v>1.26</v>
      </c>
      <c r="AM41">
        <v>0.06</v>
      </c>
      <c r="AN41">
        <v>0.01</v>
      </c>
      <c r="AO41">
        <v>21.2</v>
      </c>
      <c r="AP41">
        <v>0</v>
      </c>
      <c r="AQ41">
        <v>1.68</v>
      </c>
      <c r="AR41">
        <v>0</v>
      </c>
      <c r="AS41">
        <v>0</v>
      </c>
      <c r="AT41">
        <v>90</v>
      </c>
      <c r="AU41">
        <v>46</v>
      </c>
      <c r="AV41">
        <v>1.0469999999999999</v>
      </c>
      <c r="AW41">
        <v>1</v>
      </c>
      <c r="AZ41">
        <v>1</v>
      </c>
      <c r="BA41">
        <v>54.99</v>
      </c>
      <c r="BB41">
        <v>17.5</v>
      </c>
      <c r="BC41">
        <v>9.89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59</v>
      </c>
      <c r="BM41">
        <v>68</v>
      </c>
      <c r="BN41">
        <v>0</v>
      </c>
      <c r="BO41" t="s">
        <v>57</v>
      </c>
      <c r="BP41">
        <v>1</v>
      </c>
      <c r="BQ41">
        <v>40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90</v>
      </c>
      <c r="CA41">
        <v>46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3</v>
      </c>
      <c r="CO41">
        <v>0</v>
      </c>
      <c r="CP41">
        <f t="shared" si="34"/>
        <v>798865.95</v>
      </c>
      <c r="CQ41">
        <f>ROUND((ROUND((AC41*AW41*1),2)*BC41),2)</f>
        <v>12.46</v>
      </c>
      <c r="CR41">
        <f>(ROUND((ROUND((((ET41*1.1))*AV41*1),2)*BB41),2)+ROUND((ROUND(((AE41-((EU41*1.1)))*AV41*1),2)*BS41),2))</f>
        <v>1.23</v>
      </c>
      <c r="CS41">
        <f t="shared" si="35"/>
        <v>0.55000000000000004</v>
      </c>
      <c r="CT41">
        <f t="shared" si="36"/>
        <v>1342.86</v>
      </c>
      <c r="CU41">
        <f t="shared" si="37"/>
        <v>0</v>
      </c>
      <c r="CV41">
        <f t="shared" si="38"/>
        <v>1.9348559999999999</v>
      </c>
      <c r="CW41">
        <f t="shared" si="39"/>
        <v>0</v>
      </c>
      <c r="CX41">
        <f t="shared" si="40"/>
        <v>0</v>
      </c>
      <c r="CY41">
        <f t="shared" si="41"/>
        <v>712068.09299999999</v>
      </c>
      <c r="CZ41">
        <f t="shared" si="42"/>
        <v>363945.91419999994</v>
      </c>
      <c r="DC41" t="s">
        <v>3</v>
      </c>
      <c r="DD41" t="s">
        <v>3</v>
      </c>
      <c r="DE41" t="s">
        <v>24</v>
      </c>
      <c r="DF41" t="s">
        <v>24</v>
      </c>
      <c r="DG41" t="s">
        <v>24</v>
      </c>
      <c r="DH41" t="s">
        <v>3</v>
      </c>
      <c r="DI41" t="s">
        <v>24</v>
      </c>
      <c r="DJ41" t="s">
        <v>24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22</v>
      </c>
      <c r="DW41" t="s">
        <v>22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58162630</v>
      </c>
      <c r="EF41">
        <v>40</v>
      </c>
      <c r="EG41" t="s">
        <v>25</v>
      </c>
      <c r="EH41">
        <v>0</v>
      </c>
      <c r="EI41" t="s">
        <v>3</v>
      </c>
      <c r="EJ41">
        <v>2</v>
      </c>
      <c r="EK41">
        <v>68</v>
      </c>
      <c r="EL41" t="s">
        <v>26</v>
      </c>
      <c r="EM41" t="s">
        <v>27</v>
      </c>
      <c r="EO41" t="s">
        <v>28</v>
      </c>
      <c r="EQ41">
        <v>0</v>
      </c>
      <c r="ER41">
        <v>22.52</v>
      </c>
      <c r="ES41">
        <v>1.26</v>
      </c>
      <c r="ET41">
        <v>0.06</v>
      </c>
      <c r="EU41">
        <v>0.01</v>
      </c>
      <c r="EV41">
        <v>21.2</v>
      </c>
      <c r="EW41">
        <v>1.68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90</v>
      </c>
      <c r="FY41">
        <v>46</v>
      </c>
      <c r="GA41" t="s">
        <v>3</v>
      </c>
      <c r="GD41">
        <v>1</v>
      </c>
      <c r="GF41">
        <v>-1912799884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43"/>
        <v>0</v>
      </c>
      <c r="GM41">
        <f t="shared" si="44"/>
        <v>1874879.95</v>
      </c>
      <c r="GN41">
        <f t="shared" si="45"/>
        <v>0</v>
      </c>
      <c r="GO41">
        <f t="shared" si="46"/>
        <v>1874879.95</v>
      </c>
      <c r="GP41">
        <f t="shared" si="47"/>
        <v>0</v>
      </c>
      <c r="GR41">
        <v>0</v>
      </c>
      <c r="GS41">
        <v>3</v>
      </c>
      <c r="GT41">
        <v>0</v>
      </c>
      <c r="GU41" t="s">
        <v>3</v>
      </c>
      <c r="GV41">
        <f t="shared" si="48"/>
        <v>0</v>
      </c>
      <c r="GW41">
        <v>1</v>
      </c>
      <c r="GX41">
        <f t="shared" si="49"/>
        <v>0</v>
      </c>
      <c r="HA41">
        <v>0</v>
      </c>
      <c r="HB41">
        <v>0</v>
      </c>
      <c r="HC41">
        <f t="shared" si="50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3">
      <c r="A42" s="2">
        <v>18</v>
      </c>
      <c r="B42" s="2">
        <v>1</v>
      </c>
      <c r="C42" s="2"/>
      <c r="D42" s="2"/>
      <c r="E42" s="2" t="s">
        <v>60</v>
      </c>
      <c r="F42" s="2" t="s">
        <v>61</v>
      </c>
      <c r="G42" s="2" t="s">
        <v>62</v>
      </c>
      <c r="H42" s="2" t="s">
        <v>32</v>
      </c>
      <c r="I42" s="2">
        <f>I40*J42</f>
        <v>589</v>
      </c>
      <c r="J42" s="2">
        <v>1</v>
      </c>
      <c r="K42" s="2">
        <v>1</v>
      </c>
      <c r="L42" s="2"/>
      <c r="M42" s="2"/>
      <c r="N42" s="2"/>
      <c r="O42" s="2">
        <f t="shared" si="21"/>
        <v>93910.16</v>
      </c>
      <c r="P42" s="2">
        <f>ROUND((ROUND((AC42*I42),2)*BC42),2)</f>
        <v>93910.16</v>
      </c>
      <c r="Q42" s="2">
        <f>(ROUND((ROUND(((ET42)*AV42*I42),2)*BB42),2)+ROUND((ROUND(((AE42-(EU42))*AV42*I42),2)*BS42),2))</f>
        <v>0</v>
      </c>
      <c r="R42" s="2">
        <f t="shared" si="22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28"/>
        <v>0</v>
      </c>
      <c r="Y42" s="2">
        <f t="shared" si="29"/>
        <v>0</v>
      </c>
      <c r="Z42" s="2"/>
      <c r="AA42" s="2">
        <v>56498966</v>
      </c>
      <c r="AB42" s="2">
        <f t="shared" si="30"/>
        <v>159.44</v>
      </c>
      <c r="AC42" s="2">
        <f t="shared" si="31"/>
        <v>159.44</v>
      </c>
      <c r="AD42" s="2">
        <f>ROUND((((ET42)-(EU42))+AE42),6)</f>
        <v>0</v>
      </c>
      <c r="AE42" s="2">
        <f>ROUND((EU42),6)</f>
        <v>0</v>
      </c>
      <c r="AF42" s="2">
        <f>ROUND((EV42),6)</f>
        <v>0</v>
      </c>
      <c r="AG42" s="2">
        <f t="shared" si="32"/>
        <v>0</v>
      </c>
      <c r="AH42" s="2">
        <f>(EW42)</f>
        <v>0</v>
      </c>
      <c r="AI42" s="2">
        <f>(EX42)</f>
        <v>0</v>
      </c>
      <c r="AJ42" s="2">
        <f t="shared" si="33"/>
        <v>0</v>
      </c>
      <c r="AK42" s="2">
        <v>159.44</v>
      </c>
      <c r="AL42" s="2">
        <v>159.44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4"/>
        <v>93910.16</v>
      </c>
      <c r="CQ42" s="2">
        <f>ROUND((ROUND((AC42*1),2)*BC42),2)</f>
        <v>159.44</v>
      </c>
      <c r="CR42" s="2">
        <f>(ROUND((ROUND(((ET42)*AV42*1),2)*BB42),2)+ROUND((ROUND(((AE42-(EU42))*AV42*1),2)*BS42),2))</f>
        <v>0</v>
      </c>
      <c r="CS42" s="2">
        <f t="shared" si="35"/>
        <v>0</v>
      </c>
      <c r="CT42" s="2">
        <f t="shared" si="36"/>
        <v>0</v>
      </c>
      <c r="CU42" s="2">
        <f t="shared" si="37"/>
        <v>0</v>
      </c>
      <c r="CV42" s="2">
        <f t="shared" si="38"/>
        <v>0</v>
      </c>
      <c r="CW42" s="2">
        <f t="shared" si="39"/>
        <v>0</v>
      </c>
      <c r="CX42" s="2">
        <f t="shared" si="40"/>
        <v>0</v>
      </c>
      <c r="CY42" s="2">
        <f t="shared" si="41"/>
        <v>0</v>
      </c>
      <c r="CZ42" s="2">
        <f t="shared" si="42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32</v>
      </c>
      <c r="DW42" s="2" t="s">
        <v>32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58162750</v>
      </c>
      <c r="EF42" s="2">
        <v>130</v>
      </c>
      <c r="EG42" s="2" t="s">
        <v>33</v>
      </c>
      <c r="EH42" s="2">
        <v>0</v>
      </c>
      <c r="EI42" s="2" t="s">
        <v>3</v>
      </c>
      <c r="EJ42" s="2">
        <v>3</v>
      </c>
      <c r="EK42" s="2">
        <v>746</v>
      </c>
      <c r="EL42" s="2" t="s">
        <v>34</v>
      </c>
      <c r="EM42" s="2" t="s">
        <v>35</v>
      </c>
      <c r="EN42" s="2"/>
      <c r="EO42" s="2" t="s">
        <v>3</v>
      </c>
      <c r="EP42" s="2"/>
      <c r="EQ42" s="2">
        <v>0</v>
      </c>
      <c r="ER42" s="2">
        <v>0</v>
      </c>
      <c r="ES42" s="2">
        <v>159.44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93910.16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63</v>
      </c>
      <c r="GB42" s="2"/>
      <c r="GC42" s="2"/>
      <c r="GD42" s="2">
        <v>1</v>
      </c>
      <c r="GE42" s="2"/>
      <c r="GF42" s="2">
        <v>-1225386436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43"/>
        <v>0</v>
      </c>
      <c r="GM42" s="2">
        <f t="shared" si="44"/>
        <v>93910.16</v>
      </c>
      <c r="GN42" s="2">
        <f t="shared" si="45"/>
        <v>0</v>
      </c>
      <c r="GO42" s="2">
        <f t="shared" si="46"/>
        <v>0</v>
      </c>
      <c r="GP42" s="2">
        <f t="shared" si="47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8"/>
        <v>0</v>
      </c>
      <c r="GW42" s="2">
        <v>1</v>
      </c>
      <c r="GX42" s="2">
        <f t="shared" si="49"/>
        <v>0</v>
      </c>
      <c r="GY42" s="2"/>
      <c r="GZ42" s="2"/>
      <c r="HA42" s="2">
        <v>0</v>
      </c>
      <c r="HB42" s="2">
        <v>0</v>
      </c>
      <c r="HC42" s="2">
        <f t="shared" si="50"/>
        <v>0</v>
      </c>
      <c r="HD42" s="2"/>
      <c r="HE42" s="2" t="s">
        <v>37</v>
      </c>
      <c r="HF42" s="2" t="s">
        <v>38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3">
      <c r="A43">
        <v>18</v>
      </c>
      <c r="B43">
        <v>1</v>
      </c>
      <c r="E43" t="s">
        <v>60</v>
      </c>
      <c r="F43" t="s">
        <v>61</v>
      </c>
      <c r="G43" t="s">
        <v>62</v>
      </c>
      <c r="H43" t="s">
        <v>32</v>
      </c>
      <c r="I43">
        <f>I41*J43</f>
        <v>589</v>
      </c>
      <c r="J43">
        <v>1</v>
      </c>
      <c r="K43">
        <v>1</v>
      </c>
      <c r="O43">
        <f t="shared" si="21"/>
        <v>719351.83</v>
      </c>
      <c r="P43">
        <f>ROUND((ROUND((AC43*I43),2)*BC43),2)</f>
        <v>719351.83</v>
      </c>
      <c r="Q43">
        <f>(ROUND((ROUND(((ET43)*AV43*I43),2)*BB43),2)+ROUND((ROUND(((AE43-(EU43))*AV43*I43),2)*BS43),2))</f>
        <v>0</v>
      </c>
      <c r="R43">
        <f t="shared" si="22"/>
        <v>0</v>
      </c>
      <c r="S43">
        <f t="shared" si="23"/>
        <v>0</v>
      </c>
      <c r="T43">
        <f t="shared" si="24"/>
        <v>0</v>
      </c>
      <c r="U43">
        <f t="shared" si="25"/>
        <v>0</v>
      </c>
      <c r="V43">
        <f t="shared" si="26"/>
        <v>0</v>
      </c>
      <c r="W43">
        <f t="shared" si="27"/>
        <v>0</v>
      </c>
      <c r="X43">
        <f t="shared" si="28"/>
        <v>0</v>
      </c>
      <c r="Y43">
        <f t="shared" si="29"/>
        <v>0</v>
      </c>
      <c r="AA43">
        <v>56498968</v>
      </c>
      <c r="AB43">
        <f t="shared" si="30"/>
        <v>159.44</v>
      </c>
      <c r="AC43">
        <f t="shared" si="31"/>
        <v>159.44</v>
      </c>
      <c r="AD43">
        <f>ROUND((((ET43)-(EU43))+AE43),6)</f>
        <v>0</v>
      </c>
      <c r="AE43">
        <f>ROUND((EU43),6)</f>
        <v>0</v>
      </c>
      <c r="AF43">
        <f>ROUND((EV43),6)</f>
        <v>0</v>
      </c>
      <c r="AG43">
        <f t="shared" si="32"/>
        <v>0</v>
      </c>
      <c r="AH43">
        <f>(EW43)</f>
        <v>0</v>
      </c>
      <c r="AI43">
        <f>(EX43)</f>
        <v>0</v>
      </c>
      <c r="AJ43">
        <f t="shared" si="33"/>
        <v>0</v>
      </c>
      <c r="AK43">
        <v>159.44</v>
      </c>
      <c r="AL43">
        <v>159.44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7.66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3</v>
      </c>
      <c r="BJ43" t="s">
        <v>3</v>
      </c>
      <c r="BM43">
        <v>746</v>
      </c>
      <c r="BN43">
        <v>0</v>
      </c>
      <c r="BO43" t="s">
        <v>3</v>
      </c>
      <c r="BP43">
        <v>0</v>
      </c>
      <c r="BQ43">
        <v>130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90</v>
      </c>
      <c r="CA43">
        <v>46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4"/>
        <v>719351.83</v>
      </c>
      <c r="CQ43">
        <f>ROUND((ROUND((AC43*1),2)*BC43),2)</f>
        <v>1221.31</v>
      </c>
      <c r="CR43">
        <f>(ROUND((ROUND(((ET43)*AV43*1),2)*BB43),2)+ROUND((ROUND(((AE43-(EU43))*AV43*1),2)*BS43),2))</f>
        <v>0</v>
      </c>
      <c r="CS43">
        <f t="shared" si="35"/>
        <v>0</v>
      </c>
      <c r="CT43">
        <f t="shared" si="36"/>
        <v>0</v>
      </c>
      <c r="CU43">
        <f t="shared" si="37"/>
        <v>0</v>
      </c>
      <c r="CV43">
        <f t="shared" si="38"/>
        <v>0</v>
      </c>
      <c r="CW43">
        <f t="shared" si="39"/>
        <v>0</v>
      </c>
      <c r="CX43">
        <f t="shared" si="40"/>
        <v>0</v>
      </c>
      <c r="CY43">
        <f t="shared" si="41"/>
        <v>0</v>
      </c>
      <c r="CZ43">
        <f t="shared" si="42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32</v>
      </c>
      <c r="DW43" t="s">
        <v>32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58162750</v>
      </c>
      <c r="EF43">
        <v>130</v>
      </c>
      <c r="EG43" t="s">
        <v>33</v>
      </c>
      <c r="EH43">
        <v>0</v>
      </c>
      <c r="EI43" t="s">
        <v>3</v>
      </c>
      <c r="EJ43">
        <v>3</v>
      </c>
      <c r="EK43">
        <v>746</v>
      </c>
      <c r="EL43" t="s">
        <v>34</v>
      </c>
      <c r="EM43" t="s">
        <v>35</v>
      </c>
      <c r="EO43" t="s">
        <v>3</v>
      </c>
      <c r="EQ43">
        <v>0</v>
      </c>
      <c r="ER43">
        <v>159.44</v>
      </c>
      <c r="ES43">
        <v>159.44</v>
      </c>
      <c r="ET43">
        <v>0</v>
      </c>
      <c r="EU43">
        <v>0</v>
      </c>
      <c r="EV43">
        <v>0</v>
      </c>
      <c r="EW43">
        <v>0</v>
      </c>
      <c r="EX43">
        <v>0</v>
      </c>
      <c r="EZ43">
        <v>5</v>
      </c>
      <c r="FC43">
        <v>1</v>
      </c>
      <c r="FD43">
        <v>18</v>
      </c>
      <c r="FF43">
        <v>1406</v>
      </c>
      <c r="FQ43">
        <v>0</v>
      </c>
      <c r="FR43">
        <f>P43</f>
        <v>719351.83</v>
      </c>
      <c r="FS43">
        <v>0</v>
      </c>
      <c r="FX43">
        <v>90</v>
      </c>
      <c r="FY43">
        <v>46</v>
      </c>
      <c r="GA43" t="s">
        <v>63</v>
      </c>
      <c r="GD43">
        <v>1</v>
      </c>
      <c r="GF43">
        <v>-1225386436</v>
      </c>
      <c r="GG43">
        <v>2</v>
      </c>
      <c r="GH43">
        <v>3</v>
      </c>
      <c r="GI43">
        <v>5</v>
      </c>
      <c r="GJ43">
        <v>0</v>
      </c>
      <c r="GK43">
        <v>0</v>
      </c>
      <c r="GL43">
        <f t="shared" si="43"/>
        <v>0</v>
      </c>
      <c r="GM43">
        <f t="shared" si="44"/>
        <v>719351.83</v>
      </c>
      <c r="GN43">
        <f t="shared" si="45"/>
        <v>0</v>
      </c>
      <c r="GO43">
        <f t="shared" si="46"/>
        <v>0</v>
      </c>
      <c r="GP43">
        <f t="shared" si="47"/>
        <v>0</v>
      </c>
      <c r="GR43">
        <v>1</v>
      </c>
      <c r="GS43">
        <v>1</v>
      </c>
      <c r="GT43">
        <v>0</v>
      </c>
      <c r="GU43" t="s">
        <v>3</v>
      </c>
      <c r="GV43">
        <f t="shared" si="48"/>
        <v>0</v>
      </c>
      <c r="GW43">
        <v>1</v>
      </c>
      <c r="GX43">
        <f t="shared" si="49"/>
        <v>0</v>
      </c>
      <c r="HA43">
        <v>0</v>
      </c>
      <c r="HB43">
        <v>0</v>
      </c>
      <c r="HC43">
        <f t="shared" si="50"/>
        <v>0</v>
      </c>
      <c r="HE43" t="s">
        <v>37</v>
      </c>
      <c r="HF43" t="s">
        <v>38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3">
      <c r="A44" s="2">
        <v>17</v>
      </c>
      <c r="B44" s="2">
        <v>1</v>
      </c>
      <c r="C44" s="2"/>
      <c r="D44" s="2">
        <f>ROW(EtalonRes!A21)</f>
        <v>21</v>
      </c>
      <c r="E44" s="2" t="s">
        <v>64</v>
      </c>
      <c r="F44" s="2" t="s">
        <v>65</v>
      </c>
      <c r="G44" s="2" t="s">
        <v>66</v>
      </c>
      <c r="H44" s="2" t="s">
        <v>22</v>
      </c>
      <c r="I44" s="2">
        <f>ROUND(136+453,9)</f>
        <v>589</v>
      </c>
      <c r="J44" s="2">
        <v>0</v>
      </c>
      <c r="K44" s="2">
        <f>ROUND(136+453,9)</f>
        <v>589</v>
      </c>
      <c r="L44" s="2"/>
      <c r="M44" s="2"/>
      <c r="N44" s="2"/>
      <c r="O44" s="2">
        <f t="shared" si="21"/>
        <v>6710.04</v>
      </c>
      <c r="P44" s="2">
        <f t="shared" ref="P44:P51" si="51">ROUND((ROUND((AC44*AW44*I44),2)*BC44),2)</f>
        <v>618.45000000000005</v>
      </c>
      <c r="Q44" s="2">
        <f>(ROUND((ROUND((((ET44*1.1))*AV44*I44),2)*BB44),2)+ROUND((ROUND(((AE44-((EU44*1.1)))*AV44*I44),2)*BS44),2))</f>
        <v>3093.28</v>
      </c>
      <c r="R44" s="2">
        <f t="shared" si="22"/>
        <v>189.94</v>
      </c>
      <c r="S44" s="2">
        <f t="shared" si="23"/>
        <v>2998.31</v>
      </c>
      <c r="T44" s="2">
        <f t="shared" si="24"/>
        <v>0</v>
      </c>
      <c r="U44" s="2">
        <f t="shared" si="25"/>
        <v>237.422955</v>
      </c>
      <c r="V44" s="2">
        <f t="shared" si="26"/>
        <v>0</v>
      </c>
      <c r="W44" s="2">
        <f t="shared" si="27"/>
        <v>0</v>
      </c>
      <c r="X44" s="2">
        <f t="shared" si="28"/>
        <v>2869.43</v>
      </c>
      <c r="Y44" s="2">
        <f t="shared" si="29"/>
        <v>1466.6</v>
      </c>
      <c r="Z44" s="2"/>
      <c r="AA44" s="2">
        <v>56498966</v>
      </c>
      <c r="AB44" s="2">
        <f t="shared" si="30"/>
        <v>10.928000000000001</v>
      </c>
      <c r="AC44" s="2">
        <f t="shared" si="31"/>
        <v>1.05</v>
      </c>
      <c r="AD44" s="2">
        <f>ROUND(((((ET44*1.1))-((EU44*1.1)))+AE44),6)</f>
        <v>5.016</v>
      </c>
      <c r="AE44" s="2">
        <f>ROUND(((EU44*1.1)),6)</f>
        <v>0.308</v>
      </c>
      <c r="AF44" s="2">
        <f>ROUND(((EV44*1.1)),6)</f>
        <v>4.8620000000000001</v>
      </c>
      <c r="AG44" s="2">
        <f t="shared" si="32"/>
        <v>0</v>
      </c>
      <c r="AH44" s="2">
        <f>((EW44*1.1))</f>
        <v>0.38500000000000001</v>
      </c>
      <c r="AI44" s="2">
        <f>((EX44*1.1))</f>
        <v>0</v>
      </c>
      <c r="AJ44" s="2">
        <f t="shared" si="33"/>
        <v>0</v>
      </c>
      <c r="AK44" s="2">
        <v>10.029999999999999</v>
      </c>
      <c r="AL44" s="2">
        <v>1.05</v>
      </c>
      <c r="AM44" s="2">
        <v>4.5599999999999996</v>
      </c>
      <c r="AN44" s="2">
        <v>0.28000000000000003</v>
      </c>
      <c r="AO44" s="2">
        <v>4.42</v>
      </c>
      <c r="AP44" s="2">
        <v>0</v>
      </c>
      <c r="AQ44" s="2">
        <v>0.35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67</v>
      </c>
      <c r="BK44" s="2"/>
      <c r="BL44" s="2"/>
      <c r="BM44" s="2">
        <v>68</v>
      </c>
      <c r="BN44" s="2">
        <v>0</v>
      </c>
      <c r="BO44" s="2" t="s">
        <v>65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4"/>
        <v>6710.0400000000009</v>
      </c>
      <c r="CQ44" s="2">
        <f t="shared" ref="CQ44:CQ51" si="52">ROUND((ROUND((AC44*AW44*1),2)*BC44),2)</f>
        <v>1.05</v>
      </c>
      <c r="CR44" s="2">
        <f>(ROUND((ROUND((((ET44*1.1))*AV44*1),2)*BB44),2)+ROUND((ROUND(((AE44-((EU44*1.1)))*AV44*1),2)*BS44),2))</f>
        <v>5.25</v>
      </c>
      <c r="CS44" s="2">
        <f t="shared" si="35"/>
        <v>0.32</v>
      </c>
      <c r="CT44" s="2">
        <f t="shared" si="36"/>
        <v>5.09</v>
      </c>
      <c r="CU44" s="2">
        <f t="shared" si="37"/>
        <v>0</v>
      </c>
      <c r="CV44" s="2">
        <f t="shared" si="38"/>
        <v>0.40309499999999998</v>
      </c>
      <c r="CW44" s="2">
        <f t="shared" si="39"/>
        <v>0</v>
      </c>
      <c r="CX44" s="2">
        <f t="shared" si="40"/>
        <v>0</v>
      </c>
      <c r="CY44" s="2">
        <f t="shared" si="41"/>
        <v>2869.4250000000002</v>
      </c>
      <c r="CZ44" s="2">
        <f t="shared" si="42"/>
        <v>1466.595</v>
      </c>
      <c r="DA44" s="2"/>
      <c r="DB44" s="2"/>
      <c r="DC44" s="2" t="s">
        <v>3</v>
      </c>
      <c r="DD44" s="2" t="s">
        <v>3</v>
      </c>
      <c r="DE44" s="2" t="s">
        <v>24</v>
      </c>
      <c r="DF44" s="2" t="s">
        <v>24</v>
      </c>
      <c r="DG44" s="2" t="s">
        <v>24</v>
      </c>
      <c r="DH44" s="2" t="s">
        <v>3</v>
      </c>
      <c r="DI44" s="2" t="s">
        <v>24</v>
      </c>
      <c r="DJ44" s="2" t="s">
        <v>24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22</v>
      </c>
      <c r="DW44" s="2" t="s">
        <v>22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58162630</v>
      </c>
      <c r="EF44" s="2">
        <v>40</v>
      </c>
      <c r="EG44" s="2" t="s">
        <v>25</v>
      </c>
      <c r="EH44" s="2">
        <v>0</v>
      </c>
      <c r="EI44" s="2" t="s">
        <v>3</v>
      </c>
      <c r="EJ44" s="2">
        <v>2</v>
      </c>
      <c r="EK44" s="2">
        <v>68</v>
      </c>
      <c r="EL44" s="2" t="s">
        <v>26</v>
      </c>
      <c r="EM44" s="2" t="s">
        <v>27</v>
      </c>
      <c r="EN44" s="2"/>
      <c r="EO44" s="2" t="s">
        <v>28</v>
      </c>
      <c r="EP44" s="2"/>
      <c r="EQ44" s="2">
        <v>0</v>
      </c>
      <c r="ER44" s="2">
        <v>10.029999999999999</v>
      </c>
      <c r="ES44" s="2">
        <v>1.05</v>
      </c>
      <c r="ET44" s="2">
        <v>4.5599999999999996</v>
      </c>
      <c r="EU44" s="2">
        <v>0.28000000000000003</v>
      </c>
      <c r="EV44" s="2">
        <v>4.42</v>
      </c>
      <c r="EW44" s="2">
        <v>0.35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1040190154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43"/>
        <v>0</v>
      </c>
      <c r="GM44" s="2">
        <f t="shared" si="44"/>
        <v>11046.07</v>
      </c>
      <c r="GN44" s="2">
        <f t="shared" si="45"/>
        <v>0</v>
      </c>
      <c r="GO44" s="2">
        <f t="shared" si="46"/>
        <v>11046.07</v>
      </c>
      <c r="GP44" s="2">
        <f t="shared" si="47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8"/>
        <v>0</v>
      </c>
      <c r="GW44" s="2">
        <v>1</v>
      </c>
      <c r="GX44" s="2">
        <f t="shared" si="49"/>
        <v>0</v>
      </c>
      <c r="GY44" s="2"/>
      <c r="GZ44" s="2"/>
      <c r="HA44" s="2">
        <v>0</v>
      </c>
      <c r="HB44" s="2">
        <v>0</v>
      </c>
      <c r="HC44" s="2">
        <f t="shared" si="50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3">
      <c r="A45">
        <v>17</v>
      </c>
      <c r="B45">
        <v>1</v>
      </c>
      <c r="D45">
        <f>ROW(EtalonRes!A22)</f>
        <v>22</v>
      </c>
      <c r="E45" t="s">
        <v>64</v>
      </c>
      <c r="F45" t="s">
        <v>65</v>
      </c>
      <c r="G45" t="s">
        <v>66</v>
      </c>
      <c r="H45" t="s">
        <v>22</v>
      </c>
      <c r="I45">
        <f>ROUND(136+453,9)</f>
        <v>589</v>
      </c>
      <c r="J45">
        <v>0</v>
      </c>
      <c r="K45">
        <f>ROUND(136+453,9)</f>
        <v>589</v>
      </c>
      <c r="O45">
        <f t="shared" si="21"/>
        <v>210587.51999999999</v>
      </c>
      <c r="P45">
        <f t="shared" si="51"/>
        <v>6116.47</v>
      </c>
      <c r="Q45">
        <f>(ROUND((ROUND((((ET45*1.1))*AV45*I45),2)*BB45),2)+ROUND((ROUND(((AE45-((EU45*1.1)))*AV45*I45),2)*BS45),2))</f>
        <v>39593.980000000003</v>
      </c>
      <c r="R45">
        <f t="shared" si="22"/>
        <v>10444.799999999999</v>
      </c>
      <c r="S45">
        <f t="shared" si="23"/>
        <v>164877.07</v>
      </c>
      <c r="T45">
        <f t="shared" si="24"/>
        <v>0</v>
      </c>
      <c r="U45">
        <f t="shared" si="25"/>
        <v>237.422955</v>
      </c>
      <c r="V45">
        <f t="shared" si="26"/>
        <v>0</v>
      </c>
      <c r="W45">
        <f t="shared" si="27"/>
        <v>0</v>
      </c>
      <c r="X45">
        <f t="shared" si="28"/>
        <v>157789.68</v>
      </c>
      <c r="Y45">
        <f t="shared" si="29"/>
        <v>80648.06</v>
      </c>
      <c r="AA45">
        <v>56498968</v>
      </c>
      <c r="AB45">
        <f t="shared" si="30"/>
        <v>10.928000000000001</v>
      </c>
      <c r="AC45">
        <f t="shared" si="31"/>
        <v>1.05</v>
      </c>
      <c r="AD45">
        <f>ROUND(((((ET45*1.1))-((EU45*1.1)))+AE45),6)</f>
        <v>5.016</v>
      </c>
      <c r="AE45">
        <f>ROUND(((EU45*1.1)),6)</f>
        <v>0.308</v>
      </c>
      <c r="AF45">
        <f>ROUND(((EV45*1.1)),6)</f>
        <v>4.8620000000000001</v>
      </c>
      <c r="AG45">
        <f t="shared" si="32"/>
        <v>0</v>
      </c>
      <c r="AH45">
        <f>((EW45*1.1))</f>
        <v>0.38500000000000001</v>
      </c>
      <c r="AI45">
        <f>((EX45*1.1))</f>
        <v>0</v>
      </c>
      <c r="AJ45">
        <f t="shared" si="33"/>
        <v>0</v>
      </c>
      <c r="AK45">
        <v>10.029999999999999</v>
      </c>
      <c r="AL45">
        <v>1.05</v>
      </c>
      <c r="AM45">
        <v>4.5599999999999996</v>
      </c>
      <c r="AN45">
        <v>0.28000000000000003</v>
      </c>
      <c r="AO45">
        <v>4.42</v>
      </c>
      <c r="AP45">
        <v>0</v>
      </c>
      <c r="AQ45">
        <v>0.35</v>
      </c>
      <c r="AR45">
        <v>0</v>
      </c>
      <c r="AS45">
        <v>0</v>
      </c>
      <c r="AT45">
        <v>90</v>
      </c>
      <c r="AU45">
        <v>46</v>
      </c>
      <c r="AV45">
        <v>1.0469999999999999</v>
      </c>
      <c r="AW45">
        <v>1</v>
      </c>
      <c r="AZ45">
        <v>1</v>
      </c>
      <c r="BA45">
        <v>54.99</v>
      </c>
      <c r="BB45">
        <v>12.8</v>
      </c>
      <c r="BC45">
        <v>9.89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2</v>
      </c>
      <c r="BJ45" t="s">
        <v>67</v>
      </c>
      <c r="BM45">
        <v>68</v>
      </c>
      <c r="BN45">
        <v>0</v>
      </c>
      <c r="BO45" t="s">
        <v>65</v>
      </c>
      <c r="BP45">
        <v>1</v>
      </c>
      <c r="BQ45">
        <v>40</v>
      </c>
      <c r="BR45">
        <v>0</v>
      </c>
      <c r="BS45">
        <v>54.99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90</v>
      </c>
      <c r="CA45">
        <v>46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3</v>
      </c>
      <c r="CO45">
        <v>0</v>
      </c>
      <c r="CP45">
        <f t="shared" si="34"/>
        <v>210587.52000000002</v>
      </c>
      <c r="CQ45">
        <f t="shared" si="52"/>
        <v>10.38</v>
      </c>
      <c r="CR45">
        <f>(ROUND((ROUND((((ET45*1.1))*AV45*1),2)*BB45),2)+ROUND((ROUND(((AE45-((EU45*1.1)))*AV45*1),2)*BS45),2))</f>
        <v>67.2</v>
      </c>
      <c r="CS45">
        <f t="shared" si="35"/>
        <v>17.600000000000001</v>
      </c>
      <c r="CT45">
        <f t="shared" si="36"/>
        <v>279.89999999999998</v>
      </c>
      <c r="CU45">
        <f t="shared" si="37"/>
        <v>0</v>
      </c>
      <c r="CV45">
        <f t="shared" si="38"/>
        <v>0.40309499999999998</v>
      </c>
      <c r="CW45">
        <f t="shared" si="39"/>
        <v>0</v>
      </c>
      <c r="CX45">
        <f t="shared" si="40"/>
        <v>0</v>
      </c>
      <c r="CY45">
        <f t="shared" si="41"/>
        <v>157789.68299999999</v>
      </c>
      <c r="CZ45">
        <f t="shared" si="42"/>
        <v>80648.060199999993</v>
      </c>
      <c r="DC45" t="s">
        <v>3</v>
      </c>
      <c r="DD45" t="s">
        <v>3</v>
      </c>
      <c r="DE45" t="s">
        <v>24</v>
      </c>
      <c r="DF45" t="s">
        <v>24</v>
      </c>
      <c r="DG45" t="s">
        <v>24</v>
      </c>
      <c r="DH45" t="s">
        <v>3</v>
      </c>
      <c r="DI45" t="s">
        <v>24</v>
      </c>
      <c r="DJ45" t="s">
        <v>24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1013</v>
      </c>
      <c r="DV45" t="s">
        <v>22</v>
      </c>
      <c r="DW45" t="s">
        <v>22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58162630</v>
      </c>
      <c r="EF45">
        <v>40</v>
      </c>
      <c r="EG45" t="s">
        <v>25</v>
      </c>
      <c r="EH45">
        <v>0</v>
      </c>
      <c r="EI45" t="s">
        <v>3</v>
      </c>
      <c r="EJ45">
        <v>2</v>
      </c>
      <c r="EK45">
        <v>68</v>
      </c>
      <c r="EL45" t="s">
        <v>26</v>
      </c>
      <c r="EM45" t="s">
        <v>27</v>
      </c>
      <c r="EO45" t="s">
        <v>28</v>
      </c>
      <c r="EQ45">
        <v>0</v>
      </c>
      <c r="ER45">
        <v>10.029999999999999</v>
      </c>
      <c r="ES45">
        <v>1.05</v>
      </c>
      <c r="ET45">
        <v>4.5599999999999996</v>
      </c>
      <c r="EU45">
        <v>0.28000000000000003</v>
      </c>
      <c r="EV45">
        <v>4.42</v>
      </c>
      <c r="EW45">
        <v>0.35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90</v>
      </c>
      <c r="FY45">
        <v>46</v>
      </c>
      <c r="GA45" t="s">
        <v>3</v>
      </c>
      <c r="GD45">
        <v>1</v>
      </c>
      <c r="GF45">
        <v>1040190154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43"/>
        <v>0</v>
      </c>
      <c r="GM45">
        <f t="shared" si="44"/>
        <v>449025.26</v>
      </c>
      <c r="GN45">
        <f t="shared" si="45"/>
        <v>0</v>
      </c>
      <c r="GO45">
        <f t="shared" si="46"/>
        <v>449025.26</v>
      </c>
      <c r="GP45">
        <f t="shared" si="47"/>
        <v>0</v>
      </c>
      <c r="GR45">
        <v>0</v>
      </c>
      <c r="GS45">
        <v>3</v>
      </c>
      <c r="GT45">
        <v>0</v>
      </c>
      <c r="GU45" t="s">
        <v>3</v>
      </c>
      <c r="GV45">
        <f t="shared" si="48"/>
        <v>0</v>
      </c>
      <c r="GW45">
        <v>1</v>
      </c>
      <c r="GX45">
        <f t="shared" si="49"/>
        <v>0</v>
      </c>
      <c r="HA45">
        <v>0</v>
      </c>
      <c r="HB45">
        <v>0</v>
      </c>
      <c r="HC45">
        <f t="shared" si="50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3">
      <c r="A46" s="2">
        <v>18</v>
      </c>
      <c r="B46" s="2">
        <v>1</v>
      </c>
      <c r="C46" s="2"/>
      <c r="D46" s="2"/>
      <c r="E46" s="2" t="s">
        <v>68</v>
      </c>
      <c r="F46" s="2" t="s">
        <v>69</v>
      </c>
      <c r="G46" s="2" t="s">
        <v>70</v>
      </c>
      <c r="H46" s="2" t="s">
        <v>32</v>
      </c>
      <c r="I46" s="2">
        <f>I44*J46</f>
        <v>136</v>
      </c>
      <c r="J46" s="2">
        <v>0.23089983022071306</v>
      </c>
      <c r="K46" s="2">
        <v>0.23089983</v>
      </c>
      <c r="L46" s="2"/>
      <c r="M46" s="2"/>
      <c r="N46" s="2"/>
      <c r="O46" s="2">
        <f t="shared" si="21"/>
        <v>6118.64</v>
      </c>
      <c r="P46" s="2">
        <f t="shared" si="51"/>
        <v>6118.64</v>
      </c>
      <c r="Q46" s="2">
        <f>(ROUND((ROUND(((ET46)*AV46*I46),2)*BB46),2)+ROUND((ROUND(((AE46-(EU46))*AV46*I46),2)*BS46),2))</f>
        <v>0</v>
      </c>
      <c r="R46" s="2">
        <f t="shared" si="22"/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 t="shared" si="28"/>
        <v>0</v>
      </c>
      <c r="Y46" s="2">
        <f t="shared" si="29"/>
        <v>0</v>
      </c>
      <c r="Z46" s="2"/>
      <c r="AA46" s="2">
        <v>56498966</v>
      </c>
      <c r="AB46" s="2">
        <f t="shared" si="30"/>
        <v>44.99</v>
      </c>
      <c r="AC46" s="2">
        <f t="shared" si="31"/>
        <v>44.99</v>
      </c>
      <c r="AD46" s="2">
        <f>ROUND((((ET46)-(EU46))+AE46),6)</f>
        <v>0</v>
      </c>
      <c r="AE46" s="2">
        <f t="shared" ref="AE46:AF49" si="53">ROUND((EU46),6)</f>
        <v>0</v>
      </c>
      <c r="AF46" s="2">
        <f t="shared" si="53"/>
        <v>0</v>
      </c>
      <c r="AG46" s="2">
        <f t="shared" si="32"/>
        <v>0</v>
      </c>
      <c r="AH46" s="2">
        <f t="shared" ref="AH46:AI49" si="54">(EW46)</f>
        <v>0</v>
      </c>
      <c r="AI46" s="2">
        <f t="shared" si="54"/>
        <v>0</v>
      </c>
      <c r="AJ46" s="2">
        <f t="shared" si="33"/>
        <v>0</v>
      </c>
      <c r="AK46" s="2">
        <v>44.99</v>
      </c>
      <c r="AL46" s="2">
        <v>44.99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90</v>
      </c>
      <c r="AU46" s="2">
        <v>46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2</v>
      </c>
      <c r="BJ46" s="2" t="s">
        <v>3</v>
      </c>
      <c r="BK46" s="2"/>
      <c r="BL46" s="2"/>
      <c r="BM46" s="2">
        <v>68</v>
      </c>
      <c r="BN46" s="2">
        <v>0</v>
      </c>
      <c r="BO46" s="2" t="s">
        <v>3</v>
      </c>
      <c r="BP46" s="2">
        <v>0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4"/>
        <v>6118.64</v>
      </c>
      <c r="CQ46" s="2">
        <f t="shared" si="52"/>
        <v>44.99</v>
      </c>
      <c r="CR46" s="2">
        <f>(ROUND((ROUND(((ET46)*AV46*1),2)*BB46),2)+ROUND((ROUND(((AE46-(EU46))*AV46*1),2)*BS46),2))</f>
        <v>0</v>
      </c>
      <c r="CS46" s="2">
        <f t="shared" si="35"/>
        <v>0</v>
      </c>
      <c r="CT46" s="2">
        <f t="shared" si="36"/>
        <v>0</v>
      </c>
      <c r="CU46" s="2">
        <f t="shared" si="37"/>
        <v>0</v>
      </c>
      <c r="CV46" s="2">
        <f t="shared" si="38"/>
        <v>0</v>
      </c>
      <c r="CW46" s="2">
        <f t="shared" si="39"/>
        <v>0</v>
      </c>
      <c r="CX46" s="2">
        <f t="shared" si="40"/>
        <v>0</v>
      </c>
      <c r="CY46" s="2">
        <f t="shared" si="41"/>
        <v>0</v>
      </c>
      <c r="CZ46" s="2">
        <f t="shared" si="42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32</v>
      </c>
      <c r="DW46" s="2" t="s">
        <v>32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58162630</v>
      </c>
      <c r="EF46" s="2">
        <v>40</v>
      </c>
      <c r="EG46" s="2" t="s">
        <v>25</v>
      </c>
      <c r="EH46" s="2">
        <v>0</v>
      </c>
      <c r="EI46" s="2" t="s">
        <v>3</v>
      </c>
      <c r="EJ46" s="2">
        <v>2</v>
      </c>
      <c r="EK46" s="2">
        <v>68</v>
      </c>
      <c r="EL46" s="2" t="s">
        <v>26</v>
      </c>
      <c r="EM46" s="2" t="s">
        <v>27</v>
      </c>
      <c r="EN46" s="2"/>
      <c r="EO46" s="2" t="s">
        <v>3</v>
      </c>
      <c r="EP46" s="2"/>
      <c r="EQ46" s="2">
        <v>0</v>
      </c>
      <c r="ER46" s="2">
        <v>0</v>
      </c>
      <c r="ES46" s="2">
        <v>44.99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71</v>
      </c>
      <c r="GB46" s="2"/>
      <c r="GC46" s="2"/>
      <c r="GD46" s="2">
        <v>1</v>
      </c>
      <c r="GE46" s="2"/>
      <c r="GF46" s="2">
        <v>-810448224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43"/>
        <v>0</v>
      </c>
      <c r="GM46" s="2">
        <f t="shared" si="44"/>
        <v>6118.64</v>
      </c>
      <c r="GN46" s="2">
        <f t="shared" si="45"/>
        <v>0</v>
      </c>
      <c r="GO46" s="2">
        <f t="shared" si="46"/>
        <v>6118.64</v>
      </c>
      <c r="GP46" s="2">
        <f t="shared" si="47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8"/>
        <v>0</v>
      </c>
      <c r="GW46" s="2">
        <v>1</v>
      </c>
      <c r="GX46" s="2">
        <f t="shared" si="49"/>
        <v>0</v>
      </c>
      <c r="GY46" s="2"/>
      <c r="GZ46" s="2"/>
      <c r="HA46" s="2">
        <v>0</v>
      </c>
      <c r="HB46" s="2">
        <v>0</v>
      </c>
      <c r="HC46" s="2">
        <f t="shared" si="50"/>
        <v>0</v>
      </c>
      <c r="HD46" s="2"/>
      <c r="HE46" s="2" t="s">
        <v>72</v>
      </c>
      <c r="HF46" s="2" t="s">
        <v>39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3">
      <c r="A47">
        <v>18</v>
      </c>
      <c r="B47">
        <v>1</v>
      </c>
      <c r="E47" t="s">
        <v>68</v>
      </c>
      <c r="F47" t="s">
        <v>69</v>
      </c>
      <c r="G47" t="s">
        <v>70</v>
      </c>
      <c r="H47" t="s">
        <v>32</v>
      </c>
      <c r="I47">
        <f>I45*J47</f>
        <v>136</v>
      </c>
      <c r="J47">
        <v>0.23089983022071306</v>
      </c>
      <c r="K47">
        <v>0.23089983</v>
      </c>
      <c r="O47">
        <f t="shared" si="21"/>
        <v>60452.160000000003</v>
      </c>
      <c r="P47">
        <f t="shared" si="51"/>
        <v>60452.160000000003</v>
      </c>
      <c r="Q47">
        <f>(ROUND((ROUND(((ET47)*AV47*I47),2)*BB47),2)+ROUND((ROUND(((AE47-(EU47))*AV47*I47),2)*BS47),2))</f>
        <v>0</v>
      </c>
      <c r="R47">
        <f t="shared" si="22"/>
        <v>0</v>
      </c>
      <c r="S47">
        <f t="shared" si="23"/>
        <v>0</v>
      </c>
      <c r="T47">
        <f t="shared" si="24"/>
        <v>0</v>
      </c>
      <c r="U47">
        <f t="shared" si="25"/>
        <v>0</v>
      </c>
      <c r="V47">
        <f t="shared" si="26"/>
        <v>0</v>
      </c>
      <c r="W47">
        <f t="shared" si="27"/>
        <v>0</v>
      </c>
      <c r="X47">
        <f t="shared" si="28"/>
        <v>0</v>
      </c>
      <c r="Y47">
        <f t="shared" si="29"/>
        <v>0</v>
      </c>
      <c r="AA47">
        <v>56498968</v>
      </c>
      <c r="AB47">
        <f t="shared" si="30"/>
        <v>44.99</v>
      </c>
      <c r="AC47">
        <f t="shared" si="31"/>
        <v>44.99</v>
      </c>
      <c r="AD47">
        <f>ROUND((((ET47)-(EU47))+AE47),6)</f>
        <v>0</v>
      </c>
      <c r="AE47">
        <f t="shared" si="53"/>
        <v>0</v>
      </c>
      <c r="AF47">
        <f t="shared" si="53"/>
        <v>0</v>
      </c>
      <c r="AG47">
        <f t="shared" si="32"/>
        <v>0</v>
      </c>
      <c r="AH47">
        <f t="shared" si="54"/>
        <v>0</v>
      </c>
      <c r="AI47">
        <f t="shared" si="54"/>
        <v>0</v>
      </c>
      <c r="AJ47">
        <f t="shared" si="33"/>
        <v>0</v>
      </c>
      <c r="AK47">
        <v>44.99</v>
      </c>
      <c r="AL47">
        <v>44.99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90</v>
      </c>
      <c r="AU47">
        <v>46</v>
      </c>
      <c r="AV47">
        <v>1</v>
      </c>
      <c r="AW47">
        <v>1</v>
      </c>
      <c r="AZ47">
        <v>1</v>
      </c>
      <c r="BA47">
        <v>1</v>
      </c>
      <c r="BB47">
        <v>1</v>
      </c>
      <c r="BC47">
        <v>9.8800000000000008</v>
      </c>
      <c r="BD47" t="s">
        <v>3</v>
      </c>
      <c r="BE47" t="s">
        <v>3</v>
      </c>
      <c r="BF47" t="s">
        <v>3</v>
      </c>
      <c r="BG47" t="s">
        <v>3</v>
      </c>
      <c r="BH47">
        <v>3</v>
      </c>
      <c r="BI47">
        <v>2</v>
      </c>
      <c r="BJ47" t="s">
        <v>3</v>
      </c>
      <c r="BM47">
        <v>68</v>
      </c>
      <c r="BN47">
        <v>0</v>
      </c>
      <c r="BO47" t="s">
        <v>3</v>
      </c>
      <c r="BP47">
        <v>0</v>
      </c>
      <c r="BQ47">
        <v>40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90</v>
      </c>
      <c r="CA47">
        <v>46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34"/>
        <v>60452.160000000003</v>
      </c>
      <c r="CQ47">
        <f t="shared" si="52"/>
        <v>444.5</v>
      </c>
      <c r="CR47">
        <f>(ROUND((ROUND(((ET47)*AV47*1),2)*BB47),2)+ROUND((ROUND(((AE47-(EU47))*AV47*1),2)*BS47),2))</f>
        <v>0</v>
      </c>
      <c r="CS47">
        <f t="shared" si="35"/>
        <v>0</v>
      </c>
      <c r="CT47">
        <f t="shared" si="36"/>
        <v>0</v>
      </c>
      <c r="CU47">
        <f t="shared" si="37"/>
        <v>0</v>
      </c>
      <c r="CV47">
        <f t="shared" si="38"/>
        <v>0</v>
      </c>
      <c r="CW47">
        <f t="shared" si="39"/>
        <v>0</v>
      </c>
      <c r="CX47">
        <f t="shared" si="40"/>
        <v>0</v>
      </c>
      <c r="CY47">
        <f t="shared" si="41"/>
        <v>0</v>
      </c>
      <c r="CZ47">
        <f t="shared" si="42"/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1010</v>
      </c>
      <c r="DV47" t="s">
        <v>32</v>
      </c>
      <c r="DW47" t="s">
        <v>32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58162630</v>
      </c>
      <c r="EF47">
        <v>40</v>
      </c>
      <c r="EG47" t="s">
        <v>25</v>
      </c>
      <c r="EH47">
        <v>0</v>
      </c>
      <c r="EI47" t="s">
        <v>3</v>
      </c>
      <c r="EJ47">
        <v>2</v>
      </c>
      <c r="EK47">
        <v>68</v>
      </c>
      <c r="EL47" t="s">
        <v>26</v>
      </c>
      <c r="EM47" t="s">
        <v>27</v>
      </c>
      <c r="EO47" t="s">
        <v>3</v>
      </c>
      <c r="EQ47">
        <v>0</v>
      </c>
      <c r="ER47">
        <v>44.99</v>
      </c>
      <c r="ES47">
        <v>44.99</v>
      </c>
      <c r="ET47">
        <v>0</v>
      </c>
      <c r="EU47">
        <v>0</v>
      </c>
      <c r="EV47">
        <v>0</v>
      </c>
      <c r="EW47">
        <v>0</v>
      </c>
      <c r="EX47">
        <v>0</v>
      </c>
      <c r="EZ47">
        <v>5</v>
      </c>
      <c r="FC47">
        <v>1</v>
      </c>
      <c r="FD47">
        <v>18</v>
      </c>
      <c r="FF47">
        <v>523</v>
      </c>
      <c r="FQ47">
        <v>0</v>
      </c>
      <c r="FR47">
        <v>0</v>
      </c>
      <c r="FS47">
        <v>0</v>
      </c>
      <c r="FX47">
        <v>90</v>
      </c>
      <c r="FY47">
        <v>46</v>
      </c>
      <c r="GA47" t="s">
        <v>71</v>
      </c>
      <c r="GD47">
        <v>1</v>
      </c>
      <c r="GF47">
        <v>-810448224</v>
      </c>
      <c r="GG47">
        <v>2</v>
      </c>
      <c r="GH47">
        <v>3</v>
      </c>
      <c r="GI47">
        <v>5</v>
      </c>
      <c r="GJ47">
        <v>0</v>
      </c>
      <c r="GK47">
        <v>0</v>
      </c>
      <c r="GL47">
        <f t="shared" si="43"/>
        <v>0</v>
      </c>
      <c r="GM47">
        <f t="shared" si="44"/>
        <v>60452.160000000003</v>
      </c>
      <c r="GN47">
        <f t="shared" si="45"/>
        <v>0</v>
      </c>
      <c r="GO47">
        <f t="shared" si="46"/>
        <v>60452.160000000003</v>
      </c>
      <c r="GP47">
        <f t="shared" si="47"/>
        <v>0</v>
      </c>
      <c r="GR47">
        <v>1</v>
      </c>
      <c r="GS47">
        <v>1</v>
      </c>
      <c r="GT47">
        <v>0</v>
      </c>
      <c r="GU47" t="s">
        <v>3</v>
      </c>
      <c r="GV47">
        <f t="shared" si="48"/>
        <v>0</v>
      </c>
      <c r="GW47">
        <v>1</v>
      </c>
      <c r="GX47">
        <f t="shared" si="49"/>
        <v>0</v>
      </c>
      <c r="HA47">
        <v>0</v>
      </c>
      <c r="HB47">
        <v>0</v>
      </c>
      <c r="HC47">
        <f t="shared" si="50"/>
        <v>0</v>
      </c>
      <c r="HE47" t="s">
        <v>72</v>
      </c>
      <c r="HF47" t="s">
        <v>39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3">
      <c r="A48" s="2">
        <v>18</v>
      </c>
      <c r="B48" s="2">
        <v>1</v>
      </c>
      <c r="C48" s="2"/>
      <c r="D48" s="2"/>
      <c r="E48" s="2" t="s">
        <v>73</v>
      </c>
      <c r="F48" s="2" t="s">
        <v>74</v>
      </c>
      <c r="G48" s="2" t="s">
        <v>75</v>
      </c>
      <c r="H48" s="2" t="s">
        <v>32</v>
      </c>
      <c r="I48" s="2">
        <f>I44*J48</f>
        <v>453</v>
      </c>
      <c r="J48" s="2">
        <v>0.76910016977928697</v>
      </c>
      <c r="K48" s="2">
        <v>0.76910016999999997</v>
      </c>
      <c r="L48" s="2"/>
      <c r="M48" s="2"/>
      <c r="N48" s="2"/>
      <c r="O48" s="2">
        <f t="shared" si="21"/>
        <v>8104.17</v>
      </c>
      <c r="P48" s="2">
        <f t="shared" si="51"/>
        <v>8104.17</v>
      </c>
      <c r="Q48" s="2">
        <f>(ROUND((ROUND(((ET48)*AV48*I48),2)*BB48),2)+ROUND((ROUND(((AE48-(EU48))*AV48*I48),2)*BS48),2))</f>
        <v>0</v>
      </c>
      <c r="R48" s="2">
        <f t="shared" si="22"/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 t="shared" si="28"/>
        <v>0</v>
      </c>
      <c r="Y48" s="2">
        <f t="shared" si="29"/>
        <v>0</v>
      </c>
      <c r="Z48" s="2"/>
      <c r="AA48" s="2">
        <v>56498966</v>
      </c>
      <c r="AB48" s="2">
        <f t="shared" si="30"/>
        <v>17.89</v>
      </c>
      <c r="AC48" s="2">
        <f t="shared" si="31"/>
        <v>17.89</v>
      </c>
      <c r="AD48" s="2">
        <f>ROUND((((ET48)-(EU48))+AE48),6)</f>
        <v>0</v>
      </c>
      <c r="AE48" s="2">
        <f t="shared" si="53"/>
        <v>0</v>
      </c>
      <c r="AF48" s="2">
        <f t="shared" si="53"/>
        <v>0</v>
      </c>
      <c r="AG48" s="2">
        <f t="shared" si="32"/>
        <v>0</v>
      </c>
      <c r="AH48" s="2">
        <f t="shared" si="54"/>
        <v>0</v>
      </c>
      <c r="AI48" s="2">
        <f t="shared" si="54"/>
        <v>0</v>
      </c>
      <c r="AJ48" s="2">
        <f t="shared" si="33"/>
        <v>0</v>
      </c>
      <c r="AK48" s="2">
        <v>17.89</v>
      </c>
      <c r="AL48" s="2">
        <v>17.89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90</v>
      </c>
      <c r="AU48" s="2">
        <v>46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2</v>
      </c>
      <c r="BJ48" s="2" t="s">
        <v>3</v>
      </c>
      <c r="BK48" s="2"/>
      <c r="BL48" s="2"/>
      <c r="BM48" s="2">
        <v>68</v>
      </c>
      <c r="BN48" s="2">
        <v>0</v>
      </c>
      <c r="BO48" s="2" t="s">
        <v>3</v>
      </c>
      <c r="BP48" s="2">
        <v>0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4"/>
        <v>8104.17</v>
      </c>
      <c r="CQ48" s="2">
        <f t="shared" si="52"/>
        <v>17.89</v>
      </c>
      <c r="CR48" s="2">
        <f>(ROUND((ROUND(((ET48)*AV48*1),2)*BB48),2)+ROUND((ROUND(((AE48-(EU48))*AV48*1),2)*BS48),2))</f>
        <v>0</v>
      </c>
      <c r="CS48" s="2">
        <f t="shared" si="35"/>
        <v>0</v>
      </c>
      <c r="CT48" s="2">
        <f t="shared" si="36"/>
        <v>0</v>
      </c>
      <c r="CU48" s="2">
        <f t="shared" si="37"/>
        <v>0</v>
      </c>
      <c r="CV48" s="2">
        <f t="shared" si="38"/>
        <v>0</v>
      </c>
      <c r="CW48" s="2">
        <f t="shared" si="39"/>
        <v>0</v>
      </c>
      <c r="CX48" s="2">
        <f t="shared" si="40"/>
        <v>0</v>
      </c>
      <c r="CY48" s="2">
        <f t="shared" si="41"/>
        <v>0</v>
      </c>
      <c r="CZ48" s="2">
        <f t="shared" si="42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32</v>
      </c>
      <c r="DW48" s="2" t="s">
        <v>32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58162630</v>
      </c>
      <c r="EF48" s="2">
        <v>40</v>
      </c>
      <c r="EG48" s="2" t="s">
        <v>25</v>
      </c>
      <c r="EH48" s="2">
        <v>0</v>
      </c>
      <c r="EI48" s="2" t="s">
        <v>3</v>
      </c>
      <c r="EJ48" s="2">
        <v>2</v>
      </c>
      <c r="EK48" s="2">
        <v>68</v>
      </c>
      <c r="EL48" s="2" t="s">
        <v>26</v>
      </c>
      <c r="EM48" s="2" t="s">
        <v>27</v>
      </c>
      <c r="EN48" s="2"/>
      <c r="EO48" s="2" t="s">
        <v>3</v>
      </c>
      <c r="EP48" s="2"/>
      <c r="EQ48" s="2">
        <v>0</v>
      </c>
      <c r="ER48" s="2">
        <v>0</v>
      </c>
      <c r="ES48" s="2">
        <v>17.89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76</v>
      </c>
      <c r="GB48" s="2"/>
      <c r="GC48" s="2"/>
      <c r="GD48" s="2">
        <v>1</v>
      </c>
      <c r="GE48" s="2"/>
      <c r="GF48" s="2">
        <v>1151310423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43"/>
        <v>0</v>
      </c>
      <c r="GM48" s="2">
        <f t="shared" si="44"/>
        <v>8104.17</v>
      </c>
      <c r="GN48" s="2">
        <f t="shared" si="45"/>
        <v>0</v>
      </c>
      <c r="GO48" s="2">
        <f t="shared" si="46"/>
        <v>8104.17</v>
      </c>
      <c r="GP48" s="2">
        <f t="shared" si="47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8"/>
        <v>0</v>
      </c>
      <c r="GW48" s="2">
        <v>1</v>
      </c>
      <c r="GX48" s="2">
        <f t="shared" si="49"/>
        <v>0</v>
      </c>
      <c r="GY48" s="2"/>
      <c r="GZ48" s="2"/>
      <c r="HA48" s="2">
        <v>0</v>
      </c>
      <c r="HB48" s="2">
        <v>0</v>
      </c>
      <c r="HC48" s="2">
        <f t="shared" si="50"/>
        <v>0</v>
      </c>
      <c r="HD48" s="2"/>
      <c r="HE48" s="2" t="s">
        <v>72</v>
      </c>
      <c r="HF48" s="2" t="s">
        <v>39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3">
      <c r="A49">
        <v>18</v>
      </c>
      <c r="B49">
        <v>1</v>
      </c>
      <c r="E49" t="s">
        <v>73</v>
      </c>
      <c r="F49" t="s">
        <v>74</v>
      </c>
      <c r="G49" t="s">
        <v>75</v>
      </c>
      <c r="H49" t="s">
        <v>32</v>
      </c>
      <c r="I49">
        <f>I45*J49</f>
        <v>453</v>
      </c>
      <c r="J49">
        <v>0.76910016977928697</v>
      </c>
      <c r="K49">
        <v>0.76910016999999997</v>
      </c>
      <c r="O49">
        <f t="shared" si="21"/>
        <v>80069.2</v>
      </c>
      <c r="P49">
        <f t="shared" si="51"/>
        <v>80069.2</v>
      </c>
      <c r="Q49">
        <f>(ROUND((ROUND(((ET49)*AV49*I49),2)*BB49),2)+ROUND((ROUND(((AE49-(EU49))*AV49*I49),2)*BS49),2))</f>
        <v>0</v>
      </c>
      <c r="R49">
        <f t="shared" si="22"/>
        <v>0</v>
      </c>
      <c r="S49">
        <f t="shared" si="23"/>
        <v>0</v>
      </c>
      <c r="T49">
        <f t="shared" si="24"/>
        <v>0</v>
      </c>
      <c r="U49">
        <f t="shared" si="25"/>
        <v>0</v>
      </c>
      <c r="V49">
        <f t="shared" si="26"/>
        <v>0</v>
      </c>
      <c r="W49">
        <f t="shared" si="27"/>
        <v>0</v>
      </c>
      <c r="X49">
        <f t="shared" si="28"/>
        <v>0</v>
      </c>
      <c r="Y49">
        <f t="shared" si="29"/>
        <v>0</v>
      </c>
      <c r="AA49">
        <v>56498968</v>
      </c>
      <c r="AB49">
        <f t="shared" si="30"/>
        <v>17.89</v>
      </c>
      <c r="AC49">
        <f t="shared" si="31"/>
        <v>17.89</v>
      </c>
      <c r="AD49">
        <f>ROUND((((ET49)-(EU49))+AE49),6)</f>
        <v>0</v>
      </c>
      <c r="AE49">
        <f t="shared" si="53"/>
        <v>0</v>
      </c>
      <c r="AF49">
        <f t="shared" si="53"/>
        <v>0</v>
      </c>
      <c r="AG49">
        <f t="shared" si="32"/>
        <v>0</v>
      </c>
      <c r="AH49">
        <f t="shared" si="54"/>
        <v>0</v>
      </c>
      <c r="AI49">
        <f t="shared" si="54"/>
        <v>0</v>
      </c>
      <c r="AJ49">
        <f t="shared" si="33"/>
        <v>0</v>
      </c>
      <c r="AK49">
        <v>17.89</v>
      </c>
      <c r="AL49">
        <v>17.89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90</v>
      </c>
      <c r="AU49">
        <v>46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9.8800000000000008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2</v>
      </c>
      <c r="BJ49" t="s">
        <v>3</v>
      </c>
      <c r="BM49">
        <v>68</v>
      </c>
      <c r="BN49">
        <v>0</v>
      </c>
      <c r="BO49" t="s">
        <v>3</v>
      </c>
      <c r="BP49">
        <v>0</v>
      </c>
      <c r="BQ49">
        <v>40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90</v>
      </c>
      <c r="CA49">
        <v>46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34"/>
        <v>80069.2</v>
      </c>
      <c r="CQ49">
        <f t="shared" si="52"/>
        <v>176.75</v>
      </c>
      <c r="CR49">
        <f>(ROUND((ROUND(((ET49)*AV49*1),2)*BB49),2)+ROUND((ROUND(((AE49-(EU49))*AV49*1),2)*BS49),2))</f>
        <v>0</v>
      </c>
      <c r="CS49">
        <f t="shared" si="35"/>
        <v>0</v>
      </c>
      <c r="CT49">
        <f t="shared" si="36"/>
        <v>0</v>
      </c>
      <c r="CU49">
        <f t="shared" si="37"/>
        <v>0</v>
      </c>
      <c r="CV49">
        <f t="shared" si="38"/>
        <v>0</v>
      </c>
      <c r="CW49">
        <f t="shared" si="39"/>
        <v>0</v>
      </c>
      <c r="CX49">
        <f t="shared" si="40"/>
        <v>0</v>
      </c>
      <c r="CY49">
        <f t="shared" si="41"/>
        <v>0</v>
      </c>
      <c r="CZ49">
        <f t="shared" si="42"/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1010</v>
      </c>
      <c r="DV49" t="s">
        <v>32</v>
      </c>
      <c r="DW49" t="s">
        <v>32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58162630</v>
      </c>
      <c r="EF49">
        <v>40</v>
      </c>
      <c r="EG49" t="s">
        <v>25</v>
      </c>
      <c r="EH49">
        <v>0</v>
      </c>
      <c r="EI49" t="s">
        <v>3</v>
      </c>
      <c r="EJ49">
        <v>2</v>
      </c>
      <c r="EK49">
        <v>68</v>
      </c>
      <c r="EL49" t="s">
        <v>26</v>
      </c>
      <c r="EM49" t="s">
        <v>27</v>
      </c>
      <c r="EO49" t="s">
        <v>3</v>
      </c>
      <c r="EQ49">
        <v>0</v>
      </c>
      <c r="ER49">
        <v>17.89</v>
      </c>
      <c r="ES49">
        <v>17.89</v>
      </c>
      <c r="ET49">
        <v>0</v>
      </c>
      <c r="EU49">
        <v>0</v>
      </c>
      <c r="EV49">
        <v>0</v>
      </c>
      <c r="EW49">
        <v>0</v>
      </c>
      <c r="EX49">
        <v>0</v>
      </c>
      <c r="EZ49">
        <v>5</v>
      </c>
      <c r="FC49">
        <v>1</v>
      </c>
      <c r="FD49">
        <v>18</v>
      </c>
      <c r="FF49">
        <v>208</v>
      </c>
      <c r="FQ49">
        <v>0</v>
      </c>
      <c r="FR49">
        <v>0</v>
      </c>
      <c r="FS49">
        <v>0</v>
      </c>
      <c r="FX49">
        <v>90</v>
      </c>
      <c r="FY49">
        <v>46</v>
      </c>
      <c r="GA49" t="s">
        <v>76</v>
      </c>
      <c r="GD49">
        <v>1</v>
      </c>
      <c r="GF49">
        <v>1151310423</v>
      </c>
      <c r="GG49">
        <v>2</v>
      </c>
      <c r="GH49">
        <v>3</v>
      </c>
      <c r="GI49">
        <v>5</v>
      </c>
      <c r="GJ49">
        <v>0</v>
      </c>
      <c r="GK49">
        <v>0</v>
      </c>
      <c r="GL49">
        <f t="shared" si="43"/>
        <v>0</v>
      </c>
      <c r="GM49">
        <f t="shared" si="44"/>
        <v>80069.2</v>
      </c>
      <c r="GN49">
        <f t="shared" si="45"/>
        <v>0</v>
      </c>
      <c r="GO49">
        <f t="shared" si="46"/>
        <v>80069.2</v>
      </c>
      <c r="GP49">
        <f t="shared" si="47"/>
        <v>0</v>
      </c>
      <c r="GR49">
        <v>1</v>
      </c>
      <c r="GS49">
        <v>1</v>
      </c>
      <c r="GT49">
        <v>0</v>
      </c>
      <c r="GU49" t="s">
        <v>3</v>
      </c>
      <c r="GV49">
        <f t="shared" si="48"/>
        <v>0</v>
      </c>
      <c r="GW49">
        <v>1</v>
      </c>
      <c r="GX49">
        <f t="shared" si="49"/>
        <v>0</v>
      </c>
      <c r="HA49">
        <v>0</v>
      </c>
      <c r="HB49">
        <v>0</v>
      </c>
      <c r="HC49">
        <f t="shared" si="50"/>
        <v>0</v>
      </c>
      <c r="HE49" t="s">
        <v>72</v>
      </c>
      <c r="HF49" t="s">
        <v>39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3">
      <c r="A50" s="2">
        <v>17</v>
      </c>
      <c r="B50" s="2">
        <v>1</v>
      </c>
      <c r="C50" s="2"/>
      <c r="D50" s="2">
        <f>ROW(EtalonRes!A23)</f>
        <v>23</v>
      </c>
      <c r="E50" s="2" t="s">
        <v>77</v>
      </c>
      <c r="F50" s="2" t="s">
        <v>57</v>
      </c>
      <c r="G50" s="2" t="s">
        <v>58</v>
      </c>
      <c r="H50" s="2" t="s">
        <v>22</v>
      </c>
      <c r="I50" s="2">
        <v>12</v>
      </c>
      <c r="J50" s="2">
        <v>0</v>
      </c>
      <c r="K50" s="2">
        <v>12</v>
      </c>
      <c r="L50" s="2"/>
      <c r="M50" s="2"/>
      <c r="N50" s="2"/>
      <c r="O50" s="2">
        <f t="shared" si="21"/>
        <v>308.94</v>
      </c>
      <c r="P50" s="2">
        <f t="shared" si="51"/>
        <v>15.12</v>
      </c>
      <c r="Q50" s="2">
        <f>(ROUND((ROUND((((ET50*1.1))*AV50*I50),2)*BB50),2)+ROUND((ROUND(((AE50-((EU50*1.1)))*AV50*I50),2)*BS50),2))</f>
        <v>0.83</v>
      </c>
      <c r="R50" s="2">
        <f t="shared" si="22"/>
        <v>0.14000000000000001</v>
      </c>
      <c r="S50" s="2">
        <f t="shared" si="23"/>
        <v>292.99</v>
      </c>
      <c r="T50" s="2">
        <f t="shared" si="24"/>
        <v>0</v>
      </c>
      <c r="U50" s="2">
        <f t="shared" si="25"/>
        <v>23.218271999999999</v>
      </c>
      <c r="V50" s="2">
        <f t="shared" si="26"/>
        <v>0</v>
      </c>
      <c r="W50" s="2">
        <f t="shared" si="27"/>
        <v>0</v>
      </c>
      <c r="X50" s="2">
        <f t="shared" si="28"/>
        <v>263.82</v>
      </c>
      <c r="Y50" s="2">
        <f t="shared" si="29"/>
        <v>134.84</v>
      </c>
      <c r="Z50" s="2"/>
      <c r="AA50" s="2">
        <v>56498966</v>
      </c>
      <c r="AB50" s="2">
        <f t="shared" si="30"/>
        <v>24.646000000000001</v>
      </c>
      <c r="AC50" s="2">
        <f t="shared" si="31"/>
        <v>1.26</v>
      </c>
      <c r="AD50" s="2">
        <f>ROUND(((((ET50*1.1))-((EU50*1.1)))+AE50),6)</f>
        <v>6.6000000000000003E-2</v>
      </c>
      <c r="AE50" s="2">
        <f>ROUND(((EU50*1.1)),6)</f>
        <v>1.0999999999999999E-2</v>
      </c>
      <c r="AF50" s="2">
        <f>ROUND(((EV50*1.1)),6)</f>
        <v>23.32</v>
      </c>
      <c r="AG50" s="2">
        <f t="shared" si="32"/>
        <v>0</v>
      </c>
      <c r="AH50" s="2">
        <f>((EW50*1.1))</f>
        <v>1.8480000000000001</v>
      </c>
      <c r="AI50" s="2">
        <f>((EX50*1.1))</f>
        <v>0</v>
      </c>
      <c r="AJ50" s="2">
        <f t="shared" si="33"/>
        <v>0</v>
      </c>
      <c r="AK50" s="2">
        <v>22.52</v>
      </c>
      <c r="AL50" s="2">
        <v>1.26</v>
      </c>
      <c r="AM50" s="2">
        <v>0.06</v>
      </c>
      <c r="AN50" s="2">
        <v>0.01</v>
      </c>
      <c r="AO50" s="2">
        <v>21.2</v>
      </c>
      <c r="AP50" s="2">
        <v>0</v>
      </c>
      <c r="AQ50" s="2">
        <v>1.68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59</v>
      </c>
      <c r="BK50" s="2"/>
      <c r="BL50" s="2"/>
      <c r="BM50" s="2">
        <v>68</v>
      </c>
      <c r="BN50" s="2">
        <v>0</v>
      </c>
      <c r="BO50" s="2" t="s">
        <v>57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4"/>
        <v>308.94</v>
      </c>
      <c r="CQ50" s="2">
        <f t="shared" si="52"/>
        <v>1.26</v>
      </c>
      <c r="CR50" s="2">
        <f>(ROUND((ROUND((((ET50*1.1))*AV50*1),2)*BB50),2)+ROUND((ROUND(((AE50-((EU50*1.1)))*AV50*1),2)*BS50),2))</f>
        <v>7.0000000000000007E-2</v>
      </c>
      <c r="CS50" s="2">
        <f t="shared" si="35"/>
        <v>0.01</v>
      </c>
      <c r="CT50" s="2">
        <f t="shared" si="36"/>
        <v>24.42</v>
      </c>
      <c r="CU50" s="2">
        <f t="shared" si="37"/>
        <v>0</v>
      </c>
      <c r="CV50" s="2">
        <f t="shared" si="38"/>
        <v>1.9348559999999999</v>
      </c>
      <c r="CW50" s="2">
        <f t="shared" si="39"/>
        <v>0</v>
      </c>
      <c r="CX50" s="2">
        <f t="shared" si="40"/>
        <v>0</v>
      </c>
      <c r="CY50" s="2">
        <f t="shared" si="41"/>
        <v>263.81700000000001</v>
      </c>
      <c r="CZ50" s="2">
        <f t="shared" si="42"/>
        <v>134.8398</v>
      </c>
      <c r="DA50" s="2"/>
      <c r="DB50" s="2"/>
      <c r="DC50" s="2" t="s">
        <v>3</v>
      </c>
      <c r="DD50" s="2" t="s">
        <v>3</v>
      </c>
      <c r="DE50" s="2" t="s">
        <v>24</v>
      </c>
      <c r="DF50" s="2" t="s">
        <v>24</v>
      </c>
      <c r="DG50" s="2" t="s">
        <v>24</v>
      </c>
      <c r="DH50" s="2" t="s">
        <v>3</v>
      </c>
      <c r="DI50" s="2" t="s">
        <v>24</v>
      </c>
      <c r="DJ50" s="2" t="s">
        <v>24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22</v>
      </c>
      <c r="DW50" s="2" t="s">
        <v>22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58162630</v>
      </c>
      <c r="EF50" s="2">
        <v>40</v>
      </c>
      <c r="EG50" s="2" t="s">
        <v>25</v>
      </c>
      <c r="EH50" s="2">
        <v>0</v>
      </c>
      <c r="EI50" s="2" t="s">
        <v>3</v>
      </c>
      <c r="EJ50" s="2">
        <v>2</v>
      </c>
      <c r="EK50" s="2">
        <v>68</v>
      </c>
      <c r="EL50" s="2" t="s">
        <v>26</v>
      </c>
      <c r="EM50" s="2" t="s">
        <v>27</v>
      </c>
      <c r="EN50" s="2"/>
      <c r="EO50" s="2" t="s">
        <v>28</v>
      </c>
      <c r="EP50" s="2"/>
      <c r="EQ50" s="2">
        <v>0</v>
      </c>
      <c r="ER50" s="2">
        <v>22.52</v>
      </c>
      <c r="ES50" s="2">
        <v>1.26</v>
      </c>
      <c r="ET50" s="2">
        <v>0.06</v>
      </c>
      <c r="EU50" s="2">
        <v>0.01</v>
      </c>
      <c r="EV50" s="2">
        <v>21.2</v>
      </c>
      <c r="EW50" s="2">
        <v>1.68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-1912799884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43"/>
        <v>0</v>
      </c>
      <c r="GM50" s="2">
        <f t="shared" si="44"/>
        <v>707.6</v>
      </c>
      <c r="GN50" s="2">
        <f t="shared" si="45"/>
        <v>0</v>
      </c>
      <c r="GO50" s="2">
        <f t="shared" si="46"/>
        <v>707.6</v>
      </c>
      <c r="GP50" s="2">
        <f t="shared" si="47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8"/>
        <v>0</v>
      </c>
      <c r="GW50" s="2">
        <v>1</v>
      </c>
      <c r="GX50" s="2">
        <f t="shared" si="49"/>
        <v>0</v>
      </c>
      <c r="GY50" s="2"/>
      <c r="GZ50" s="2"/>
      <c r="HA50" s="2">
        <v>0</v>
      </c>
      <c r="HB50" s="2">
        <v>0</v>
      </c>
      <c r="HC50" s="2">
        <f t="shared" si="50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3">
      <c r="A51">
        <v>17</v>
      </c>
      <c r="B51">
        <v>1</v>
      </c>
      <c r="D51">
        <f>ROW(EtalonRes!A24)</f>
        <v>24</v>
      </c>
      <c r="E51" t="s">
        <v>77</v>
      </c>
      <c r="F51" t="s">
        <v>57</v>
      </c>
      <c r="G51" t="s">
        <v>58</v>
      </c>
      <c r="H51" t="s">
        <v>22</v>
      </c>
      <c r="I51">
        <v>12</v>
      </c>
      <c r="J51">
        <v>0</v>
      </c>
      <c r="K51">
        <v>12</v>
      </c>
      <c r="O51">
        <f t="shared" si="21"/>
        <v>16275.59</v>
      </c>
      <c r="P51">
        <f t="shared" si="51"/>
        <v>149.54</v>
      </c>
      <c r="Q51">
        <f>(ROUND((ROUND((((ET51*1.1))*AV51*I51),2)*BB51),2)+ROUND((ROUND(((AE51-((EU51*1.1)))*AV51*I51),2)*BS51),2))</f>
        <v>14.53</v>
      </c>
      <c r="R51">
        <f t="shared" si="22"/>
        <v>7.7</v>
      </c>
      <c r="S51">
        <f t="shared" si="23"/>
        <v>16111.52</v>
      </c>
      <c r="T51">
        <f t="shared" si="24"/>
        <v>0</v>
      </c>
      <c r="U51">
        <f t="shared" si="25"/>
        <v>23.218271999999999</v>
      </c>
      <c r="V51">
        <f t="shared" si="26"/>
        <v>0</v>
      </c>
      <c r="W51">
        <f t="shared" si="27"/>
        <v>0</v>
      </c>
      <c r="X51">
        <f t="shared" si="28"/>
        <v>14507.3</v>
      </c>
      <c r="Y51">
        <f t="shared" si="29"/>
        <v>7414.84</v>
      </c>
      <c r="AA51">
        <v>56498968</v>
      </c>
      <c r="AB51">
        <f t="shared" si="30"/>
        <v>24.646000000000001</v>
      </c>
      <c r="AC51">
        <f t="shared" si="31"/>
        <v>1.26</v>
      </c>
      <c r="AD51">
        <f>ROUND(((((ET51*1.1))-((EU51*1.1)))+AE51),6)</f>
        <v>6.6000000000000003E-2</v>
      </c>
      <c r="AE51">
        <f>ROUND(((EU51*1.1)),6)</f>
        <v>1.0999999999999999E-2</v>
      </c>
      <c r="AF51">
        <f>ROUND(((EV51*1.1)),6)</f>
        <v>23.32</v>
      </c>
      <c r="AG51">
        <f t="shared" si="32"/>
        <v>0</v>
      </c>
      <c r="AH51">
        <f>((EW51*1.1))</f>
        <v>1.8480000000000001</v>
      </c>
      <c r="AI51">
        <f>((EX51*1.1))</f>
        <v>0</v>
      </c>
      <c r="AJ51">
        <f t="shared" si="33"/>
        <v>0</v>
      </c>
      <c r="AK51">
        <v>22.52</v>
      </c>
      <c r="AL51">
        <v>1.26</v>
      </c>
      <c r="AM51">
        <v>0.06</v>
      </c>
      <c r="AN51">
        <v>0.01</v>
      </c>
      <c r="AO51">
        <v>21.2</v>
      </c>
      <c r="AP51">
        <v>0</v>
      </c>
      <c r="AQ51">
        <v>1.68</v>
      </c>
      <c r="AR51">
        <v>0</v>
      </c>
      <c r="AS51">
        <v>0</v>
      </c>
      <c r="AT51">
        <v>90</v>
      </c>
      <c r="AU51">
        <v>46</v>
      </c>
      <c r="AV51">
        <v>1.0469999999999999</v>
      </c>
      <c r="AW51">
        <v>1</v>
      </c>
      <c r="AZ51">
        <v>1</v>
      </c>
      <c r="BA51">
        <v>54.99</v>
      </c>
      <c r="BB51">
        <v>17.5</v>
      </c>
      <c r="BC51">
        <v>9.89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2</v>
      </c>
      <c r="BJ51" t="s">
        <v>59</v>
      </c>
      <c r="BM51">
        <v>68</v>
      </c>
      <c r="BN51">
        <v>0</v>
      </c>
      <c r="BO51" t="s">
        <v>57</v>
      </c>
      <c r="BP51">
        <v>1</v>
      </c>
      <c r="BQ51">
        <v>40</v>
      </c>
      <c r="BR51">
        <v>0</v>
      </c>
      <c r="BS51">
        <v>54.99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90</v>
      </c>
      <c r="CA51">
        <v>46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3</v>
      </c>
      <c r="CO51">
        <v>0</v>
      </c>
      <c r="CP51">
        <f t="shared" si="34"/>
        <v>16275.59</v>
      </c>
      <c r="CQ51">
        <f t="shared" si="52"/>
        <v>12.46</v>
      </c>
      <c r="CR51">
        <f>(ROUND((ROUND((((ET51*1.1))*AV51*1),2)*BB51),2)+ROUND((ROUND(((AE51-((EU51*1.1)))*AV51*1),2)*BS51),2))</f>
        <v>1.23</v>
      </c>
      <c r="CS51">
        <f t="shared" si="35"/>
        <v>0.55000000000000004</v>
      </c>
      <c r="CT51">
        <f t="shared" si="36"/>
        <v>1342.86</v>
      </c>
      <c r="CU51">
        <f t="shared" si="37"/>
        <v>0</v>
      </c>
      <c r="CV51">
        <f t="shared" si="38"/>
        <v>1.9348559999999999</v>
      </c>
      <c r="CW51">
        <f t="shared" si="39"/>
        <v>0</v>
      </c>
      <c r="CX51">
        <f t="shared" si="40"/>
        <v>0</v>
      </c>
      <c r="CY51">
        <f t="shared" si="41"/>
        <v>14507.298000000001</v>
      </c>
      <c r="CZ51">
        <f t="shared" si="42"/>
        <v>7414.8412000000008</v>
      </c>
      <c r="DC51" t="s">
        <v>3</v>
      </c>
      <c r="DD51" t="s">
        <v>3</v>
      </c>
      <c r="DE51" t="s">
        <v>24</v>
      </c>
      <c r="DF51" t="s">
        <v>24</v>
      </c>
      <c r="DG51" t="s">
        <v>24</v>
      </c>
      <c r="DH51" t="s">
        <v>3</v>
      </c>
      <c r="DI51" t="s">
        <v>24</v>
      </c>
      <c r="DJ51" t="s">
        <v>24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1013</v>
      </c>
      <c r="DV51" t="s">
        <v>22</v>
      </c>
      <c r="DW51" t="s">
        <v>22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58162630</v>
      </c>
      <c r="EF51">
        <v>40</v>
      </c>
      <c r="EG51" t="s">
        <v>25</v>
      </c>
      <c r="EH51">
        <v>0</v>
      </c>
      <c r="EI51" t="s">
        <v>3</v>
      </c>
      <c r="EJ51">
        <v>2</v>
      </c>
      <c r="EK51">
        <v>68</v>
      </c>
      <c r="EL51" t="s">
        <v>26</v>
      </c>
      <c r="EM51" t="s">
        <v>27</v>
      </c>
      <c r="EO51" t="s">
        <v>28</v>
      </c>
      <c r="EQ51">
        <v>0</v>
      </c>
      <c r="ER51">
        <v>22.52</v>
      </c>
      <c r="ES51">
        <v>1.26</v>
      </c>
      <c r="ET51">
        <v>0.06</v>
      </c>
      <c r="EU51">
        <v>0.01</v>
      </c>
      <c r="EV51">
        <v>21.2</v>
      </c>
      <c r="EW51">
        <v>1.68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90</v>
      </c>
      <c r="FY51">
        <v>46</v>
      </c>
      <c r="GA51" t="s">
        <v>3</v>
      </c>
      <c r="GD51">
        <v>1</v>
      </c>
      <c r="GF51">
        <v>-1912799884</v>
      </c>
      <c r="GG51">
        <v>2</v>
      </c>
      <c r="GH51">
        <v>1</v>
      </c>
      <c r="GI51">
        <v>2</v>
      </c>
      <c r="GJ51">
        <v>0</v>
      </c>
      <c r="GK51">
        <v>0</v>
      </c>
      <c r="GL51">
        <f t="shared" si="43"/>
        <v>0</v>
      </c>
      <c r="GM51">
        <f t="shared" si="44"/>
        <v>38197.730000000003</v>
      </c>
      <c r="GN51">
        <f t="shared" si="45"/>
        <v>0</v>
      </c>
      <c r="GO51">
        <f t="shared" si="46"/>
        <v>38197.730000000003</v>
      </c>
      <c r="GP51">
        <f t="shared" si="47"/>
        <v>0</v>
      </c>
      <c r="GR51">
        <v>0</v>
      </c>
      <c r="GS51">
        <v>3</v>
      </c>
      <c r="GT51">
        <v>0</v>
      </c>
      <c r="GU51" t="s">
        <v>3</v>
      </c>
      <c r="GV51">
        <f t="shared" si="48"/>
        <v>0</v>
      </c>
      <c r="GW51">
        <v>1</v>
      </c>
      <c r="GX51">
        <f t="shared" si="49"/>
        <v>0</v>
      </c>
      <c r="HA51">
        <v>0</v>
      </c>
      <c r="HB51">
        <v>0</v>
      </c>
      <c r="HC51">
        <f t="shared" si="50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3">
      <c r="A52" s="2">
        <v>18</v>
      </c>
      <c r="B52" s="2">
        <v>1</v>
      </c>
      <c r="C52" s="2"/>
      <c r="D52" s="2"/>
      <c r="E52" s="2" t="s">
        <v>78</v>
      </c>
      <c r="F52" s="2" t="s">
        <v>79</v>
      </c>
      <c r="G52" s="2" t="s">
        <v>80</v>
      </c>
      <c r="H52" s="2" t="s">
        <v>32</v>
      </c>
      <c r="I52" s="2">
        <f>I50*J52</f>
        <v>12</v>
      </c>
      <c r="J52" s="2">
        <v>1</v>
      </c>
      <c r="K52" s="2">
        <v>1</v>
      </c>
      <c r="L52" s="2"/>
      <c r="M52" s="2"/>
      <c r="N52" s="2"/>
      <c r="O52" s="2">
        <f t="shared" si="21"/>
        <v>29757.599999999999</v>
      </c>
      <c r="P52" s="2">
        <f>ROUND((ROUND((AC52*I52),2)*BC52),2)</f>
        <v>29757.599999999999</v>
      </c>
      <c r="Q52" s="2">
        <f>(ROUND((ROUND(((ET52)*AV52*I52),2)*BB52),2)+ROUND((ROUND(((AE52-(EU52))*AV52*I52),2)*BS52),2))</f>
        <v>0</v>
      </c>
      <c r="R52" s="2">
        <f t="shared" si="22"/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 t="shared" si="28"/>
        <v>0</v>
      </c>
      <c r="Y52" s="2">
        <f t="shared" si="29"/>
        <v>0</v>
      </c>
      <c r="Z52" s="2"/>
      <c r="AA52" s="2">
        <v>56498966</v>
      </c>
      <c r="AB52" s="2">
        <f t="shared" si="30"/>
        <v>2479.8000000000002</v>
      </c>
      <c r="AC52" s="2">
        <f t="shared" si="31"/>
        <v>2479.8000000000002</v>
      </c>
      <c r="AD52" s="2">
        <f>ROUND((((ET52)-(EU52))+AE52),6)</f>
        <v>0</v>
      </c>
      <c r="AE52" s="2">
        <f>ROUND((EU52),6)</f>
        <v>0</v>
      </c>
      <c r="AF52" s="2">
        <f>ROUND((EV52),6)</f>
        <v>0</v>
      </c>
      <c r="AG52" s="2">
        <f t="shared" si="32"/>
        <v>0</v>
      </c>
      <c r="AH52" s="2">
        <f>(EW52)</f>
        <v>0</v>
      </c>
      <c r="AI52" s="2">
        <f>(EX52)</f>
        <v>0</v>
      </c>
      <c r="AJ52" s="2">
        <f t="shared" si="33"/>
        <v>0</v>
      </c>
      <c r="AK52" s="2">
        <v>2479.8000000000002</v>
      </c>
      <c r="AL52" s="2">
        <v>2479.8000000000002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90</v>
      </c>
      <c r="CA52" s="2">
        <v>46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4"/>
        <v>29757.599999999999</v>
      </c>
      <c r="CQ52" s="2">
        <f>ROUND((ROUND((AC52*1),2)*BC52),2)</f>
        <v>2479.8000000000002</v>
      </c>
      <c r="CR52" s="2">
        <f>(ROUND((ROUND(((ET52)*AV52*1),2)*BB52),2)+ROUND((ROUND(((AE52-(EU52))*AV52*1),2)*BS52),2))</f>
        <v>0</v>
      </c>
      <c r="CS52" s="2">
        <f t="shared" si="35"/>
        <v>0</v>
      </c>
      <c r="CT52" s="2">
        <f t="shared" si="36"/>
        <v>0</v>
      </c>
      <c r="CU52" s="2">
        <f t="shared" si="37"/>
        <v>0</v>
      </c>
      <c r="CV52" s="2">
        <f t="shared" si="38"/>
        <v>0</v>
      </c>
      <c r="CW52" s="2">
        <f t="shared" si="39"/>
        <v>0</v>
      </c>
      <c r="CX52" s="2">
        <f t="shared" si="40"/>
        <v>0</v>
      </c>
      <c r="CY52" s="2">
        <f t="shared" si="41"/>
        <v>0</v>
      </c>
      <c r="CZ52" s="2">
        <f t="shared" si="42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32</v>
      </c>
      <c r="DW52" s="2" t="s">
        <v>32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58162750</v>
      </c>
      <c r="EF52" s="2">
        <v>130</v>
      </c>
      <c r="EG52" s="2" t="s">
        <v>33</v>
      </c>
      <c r="EH52" s="2">
        <v>0</v>
      </c>
      <c r="EI52" s="2" t="s">
        <v>3</v>
      </c>
      <c r="EJ52" s="2">
        <v>3</v>
      </c>
      <c r="EK52" s="2">
        <v>746</v>
      </c>
      <c r="EL52" s="2" t="s">
        <v>34</v>
      </c>
      <c r="EM52" s="2" t="s">
        <v>35</v>
      </c>
      <c r="EN52" s="2"/>
      <c r="EO52" s="2" t="s">
        <v>3</v>
      </c>
      <c r="EP52" s="2"/>
      <c r="EQ52" s="2">
        <v>0</v>
      </c>
      <c r="ER52" s="2">
        <v>0</v>
      </c>
      <c r="ES52" s="2">
        <v>2479.8000000000002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>P52</f>
        <v>29757.599999999999</v>
      </c>
      <c r="FS52" s="2">
        <v>0</v>
      </c>
      <c r="FT52" s="2"/>
      <c r="FU52" s="2"/>
      <c r="FV52" s="2"/>
      <c r="FW52" s="2"/>
      <c r="FX52" s="2">
        <v>90</v>
      </c>
      <c r="FY52" s="2">
        <v>46</v>
      </c>
      <c r="FZ52" s="2"/>
      <c r="GA52" s="2" t="s">
        <v>81</v>
      </c>
      <c r="GB52" s="2"/>
      <c r="GC52" s="2"/>
      <c r="GD52" s="2">
        <v>1</v>
      </c>
      <c r="GE52" s="2"/>
      <c r="GF52" s="2">
        <v>-759074686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43"/>
        <v>0</v>
      </c>
      <c r="GM52" s="2">
        <f t="shared" si="44"/>
        <v>29757.599999999999</v>
      </c>
      <c r="GN52" s="2">
        <f t="shared" si="45"/>
        <v>0</v>
      </c>
      <c r="GO52" s="2">
        <f t="shared" si="46"/>
        <v>0</v>
      </c>
      <c r="GP52" s="2">
        <f t="shared" si="47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8"/>
        <v>0</v>
      </c>
      <c r="GW52" s="2">
        <v>1</v>
      </c>
      <c r="GX52" s="2">
        <f t="shared" si="49"/>
        <v>0</v>
      </c>
      <c r="GY52" s="2"/>
      <c r="GZ52" s="2"/>
      <c r="HA52" s="2">
        <v>0</v>
      </c>
      <c r="HB52" s="2">
        <v>0</v>
      </c>
      <c r="HC52" s="2">
        <f t="shared" si="50"/>
        <v>0</v>
      </c>
      <c r="HD52" s="2"/>
      <c r="HE52" s="2" t="s">
        <v>37</v>
      </c>
      <c r="HF52" s="2" t="s">
        <v>38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3">
      <c r="A53">
        <v>18</v>
      </c>
      <c r="B53">
        <v>1</v>
      </c>
      <c r="E53" t="s">
        <v>78</v>
      </c>
      <c r="F53" t="s">
        <v>79</v>
      </c>
      <c r="G53" t="s">
        <v>80</v>
      </c>
      <c r="H53" t="s">
        <v>32</v>
      </c>
      <c r="I53">
        <f>I51*J53</f>
        <v>12</v>
      </c>
      <c r="J53">
        <v>1</v>
      </c>
      <c r="K53">
        <v>1</v>
      </c>
      <c r="O53">
        <f t="shared" si="21"/>
        <v>227943.22</v>
      </c>
      <c r="P53">
        <f>ROUND((ROUND((AC53*I53),2)*BC53),2)</f>
        <v>227943.22</v>
      </c>
      <c r="Q53">
        <f>(ROUND((ROUND(((ET53)*AV53*I53),2)*BB53),2)+ROUND((ROUND(((AE53-(EU53))*AV53*I53),2)*BS53),2))</f>
        <v>0</v>
      </c>
      <c r="R53">
        <f t="shared" si="22"/>
        <v>0</v>
      </c>
      <c r="S53">
        <f t="shared" si="23"/>
        <v>0</v>
      </c>
      <c r="T53">
        <f t="shared" si="24"/>
        <v>0</v>
      </c>
      <c r="U53">
        <f t="shared" si="25"/>
        <v>0</v>
      </c>
      <c r="V53">
        <f t="shared" si="26"/>
        <v>0</v>
      </c>
      <c r="W53">
        <f t="shared" si="27"/>
        <v>0</v>
      </c>
      <c r="X53">
        <f t="shared" si="28"/>
        <v>0</v>
      </c>
      <c r="Y53">
        <f t="shared" si="29"/>
        <v>0</v>
      </c>
      <c r="AA53">
        <v>56498968</v>
      </c>
      <c r="AB53">
        <f t="shared" si="30"/>
        <v>2479.8000000000002</v>
      </c>
      <c r="AC53">
        <f t="shared" si="31"/>
        <v>2479.8000000000002</v>
      </c>
      <c r="AD53">
        <f>ROUND((((ET53)-(EU53))+AE53),6)</f>
        <v>0</v>
      </c>
      <c r="AE53">
        <f>ROUND((EU53),6)</f>
        <v>0</v>
      </c>
      <c r="AF53">
        <f>ROUND((EV53),6)</f>
        <v>0</v>
      </c>
      <c r="AG53">
        <f t="shared" si="32"/>
        <v>0</v>
      </c>
      <c r="AH53">
        <f>(EW53)</f>
        <v>0</v>
      </c>
      <c r="AI53">
        <f>(EX53)</f>
        <v>0</v>
      </c>
      <c r="AJ53">
        <f t="shared" si="33"/>
        <v>0</v>
      </c>
      <c r="AK53">
        <v>2479.8000000000002</v>
      </c>
      <c r="AL53">
        <v>2479.8000000000002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7.66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3</v>
      </c>
      <c r="BJ53" t="s">
        <v>3</v>
      </c>
      <c r="BM53">
        <v>746</v>
      </c>
      <c r="BN53">
        <v>0</v>
      </c>
      <c r="BO53" t="s">
        <v>3</v>
      </c>
      <c r="BP53">
        <v>0</v>
      </c>
      <c r="BQ53">
        <v>130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90</v>
      </c>
      <c r="CA53">
        <v>46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3</v>
      </c>
      <c r="CO53">
        <v>0</v>
      </c>
      <c r="CP53">
        <f t="shared" si="34"/>
        <v>227943.22</v>
      </c>
      <c r="CQ53">
        <f>ROUND((ROUND((AC53*1),2)*BC53),2)</f>
        <v>18995.27</v>
      </c>
      <c r="CR53">
        <f>(ROUND((ROUND(((ET53)*AV53*1),2)*BB53),2)+ROUND((ROUND(((AE53-(EU53))*AV53*1),2)*BS53),2))</f>
        <v>0</v>
      </c>
      <c r="CS53">
        <f t="shared" si="35"/>
        <v>0</v>
      </c>
      <c r="CT53">
        <f t="shared" si="36"/>
        <v>0</v>
      </c>
      <c r="CU53">
        <f t="shared" si="37"/>
        <v>0</v>
      </c>
      <c r="CV53">
        <f t="shared" si="38"/>
        <v>0</v>
      </c>
      <c r="CW53">
        <f t="shared" si="39"/>
        <v>0</v>
      </c>
      <c r="CX53">
        <f t="shared" si="40"/>
        <v>0</v>
      </c>
      <c r="CY53">
        <f t="shared" si="41"/>
        <v>0</v>
      </c>
      <c r="CZ53">
        <f t="shared" si="42"/>
        <v>0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1010</v>
      </c>
      <c r="DV53" t="s">
        <v>32</v>
      </c>
      <c r="DW53" t="s">
        <v>32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58162750</v>
      </c>
      <c r="EF53">
        <v>130</v>
      </c>
      <c r="EG53" t="s">
        <v>33</v>
      </c>
      <c r="EH53">
        <v>0</v>
      </c>
      <c r="EI53" t="s">
        <v>3</v>
      </c>
      <c r="EJ53">
        <v>3</v>
      </c>
      <c r="EK53">
        <v>746</v>
      </c>
      <c r="EL53" t="s">
        <v>34</v>
      </c>
      <c r="EM53" t="s">
        <v>35</v>
      </c>
      <c r="EO53" t="s">
        <v>3</v>
      </c>
      <c r="EQ53">
        <v>0</v>
      </c>
      <c r="ER53">
        <v>2479.8000000000002</v>
      </c>
      <c r="ES53">
        <v>2479.8000000000002</v>
      </c>
      <c r="ET53">
        <v>0</v>
      </c>
      <c r="EU53">
        <v>0</v>
      </c>
      <c r="EV53">
        <v>0</v>
      </c>
      <c r="EW53">
        <v>0</v>
      </c>
      <c r="EX53">
        <v>0</v>
      </c>
      <c r="EZ53">
        <v>5</v>
      </c>
      <c r="FC53">
        <v>1</v>
      </c>
      <c r="FD53">
        <v>18</v>
      </c>
      <c r="FF53">
        <v>21868</v>
      </c>
      <c r="FQ53">
        <v>0</v>
      </c>
      <c r="FR53">
        <f>P53</f>
        <v>227943.22</v>
      </c>
      <c r="FS53">
        <v>0</v>
      </c>
      <c r="FX53">
        <v>90</v>
      </c>
      <c r="FY53">
        <v>46</v>
      </c>
      <c r="GA53" t="s">
        <v>81</v>
      </c>
      <c r="GD53">
        <v>1</v>
      </c>
      <c r="GF53">
        <v>-759074686</v>
      </c>
      <c r="GG53">
        <v>2</v>
      </c>
      <c r="GH53">
        <v>3</v>
      </c>
      <c r="GI53">
        <v>5</v>
      </c>
      <c r="GJ53">
        <v>0</v>
      </c>
      <c r="GK53">
        <v>0</v>
      </c>
      <c r="GL53">
        <f t="shared" si="43"/>
        <v>0</v>
      </c>
      <c r="GM53">
        <f t="shared" si="44"/>
        <v>227943.22</v>
      </c>
      <c r="GN53">
        <f t="shared" si="45"/>
        <v>0</v>
      </c>
      <c r="GO53">
        <f t="shared" si="46"/>
        <v>0</v>
      </c>
      <c r="GP53">
        <f t="shared" si="47"/>
        <v>0</v>
      </c>
      <c r="GR53">
        <v>1</v>
      </c>
      <c r="GS53">
        <v>1</v>
      </c>
      <c r="GT53">
        <v>0</v>
      </c>
      <c r="GU53" t="s">
        <v>3</v>
      </c>
      <c r="GV53">
        <f t="shared" si="48"/>
        <v>0</v>
      </c>
      <c r="GW53">
        <v>1</v>
      </c>
      <c r="GX53">
        <f t="shared" si="49"/>
        <v>0</v>
      </c>
      <c r="HA53">
        <v>0</v>
      </c>
      <c r="HB53">
        <v>0</v>
      </c>
      <c r="HC53">
        <f t="shared" si="50"/>
        <v>0</v>
      </c>
      <c r="HE53" t="s">
        <v>37</v>
      </c>
      <c r="HF53" t="s">
        <v>38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3">
      <c r="A54" s="2">
        <v>17</v>
      </c>
      <c r="B54" s="2">
        <v>1</v>
      </c>
      <c r="C54" s="2"/>
      <c r="D54" s="2">
        <f>ROW(EtalonRes!A28)</f>
        <v>28</v>
      </c>
      <c r="E54" s="2" t="s">
        <v>82</v>
      </c>
      <c r="F54" s="2" t="s">
        <v>83</v>
      </c>
      <c r="G54" s="2" t="s">
        <v>84</v>
      </c>
      <c r="H54" s="2" t="s">
        <v>22</v>
      </c>
      <c r="I54" s="2">
        <v>24</v>
      </c>
      <c r="J54" s="2">
        <v>0</v>
      </c>
      <c r="K54" s="2">
        <v>24</v>
      </c>
      <c r="L54" s="2"/>
      <c r="M54" s="2"/>
      <c r="N54" s="2"/>
      <c r="O54" s="2">
        <f t="shared" si="21"/>
        <v>368.73</v>
      </c>
      <c r="P54" s="2">
        <f>ROUND((ROUND((AC54*AW54*I54),2)*BC54),2)</f>
        <v>40.08</v>
      </c>
      <c r="Q54" s="2">
        <f>(ROUND((ROUND((((ET54*1.1))*AV54*I54),2)*BB54),2)+ROUND((ROUND(((AE54-((EU54*1.1)))*AV54*I54),2)*BS54),2))</f>
        <v>0</v>
      </c>
      <c r="R54" s="2">
        <f t="shared" si="22"/>
        <v>0</v>
      </c>
      <c r="S54" s="2">
        <f t="shared" si="23"/>
        <v>328.65</v>
      </c>
      <c r="T54" s="2">
        <f t="shared" si="24"/>
        <v>0</v>
      </c>
      <c r="U54" s="2">
        <f t="shared" si="25"/>
        <v>27.640799999999999</v>
      </c>
      <c r="V54" s="2">
        <f t="shared" si="26"/>
        <v>0</v>
      </c>
      <c r="W54" s="2">
        <f t="shared" si="27"/>
        <v>0</v>
      </c>
      <c r="X54" s="2">
        <f t="shared" si="28"/>
        <v>312.22000000000003</v>
      </c>
      <c r="Y54" s="2">
        <f t="shared" si="29"/>
        <v>174.18</v>
      </c>
      <c r="Z54" s="2"/>
      <c r="AA54" s="2">
        <v>56498966</v>
      </c>
      <c r="AB54" s="2">
        <f t="shared" si="30"/>
        <v>14.749000000000001</v>
      </c>
      <c r="AC54" s="2">
        <f t="shared" si="31"/>
        <v>1.67</v>
      </c>
      <c r="AD54" s="2">
        <f>ROUND(((((ET54*1.1))-((EU54*1.1)))+AE54),6)</f>
        <v>0</v>
      </c>
      <c r="AE54" s="2">
        <f>ROUND(((EU54*1.1)),6)</f>
        <v>0</v>
      </c>
      <c r="AF54" s="2">
        <f>ROUND(((EV54*1.1)),6)</f>
        <v>13.079000000000001</v>
      </c>
      <c r="AG54" s="2">
        <f t="shared" si="32"/>
        <v>0</v>
      </c>
      <c r="AH54" s="2">
        <f>((EW54*1.1))</f>
        <v>1.1000000000000001</v>
      </c>
      <c r="AI54" s="2">
        <f>((EX54*1.1))</f>
        <v>0</v>
      </c>
      <c r="AJ54" s="2">
        <f t="shared" si="33"/>
        <v>0</v>
      </c>
      <c r="AK54" s="2">
        <v>13.56</v>
      </c>
      <c r="AL54" s="2">
        <v>1.67</v>
      </c>
      <c r="AM54" s="2">
        <v>0</v>
      </c>
      <c r="AN54" s="2">
        <v>0</v>
      </c>
      <c r="AO54" s="2">
        <v>11.89</v>
      </c>
      <c r="AP54" s="2">
        <v>0</v>
      </c>
      <c r="AQ54" s="2">
        <v>1</v>
      </c>
      <c r="AR54" s="2">
        <v>0</v>
      </c>
      <c r="AS54" s="2">
        <v>0</v>
      </c>
      <c r="AT54" s="2">
        <v>95</v>
      </c>
      <c r="AU54" s="2">
        <v>53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85</v>
      </c>
      <c r="BK54" s="2"/>
      <c r="BL54" s="2"/>
      <c r="BM54" s="2">
        <v>69</v>
      </c>
      <c r="BN54" s="2">
        <v>0</v>
      </c>
      <c r="BO54" s="2" t="s">
        <v>83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95</v>
      </c>
      <c r="CA54" s="2">
        <v>53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4"/>
        <v>368.72999999999996</v>
      </c>
      <c r="CQ54" s="2">
        <f>ROUND((ROUND((AC54*AW54*1),2)*BC54),2)</f>
        <v>1.67</v>
      </c>
      <c r="CR54" s="2">
        <f>(ROUND((ROUND((((ET54*1.1))*AV54*1),2)*BB54),2)+ROUND((ROUND(((AE54-((EU54*1.1)))*AV54*1),2)*BS54),2))</f>
        <v>0</v>
      </c>
      <c r="CS54" s="2">
        <f t="shared" si="35"/>
        <v>0</v>
      </c>
      <c r="CT54" s="2">
        <f t="shared" si="36"/>
        <v>13.69</v>
      </c>
      <c r="CU54" s="2">
        <f t="shared" si="37"/>
        <v>0</v>
      </c>
      <c r="CV54" s="2">
        <f t="shared" si="38"/>
        <v>1.1516999999999999</v>
      </c>
      <c r="CW54" s="2">
        <f t="shared" si="39"/>
        <v>0</v>
      </c>
      <c r="CX54" s="2">
        <f t="shared" si="40"/>
        <v>0</v>
      </c>
      <c r="CY54" s="2">
        <f t="shared" si="41"/>
        <v>312.21749999999997</v>
      </c>
      <c r="CZ54" s="2">
        <f t="shared" si="42"/>
        <v>174.18449999999996</v>
      </c>
      <c r="DA54" s="2"/>
      <c r="DB54" s="2"/>
      <c r="DC54" s="2" t="s">
        <v>3</v>
      </c>
      <c r="DD54" s="2" t="s">
        <v>3</v>
      </c>
      <c r="DE54" s="2" t="s">
        <v>24</v>
      </c>
      <c r="DF54" s="2" t="s">
        <v>24</v>
      </c>
      <c r="DG54" s="2" t="s">
        <v>24</v>
      </c>
      <c r="DH54" s="2" t="s">
        <v>3</v>
      </c>
      <c r="DI54" s="2" t="s">
        <v>24</v>
      </c>
      <c r="DJ54" s="2" t="s">
        <v>24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22</v>
      </c>
      <c r="DW54" s="2" t="s">
        <v>22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58162631</v>
      </c>
      <c r="EF54" s="2">
        <v>40</v>
      </c>
      <c r="EG54" s="2" t="s">
        <v>25</v>
      </c>
      <c r="EH54" s="2">
        <v>0</v>
      </c>
      <c r="EI54" s="2" t="s">
        <v>3</v>
      </c>
      <c r="EJ54" s="2">
        <v>2</v>
      </c>
      <c r="EK54" s="2">
        <v>69</v>
      </c>
      <c r="EL54" s="2" t="s">
        <v>86</v>
      </c>
      <c r="EM54" s="2" t="s">
        <v>87</v>
      </c>
      <c r="EN54" s="2"/>
      <c r="EO54" s="2" t="s">
        <v>28</v>
      </c>
      <c r="EP54" s="2"/>
      <c r="EQ54" s="2">
        <v>0</v>
      </c>
      <c r="ER54" s="2">
        <v>13.56</v>
      </c>
      <c r="ES54" s="2">
        <v>1.67</v>
      </c>
      <c r="ET54" s="2">
        <v>0</v>
      </c>
      <c r="EU54" s="2">
        <v>0</v>
      </c>
      <c r="EV54" s="2">
        <v>11.89</v>
      </c>
      <c r="EW54" s="2">
        <v>1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95</v>
      </c>
      <c r="FY54" s="2">
        <v>53</v>
      </c>
      <c r="FZ54" s="2"/>
      <c r="GA54" s="2" t="s">
        <v>3</v>
      </c>
      <c r="GB54" s="2"/>
      <c r="GC54" s="2"/>
      <c r="GD54" s="2">
        <v>1</v>
      </c>
      <c r="GE54" s="2"/>
      <c r="GF54" s="2">
        <v>-508473279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43"/>
        <v>0</v>
      </c>
      <c r="GM54" s="2">
        <f t="shared" si="44"/>
        <v>855.13</v>
      </c>
      <c r="GN54" s="2">
        <f t="shared" si="45"/>
        <v>0</v>
      </c>
      <c r="GO54" s="2">
        <f t="shared" si="46"/>
        <v>855.13</v>
      </c>
      <c r="GP54" s="2">
        <f t="shared" si="47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8"/>
        <v>0</v>
      </c>
      <c r="GW54" s="2">
        <v>1</v>
      </c>
      <c r="GX54" s="2">
        <f t="shared" si="49"/>
        <v>0</v>
      </c>
      <c r="GY54" s="2"/>
      <c r="GZ54" s="2"/>
      <c r="HA54" s="2">
        <v>0</v>
      </c>
      <c r="HB54" s="2">
        <v>0</v>
      </c>
      <c r="HC54" s="2">
        <f t="shared" si="50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3">
      <c r="A55">
        <v>17</v>
      </c>
      <c r="B55">
        <v>1</v>
      </c>
      <c r="D55">
        <f>ROW(EtalonRes!A32)</f>
        <v>32</v>
      </c>
      <c r="E55" t="s">
        <v>82</v>
      </c>
      <c r="F55" t="s">
        <v>83</v>
      </c>
      <c r="G55" t="s">
        <v>84</v>
      </c>
      <c r="H55" t="s">
        <v>22</v>
      </c>
      <c r="I55">
        <v>24</v>
      </c>
      <c r="J55">
        <v>0</v>
      </c>
      <c r="K55">
        <v>24</v>
      </c>
      <c r="O55">
        <f t="shared" si="21"/>
        <v>18818.349999999999</v>
      </c>
      <c r="P55">
        <f>ROUND((ROUND((AC55*AW55*I55),2)*BC55),2)</f>
        <v>745.89</v>
      </c>
      <c r="Q55">
        <f>(ROUND((ROUND((((ET55*1.1))*AV55*I55),2)*BB55),2)+ROUND((ROUND(((AE55-((EU55*1.1)))*AV55*I55),2)*BS55),2))</f>
        <v>0</v>
      </c>
      <c r="R55">
        <f t="shared" si="22"/>
        <v>0</v>
      </c>
      <c r="S55">
        <f t="shared" si="23"/>
        <v>18072.46</v>
      </c>
      <c r="T55">
        <f t="shared" si="24"/>
        <v>0</v>
      </c>
      <c r="U55">
        <f t="shared" si="25"/>
        <v>27.640799999999999</v>
      </c>
      <c r="V55">
        <f t="shared" si="26"/>
        <v>0</v>
      </c>
      <c r="W55">
        <f t="shared" si="27"/>
        <v>0</v>
      </c>
      <c r="X55">
        <f t="shared" si="28"/>
        <v>17168.84</v>
      </c>
      <c r="Y55">
        <f t="shared" si="29"/>
        <v>9578.4</v>
      </c>
      <c r="AA55">
        <v>56498968</v>
      </c>
      <c r="AB55">
        <f t="shared" si="30"/>
        <v>14.749000000000001</v>
      </c>
      <c r="AC55">
        <f t="shared" si="31"/>
        <v>1.67</v>
      </c>
      <c r="AD55">
        <f>ROUND(((((ET55*1.1))-((EU55*1.1)))+AE55),6)</f>
        <v>0</v>
      </c>
      <c r="AE55">
        <f>ROUND(((EU55*1.1)),6)</f>
        <v>0</v>
      </c>
      <c r="AF55">
        <f>ROUND(((EV55*1.1)),6)</f>
        <v>13.079000000000001</v>
      </c>
      <c r="AG55">
        <f t="shared" si="32"/>
        <v>0</v>
      </c>
      <c r="AH55">
        <f>((EW55*1.1))</f>
        <v>1.1000000000000001</v>
      </c>
      <c r="AI55">
        <f>((EX55*1.1))</f>
        <v>0</v>
      </c>
      <c r="AJ55">
        <f t="shared" si="33"/>
        <v>0</v>
      </c>
      <c r="AK55">
        <v>13.56</v>
      </c>
      <c r="AL55">
        <v>1.67</v>
      </c>
      <c r="AM55">
        <v>0</v>
      </c>
      <c r="AN55">
        <v>0</v>
      </c>
      <c r="AO55">
        <v>11.89</v>
      </c>
      <c r="AP55">
        <v>0</v>
      </c>
      <c r="AQ55">
        <v>1</v>
      </c>
      <c r="AR55">
        <v>0</v>
      </c>
      <c r="AS55">
        <v>0</v>
      </c>
      <c r="AT55">
        <v>95</v>
      </c>
      <c r="AU55">
        <v>53</v>
      </c>
      <c r="AV55">
        <v>1.0469999999999999</v>
      </c>
      <c r="AW55">
        <v>1</v>
      </c>
      <c r="AZ55">
        <v>1</v>
      </c>
      <c r="BA55">
        <v>54.99</v>
      </c>
      <c r="BB55">
        <v>1</v>
      </c>
      <c r="BC55">
        <v>18.61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2</v>
      </c>
      <c r="BJ55" t="s">
        <v>85</v>
      </c>
      <c r="BM55">
        <v>69</v>
      </c>
      <c r="BN55">
        <v>0</v>
      </c>
      <c r="BO55" t="s">
        <v>83</v>
      </c>
      <c r="BP55">
        <v>1</v>
      </c>
      <c r="BQ55">
        <v>40</v>
      </c>
      <c r="BR55">
        <v>0</v>
      </c>
      <c r="BS55">
        <v>54.99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95</v>
      </c>
      <c r="CA55">
        <v>53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3</v>
      </c>
      <c r="CO55">
        <v>0</v>
      </c>
      <c r="CP55">
        <f t="shared" si="34"/>
        <v>18818.349999999999</v>
      </c>
      <c r="CQ55">
        <f>ROUND((ROUND((AC55*AW55*1),2)*BC55),2)</f>
        <v>31.08</v>
      </c>
      <c r="CR55">
        <f>(ROUND((ROUND((((ET55*1.1))*AV55*1),2)*BB55),2)+ROUND((ROUND(((AE55-((EU55*1.1)))*AV55*1),2)*BS55),2))</f>
        <v>0</v>
      </c>
      <c r="CS55">
        <f t="shared" si="35"/>
        <v>0</v>
      </c>
      <c r="CT55">
        <f t="shared" si="36"/>
        <v>752.81</v>
      </c>
      <c r="CU55">
        <f t="shared" si="37"/>
        <v>0</v>
      </c>
      <c r="CV55">
        <f t="shared" si="38"/>
        <v>1.1516999999999999</v>
      </c>
      <c r="CW55">
        <f t="shared" si="39"/>
        <v>0</v>
      </c>
      <c r="CX55">
        <f t="shared" si="40"/>
        <v>0</v>
      </c>
      <c r="CY55">
        <f t="shared" si="41"/>
        <v>17168.837</v>
      </c>
      <c r="CZ55">
        <f t="shared" si="42"/>
        <v>9578.4038</v>
      </c>
      <c r="DC55" t="s">
        <v>3</v>
      </c>
      <c r="DD55" t="s">
        <v>3</v>
      </c>
      <c r="DE55" t="s">
        <v>24</v>
      </c>
      <c r="DF55" t="s">
        <v>24</v>
      </c>
      <c r="DG55" t="s">
        <v>24</v>
      </c>
      <c r="DH55" t="s">
        <v>3</v>
      </c>
      <c r="DI55" t="s">
        <v>24</v>
      </c>
      <c r="DJ55" t="s">
        <v>24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1013</v>
      </c>
      <c r="DV55" t="s">
        <v>22</v>
      </c>
      <c r="DW55" t="s">
        <v>22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58162631</v>
      </c>
      <c r="EF55">
        <v>40</v>
      </c>
      <c r="EG55" t="s">
        <v>25</v>
      </c>
      <c r="EH55">
        <v>0</v>
      </c>
      <c r="EI55" t="s">
        <v>3</v>
      </c>
      <c r="EJ55">
        <v>2</v>
      </c>
      <c r="EK55">
        <v>69</v>
      </c>
      <c r="EL55" t="s">
        <v>86</v>
      </c>
      <c r="EM55" t="s">
        <v>87</v>
      </c>
      <c r="EO55" t="s">
        <v>28</v>
      </c>
      <c r="EQ55">
        <v>0</v>
      </c>
      <c r="ER55">
        <v>13.56</v>
      </c>
      <c r="ES55">
        <v>1.67</v>
      </c>
      <c r="ET55">
        <v>0</v>
      </c>
      <c r="EU55">
        <v>0</v>
      </c>
      <c r="EV55">
        <v>11.89</v>
      </c>
      <c r="EW55">
        <v>1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95</v>
      </c>
      <c r="FY55">
        <v>53</v>
      </c>
      <c r="GA55" t="s">
        <v>3</v>
      </c>
      <c r="GD55">
        <v>1</v>
      </c>
      <c r="GF55">
        <v>-508473279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43"/>
        <v>0</v>
      </c>
      <c r="GM55">
        <f t="shared" si="44"/>
        <v>45565.59</v>
      </c>
      <c r="GN55">
        <f t="shared" si="45"/>
        <v>0</v>
      </c>
      <c r="GO55">
        <f t="shared" si="46"/>
        <v>45565.59</v>
      </c>
      <c r="GP55">
        <f t="shared" si="47"/>
        <v>0</v>
      </c>
      <c r="GR55">
        <v>0</v>
      </c>
      <c r="GS55">
        <v>3</v>
      </c>
      <c r="GT55">
        <v>0</v>
      </c>
      <c r="GU55" t="s">
        <v>3</v>
      </c>
      <c r="GV55">
        <f t="shared" si="48"/>
        <v>0</v>
      </c>
      <c r="GW55">
        <v>1</v>
      </c>
      <c r="GX55">
        <f t="shared" si="49"/>
        <v>0</v>
      </c>
      <c r="HA55">
        <v>0</v>
      </c>
      <c r="HB55">
        <v>0</v>
      </c>
      <c r="HC55">
        <f t="shared" si="50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3">
      <c r="A56" s="2">
        <v>18</v>
      </c>
      <c r="B56" s="2">
        <v>1</v>
      </c>
      <c r="C56" s="2"/>
      <c r="D56" s="2"/>
      <c r="E56" s="2" t="s">
        <v>88</v>
      </c>
      <c r="F56" s="2" t="s">
        <v>89</v>
      </c>
      <c r="G56" s="2" t="s">
        <v>90</v>
      </c>
      <c r="H56" s="2" t="s">
        <v>32</v>
      </c>
      <c r="I56" s="2">
        <f>I54*J56</f>
        <v>24</v>
      </c>
      <c r="J56" s="2">
        <v>1</v>
      </c>
      <c r="K56" s="2">
        <v>1</v>
      </c>
      <c r="L56" s="2"/>
      <c r="M56" s="2"/>
      <c r="N56" s="2"/>
      <c r="O56" s="2">
        <f t="shared" si="21"/>
        <v>3383.04</v>
      </c>
      <c r="P56" s="2">
        <f>ROUND((ROUND((AC56*I56),2)*BC56),2)</f>
        <v>3383.04</v>
      </c>
      <c r="Q56" s="2">
        <f>(ROUND((ROUND(((ET56)*AV56*I56),2)*BB56),2)+ROUND((ROUND(((AE56-(EU56))*AV56*I56),2)*BS56),2))</f>
        <v>0</v>
      </c>
      <c r="R56" s="2">
        <f t="shared" si="22"/>
        <v>0</v>
      </c>
      <c r="S56" s="2">
        <f t="shared" si="23"/>
        <v>0</v>
      </c>
      <c r="T56" s="2">
        <f t="shared" si="24"/>
        <v>0</v>
      </c>
      <c r="U56" s="2">
        <f t="shared" si="25"/>
        <v>0</v>
      </c>
      <c r="V56" s="2">
        <f t="shared" si="26"/>
        <v>0</v>
      </c>
      <c r="W56" s="2">
        <f t="shared" si="27"/>
        <v>0</v>
      </c>
      <c r="X56" s="2">
        <f t="shared" si="28"/>
        <v>0</v>
      </c>
      <c r="Y56" s="2">
        <f t="shared" si="29"/>
        <v>0</v>
      </c>
      <c r="Z56" s="2"/>
      <c r="AA56" s="2">
        <v>56498966</v>
      </c>
      <c r="AB56" s="2">
        <f t="shared" si="30"/>
        <v>140.96</v>
      </c>
      <c r="AC56" s="2">
        <f t="shared" si="31"/>
        <v>140.96</v>
      </c>
      <c r="AD56" s="2">
        <f>ROUND((((ET56)-(EU56))+AE56),6)</f>
        <v>0</v>
      </c>
      <c r="AE56" s="2">
        <f>ROUND((EU56),6)</f>
        <v>0</v>
      </c>
      <c r="AF56" s="2">
        <f>ROUND((EV56),6)</f>
        <v>0</v>
      </c>
      <c r="AG56" s="2">
        <f t="shared" si="32"/>
        <v>0</v>
      </c>
      <c r="AH56" s="2">
        <f>(EW56)</f>
        <v>0</v>
      </c>
      <c r="AI56" s="2">
        <f>(EX56)</f>
        <v>0</v>
      </c>
      <c r="AJ56" s="2">
        <f t="shared" si="33"/>
        <v>0</v>
      </c>
      <c r="AK56" s="2">
        <v>140.95999999999998</v>
      </c>
      <c r="AL56" s="2">
        <v>140.95999999999998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3</v>
      </c>
      <c r="BJ56" s="2" t="s">
        <v>3</v>
      </c>
      <c r="BK56" s="2"/>
      <c r="BL56" s="2"/>
      <c r="BM56" s="2">
        <v>746</v>
      </c>
      <c r="BN56" s="2">
        <v>0</v>
      </c>
      <c r="BO56" s="2" t="s">
        <v>3</v>
      </c>
      <c r="BP56" s="2">
        <v>0</v>
      </c>
      <c r="BQ56" s="2">
        <v>130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95</v>
      </c>
      <c r="CA56" s="2">
        <v>53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4"/>
        <v>3383.04</v>
      </c>
      <c r="CQ56" s="2">
        <f>ROUND((ROUND((AC56*1),2)*BC56),2)</f>
        <v>140.96</v>
      </c>
      <c r="CR56" s="2">
        <f>(ROUND((ROUND(((ET56)*AV56*1),2)*BB56),2)+ROUND((ROUND(((AE56-(EU56))*AV56*1),2)*BS56),2))</f>
        <v>0</v>
      </c>
      <c r="CS56" s="2">
        <f t="shared" si="35"/>
        <v>0</v>
      </c>
      <c r="CT56" s="2">
        <f t="shared" si="36"/>
        <v>0</v>
      </c>
      <c r="CU56" s="2">
        <f t="shared" si="37"/>
        <v>0</v>
      </c>
      <c r="CV56" s="2">
        <f t="shared" si="38"/>
        <v>0</v>
      </c>
      <c r="CW56" s="2">
        <f t="shared" si="39"/>
        <v>0</v>
      </c>
      <c r="CX56" s="2">
        <f t="shared" si="40"/>
        <v>0</v>
      </c>
      <c r="CY56" s="2">
        <f t="shared" si="41"/>
        <v>0</v>
      </c>
      <c r="CZ56" s="2">
        <f t="shared" si="42"/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32</v>
      </c>
      <c r="DW56" s="2" t="s">
        <v>32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58162750</v>
      </c>
      <c r="EF56" s="2">
        <v>130</v>
      </c>
      <c r="EG56" s="2" t="s">
        <v>33</v>
      </c>
      <c r="EH56" s="2">
        <v>0</v>
      </c>
      <c r="EI56" s="2" t="s">
        <v>3</v>
      </c>
      <c r="EJ56" s="2">
        <v>3</v>
      </c>
      <c r="EK56" s="2">
        <v>746</v>
      </c>
      <c r="EL56" s="2" t="s">
        <v>34</v>
      </c>
      <c r="EM56" s="2" t="s">
        <v>35</v>
      </c>
      <c r="EN56" s="2"/>
      <c r="EO56" s="2" t="s">
        <v>3</v>
      </c>
      <c r="EP56" s="2"/>
      <c r="EQ56" s="2">
        <v>0</v>
      </c>
      <c r="ER56" s="2">
        <v>0</v>
      </c>
      <c r="ES56" s="2">
        <v>140.95999999999998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f>P56</f>
        <v>3383.04</v>
      </c>
      <c r="FS56" s="2">
        <v>0</v>
      </c>
      <c r="FT56" s="2"/>
      <c r="FU56" s="2"/>
      <c r="FV56" s="2"/>
      <c r="FW56" s="2"/>
      <c r="FX56" s="2">
        <v>95</v>
      </c>
      <c r="FY56" s="2">
        <v>53</v>
      </c>
      <c r="FZ56" s="2"/>
      <c r="GA56" s="2" t="s">
        <v>91</v>
      </c>
      <c r="GB56" s="2"/>
      <c r="GC56" s="2"/>
      <c r="GD56" s="2">
        <v>1</v>
      </c>
      <c r="GE56" s="2"/>
      <c r="GF56" s="2">
        <v>2140523987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43"/>
        <v>0</v>
      </c>
      <c r="GM56" s="2">
        <f t="shared" si="44"/>
        <v>3383.04</v>
      </c>
      <c r="GN56" s="2">
        <f t="shared" si="45"/>
        <v>0</v>
      </c>
      <c r="GO56" s="2">
        <f t="shared" si="46"/>
        <v>0</v>
      </c>
      <c r="GP56" s="2">
        <f t="shared" si="47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48"/>
        <v>0</v>
      </c>
      <c r="GW56" s="2">
        <v>1</v>
      </c>
      <c r="GX56" s="2">
        <f t="shared" si="49"/>
        <v>0</v>
      </c>
      <c r="GY56" s="2"/>
      <c r="GZ56" s="2"/>
      <c r="HA56" s="2">
        <v>0</v>
      </c>
      <c r="HB56" s="2">
        <v>0</v>
      </c>
      <c r="HC56" s="2">
        <f t="shared" si="50"/>
        <v>0</v>
      </c>
      <c r="HD56" s="2"/>
      <c r="HE56" s="2" t="s">
        <v>37</v>
      </c>
      <c r="HF56" s="2" t="s">
        <v>38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3">
      <c r="A57">
        <v>18</v>
      </c>
      <c r="B57">
        <v>1</v>
      </c>
      <c r="E57" t="s">
        <v>88</v>
      </c>
      <c r="F57" t="s">
        <v>89</v>
      </c>
      <c r="G57" t="s">
        <v>90</v>
      </c>
      <c r="H57" t="s">
        <v>32</v>
      </c>
      <c r="I57">
        <f>I55*J57</f>
        <v>24</v>
      </c>
      <c r="J57">
        <v>1</v>
      </c>
      <c r="K57">
        <v>1</v>
      </c>
      <c r="O57">
        <f t="shared" si="21"/>
        <v>25914.09</v>
      </c>
      <c r="P57">
        <f>ROUND((ROUND((AC57*I57),2)*BC57),2)</f>
        <v>25914.09</v>
      </c>
      <c r="Q57">
        <f>(ROUND((ROUND(((ET57)*AV57*I57),2)*BB57),2)+ROUND((ROUND(((AE57-(EU57))*AV57*I57),2)*BS57),2))</f>
        <v>0</v>
      </c>
      <c r="R57">
        <f t="shared" si="22"/>
        <v>0</v>
      </c>
      <c r="S57">
        <f t="shared" si="23"/>
        <v>0</v>
      </c>
      <c r="T57">
        <f t="shared" si="24"/>
        <v>0</v>
      </c>
      <c r="U57">
        <f t="shared" si="25"/>
        <v>0</v>
      </c>
      <c r="V57">
        <f t="shared" si="26"/>
        <v>0</v>
      </c>
      <c r="W57">
        <f t="shared" si="27"/>
        <v>0</v>
      </c>
      <c r="X57">
        <f t="shared" si="28"/>
        <v>0</v>
      </c>
      <c r="Y57">
        <f t="shared" si="29"/>
        <v>0</v>
      </c>
      <c r="AA57">
        <v>56498968</v>
      </c>
      <c r="AB57">
        <f t="shared" si="30"/>
        <v>140.96</v>
      </c>
      <c r="AC57">
        <f t="shared" si="31"/>
        <v>140.96</v>
      </c>
      <c r="AD57">
        <f>ROUND((((ET57)-(EU57))+AE57),6)</f>
        <v>0</v>
      </c>
      <c r="AE57">
        <f>ROUND((EU57),6)</f>
        <v>0</v>
      </c>
      <c r="AF57">
        <f>ROUND((EV57),6)</f>
        <v>0</v>
      </c>
      <c r="AG57">
        <f t="shared" si="32"/>
        <v>0</v>
      </c>
      <c r="AH57">
        <f>(EW57)</f>
        <v>0</v>
      </c>
      <c r="AI57">
        <f>(EX57)</f>
        <v>0</v>
      </c>
      <c r="AJ57">
        <f t="shared" si="33"/>
        <v>0</v>
      </c>
      <c r="AK57">
        <v>140.95999999999998</v>
      </c>
      <c r="AL57">
        <v>140.95999999999998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7.66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3</v>
      </c>
      <c r="BJ57" t="s">
        <v>3</v>
      </c>
      <c r="BM57">
        <v>746</v>
      </c>
      <c r="BN57">
        <v>0</v>
      </c>
      <c r="BO57" t="s">
        <v>3</v>
      </c>
      <c r="BP57">
        <v>0</v>
      </c>
      <c r="BQ57">
        <v>130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95</v>
      </c>
      <c r="CA57">
        <v>53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3</v>
      </c>
      <c r="CO57">
        <v>0</v>
      </c>
      <c r="CP57">
        <f t="shared" si="34"/>
        <v>25914.09</v>
      </c>
      <c r="CQ57">
        <f>ROUND((ROUND((AC57*1),2)*BC57),2)</f>
        <v>1079.75</v>
      </c>
      <c r="CR57">
        <f>(ROUND((ROUND(((ET57)*AV57*1),2)*BB57),2)+ROUND((ROUND(((AE57-(EU57))*AV57*1),2)*BS57),2))</f>
        <v>0</v>
      </c>
      <c r="CS57">
        <f t="shared" si="35"/>
        <v>0</v>
      </c>
      <c r="CT57">
        <f t="shared" si="36"/>
        <v>0</v>
      </c>
      <c r="CU57">
        <f t="shared" si="37"/>
        <v>0</v>
      </c>
      <c r="CV57">
        <f t="shared" si="38"/>
        <v>0</v>
      </c>
      <c r="CW57">
        <f t="shared" si="39"/>
        <v>0</v>
      </c>
      <c r="CX57">
        <f t="shared" si="40"/>
        <v>0</v>
      </c>
      <c r="CY57">
        <f t="shared" si="41"/>
        <v>0</v>
      </c>
      <c r="CZ57">
        <f t="shared" si="42"/>
        <v>0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1010</v>
      </c>
      <c r="DV57" t="s">
        <v>32</v>
      </c>
      <c r="DW57" t="s">
        <v>32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58162750</v>
      </c>
      <c r="EF57">
        <v>130</v>
      </c>
      <c r="EG57" t="s">
        <v>33</v>
      </c>
      <c r="EH57">
        <v>0</v>
      </c>
      <c r="EI57" t="s">
        <v>3</v>
      </c>
      <c r="EJ57">
        <v>3</v>
      </c>
      <c r="EK57">
        <v>746</v>
      </c>
      <c r="EL57" t="s">
        <v>34</v>
      </c>
      <c r="EM57" t="s">
        <v>35</v>
      </c>
      <c r="EO57" t="s">
        <v>3</v>
      </c>
      <c r="EQ57">
        <v>0</v>
      </c>
      <c r="ER57">
        <v>140.95999999999998</v>
      </c>
      <c r="ES57">
        <v>140.95999999999998</v>
      </c>
      <c r="ET57">
        <v>0</v>
      </c>
      <c r="EU57">
        <v>0</v>
      </c>
      <c r="EV57">
        <v>0</v>
      </c>
      <c r="EW57">
        <v>0</v>
      </c>
      <c r="EX57">
        <v>0</v>
      </c>
      <c r="EZ57">
        <v>5</v>
      </c>
      <c r="FC57">
        <v>1</v>
      </c>
      <c r="FD57">
        <v>18</v>
      </c>
      <c r="FF57">
        <v>1243</v>
      </c>
      <c r="FQ57">
        <v>0</v>
      </c>
      <c r="FR57">
        <f>P57</f>
        <v>25914.09</v>
      </c>
      <c r="FS57">
        <v>0</v>
      </c>
      <c r="FX57">
        <v>95</v>
      </c>
      <c r="FY57">
        <v>53</v>
      </c>
      <c r="GA57" t="s">
        <v>91</v>
      </c>
      <c r="GD57">
        <v>1</v>
      </c>
      <c r="GF57">
        <v>2140523987</v>
      </c>
      <c r="GG57">
        <v>2</v>
      </c>
      <c r="GH57">
        <v>3</v>
      </c>
      <c r="GI57">
        <v>5</v>
      </c>
      <c r="GJ57">
        <v>0</v>
      </c>
      <c r="GK57">
        <v>0</v>
      </c>
      <c r="GL57">
        <f t="shared" si="43"/>
        <v>0</v>
      </c>
      <c r="GM57">
        <f t="shared" si="44"/>
        <v>25914.09</v>
      </c>
      <c r="GN57">
        <f t="shared" si="45"/>
        <v>0</v>
      </c>
      <c r="GO57">
        <f t="shared" si="46"/>
        <v>0</v>
      </c>
      <c r="GP57">
        <f t="shared" si="47"/>
        <v>0</v>
      </c>
      <c r="GR57">
        <v>1</v>
      </c>
      <c r="GS57">
        <v>1</v>
      </c>
      <c r="GT57">
        <v>0</v>
      </c>
      <c r="GU57" t="s">
        <v>3</v>
      </c>
      <c r="GV57">
        <f t="shared" si="48"/>
        <v>0</v>
      </c>
      <c r="GW57">
        <v>1</v>
      </c>
      <c r="GX57">
        <f t="shared" si="49"/>
        <v>0</v>
      </c>
      <c r="HA57">
        <v>0</v>
      </c>
      <c r="HB57">
        <v>0</v>
      </c>
      <c r="HC57">
        <f t="shared" si="50"/>
        <v>0</v>
      </c>
      <c r="HE57" t="s">
        <v>37</v>
      </c>
      <c r="HF57" t="s">
        <v>38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3">
      <c r="A58" s="2">
        <v>17</v>
      </c>
      <c r="B58" s="2">
        <v>1</v>
      </c>
      <c r="C58" s="2"/>
      <c r="D58" s="2">
        <f>ROW(EtalonRes!A33)</f>
        <v>33</v>
      </c>
      <c r="E58" s="2" t="s">
        <v>92</v>
      </c>
      <c r="F58" s="2" t="s">
        <v>93</v>
      </c>
      <c r="G58" s="2" t="s">
        <v>94</v>
      </c>
      <c r="H58" s="2" t="s">
        <v>22</v>
      </c>
      <c r="I58" s="2">
        <v>5</v>
      </c>
      <c r="J58" s="2">
        <v>0</v>
      </c>
      <c r="K58" s="2">
        <v>5</v>
      </c>
      <c r="L58" s="2"/>
      <c r="M58" s="2"/>
      <c r="N58" s="2"/>
      <c r="O58" s="2">
        <f t="shared" si="21"/>
        <v>64.010000000000005</v>
      </c>
      <c r="P58" s="2">
        <f>ROUND((ROUND((AC58*AW58*I58),2)*BC58),2)</f>
        <v>2.8</v>
      </c>
      <c r="Q58" s="2">
        <f>(ROUND((ROUND((((ET58*1.1))*AV58*I58),2)*BB58),2)+ROUND((ROUND(((AE58-((EU58*1.1)))*AV58*I58),2)*BS58),2))</f>
        <v>0.17</v>
      </c>
      <c r="R58" s="2">
        <f t="shared" si="22"/>
        <v>0</v>
      </c>
      <c r="S58" s="2">
        <f t="shared" si="23"/>
        <v>61.04</v>
      </c>
      <c r="T58" s="2">
        <f t="shared" si="24"/>
        <v>0</v>
      </c>
      <c r="U58" s="2">
        <f t="shared" si="25"/>
        <v>4.8371399999999998</v>
      </c>
      <c r="V58" s="2">
        <f t="shared" si="26"/>
        <v>0</v>
      </c>
      <c r="W58" s="2">
        <f t="shared" si="27"/>
        <v>0</v>
      </c>
      <c r="X58" s="2">
        <f t="shared" si="28"/>
        <v>54.94</v>
      </c>
      <c r="Y58" s="2">
        <f t="shared" si="29"/>
        <v>28.08</v>
      </c>
      <c r="Z58" s="2"/>
      <c r="AA58" s="2">
        <v>56498966</v>
      </c>
      <c r="AB58" s="2">
        <f t="shared" si="30"/>
        <v>12.253</v>
      </c>
      <c r="AC58" s="2">
        <f t="shared" si="31"/>
        <v>0.56000000000000005</v>
      </c>
      <c r="AD58" s="2">
        <f>ROUND(((((ET58*1.1))-((EU58*1.1)))+AE58),6)</f>
        <v>3.3000000000000002E-2</v>
      </c>
      <c r="AE58" s="2">
        <f>ROUND(((EU58*1.1)),6)</f>
        <v>0</v>
      </c>
      <c r="AF58" s="2">
        <f>ROUND(((EV58*1.1)),6)</f>
        <v>11.66</v>
      </c>
      <c r="AG58" s="2">
        <f t="shared" si="32"/>
        <v>0</v>
      </c>
      <c r="AH58" s="2">
        <f>((EW58*1.1))</f>
        <v>0.92400000000000004</v>
      </c>
      <c r="AI58" s="2">
        <f>((EX58*1.1))</f>
        <v>0</v>
      </c>
      <c r="AJ58" s="2">
        <f t="shared" si="33"/>
        <v>0</v>
      </c>
      <c r="AK58" s="2">
        <v>11.19</v>
      </c>
      <c r="AL58" s="2">
        <v>0.56000000000000005</v>
      </c>
      <c r="AM58" s="2">
        <v>0.03</v>
      </c>
      <c r="AN58" s="2">
        <v>0</v>
      </c>
      <c r="AO58" s="2">
        <v>10.6</v>
      </c>
      <c r="AP58" s="2">
        <v>0</v>
      </c>
      <c r="AQ58" s="2">
        <v>0.84</v>
      </c>
      <c r="AR58" s="2">
        <v>0</v>
      </c>
      <c r="AS58" s="2">
        <v>0</v>
      </c>
      <c r="AT58" s="2">
        <v>90</v>
      </c>
      <c r="AU58" s="2">
        <v>46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2</v>
      </c>
      <c r="BJ58" s="2" t="s">
        <v>95</v>
      </c>
      <c r="BK58" s="2"/>
      <c r="BL58" s="2"/>
      <c r="BM58" s="2">
        <v>68</v>
      </c>
      <c r="BN58" s="2">
        <v>0</v>
      </c>
      <c r="BO58" s="2" t="s">
        <v>93</v>
      </c>
      <c r="BP58" s="2">
        <v>1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90</v>
      </c>
      <c r="CA58" s="2">
        <v>46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4"/>
        <v>64.010000000000005</v>
      </c>
      <c r="CQ58" s="2">
        <f>ROUND((ROUND((AC58*AW58*1),2)*BC58),2)</f>
        <v>0.56000000000000005</v>
      </c>
      <c r="CR58" s="2">
        <f>(ROUND((ROUND((((ET58*1.1))*AV58*1),2)*BB58),2)+ROUND((ROUND(((AE58-((EU58*1.1)))*AV58*1),2)*BS58),2))</f>
        <v>0.03</v>
      </c>
      <c r="CS58" s="2">
        <f t="shared" si="35"/>
        <v>0</v>
      </c>
      <c r="CT58" s="2">
        <f t="shared" si="36"/>
        <v>12.21</v>
      </c>
      <c r="CU58" s="2">
        <f t="shared" si="37"/>
        <v>0</v>
      </c>
      <c r="CV58" s="2">
        <f t="shared" si="38"/>
        <v>0.96742799999999995</v>
      </c>
      <c r="CW58" s="2">
        <f t="shared" si="39"/>
        <v>0</v>
      </c>
      <c r="CX58" s="2">
        <f t="shared" si="40"/>
        <v>0</v>
      </c>
      <c r="CY58" s="2">
        <f t="shared" si="41"/>
        <v>54.936000000000007</v>
      </c>
      <c r="CZ58" s="2">
        <f t="shared" si="42"/>
        <v>28.078400000000002</v>
      </c>
      <c r="DA58" s="2"/>
      <c r="DB58" s="2"/>
      <c r="DC58" s="2" t="s">
        <v>3</v>
      </c>
      <c r="DD58" s="2" t="s">
        <v>3</v>
      </c>
      <c r="DE58" s="2" t="s">
        <v>24</v>
      </c>
      <c r="DF58" s="2" t="s">
        <v>24</v>
      </c>
      <c r="DG58" s="2" t="s">
        <v>24</v>
      </c>
      <c r="DH58" s="2" t="s">
        <v>3</v>
      </c>
      <c r="DI58" s="2" t="s">
        <v>24</v>
      </c>
      <c r="DJ58" s="2" t="s">
        <v>24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22</v>
      </c>
      <c r="DW58" s="2" t="s">
        <v>22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58162630</v>
      </c>
      <c r="EF58" s="2">
        <v>40</v>
      </c>
      <c r="EG58" s="2" t="s">
        <v>25</v>
      </c>
      <c r="EH58" s="2">
        <v>0</v>
      </c>
      <c r="EI58" s="2" t="s">
        <v>3</v>
      </c>
      <c r="EJ58" s="2">
        <v>2</v>
      </c>
      <c r="EK58" s="2">
        <v>68</v>
      </c>
      <c r="EL58" s="2" t="s">
        <v>26</v>
      </c>
      <c r="EM58" s="2" t="s">
        <v>27</v>
      </c>
      <c r="EN58" s="2"/>
      <c r="EO58" s="2" t="s">
        <v>28</v>
      </c>
      <c r="EP58" s="2"/>
      <c r="EQ58" s="2">
        <v>0</v>
      </c>
      <c r="ER58" s="2">
        <v>11.19</v>
      </c>
      <c r="ES58" s="2">
        <v>0.56000000000000005</v>
      </c>
      <c r="ET58" s="2">
        <v>0.03</v>
      </c>
      <c r="EU58" s="2">
        <v>0</v>
      </c>
      <c r="EV58" s="2">
        <v>10.6</v>
      </c>
      <c r="EW58" s="2">
        <v>0.84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90</v>
      </c>
      <c r="FY58" s="2">
        <v>46</v>
      </c>
      <c r="FZ58" s="2"/>
      <c r="GA58" s="2" t="s">
        <v>3</v>
      </c>
      <c r="GB58" s="2"/>
      <c r="GC58" s="2"/>
      <c r="GD58" s="2">
        <v>1</v>
      </c>
      <c r="GE58" s="2"/>
      <c r="GF58" s="2">
        <v>-1257928153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43"/>
        <v>0</v>
      </c>
      <c r="GM58" s="2">
        <f t="shared" si="44"/>
        <v>147.03</v>
      </c>
      <c r="GN58" s="2">
        <f t="shared" si="45"/>
        <v>0</v>
      </c>
      <c r="GO58" s="2">
        <f t="shared" si="46"/>
        <v>147.03</v>
      </c>
      <c r="GP58" s="2">
        <f t="shared" si="47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48"/>
        <v>0</v>
      </c>
      <c r="GW58" s="2">
        <v>1</v>
      </c>
      <c r="GX58" s="2">
        <f t="shared" si="49"/>
        <v>0</v>
      </c>
      <c r="GY58" s="2"/>
      <c r="GZ58" s="2"/>
      <c r="HA58" s="2">
        <v>0</v>
      </c>
      <c r="HB58" s="2">
        <v>0</v>
      </c>
      <c r="HC58" s="2">
        <f t="shared" si="50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3">
      <c r="A59">
        <v>17</v>
      </c>
      <c r="B59">
        <v>1</v>
      </c>
      <c r="D59">
        <f>ROW(EtalonRes!A34)</f>
        <v>34</v>
      </c>
      <c r="E59" t="s">
        <v>92</v>
      </c>
      <c r="F59" t="s">
        <v>93</v>
      </c>
      <c r="G59" t="s">
        <v>94</v>
      </c>
      <c r="H59" t="s">
        <v>22</v>
      </c>
      <c r="I59">
        <v>5</v>
      </c>
      <c r="J59">
        <v>0</v>
      </c>
      <c r="K59">
        <v>5</v>
      </c>
      <c r="O59">
        <f t="shared" si="21"/>
        <v>3385.98</v>
      </c>
      <c r="P59">
        <f>ROUND((ROUND((AC59*AW59*I59),2)*BC59),2)</f>
        <v>27.69</v>
      </c>
      <c r="Q59">
        <f>(ROUND((ROUND((((ET59*1.1))*AV59*I59),2)*BB59),2)+ROUND((ROUND(((AE59-((EU59*1.1)))*AV59*I59),2)*BS59),2))</f>
        <v>1.7</v>
      </c>
      <c r="R59">
        <f t="shared" si="22"/>
        <v>0</v>
      </c>
      <c r="S59">
        <f t="shared" si="23"/>
        <v>3356.59</v>
      </c>
      <c r="T59">
        <f t="shared" si="24"/>
        <v>0</v>
      </c>
      <c r="U59">
        <f t="shared" si="25"/>
        <v>4.8371399999999998</v>
      </c>
      <c r="V59">
        <f t="shared" si="26"/>
        <v>0</v>
      </c>
      <c r="W59">
        <f t="shared" si="27"/>
        <v>0</v>
      </c>
      <c r="X59">
        <f t="shared" si="28"/>
        <v>3020.93</v>
      </c>
      <c r="Y59">
        <f t="shared" si="29"/>
        <v>1544.03</v>
      </c>
      <c r="AA59">
        <v>56498968</v>
      </c>
      <c r="AB59">
        <f t="shared" si="30"/>
        <v>12.253</v>
      </c>
      <c r="AC59">
        <f t="shared" si="31"/>
        <v>0.56000000000000005</v>
      </c>
      <c r="AD59">
        <f>ROUND(((((ET59*1.1))-((EU59*1.1)))+AE59),6)</f>
        <v>3.3000000000000002E-2</v>
      </c>
      <c r="AE59">
        <f>ROUND(((EU59*1.1)),6)</f>
        <v>0</v>
      </c>
      <c r="AF59">
        <f>ROUND(((EV59*1.1)),6)</f>
        <v>11.66</v>
      </c>
      <c r="AG59">
        <f t="shared" si="32"/>
        <v>0</v>
      </c>
      <c r="AH59">
        <f>((EW59*1.1))</f>
        <v>0.92400000000000004</v>
      </c>
      <c r="AI59">
        <f>((EX59*1.1))</f>
        <v>0</v>
      </c>
      <c r="AJ59">
        <f t="shared" si="33"/>
        <v>0</v>
      </c>
      <c r="AK59">
        <v>11.19</v>
      </c>
      <c r="AL59">
        <v>0.56000000000000005</v>
      </c>
      <c r="AM59">
        <v>0.03</v>
      </c>
      <c r="AN59">
        <v>0</v>
      </c>
      <c r="AO59">
        <v>10.6</v>
      </c>
      <c r="AP59">
        <v>0</v>
      </c>
      <c r="AQ59">
        <v>0.84</v>
      </c>
      <c r="AR59">
        <v>0</v>
      </c>
      <c r="AS59">
        <v>0</v>
      </c>
      <c r="AT59">
        <v>90</v>
      </c>
      <c r="AU59">
        <v>46</v>
      </c>
      <c r="AV59">
        <v>1.0469999999999999</v>
      </c>
      <c r="AW59">
        <v>1</v>
      </c>
      <c r="AZ59">
        <v>1</v>
      </c>
      <c r="BA59">
        <v>54.99</v>
      </c>
      <c r="BB59">
        <v>10</v>
      </c>
      <c r="BC59">
        <v>9.89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2</v>
      </c>
      <c r="BJ59" t="s">
        <v>95</v>
      </c>
      <c r="BM59">
        <v>68</v>
      </c>
      <c r="BN59">
        <v>0</v>
      </c>
      <c r="BO59" t="s">
        <v>93</v>
      </c>
      <c r="BP59">
        <v>1</v>
      </c>
      <c r="BQ59">
        <v>40</v>
      </c>
      <c r="BR59">
        <v>0</v>
      </c>
      <c r="BS59">
        <v>54.99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90</v>
      </c>
      <c r="CA59">
        <v>46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3</v>
      </c>
      <c r="CO59">
        <v>0</v>
      </c>
      <c r="CP59">
        <f t="shared" si="34"/>
        <v>3385.98</v>
      </c>
      <c r="CQ59">
        <f>ROUND((ROUND((AC59*AW59*1),2)*BC59),2)</f>
        <v>5.54</v>
      </c>
      <c r="CR59">
        <f>(ROUND((ROUND((((ET59*1.1))*AV59*1),2)*BB59),2)+ROUND((ROUND(((AE59-((EU59*1.1)))*AV59*1),2)*BS59),2))</f>
        <v>0.3</v>
      </c>
      <c r="CS59">
        <f t="shared" si="35"/>
        <v>0</v>
      </c>
      <c r="CT59">
        <f t="shared" si="36"/>
        <v>671.43</v>
      </c>
      <c r="CU59">
        <f t="shared" si="37"/>
        <v>0</v>
      </c>
      <c r="CV59">
        <f t="shared" si="38"/>
        <v>0.96742799999999995</v>
      </c>
      <c r="CW59">
        <f t="shared" si="39"/>
        <v>0</v>
      </c>
      <c r="CX59">
        <f t="shared" si="40"/>
        <v>0</v>
      </c>
      <c r="CY59">
        <f t="shared" si="41"/>
        <v>3020.9310000000005</v>
      </c>
      <c r="CZ59">
        <f t="shared" si="42"/>
        <v>1544.0314000000001</v>
      </c>
      <c r="DC59" t="s">
        <v>3</v>
      </c>
      <c r="DD59" t="s">
        <v>3</v>
      </c>
      <c r="DE59" t="s">
        <v>24</v>
      </c>
      <c r="DF59" t="s">
        <v>24</v>
      </c>
      <c r="DG59" t="s">
        <v>24</v>
      </c>
      <c r="DH59" t="s">
        <v>3</v>
      </c>
      <c r="DI59" t="s">
        <v>24</v>
      </c>
      <c r="DJ59" t="s">
        <v>24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1013</v>
      </c>
      <c r="DV59" t="s">
        <v>22</v>
      </c>
      <c r="DW59" t="s">
        <v>22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58162630</v>
      </c>
      <c r="EF59">
        <v>40</v>
      </c>
      <c r="EG59" t="s">
        <v>25</v>
      </c>
      <c r="EH59">
        <v>0</v>
      </c>
      <c r="EI59" t="s">
        <v>3</v>
      </c>
      <c r="EJ59">
        <v>2</v>
      </c>
      <c r="EK59">
        <v>68</v>
      </c>
      <c r="EL59" t="s">
        <v>26</v>
      </c>
      <c r="EM59" t="s">
        <v>27</v>
      </c>
      <c r="EO59" t="s">
        <v>28</v>
      </c>
      <c r="EQ59">
        <v>0</v>
      </c>
      <c r="ER59">
        <v>11.19</v>
      </c>
      <c r="ES59">
        <v>0.56000000000000005</v>
      </c>
      <c r="ET59">
        <v>0.03</v>
      </c>
      <c r="EU59">
        <v>0</v>
      </c>
      <c r="EV59">
        <v>10.6</v>
      </c>
      <c r="EW59">
        <v>0.84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90</v>
      </c>
      <c r="FY59">
        <v>46</v>
      </c>
      <c r="GA59" t="s">
        <v>3</v>
      </c>
      <c r="GD59">
        <v>1</v>
      </c>
      <c r="GF59">
        <v>-1257928153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43"/>
        <v>0</v>
      </c>
      <c r="GM59">
        <f t="shared" si="44"/>
        <v>7950.94</v>
      </c>
      <c r="GN59">
        <f t="shared" si="45"/>
        <v>0</v>
      </c>
      <c r="GO59">
        <f t="shared" si="46"/>
        <v>7950.94</v>
      </c>
      <c r="GP59">
        <f t="shared" si="47"/>
        <v>0</v>
      </c>
      <c r="GR59">
        <v>0</v>
      </c>
      <c r="GS59">
        <v>3</v>
      </c>
      <c r="GT59">
        <v>0</v>
      </c>
      <c r="GU59" t="s">
        <v>3</v>
      </c>
      <c r="GV59">
        <f t="shared" si="48"/>
        <v>0</v>
      </c>
      <c r="GW59">
        <v>1</v>
      </c>
      <c r="GX59">
        <f t="shared" si="49"/>
        <v>0</v>
      </c>
      <c r="HA59">
        <v>0</v>
      </c>
      <c r="HB59">
        <v>0</v>
      </c>
      <c r="HC59">
        <f t="shared" si="50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3">
      <c r="A60" s="2">
        <v>18</v>
      </c>
      <c r="B60" s="2">
        <v>1</v>
      </c>
      <c r="C60" s="2"/>
      <c r="D60" s="2"/>
      <c r="E60" s="2" t="s">
        <v>96</v>
      </c>
      <c r="F60" s="2" t="s">
        <v>97</v>
      </c>
      <c r="G60" s="2" t="s">
        <v>98</v>
      </c>
      <c r="H60" s="2" t="s">
        <v>32</v>
      </c>
      <c r="I60" s="2">
        <f>I58*J60</f>
        <v>5</v>
      </c>
      <c r="J60" s="2">
        <v>1</v>
      </c>
      <c r="K60" s="2">
        <v>1</v>
      </c>
      <c r="L60" s="2"/>
      <c r="M60" s="2"/>
      <c r="N60" s="2"/>
      <c r="O60" s="2">
        <f t="shared" ref="O60:O91" si="55">ROUND(CP60,2)</f>
        <v>852.75</v>
      </c>
      <c r="P60" s="2">
        <f>ROUND((ROUND((AC60*I60),2)*BC60),2)</f>
        <v>852.75</v>
      </c>
      <c r="Q60" s="2">
        <f>(ROUND((ROUND(((ET60)*AV60*I60),2)*BB60),2)+ROUND((ROUND(((AE60-(EU60))*AV60*I60),2)*BS60),2))</f>
        <v>0</v>
      </c>
      <c r="R60" s="2">
        <f t="shared" ref="R60:R91" si="56">ROUND((ROUND((AE60*AV60*I60),2)*BS60),2)</f>
        <v>0</v>
      </c>
      <c r="S60" s="2">
        <f t="shared" ref="S60:S91" si="57">ROUND((ROUND((AF60*AV60*I60),2)*BA60),2)</f>
        <v>0</v>
      </c>
      <c r="T60" s="2">
        <f t="shared" ref="T60:T91" si="58">ROUND(CU60*I60,2)</f>
        <v>0</v>
      </c>
      <c r="U60" s="2">
        <f t="shared" ref="U60:U91" si="59">CV60*I60</f>
        <v>0</v>
      </c>
      <c r="V60" s="2">
        <f t="shared" ref="V60:V91" si="60">CW60*I60</f>
        <v>0</v>
      </c>
      <c r="W60" s="2">
        <f t="shared" ref="W60:W91" si="61">ROUND(CX60*I60,2)</f>
        <v>0</v>
      </c>
      <c r="X60" s="2">
        <f t="shared" ref="X60:X91" si="62">ROUND(CY60,2)</f>
        <v>0</v>
      </c>
      <c r="Y60" s="2">
        <f t="shared" ref="Y60:Y91" si="63">ROUND(CZ60,2)</f>
        <v>0</v>
      </c>
      <c r="Z60" s="2"/>
      <c r="AA60" s="2">
        <v>56498966</v>
      </c>
      <c r="AB60" s="2">
        <f t="shared" ref="AB60:AB91" si="64">ROUND((AC60+AD60+AF60),6)</f>
        <v>170.55</v>
      </c>
      <c r="AC60" s="2">
        <f t="shared" ref="AC60:AC91" si="65">ROUND((ES60),6)</f>
        <v>170.55</v>
      </c>
      <c r="AD60" s="2">
        <f>ROUND((((ET60)-(EU60))+AE60),6)</f>
        <v>0</v>
      </c>
      <c r="AE60" s="2">
        <f>ROUND((EU60),6)</f>
        <v>0</v>
      </c>
      <c r="AF60" s="2">
        <f>ROUND((EV60),6)</f>
        <v>0</v>
      </c>
      <c r="AG60" s="2">
        <f t="shared" ref="AG60:AG91" si="66">ROUND((AP60),6)</f>
        <v>0</v>
      </c>
      <c r="AH60" s="2">
        <f>(EW60)</f>
        <v>0</v>
      </c>
      <c r="AI60" s="2">
        <f>(EX60)</f>
        <v>0</v>
      </c>
      <c r="AJ60" s="2">
        <f t="shared" ref="AJ60:AJ91" si="67">(AS60)</f>
        <v>0</v>
      </c>
      <c r="AK60" s="2">
        <v>170.55</v>
      </c>
      <c r="AL60" s="2">
        <v>170.55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3</v>
      </c>
      <c r="BJ60" s="2" t="s">
        <v>3</v>
      </c>
      <c r="BK60" s="2"/>
      <c r="BL60" s="2"/>
      <c r="BM60" s="2">
        <v>746</v>
      </c>
      <c r="BN60" s="2">
        <v>0</v>
      </c>
      <c r="BO60" s="2" t="s">
        <v>3</v>
      </c>
      <c r="BP60" s="2">
        <v>0</v>
      </c>
      <c r="BQ60" s="2">
        <v>130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ref="CP60:CP91" si="68">(P60+Q60+S60)</f>
        <v>852.75</v>
      </c>
      <c r="CQ60" s="2">
        <f>ROUND((ROUND((AC60*1),2)*BC60),2)</f>
        <v>170.55</v>
      </c>
      <c r="CR60" s="2">
        <f>(ROUND((ROUND(((ET60)*AV60*1),2)*BB60),2)+ROUND((ROUND(((AE60-(EU60))*AV60*1),2)*BS60),2))</f>
        <v>0</v>
      </c>
      <c r="CS60" s="2">
        <f t="shared" ref="CS60:CS91" si="69">ROUND((ROUND((AE60*AV60*1),2)*BS60),2)</f>
        <v>0</v>
      </c>
      <c r="CT60" s="2">
        <f t="shared" ref="CT60:CT91" si="70">ROUND((ROUND((AF60*AV60*1),2)*BA60),2)</f>
        <v>0</v>
      </c>
      <c r="CU60" s="2">
        <f t="shared" ref="CU60:CU91" si="71">AG60</f>
        <v>0</v>
      </c>
      <c r="CV60" s="2">
        <f t="shared" ref="CV60:CV91" si="72">(AH60*AV60)</f>
        <v>0</v>
      </c>
      <c r="CW60" s="2">
        <f t="shared" ref="CW60:CW91" si="73">AI60</f>
        <v>0</v>
      </c>
      <c r="CX60" s="2">
        <f t="shared" ref="CX60:CX91" si="74">AJ60</f>
        <v>0</v>
      </c>
      <c r="CY60" s="2">
        <f t="shared" ref="CY60:CY91" si="75">(((S60+R60)*AT60)/100)</f>
        <v>0</v>
      </c>
      <c r="CZ60" s="2">
        <f t="shared" ref="CZ60:CZ91" si="76">(((S60+R60)*AU60)/100)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32</v>
      </c>
      <c r="DW60" s="2" t="s">
        <v>32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58162750</v>
      </c>
      <c r="EF60" s="2">
        <v>130</v>
      </c>
      <c r="EG60" s="2" t="s">
        <v>33</v>
      </c>
      <c r="EH60" s="2">
        <v>0</v>
      </c>
      <c r="EI60" s="2" t="s">
        <v>3</v>
      </c>
      <c r="EJ60" s="2">
        <v>3</v>
      </c>
      <c r="EK60" s="2">
        <v>746</v>
      </c>
      <c r="EL60" s="2" t="s">
        <v>34</v>
      </c>
      <c r="EM60" s="2" t="s">
        <v>35</v>
      </c>
      <c r="EN60" s="2"/>
      <c r="EO60" s="2" t="s">
        <v>3</v>
      </c>
      <c r="EP60" s="2"/>
      <c r="EQ60" s="2">
        <v>0</v>
      </c>
      <c r="ER60" s="2">
        <v>0</v>
      </c>
      <c r="ES60" s="2">
        <v>170.55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f>P60</f>
        <v>852.75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99</v>
      </c>
      <c r="GB60" s="2"/>
      <c r="GC60" s="2"/>
      <c r="GD60" s="2">
        <v>1</v>
      </c>
      <c r="GE60" s="2"/>
      <c r="GF60" s="2">
        <v>-467566734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ref="GL60:GL91" si="77">ROUND(IF(AND(BH60=3,BI60=3,FS60&lt;&gt;0),P60,0),2)</f>
        <v>0</v>
      </c>
      <c r="GM60" s="2">
        <f t="shared" ref="GM60:GM91" si="78">ROUND(O60+X60+Y60,2)+GX60</f>
        <v>852.75</v>
      </c>
      <c r="GN60" s="2">
        <f t="shared" ref="GN60:GN91" si="79">IF(OR(BI60=0,BI60=1),GM60-GX60,0)</f>
        <v>0</v>
      </c>
      <c r="GO60" s="2">
        <f t="shared" ref="GO60:GO91" si="80">IF(BI60=2,GM60-GX60,0)</f>
        <v>0</v>
      </c>
      <c r="GP60" s="2">
        <f t="shared" ref="GP60:GP91" si="81">IF(BI60=4,GM60-GX60,0)</f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ref="GV60:GV91" si="82">ROUND((GT60),6)</f>
        <v>0</v>
      </c>
      <c r="GW60" s="2">
        <v>1</v>
      </c>
      <c r="GX60" s="2">
        <f t="shared" ref="GX60:GX91" si="83">ROUND(HC60*I60,2)</f>
        <v>0</v>
      </c>
      <c r="GY60" s="2"/>
      <c r="GZ60" s="2"/>
      <c r="HA60" s="2">
        <v>0</v>
      </c>
      <c r="HB60" s="2">
        <v>0</v>
      </c>
      <c r="HC60" s="2">
        <f t="shared" ref="HC60:HC91" si="84">GV60*GW60</f>
        <v>0</v>
      </c>
      <c r="HD60" s="2"/>
      <c r="HE60" s="2" t="s">
        <v>37</v>
      </c>
      <c r="HF60" s="2" t="s">
        <v>38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3">
      <c r="A61">
        <v>18</v>
      </c>
      <c r="B61">
        <v>1</v>
      </c>
      <c r="E61" t="s">
        <v>96</v>
      </c>
      <c r="F61" t="s">
        <v>97</v>
      </c>
      <c r="G61" t="s">
        <v>98</v>
      </c>
      <c r="H61" t="s">
        <v>32</v>
      </c>
      <c r="I61">
        <f>I59*J61</f>
        <v>5</v>
      </c>
      <c r="J61">
        <v>1</v>
      </c>
      <c r="K61">
        <v>1</v>
      </c>
      <c r="O61">
        <f t="shared" si="55"/>
        <v>6532.07</v>
      </c>
      <c r="P61">
        <f>ROUND((ROUND((AC61*I61),2)*BC61),2)</f>
        <v>6532.07</v>
      </c>
      <c r="Q61">
        <f>(ROUND((ROUND(((ET61)*AV61*I61),2)*BB61),2)+ROUND((ROUND(((AE61-(EU61))*AV61*I61),2)*BS61),2))</f>
        <v>0</v>
      </c>
      <c r="R61">
        <f t="shared" si="56"/>
        <v>0</v>
      </c>
      <c r="S61">
        <f t="shared" si="57"/>
        <v>0</v>
      </c>
      <c r="T61">
        <f t="shared" si="58"/>
        <v>0</v>
      </c>
      <c r="U61">
        <f t="shared" si="59"/>
        <v>0</v>
      </c>
      <c r="V61">
        <f t="shared" si="60"/>
        <v>0</v>
      </c>
      <c r="W61">
        <f t="shared" si="61"/>
        <v>0</v>
      </c>
      <c r="X61">
        <f t="shared" si="62"/>
        <v>0</v>
      </c>
      <c r="Y61">
        <f t="shared" si="63"/>
        <v>0</v>
      </c>
      <c r="AA61">
        <v>56498968</v>
      </c>
      <c r="AB61">
        <f t="shared" si="64"/>
        <v>170.55</v>
      </c>
      <c r="AC61">
        <f t="shared" si="65"/>
        <v>170.55</v>
      </c>
      <c r="AD61">
        <f>ROUND((((ET61)-(EU61))+AE61),6)</f>
        <v>0</v>
      </c>
      <c r="AE61">
        <f>ROUND((EU61),6)</f>
        <v>0</v>
      </c>
      <c r="AF61">
        <f>ROUND((EV61),6)</f>
        <v>0</v>
      </c>
      <c r="AG61">
        <f t="shared" si="66"/>
        <v>0</v>
      </c>
      <c r="AH61">
        <f>(EW61)</f>
        <v>0</v>
      </c>
      <c r="AI61">
        <f>(EX61)</f>
        <v>0</v>
      </c>
      <c r="AJ61">
        <f t="shared" si="67"/>
        <v>0</v>
      </c>
      <c r="AK61">
        <v>170.55</v>
      </c>
      <c r="AL61">
        <v>170.55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7.66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3</v>
      </c>
      <c r="BJ61" t="s">
        <v>3</v>
      </c>
      <c r="BM61">
        <v>746</v>
      </c>
      <c r="BN61">
        <v>0</v>
      </c>
      <c r="BO61" t="s">
        <v>3</v>
      </c>
      <c r="BP61">
        <v>0</v>
      </c>
      <c r="BQ61">
        <v>130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90</v>
      </c>
      <c r="CA61">
        <v>46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3</v>
      </c>
      <c r="CO61">
        <v>0</v>
      </c>
      <c r="CP61">
        <f t="shared" si="68"/>
        <v>6532.07</v>
      </c>
      <c r="CQ61">
        <f>ROUND((ROUND((AC61*1),2)*BC61),2)</f>
        <v>1306.4100000000001</v>
      </c>
      <c r="CR61">
        <f>(ROUND((ROUND(((ET61)*AV61*1),2)*BB61),2)+ROUND((ROUND(((AE61-(EU61))*AV61*1),2)*BS61),2))</f>
        <v>0</v>
      </c>
      <c r="CS61">
        <f t="shared" si="69"/>
        <v>0</v>
      </c>
      <c r="CT61">
        <f t="shared" si="70"/>
        <v>0</v>
      </c>
      <c r="CU61">
        <f t="shared" si="71"/>
        <v>0</v>
      </c>
      <c r="CV61">
        <f t="shared" si="72"/>
        <v>0</v>
      </c>
      <c r="CW61">
        <f t="shared" si="73"/>
        <v>0</v>
      </c>
      <c r="CX61">
        <f t="shared" si="74"/>
        <v>0</v>
      </c>
      <c r="CY61">
        <f t="shared" si="75"/>
        <v>0</v>
      </c>
      <c r="CZ61">
        <f t="shared" si="76"/>
        <v>0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1010</v>
      </c>
      <c r="DV61" t="s">
        <v>32</v>
      </c>
      <c r="DW61" t="s">
        <v>32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58162750</v>
      </c>
      <c r="EF61">
        <v>130</v>
      </c>
      <c r="EG61" t="s">
        <v>33</v>
      </c>
      <c r="EH61">
        <v>0</v>
      </c>
      <c r="EI61" t="s">
        <v>3</v>
      </c>
      <c r="EJ61">
        <v>3</v>
      </c>
      <c r="EK61">
        <v>746</v>
      </c>
      <c r="EL61" t="s">
        <v>34</v>
      </c>
      <c r="EM61" t="s">
        <v>35</v>
      </c>
      <c r="EO61" t="s">
        <v>3</v>
      </c>
      <c r="EQ61">
        <v>0</v>
      </c>
      <c r="ER61">
        <v>170.55</v>
      </c>
      <c r="ES61">
        <v>170.55</v>
      </c>
      <c r="ET61">
        <v>0</v>
      </c>
      <c r="EU61">
        <v>0</v>
      </c>
      <c r="EV61">
        <v>0</v>
      </c>
      <c r="EW61">
        <v>0</v>
      </c>
      <c r="EX61">
        <v>0</v>
      </c>
      <c r="EZ61">
        <v>5</v>
      </c>
      <c r="FC61">
        <v>1</v>
      </c>
      <c r="FD61">
        <v>18</v>
      </c>
      <c r="FF61">
        <v>1504</v>
      </c>
      <c r="FQ61">
        <v>0</v>
      </c>
      <c r="FR61">
        <f>P61</f>
        <v>6532.07</v>
      </c>
      <c r="FS61">
        <v>0</v>
      </c>
      <c r="FX61">
        <v>90</v>
      </c>
      <c r="FY61">
        <v>46</v>
      </c>
      <c r="GA61" t="s">
        <v>99</v>
      </c>
      <c r="GD61">
        <v>1</v>
      </c>
      <c r="GF61">
        <v>-467566734</v>
      </c>
      <c r="GG61">
        <v>2</v>
      </c>
      <c r="GH61">
        <v>3</v>
      </c>
      <c r="GI61">
        <v>5</v>
      </c>
      <c r="GJ61">
        <v>0</v>
      </c>
      <c r="GK61">
        <v>0</v>
      </c>
      <c r="GL61">
        <f t="shared" si="77"/>
        <v>0</v>
      </c>
      <c r="GM61">
        <f t="shared" si="78"/>
        <v>6532.07</v>
      </c>
      <c r="GN61">
        <f t="shared" si="79"/>
        <v>0</v>
      </c>
      <c r="GO61">
        <f t="shared" si="80"/>
        <v>0</v>
      </c>
      <c r="GP61">
        <f t="shared" si="81"/>
        <v>0</v>
      </c>
      <c r="GR61">
        <v>1</v>
      </c>
      <c r="GS61">
        <v>1</v>
      </c>
      <c r="GT61">
        <v>0</v>
      </c>
      <c r="GU61" t="s">
        <v>3</v>
      </c>
      <c r="GV61">
        <f t="shared" si="82"/>
        <v>0</v>
      </c>
      <c r="GW61">
        <v>1</v>
      </c>
      <c r="GX61">
        <f t="shared" si="83"/>
        <v>0</v>
      </c>
      <c r="HA61">
        <v>0</v>
      </c>
      <c r="HB61">
        <v>0</v>
      </c>
      <c r="HC61">
        <f t="shared" si="84"/>
        <v>0</v>
      </c>
      <c r="HE61" t="s">
        <v>37</v>
      </c>
      <c r="HF61" t="s">
        <v>38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2" spans="1:255" x14ac:dyDescent="0.3">
      <c r="A62" s="2">
        <v>17</v>
      </c>
      <c r="B62" s="2">
        <v>1</v>
      </c>
      <c r="C62" s="2"/>
      <c r="D62" s="2">
        <f>ROW(EtalonRes!A39)</f>
        <v>39</v>
      </c>
      <c r="E62" s="2" t="s">
        <v>100</v>
      </c>
      <c r="F62" s="2" t="s">
        <v>101</v>
      </c>
      <c r="G62" s="2" t="s">
        <v>102</v>
      </c>
      <c r="H62" s="2" t="s">
        <v>22</v>
      </c>
      <c r="I62" s="2">
        <v>89</v>
      </c>
      <c r="J62" s="2">
        <v>0</v>
      </c>
      <c r="K62" s="2">
        <v>89</v>
      </c>
      <c r="L62" s="2"/>
      <c r="M62" s="2"/>
      <c r="N62" s="2"/>
      <c r="O62" s="2">
        <f t="shared" si="55"/>
        <v>5197.08</v>
      </c>
      <c r="P62" s="2">
        <f>ROUND((ROUND((AC62*AW62*I62),2)*BC62),2)</f>
        <v>2532.0500000000002</v>
      </c>
      <c r="Q62" s="2">
        <f>(ROUND((ROUND((((ET62*1.1))*AV62*I62),2)*BB62),2)+ROUND((ROUND(((AE62-((EU62*1.1)))*AV62*I62),2)*BS62),2))</f>
        <v>0</v>
      </c>
      <c r="R62" s="2">
        <f t="shared" si="56"/>
        <v>0</v>
      </c>
      <c r="S62" s="2">
        <f t="shared" si="57"/>
        <v>2665.03</v>
      </c>
      <c r="T62" s="2">
        <f t="shared" si="58"/>
        <v>0</v>
      </c>
      <c r="U62" s="2">
        <f t="shared" si="59"/>
        <v>211.15267800000004</v>
      </c>
      <c r="V62" s="2">
        <f t="shared" si="60"/>
        <v>0</v>
      </c>
      <c r="W62" s="2">
        <f t="shared" si="61"/>
        <v>0</v>
      </c>
      <c r="X62" s="2">
        <f t="shared" si="62"/>
        <v>2585.08</v>
      </c>
      <c r="Y62" s="2">
        <f t="shared" si="63"/>
        <v>1359.17</v>
      </c>
      <c r="Z62" s="2"/>
      <c r="AA62" s="2">
        <v>56498966</v>
      </c>
      <c r="AB62" s="2">
        <f t="shared" si="64"/>
        <v>57.05</v>
      </c>
      <c r="AC62" s="2">
        <f t="shared" si="65"/>
        <v>28.45</v>
      </c>
      <c r="AD62" s="2">
        <f>ROUND(((((ET62*1.1))-((EU62*1.1)))+AE62),6)</f>
        <v>0</v>
      </c>
      <c r="AE62" s="2">
        <f>ROUND(((EU62*1.1)),6)</f>
        <v>0</v>
      </c>
      <c r="AF62" s="2">
        <f>ROUND(((EV62*1.1)),6)</f>
        <v>28.6</v>
      </c>
      <c r="AG62" s="2">
        <f t="shared" si="66"/>
        <v>0</v>
      </c>
      <c r="AH62" s="2">
        <f>((EW62*1.1))</f>
        <v>2.2660000000000005</v>
      </c>
      <c r="AI62" s="2">
        <f>((EX62*1.1))</f>
        <v>0</v>
      </c>
      <c r="AJ62" s="2">
        <f t="shared" si="67"/>
        <v>0</v>
      </c>
      <c r="AK62" s="2">
        <v>54.45</v>
      </c>
      <c r="AL62" s="2">
        <v>28.45</v>
      </c>
      <c r="AM62" s="2">
        <v>0</v>
      </c>
      <c r="AN62" s="2">
        <v>0</v>
      </c>
      <c r="AO62" s="2">
        <v>26</v>
      </c>
      <c r="AP62" s="2">
        <v>0</v>
      </c>
      <c r="AQ62" s="2">
        <v>2.06</v>
      </c>
      <c r="AR62" s="2">
        <v>0</v>
      </c>
      <c r="AS62" s="2">
        <v>0</v>
      </c>
      <c r="AT62" s="2">
        <v>97</v>
      </c>
      <c r="AU62" s="2">
        <v>51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2</v>
      </c>
      <c r="BJ62" s="2" t="s">
        <v>103</v>
      </c>
      <c r="BK62" s="2"/>
      <c r="BL62" s="2"/>
      <c r="BM62" s="2">
        <v>67</v>
      </c>
      <c r="BN62" s="2">
        <v>0</v>
      </c>
      <c r="BO62" s="2" t="s">
        <v>101</v>
      </c>
      <c r="BP62" s="2">
        <v>1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97</v>
      </c>
      <c r="CA62" s="2">
        <v>51</v>
      </c>
      <c r="CB62" s="2" t="s">
        <v>3</v>
      </c>
      <c r="CC62" s="2"/>
      <c r="CD62" s="2"/>
      <c r="CE62" s="2">
        <v>30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68"/>
        <v>5197.08</v>
      </c>
      <c r="CQ62" s="2">
        <f>ROUND((ROUND((AC62*AW62*1),2)*BC62),2)</f>
        <v>28.45</v>
      </c>
      <c r="CR62" s="2">
        <f>(ROUND((ROUND((((ET62*1.1))*AV62*1),2)*BB62),2)+ROUND((ROUND(((AE62-((EU62*1.1)))*AV62*1),2)*BS62),2))</f>
        <v>0</v>
      </c>
      <c r="CS62" s="2">
        <f t="shared" si="69"/>
        <v>0</v>
      </c>
      <c r="CT62" s="2">
        <f t="shared" si="70"/>
        <v>29.94</v>
      </c>
      <c r="CU62" s="2">
        <f t="shared" si="71"/>
        <v>0</v>
      </c>
      <c r="CV62" s="2">
        <f t="shared" si="72"/>
        <v>2.3725020000000003</v>
      </c>
      <c r="CW62" s="2">
        <f t="shared" si="73"/>
        <v>0</v>
      </c>
      <c r="CX62" s="2">
        <f t="shared" si="74"/>
        <v>0</v>
      </c>
      <c r="CY62" s="2">
        <f t="shared" si="75"/>
        <v>2585.0791000000004</v>
      </c>
      <c r="CZ62" s="2">
        <f t="shared" si="76"/>
        <v>1359.1652999999999</v>
      </c>
      <c r="DA62" s="2"/>
      <c r="DB62" s="2"/>
      <c r="DC62" s="2" t="s">
        <v>3</v>
      </c>
      <c r="DD62" s="2" t="s">
        <v>3</v>
      </c>
      <c r="DE62" s="2" t="s">
        <v>24</v>
      </c>
      <c r="DF62" s="2" t="s">
        <v>24</v>
      </c>
      <c r="DG62" s="2" t="s">
        <v>24</v>
      </c>
      <c r="DH62" s="2" t="s">
        <v>3</v>
      </c>
      <c r="DI62" s="2" t="s">
        <v>24</v>
      </c>
      <c r="DJ62" s="2" t="s">
        <v>24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22</v>
      </c>
      <c r="DW62" s="2" t="s">
        <v>22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58162629</v>
      </c>
      <c r="EF62" s="2">
        <v>40</v>
      </c>
      <c r="EG62" s="2" t="s">
        <v>25</v>
      </c>
      <c r="EH62" s="2">
        <v>0</v>
      </c>
      <c r="EI62" s="2" t="s">
        <v>3</v>
      </c>
      <c r="EJ62" s="2">
        <v>2</v>
      </c>
      <c r="EK62" s="2">
        <v>67</v>
      </c>
      <c r="EL62" s="2" t="s">
        <v>104</v>
      </c>
      <c r="EM62" s="2" t="s">
        <v>105</v>
      </c>
      <c r="EN62" s="2"/>
      <c r="EO62" s="2" t="s">
        <v>28</v>
      </c>
      <c r="EP62" s="2"/>
      <c r="EQ62" s="2">
        <v>0</v>
      </c>
      <c r="ER62" s="2">
        <v>54.45</v>
      </c>
      <c r="ES62" s="2">
        <v>28.45</v>
      </c>
      <c r="ET62" s="2">
        <v>0</v>
      </c>
      <c r="EU62" s="2">
        <v>0</v>
      </c>
      <c r="EV62" s="2">
        <v>26</v>
      </c>
      <c r="EW62" s="2">
        <v>2.06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97</v>
      </c>
      <c r="FY62" s="2">
        <v>51</v>
      </c>
      <c r="FZ62" s="2"/>
      <c r="GA62" s="2" t="s">
        <v>3</v>
      </c>
      <c r="GB62" s="2"/>
      <c r="GC62" s="2"/>
      <c r="GD62" s="2">
        <v>1</v>
      </c>
      <c r="GE62" s="2"/>
      <c r="GF62" s="2">
        <v>1398713646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77"/>
        <v>0</v>
      </c>
      <c r="GM62" s="2">
        <f t="shared" si="78"/>
        <v>9141.33</v>
      </c>
      <c r="GN62" s="2">
        <f t="shared" si="79"/>
        <v>0</v>
      </c>
      <c r="GO62" s="2">
        <f t="shared" si="80"/>
        <v>9141.33</v>
      </c>
      <c r="GP62" s="2">
        <f t="shared" si="81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82"/>
        <v>0</v>
      </c>
      <c r="GW62" s="2">
        <v>1</v>
      </c>
      <c r="GX62" s="2">
        <f t="shared" si="83"/>
        <v>0</v>
      </c>
      <c r="GY62" s="2"/>
      <c r="GZ62" s="2"/>
      <c r="HA62" s="2">
        <v>0</v>
      </c>
      <c r="HB62" s="2">
        <v>0</v>
      </c>
      <c r="HC62" s="2">
        <f t="shared" si="84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3">
      <c r="A63">
        <v>17</v>
      </c>
      <c r="B63">
        <v>1</v>
      </c>
      <c r="D63">
        <f>ROW(EtalonRes!A44)</f>
        <v>44</v>
      </c>
      <c r="E63" t="s">
        <v>100</v>
      </c>
      <c r="F63" t="s">
        <v>101</v>
      </c>
      <c r="G63" t="s">
        <v>102</v>
      </c>
      <c r="H63" t="s">
        <v>22</v>
      </c>
      <c r="I63">
        <v>89</v>
      </c>
      <c r="J63">
        <v>0</v>
      </c>
      <c r="K63">
        <v>89</v>
      </c>
      <c r="O63">
        <f t="shared" si="55"/>
        <v>164400.95000000001</v>
      </c>
      <c r="P63">
        <f>ROUND((ROUND((AC63*AW63*I63),2)*BC63),2)</f>
        <v>17850.95</v>
      </c>
      <c r="Q63">
        <f>(ROUND((ROUND((((ET63*1.1))*AV63*I63),2)*BB63),2)+ROUND((ROUND(((AE63-((EU63*1.1)))*AV63*I63),2)*BS63),2))</f>
        <v>0</v>
      </c>
      <c r="R63">
        <f t="shared" si="56"/>
        <v>0</v>
      </c>
      <c r="S63">
        <f t="shared" si="57"/>
        <v>146550</v>
      </c>
      <c r="T63">
        <f t="shared" si="58"/>
        <v>0</v>
      </c>
      <c r="U63">
        <f t="shared" si="59"/>
        <v>211.15267800000004</v>
      </c>
      <c r="V63">
        <f t="shared" si="60"/>
        <v>0</v>
      </c>
      <c r="W63">
        <f t="shared" si="61"/>
        <v>0</v>
      </c>
      <c r="X63">
        <f t="shared" si="62"/>
        <v>142153.5</v>
      </c>
      <c r="Y63">
        <f t="shared" si="63"/>
        <v>74740.5</v>
      </c>
      <c r="AA63">
        <v>56498968</v>
      </c>
      <c r="AB63">
        <f t="shared" si="64"/>
        <v>57.05</v>
      </c>
      <c r="AC63">
        <f t="shared" si="65"/>
        <v>28.45</v>
      </c>
      <c r="AD63">
        <f>ROUND(((((ET63*1.1))-((EU63*1.1)))+AE63),6)</f>
        <v>0</v>
      </c>
      <c r="AE63">
        <f>ROUND(((EU63*1.1)),6)</f>
        <v>0</v>
      </c>
      <c r="AF63">
        <f>ROUND(((EV63*1.1)),6)</f>
        <v>28.6</v>
      </c>
      <c r="AG63">
        <f t="shared" si="66"/>
        <v>0</v>
      </c>
      <c r="AH63">
        <f>((EW63*1.1))</f>
        <v>2.2660000000000005</v>
      </c>
      <c r="AI63">
        <f>((EX63*1.1))</f>
        <v>0</v>
      </c>
      <c r="AJ63">
        <f t="shared" si="67"/>
        <v>0</v>
      </c>
      <c r="AK63">
        <v>54.45</v>
      </c>
      <c r="AL63">
        <v>28.45</v>
      </c>
      <c r="AM63">
        <v>0</v>
      </c>
      <c r="AN63">
        <v>0</v>
      </c>
      <c r="AO63">
        <v>26</v>
      </c>
      <c r="AP63">
        <v>0</v>
      </c>
      <c r="AQ63">
        <v>2.06</v>
      </c>
      <c r="AR63">
        <v>0</v>
      </c>
      <c r="AS63">
        <v>0</v>
      </c>
      <c r="AT63">
        <v>97</v>
      </c>
      <c r="AU63">
        <v>51</v>
      </c>
      <c r="AV63">
        <v>1.0469999999999999</v>
      </c>
      <c r="AW63">
        <v>1</v>
      </c>
      <c r="AZ63">
        <v>1</v>
      </c>
      <c r="BA63">
        <v>54.99</v>
      </c>
      <c r="BB63">
        <v>1</v>
      </c>
      <c r="BC63">
        <v>7.05</v>
      </c>
      <c r="BD63" t="s">
        <v>3</v>
      </c>
      <c r="BE63" t="s">
        <v>3</v>
      </c>
      <c r="BF63" t="s">
        <v>3</v>
      </c>
      <c r="BG63" t="s">
        <v>3</v>
      </c>
      <c r="BH63">
        <v>0</v>
      </c>
      <c r="BI63">
        <v>2</v>
      </c>
      <c r="BJ63" t="s">
        <v>103</v>
      </c>
      <c r="BM63">
        <v>67</v>
      </c>
      <c r="BN63">
        <v>0</v>
      </c>
      <c r="BO63" t="s">
        <v>101</v>
      </c>
      <c r="BP63">
        <v>1</v>
      </c>
      <c r="BQ63">
        <v>40</v>
      </c>
      <c r="BR63">
        <v>0</v>
      </c>
      <c r="BS63">
        <v>54.99</v>
      </c>
      <c r="BT63">
        <v>1</v>
      </c>
      <c r="BU63">
        <v>1</v>
      </c>
      <c r="BV63">
        <v>1</v>
      </c>
      <c r="BW63">
        <v>1</v>
      </c>
      <c r="BX63">
        <v>1</v>
      </c>
      <c r="BY63" t="s">
        <v>3</v>
      </c>
      <c r="BZ63">
        <v>97</v>
      </c>
      <c r="CA63">
        <v>51</v>
      </c>
      <c r="CB63" t="s">
        <v>3</v>
      </c>
      <c r="CE63">
        <v>30</v>
      </c>
      <c r="CF63">
        <v>0</v>
      </c>
      <c r="CG63">
        <v>0</v>
      </c>
      <c r="CM63">
        <v>0</v>
      </c>
      <c r="CN63" t="s">
        <v>3</v>
      </c>
      <c r="CO63">
        <v>0</v>
      </c>
      <c r="CP63">
        <f t="shared" si="68"/>
        <v>164400.95000000001</v>
      </c>
      <c r="CQ63">
        <f>ROUND((ROUND((AC63*AW63*1),2)*BC63),2)</f>
        <v>200.57</v>
      </c>
      <c r="CR63">
        <f>(ROUND((ROUND((((ET63*1.1))*AV63*1),2)*BB63),2)+ROUND((ROUND(((AE63-((EU63*1.1)))*AV63*1),2)*BS63),2))</f>
        <v>0</v>
      </c>
      <c r="CS63">
        <f t="shared" si="69"/>
        <v>0</v>
      </c>
      <c r="CT63">
        <f t="shared" si="70"/>
        <v>1646.4</v>
      </c>
      <c r="CU63">
        <f t="shared" si="71"/>
        <v>0</v>
      </c>
      <c r="CV63">
        <f t="shared" si="72"/>
        <v>2.3725020000000003</v>
      </c>
      <c r="CW63">
        <f t="shared" si="73"/>
        <v>0</v>
      </c>
      <c r="CX63">
        <f t="shared" si="74"/>
        <v>0</v>
      </c>
      <c r="CY63">
        <f t="shared" si="75"/>
        <v>142153.5</v>
      </c>
      <c r="CZ63">
        <f t="shared" si="76"/>
        <v>74740.5</v>
      </c>
      <c r="DC63" t="s">
        <v>3</v>
      </c>
      <c r="DD63" t="s">
        <v>3</v>
      </c>
      <c r="DE63" t="s">
        <v>24</v>
      </c>
      <c r="DF63" t="s">
        <v>24</v>
      </c>
      <c r="DG63" t="s">
        <v>24</v>
      </c>
      <c r="DH63" t="s">
        <v>3</v>
      </c>
      <c r="DI63" t="s">
        <v>24</v>
      </c>
      <c r="DJ63" t="s">
        <v>24</v>
      </c>
      <c r="DK63" t="s">
        <v>3</v>
      </c>
      <c r="DL63" t="s">
        <v>3</v>
      </c>
      <c r="DM63" t="s">
        <v>3</v>
      </c>
      <c r="DN63">
        <v>0</v>
      </c>
      <c r="DO63">
        <v>0</v>
      </c>
      <c r="DP63">
        <v>1</v>
      </c>
      <c r="DQ63">
        <v>1</v>
      </c>
      <c r="DU63">
        <v>1013</v>
      </c>
      <c r="DV63" t="s">
        <v>22</v>
      </c>
      <c r="DW63" t="s">
        <v>22</v>
      </c>
      <c r="DX63">
        <v>1</v>
      </c>
      <c r="DZ63" t="s">
        <v>3</v>
      </c>
      <c r="EA63" t="s">
        <v>3</v>
      </c>
      <c r="EB63" t="s">
        <v>3</v>
      </c>
      <c r="EC63" t="s">
        <v>3</v>
      </c>
      <c r="EE63">
        <v>58162629</v>
      </c>
      <c r="EF63">
        <v>40</v>
      </c>
      <c r="EG63" t="s">
        <v>25</v>
      </c>
      <c r="EH63">
        <v>0</v>
      </c>
      <c r="EI63" t="s">
        <v>3</v>
      </c>
      <c r="EJ63">
        <v>2</v>
      </c>
      <c r="EK63">
        <v>67</v>
      </c>
      <c r="EL63" t="s">
        <v>104</v>
      </c>
      <c r="EM63" t="s">
        <v>105</v>
      </c>
      <c r="EO63" t="s">
        <v>28</v>
      </c>
      <c r="EQ63">
        <v>0</v>
      </c>
      <c r="ER63">
        <v>54.45</v>
      </c>
      <c r="ES63">
        <v>28.45</v>
      </c>
      <c r="ET63">
        <v>0</v>
      </c>
      <c r="EU63">
        <v>0</v>
      </c>
      <c r="EV63">
        <v>26</v>
      </c>
      <c r="EW63">
        <v>2.06</v>
      </c>
      <c r="EX63">
        <v>0</v>
      </c>
      <c r="EY63">
        <v>0</v>
      </c>
      <c r="FQ63">
        <v>0</v>
      </c>
      <c r="FR63">
        <v>0</v>
      </c>
      <c r="FS63">
        <v>0</v>
      </c>
      <c r="FX63">
        <v>97</v>
      </c>
      <c r="FY63">
        <v>51</v>
      </c>
      <c r="GA63" t="s">
        <v>3</v>
      </c>
      <c r="GD63">
        <v>1</v>
      </c>
      <c r="GF63">
        <v>1398713646</v>
      </c>
      <c r="GG63">
        <v>2</v>
      </c>
      <c r="GH63">
        <v>1</v>
      </c>
      <c r="GI63">
        <v>2</v>
      </c>
      <c r="GJ63">
        <v>0</v>
      </c>
      <c r="GK63">
        <v>0</v>
      </c>
      <c r="GL63">
        <f t="shared" si="77"/>
        <v>0</v>
      </c>
      <c r="GM63">
        <f t="shared" si="78"/>
        <v>381294.95</v>
      </c>
      <c r="GN63">
        <f t="shared" si="79"/>
        <v>0</v>
      </c>
      <c r="GO63">
        <f t="shared" si="80"/>
        <v>381294.95</v>
      </c>
      <c r="GP63">
        <f t="shared" si="81"/>
        <v>0</v>
      </c>
      <c r="GR63">
        <v>0</v>
      </c>
      <c r="GS63">
        <v>3</v>
      </c>
      <c r="GT63">
        <v>0</v>
      </c>
      <c r="GU63" t="s">
        <v>3</v>
      </c>
      <c r="GV63">
        <f t="shared" si="82"/>
        <v>0</v>
      </c>
      <c r="GW63">
        <v>1</v>
      </c>
      <c r="GX63">
        <f t="shared" si="83"/>
        <v>0</v>
      </c>
      <c r="HA63">
        <v>0</v>
      </c>
      <c r="HB63">
        <v>0</v>
      </c>
      <c r="HC63">
        <f t="shared" si="84"/>
        <v>0</v>
      </c>
      <c r="HE63" t="s">
        <v>3</v>
      </c>
      <c r="HF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S63">
        <v>0</v>
      </c>
      <c r="IK63">
        <v>0</v>
      </c>
    </row>
    <row r="64" spans="1:255" x14ac:dyDescent="0.3">
      <c r="A64" s="2">
        <v>18</v>
      </c>
      <c r="B64" s="2">
        <v>1</v>
      </c>
      <c r="C64" s="2"/>
      <c r="D64" s="2"/>
      <c r="E64" s="2" t="s">
        <v>106</v>
      </c>
      <c r="F64" s="2" t="s">
        <v>107</v>
      </c>
      <c r="G64" s="2" t="s">
        <v>108</v>
      </c>
      <c r="H64" s="2" t="s">
        <v>32</v>
      </c>
      <c r="I64" s="2">
        <f>I62*J64</f>
        <v>89</v>
      </c>
      <c r="J64" s="2">
        <v>1</v>
      </c>
      <c r="K64" s="2">
        <v>1</v>
      </c>
      <c r="L64" s="2"/>
      <c r="M64" s="2"/>
      <c r="N64" s="2"/>
      <c r="O64" s="2">
        <f t="shared" si="55"/>
        <v>6873.47</v>
      </c>
      <c r="P64" s="2">
        <f>ROUND((ROUND((AC64*I64),2)*BC64),2)</f>
        <v>6873.47</v>
      </c>
      <c r="Q64" s="2">
        <f>(ROUND((ROUND(((ET64)*AV64*I64),2)*BB64),2)+ROUND((ROUND(((AE64-(EU64))*AV64*I64),2)*BS64),2))</f>
        <v>0</v>
      </c>
      <c r="R64" s="2">
        <f t="shared" si="56"/>
        <v>0</v>
      </c>
      <c r="S64" s="2">
        <f t="shared" si="57"/>
        <v>0</v>
      </c>
      <c r="T64" s="2">
        <f t="shared" si="58"/>
        <v>0</v>
      </c>
      <c r="U64" s="2">
        <f t="shared" si="59"/>
        <v>0</v>
      </c>
      <c r="V64" s="2">
        <f t="shared" si="60"/>
        <v>0</v>
      </c>
      <c r="W64" s="2">
        <f t="shared" si="61"/>
        <v>0</v>
      </c>
      <c r="X64" s="2">
        <f t="shared" si="62"/>
        <v>0</v>
      </c>
      <c r="Y64" s="2">
        <f t="shared" si="63"/>
        <v>0</v>
      </c>
      <c r="Z64" s="2"/>
      <c r="AA64" s="2">
        <v>56498966</v>
      </c>
      <c r="AB64" s="2">
        <f t="shared" si="64"/>
        <v>77.23</v>
      </c>
      <c r="AC64" s="2">
        <f t="shared" si="65"/>
        <v>77.23</v>
      </c>
      <c r="AD64" s="2">
        <f>ROUND((((ET64)-(EU64))+AE64),6)</f>
        <v>0</v>
      </c>
      <c r="AE64" s="2">
        <f>ROUND((EU64),6)</f>
        <v>0</v>
      </c>
      <c r="AF64" s="2">
        <f>ROUND((EV64),6)</f>
        <v>0</v>
      </c>
      <c r="AG64" s="2">
        <f t="shared" si="66"/>
        <v>0</v>
      </c>
      <c r="AH64" s="2">
        <f>(EW64)</f>
        <v>0</v>
      </c>
      <c r="AI64" s="2">
        <f>(EX64)</f>
        <v>0</v>
      </c>
      <c r="AJ64" s="2">
        <f t="shared" si="67"/>
        <v>0</v>
      </c>
      <c r="AK64" s="2">
        <v>77.23</v>
      </c>
      <c r="AL64" s="2">
        <v>77.23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3</v>
      </c>
      <c r="BJ64" s="2" t="s">
        <v>3</v>
      </c>
      <c r="BK64" s="2"/>
      <c r="BL64" s="2"/>
      <c r="BM64" s="2">
        <v>746</v>
      </c>
      <c r="BN64" s="2">
        <v>0</v>
      </c>
      <c r="BO64" s="2" t="s">
        <v>3</v>
      </c>
      <c r="BP64" s="2">
        <v>0</v>
      </c>
      <c r="BQ64" s="2">
        <v>130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97</v>
      </c>
      <c r="CA64" s="2">
        <v>51</v>
      </c>
      <c r="CB64" s="2" t="s">
        <v>3</v>
      </c>
      <c r="CC64" s="2"/>
      <c r="CD64" s="2"/>
      <c r="CE64" s="2">
        <v>30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68"/>
        <v>6873.47</v>
      </c>
      <c r="CQ64" s="2">
        <f>ROUND((ROUND((AC64*1),2)*BC64),2)</f>
        <v>77.23</v>
      </c>
      <c r="CR64" s="2">
        <f>(ROUND((ROUND(((ET64)*AV64*1),2)*BB64),2)+ROUND((ROUND(((AE64-(EU64))*AV64*1),2)*BS64),2))</f>
        <v>0</v>
      </c>
      <c r="CS64" s="2">
        <f t="shared" si="69"/>
        <v>0</v>
      </c>
      <c r="CT64" s="2">
        <f t="shared" si="70"/>
        <v>0</v>
      </c>
      <c r="CU64" s="2">
        <f t="shared" si="71"/>
        <v>0</v>
      </c>
      <c r="CV64" s="2">
        <f t="shared" si="72"/>
        <v>0</v>
      </c>
      <c r="CW64" s="2">
        <f t="shared" si="73"/>
        <v>0</v>
      </c>
      <c r="CX64" s="2">
        <f t="shared" si="74"/>
        <v>0</v>
      </c>
      <c r="CY64" s="2">
        <f t="shared" si="75"/>
        <v>0</v>
      </c>
      <c r="CZ64" s="2">
        <f t="shared" si="76"/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1010</v>
      </c>
      <c r="DV64" s="2" t="s">
        <v>32</v>
      </c>
      <c r="DW64" s="2" t="s">
        <v>32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58162750</v>
      </c>
      <c r="EF64" s="2">
        <v>130</v>
      </c>
      <c r="EG64" s="2" t="s">
        <v>33</v>
      </c>
      <c r="EH64" s="2">
        <v>0</v>
      </c>
      <c r="EI64" s="2" t="s">
        <v>3</v>
      </c>
      <c r="EJ64" s="2">
        <v>3</v>
      </c>
      <c r="EK64" s="2">
        <v>746</v>
      </c>
      <c r="EL64" s="2" t="s">
        <v>34</v>
      </c>
      <c r="EM64" s="2" t="s">
        <v>35</v>
      </c>
      <c r="EN64" s="2"/>
      <c r="EO64" s="2" t="s">
        <v>3</v>
      </c>
      <c r="EP64" s="2"/>
      <c r="EQ64" s="2">
        <v>0</v>
      </c>
      <c r="ER64" s="2">
        <v>0</v>
      </c>
      <c r="ES64" s="2">
        <v>77.23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f>P64</f>
        <v>6873.47</v>
      </c>
      <c r="FS64" s="2">
        <v>0</v>
      </c>
      <c r="FT64" s="2"/>
      <c r="FU64" s="2"/>
      <c r="FV64" s="2"/>
      <c r="FW64" s="2"/>
      <c r="FX64" s="2">
        <v>97</v>
      </c>
      <c r="FY64" s="2">
        <v>51</v>
      </c>
      <c r="FZ64" s="2"/>
      <c r="GA64" s="2" t="s">
        <v>109</v>
      </c>
      <c r="GB64" s="2"/>
      <c r="GC64" s="2"/>
      <c r="GD64" s="2">
        <v>1</v>
      </c>
      <c r="GE64" s="2"/>
      <c r="GF64" s="2">
        <v>-1365184430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77"/>
        <v>0</v>
      </c>
      <c r="GM64" s="2">
        <f t="shared" si="78"/>
        <v>6873.47</v>
      </c>
      <c r="GN64" s="2">
        <f t="shared" si="79"/>
        <v>0</v>
      </c>
      <c r="GO64" s="2">
        <f t="shared" si="80"/>
        <v>0</v>
      </c>
      <c r="GP64" s="2">
        <f t="shared" si="81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82"/>
        <v>0</v>
      </c>
      <c r="GW64" s="2">
        <v>1</v>
      </c>
      <c r="GX64" s="2">
        <f t="shared" si="83"/>
        <v>0</v>
      </c>
      <c r="GY64" s="2"/>
      <c r="GZ64" s="2"/>
      <c r="HA64" s="2">
        <v>0</v>
      </c>
      <c r="HB64" s="2">
        <v>0</v>
      </c>
      <c r="HC64" s="2">
        <f t="shared" si="84"/>
        <v>0</v>
      </c>
      <c r="HD64" s="2"/>
      <c r="HE64" s="2" t="s">
        <v>37</v>
      </c>
      <c r="HF64" s="2" t="s">
        <v>38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3">
      <c r="A65">
        <v>18</v>
      </c>
      <c r="B65">
        <v>1</v>
      </c>
      <c r="E65" t="s">
        <v>106</v>
      </c>
      <c r="F65" t="s">
        <v>107</v>
      </c>
      <c r="G65" t="s">
        <v>108</v>
      </c>
      <c r="H65" t="s">
        <v>32</v>
      </c>
      <c r="I65">
        <f>I63*J65</f>
        <v>89</v>
      </c>
      <c r="J65">
        <v>1</v>
      </c>
      <c r="K65">
        <v>1</v>
      </c>
      <c r="O65">
        <f t="shared" si="55"/>
        <v>52650.78</v>
      </c>
      <c r="P65">
        <f>ROUND((ROUND((AC65*I65),2)*BC65),2)</f>
        <v>52650.78</v>
      </c>
      <c r="Q65">
        <f>(ROUND((ROUND(((ET65)*AV65*I65),2)*BB65),2)+ROUND((ROUND(((AE65-(EU65))*AV65*I65),2)*BS65),2))</f>
        <v>0</v>
      </c>
      <c r="R65">
        <f t="shared" si="56"/>
        <v>0</v>
      </c>
      <c r="S65">
        <f t="shared" si="57"/>
        <v>0</v>
      </c>
      <c r="T65">
        <f t="shared" si="58"/>
        <v>0</v>
      </c>
      <c r="U65">
        <f t="shared" si="59"/>
        <v>0</v>
      </c>
      <c r="V65">
        <f t="shared" si="60"/>
        <v>0</v>
      </c>
      <c r="W65">
        <f t="shared" si="61"/>
        <v>0</v>
      </c>
      <c r="X65">
        <f t="shared" si="62"/>
        <v>0</v>
      </c>
      <c r="Y65">
        <f t="shared" si="63"/>
        <v>0</v>
      </c>
      <c r="AA65">
        <v>56498968</v>
      </c>
      <c r="AB65">
        <f t="shared" si="64"/>
        <v>77.23</v>
      </c>
      <c r="AC65">
        <f t="shared" si="65"/>
        <v>77.23</v>
      </c>
      <c r="AD65">
        <f>ROUND((((ET65)-(EU65))+AE65),6)</f>
        <v>0</v>
      </c>
      <c r="AE65">
        <f>ROUND((EU65),6)</f>
        <v>0</v>
      </c>
      <c r="AF65">
        <f>ROUND((EV65),6)</f>
        <v>0</v>
      </c>
      <c r="AG65">
        <f t="shared" si="66"/>
        <v>0</v>
      </c>
      <c r="AH65">
        <f>(EW65)</f>
        <v>0</v>
      </c>
      <c r="AI65">
        <f>(EX65)</f>
        <v>0</v>
      </c>
      <c r="AJ65">
        <f t="shared" si="67"/>
        <v>0</v>
      </c>
      <c r="AK65">
        <v>77.23</v>
      </c>
      <c r="AL65">
        <v>77.23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Z65">
        <v>1</v>
      </c>
      <c r="BA65">
        <v>1</v>
      </c>
      <c r="BB65">
        <v>1</v>
      </c>
      <c r="BC65">
        <v>7.66</v>
      </c>
      <c r="BD65" t="s">
        <v>3</v>
      </c>
      <c r="BE65" t="s">
        <v>3</v>
      </c>
      <c r="BF65" t="s">
        <v>3</v>
      </c>
      <c r="BG65" t="s">
        <v>3</v>
      </c>
      <c r="BH65">
        <v>3</v>
      </c>
      <c r="BI65">
        <v>3</v>
      </c>
      <c r="BJ65" t="s">
        <v>3</v>
      </c>
      <c r="BM65">
        <v>746</v>
      </c>
      <c r="BN65">
        <v>0</v>
      </c>
      <c r="BO65" t="s">
        <v>3</v>
      </c>
      <c r="BP65">
        <v>0</v>
      </c>
      <c r="BQ65">
        <v>130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 t="s">
        <v>3</v>
      </c>
      <c r="BZ65">
        <v>97</v>
      </c>
      <c r="CA65">
        <v>51</v>
      </c>
      <c r="CB65" t="s">
        <v>3</v>
      </c>
      <c r="CE65">
        <v>30</v>
      </c>
      <c r="CF65">
        <v>0</v>
      </c>
      <c r="CG65">
        <v>0</v>
      </c>
      <c r="CM65">
        <v>0</v>
      </c>
      <c r="CN65" t="s">
        <v>3</v>
      </c>
      <c r="CO65">
        <v>0</v>
      </c>
      <c r="CP65">
        <f t="shared" si="68"/>
        <v>52650.78</v>
      </c>
      <c r="CQ65">
        <f>ROUND((ROUND((AC65*1),2)*BC65),2)</f>
        <v>591.58000000000004</v>
      </c>
      <c r="CR65">
        <f>(ROUND((ROUND(((ET65)*AV65*1),2)*BB65),2)+ROUND((ROUND(((AE65-(EU65))*AV65*1),2)*BS65),2))</f>
        <v>0</v>
      </c>
      <c r="CS65">
        <f t="shared" si="69"/>
        <v>0</v>
      </c>
      <c r="CT65">
        <f t="shared" si="70"/>
        <v>0</v>
      </c>
      <c r="CU65">
        <f t="shared" si="71"/>
        <v>0</v>
      </c>
      <c r="CV65">
        <f t="shared" si="72"/>
        <v>0</v>
      </c>
      <c r="CW65">
        <f t="shared" si="73"/>
        <v>0</v>
      </c>
      <c r="CX65">
        <f t="shared" si="74"/>
        <v>0</v>
      </c>
      <c r="CY65">
        <f t="shared" si="75"/>
        <v>0</v>
      </c>
      <c r="CZ65">
        <f t="shared" si="76"/>
        <v>0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>
        <v>0</v>
      </c>
      <c r="DO65">
        <v>0</v>
      </c>
      <c r="DP65">
        <v>1</v>
      </c>
      <c r="DQ65">
        <v>1</v>
      </c>
      <c r="DU65">
        <v>1010</v>
      </c>
      <c r="DV65" t="s">
        <v>32</v>
      </c>
      <c r="DW65" t="s">
        <v>32</v>
      </c>
      <c r="DX65">
        <v>1</v>
      </c>
      <c r="DZ65" t="s">
        <v>3</v>
      </c>
      <c r="EA65" t="s">
        <v>3</v>
      </c>
      <c r="EB65" t="s">
        <v>3</v>
      </c>
      <c r="EC65" t="s">
        <v>3</v>
      </c>
      <c r="EE65">
        <v>58162750</v>
      </c>
      <c r="EF65">
        <v>130</v>
      </c>
      <c r="EG65" t="s">
        <v>33</v>
      </c>
      <c r="EH65">
        <v>0</v>
      </c>
      <c r="EI65" t="s">
        <v>3</v>
      </c>
      <c r="EJ65">
        <v>3</v>
      </c>
      <c r="EK65">
        <v>746</v>
      </c>
      <c r="EL65" t="s">
        <v>34</v>
      </c>
      <c r="EM65" t="s">
        <v>35</v>
      </c>
      <c r="EO65" t="s">
        <v>3</v>
      </c>
      <c r="EQ65">
        <v>0</v>
      </c>
      <c r="ER65">
        <v>77.23</v>
      </c>
      <c r="ES65">
        <v>77.23</v>
      </c>
      <c r="ET65">
        <v>0</v>
      </c>
      <c r="EU65">
        <v>0</v>
      </c>
      <c r="EV65">
        <v>0</v>
      </c>
      <c r="EW65">
        <v>0</v>
      </c>
      <c r="EX65">
        <v>0</v>
      </c>
      <c r="EZ65">
        <v>5</v>
      </c>
      <c r="FC65">
        <v>1</v>
      </c>
      <c r="FD65">
        <v>18</v>
      </c>
      <c r="FF65">
        <v>681</v>
      </c>
      <c r="FQ65">
        <v>0</v>
      </c>
      <c r="FR65">
        <f>P65</f>
        <v>52650.78</v>
      </c>
      <c r="FS65">
        <v>0</v>
      </c>
      <c r="FX65">
        <v>97</v>
      </c>
      <c r="FY65">
        <v>51</v>
      </c>
      <c r="GA65" t="s">
        <v>109</v>
      </c>
      <c r="GD65">
        <v>1</v>
      </c>
      <c r="GF65">
        <v>-1365184430</v>
      </c>
      <c r="GG65">
        <v>2</v>
      </c>
      <c r="GH65">
        <v>3</v>
      </c>
      <c r="GI65">
        <v>5</v>
      </c>
      <c r="GJ65">
        <v>0</v>
      </c>
      <c r="GK65">
        <v>0</v>
      </c>
      <c r="GL65">
        <f t="shared" si="77"/>
        <v>0</v>
      </c>
      <c r="GM65">
        <f t="shared" si="78"/>
        <v>52650.78</v>
      </c>
      <c r="GN65">
        <f t="shared" si="79"/>
        <v>0</v>
      </c>
      <c r="GO65">
        <f t="shared" si="80"/>
        <v>0</v>
      </c>
      <c r="GP65">
        <f t="shared" si="81"/>
        <v>0</v>
      </c>
      <c r="GR65">
        <v>1</v>
      </c>
      <c r="GS65">
        <v>1</v>
      </c>
      <c r="GT65">
        <v>0</v>
      </c>
      <c r="GU65" t="s">
        <v>3</v>
      </c>
      <c r="GV65">
        <f t="shared" si="82"/>
        <v>0</v>
      </c>
      <c r="GW65">
        <v>1</v>
      </c>
      <c r="GX65">
        <f t="shared" si="83"/>
        <v>0</v>
      </c>
      <c r="HA65">
        <v>0</v>
      </c>
      <c r="HB65">
        <v>0</v>
      </c>
      <c r="HC65">
        <f t="shared" si="84"/>
        <v>0</v>
      </c>
      <c r="HE65" t="s">
        <v>37</v>
      </c>
      <c r="HF65" t="s">
        <v>38</v>
      </c>
      <c r="HM65" t="s">
        <v>3</v>
      </c>
      <c r="HN65" t="s">
        <v>3</v>
      </c>
      <c r="HO65" t="s">
        <v>3</v>
      </c>
      <c r="HP65" t="s">
        <v>3</v>
      </c>
      <c r="HQ65" t="s">
        <v>3</v>
      </c>
      <c r="HS65">
        <v>0</v>
      </c>
      <c r="IK65">
        <v>0</v>
      </c>
    </row>
    <row r="66" spans="1:255" x14ac:dyDescent="0.3">
      <c r="A66" s="2">
        <v>17</v>
      </c>
      <c r="B66" s="2">
        <v>1</v>
      </c>
      <c r="C66" s="2"/>
      <c r="D66" s="2">
        <f>ROW(EtalonRes!A45)</f>
        <v>45</v>
      </c>
      <c r="E66" s="2" t="s">
        <v>110</v>
      </c>
      <c r="F66" s="2" t="s">
        <v>57</v>
      </c>
      <c r="G66" s="2" t="s">
        <v>58</v>
      </c>
      <c r="H66" s="2" t="s">
        <v>22</v>
      </c>
      <c r="I66" s="2">
        <f>ROUND(78+1+25,9)</f>
        <v>104</v>
      </c>
      <c r="J66" s="2">
        <v>0</v>
      </c>
      <c r="K66" s="2">
        <f>ROUND(78+1+25,9)</f>
        <v>104</v>
      </c>
      <c r="L66" s="2"/>
      <c r="M66" s="2"/>
      <c r="N66" s="2"/>
      <c r="O66" s="2">
        <f t="shared" si="55"/>
        <v>2677.5</v>
      </c>
      <c r="P66" s="2">
        <f>ROUND((ROUND((AC66*AW66*I66),2)*BC66),2)</f>
        <v>131.04</v>
      </c>
      <c r="Q66" s="2">
        <f>(ROUND((ROUND((((ET66*1.1))*AV66*I66),2)*BB66),2)+ROUND((ROUND(((AE66-((EU66*1.1)))*AV66*I66),2)*BS66),2))</f>
        <v>7.19</v>
      </c>
      <c r="R66" s="2">
        <f t="shared" si="56"/>
        <v>1.2</v>
      </c>
      <c r="S66" s="2">
        <f t="shared" si="57"/>
        <v>2539.27</v>
      </c>
      <c r="T66" s="2">
        <f t="shared" si="58"/>
        <v>0</v>
      </c>
      <c r="U66" s="2">
        <f t="shared" si="59"/>
        <v>201.22502399999999</v>
      </c>
      <c r="V66" s="2">
        <f t="shared" si="60"/>
        <v>0</v>
      </c>
      <c r="W66" s="2">
        <f t="shared" si="61"/>
        <v>0</v>
      </c>
      <c r="X66" s="2">
        <f t="shared" si="62"/>
        <v>2286.42</v>
      </c>
      <c r="Y66" s="2">
        <f t="shared" si="63"/>
        <v>1168.6199999999999</v>
      </c>
      <c r="Z66" s="2"/>
      <c r="AA66" s="2">
        <v>56498966</v>
      </c>
      <c r="AB66" s="2">
        <f t="shared" si="64"/>
        <v>24.646000000000001</v>
      </c>
      <c r="AC66" s="2">
        <f t="shared" si="65"/>
        <v>1.26</v>
      </c>
      <c r="AD66" s="2">
        <f>ROUND(((((ET66*1.1))-((EU66*1.1)))+AE66),6)</f>
        <v>6.6000000000000003E-2</v>
      </c>
      <c r="AE66" s="2">
        <f>ROUND(((EU66*1.1)),6)</f>
        <v>1.0999999999999999E-2</v>
      </c>
      <c r="AF66" s="2">
        <f>ROUND(((EV66*1.1)),6)</f>
        <v>23.32</v>
      </c>
      <c r="AG66" s="2">
        <f t="shared" si="66"/>
        <v>0</v>
      </c>
      <c r="AH66" s="2">
        <f>((EW66*1.1))</f>
        <v>1.8480000000000001</v>
      </c>
      <c r="AI66" s="2">
        <f>((EX66*1.1))</f>
        <v>0</v>
      </c>
      <c r="AJ66" s="2">
        <f t="shared" si="67"/>
        <v>0</v>
      </c>
      <c r="AK66" s="2">
        <v>22.52</v>
      </c>
      <c r="AL66" s="2">
        <v>1.26</v>
      </c>
      <c r="AM66" s="2">
        <v>0.06</v>
      </c>
      <c r="AN66" s="2">
        <v>0.01</v>
      </c>
      <c r="AO66" s="2">
        <v>21.2</v>
      </c>
      <c r="AP66" s="2">
        <v>0</v>
      </c>
      <c r="AQ66" s="2">
        <v>1.68</v>
      </c>
      <c r="AR66" s="2">
        <v>0</v>
      </c>
      <c r="AS66" s="2">
        <v>0</v>
      </c>
      <c r="AT66" s="2">
        <v>90</v>
      </c>
      <c r="AU66" s="2">
        <v>46</v>
      </c>
      <c r="AV66" s="2">
        <v>1.0469999999999999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2</v>
      </c>
      <c r="BJ66" s="2" t="s">
        <v>59</v>
      </c>
      <c r="BK66" s="2"/>
      <c r="BL66" s="2"/>
      <c r="BM66" s="2">
        <v>68</v>
      </c>
      <c r="BN66" s="2">
        <v>0</v>
      </c>
      <c r="BO66" s="2" t="s">
        <v>57</v>
      </c>
      <c r="BP66" s="2">
        <v>1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90</v>
      </c>
      <c r="CA66" s="2">
        <v>46</v>
      </c>
      <c r="CB66" s="2" t="s">
        <v>3</v>
      </c>
      <c r="CC66" s="2"/>
      <c r="CD66" s="2"/>
      <c r="CE66" s="2">
        <v>30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68"/>
        <v>2677.5</v>
      </c>
      <c r="CQ66" s="2">
        <f>ROUND((ROUND((AC66*AW66*1),2)*BC66),2)</f>
        <v>1.26</v>
      </c>
      <c r="CR66" s="2">
        <f>(ROUND((ROUND((((ET66*1.1))*AV66*1),2)*BB66),2)+ROUND((ROUND(((AE66-((EU66*1.1)))*AV66*1),2)*BS66),2))</f>
        <v>7.0000000000000007E-2</v>
      </c>
      <c r="CS66" s="2">
        <f t="shared" si="69"/>
        <v>0.01</v>
      </c>
      <c r="CT66" s="2">
        <f t="shared" si="70"/>
        <v>24.42</v>
      </c>
      <c r="CU66" s="2">
        <f t="shared" si="71"/>
        <v>0</v>
      </c>
      <c r="CV66" s="2">
        <f t="shared" si="72"/>
        <v>1.9348559999999999</v>
      </c>
      <c r="CW66" s="2">
        <f t="shared" si="73"/>
        <v>0</v>
      </c>
      <c r="CX66" s="2">
        <f t="shared" si="74"/>
        <v>0</v>
      </c>
      <c r="CY66" s="2">
        <f t="shared" si="75"/>
        <v>2286.4229999999998</v>
      </c>
      <c r="CZ66" s="2">
        <f t="shared" si="76"/>
        <v>1168.6161999999999</v>
      </c>
      <c r="DA66" s="2"/>
      <c r="DB66" s="2"/>
      <c r="DC66" s="2" t="s">
        <v>3</v>
      </c>
      <c r="DD66" s="2" t="s">
        <v>3</v>
      </c>
      <c r="DE66" s="2" t="s">
        <v>24</v>
      </c>
      <c r="DF66" s="2" t="s">
        <v>24</v>
      </c>
      <c r="DG66" s="2" t="s">
        <v>24</v>
      </c>
      <c r="DH66" s="2" t="s">
        <v>3</v>
      </c>
      <c r="DI66" s="2" t="s">
        <v>24</v>
      </c>
      <c r="DJ66" s="2" t="s">
        <v>24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22</v>
      </c>
      <c r="DW66" s="2" t="s">
        <v>22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58162630</v>
      </c>
      <c r="EF66" s="2">
        <v>40</v>
      </c>
      <c r="EG66" s="2" t="s">
        <v>25</v>
      </c>
      <c r="EH66" s="2">
        <v>0</v>
      </c>
      <c r="EI66" s="2" t="s">
        <v>3</v>
      </c>
      <c r="EJ66" s="2">
        <v>2</v>
      </c>
      <c r="EK66" s="2">
        <v>68</v>
      </c>
      <c r="EL66" s="2" t="s">
        <v>26</v>
      </c>
      <c r="EM66" s="2" t="s">
        <v>27</v>
      </c>
      <c r="EN66" s="2"/>
      <c r="EO66" s="2" t="s">
        <v>28</v>
      </c>
      <c r="EP66" s="2"/>
      <c r="EQ66" s="2">
        <v>0</v>
      </c>
      <c r="ER66" s="2">
        <v>22.52</v>
      </c>
      <c r="ES66" s="2">
        <v>1.26</v>
      </c>
      <c r="ET66" s="2">
        <v>0.06</v>
      </c>
      <c r="EU66" s="2">
        <v>0.01</v>
      </c>
      <c r="EV66" s="2">
        <v>21.2</v>
      </c>
      <c r="EW66" s="2">
        <v>1.68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90</v>
      </c>
      <c r="FY66" s="2">
        <v>46</v>
      </c>
      <c r="FZ66" s="2"/>
      <c r="GA66" s="2" t="s">
        <v>3</v>
      </c>
      <c r="GB66" s="2"/>
      <c r="GC66" s="2"/>
      <c r="GD66" s="2">
        <v>1</v>
      </c>
      <c r="GE66" s="2"/>
      <c r="GF66" s="2">
        <v>-1912799884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77"/>
        <v>0</v>
      </c>
      <c r="GM66" s="2">
        <f t="shared" si="78"/>
        <v>6132.54</v>
      </c>
      <c r="GN66" s="2">
        <f t="shared" si="79"/>
        <v>0</v>
      </c>
      <c r="GO66" s="2">
        <f t="shared" si="80"/>
        <v>6132.54</v>
      </c>
      <c r="GP66" s="2">
        <f t="shared" si="81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82"/>
        <v>0</v>
      </c>
      <c r="GW66" s="2">
        <v>1</v>
      </c>
      <c r="GX66" s="2">
        <f t="shared" si="83"/>
        <v>0</v>
      </c>
      <c r="GY66" s="2"/>
      <c r="GZ66" s="2"/>
      <c r="HA66" s="2">
        <v>0</v>
      </c>
      <c r="HB66" s="2">
        <v>0</v>
      </c>
      <c r="HC66" s="2">
        <f t="shared" si="84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3">
      <c r="A67">
        <v>17</v>
      </c>
      <c r="B67">
        <v>1</v>
      </c>
      <c r="D67">
        <f>ROW(EtalonRes!A46)</f>
        <v>46</v>
      </c>
      <c r="E67" t="s">
        <v>110</v>
      </c>
      <c r="F67" t="s">
        <v>57</v>
      </c>
      <c r="G67" t="s">
        <v>58</v>
      </c>
      <c r="H67" t="s">
        <v>22</v>
      </c>
      <c r="I67">
        <f>ROUND(78+1+25,9)</f>
        <v>104</v>
      </c>
      <c r="J67">
        <v>0</v>
      </c>
      <c r="K67">
        <f>ROUND(78+1+25,9)</f>
        <v>104</v>
      </c>
      <c r="O67">
        <f t="shared" si="55"/>
        <v>141056.28</v>
      </c>
      <c r="P67">
        <f>ROUND((ROUND((AC67*AW67*I67),2)*BC67),2)</f>
        <v>1295.99</v>
      </c>
      <c r="Q67">
        <f>(ROUND((ROUND((((ET67*1.1))*AV67*I67),2)*BB67),2)+ROUND((ROUND(((AE67-((EU67*1.1)))*AV67*I67),2)*BS67),2))</f>
        <v>125.83</v>
      </c>
      <c r="R67">
        <f t="shared" si="56"/>
        <v>65.989999999999995</v>
      </c>
      <c r="S67">
        <f t="shared" si="57"/>
        <v>139634.46</v>
      </c>
      <c r="T67">
        <f t="shared" si="58"/>
        <v>0</v>
      </c>
      <c r="U67">
        <f t="shared" si="59"/>
        <v>201.22502399999999</v>
      </c>
      <c r="V67">
        <f t="shared" si="60"/>
        <v>0</v>
      </c>
      <c r="W67">
        <f t="shared" si="61"/>
        <v>0</v>
      </c>
      <c r="X67">
        <f t="shared" si="62"/>
        <v>125730.41</v>
      </c>
      <c r="Y67">
        <f t="shared" si="63"/>
        <v>64262.21</v>
      </c>
      <c r="AA67">
        <v>56498968</v>
      </c>
      <c r="AB67">
        <f t="shared" si="64"/>
        <v>24.646000000000001</v>
      </c>
      <c r="AC67">
        <f t="shared" si="65"/>
        <v>1.26</v>
      </c>
      <c r="AD67">
        <f>ROUND(((((ET67*1.1))-((EU67*1.1)))+AE67),6)</f>
        <v>6.6000000000000003E-2</v>
      </c>
      <c r="AE67">
        <f>ROUND(((EU67*1.1)),6)</f>
        <v>1.0999999999999999E-2</v>
      </c>
      <c r="AF67">
        <f>ROUND(((EV67*1.1)),6)</f>
        <v>23.32</v>
      </c>
      <c r="AG67">
        <f t="shared" si="66"/>
        <v>0</v>
      </c>
      <c r="AH67">
        <f>((EW67*1.1))</f>
        <v>1.8480000000000001</v>
      </c>
      <c r="AI67">
        <f>((EX67*1.1))</f>
        <v>0</v>
      </c>
      <c r="AJ67">
        <f t="shared" si="67"/>
        <v>0</v>
      </c>
      <c r="AK67">
        <v>22.52</v>
      </c>
      <c r="AL67">
        <v>1.26</v>
      </c>
      <c r="AM67">
        <v>0.06</v>
      </c>
      <c r="AN67">
        <v>0.01</v>
      </c>
      <c r="AO67">
        <v>21.2</v>
      </c>
      <c r="AP67">
        <v>0</v>
      </c>
      <c r="AQ67">
        <v>1.68</v>
      </c>
      <c r="AR67">
        <v>0</v>
      </c>
      <c r="AS67">
        <v>0</v>
      </c>
      <c r="AT67">
        <v>90</v>
      </c>
      <c r="AU67">
        <v>46</v>
      </c>
      <c r="AV67">
        <v>1.0469999999999999</v>
      </c>
      <c r="AW67">
        <v>1</v>
      </c>
      <c r="AZ67">
        <v>1</v>
      </c>
      <c r="BA67">
        <v>54.99</v>
      </c>
      <c r="BB67">
        <v>17.5</v>
      </c>
      <c r="BC67">
        <v>9.89</v>
      </c>
      <c r="BD67" t="s">
        <v>3</v>
      </c>
      <c r="BE67" t="s">
        <v>3</v>
      </c>
      <c r="BF67" t="s">
        <v>3</v>
      </c>
      <c r="BG67" t="s">
        <v>3</v>
      </c>
      <c r="BH67">
        <v>0</v>
      </c>
      <c r="BI67">
        <v>2</v>
      </c>
      <c r="BJ67" t="s">
        <v>59</v>
      </c>
      <c r="BM67">
        <v>68</v>
      </c>
      <c r="BN67">
        <v>0</v>
      </c>
      <c r="BO67" t="s">
        <v>57</v>
      </c>
      <c r="BP67">
        <v>1</v>
      </c>
      <c r="BQ67">
        <v>40</v>
      </c>
      <c r="BR67">
        <v>0</v>
      </c>
      <c r="BS67">
        <v>54.99</v>
      </c>
      <c r="BT67">
        <v>1</v>
      </c>
      <c r="BU67">
        <v>1</v>
      </c>
      <c r="BV67">
        <v>1</v>
      </c>
      <c r="BW67">
        <v>1</v>
      </c>
      <c r="BX67">
        <v>1</v>
      </c>
      <c r="BY67" t="s">
        <v>3</v>
      </c>
      <c r="BZ67">
        <v>90</v>
      </c>
      <c r="CA67">
        <v>46</v>
      </c>
      <c r="CB67" t="s">
        <v>3</v>
      </c>
      <c r="CE67">
        <v>30</v>
      </c>
      <c r="CF67">
        <v>0</v>
      </c>
      <c r="CG67">
        <v>0</v>
      </c>
      <c r="CM67">
        <v>0</v>
      </c>
      <c r="CN67" t="s">
        <v>3</v>
      </c>
      <c r="CO67">
        <v>0</v>
      </c>
      <c r="CP67">
        <f t="shared" si="68"/>
        <v>141056.28</v>
      </c>
      <c r="CQ67">
        <f>ROUND((ROUND((AC67*AW67*1),2)*BC67),2)</f>
        <v>12.46</v>
      </c>
      <c r="CR67">
        <f>(ROUND((ROUND((((ET67*1.1))*AV67*1),2)*BB67),2)+ROUND((ROUND(((AE67-((EU67*1.1)))*AV67*1),2)*BS67),2))</f>
        <v>1.23</v>
      </c>
      <c r="CS67">
        <f t="shared" si="69"/>
        <v>0.55000000000000004</v>
      </c>
      <c r="CT67">
        <f t="shared" si="70"/>
        <v>1342.86</v>
      </c>
      <c r="CU67">
        <f t="shared" si="71"/>
        <v>0</v>
      </c>
      <c r="CV67">
        <f t="shared" si="72"/>
        <v>1.9348559999999999</v>
      </c>
      <c r="CW67">
        <f t="shared" si="73"/>
        <v>0</v>
      </c>
      <c r="CX67">
        <f t="shared" si="74"/>
        <v>0</v>
      </c>
      <c r="CY67">
        <f t="shared" si="75"/>
        <v>125730.40499999998</v>
      </c>
      <c r="CZ67">
        <f t="shared" si="76"/>
        <v>64262.206999999995</v>
      </c>
      <c r="DC67" t="s">
        <v>3</v>
      </c>
      <c r="DD67" t="s">
        <v>3</v>
      </c>
      <c r="DE67" t="s">
        <v>24</v>
      </c>
      <c r="DF67" t="s">
        <v>24</v>
      </c>
      <c r="DG67" t="s">
        <v>24</v>
      </c>
      <c r="DH67" t="s">
        <v>3</v>
      </c>
      <c r="DI67" t="s">
        <v>24</v>
      </c>
      <c r="DJ67" t="s">
        <v>24</v>
      </c>
      <c r="DK67" t="s">
        <v>3</v>
      </c>
      <c r="DL67" t="s">
        <v>3</v>
      </c>
      <c r="DM67" t="s">
        <v>3</v>
      </c>
      <c r="DN67">
        <v>0</v>
      </c>
      <c r="DO67">
        <v>0</v>
      </c>
      <c r="DP67">
        <v>1</v>
      </c>
      <c r="DQ67">
        <v>1</v>
      </c>
      <c r="DU67">
        <v>1013</v>
      </c>
      <c r="DV67" t="s">
        <v>22</v>
      </c>
      <c r="DW67" t="s">
        <v>22</v>
      </c>
      <c r="DX67">
        <v>1</v>
      </c>
      <c r="DZ67" t="s">
        <v>3</v>
      </c>
      <c r="EA67" t="s">
        <v>3</v>
      </c>
      <c r="EB67" t="s">
        <v>3</v>
      </c>
      <c r="EC67" t="s">
        <v>3</v>
      </c>
      <c r="EE67">
        <v>58162630</v>
      </c>
      <c r="EF67">
        <v>40</v>
      </c>
      <c r="EG67" t="s">
        <v>25</v>
      </c>
      <c r="EH67">
        <v>0</v>
      </c>
      <c r="EI67" t="s">
        <v>3</v>
      </c>
      <c r="EJ67">
        <v>2</v>
      </c>
      <c r="EK67">
        <v>68</v>
      </c>
      <c r="EL67" t="s">
        <v>26</v>
      </c>
      <c r="EM67" t="s">
        <v>27</v>
      </c>
      <c r="EO67" t="s">
        <v>28</v>
      </c>
      <c r="EQ67">
        <v>0</v>
      </c>
      <c r="ER67">
        <v>22.52</v>
      </c>
      <c r="ES67">
        <v>1.26</v>
      </c>
      <c r="ET67">
        <v>0.06</v>
      </c>
      <c r="EU67">
        <v>0.01</v>
      </c>
      <c r="EV67">
        <v>21.2</v>
      </c>
      <c r="EW67">
        <v>1.68</v>
      </c>
      <c r="EX67">
        <v>0</v>
      </c>
      <c r="EY67">
        <v>0</v>
      </c>
      <c r="FQ67">
        <v>0</v>
      </c>
      <c r="FR67">
        <v>0</v>
      </c>
      <c r="FS67">
        <v>0</v>
      </c>
      <c r="FX67">
        <v>90</v>
      </c>
      <c r="FY67">
        <v>46</v>
      </c>
      <c r="GA67" t="s">
        <v>3</v>
      </c>
      <c r="GD67">
        <v>1</v>
      </c>
      <c r="GF67">
        <v>-1912799884</v>
      </c>
      <c r="GG67">
        <v>2</v>
      </c>
      <c r="GH67">
        <v>1</v>
      </c>
      <c r="GI67">
        <v>2</v>
      </c>
      <c r="GJ67">
        <v>0</v>
      </c>
      <c r="GK67">
        <v>0</v>
      </c>
      <c r="GL67">
        <f t="shared" si="77"/>
        <v>0</v>
      </c>
      <c r="GM67">
        <f t="shared" si="78"/>
        <v>331048.90000000002</v>
      </c>
      <c r="GN67">
        <f t="shared" si="79"/>
        <v>0</v>
      </c>
      <c r="GO67">
        <f t="shared" si="80"/>
        <v>331048.90000000002</v>
      </c>
      <c r="GP67">
        <f t="shared" si="81"/>
        <v>0</v>
      </c>
      <c r="GR67">
        <v>0</v>
      </c>
      <c r="GS67">
        <v>3</v>
      </c>
      <c r="GT67">
        <v>0</v>
      </c>
      <c r="GU67" t="s">
        <v>3</v>
      </c>
      <c r="GV67">
        <f t="shared" si="82"/>
        <v>0</v>
      </c>
      <c r="GW67">
        <v>1</v>
      </c>
      <c r="GX67">
        <f t="shared" si="83"/>
        <v>0</v>
      </c>
      <c r="HA67">
        <v>0</v>
      </c>
      <c r="HB67">
        <v>0</v>
      </c>
      <c r="HC67">
        <f t="shared" si="84"/>
        <v>0</v>
      </c>
      <c r="HE67" t="s">
        <v>3</v>
      </c>
      <c r="HF67" t="s">
        <v>3</v>
      </c>
      <c r="HM67" t="s">
        <v>3</v>
      </c>
      <c r="HN67" t="s">
        <v>3</v>
      </c>
      <c r="HO67" t="s">
        <v>3</v>
      </c>
      <c r="HP67" t="s">
        <v>3</v>
      </c>
      <c r="HQ67" t="s">
        <v>3</v>
      </c>
      <c r="HS67">
        <v>0</v>
      </c>
      <c r="IK67">
        <v>0</v>
      </c>
    </row>
    <row r="68" spans="1:255" x14ac:dyDescent="0.3">
      <c r="A68" s="2">
        <v>18</v>
      </c>
      <c r="B68" s="2">
        <v>1</v>
      </c>
      <c r="C68" s="2"/>
      <c r="D68" s="2"/>
      <c r="E68" s="2" t="s">
        <v>111</v>
      </c>
      <c r="F68" s="2" t="s">
        <v>112</v>
      </c>
      <c r="G68" s="2" t="s">
        <v>113</v>
      </c>
      <c r="H68" s="2" t="s">
        <v>32</v>
      </c>
      <c r="I68" s="2">
        <f>I66*J68</f>
        <v>78</v>
      </c>
      <c r="J68" s="2">
        <v>0.75</v>
      </c>
      <c r="K68" s="2">
        <v>0.75</v>
      </c>
      <c r="L68" s="2"/>
      <c r="M68" s="2"/>
      <c r="N68" s="2"/>
      <c r="O68" s="2">
        <f t="shared" si="55"/>
        <v>14266.98</v>
      </c>
      <c r="P68" s="2">
        <f t="shared" ref="P68:P73" si="85">ROUND((ROUND((AC68*I68),2)*BC68),2)</f>
        <v>14266.98</v>
      </c>
      <c r="Q68" s="2">
        <f t="shared" ref="Q68:Q73" si="86">(ROUND((ROUND(((ET68)*AV68*I68),2)*BB68),2)+ROUND((ROUND(((AE68-(EU68))*AV68*I68),2)*BS68),2))</f>
        <v>0</v>
      </c>
      <c r="R68" s="2">
        <f t="shared" si="56"/>
        <v>0</v>
      </c>
      <c r="S68" s="2">
        <f t="shared" si="57"/>
        <v>0</v>
      </c>
      <c r="T68" s="2">
        <f t="shared" si="58"/>
        <v>0</v>
      </c>
      <c r="U68" s="2">
        <f t="shared" si="59"/>
        <v>0</v>
      </c>
      <c r="V68" s="2">
        <f t="shared" si="60"/>
        <v>0</v>
      </c>
      <c r="W68" s="2">
        <f t="shared" si="61"/>
        <v>0</v>
      </c>
      <c r="X68" s="2">
        <f t="shared" si="62"/>
        <v>0</v>
      </c>
      <c r="Y68" s="2">
        <f t="shared" si="63"/>
        <v>0</v>
      </c>
      <c r="Z68" s="2"/>
      <c r="AA68" s="2">
        <v>56498966</v>
      </c>
      <c r="AB68" s="2">
        <f t="shared" si="64"/>
        <v>182.91</v>
      </c>
      <c r="AC68" s="2">
        <f t="shared" si="65"/>
        <v>182.91</v>
      </c>
      <c r="AD68" s="2">
        <f t="shared" ref="AD68:AD73" si="87">ROUND((((ET68)-(EU68))+AE68),6)</f>
        <v>0</v>
      </c>
      <c r="AE68" s="2">
        <f t="shared" ref="AE68:AF73" si="88">ROUND((EU68),6)</f>
        <v>0</v>
      </c>
      <c r="AF68" s="2">
        <f t="shared" si="88"/>
        <v>0</v>
      </c>
      <c r="AG68" s="2">
        <f t="shared" si="66"/>
        <v>0</v>
      </c>
      <c r="AH68" s="2">
        <f t="shared" ref="AH68:AI73" si="89">(EW68)</f>
        <v>0</v>
      </c>
      <c r="AI68" s="2">
        <f t="shared" si="89"/>
        <v>0</v>
      </c>
      <c r="AJ68" s="2">
        <f t="shared" si="67"/>
        <v>0</v>
      </c>
      <c r="AK68" s="2">
        <v>182.90999999999997</v>
      </c>
      <c r="AL68" s="2">
        <v>182.90999999999997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3</v>
      </c>
      <c r="BJ68" s="2" t="s">
        <v>3</v>
      </c>
      <c r="BK68" s="2"/>
      <c r="BL68" s="2"/>
      <c r="BM68" s="2">
        <v>746</v>
      </c>
      <c r="BN68" s="2">
        <v>0</v>
      </c>
      <c r="BO68" s="2" t="s">
        <v>3</v>
      </c>
      <c r="BP68" s="2">
        <v>0</v>
      </c>
      <c r="BQ68" s="2">
        <v>130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90</v>
      </c>
      <c r="CA68" s="2">
        <v>46</v>
      </c>
      <c r="CB68" s="2" t="s">
        <v>3</v>
      </c>
      <c r="CC68" s="2"/>
      <c r="CD68" s="2"/>
      <c r="CE68" s="2">
        <v>30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68"/>
        <v>14266.98</v>
      </c>
      <c r="CQ68" s="2">
        <f t="shared" ref="CQ68:CQ73" si="90">ROUND((ROUND((AC68*1),2)*BC68),2)</f>
        <v>182.91</v>
      </c>
      <c r="CR68" s="2">
        <f t="shared" ref="CR68:CR73" si="91">(ROUND((ROUND(((ET68)*AV68*1),2)*BB68),2)+ROUND((ROUND(((AE68-(EU68))*AV68*1),2)*BS68),2))</f>
        <v>0</v>
      </c>
      <c r="CS68" s="2">
        <f t="shared" si="69"/>
        <v>0</v>
      </c>
      <c r="CT68" s="2">
        <f t="shared" si="70"/>
        <v>0</v>
      </c>
      <c r="CU68" s="2">
        <f t="shared" si="71"/>
        <v>0</v>
      </c>
      <c r="CV68" s="2">
        <f t="shared" si="72"/>
        <v>0</v>
      </c>
      <c r="CW68" s="2">
        <f t="shared" si="73"/>
        <v>0</v>
      </c>
      <c r="CX68" s="2">
        <f t="shared" si="74"/>
        <v>0</v>
      </c>
      <c r="CY68" s="2">
        <f t="shared" si="75"/>
        <v>0</v>
      </c>
      <c r="CZ68" s="2">
        <f t="shared" si="76"/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32</v>
      </c>
      <c r="DW68" s="2" t="s">
        <v>32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58162750</v>
      </c>
      <c r="EF68" s="2">
        <v>130</v>
      </c>
      <c r="EG68" s="2" t="s">
        <v>33</v>
      </c>
      <c r="EH68" s="2">
        <v>0</v>
      </c>
      <c r="EI68" s="2" t="s">
        <v>3</v>
      </c>
      <c r="EJ68" s="2">
        <v>3</v>
      </c>
      <c r="EK68" s="2">
        <v>746</v>
      </c>
      <c r="EL68" s="2" t="s">
        <v>34</v>
      </c>
      <c r="EM68" s="2" t="s">
        <v>35</v>
      </c>
      <c r="EN68" s="2"/>
      <c r="EO68" s="2" t="s">
        <v>3</v>
      </c>
      <c r="EP68" s="2"/>
      <c r="EQ68" s="2">
        <v>0</v>
      </c>
      <c r="ER68" s="2">
        <v>0</v>
      </c>
      <c r="ES68" s="2">
        <v>182.90999999999997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f t="shared" ref="FR68:FR73" si="92">P68</f>
        <v>14266.98</v>
      </c>
      <c r="FS68" s="2">
        <v>0</v>
      </c>
      <c r="FT68" s="2"/>
      <c r="FU68" s="2"/>
      <c r="FV68" s="2"/>
      <c r="FW68" s="2"/>
      <c r="FX68" s="2">
        <v>90</v>
      </c>
      <c r="FY68" s="2">
        <v>46</v>
      </c>
      <c r="FZ68" s="2"/>
      <c r="GA68" s="2" t="s">
        <v>114</v>
      </c>
      <c r="GB68" s="2"/>
      <c r="GC68" s="2"/>
      <c r="GD68" s="2">
        <v>1</v>
      </c>
      <c r="GE68" s="2"/>
      <c r="GF68" s="2">
        <v>-212259153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77"/>
        <v>0</v>
      </c>
      <c r="GM68" s="2">
        <f t="shared" si="78"/>
        <v>14266.98</v>
      </c>
      <c r="GN68" s="2">
        <f t="shared" si="79"/>
        <v>0</v>
      </c>
      <c r="GO68" s="2">
        <f t="shared" si="80"/>
        <v>0</v>
      </c>
      <c r="GP68" s="2">
        <f t="shared" si="81"/>
        <v>0</v>
      </c>
      <c r="GQ68" s="2"/>
      <c r="GR68" s="2">
        <v>0</v>
      </c>
      <c r="GS68" s="2">
        <v>2</v>
      </c>
      <c r="GT68" s="2">
        <v>0</v>
      </c>
      <c r="GU68" s="2" t="s">
        <v>3</v>
      </c>
      <c r="GV68" s="2">
        <f t="shared" si="82"/>
        <v>0</v>
      </c>
      <c r="GW68" s="2">
        <v>1</v>
      </c>
      <c r="GX68" s="2">
        <f t="shared" si="83"/>
        <v>0</v>
      </c>
      <c r="GY68" s="2"/>
      <c r="GZ68" s="2"/>
      <c r="HA68" s="2">
        <v>0</v>
      </c>
      <c r="HB68" s="2">
        <v>0</v>
      </c>
      <c r="HC68" s="2">
        <f t="shared" si="84"/>
        <v>0</v>
      </c>
      <c r="HD68" s="2"/>
      <c r="HE68" s="2" t="s">
        <v>37</v>
      </c>
      <c r="HF68" s="2" t="s">
        <v>38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3">
      <c r="A69">
        <v>18</v>
      </c>
      <c r="B69">
        <v>1</v>
      </c>
      <c r="E69" t="s">
        <v>111</v>
      </c>
      <c r="F69" t="s">
        <v>112</v>
      </c>
      <c r="G69" t="s">
        <v>113</v>
      </c>
      <c r="H69" t="s">
        <v>32</v>
      </c>
      <c r="I69">
        <f>I67*J69</f>
        <v>78</v>
      </c>
      <c r="J69">
        <v>0.75</v>
      </c>
      <c r="K69">
        <v>0.75</v>
      </c>
      <c r="O69">
        <f t="shared" si="55"/>
        <v>109285.07</v>
      </c>
      <c r="P69">
        <f t="shared" si="85"/>
        <v>109285.07</v>
      </c>
      <c r="Q69">
        <f t="shared" si="86"/>
        <v>0</v>
      </c>
      <c r="R69">
        <f t="shared" si="56"/>
        <v>0</v>
      </c>
      <c r="S69">
        <f t="shared" si="57"/>
        <v>0</v>
      </c>
      <c r="T69">
        <f t="shared" si="58"/>
        <v>0</v>
      </c>
      <c r="U69">
        <f t="shared" si="59"/>
        <v>0</v>
      </c>
      <c r="V69">
        <f t="shared" si="60"/>
        <v>0</v>
      </c>
      <c r="W69">
        <f t="shared" si="61"/>
        <v>0</v>
      </c>
      <c r="X69">
        <f t="shared" si="62"/>
        <v>0</v>
      </c>
      <c r="Y69">
        <f t="shared" si="63"/>
        <v>0</v>
      </c>
      <c r="AA69">
        <v>56498968</v>
      </c>
      <c r="AB69">
        <f t="shared" si="64"/>
        <v>182.91</v>
      </c>
      <c r="AC69">
        <f t="shared" si="65"/>
        <v>182.91</v>
      </c>
      <c r="AD69">
        <f t="shared" si="87"/>
        <v>0</v>
      </c>
      <c r="AE69">
        <f t="shared" si="88"/>
        <v>0</v>
      </c>
      <c r="AF69">
        <f t="shared" si="88"/>
        <v>0</v>
      </c>
      <c r="AG69">
        <f t="shared" si="66"/>
        <v>0</v>
      </c>
      <c r="AH69">
        <f t="shared" si="89"/>
        <v>0</v>
      </c>
      <c r="AI69">
        <f t="shared" si="89"/>
        <v>0</v>
      </c>
      <c r="AJ69">
        <f t="shared" si="67"/>
        <v>0</v>
      </c>
      <c r="AK69">
        <v>182.90999999999997</v>
      </c>
      <c r="AL69">
        <v>182.90999999999997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Z69">
        <v>1</v>
      </c>
      <c r="BA69">
        <v>1</v>
      </c>
      <c r="BB69">
        <v>1</v>
      </c>
      <c r="BC69">
        <v>7.66</v>
      </c>
      <c r="BD69" t="s">
        <v>3</v>
      </c>
      <c r="BE69" t="s">
        <v>3</v>
      </c>
      <c r="BF69" t="s">
        <v>3</v>
      </c>
      <c r="BG69" t="s">
        <v>3</v>
      </c>
      <c r="BH69">
        <v>3</v>
      </c>
      <c r="BI69">
        <v>3</v>
      </c>
      <c r="BJ69" t="s">
        <v>3</v>
      </c>
      <c r="BM69">
        <v>746</v>
      </c>
      <c r="BN69">
        <v>0</v>
      </c>
      <c r="BO69" t="s">
        <v>3</v>
      </c>
      <c r="BP69">
        <v>0</v>
      </c>
      <c r="BQ69">
        <v>130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 t="s">
        <v>3</v>
      </c>
      <c r="BZ69">
        <v>90</v>
      </c>
      <c r="CA69">
        <v>46</v>
      </c>
      <c r="CB69" t="s">
        <v>3</v>
      </c>
      <c r="CE69">
        <v>30</v>
      </c>
      <c r="CF69">
        <v>0</v>
      </c>
      <c r="CG69">
        <v>0</v>
      </c>
      <c r="CM69">
        <v>0</v>
      </c>
      <c r="CN69" t="s">
        <v>3</v>
      </c>
      <c r="CO69">
        <v>0</v>
      </c>
      <c r="CP69">
        <f t="shared" si="68"/>
        <v>109285.07</v>
      </c>
      <c r="CQ69">
        <f t="shared" si="90"/>
        <v>1401.09</v>
      </c>
      <c r="CR69">
        <f t="shared" si="91"/>
        <v>0</v>
      </c>
      <c r="CS69">
        <f t="shared" si="69"/>
        <v>0</v>
      </c>
      <c r="CT69">
        <f t="shared" si="70"/>
        <v>0</v>
      </c>
      <c r="CU69">
        <f t="shared" si="71"/>
        <v>0</v>
      </c>
      <c r="CV69">
        <f t="shared" si="72"/>
        <v>0</v>
      </c>
      <c r="CW69">
        <f t="shared" si="73"/>
        <v>0</v>
      </c>
      <c r="CX69">
        <f t="shared" si="74"/>
        <v>0</v>
      </c>
      <c r="CY69">
        <f t="shared" si="75"/>
        <v>0</v>
      </c>
      <c r="CZ69">
        <f t="shared" si="76"/>
        <v>0</v>
      </c>
      <c r="DC69" t="s">
        <v>3</v>
      </c>
      <c r="DD69" t="s">
        <v>3</v>
      </c>
      <c r="DE69" t="s">
        <v>3</v>
      </c>
      <c r="DF69" t="s">
        <v>3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>
        <v>0</v>
      </c>
      <c r="DO69">
        <v>0</v>
      </c>
      <c r="DP69">
        <v>1</v>
      </c>
      <c r="DQ69">
        <v>1</v>
      </c>
      <c r="DU69">
        <v>1010</v>
      </c>
      <c r="DV69" t="s">
        <v>32</v>
      </c>
      <c r="DW69" t="s">
        <v>32</v>
      </c>
      <c r="DX69">
        <v>1</v>
      </c>
      <c r="DZ69" t="s">
        <v>3</v>
      </c>
      <c r="EA69" t="s">
        <v>3</v>
      </c>
      <c r="EB69" t="s">
        <v>3</v>
      </c>
      <c r="EC69" t="s">
        <v>3</v>
      </c>
      <c r="EE69">
        <v>58162750</v>
      </c>
      <c r="EF69">
        <v>130</v>
      </c>
      <c r="EG69" t="s">
        <v>33</v>
      </c>
      <c r="EH69">
        <v>0</v>
      </c>
      <c r="EI69" t="s">
        <v>3</v>
      </c>
      <c r="EJ69">
        <v>3</v>
      </c>
      <c r="EK69">
        <v>746</v>
      </c>
      <c r="EL69" t="s">
        <v>34</v>
      </c>
      <c r="EM69" t="s">
        <v>35</v>
      </c>
      <c r="EO69" t="s">
        <v>3</v>
      </c>
      <c r="EQ69">
        <v>0</v>
      </c>
      <c r="ER69">
        <v>182.90999999999997</v>
      </c>
      <c r="ES69">
        <v>182.90999999999997</v>
      </c>
      <c r="ET69">
        <v>0</v>
      </c>
      <c r="EU69">
        <v>0</v>
      </c>
      <c r="EV69">
        <v>0</v>
      </c>
      <c r="EW69">
        <v>0</v>
      </c>
      <c r="EX69">
        <v>0</v>
      </c>
      <c r="EZ69">
        <v>5</v>
      </c>
      <c r="FC69">
        <v>1</v>
      </c>
      <c r="FD69">
        <v>18</v>
      </c>
      <c r="FF69">
        <v>1613</v>
      </c>
      <c r="FQ69">
        <v>0</v>
      </c>
      <c r="FR69">
        <f t="shared" si="92"/>
        <v>109285.07</v>
      </c>
      <c r="FS69">
        <v>0</v>
      </c>
      <c r="FX69">
        <v>90</v>
      </c>
      <c r="FY69">
        <v>46</v>
      </c>
      <c r="GA69" t="s">
        <v>114</v>
      </c>
      <c r="GD69">
        <v>1</v>
      </c>
      <c r="GF69">
        <v>-212259153</v>
      </c>
      <c r="GG69">
        <v>2</v>
      </c>
      <c r="GH69">
        <v>3</v>
      </c>
      <c r="GI69">
        <v>5</v>
      </c>
      <c r="GJ69">
        <v>0</v>
      </c>
      <c r="GK69">
        <v>0</v>
      </c>
      <c r="GL69">
        <f t="shared" si="77"/>
        <v>0</v>
      </c>
      <c r="GM69">
        <f t="shared" si="78"/>
        <v>109285.07</v>
      </c>
      <c r="GN69">
        <f t="shared" si="79"/>
        <v>0</v>
      </c>
      <c r="GO69">
        <f t="shared" si="80"/>
        <v>0</v>
      </c>
      <c r="GP69">
        <f t="shared" si="81"/>
        <v>0</v>
      </c>
      <c r="GR69">
        <v>1</v>
      </c>
      <c r="GS69">
        <v>1</v>
      </c>
      <c r="GT69">
        <v>0</v>
      </c>
      <c r="GU69" t="s">
        <v>3</v>
      </c>
      <c r="GV69">
        <f t="shared" si="82"/>
        <v>0</v>
      </c>
      <c r="GW69">
        <v>1</v>
      </c>
      <c r="GX69">
        <f t="shared" si="83"/>
        <v>0</v>
      </c>
      <c r="HA69">
        <v>0</v>
      </c>
      <c r="HB69">
        <v>0</v>
      </c>
      <c r="HC69">
        <f t="shared" si="84"/>
        <v>0</v>
      </c>
      <c r="HE69" t="s">
        <v>37</v>
      </c>
      <c r="HF69" t="s">
        <v>38</v>
      </c>
      <c r="HM69" t="s">
        <v>3</v>
      </c>
      <c r="HN69" t="s">
        <v>3</v>
      </c>
      <c r="HO69" t="s">
        <v>3</v>
      </c>
      <c r="HP69" t="s">
        <v>3</v>
      </c>
      <c r="HQ69" t="s">
        <v>3</v>
      </c>
      <c r="HS69">
        <v>0</v>
      </c>
      <c r="IK69">
        <v>0</v>
      </c>
    </row>
    <row r="70" spans="1:255" x14ac:dyDescent="0.3">
      <c r="A70" s="2">
        <v>18</v>
      </c>
      <c r="B70" s="2">
        <v>1</v>
      </c>
      <c r="C70" s="2"/>
      <c r="D70" s="2"/>
      <c r="E70" s="2" t="s">
        <v>115</v>
      </c>
      <c r="F70" s="2" t="s">
        <v>116</v>
      </c>
      <c r="G70" s="2" t="s">
        <v>117</v>
      </c>
      <c r="H70" s="2" t="s">
        <v>32</v>
      </c>
      <c r="I70" s="2">
        <f>I66*J70</f>
        <v>1</v>
      </c>
      <c r="J70" s="2">
        <v>9.6153846153846159E-3</v>
      </c>
      <c r="K70" s="2">
        <v>9.6153799999999998E-3</v>
      </c>
      <c r="L70" s="2"/>
      <c r="M70" s="2"/>
      <c r="N70" s="2"/>
      <c r="O70" s="2">
        <f t="shared" si="55"/>
        <v>157.29</v>
      </c>
      <c r="P70" s="2">
        <f t="shared" si="85"/>
        <v>157.29</v>
      </c>
      <c r="Q70" s="2">
        <f t="shared" si="86"/>
        <v>0</v>
      </c>
      <c r="R70" s="2">
        <f t="shared" si="56"/>
        <v>0</v>
      </c>
      <c r="S70" s="2">
        <f t="shared" si="57"/>
        <v>0</v>
      </c>
      <c r="T70" s="2">
        <f t="shared" si="58"/>
        <v>0</v>
      </c>
      <c r="U70" s="2">
        <f t="shared" si="59"/>
        <v>0</v>
      </c>
      <c r="V70" s="2">
        <f t="shared" si="60"/>
        <v>0</v>
      </c>
      <c r="W70" s="2">
        <f t="shared" si="61"/>
        <v>0</v>
      </c>
      <c r="X70" s="2">
        <f t="shared" si="62"/>
        <v>0</v>
      </c>
      <c r="Y70" s="2">
        <f t="shared" si="63"/>
        <v>0</v>
      </c>
      <c r="Z70" s="2"/>
      <c r="AA70" s="2">
        <v>56498966</v>
      </c>
      <c r="AB70" s="2">
        <f t="shared" si="64"/>
        <v>157.29</v>
      </c>
      <c r="AC70" s="2">
        <f t="shared" si="65"/>
        <v>157.29</v>
      </c>
      <c r="AD70" s="2">
        <f t="shared" si="87"/>
        <v>0</v>
      </c>
      <c r="AE70" s="2">
        <f t="shared" si="88"/>
        <v>0</v>
      </c>
      <c r="AF70" s="2">
        <f t="shared" si="88"/>
        <v>0</v>
      </c>
      <c r="AG70" s="2">
        <f t="shared" si="66"/>
        <v>0</v>
      </c>
      <c r="AH70" s="2">
        <f t="shared" si="89"/>
        <v>0</v>
      </c>
      <c r="AI70" s="2">
        <f t="shared" si="89"/>
        <v>0</v>
      </c>
      <c r="AJ70" s="2">
        <f t="shared" si="67"/>
        <v>0</v>
      </c>
      <c r="AK70" s="2">
        <v>157.29</v>
      </c>
      <c r="AL70" s="2">
        <v>157.29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3</v>
      </c>
      <c r="BJ70" s="2" t="s">
        <v>3</v>
      </c>
      <c r="BK70" s="2"/>
      <c r="BL70" s="2"/>
      <c r="BM70" s="2">
        <v>746</v>
      </c>
      <c r="BN70" s="2">
        <v>0</v>
      </c>
      <c r="BO70" s="2" t="s">
        <v>3</v>
      </c>
      <c r="BP70" s="2">
        <v>0</v>
      </c>
      <c r="BQ70" s="2">
        <v>130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90</v>
      </c>
      <c r="CA70" s="2">
        <v>46</v>
      </c>
      <c r="CB70" s="2" t="s">
        <v>3</v>
      </c>
      <c r="CC70" s="2"/>
      <c r="CD70" s="2"/>
      <c r="CE70" s="2">
        <v>30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68"/>
        <v>157.29</v>
      </c>
      <c r="CQ70" s="2">
        <f t="shared" si="90"/>
        <v>157.29</v>
      </c>
      <c r="CR70" s="2">
        <f t="shared" si="91"/>
        <v>0</v>
      </c>
      <c r="CS70" s="2">
        <f t="shared" si="69"/>
        <v>0</v>
      </c>
      <c r="CT70" s="2">
        <f t="shared" si="70"/>
        <v>0</v>
      </c>
      <c r="CU70" s="2">
        <f t="shared" si="71"/>
        <v>0</v>
      </c>
      <c r="CV70" s="2">
        <f t="shared" si="72"/>
        <v>0</v>
      </c>
      <c r="CW70" s="2">
        <f t="shared" si="73"/>
        <v>0</v>
      </c>
      <c r="CX70" s="2">
        <f t="shared" si="74"/>
        <v>0</v>
      </c>
      <c r="CY70" s="2">
        <f t="shared" si="75"/>
        <v>0</v>
      </c>
      <c r="CZ70" s="2">
        <f t="shared" si="76"/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1010</v>
      </c>
      <c r="DV70" s="2" t="s">
        <v>32</v>
      </c>
      <c r="DW70" s="2" t="s">
        <v>32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58162750</v>
      </c>
      <c r="EF70" s="2">
        <v>130</v>
      </c>
      <c r="EG70" s="2" t="s">
        <v>33</v>
      </c>
      <c r="EH70" s="2">
        <v>0</v>
      </c>
      <c r="EI70" s="2" t="s">
        <v>3</v>
      </c>
      <c r="EJ70" s="2">
        <v>3</v>
      </c>
      <c r="EK70" s="2">
        <v>746</v>
      </c>
      <c r="EL70" s="2" t="s">
        <v>34</v>
      </c>
      <c r="EM70" s="2" t="s">
        <v>35</v>
      </c>
      <c r="EN70" s="2"/>
      <c r="EO70" s="2" t="s">
        <v>3</v>
      </c>
      <c r="EP70" s="2"/>
      <c r="EQ70" s="2">
        <v>0</v>
      </c>
      <c r="ER70" s="2">
        <v>0</v>
      </c>
      <c r="ES70" s="2">
        <v>157.29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f t="shared" si="92"/>
        <v>157.29</v>
      </c>
      <c r="FS70" s="2">
        <v>0</v>
      </c>
      <c r="FT70" s="2"/>
      <c r="FU70" s="2"/>
      <c r="FV70" s="2"/>
      <c r="FW70" s="2"/>
      <c r="FX70" s="2">
        <v>90</v>
      </c>
      <c r="FY70" s="2">
        <v>46</v>
      </c>
      <c r="FZ70" s="2"/>
      <c r="GA70" s="2" t="s">
        <v>118</v>
      </c>
      <c r="GB70" s="2"/>
      <c r="GC70" s="2"/>
      <c r="GD70" s="2">
        <v>1</v>
      </c>
      <c r="GE70" s="2"/>
      <c r="GF70" s="2">
        <v>51725811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77"/>
        <v>0</v>
      </c>
      <c r="GM70" s="2">
        <f t="shared" si="78"/>
        <v>157.29</v>
      </c>
      <c r="GN70" s="2">
        <f t="shared" si="79"/>
        <v>0</v>
      </c>
      <c r="GO70" s="2">
        <f t="shared" si="80"/>
        <v>0</v>
      </c>
      <c r="GP70" s="2">
        <f t="shared" si="81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82"/>
        <v>0</v>
      </c>
      <c r="GW70" s="2">
        <v>1</v>
      </c>
      <c r="GX70" s="2">
        <f t="shared" si="83"/>
        <v>0</v>
      </c>
      <c r="GY70" s="2"/>
      <c r="GZ70" s="2"/>
      <c r="HA70" s="2">
        <v>0</v>
      </c>
      <c r="HB70" s="2">
        <v>0</v>
      </c>
      <c r="HC70" s="2">
        <f t="shared" si="84"/>
        <v>0</v>
      </c>
      <c r="HD70" s="2"/>
      <c r="HE70" s="2" t="s">
        <v>37</v>
      </c>
      <c r="HF70" s="2" t="s">
        <v>38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3">
      <c r="A71">
        <v>18</v>
      </c>
      <c r="B71">
        <v>1</v>
      </c>
      <c r="E71" t="s">
        <v>115</v>
      </c>
      <c r="F71" t="s">
        <v>116</v>
      </c>
      <c r="G71" t="s">
        <v>117</v>
      </c>
      <c r="H71" t="s">
        <v>32</v>
      </c>
      <c r="I71">
        <f>I67*J71</f>
        <v>1</v>
      </c>
      <c r="J71">
        <v>9.6153846153846159E-3</v>
      </c>
      <c r="K71">
        <v>9.6153799999999998E-3</v>
      </c>
      <c r="O71">
        <f t="shared" si="55"/>
        <v>1204.8399999999999</v>
      </c>
      <c r="P71">
        <f t="shared" si="85"/>
        <v>1204.8399999999999</v>
      </c>
      <c r="Q71">
        <f t="shared" si="86"/>
        <v>0</v>
      </c>
      <c r="R71">
        <f t="shared" si="56"/>
        <v>0</v>
      </c>
      <c r="S71">
        <f t="shared" si="57"/>
        <v>0</v>
      </c>
      <c r="T71">
        <f t="shared" si="58"/>
        <v>0</v>
      </c>
      <c r="U71">
        <f t="shared" si="59"/>
        <v>0</v>
      </c>
      <c r="V71">
        <f t="shared" si="60"/>
        <v>0</v>
      </c>
      <c r="W71">
        <f t="shared" si="61"/>
        <v>0</v>
      </c>
      <c r="X71">
        <f t="shared" si="62"/>
        <v>0</v>
      </c>
      <c r="Y71">
        <f t="shared" si="63"/>
        <v>0</v>
      </c>
      <c r="AA71">
        <v>56498968</v>
      </c>
      <c r="AB71">
        <f t="shared" si="64"/>
        <v>157.29</v>
      </c>
      <c r="AC71">
        <f t="shared" si="65"/>
        <v>157.29</v>
      </c>
      <c r="AD71">
        <f t="shared" si="87"/>
        <v>0</v>
      </c>
      <c r="AE71">
        <f t="shared" si="88"/>
        <v>0</v>
      </c>
      <c r="AF71">
        <f t="shared" si="88"/>
        <v>0</v>
      </c>
      <c r="AG71">
        <f t="shared" si="66"/>
        <v>0</v>
      </c>
      <c r="AH71">
        <f t="shared" si="89"/>
        <v>0</v>
      </c>
      <c r="AI71">
        <f t="shared" si="89"/>
        <v>0</v>
      </c>
      <c r="AJ71">
        <f t="shared" si="67"/>
        <v>0</v>
      </c>
      <c r="AK71">
        <v>157.29</v>
      </c>
      <c r="AL71">
        <v>157.29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</v>
      </c>
      <c r="AZ71">
        <v>1</v>
      </c>
      <c r="BA71">
        <v>1</v>
      </c>
      <c r="BB71">
        <v>1</v>
      </c>
      <c r="BC71">
        <v>7.66</v>
      </c>
      <c r="BD71" t="s">
        <v>3</v>
      </c>
      <c r="BE71" t="s">
        <v>3</v>
      </c>
      <c r="BF71" t="s">
        <v>3</v>
      </c>
      <c r="BG71" t="s">
        <v>3</v>
      </c>
      <c r="BH71">
        <v>3</v>
      </c>
      <c r="BI71">
        <v>3</v>
      </c>
      <c r="BJ71" t="s">
        <v>3</v>
      </c>
      <c r="BM71">
        <v>746</v>
      </c>
      <c r="BN71">
        <v>0</v>
      </c>
      <c r="BO71" t="s">
        <v>3</v>
      </c>
      <c r="BP71">
        <v>0</v>
      </c>
      <c r="BQ71">
        <v>130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 t="s">
        <v>3</v>
      </c>
      <c r="BZ71">
        <v>90</v>
      </c>
      <c r="CA71">
        <v>46</v>
      </c>
      <c r="CB71" t="s">
        <v>3</v>
      </c>
      <c r="CE71">
        <v>30</v>
      </c>
      <c r="CF71">
        <v>0</v>
      </c>
      <c r="CG71">
        <v>0</v>
      </c>
      <c r="CM71">
        <v>0</v>
      </c>
      <c r="CN71" t="s">
        <v>3</v>
      </c>
      <c r="CO71">
        <v>0</v>
      </c>
      <c r="CP71">
        <f t="shared" si="68"/>
        <v>1204.8399999999999</v>
      </c>
      <c r="CQ71">
        <f t="shared" si="90"/>
        <v>1204.8399999999999</v>
      </c>
      <c r="CR71">
        <f t="shared" si="91"/>
        <v>0</v>
      </c>
      <c r="CS71">
        <f t="shared" si="69"/>
        <v>0</v>
      </c>
      <c r="CT71">
        <f t="shared" si="70"/>
        <v>0</v>
      </c>
      <c r="CU71">
        <f t="shared" si="71"/>
        <v>0</v>
      </c>
      <c r="CV71">
        <f t="shared" si="72"/>
        <v>0</v>
      </c>
      <c r="CW71">
        <f t="shared" si="73"/>
        <v>0</v>
      </c>
      <c r="CX71">
        <f t="shared" si="74"/>
        <v>0</v>
      </c>
      <c r="CY71">
        <f t="shared" si="75"/>
        <v>0</v>
      </c>
      <c r="CZ71">
        <f t="shared" si="76"/>
        <v>0</v>
      </c>
      <c r="DC71" t="s">
        <v>3</v>
      </c>
      <c r="DD71" t="s">
        <v>3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>
        <v>0</v>
      </c>
      <c r="DO71">
        <v>0</v>
      </c>
      <c r="DP71">
        <v>1</v>
      </c>
      <c r="DQ71">
        <v>1</v>
      </c>
      <c r="DU71">
        <v>1010</v>
      </c>
      <c r="DV71" t="s">
        <v>32</v>
      </c>
      <c r="DW71" t="s">
        <v>32</v>
      </c>
      <c r="DX71">
        <v>1</v>
      </c>
      <c r="DZ71" t="s">
        <v>3</v>
      </c>
      <c r="EA71" t="s">
        <v>3</v>
      </c>
      <c r="EB71" t="s">
        <v>3</v>
      </c>
      <c r="EC71" t="s">
        <v>3</v>
      </c>
      <c r="EE71">
        <v>58162750</v>
      </c>
      <c r="EF71">
        <v>130</v>
      </c>
      <c r="EG71" t="s">
        <v>33</v>
      </c>
      <c r="EH71">
        <v>0</v>
      </c>
      <c r="EI71" t="s">
        <v>3</v>
      </c>
      <c r="EJ71">
        <v>3</v>
      </c>
      <c r="EK71">
        <v>746</v>
      </c>
      <c r="EL71" t="s">
        <v>34</v>
      </c>
      <c r="EM71" t="s">
        <v>35</v>
      </c>
      <c r="EO71" t="s">
        <v>3</v>
      </c>
      <c r="EQ71">
        <v>0</v>
      </c>
      <c r="ER71">
        <v>157.29</v>
      </c>
      <c r="ES71">
        <v>157.29</v>
      </c>
      <c r="ET71">
        <v>0</v>
      </c>
      <c r="EU71">
        <v>0</v>
      </c>
      <c r="EV71">
        <v>0</v>
      </c>
      <c r="EW71">
        <v>0</v>
      </c>
      <c r="EX71">
        <v>0</v>
      </c>
      <c r="EZ71">
        <v>5</v>
      </c>
      <c r="FC71">
        <v>1</v>
      </c>
      <c r="FD71">
        <v>18</v>
      </c>
      <c r="FF71">
        <v>1387</v>
      </c>
      <c r="FQ71">
        <v>0</v>
      </c>
      <c r="FR71">
        <f t="shared" si="92"/>
        <v>1204.8399999999999</v>
      </c>
      <c r="FS71">
        <v>0</v>
      </c>
      <c r="FX71">
        <v>90</v>
      </c>
      <c r="FY71">
        <v>46</v>
      </c>
      <c r="GA71" t="s">
        <v>118</v>
      </c>
      <c r="GD71">
        <v>1</v>
      </c>
      <c r="GF71">
        <v>51725811</v>
      </c>
      <c r="GG71">
        <v>2</v>
      </c>
      <c r="GH71">
        <v>3</v>
      </c>
      <c r="GI71">
        <v>5</v>
      </c>
      <c r="GJ71">
        <v>0</v>
      </c>
      <c r="GK71">
        <v>0</v>
      </c>
      <c r="GL71">
        <f t="shared" si="77"/>
        <v>0</v>
      </c>
      <c r="GM71">
        <f t="shared" si="78"/>
        <v>1204.8399999999999</v>
      </c>
      <c r="GN71">
        <f t="shared" si="79"/>
        <v>0</v>
      </c>
      <c r="GO71">
        <f t="shared" si="80"/>
        <v>0</v>
      </c>
      <c r="GP71">
        <f t="shared" si="81"/>
        <v>0</v>
      </c>
      <c r="GR71">
        <v>1</v>
      </c>
      <c r="GS71">
        <v>1</v>
      </c>
      <c r="GT71">
        <v>0</v>
      </c>
      <c r="GU71" t="s">
        <v>3</v>
      </c>
      <c r="GV71">
        <f t="shared" si="82"/>
        <v>0</v>
      </c>
      <c r="GW71">
        <v>1</v>
      </c>
      <c r="GX71">
        <f t="shared" si="83"/>
        <v>0</v>
      </c>
      <c r="HA71">
        <v>0</v>
      </c>
      <c r="HB71">
        <v>0</v>
      </c>
      <c r="HC71">
        <f t="shared" si="84"/>
        <v>0</v>
      </c>
      <c r="HE71" t="s">
        <v>37</v>
      </c>
      <c r="HF71" t="s">
        <v>38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S71">
        <v>0</v>
      </c>
      <c r="IK71">
        <v>0</v>
      </c>
    </row>
    <row r="72" spans="1:255" x14ac:dyDescent="0.3">
      <c r="A72" s="2">
        <v>18</v>
      </c>
      <c r="B72" s="2">
        <v>1</v>
      </c>
      <c r="C72" s="2"/>
      <c r="D72" s="2"/>
      <c r="E72" s="2" t="s">
        <v>119</v>
      </c>
      <c r="F72" s="2" t="s">
        <v>120</v>
      </c>
      <c r="G72" s="2" t="s">
        <v>121</v>
      </c>
      <c r="H72" s="2" t="s">
        <v>32</v>
      </c>
      <c r="I72" s="2">
        <f>I66*J72</f>
        <v>25</v>
      </c>
      <c r="J72" s="2">
        <v>0.24038461538461539</v>
      </c>
      <c r="K72" s="2">
        <v>0.24038461999999999</v>
      </c>
      <c r="L72" s="2"/>
      <c r="M72" s="2"/>
      <c r="N72" s="2"/>
      <c r="O72" s="2">
        <f t="shared" si="55"/>
        <v>4572.75</v>
      </c>
      <c r="P72" s="2">
        <f t="shared" si="85"/>
        <v>4572.75</v>
      </c>
      <c r="Q72" s="2">
        <f t="shared" si="86"/>
        <v>0</v>
      </c>
      <c r="R72" s="2">
        <f t="shared" si="56"/>
        <v>0</v>
      </c>
      <c r="S72" s="2">
        <f t="shared" si="57"/>
        <v>0</v>
      </c>
      <c r="T72" s="2">
        <f t="shared" si="58"/>
        <v>0</v>
      </c>
      <c r="U72" s="2">
        <f t="shared" si="59"/>
        <v>0</v>
      </c>
      <c r="V72" s="2">
        <f t="shared" si="60"/>
        <v>0</v>
      </c>
      <c r="W72" s="2">
        <f t="shared" si="61"/>
        <v>0</v>
      </c>
      <c r="X72" s="2">
        <f t="shared" si="62"/>
        <v>0</v>
      </c>
      <c r="Y72" s="2">
        <f t="shared" si="63"/>
        <v>0</v>
      </c>
      <c r="Z72" s="2"/>
      <c r="AA72" s="2">
        <v>56498966</v>
      </c>
      <c r="AB72" s="2">
        <f t="shared" si="64"/>
        <v>182.91</v>
      </c>
      <c r="AC72" s="2">
        <f t="shared" si="65"/>
        <v>182.91</v>
      </c>
      <c r="AD72" s="2">
        <f t="shared" si="87"/>
        <v>0</v>
      </c>
      <c r="AE72" s="2">
        <f t="shared" si="88"/>
        <v>0</v>
      </c>
      <c r="AF72" s="2">
        <f t="shared" si="88"/>
        <v>0</v>
      </c>
      <c r="AG72" s="2">
        <f t="shared" si="66"/>
        <v>0</v>
      </c>
      <c r="AH72" s="2">
        <f t="shared" si="89"/>
        <v>0</v>
      </c>
      <c r="AI72" s="2">
        <f t="shared" si="89"/>
        <v>0</v>
      </c>
      <c r="AJ72" s="2">
        <f t="shared" si="67"/>
        <v>0</v>
      </c>
      <c r="AK72" s="2">
        <v>182.90999999999997</v>
      </c>
      <c r="AL72" s="2">
        <v>182.90999999999997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3</v>
      </c>
      <c r="BJ72" s="2" t="s">
        <v>3</v>
      </c>
      <c r="BK72" s="2"/>
      <c r="BL72" s="2"/>
      <c r="BM72" s="2">
        <v>746</v>
      </c>
      <c r="BN72" s="2">
        <v>0</v>
      </c>
      <c r="BO72" s="2" t="s">
        <v>3</v>
      </c>
      <c r="BP72" s="2">
        <v>0</v>
      </c>
      <c r="BQ72" s="2">
        <v>130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30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</v>
      </c>
      <c r="CO72" s="2">
        <v>0</v>
      </c>
      <c r="CP72" s="2">
        <f t="shared" si="68"/>
        <v>4572.75</v>
      </c>
      <c r="CQ72" s="2">
        <f t="shared" si="90"/>
        <v>182.91</v>
      </c>
      <c r="CR72" s="2">
        <f t="shared" si="91"/>
        <v>0</v>
      </c>
      <c r="CS72" s="2">
        <f t="shared" si="69"/>
        <v>0</v>
      </c>
      <c r="CT72" s="2">
        <f t="shared" si="70"/>
        <v>0</v>
      </c>
      <c r="CU72" s="2">
        <f t="shared" si="71"/>
        <v>0</v>
      </c>
      <c r="CV72" s="2">
        <f t="shared" si="72"/>
        <v>0</v>
      </c>
      <c r="CW72" s="2">
        <f t="shared" si="73"/>
        <v>0</v>
      </c>
      <c r="CX72" s="2">
        <f t="shared" si="74"/>
        <v>0</v>
      </c>
      <c r="CY72" s="2">
        <f t="shared" si="75"/>
        <v>0</v>
      </c>
      <c r="CZ72" s="2">
        <f t="shared" si="76"/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1010</v>
      </c>
      <c r="DV72" s="2" t="s">
        <v>32</v>
      </c>
      <c r="DW72" s="2" t="s">
        <v>32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58162750</v>
      </c>
      <c r="EF72" s="2">
        <v>130</v>
      </c>
      <c r="EG72" s="2" t="s">
        <v>33</v>
      </c>
      <c r="EH72" s="2">
        <v>0</v>
      </c>
      <c r="EI72" s="2" t="s">
        <v>3</v>
      </c>
      <c r="EJ72" s="2">
        <v>3</v>
      </c>
      <c r="EK72" s="2">
        <v>746</v>
      </c>
      <c r="EL72" s="2" t="s">
        <v>34</v>
      </c>
      <c r="EM72" s="2" t="s">
        <v>35</v>
      </c>
      <c r="EN72" s="2"/>
      <c r="EO72" s="2" t="s">
        <v>3</v>
      </c>
      <c r="EP72" s="2"/>
      <c r="EQ72" s="2">
        <v>0</v>
      </c>
      <c r="ER72" s="2">
        <v>0</v>
      </c>
      <c r="ES72" s="2">
        <v>182.90999999999997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f t="shared" si="92"/>
        <v>4572.75</v>
      </c>
      <c r="FS72" s="2">
        <v>0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114</v>
      </c>
      <c r="GB72" s="2"/>
      <c r="GC72" s="2"/>
      <c r="GD72" s="2">
        <v>1</v>
      </c>
      <c r="GE72" s="2"/>
      <c r="GF72" s="2">
        <v>-1412008601</v>
      </c>
      <c r="GG72" s="2">
        <v>2</v>
      </c>
      <c r="GH72" s="2">
        <v>4</v>
      </c>
      <c r="GI72" s="2">
        <v>-2</v>
      </c>
      <c r="GJ72" s="2">
        <v>0</v>
      </c>
      <c r="GK72" s="2">
        <v>0</v>
      </c>
      <c r="GL72" s="2">
        <f t="shared" si="77"/>
        <v>0</v>
      </c>
      <c r="GM72" s="2">
        <f t="shared" si="78"/>
        <v>4572.75</v>
      </c>
      <c r="GN72" s="2">
        <f t="shared" si="79"/>
        <v>0</v>
      </c>
      <c r="GO72" s="2">
        <f t="shared" si="80"/>
        <v>0</v>
      </c>
      <c r="GP72" s="2">
        <f t="shared" si="81"/>
        <v>0</v>
      </c>
      <c r="GQ72" s="2"/>
      <c r="GR72" s="2">
        <v>0</v>
      </c>
      <c r="GS72" s="2">
        <v>2</v>
      </c>
      <c r="GT72" s="2">
        <v>0</v>
      </c>
      <c r="GU72" s="2" t="s">
        <v>3</v>
      </c>
      <c r="GV72" s="2">
        <f t="shared" si="82"/>
        <v>0</v>
      </c>
      <c r="GW72" s="2">
        <v>1</v>
      </c>
      <c r="GX72" s="2">
        <f t="shared" si="83"/>
        <v>0</v>
      </c>
      <c r="GY72" s="2"/>
      <c r="GZ72" s="2"/>
      <c r="HA72" s="2">
        <v>0</v>
      </c>
      <c r="HB72" s="2">
        <v>0</v>
      </c>
      <c r="HC72" s="2">
        <f t="shared" si="84"/>
        <v>0</v>
      </c>
      <c r="HD72" s="2"/>
      <c r="HE72" s="2" t="s">
        <v>37</v>
      </c>
      <c r="HF72" s="2" t="s">
        <v>38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3">
      <c r="A73">
        <v>18</v>
      </c>
      <c r="B73">
        <v>1</v>
      </c>
      <c r="E73" t="s">
        <v>119</v>
      </c>
      <c r="F73" t="s">
        <v>120</v>
      </c>
      <c r="G73" t="s">
        <v>121</v>
      </c>
      <c r="H73" t="s">
        <v>32</v>
      </c>
      <c r="I73">
        <f>I67*J73</f>
        <v>25</v>
      </c>
      <c r="J73">
        <v>0.24038461538461539</v>
      </c>
      <c r="K73">
        <v>0.24038461999999999</v>
      </c>
      <c r="O73">
        <f t="shared" si="55"/>
        <v>35027.269999999997</v>
      </c>
      <c r="P73">
        <f t="shared" si="85"/>
        <v>35027.269999999997</v>
      </c>
      <c r="Q73">
        <f t="shared" si="86"/>
        <v>0</v>
      </c>
      <c r="R73">
        <f t="shared" si="56"/>
        <v>0</v>
      </c>
      <c r="S73">
        <f t="shared" si="57"/>
        <v>0</v>
      </c>
      <c r="T73">
        <f t="shared" si="58"/>
        <v>0</v>
      </c>
      <c r="U73">
        <f t="shared" si="59"/>
        <v>0</v>
      </c>
      <c r="V73">
        <f t="shared" si="60"/>
        <v>0</v>
      </c>
      <c r="W73">
        <f t="shared" si="61"/>
        <v>0</v>
      </c>
      <c r="X73">
        <f t="shared" si="62"/>
        <v>0</v>
      </c>
      <c r="Y73">
        <f t="shared" si="63"/>
        <v>0</v>
      </c>
      <c r="AA73">
        <v>56498968</v>
      </c>
      <c r="AB73">
        <f t="shared" si="64"/>
        <v>182.91</v>
      </c>
      <c r="AC73">
        <f t="shared" si="65"/>
        <v>182.91</v>
      </c>
      <c r="AD73">
        <f t="shared" si="87"/>
        <v>0</v>
      </c>
      <c r="AE73">
        <f t="shared" si="88"/>
        <v>0</v>
      </c>
      <c r="AF73">
        <f t="shared" si="88"/>
        <v>0</v>
      </c>
      <c r="AG73">
        <f t="shared" si="66"/>
        <v>0</v>
      </c>
      <c r="AH73">
        <f t="shared" si="89"/>
        <v>0</v>
      </c>
      <c r="AI73">
        <f t="shared" si="89"/>
        <v>0</v>
      </c>
      <c r="AJ73">
        <f t="shared" si="67"/>
        <v>0</v>
      </c>
      <c r="AK73">
        <v>182.90999999999997</v>
      </c>
      <c r="AL73">
        <v>182.90999999999997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Z73">
        <v>1</v>
      </c>
      <c r="BA73">
        <v>1</v>
      </c>
      <c r="BB73">
        <v>1</v>
      </c>
      <c r="BC73">
        <v>7.66</v>
      </c>
      <c r="BD73" t="s">
        <v>3</v>
      </c>
      <c r="BE73" t="s">
        <v>3</v>
      </c>
      <c r="BF73" t="s">
        <v>3</v>
      </c>
      <c r="BG73" t="s">
        <v>3</v>
      </c>
      <c r="BH73">
        <v>3</v>
      </c>
      <c r="BI73">
        <v>3</v>
      </c>
      <c r="BJ73" t="s">
        <v>3</v>
      </c>
      <c r="BM73">
        <v>746</v>
      </c>
      <c r="BN73">
        <v>0</v>
      </c>
      <c r="BO73" t="s">
        <v>3</v>
      </c>
      <c r="BP73">
        <v>0</v>
      </c>
      <c r="BQ73">
        <v>130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 t="s">
        <v>3</v>
      </c>
      <c r="BZ73">
        <v>90</v>
      </c>
      <c r="CA73">
        <v>46</v>
      </c>
      <c r="CB73" t="s">
        <v>3</v>
      </c>
      <c r="CE73">
        <v>30</v>
      </c>
      <c r="CF73">
        <v>0</v>
      </c>
      <c r="CG73">
        <v>0</v>
      </c>
      <c r="CM73">
        <v>0</v>
      </c>
      <c r="CN73" t="s">
        <v>3</v>
      </c>
      <c r="CO73">
        <v>0</v>
      </c>
      <c r="CP73">
        <f t="shared" si="68"/>
        <v>35027.269999999997</v>
      </c>
      <c r="CQ73">
        <f t="shared" si="90"/>
        <v>1401.09</v>
      </c>
      <c r="CR73">
        <f t="shared" si="91"/>
        <v>0</v>
      </c>
      <c r="CS73">
        <f t="shared" si="69"/>
        <v>0</v>
      </c>
      <c r="CT73">
        <f t="shared" si="70"/>
        <v>0</v>
      </c>
      <c r="CU73">
        <f t="shared" si="71"/>
        <v>0</v>
      </c>
      <c r="CV73">
        <f t="shared" si="72"/>
        <v>0</v>
      </c>
      <c r="CW73">
        <f t="shared" si="73"/>
        <v>0</v>
      </c>
      <c r="CX73">
        <f t="shared" si="74"/>
        <v>0</v>
      </c>
      <c r="CY73">
        <f t="shared" si="75"/>
        <v>0</v>
      </c>
      <c r="CZ73">
        <f t="shared" si="76"/>
        <v>0</v>
      </c>
      <c r="DC73" t="s">
        <v>3</v>
      </c>
      <c r="DD73" t="s">
        <v>3</v>
      </c>
      <c r="DE73" t="s">
        <v>3</v>
      </c>
      <c r="DF73" t="s">
        <v>3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  <c r="DN73">
        <v>0</v>
      </c>
      <c r="DO73">
        <v>0</v>
      </c>
      <c r="DP73">
        <v>1</v>
      </c>
      <c r="DQ73">
        <v>1</v>
      </c>
      <c r="DU73">
        <v>1010</v>
      </c>
      <c r="DV73" t="s">
        <v>32</v>
      </c>
      <c r="DW73" t="s">
        <v>32</v>
      </c>
      <c r="DX73">
        <v>1</v>
      </c>
      <c r="DZ73" t="s">
        <v>3</v>
      </c>
      <c r="EA73" t="s">
        <v>3</v>
      </c>
      <c r="EB73" t="s">
        <v>3</v>
      </c>
      <c r="EC73" t="s">
        <v>3</v>
      </c>
      <c r="EE73">
        <v>58162750</v>
      </c>
      <c r="EF73">
        <v>130</v>
      </c>
      <c r="EG73" t="s">
        <v>33</v>
      </c>
      <c r="EH73">
        <v>0</v>
      </c>
      <c r="EI73" t="s">
        <v>3</v>
      </c>
      <c r="EJ73">
        <v>3</v>
      </c>
      <c r="EK73">
        <v>746</v>
      </c>
      <c r="EL73" t="s">
        <v>34</v>
      </c>
      <c r="EM73" t="s">
        <v>35</v>
      </c>
      <c r="EO73" t="s">
        <v>3</v>
      </c>
      <c r="EQ73">
        <v>0</v>
      </c>
      <c r="ER73">
        <v>182.90999999999997</v>
      </c>
      <c r="ES73">
        <v>182.90999999999997</v>
      </c>
      <c r="ET73">
        <v>0</v>
      </c>
      <c r="EU73">
        <v>0</v>
      </c>
      <c r="EV73">
        <v>0</v>
      </c>
      <c r="EW73">
        <v>0</v>
      </c>
      <c r="EX73">
        <v>0</v>
      </c>
      <c r="EZ73">
        <v>5</v>
      </c>
      <c r="FC73">
        <v>1</v>
      </c>
      <c r="FD73">
        <v>18</v>
      </c>
      <c r="FF73">
        <v>1613</v>
      </c>
      <c r="FQ73">
        <v>0</v>
      </c>
      <c r="FR73">
        <f t="shared" si="92"/>
        <v>35027.269999999997</v>
      </c>
      <c r="FS73">
        <v>0</v>
      </c>
      <c r="FX73">
        <v>90</v>
      </c>
      <c r="FY73">
        <v>46</v>
      </c>
      <c r="GA73" t="s">
        <v>114</v>
      </c>
      <c r="GD73">
        <v>1</v>
      </c>
      <c r="GF73">
        <v>-1412008601</v>
      </c>
      <c r="GG73">
        <v>2</v>
      </c>
      <c r="GH73">
        <v>3</v>
      </c>
      <c r="GI73">
        <v>5</v>
      </c>
      <c r="GJ73">
        <v>0</v>
      </c>
      <c r="GK73">
        <v>0</v>
      </c>
      <c r="GL73">
        <f t="shared" si="77"/>
        <v>0</v>
      </c>
      <c r="GM73">
        <f t="shared" si="78"/>
        <v>35027.269999999997</v>
      </c>
      <c r="GN73">
        <f t="shared" si="79"/>
        <v>0</v>
      </c>
      <c r="GO73">
        <f t="shared" si="80"/>
        <v>0</v>
      </c>
      <c r="GP73">
        <f t="shared" si="81"/>
        <v>0</v>
      </c>
      <c r="GR73">
        <v>1</v>
      </c>
      <c r="GS73">
        <v>1</v>
      </c>
      <c r="GT73">
        <v>0</v>
      </c>
      <c r="GU73" t="s">
        <v>3</v>
      </c>
      <c r="GV73">
        <f t="shared" si="82"/>
        <v>0</v>
      </c>
      <c r="GW73">
        <v>1</v>
      </c>
      <c r="GX73">
        <f t="shared" si="83"/>
        <v>0</v>
      </c>
      <c r="HA73">
        <v>0</v>
      </c>
      <c r="HB73">
        <v>0</v>
      </c>
      <c r="HC73">
        <f t="shared" si="84"/>
        <v>0</v>
      </c>
      <c r="HE73" t="s">
        <v>37</v>
      </c>
      <c r="HF73" t="s">
        <v>38</v>
      </c>
      <c r="HM73" t="s">
        <v>3</v>
      </c>
      <c r="HN73" t="s">
        <v>3</v>
      </c>
      <c r="HO73" t="s">
        <v>3</v>
      </c>
      <c r="HP73" t="s">
        <v>3</v>
      </c>
      <c r="HQ73" t="s">
        <v>3</v>
      </c>
      <c r="HS73">
        <v>0</v>
      </c>
      <c r="IK73">
        <v>0</v>
      </c>
    </row>
    <row r="74" spans="1:255" x14ac:dyDescent="0.3">
      <c r="A74" s="2">
        <v>17</v>
      </c>
      <c r="B74" s="2">
        <v>1</v>
      </c>
      <c r="C74" s="2"/>
      <c r="D74" s="2">
        <f>ROW(EtalonRes!A51)</f>
        <v>51</v>
      </c>
      <c r="E74" s="2" t="s">
        <v>122</v>
      </c>
      <c r="F74" s="2" t="s">
        <v>123</v>
      </c>
      <c r="G74" s="2" t="s">
        <v>124</v>
      </c>
      <c r="H74" s="2" t="s">
        <v>22</v>
      </c>
      <c r="I74" s="2">
        <f>ROUND(2+1+4,9)</f>
        <v>7</v>
      </c>
      <c r="J74" s="2">
        <v>0</v>
      </c>
      <c r="K74" s="2">
        <f>ROUND(2+1+4,9)</f>
        <v>7</v>
      </c>
      <c r="L74" s="2"/>
      <c r="M74" s="2"/>
      <c r="N74" s="2"/>
      <c r="O74" s="2">
        <f t="shared" si="55"/>
        <v>340.23</v>
      </c>
      <c r="P74" s="2">
        <f>ROUND((ROUND((AC74*AW74*I74),2)*BC74),2)</f>
        <v>16.38</v>
      </c>
      <c r="Q74" s="2">
        <f>(ROUND((ROUND((((ET74*1.1))*AV74*I74),2)*BB74),2)+ROUND((ROUND(((AE74-((EU74*1.1)))*AV74*I74),2)*BS74),2))</f>
        <v>0</v>
      </c>
      <c r="R74" s="2">
        <f t="shared" si="56"/>
        <v>0</v>
      </c>
      <c r="S74" s="2">
        <f t="shared" si="57"/>
        <v>323.85000000000002</v>
      </c>
      <c r="T74" s="2">
        <f t="shared" si="58"/>
        <v>0</v>
      </c>
      <c r="U74" s="2">
        <f t="shared" si="59"/>
        <v>25.636842000000001</v>
      </c>
      <c r="V74" s="2">
        <f t="shared" si="60"/>
        <v>0</v>
      </c>
      <c r="W74" s="2">
        <f t="shared" si="61"/>
        <v>0</v>
      </c>
      <c r="X74" s="2">
        <f t="shared" si="62"/>
        <v>291.47000000000003</v>
      </c>
      <c r="Y74" s="2">
        <f t="shared" si="63"/>
        <v>148.97</v>
      </c>
      <c r="Z74" s="2"/>
      <c r="AA74" s="2">
        <v>56498966</v>
      </c>
      <c r="AB74" s="2">
        <f t="shared" si="64"/>
        <v>46.527000000000001</v>
      </c>
      <c r="AC74" s="2">
        <f t="shared" si="65"/>
        <v>2.34</v>
      </c>
      <c r="AD74" s="2">
        <f>ROUND(((((ET74*1.1))-((EU74*1.1)))+AE74),6)</f>
        <v>0</v>
      </c>
      <c r="AE74" s="2">
        <f>ROUND(((EU74*1.1)),6)</f>
        <v>0</v>
      </c>
      <c r="AF74" s="2">
        <f>ROUND(((EV74*1.1)),6)</f>
        <v>44.186999999999998</v>
      </c>
      <c r="AG74" s="2">
        <f t="shared" si="66"/>
        <v>0</v>
      </c>
      <c r="AH74" s="2">
        <f>((EW74*1.1))</f>
        <v>3.4980000000000007</v>
      </c>
      <c r="AI74" s="2">
        <f>((EX74*1.1))</f>
        <v>0</v>
      </c>
      <c r="AJ74" s="2">
        <f t="shared" si="67"/>
        <v>0</v>
      </c>
      <c r="AK74" s="2">
        <v>42.51</v>
      </c>
      <c r="AL74" s="2">
        <v>2.34</v>
      </c>
      <c r="AM74" s="2">
        <v>0</v>
      </c>
      <c r="AN74" s="2">
        <v>0</v>
      </c>
      <c r="AO74" s="2">
        <v>40.17</v>
      </c>
      <c r="AP74" s="2">
        <v>0</v>
      </c>
      <c r="AQ74" s="2">
        <v>3.18</v>
      </c>
      <c r="AR74" s="2">
        <v>0</v>
      </c>
      <c r="AS74" s="2">
        <v>0</v>
      </c>
      <c r="AT74" s="2">
        <v>90</v>
      </c>
      <c r="AU74" s="2">
        <v>46</v>
      </c>
      <c r="AV74" s="2">
        <v>1.0469999999999999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0</v>
      </c>
      <c r="BI74" s="2">
        <v>2</v>
      </c>
      <c r="BJ74" s="2" t="s">
        <v>125</v>
      </c>
      <c r="BK74" s="2"/>
      <c r="BL74" s="2"/>
      <c r="BM74" s="2">
        <v>68</v>
      </c>
      <c r="BN74" s="2">
        <v>0</v>
      </c>
      <c r="BO74" s="2" t="s">
        <v>123</v>
      </c>
      <c r="BP74" s="2">
        <v>1</v>
      </c>
      <c r="BQ74" s="2">
        <v>40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90</v>
      </c>
      <c r="CA74" s="2">
        <v>46</v>
      </c>
      <c r="CB74" s="2" t="s">
        <v>3</v>
      </c>
      <c r="CC74" s="2"/>
      <c r="CD74" s="2"/>
      <c r="CE74" s="2">
        <v>30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68"/>
        <v>340.23</v>
      </c>
      <c r="CQ74" s="2">
        <f>ROUND((ROUND((AC74*AW74*1),2)*BC74),2)</f>
        <v>2.34</v>
      </c>
      <c r="CR74" s="2">
        <f>(ROUND((ROUND((((ET74*1.1))*AV74*1),2)*BB74),2)+ROUND((ROUND(((AE74-((EU74*1.1)))*AV74*1),2)*BS74),2))</f>
        <v>0</v>
      </c>
      <c r="CS74" s="2">
        <f t="shared" si="69"/>
        <v>0</v>
      </c>
      <c r="CT74" s="2">
        <f t="shared" si="70"/>
        <v>46.26</v>
      </c>
      <c r="CU74" s="2">
        <f t="shared" si="71"/>
        <v>0</v>
      </c>
      <c r="CV74" s="2">
        <f t="shared" si="72"/>
        <v>3.6624060000000003</v>
      </c>
      <c r="CW74" s="2">
        <f t="shared" si="73"/>
        <v>0</v>
      </c>
      <c r="CX74" s="2">
        <f t="shared" si="74"/>
        <v>0</v>
      </c>
      <c r="CY74" s="2">
        <f t="shared" si="75"/>
        <v>291.46500000000003</v>
      </c>
      <c r="CZ74" s="2">
        <f t="shared" si="76"/>
        <v>148.971</v>
      </c>
      <c r="DA74" s="2"/>
      <c r="DB74" s="2"/>
      <c r="DC74" s="2" t="s">
        <v>3</v>
      </c>
      <c r="DD74" s="2" t="s">
        <v>3</v>
      </c>
      <c r="DE74" s="2" t="s">
        <v>24</v>
      </c>
      <c r="DF74" s="2" t="s">
        <v>24</v>
      </c>
      <c r="DG74" s="2" t="s">
        <v>24</v>
      </c>
      <c r="DH74" s="2" t="s">
        <v>3</v>
      </c>
      <c r="DI74" s="2" t="s">
        <v>24</v>
      </c>
      <c r="DJ74" s="2" t="s">
        <v>24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1013</v>
      </c>
      <c r="DV74" s="2" t="s">
        <v>22</v>
      </c>
      <c r="DW74" s="2" t="s">
        <v>22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58162630</v>
      </c>
      <c r="EF74" s="2">
        <v>40</v>
      </c>
      <c r="EG74" s="2" t="s">
        <v>25</v>
      </c>
      <c r="EH74" s="2">
        <v>0</v>
      </c>
      <c r="EI74" s="2" t="s">
        <v>3</v>
      </c>
      <c r="EJ74" s="2">
        <v>2</v>
      </c>
      <c r="EK74" s="2">
        <v>68</v>
      </c>
      <c r="EL74" s="2" t="s">
        <v>26</v>
      </c>
      <c r="EM74" s="2" t="s">
        <v>27</v>
      </c>
      <c r="EN74" s="2"/>
      <c r="EO74" s="2" t="s">
        <v>28</v>
      </c>
      <c r="EP74" s="2"/>
      <c r="EQ74" s="2">
        <v>0</v>
      </c>
      <c r="ER74" s="2">
        <v>42.51</v>
      </c>
      <c r="ES74" s="2">
        <v>2.34</v>
      </c>
      <c r="ET74" s="2">
        <v>0</v>
      </c>
      <c r="EU74" s="2">
        <v>0</v>
      </c>
      <c r="EV74" s="2">
        <v>40.17</v>
      </c>
      <c r="EW74" s="2">
        <v>3.18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90</v>
      </c>
      <c r="FY74" s="2">
        <v>46</v>
      </c>
      <c r="FZ74" s="2"/>
      <c r="GA74" s="2" t="s">
        <v>3</v>
      </c>
      <c r="GB74" s="2"/>
      <c r="GC74" s="2"/>
      <c r="GD74" s="2">
        <v>1</v>
      </c>
      <c r="GE74" s="2"/>
      <c r="GF74" s="2">
        <v>1548884140</v>
      </c>
      <c r="GG74" s="2">
        <v>2</v>
      </c>
      <c r="GH74" s="2">
        <v>1</v>
      </c>
      <c r="GI74" s="2">
        <v>2</v>
      </c>
      <c r="GJ74" s="2">
        <v>0</v>
      </c>
      <c r="GK74" s="2">
        <v>0</v>
      </c>
      <c r="GL74" s="2">
        <f t="shared" si="77"/>
        <v>0</v>
      </c>
      <c r="GM74" s="2">
        <f t="shared" si="78"/>
        <v>780.67</v>
      </c>
      <c r="GN74" s="2">
        <f t="shared" si="79"/>
        <v>0</v>
      </c>
      <c r="GO74" s="2">
        <f t="shared" si="80"/>
        <v>780.67</v>
      </c>
      <c r="GP74" s="2">
        <f t="shared" si="81"/>
        <v>0</v>
      </c>
      <c r="GQ74" s="2"/>
      <c r="GR74" s="2">
        <v>0</v>
      </c>
      <c r="GS74" s="2">
        <v>3</v>
      </c>
      <c r="GT74" s="2">
        <v>0</v>
      </c>
      <c r="GU74" s="2" t="s">
        <v>3</v>
      </c>
      <c r="GV74" s="2">
        <f t="shared" si="82"/>
        <v>0</v>
      </c>
      <c r="GW74" s="2">
        <v>1</v>
      </c>
      <c r="GX74" s="2">
        <f t="shared" si="83"/>
        <v>0</v>
      </c>
      <c r="GY74" s="2"/>
      <c r="GZ74" s="2"/>
      <c r="HA74" s="2">
        <v>0</v>
      </c>
      <c r="HB74" s="2">
        <v>0</v>
      </c>
      <c r="HC74" s="2">
        <f t="shared" si="84"/>
        <v>0</v>
      </c>
      <c r="HD74" s="2"/>
      <c r="HE74" s="2" t="s">
        <v>3</v>
      </c>
      <c r="HF74" s="2" t="s">
        <v>3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3">
      <c r="A75">
        <v>17</v>
      </c>
      <c r="B75">
        <v>1</v>
      </c>
      <c r="D75">
        <f>ROW(EtalonRes!A56)</f>
        <v>56</v>
      </c>
      <c r="E75" t="s">
        <v>122</v>
      </c>
      <c r="F75" t="s">
        <v>123</v>
      </c>
      <c r="G75" t="s">
        <v>124</v>
      </c>
      <c r="H75" t="s">
        <v>22</v>
      </c>
      <c r="I75">
        <f>ROUND(2+1+4,9)</f>
        <v>7</v>
      </c>
      <c r="J75">
        <v>0</v>
      </c>
      <c r="K75">
        <f>ROUND(2+1+4,9)</f>
        <v>7</v>
      </c>
      <c r="O75">
        <f t="shared" si="55"/>
        <v>17976.57</v>
      </c>
      <c r="P75">
        <f>ROUND((ROUND((AC75*AW75*I75),2)*BC75),2)</f>
        <v>168.06</v>
      </c>
      <c r="Q75">
        <f>(ROUND((ROUND((((ET75*1.1))*AV75*I75),2)*BB75),2)+ROUND((ROUND(((AE75-((EU75*1.1)))*AV75*I75),2)*BS75),2))</f>
        <v>0</v>
      </c>
      <c r="R75">
        <f t="shared" si="56"/>
        <v>0</v>
      </c>
      <c r="S75">
        <f t="shared" si="57"/>
        <v>17808.509999999998</v>
      </c>
      <c r="T75">
        <f t="shared" si="58"/>
        <v>0</v>
      </c>
      <c r="U75">
        <f t="shared" si="59"/>
        <v>25.636842000000001</v>
      </c>
      <c r="V75">
        <f t="shared" si="60"/>
        <v>0</v>
      </c>
      <c r="W75">
        <f t="shared" si="61"/>
        <v>0</v>
      </c>
      <c r="X75">
        <f t="shared" si="62"/>
        <v>16027.66</v>
      </c>
      <c r="Y75">
        <f t="shared" si="63"/>
        <v>8191.91</v>
      </c>
      <c r="AA75">
        <v>56498968</v>
      </c>
      <c r="AB75">
        <f t="shared" si="64"/>
        <v>46.527000000000001</v>
      </c>
      <c r="AC75">
        <f t="shared" si="65"/>
        <v>2.34</v>
      </c>
      <c r="AD75">
        <f>ROUND(((((ET75*1.1))-((EU75*1.1)))+AE75),6)</f>
        <v>0</v>
      </c>
      <c r="AE75">
        <f>ROUND(((EU75*1.1)),6)</f>
        <v>0</v>
      </c>
      <c r="AF75">
        <f>ROUND(((EV75*1.1)),6)</f>
        <v>44.186999999999998</v>
      </c>
      <c r="AG75">
        <f t="shared" si="66"/>
        <v>0</v>
      </c>
      <c r="AH75">
        <f>((EW75*1.1))</f>
        <v>3.4980000000000007</v>
      </c>
      <c r="AI75">
        <f>((EX75*1.1))</f>
        <v>0</v>
      </c>
      <c r="AJ75">
        <f t="shared" si="67"/>
        <v>0</v>
      </c>
      <c r="AK75">
        <v>42.51</v>
      </c>
      <c r="AL75">
        <v>2.34</v>
      </c>
      <c r="AM75">
        <v>0</v>
      </c>
      <c r="AN75">
        <v>0</v>
      </c>
      <c r="AO75">
        <v>40.17</v>
      </c>
      <c r="AP75">
        <v>0</v>
      </c>
      <c r="AQ75">
        <v>3.18</v>
      </c>
      <c r="AR75">
        <v>0</v>
      </c>
      <c r="AS75">
        <v>0</v>
      </c>
      <c r="AT75">
        <v>90</v>
      </c>
      <c r="AU75">
        <v>46</v>
      </c>
      <c r="AV75">
        <v>1.0469999999999999</v>
      </c>
      <c r="AW75">
        <v>1</v>
      </c>
      <c r="AZ75">
        <v>1</v>
      </c>
      <c r="BA75">
        <v>54.99</v>
      </c>
      <c r="BB75">
        <v>1</v>
      </c>
      <c r="BC75">
        <v>10.26</v>
      </c>
      <c r="BD75" t="s">
        <v>3</v>
      </c>
      <c r="BE75" t="s">
        <v>3</v>
      </c>
      <c r="BF75" t="s">
        <v>3</v>
      </c>
      <c r="BG75" t="s">
        <v>3</v>
      </c>
      <c r="BH75">
        <v>0</v>
      </c>
      <c r="BI75">
        <v>2</v>
      </c>
      <c r="BJ75" t="s">
        <v>125</v>
      </c>
      <c r="BM75">
        <v>68</v>
      </c>
      <c r="BN75">
        <v>0</v>
      </c>
      <c r="BO75" t="s">
        <v>123</v>
      </c>
      <c r="BP75">
        <v>1</v>
      </c>
      <c r="BQ75">
        <v>40</v>
      </c>
      <c r="BR75">
        <v>0</v>
      </c>
      <c r="BS75">
        <v>54.99</v>
      </c>
      <c r="BT75">
        <v>1</v>
      </c>
      <c r="BU75">
        <v>1</v>
      </c>
      <c r="BV75">
        <v>1</v>
      </c>
      <c r="BW75">
        <v>1</v>
      </c>
      <c r="BX75">
        <v>1</v>
      </c>
      <c r="BY75" t="s">
        <v>3</v>
      </c>
      <c r="BZ75">
        <v>90</v>
      </c>
      <c r="CA75">
        <v>46</v>
      </c>
      <c r="CB75" t="s">
        <v>3</v>
      </c>
      <c r="CE75">
        <v>30</v>
      </c>
      <c r="CF75">
        <v>0</v>
      </c>
      <c r="CG75">
        <v>0</v>
      </c>
      <c r="CM75">
        <v>0</v>
      </c>
      <c r="CN75" t="s">
        <v>3</v>
      </c>
      <c r="CO75">
        <v>0</v>
      </c>
      <c r="CP75">
        <f t="shared" si="68"/>
        <v>17976.57</v>
      </c>
      <c r="CQ75">
        <f>ROUND((ROUND((AC75*AW75*1),2)*BC75),2)</f>
        <v>24.01</v>
      </c>
      <c r="CR75">
        <f>(ROUND((ROUND((((ET75*1.1))*AV75*1),2)*BB75),2)+ROUND((ROUND(((AE75-((EU75*1.1)))*AV75*1),2)*BS75),2))</f>
        <v>0</v>
      </c>
      <c r="CS75">
        <f t="shared" si="69"/>
        <v>0</v>
      </c>
      <c r="CT75">
        <f t="shared" si="70"/>
        <v>2543.84</v>
      </c>
      <c r="CU75">
        <f t="shared" si="71"/>
        <v>0</v>
      </c>
      <c r="CV75">
        <f t="shared" si="72"/>
        <v>3.6624060000000003</v>
      </c>
      <c r="CW75">
        <f t="shared" si="73"/>
        <v>0</v>
      </c>
      <c r="CX75">
        <f t="shared" si="74"/>
        <v>0</v>
      </c>
      <c r="CY75">
        <f t="shared" si="75"/>
        <v>16027.659</v>
      </c>
      <c r="CZ75">
        <f t="shared" si="76"/>
        <v>8191.9146000000001</v>
      </c>
      <c r="DC75" t="s">
        <v>3</v>
      </c>
      <c r="DD75" t="s">
        <v>3</v>
      </c>
      <c r="DE75" t="s">
        <v>24</v>
      </c>
      <c r="DF75" t="s">
        <v>24</v>
      </c>
      <c r="DG75" t="s">
        <v>24</v>
      </c>
      <c r="DH75" t="s">
        <v>3</v>
      </c>
      <c r="DI75" t="s">
        <v>24</v>
      </c>
      <c r="DJ75" t="s">
        <v>24</v>
      </c>
      <c r="DK75" t="s">
        <v>3</v>
      </c>
      <c r="DL75" t="s">
        <v>3</v>
      </c>
      <c r="DM75" t="s">
        <v>3</v>
      </c>
      <c r="DN75">
        <v>0</v>
      </c>
      <c r="DO75">
        <v>0</v>
      </c>
      <c r="DP75">
        <v>1</v>
      </c>
      <c r="DQ75">
        <v>1</v>
      </c>
      <c r="DU75">
        <v>1013</v>
      </c>
      <c r="DV75" t="s">
        <v>22</v>
      </c>
      <c r="DW75" t="s">
        <v>22</v>
      </c>
      <c r="DX75">
        <v>1</v>
      </c>
      <c r="DZ75" t="s">
        <v>3</v>
      </c>
      <c r="EA75" t="s">
        <v>3</v>
      </c>
      <c r="EB75" t="s">
        <v>3</v>
      </c>
      <c r="EC75" t="s">
        <v>3</v>
      </c>
      <c r="EE75">
        <v>58162630</v>
      </c>
      <c r="EF75">
        <v>40</v>
      </c>
      <c r="EG75" t="s">
        <v>25</v>
      </c>
      <c r="EH75">
        <v>0</v>
      </c>
      <c r="EI75" t="s">
        <v>3</v>
      </c>
      <c r="EJ75">
        <v>2</v>
      </c>
      <c r="EK75">
        <v>68</v>
      </c>
      <c r="EL75" t="s">
        <v>26</v>
      </c>
      <c r="EM75" t="s">
        <v>27</v>
      </c>
      <c r="EO75" t="s">
        <v>28</v>
      </c>
      <c r="EQ75">
        <v>0</v>
      </c>
      <c r="ER75">
        <v>42.51</v>
      </c>
      <c r="ES75">
        <v>2.34</v>
      </c>
      <c r="ET75">
        <v>0</v>
      </c>
      <c r="EU75">
        <v>0</v>
      </c>
      <c r="EV75">
        <v>40.17</v>
      </c>
      <c r="EW75">
        <v>3.18</v>
      </c>
      <c r="EX75">
        <v>0</v>
      </c>
      <c r="EY75">
        <v>0</v>
      </c>
      <c r="FQ75">
        <v>0</v>
      </c>
      <c r="FR75">
        <v>0</v>
      </c>
      <c r="FS75">
        <v>0</v>
      </c>
      <c r="FX75">
        <v>90</v>
      </c>
      <c r="FY75">
        <v>46</v>
      </c>
      <c r="GA75" t="s">
        <v>3</v>
      </c>
      <c r="GD75">
        <v>1</v>
      </c>
      <c r="GF75">
        <v>1548884140</v>
      </c>
      <c r="GG75">
        <v>2</v>
      </c>
      <c r="GH75">
        <v>1</v>
      </c>
      <c r="GI75">
        <v>2</v>
      </c>
      <c r="GJ75">
        <v>0</v>
      </c>
      <c r="GK75">
        <v>0</v>
      </c>
      <c r="GL75">
        <f t="shared" si="77"/>
        <v>0</v>
      </c>
      <c r="GM75">
        <f t="shared" si="78"/>
        <v>42196.14</v>
      </c>
      <c r="GN75">
        <f t="shared" si="79"/>
        <v>0</v>
      </c>
      <c r="GO75">
        <f t="shared" si="80"/>
        <v>42196.14</v>
      </c>
      <c r="GP75">
        <f t="shared" si="81"/>
        <v>0</v>
      </c>
      <c r="GR75">
        <v>0</v>
      </c>
      <c r="GS75">
        <v>3</v>
      </c>
      <c r="GT75">
        <v>0</v>
      </c>
      <c r="GU75" t="s">
        <v>3</v>
      </c>
      <c r="GV75">
        <f t="shared" si="82"/>
        <v>0</v>
      </c>
      <c r="GW75">
        <v>1</v>
      </c>
      <c r="GX75">
        <f t="shared" si="83"/>
        <v>0</v>
      </c>
      <c r="HA75">
        <v>0</v>
      </c>
      <c r="HB75">
        <v>0</v>
      </c>
      <c r="HC75">
        <f t="shared" si="84"/>
        <v>0</v>
      </c>
      <c r="HE75" t="s">
        <v>3</v>
      </c>
      <c r="HF75" t="s">
        <v>3</v>
      </c>
      <c r="HM75" t="s">
        <v>3</v>
      </c>
      <c r="HN75" t="s">
        <v>3</v>
      </c>
      <c r="HO75" t="s">
        <v>3</v>
      </c>
      <c r="HP75" t="s">
        <v>3</v>
      </c>
      <c r="HQ75" t="s">
        <v>3</v>
      </c>
      <c r="HS75">
        <v>0</v>
      </c>
      <c r="IK75">
        <v>0</v>
      </c>
    </row>
    <row r="76" spans="1:255" x14ac:dyDescent="0.3">
      <c r="A76" s="2">
        <v>18</v>
      </c>
      <c r="B76" s="2">
        <v>1</v>
      </c>
      <c r="C76" s="2"/>
      <c r="D76" s="2"/>
      <c r="E76" s="2" t="s">
        <v>126</v>
      </c>
      <c r="F76" s="2" t="s">
        <v>127</v>
      </c>
      <c r="G76" s="2" t="s">
        <v>128</v>
      </c>
      <c r="H76" s="2" t="s">
        <v>32</v>
      </c>
      <c r="I76" s="2">
        <f>I74*J76</f>
        <v>2</v>
      </c>
      <c r="J76" s="2">
        <v>0.2857142857142857</v>
      </c>
      <c r="K76" s="2">
        <v>0.28571429999999998</v>
      </c>
      <c r="L76" s="2"/>
      <c r="M76" s="2"/>
      <c r="N76" s="2"/>
      <c r="O76" s="2">
        <f t="shared" si="55"/>
        <v>1883.78</v>
      </c>
      <c r="P76" s="2">
        <f t="shared" ref="P76:P87" si="93">ROUND((ROUND((AC76*I76),2)*BC76),2)</f>
        <v>1883.78</v>
      </c>
      <c r="Q76" s="2">
        <f t="shared" ref="Q76:Q87" si="94">(ROUND((ROUND(((ET76)*AV76*I76),2)*BB76),2)+ROUND((ROUND(((AE76-(EU76))*AV76*I76),2)*BS76),2))</f>
        <v>0</v>
      </c>
      <c r="R76" s="2">
        <f t="shared" si="56"/>
        <v>0</v>
      </c>
      <c r="S76" s="2">
        <f t="shared" si="57"/>
        <v>0</v>
      </c>
      <c r="T76" s="2">
        <f t="shared" si="58"/>
        <v>0</v>
      </c>
      <c r="U76" s="2">
        <f t="shared" si="59"/>
        <v>0</v>
      </c>
      <c r="V76" s="2">
        <f t="shared" si="60"/>
        <v>0</v>
      </c>
      <c r="W76" s="2">
        <f t="shared" si="61"/>
        <v>0</v>
      </c>
      <c r="X76" s="2">
        <f t="shared" si="62"/>
        <v>0</v>
      </c>
      <c r="Y76" s="2">
        <f t="shared" si="63"/>
        <v>0</v>
      </c>
      <c r="Z76" s="2"/>
      <c r="AA76" s="2">
        <v>56498966</v>
      </c>
      <c r="AB76" s="2">
        <f t="shared" si="64"/>
        <v>941.89</v>
      </c>
      <c r="AC76" s="2">
        <f t="shared" si="65"/>
        <v>941.89</v>
      </c>
      <c r="AD76" s="2">
        <f t="shared" ref="AD76:AD87" si="95">ROUND((((ET76)-(EU76))+AE76),6)</f>
        <v>0</v>
      </c>
      <c r="AE76" s="2">
        <f t="shared" ref="AE76:AE87" si="96">ROUND((EU76),6)</f>
        <v>0</v>
      </c>
      <c r="AF76" s="2">
        <f t="shared" ref="AF76:AF87" si="97">ROUND((EV76),6)</f>
        <v>0</v>
      </c>
      <c r="AG76" s="2">
        <f t="shared" si="66"/>
        <v>0</v>
      </c>
      <c r="AH76" s="2">
        <f t="shared" ref="AH76:AH87" si="98">(EW76)</f>
        <v>0</v>
      </c>
      <c r="AI76" s="2">
        <f t="shared" ref="AI76:AI87" si="99">(EX76)</f>
        <v>0</v>
      </c>
      <c r="AJ76" s="2">
        <f t="shared" si="67"/>
        <v>0</v>
      </c>
      <c r="AK76" s="2">
        <v>941.89</v>
      </c>
      <c r="AL76" s="2">
        <v>941.89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3</v>
      </c>
      <c r="BJ76" s="2" t="s">
        <v>3</v>
      </c>
      <c r="BK76" s="2"/>
      <c r="BL76" s="2"/>
      <c r="BM76" s="2">
        <v>746</v>
      </c>
      <c r="BN76" s="2">
        <v>0</v>
      </c>
      <c r="BO76" s="2" t="s">
        <v>3</v>
      </c>
      <c r="BP76" s="2">
        <v>0</v>
      </c>
      <c r="BQ76" s="2">
        <v>130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30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</v>
      </c>
      <c r="CO76" s="2">
        <v>0</v>
      </c>
      <c r="CP76" s="2">
        <f t="shared" si="68"/>
        <v>1883.78</v>
      </c>
      <c r="CQ76" s="2">
        <f t="shared" ref="CQ76:CQ87" si="100">ROUND((ROUND((AC76*1),2)*BC76),2)</f>
        <v>941.89</v>
      </c>
      <c r="CR76" s="2">
        <f t="shared" ref="CR76:CR87" si="101">(ROUND((ROUND(((ET76)*AV76*1),2)*BB76),2)+ROUND((ROUND(((AE76-(EU76))*AV76*1),2)*BS76),2))</f>
        <v>0</v>
      </c>
      <c r="CS76" s="2">
        <f t="shared" si="69"/>
        <v>0</v>
      </c>
      <c r="CT76" s="2">
        <f t="shared" si="70"/>
        <v>0</v>
      </c>
      <c r="CU76" s="2">
        <f t="shared" si="71"/>
        <v>0</v>
      </c>
      <c r="CV76" s="2">
        <f t="shared" si="72"/>
        <v>0</v>
      </c>
      <c r="CW76" s="2">
        <f t="shared" si="73"/>
        <v>0</v>
      </c>
      <c r="CX76" s="2">
        <f t="shared" si="74"/>
        <v>0</v>
      </c>
      <c r="CY76" s="2">
        <f t="shared" si="75"/>
        <v>0</v>
      </c>
      <c r="CZ76" s="2">
        <f t="shared" si="76"/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1010</v>
      </c>
      <c r="DV76" s="2" t="s">
        <v>32</v>
      </c>
      <c r="DW76" s="2" t="s">
        <v>32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58162750</v>
      </c>
      <c r="EF76" s="2">
        <v>130</v>
      </c>
      <c r="EG76" s="2" t="s">
        <v>33</v>
      </c>
      <c r="EH76" s="2">
        <v>0</v>
      </c>
      <c r="EI76" s="2" t="s">
        <v>3</v>
      </c>
      <c r="EJ76" s="2">
        <v>3</v>
      </c>
      <c r="EK76" s="2">
        <v>746</v>
      </c>
      <c r="EL76" s="2" t="s">
        <v>34</v>
      </c>
      <c r="EM76" s="2" t="s">
        <v>35</v>
      </c>
      <c r="EN76" s="2"/>
      <c r="EO76" s="2" t="s">
        <v>3</v>
      </c>
      <c r="EP76" s="2"/>
      <c r="EQ76" s="2">
        <v>0</v>
      </c>
      <c r="ER76" s="2">
        <v>0</v>
      </c>
      <c r="ES76" s="2">
        <v>941.89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f t="shared" ref="FR76:FR87" si="102">P76</f>
        <v>1883.78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129</v>
      </c>
      <c r="GB76" s="2"/>
      <c r="GC76" s="2"/>
      <c r="GD76" s="2">
        <v>1</v>
      </c>
      <c r="GE76" s="2"/>
      <c r="GF76" s="2">
        <v>-99932320</v>
      </c>
      <c r="GG76" s="2">
        <v>2</v>
      </c>
      <c r="GH76" s="2">
        <v>4</v>
      </c>
      <c r="GI76" s="2">
        <v>-2</v>
      </c>
      <c r="GJ76" s="2">
        <v>0</v>
      </c>
      <c r="GK76" s="2">
        <v>0</v>
      </c>
      <c r="GL76" s="2">
        <f t="shared" si="77"/>
        <v>0</v>
      </c>
      <c r="GM76" s="2">
        <f t="shared" si="78"/>
        <v>1883.78</v>
      </c>
      <c r="GN76" s="2">
        <f t="shared" si="79"/>
        <v>0</v>
      </c>
      <c r="GO76" s="2">
        <f t="shared" si="80"/>
        <v>0</v>
      </c>
      <c r="GP76" s="2">
        <f t="shared" si="81"/>
        <v>0</v>
      </c>
      <c r="GQ76" s="2"/>
      <c r="GR76" s="2">
        <v>0</v>
      </c>
      <c r="GS76" s="2">
        <v>2</v>
      </c>
      <c r="GT76" s="2">
        <v>0</v>
      </c>
      <c r="GU76" s="2" t="s">
        <v>3</v>
      </c>
      <c r="GV76" s="2">
        <f t="shared" si="82"/>
        <v>0</v>
      </c>
      <c r="GW76" s="2">
        <v>1</v>
      </c>
      <c r="GX76" s="2">
        <f t="shared" si="83"/>
        <v>0</v>
      </c>
      <c r="GY76" s="2"/>
      <c r="GZ76" s="2"/>
      <c r="HA76" s="2">
        <v>0</v>
      </c>
      <c r="HB76" s="2">
        <v>0</v>
      </c>
      <c r="HC76" s="2">
        <f t="shared" si="84"/>
        <v>0</v>
      </c>
      <c r="HD76" s="2"/>
      <c r="HE76" s="2" t="s">
        <v>37</v>
      </c>
      <c r="HF76" s="2" t="s">
        <v>38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3">
      <c r="A77">
        <v>18</v>
      </c>
      <c r="B77">
        <v>1</v>
      </c>
      <c r="E77" t="s">
        <v>126</v>
      </c>
      <c r="F77" t="s">
        <v>127</v>
      </c>
      <c r="G77" t="s">
        <v>128</v>
      </c>
      <c r="H77" t="s">
        <v>32</v>
      </c>
      <c r="I77">
        <f>I75*J77</f>
        <v>2</v>
      </c>
      <c r="J77">
        <v>0.2857142857142857</v>
      </c>
      <c r="K77">
        <v>0.28571429999999998</v>
      </c>
      <c r="O77">
        <f t="shared" si="55"/>
        <v>14429.75</v>
      </c>
      <c r="P77">
        <f t="shared" si="93"/>
        <v>14429.75</v>
      </c>
      <c r="Q77">
        <f t="shared" si="94"/>
        <v>0</v>
      </c>
      <c r="R77">
        <f t="shared" si="56"/>
        <v>0</v>
      </c>
      <c r="S77">
        <f t="shared" si="57"/>
        <v>0</v>
      </c>
      <c r="T77">
        <f t="shared" si="58"/>
        <v>0</v>
      </c>
      <c r="U77">
        <f t="shared" si="59"/>
        <v>0</v>
      </c>
      <c r="V77">
        <f t="shared" si="60"/>
        <v>0</v>
      </c>
      <c r="W77">
        <f t="shared" si="61"/>
        <v>0</v>
      </c>
      <c r="X77">
        <f t="shared" si="62"/>
        <v>0</v>
      </c>
      <c r="Y77">
        <f t="shared" si="63"/>
        <v>0</v>
      </c>
      <c r="AA77">
        <v>56498968</v>
      </c>
      <c r="AB77">
        <f t="shared" si="64"/>
        <v>941.89</v>
      </c>
      <c r="AC77">
        <f t="shared" si="65"/>
        <v>941.89</v>
      </c>
      <c r="AD77">
        <f t="shared" si="95"/>
        <v>0</v>
      </c>
      <c r="AE77">
        <f t="shared" si="96"/>
        <v>0</v>
      </c>
      <c r="AF77">
        <f t="shared" si="97"/>
        <v>0</v>
      </c>
      <c r="AG77">
        <f t="shared" si="66"/>
        <v>0</v>
      </c>
      <c r="AH77">
        <f t="shared" si="98"/>
        <v>0</v>
      </c>
      <c r="AI77">
        <f t="shared" si="99"/>
        <v>0</v>
      </c>
      <c r="AJ77">
        <f t="shared" si="67"/>
        <v>0</v>
      </c>
      <c r="AK77">
        <v>941.89</v>
      </c>
      <c r="AL77">
        <v>941.89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Z77">
        <v>1</v>
      </c>
      <c r="BA77">
        <v>1</v>
      </c>
      <c r="BB77">
        <v>1</v>
      </c>
      <c r="BC77">
        <v>7.66</v>
      </c>
      <c r="BD77" t="s">
        <v>3</v>
      </c>
      <c r="BE77" t="s">
        <v>3</v>
      </c>
      <c r="BF77" t="s">
        <v>3</v>
      </c>
      <c r="BG77" t="s">
        <v>3</v>
      </c>
      <c r="BH77">
        <v>3</v>
      </c>
      <c r="BI77">
        <v>3</v>
      </c>
      <c r="BJ77" t="s">
        <v>3</v>
      </c>
      <c r="BM77">
        <v>746</v>
      </c>
      <c r="BN77">
        <v>0</v>
      </c>
      <c r="BO77" t="s">
        <v>3</v>
      </c>
      <c r="BP77">
        <v>0</v>
      </c>
      <c r="BQ77">
        <v>130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 t="s">
        <v>3</v>
      </c>
      <c r="BZ77">
        <v>90</v>
      </c>
      <c r="CA77">
        <v>46</v>
      </c>
      <c r="CB77" t="s">
        <v>3</v>
      </c>
      <c r="CE77">
        <v>30</v>
      </c>
      <c r="CF77">
        <v>0</v>
      </c>
      <c r="CG77">
        <v>0</v>
      </c>
      <c r="CM77">
        <v>0</v>
      </c>
      <c r="CN77" t="s">
        <v>3</v>
      </c>
      <c r="CO77">
        <v>0</v>
      </c>
      <c r="CP77">
        <f t="shared" si="68"/>
        <v>14429.75</v>
      </c>
      <c r="CQ77">
        <f t="shared" si="100"/>
        <v>7214.88</v>
      </c>
      <c r="CR77">
        <f t="shared" si="101"/>
        <v>0</v>
      </c>
      <c r="CS77">
        <f t="shared" si="69"/>
        <v>0</v>
      </c>
      <c r="CT77">
        <f t="shared" si="70"/>
        <v>0</v>
      </c>
      <c r="CU77">
        <f t="shared" si="71"/>
        <v>0</v>
      </c>
      <c r="CV77">
        <f t="shared" si="72"/>
        <v>0</v>
      </c>
      <c r="CW77">
        <f t="shared" si="73"/>
        <v>0</v>
      </c>
      <c r="CX77">
        <f t="shared" si="74"/>
        <v>0</v>
      </c>
      <c r="CY77">
        <f t="shared" si="75"/>
        <v>0</v>
      </c>
      <c r="CZ77">
        <f t="shared" si="76"/>
        <v>0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>
        <v>0</v>
      </c>
      <c r="DO77">
        <v>0</v>
      </c>
      <c r="DP77">
        <v>1</v>
      </c>
      <c r="DQ77">
        <v>1</v>
      </c>
      <c r="DU77">
        <v>1010</v>
      </c>
      <c r="DV77" t="s">
        <v>32</v>
      </c>
      <c r="DW77" t="s">
        <v>32</v>
      </c>
      <c r="DX77">
        <v>1</v>
      </c>
      <c r="DZ77" t="s">
        <v>3</v>
      </c>
      <c r="EA77" t="s">
        <v>3</v>
      </c>
      <c r="EB77" t="s">
        <v>3</v>
      </c>
      <c r="EC77" t="s">
        <v>3</v>
      </c>
      <c r="EE77">
        <v>58162750</v>
      </c>
      <c r="EF77">
        <v>130</v>
      </c>
      <c r="EG77" t="s">
        <v>33</v>
      </c>
      <c r="EH77">
        <v>0</v>
      </c>
      <c r="EI77" t="s">
        <v>3</v>
      </c>
      <c r="EJ77">
        <v>3</v>
      </c>
      <c r="EK77">
        <v>746</v>
      </c>
      <c r="EL77" t="s">
        <v>34</v>
      </c>
      <c r="EM77" t="s">
        <v>35</v>
      </c>
      <c r="EO77" t="s">
        <v>3</v>
      </c>
      <c r="EQ77">
        <v>0</v>
      </c>
      <c r="ER77">
        <v>941.89</v>
      </c>
      <c r="ES77">
        <v>941.89</v>
      </c>
      <c r="ET77">
        <v>0</v>
      </c>
      <c r="EU77">
        <v>0</v>
      </c>
      <c r="EV77">
        <v>0</v>
      </c>
      <c r="EW77">
        <v>0</v>
      </c>
      <c r="EX77">
        <v>0</v>
      </c>
      <c r="EZ77">
        <v>5</v>
      </c>
      <c r="FC77">
        <v>1</v>
      </c>
      <c r="FD77">
        <v>18</v>
      </c>
      <c r="FF77">
        <v>8306</v>
      </c>
      <c r="FQ77">
        <v>0</v>
      </c>
      <c r="FR77">
        <f t="shared" si="102"/>
        <v>14429.75</v>
      </c>
      <c r="FS77">
        <v>0</v>
      </c>
      <c r="FX77">
        <v>90</v>
      </c>
      <c r="FY77">
        <v>46</v>
      </c>
      <c r="GA77" t="s">
        <v>129</v>
      </c>
      <c r="GD77">
        <v>1</v>
      </c>
      <c r="GF77">
        <v>-99932320</v>
      </c>
      <c r="GG77">
        <v>2</v>
      </c>
      <c r="GH77">
        <v>3</v>
      </c>
      <c r="GI77">
        <v>5</v>
      </c>
      <c r="GJ77">
        <v>0</v>
      </c>
      <c r="GK77">
        <v>0</v>
      </c>
      <c r="GL77">
        <f t="shared" si="77"/>
        <v>0</v>
      </c>
      <c r="GM77">
        <f t="shared" si="78"/>
        <v>14429.75</v>
      </c>
      <c r="GN77">
        <f t="shared" si="79"/>
        <v>0</v>
      </c>
      <c r="GO77">
        <f t="shared" si="80"/>
        <v>0</v>
      </c>
      <c r="GP77">
        <f t="shared" si="81"/>
        <v>0</v>
      </c>
      <c r="GR77">
        <v>1</v>
      </c>
      <c r="GS77">
        <v>1</v>
      </c>
      <c r="GT77">
        <v>0</v>
      </c>
      <c r="GU77" t="s">
        <v>3</v>
      </c>
      <c r="GV77">
        <f t="shared" si="82"/>
        <v>0</v>
      </c>
      <c r="GW77">
        <v>1</v>
      </c>
      <c r="GX77">
        <f t="shared" si="83"/>
        <v>0</v>
      </c>
      <c r="HA77">
        <v>0</v>
      </c>
      <c r="HB77">
        <v>0</v>
      </c>
      <c r="HC77">
        <f t="shared" si="84"/>
        <v>0</v>
      </c>
      <c r="HE77" t="s">
        <v>37</v>
      </c>
      <c r="HF77" t="s">
        <v>38</v>
      </c>
      <c r="HM77" t="s">
        <v>3</v>
      </c>
      <c r="HN77" t="s">
        <v>3</v>
      </c>
      <c r="HO77" t="s">
        <v>3</v>
      </c>
      <c r="HP77" t="s">
        <v>3</v>
      </c>
      <c r="HQ77" t="s">
        <v>3</v>
      </c>
      <c r="HS77">
        <v>0</v>
      </c>
      <c r="IK77">
        <v>0</v>
      </c>
    </row>
    <row r="78" spans="1:255" x14ac:dyDescent="0.3">
      <c r="A78" s="2">
        <v>18</v>
      </c>
      <c r="B78" s="2">
        <v>1</v>
      </c>
      <c r="C78" s="2"/>
      <c r="D78" s="2"/>
      <c r="E78" s="2" t="s">
        <v>130</v>
      </c>
      <c r="F78" s="2" t="s">
        <v>131</v>
      </c>
      <c r="G78" s="2" t="s">
        <v>132</v>
      </c>
      <c r="H78" s="2" t="s">
        <v>32</v>
      </c>
      <c r="I78" s="2">
        <f>I74*J78</f>
        <v>1</v>
      </c>
      <c r="J78" s="2">
        <v>0.14285714285714285</v>
      </c>
      <c r="K78" s="2">
        <v>0.14285709999999999</v>
      </c>
      <c r="L78" s="2"/>
      <c r="M78" s="2"/>
      <c r="N78" s="2"/>
      <c r="O78" s="2">
        <f t="shared" si="55"/>
        <v>1477.01</v>
      </c>
      <c r="P78" s="2">
        <f t="shared" si="93"/>
        <v>1477.01</v>
      </c>
      <c r="Q78" s="2">
        <f t="shared" si="94"/>
        <v>0</v>
      </c>
      <c r="R78" s="2">
        <f t="shared" si="56"/>
        <v>0</v>
      </c>
      <c r="S78" s="2">
        <f t="shared" si="57"/>
        <v>0</v>
      </c>
      <c r="T78" s="2">
        <f t="shared" si="58"/>
        <v>0</v>
      </c>
      <c r="U78" s="2">
        <f t="shared" si="59"/>
        <v>0</v>
      </c>
      <c r="V78" s="2">
        <f t="shared" si="60"/>
        <v>0</v>
      </c>
      <c r="W78" s="2">
        <f t="shared" si="61"/>
        <v>0</v>
      </c>
      <c r="X78" s="2">
        <f t="shared" si="62"/>
        <v>0</v>
      </c>
      <c r="Y78" s="2">
        <f t="shared" si="63"/>
        <v>0</v>
      </c>
      <c r="Z78" s="2"/>
      <c r="AA78" s="2">
        <v>56498966</v>
      </c>
      <c r="AB78" s="2">
        <f t="shared" si="64"/>
        <v>1477.01</v>
      </c>
      <c r="AC78" s="2">
        <f t="shared" si="65"/>
        <v>1477.01</v>
      </c>
      <c r="AD78" s="2">
        <f t="shared" si="95"/>
        <v>0</v>
      </c>
      <c r="AE78" s="2">
        <f t="shared" si="96"/>
        <v>0</v>
      </c>
      <c r="AF78" s="2">
        <f t="shared" si="97"/>
        <v>0</v>
      </c>
      <c r="AG78" s="2">
        <f t="shared" si="66"/>
        <v>0</v>
      </c>
      <c r="AH78" s="2">
        <f t="shared" si="98"/>
        <v>0</v>
      </c>
      <c r="AI78" s="2">
        <f t="shared" si="99"/>
        <v>0</v>
      </c>
      <c r="AJ78" s="2">
        <f t="shared" si="67"/>
        <v>0</v>
      </c>
      <c r="AK78" s="2">
        <v>1477.01</v>
      </c>
      <c r="AL78" s="2">
        <v>1477.01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3</v>
      </c>
      <c r="BJ78" s="2" t="s">
        <v>3</v>
      </c>
      <c r="BK78" s="2"/>
      <c r="BL78" s="2"/>
      <c r="BM78" s="2">
        <v>746</v>
      </c>
      <c r="BN78" s="2">
        <v>0</v>
      </c>
      <c r="BO78" s="2" t="s">
        <v>3</v>
      </c>
      <c r="BP78" s="2">
        <v>0</v>
      </c>
      <c r="BQ78" s="2">
        <v>130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90</v>
      </c>
      <c r="CA78" s="2">
        <v>46</v>
      </c>
      <c r="CB78" s="2" t="s">
        <v>3</v>
      </c>
      <c r="CC78" s="2"/>
      <c r="CD78" s="2"/>
      <c r="CE78" s="2">
        <v>30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68"/>
        <v>1477.01</v>
      </c>
      <c r="CQ78" s="2">
        <f t="shared" si="100"/>
        <v>1477.01</v>
      </c>
      <c r="CR78" s="2">
        <f t="shared" si="101"/>
        <v>0</v>
      </c>
      <c r="CS78" s="2">
        <f t="shared" si="69"/>
        <v>0</v>
      </c>
      <c r="CT78" s="2">
        <f t="shared" si="70"/>
        <v>0</v>
      </c>
      <c r="CU78" s="2">
        <f t="shared" si="71"/>
        <v>0</v>
      </c>
      <c r="CV78" s="2">
        <f t="shared" si="72"/>
        <v>0</v>
      </c>
      <c r="CW78" s="2">
        <f t="shared" si="73"/>
        <v>0</v>
      </c>
      <c r="CX78" s="2">
        <f t="shared" si="74"/>
        <v>0</v>
      </c>
      <c r="CY78" s="2">
        <f t="shared" si="75"/>
        <v>0</v>
      </c>
      <c r="CZ78" s="2">
        <f t="shared" si="76"/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1010</v>
      </c>
      <c r="DV78" s="2" t="s">
        <v>32</v>
      </c>
      <c r="DW78" s="2" t="s">
        <v>32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58162750</v>
      </c>
      <c r="EF78" s="2">
        <v>130</v>
      </c>
      <c r="EG78" s="2" t="s">
        <v>33</v>
      </c>
      <c r="EH78" s="2">
        <v>0</v>
      </c>
      <c r="EI78" s="2" t="s">
        <v>3</v>
      </c>
      <c r="EJ78" s="2">
        <v>3</v>
      </c>
      <c r="EK78" s="2">
        <v>746</v>
      </c>
      <c r="EL78" s="2" t="s">
        <v>34</v>
      </c>
      <c r="EM78" s="2" t="s">
        <v>35</v>
      </c>
      <c r="EN78" s="2"/>
      <c r="EO78" s="2" t="s">
        <v>3</v>
      </c>
      <c r="EP78" s="2"/>
      <c r="EQ78" s="2">
        <v>0</v>
      </c>
      <c r="ER78" s="2">
        <v>0</v>
      </c>
      <c r="ES78" s="2">
        <v>1477.01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f t="shared" si="102"/>
        <v>1477.01</v>
      </c>
      <c r="FS78" s="2">
        <v>0</v>
      </c>
      <c r="FT78" s="2"/>
      <c r="FU78" s="2"/>
      <c r="FV78" s="2"/>
      <c r="FW78" s="2"/>
      <c r="FX78" s="2">
        <v>90</v>
      </c>
      <c r="FY78" s="2">
        <v>46</v>
      </c>
      <c r="FZ78" s="2"/>
      <c r="GA78" s="2" t="s">
        <v>133</v>
      </c>
      <c r="GB78" s="2"/>
      <c r="GC78" s="2"/>
      <c r="GD78" s="2">
        <v>1</v>
      </c>
      <c r="GE78" s="2"/>
      <c r="GF78" s="2">
        <v>1106697559</v>
      </c>
      <c r="GG78" s="2">
        <v>2</v>
      </c>
      <c r="GH78" s="2">
        <v>4</v>
      </c>
      <c r="GI78" s="2">
        <v>-2</v>
      </c>
      <c r="GJ78" s="2">
        <v>0</v>
      </c>
      <c r="GK78" s="2">
        <v>0</v>
      </c>
      <c r="GL78" s="2">
        <f t="shared" si="77"/>
        <v>0</v>
      </c>
      <c r="GM78" s="2">
        <f t="shared" si="78"/>
        <v>1477.01</v>
      </c>
      <c r="GN78" s="2">
        <f t="shared" si="79"/>
        <v>0</v>
      </c>
      <c r="GO78" s="2">
        <f t="shared" si="80"/>
        <v>0</v>
      </c>
      <c r="GP78" s="2">
        <f t="shared" si="81"/>
        <v>0</v>
      </c>
      <c r="GQ78" s="2"/>
      <c r="GR78" s="2">
        <v>0</v>
      </c>
      <c r="GS78" s="2">
        <v>2</v>
      </c>
      <c r="GT78" s="2">
        <v>0</v>
      </c>
      <c r="GU78" s="2" t="s">
        <v>3</v>
      </c>
      <c r="GV78" s="2">
        <f t="shared" si="82"/>
        <v>0</v>
      </c>
      <c r="GW78" s="2">
        <v>1</v>
      </c>
      <c r="GX78" s="2">
        <f t="shared" si="83"/>
        <v>0</v>
      </c>
      <c r="GY78" s="2"/>
      <c r="GZ78" s="2"/>
      <c r="HA78" s="2">
        <v>0</v>
      </c>
      <c r="HB78" s="2">
        <v>0</v>
      </c>
      <c r="HC78" s="2">
        <f t="shared" si="84"/>
        <v>0</v>
      </c>
      <c r="HD78" s="2"/>
      <c r="HE78" s="2" t="s">
        <v>37</v>
      </c>
      <c r="HF78" s="2" t="s">
        <v>38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3">
      <c r="A79">
        <v>18</v>
      </c>
      <c r="B79">
        <v>1</v>
      </c>
      <c r="E79" t="s">
        <v>130</v>
      </c>
      <c r="F79" t="s">
        <v>131</v>
      </c>
      <c r="G79" t="s">
        <v>132</v>
      </c>
      <c r="H79" t="s">
        <v>32</v>
      </c>
      <c r="I79">
        <f>I75*J79</f>
        <v>1</v>
      </c>
      <c r="J79">
        <v>0.14285714285714285</v>
      </c>
      <c r="K79">
        <v>0.14285709999999999</v>
      </c>
      <c r="O79">
        <f t="shared" si="55"/>
        <v>11313.9</v>
      </c>
      <c r="P79">
        <f t="shared" si="93"/>
        <v>11313.9</v>
      </c>
      <c r="Q79">
        <f t="shared" si="94"/>
        <v>0</v>
      </c>
      <c r="R79">
        <f t="shared" si="56"/>
        <v>0</v>
      </c>
      <c r="S79">
        <f t="shared" si="57"/>
        <v>0</v>
      </c>
      <c r="T79">
        <f t="shared" si="58"/>
        <v>0</v>
      </c>
      <c r="U79">
        <f t="shared" si="59"/>
        <v>0</v>
      </c>
      <c r="V79">
        <f t="shared" si="60"/>
        <v>0</v>
      </c>
      <c r="W79">
        <f t="shared" si="61"/>
        <v>0</v>
      </c>
      <c r="X79">
        <f t="shared" si="62"/>
        <v>0</v>
      </c>
      <c r="Y79">
        <f t="shared" si="63"/>
        <v>0</v>
      </c>
      <c r="AA79">
        <v>56498968</v>
      </c>
      <c r="AB79">
        <f t="shared" si="64"/>
        <v>1477.01</v>
      </c>
      <c r="AC79">
        <f t="shared" si="65"/>
        <v>1477.01</v>
      </c>
      <c r="AD79">
        <f t="shared" si="95"/>
        <v>0</v>
      </c>
      <c r="AE79">
        <f t="shared" si="96"/>
        <v>0</v>
      </c>
      <c r="AF79">
        <f t="shared" si="97"/>
        <v>0</v>
      </c>
      <c r="AG79">
        <f t="shared" si="66"/>
        <v>0</v>
      </c>
      <c r="AH79">
        <f t="shared" si="98"/>
        <v>0</v>
      </c>
      <c r="AI79">
        <f t="shared" si="99"/>
        <v>0</v>
      </c>
      <c r="AJ79">
        <f t="shared" si="67"/>
        <v>0</v>
      </c>
      <c r="AK79">
        <v>1477.01</v>
      </c>
      <c r="AL79">
        <v>1477.01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Z79">
        <v>1</v>
      </c>
      <c r="BA79">
        <v>1</v>
      </c>
      <c r="BB79">
        <v>1</v>
      </c>
      <c r="BC79">
        <v>7.66</v>
      </c>
      <c r="BD79" t="s">
        <v>3</v>
      </c>
      <c r="BE79" t="s">
        <v>3</v>
      </c>
      <c r="BF79" t="s">
        <v>3</v>
      </c>
      <c r="BG79" t="s">
        <v>3</v>
      </c>
      <c r="BH79">
        <v>3</v>
      </c>
      <c r="BI79">
        <v>3</v>
      </c>
      <c r="BJ79" t="s">
        <v>3</v>
      </c>
      <c r="BM79">
        <v>746</v>
      </c>
      <c r="BN79">
        <v>0</v>
      </c>
      <c r="BO79" t="s">
        <v>3</v>
      </c>
      <c r="BP79">
        <v>0</v>
      </c>
      <c r="BQ79">
        <v>130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 t="s">
        <v>3</v>
      </c>
      <c r="BZ79">
        <v>90</v>
      </c>
      <c r="CA79">
        <v>46</v>
      </c>
      <c r="CB79" t="s">
        <v>3</v>
      </c>
      <c r="CE79">
        <v>30</v>
      </c>
      <c r="CF79">
        <v>0</v>
      </c>
      <c r="CG79">
        <v>0</v>
      </c>
      <c r="CM79">
        <v>0</v>
      </c>
      <c r="CN79" t="s">
        <v>3</v>
      </c>
      <c r="CO79">
        <v>0</v>
      </c>
      <c r="CP79">
        <f t="shared" si="68"/>
        <v>11313.9</v>
      </c>
      <c r="CQ79">
        <f t="shared" si="100"/>
        <v>11313.9</v>
      </c>
      <c r="CR79">
        <f t="shared" si="101"/>
        <v>0</v>
      </c>
      <c r="CS79">
        <f t="shared" si="69"/>
        <v>0</v>
      </c>
      <c r="CT79">
        <f t="shared" si="70"/>
        <v>0</v>
      </c>
      <c r="CU79">
        <f t="shared" si="71"/>
        <v>0</v>
      </c>
      <c r="CV79">
        <f t="shared" si="72"/>
        <v>0</v>
      </c>
      <c r="CW79">
        <f t="shared" si="73"/>
        <v>0</v>
      </c>
      <c r="CX79">
        <f t="shared" si="74"/>
        <v>0</v>
      </c>
      <c r="CY79">
        <f t="shared" si="75"/>
        <v>0</v>
      </c>
      <c r="CZ79">
        <f t="shared" si="76"/>
        <v>0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>
        <v>0</v>
      </c>
      <c r="DO79">
        <v>0</v>
      </c>
      <c r="DP79">
        <v>1</v>
      </c>
      <c r="DQ79">
        <v>1</v>
      </c>
      <c r="DU79">
        <v>1010</v>
      </c>
      <c r="DV79" t="s">
        <v>32</v>
      </c>
      <c r="DW79" t="s">
        <v>32</v>
      </c>
      <c r="DX79">
        <v>1</v>
      </c>
      <c r="DZ79" t="s">
        <v>3</v>
      </c>
      <c r="EA79" t="s">
        <v>3</v>
      </c>
      <c r="EB79" t="s">
        <v>3</v>
      </c>
      <c r="EC79" t="s">
        <v>3</v>
      </c>
      <c r="EE79">
        <v>58162750</v>
      </c>
      <c r="EF79">
        <v>130</v>
      </c>
      <c r="EG79" t="s">
        <v>33</v>
      </c>
      <c r="EH79">
        <v>0</v>
      </c>
      <c r="EI79" t="s">
        <v>3</v>
      </c>
      <c r="EJ79">
        <v>3</v>
      </c>
      <c r="EK79">
        <v>746</v>
      </c>
      <c r="EL79" t="s">
        <v>34</v>
      </c>
      <c r="EM79" t="s">
        <v>35</v>
      </c>
      <c r="EO79" t="s">
        <v>3</v>
      </c>
      <c r="EQ79">
        <v>0</v>
      </c>
      <c r="ER79">
        <v>1477.01</v>
      </c>
      <c r="ES79">
        <v>1477.01</v>
      </c>
      <c r="ET79">
        <v>0</v>
      </c>
      <c r="EU79">
        <v>0</v>
      </c>
      <c r="EV79">
        <v>0</v>
      </c>
      <c r="EW79">
        <v>0</v>
      </c>
      <c r="EX79">
        <v>0</v>
      </c>
      <c r="EZ79">
        <v>5</v>
      </c>
      <c r="FC79">
        <v>1</v>
      </c>
      <c r="FD79">
        <v>18</v>
      </c>
      <c r="FF79">
        <v>13025</v>
      </c>
      <c r="FQ79">
        <v>0</v>
      </c>
      <c r="FR79">
        <f t="shared" si="102"/>
        <v>11313.9</v>
      </c>
      <c r="FS79">
        <v>0</v>
      </c>
      <c r="FX79">
        <v>90</v>
      </c>
      <c r="FY79">
        <v>46</v>
      </c>
      <c r="GA79" t="s">
        <v>133</v>
      </c>
      <c r="GD79">
        <v>1</v>
      </c>
      <c r="GF79">
        <v>1106697559</v>
      </c>
      <c r="GG79">
        <v>2</v>
      </c>
      <c r="GH79">
        <v>3</v>
      </c>
      <c r="GI79">
        <v>5</v>
      </c>
      <c r="GJ79">
        <v>0</v>
      </c>
      <c r="GK79">
        <v>0</v>
      </c>
      <c r="GL79">
        <f t="shared" si="77"/>
        <v>0</v>
      </c>
      <c r="GM79">
        <f t="shared" si="78"/>
        <v>11313.9</v>
      </c>
      <c r="GN79">
        <f t="shared" si="79"/>
        <v>0</v>
      </c>
      <c r="GO79">
        <f t="shared" si="80"/>
        <v>0</v>
      </c>
      <c r="GP79">
        <f t="shared" si="81"/>
        <v>0</v>
      </c>
      <c r="GR79">
        <v>1</v>
      </c>
      <c r="GS79">
        <v>1</v>
      </c>
      <c r="GT79">
        <v>0</v>
      </c>
      <c r="GU79" t="s">
        <v>3</v>
      </c>
      <c r="GV79">
        <f t="shared" si="82"/>
        <v>0</v>
      </c>
      <c r="GW79">
        <v>1</v>
      </c>
      <c r="GX79">
        <f t="shared" si="83"/>
        <v>0</v>
      </c>
      <c r="HA79">
        <v>0</v>
      </c>
      <c r="HB79">
        <v>0</v>
      </c>
      <c r="HC79">
        <f t="shared" si="84"/>
        <v>0</v>
      </c>
      <c r="HE79" t="s">
        <v>37</v>
      </c>
      <c r="HF79" t="s">
        <v>38</v>
      </c>
      <c r="HM79" t="s">
        <v>3</v>
      </c>
      <c r="HN79" t="s">
        <v>3</v>
      </c>
      <c r="HO79" t="s">
        <v>3</v>
      </c>
      <c r="HP79" t="s">
        <v>3</v>
      </c>
      <c r="HQ79" t="s">
        <v>3</v>
      </c>
      <c r="HS79">
        <v>0</v>
      </c>
      <c r="IK79">
        <v>0</v>
      </c>
    </row>
    <row r="80" spans="1:255" x14ac:dyDescent="0.3">
      <c r="A80" s="2">
        <v>18</v>
      </c>
      <c r="B80" s="2">
        <v>1</v>
      </c>
      <c r="C80" s="2"/>
      <c r="D80" s="2"/>
      <c r="E80" s="2" t="s">
        <v>134</v>
      </c>
      <c r="F80" s="2" t="s">
        <v>135</v>
      </c>
      <c r="G80" s="2" t="s">
        <v>136</v>
      </c>
      <c r="H80" s="2" t="s">
        <v>32</v>
      </c>
      <c r="I80" s="2">
        <f>I74*J80</f>
        <v>4</v>
      </c>
      <c r="J80" s="2">
        <v>0.5714285714285714</v>
      </c>
      <c r="K80" s="2">
        <v>0.57142859999999995</v>
      </c>
      <c r="L80" s="2"/>
      <c r="M80" s="2"/>
      <c r="N80" s="2"/>
      <c r="O80" s="2">
        <f t="shared" si="55"/>
        <v>3462.76</v>
      </c>
      <c r="P80" s="2">
        <f t="shared" si="93"/>
        <v>3462.76</v>
      </c>
      <c r="Q80" s="2">
        <f t="shared" si="94"/>
        <v>0</v>
      </c>
      <c r="R80" s="2">
        <f t="shared" si="56"/>
        <v>0</v>
      </c>
      <c r="S80" s="2">
        <f t="shared" si="57"/>
        <v>0</v>
      </c>
      <c r="T80" s="2">
        <f t="shared" si="58"/>
        <v>0</v>
      </c>
      <c r="U80" s="2">
        <f t="shared" si="59"/>
        <v>0</v>
      </c>
      <c r="V80" s="2">
        <f t="shared" si="60"/>
        <v>0</v>
      </c>
      <c r="W80" s="2">
        <f t="shared" si="61"/>
        <v>0</v>
      </c>
      <c r="X80" s="2">
        <f t="shared" si="62"/>
        <v>0</v>
      </c>
      <c r="Y80" s="2">
        <f t="shared" si="63"/>
        <v>0</v>
      </c>
      <c r="Z80" s="2"/>
      <c r="AA80" s="2">
        <v>56498966</v>
      </c>
      <c r="AB80" s="2">
        <f t="shared" si="64"/>
        <v>865.69</v>
      </c>
      <c r="AC80" s="2">
        <f t="shared" si="65"/>
        <v>865.69</v>
      </c>
      <c r="AD80" s="2">
        <f t="shared" si="95"/>
        <v>0</v>
      </c>
      <c r="AE80" s="2">
        <f t="shared" si="96"/>
        <v>0</v>
      </c>
      <c r="AF80" s="2">
        <f t="shared" si="97"/>
        <v>0</v>
      </c>
      <c r="AG80" s="2">
        <f t="shared" si="66"/>
        <v>0</v>
      </c>
      <c r="AH80" s="2">
        <f t="shared" si="98"/>
        <v>0</v>
      </c>
      <c r="AI80" s="2">
        <f t="shared" si="99"/>
        <v>0</v>
      </c>
      <c r="AJ80" s="2">
        <f t="shared" si="67"/>
        <v>0</v>
      </c>
      <c r="AK80" s="2">
        <v>865.68999999999994</v>
      </c>
      <c r="AL80" s="2">
        <v>865.68999999999994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3</v>
      </c>
      <c r="BJ80" s="2" t="s">
        <v>3</v>
      </c>
      <c r="BK80" s="2"/>
      <c r="BL80" s="2"/>
      <c r="BM80" s="2">
        <v>746</v>
      </c>
      <c r="BN80" s="2">
        <v>0</v>
      </c>
      <c r="BO80" s="2" t="s">
        <v>3</v>
      </c>
      <c r="BP80" s="2">
        <v>0</v>
      </c>
      <c r="BQ80" s="2">
        <v>130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90</v>
      </c>
      <c r="CA80" s="2">
        <v>46</v>
      </c>
      <c r="CB80" s="2" t="s">
        <v>3</v>
      </c>
      <c r="CC80" s="2"/>
      <c r="CD80" s="2"/>
      <c r="CE80" s="2">
        <v>30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3</v>
      </c>
      <c r="CO80" s="2">
        <v>0</v>
      </c>
      <c r="CP80" s="2">
        <f t="shared" si="68"/>
        <v>3462.76</v>
      </c>
      <c r="CQ80" s="2">
        <f t="shared" si="100"/>
        <v>865.69</v>
      </c>
      <c r="CR80" s="2">
        <f t="shared" si="101"/>
        <v>0</v>
      </c>
      <c r="CS80" s="2">
        <f t="shared" si="69"/>
        <v>0</v>
      </c>
      <c r="CT80" s="2">
        <f t="shared" si="70"/>
        <v>0</v>
      </c>
      <c r="CU80" s="2">
        <f t="shared" si="71"/>
        <v>0</v>
      </c>
      <c r="CV80" s="2">
        <f t="shared" si="72"/>
        <v>0</v>
      </c>
      <c r="CW80" s="2">
        <f t="shared" si="73"/>
        <v>0</v>
      </c>
      <c r="CX80" s="2">
        <f t="shared" si="74"/>
        <v>0</v>
      </c>
      <c r="CY80" s="2">
        <f t="shared" si="75"/>
        <v>0</v>
      </c>
      <c r="CZ80" s="2">
        <f t="shared" si="76"/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1010</v>
      </c>
      <c r="DV80" s="2" t="s">
        <v>32</v>
      </c>
      <c r="DW80" s="2" t="s">
        <v>32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58162750</v>
      </c>
      <c r="EF80" s="2">
        <v>130</v>
      </c>
      <c r="EG80" s="2" t="s">
        <v>33</v>
      </c>
      <c r="EH80" s="2">
        <v>0</v>
      </c>
      <c r="EI80" s="2" t="s">
        <v>3</v>
      </c>
      <c r="EJ80" s="2">
        <v>3</v>
      </c>
      <c r="EK80" s="2">
        <v>746</v>
      </c>
      <c r="EL80" s="2" t="s">
        <v>34</v>
      </c>
      <c r="EM80" s="2" t="s">
        <v>35</v>
      </c>
      <c r="EN80" s="2"/>
      <c r="EO80" s="2" t="s">
        <v>3</v>
      </c>
      <c r="EP80" s="2"/>
      <c r="EQ80" s="2">
        <v>0</v>
      </c>
      <c r="ER80" s="2">
        <v>0</v>
      </c>
      <c r="ES80" s="2">
        <v>865.68999999999994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f t="shared" si="102"/>
        <v>3462.76</v>
      </c>
      <c r="FS80" s="2">
        <v>0</v>
      </c>
      <c r="FT80" s="2"/>
      <c r="FU80" s="2"/>
      <c r="FV80" s="2"/>
      <c r="FW80" s="2"/>
      <c r="FX80" s="2">
        <v>90</v>
      </c>
      <c r="FY80" s="2">
        <v>46</v>
      </c>
      <c r="FZ80" s="2"/>
      <c r="GA80" s="2" t="s">
        <v>137</v>
      </c>
      <c r="GB80" s="2"/>
      <c r="GC80" s="2"/>
      <c r="GD80" s="2">
        <v>1</v>
      </c>
      <c r="GE80" s="2"/>
      <c r="GF80" s="2">
        <v>1341912761</v>
      </c>
      <c r="GG80" s="2">
        <v>2</v>
      </c>
      <c r="GH80" s="2">
        <v>4</v>
      </c>
      <c r="GI80" s="2">
        <v>-2</v>
      </c>
      <c r="GJ80" s="2">
        <v>0</v>
      </c>
      <c r="GK80" s="2">
        <v>0</v>
      </c>
      <c r="GL80" s="2">
        <f t="shared" si="77"/>
        <v>0</v>
      </c>
      <c r="GM80" s="2">
        <f t="shared" si="78"/>
        <v>3462.76</v>
      </c>
      <c r="GN80" s="2">
        <f t="shared" si="79"/>
        <v>0</v>
      </c>
      <c r="GO80" s="2">
        <f t="shared" si="80"/>
        <v>0</v>
      </c>
      <c r="GP80" s="2">
        <f t="shared" si="81"/>
        <v>0</v>
      </c>
      <c r="GQ80" s="2"/>
      <c r="GR80" s="2">
        <v>0</v>
      </c>
      <c r="GS80" s="2">
        <v>2</v>
      </c>
      <c r="GT80" s="2">
        <v>0</v>
      </c>
      <c r="GU80" s="2" t="s">
        <v>3</v>
      </c>
      <c r="GV80" s="2">
        <f t="shared" si="82"/>
        <v>0</v>
      </c>
      <c r="GW80" s="2">
        <v>1</v>
      </c>
      <c r="GX80" s="2">
        <f t="shared" si="83"/>
        <v>0</v>
      </c>
      <c r="GY80" s="2"/>
      <c r="GZ80" s="2"/>
      <c r="HA80" s="2">
        <v>0</v>
      </c>
      <c r="HB80" s="2">
        <v>0</v>
      </c>
      <c r="HC80" s="2">
        <f t="shared" si="84"/>
        <v>0</v>
      </c>
      <c r="HD80" s="2"/>
      <c r="HE80" s="2" t="s">
        <v>37</v>
      </c>
      <c r="HF80" s="2" t="s">
        <v>38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3">
      <c r="A81">
        <v>18</v>
      </c>
      <c r="B81">
        <v>1</v>
      </c>
      <c r="E81" t="s">
        <v>134</v>
      </c>
      <c r="F81" t="s">
        <v>135</v>
      </c>
      <c r="G81" t="s">
        <v>136</v>
      </c>
      <c r="H81" t="s">
        <v>32</v>
      </c>
      <c r="I81">
        <f>I75*J81</f>
        <v>4</v>
      </c>
      <c r="J81">
        <v>0.5714285714285714</v>
      </c>
      <c r="K81">
        <v>0.57142859999999995</v>
      </c>
      <c r="O81">
        <f t="shared" si="55"/>
        <v>26524.74</v>
      </c>
      <c r="P81">
        <f t="shared" si="93"/>
        <v>26524.74</v>
      </c>
      <c r="Q81">
        <f t="shared" si="94"/>
        <v>0</v>
      </c>
      <c r="R81">
        <f t="shared" si="56"/>
        <v>0</v>
      </c>
      <c r="S81">
        <f t="shared" si="57"/>
        <v>0</v>
      </c>
      <c r="T81">
        <f t="shared" si="58"/>
        <v>0</v>
      </c>
      <c r="U81">
        <f t="shared" si="59"/>
        <v>0</v>
      </c>
      <c r="V81">
        <f t="shared" si="60"/>
        <v>0</v>
      </c>
      <c r="W81">
        <f t="shared" si="61"/>
        <v>0</v>
      </c>
      <c r="X81">
        <f t="shared" si="62"/>
        <v>0</v>
      </c>
      <c r="Y81">
        <f t="shared" si="63"/>
        <v>0</v>
      </c>
      <c r="AA81">
        <v>56498968</v>
      </c>
      <c r="AB81">
        <f t="shared" si="64"/>
        <v>865.69</v>
      </c>
      <c r="AC81">
        <f t="shared" si="65"/>
        <v>865.69</v>
      </c>
      <c r="AD81">
        <f t="shared" si="95"/>
        <v>0</v>
      </c>
      <c r="AE81">
        <f t="shared" si="96"/>
        <v>0</v>
      </c>
      <c r="AF81">
        <f t="shared" si="97"/>
        <v>0</v>
      </c>
      <c r="AG81">
        <f t="shared" si="66"/>
        <v>0</v>
      </c>
      <c r="AH81">
        <f t="shared" si="98"/>
        <v>0</v>
      </c>
      <c r="AI81">
        <f t="shared" si="99"/>
        <v>0</v>
      </c>
      <c r="AJ81">
        <f t="shared" si="67"/>
        <v>0</v>
      </c>
      <c r="AK81">
        <v>865.68999999999994</v>
      </c>
      <c r="AL81">
        <v>865.68999999999994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Z81">
        <v>1</v>
      </c>
      <c r="BA81">
        <v>1</v>
      </c>
      <c r="BB81">
        <v>1</v>
      </c>
      <c r="BC81">
        <v>7.66</v>
      </c>
      <c r="BD81" t="s">
        <v>3</v>
      </c>
      <c r="BE81" t="s">
        <v>3</v>
      </c>
      <c r="BF81" t="s">
        <v>3</v>
      </c>
      <c r="BG81" t="s">
        <v>3</v>
      </c>
      <c r="BH81">
        <v>3</v>
      </c>
      <c r="BI81">
        <v>3</v>
      </c>
      <c r="BJ81" t="s">
        <v>3</v>
      </c>
      <c r="BM81">
        <v>746</v>
      </c>
      <c r="BN81">
        <v>0</v>
      </c>
      <c r="BO81" t="s">
        <v>3</v>
      </c>
      <c r="BP81">
        <v>0</v>
      </c>
      <c r="BQ81">
        <v>130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 t="s">
        <v>3</v>
      </c>
      <c r="BZ81">
        <v>90</v>
      </c>
      <c r="CA81">
        <v>46</v>
      </c>
      <c r="CB81" t="s">
        <v>3</v>
      </c>
      <c r="CE81">
        <v>30</v>
      </c>
      <c r="CF81">
        <v>0</v>
      </c>
      <c r="CG81">
        <v>0</v>
      </c>
      <c r="CM81">
        <v>0</v>
      </c>
      <c r="CN81" t="s">
        <v>3</v>
      </c>
      <c r="CO81">
        <v>0</v>
      </c>
      <c r="CP81">
        <f t="shared" si="68"/>
        <v>26524.74</v>
      </c>
      <c r="CQ81">
        <f t="shared" si="100"/>
        <v>6631.19</v>
      </c>
      <c r="CR81">
        <f t="shared" si="101"/>
        <v>0</v>
      </c>
      <c r="CS81">
        <f t="shared" si="69"/>
        <v>0</v>
      </c>
      <c r="CT81">
        <f t="shared" si="70"/>
        <v>0</v>
      </c>
      <c r="CU81">
        <f t="shared" si="71"/>
        <v>0</v>
      </c>
      <c r="CV81">
        <f t="shared" si="72"/>
        <v>0</v>
      </c>
      <c r="CW81">
        <f t="shared" si="73"/>
        <v>0</v>
      </c>
      <c r="CX81">
        <f t="shared" si="74"/>
        <v>0</v>
      </c>
      <c r="CY81">
        <f t="shared" si="75"/>
        <v>0</v>
      </c>
      <c r="CZ81">
        <f t="shared" si="76"/>
        <v>0</v>
      </c>
      <c r="DC81" t="s">
        <v>3</v>
      </c>
      <c r="DD81" t="s">
        <v>3</v>
      </c>
      <c r="DE81" t="s">
        <v>3</v>
      </c>
      <c r="DF81" t="s">
        <v>3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>
        <v>0</v>
      </c>
      <c r="DO81">
        <v>0</v>
      </c>
      <c r="DP81">
        <v>1</v>
      </c>
      <c r="DQ81">
        <v>1</v>
      </c>
      <c r="DU81">
        <v>1010</v>
      </c>
      <c r="DV81" t="s">
        <v>32</v>
      </c>
      <c r="DW81" t="s">
        <v>32</v>
      </c>
      <c r="DX81">
        <v>1</v>
      </c>
      <c r="DZ81" t="s">
        <v>3</v>
      </c>
      <c r="EA81" t="s">
        <v>3</v>
      </c>
      <c r="EB81" t="s">
        <v>3</v>
      </c>
      <c r="EC81" t="s">
        <v>3</v>
      </c>
      <c r="EE81">
        <v>58162750</v>
      </c>
      <c r="EF81">
        <v>130</v>
      </c>
      <c r="EG81" t="s">
        <v>33</v>
      </c>
      <c r="EH81">
        <v>0</v>
      </c>
      <c r="EI81" t="s">
        <v>3</v>
      </c>
      <c r="EJ81">
        <v>3</v>
      </c>
      <c r="EK81">
        <v>746</v>
      </c>
      <c r="EL81" t="s">
        <v>34</v>
      </c>
      <c r="EM81" t="s">
        <v>35</v>
      </c>
      <c r="EO81" t="s">
        <v>3</v>
      </c>
      <c r="EQ81">
        <v>0</v>
      </c>
      <c r="ER81">
        <v>865.68999999999994</v>
      </c>
      <c r="ES81">
        <v>865.68999999999994</v>
      </c>
      <c r="ET81">
        <v>0</v>
      </c>
      <c r="EU81">
        <v>0</v>
      </c>
      <c r="EV81">
        <v>0</v>
      </c>
      <c r="EW81">
        <v>0</v>
      </c>
      <c r="EX81">
        <v>0</v>
      </c>
      <c r="EZ81">
        <v>5</v>
      </c>
      <c r="FC81">
        <v>1</v>
      </c>
      <c r="FD81">
        <v>18</v>
      </c>
      <c r="FF81">
        <v>7634</v>
      </c>
      <c r="FQ81">
        <v>0</v>
      </c>
      <c r="FR81">
        <f t="shared" si="102"/>
        <v>26524.74</v>
      </c>
      <c r="FS81">
        <v>0</v>
      </c>
      <c r="FX81">
        <v>90</v>
      </c>
      <c r="FY81">
        <v>46</v>
      </c>
      <c r="GA81" t="s">
        <v>137</v>
      </c>
      <c r="GD81">
        <v>1</v>
      </c>
      <c r="GF81">
        <v>1341912761</v>
      </c>
      <c r="GG81">
        <v>2</v>
      </c>
      <c r="GH81">
        <v>3</v>
      </c>
      <c r="GI81">
        <v>5</v>
      </c>
      <c r="GJ81">
        <v>0</v>
      </c>
      <c r="GK81">
        <v>0</v>
      </c>
      <c r="GL81">
        <f t="shared" si="77"/>
        <v>0</v>
      </c>
      <c r="GM81">
        <f t="shared" si="78"/>
        <v>26524.74</v>
      </c>
      <c r="GN81">
        <f t="shared" si="79"/>
        <v>0</v>
      </c>
      <c r="GO81">
        <f t="shared" si="80"/>
        <v>0</v>
      </c>
      <c r="GP81">
        <f t="shared" si="81"/>
        <v>0</v>
      </c>
      <c r="GR81">
        <v>1</v>
      </c>
      <c r="GS81">
        <v>1</v>
      </c>
      <c r="GT81">
        <v>0</v>
      </c>
      <c r="GU81" t="s">
        <v>3</v>
      </c>
      <c r="GV81">
        <f t="shared" si="82"/>
        <v>0</v>
      </c>
      <c r="GW81">
        <v>1</v>
      </c>
      <c r="GX81">
        <f t="shared" si="83"/>
        <v>0</v>
      </c>
      <c r="HA81">
        <v>0</v>
      </c>
      <c r="HB81">
        <v>0</v>
      </c>
      <c r="HC81">
        <f t="shared" si="84"/>
        <v>0</v>
      </c>
      <c r="HE81" t="s">
        <v>37</v>
      </c>
      <c r="HF81" t="s">
        <v>38</v>
      </c>
      <c r="HM81" t="s">
        <v>3</v>
      </c>
      <c r="HN81" t="s">
        <v>3</v>
      </c>
      <c r="HO81" t="s">
        <v>3</v>
      </c>
      <c r="HP81" t="s">
        <v>3</v>
      </c>
      <c r="HQ81" t="s">
        <v>3</v>
      </c>
      <c r="HS81">
        <v>0</v>
      </c>
      <c r="IK81">
        <v>0</v>
      </c>
    </row>
    <row r="82" spans="1:255" x14ac:dyDescent="0.3">
      <c r="A82" s="2">
        <v>18</v>
      </c>
      <c r="B82" s="2">
        <v>1</v>
      </c>
      <c r="C82" s="2"/>
      <c r="D82" s="2"/>
      <c r="E82" s="2" t="s">
        <v>138</v>
      </c>
      <c r="F82" s="2" t="s">
        <v>139</v>
      </c>
      <c r="G82" s="2" t="s">
        <v>140</v>
      </c>
      <c r="H82" s="2" t="s">
        <v>32</v>
      </c>
      <c r="I82" s="2">
        <f>I74*J82</f>
        <v>8</v>
      </c>
      <c r="J82" s="2">
        <v>1.1428571428571428</v>
      </c>
      <c r="K82" s="2">
        <v>1.1428571000000001</v>
      </c>
      <c r="L82" s="2"/>
      <c r="M82" s="2"/>
      <c r="N82" s="2"/>
      <c r="O82" s="2">
        <f t="shared" si="55"/>
        <v>2281.6</v>
      </c>
      <c r="P82" s="2">
        <f t="shared" si="93"/>
        <v>2281.6</v>
      </c>
      <c r="Q82" s="2">
        <f t="shared" si="94"/>
        <v>0</v>
      </c>
      <c r="R82" s="2">
        <f t="shared" si="56"/>
        <v>0</v>
      </c>
      <c r="S82" s="2">
        <f t="shared" si="57"/>
        <v>0</v>
      </c>
      <c r="T82" s="2">
        <f t="shared" si="58"/>
        <v>0</v>
      </c>
      <c r="U82" s="2">
        <f t="shared" si="59"/>
        <v>0</v>
      </c>
      <c r="V82" s="2">
        <f t="shared" si="60"/>
        <v>0</v>
      </c>
      <c r="W82" s="2">
        <f t="shared" si="61"/>
        <v>0</v>
      </c>
      <c r="X82" s="2">
        <f t="shared" si="62"/>
        <v>0</v>
      </c>
      <c r="Y82" s="2">
        <f t="shared" si="63"/>
        <v>0</v>
      </c>
      <c r="Z82" s="2"/>
      <c r="AA82" s="2">
        <v>56498966</v>
      </c>
      <c r="AB82" s="2">
        <f t="shared" si="64"/>
        <v>285.2</v>
      </c>
      <c r="AC82" s="2">
        <f t="shared" si="65"/>
        <v>285.2</v>
      </c>
      <c r="AD82" s="2">
        <f t="shared" si="95"/>
        <v>0</v>
      </c>
      <c r="AE82" s="2">
        <f t="shared" si="96"/>
        <v>0</v>
      </c>
      <c r="AF82" s="2">
        <f t="shared" si="97"/>
        <v>0</v>
      </c>
      <c r="AG82" s="2">
        <f t="shared" si="66"/>
        <v>0</v>
      </c>
      <c r="AH82" s="2">
        <f t="shared" si="98"/>
        <v>0</v>
      </c>
      <c r="AI82" s="2">
        <f t="shared" si="99"/>
        <v>0</v>
      </c>
      <c r="AJ82" s="2">
        <f t="shared" si="67"/>
        <v>0</v>
      </c>
      <c r="AK82" s="2">
        <v>285.2</v>
      </c>
      <c r="AL82" s="2">
        <v>285.2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3</v>
      </c>
      <c r="BJ82" s="2" t="s">
        <v>3</v>
      </c>
      <c r="BK82" s="2"/>
      <c r="BL82" s="2"/>
      <c r="BM82" s="2">
        <v>746</v>
      </c>
      <c r="BN82" s="2">
        <v>0</v>
      </c>
      <c r="BO82" s="2" t="s">
        <v>3</v>
      </c>
      <c r="BP82" s="2">
        <v>0</v>
      </c>
      <c r="BQ82" s="2">
        <v>130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90</v>
      </c>
      <c r="CA82" s="2">
        <v>46</v>
      </c>
      <c r="CB82" s="2" t="s">
        <v>3</v>
      </c>
      <c r="CC82" s="2"/>
      <c r="CD82" s="2"/>
      <c r="CE82" s="2">
        <v>30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68"/>
        <v>2281.6</v>
      </c>
      <c r="CQ82" s="2">
        <f t="shared" si="100"/>
        <v>285.2</v>
      </c>
      <c r="CR82" s="2">
        <f t="shared" si="101"/>
        <v>0</v>
      </c>
      <c r="CS82" s="2">
        <f t="shared" si="69"/>
        <v>0</v>
      </c>
      <c r="CT82" s="2">
        <f t="shared" si="70"/>
        <v>0</v>
      </c>
      <c r="CU82" s="2">
        <f t="shared" si="71"/>
        <v>0</v>
      </c>
      <c r="CV82" s="2">
        <f t="shared" si="72"/>
        <v>0</v>
      </c>
      <c r="CW82" s="2">
        <f t="shared" si="73"/>
        <v>0</v>
      </c>
      <c r="CX82" s="2">
        <f t="shared" si="74"/>
        <v>0</v>
      </c>
      <c r="CY82" s="2">
        <f t="shared" si="75"/>
        <v>0</v>
      </c>
      <c r="CZ82" s="2">
        <f t="shared" si="76"/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1010</v>
      </c>
      <c r="DV82" s="2" t="s">
        <v>32</v>
      </c>
      <c r="DW82" s="2" t="s">
        <v>32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58162750</v>
      </c>
      <c r="EF82" s="2">
        <v>130</v>
      </c>
      <c r="EG82" s="2" t="s">
        <v>33</v>
      </c>
      <c r="EH82" s="2">
        <v>0</v>
      </c>
      <c r="EI82" s="2" t="s">
        <v>3</v>
      </c>
      <c r="EJ82" s="2">
        <v>3</v>
      </c>
      <c r="EK82" s="2">
        <v>746</v>
      </c>
      <c r="EL82" s="2" t="s">
        <v>34</v>
      </c>
      <c r="EM82" s="2" t="s">
        <v>35</v>
      </c>
      <c r="EN82" s="2"/>
      <c r="EO82" s="2" t="s">
        <v>3</v>
      </c>
      <c r="EP82" s="2"/>
      <c r="EQ82" s="2">
        <v>0</v>
      </c>
      <c r="ER82" s="2">
        <v>285.2</v>
      </c>
      <c r="ES82" s="2">
        <v>285.2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f t="shared" si="102"/>
        <v>2281.6</v>
      </c>
      <c r="FS82" s="2">
        <v>0</v>
      </c>
      <c r="FT82" s="2"/>
      <c r="FU82" s="2"/>
      <c r="FV82" s="2"/>
      <c r="FW82" s="2"/>
      <c r="FX82" s="2">
        <v>90</v>
      </c>
      <c r="FY82" s="2">
        <v>46</v>
      </c>
      <c r="FZ82" s="2"/>
      <c r="GA82" s="2" t="s">
        <v>3</v>
      </c>
      <c r="GB82" s="2"/>
      <c r="GC82" s="2"/>
      <c r="GD82" s="2">
        <v>1</v>
      </c>
      <c r="GE82" s="2"/>
      <c r="GF82" s="2">
        <v>1694751249</v>
      </c>
      <c r="GG82" s="2">
        <v>2</v>
      </c>
      <c r="GH82" s="2">
        <v>1</v>
      </c>
      <c r="GI82" s="2">
        <v>-2</v>
      </c>
      <c r="GJ82" s="2">
        <v>0</v>
      </c>
      <c r="GK82" s="2">
        <v>0</v>
      </c>
      <c r="GL82" s="2">
        <f t="shared" si="77"/>
        <v>0</v>
      </c>
      <c r="GM82" s="2">
        <f t="shared" si="78"/>
        <v>2281.6</v>
      </c>
      <c r="GN82" s="2">
        <f t="shared" si="79"/>
        <v>0</v>
      </c>
      <c r="GO82" s="2">
        <f t="shared" si="80"/>
        <v>0</v>
      </c>
      <c r="GP82" s="2">
        <f t="shared" si="81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82"/>
        <v>0</v>
      </c>
      <c r="GW82" s="2">
        <v>1</v>
      </c>
      <c r="GX82" s="2">
        <f t="shared" si="83"/>
        <v>0</v>
      </c>
      <c r="GY82" s="2"/>
      <c r="GZ82" s="2"/>
      <c r="HA82" s="2">
        <v>0</v>
      </c>
      <c r="HB82" s="2">
        <v>0</v>
      </c>
      <c r="HC82" s="2">
        <f t="shared" si="84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3">
      <c r="A83">
        <v>18</v>
      </c>
      <c r="B83">
        <v>1</v>
      </c>
      <c r="E83" t="s">
        <v>138</v>
      </c>
      <c r="F83" t="s">
        <v>139</v>
      </c>
      <c r="G83" t="s">
        <v>140</v>
      </c>
      <c r="H83" t="s">
        <v>32</v>
      </c>
      <c r="I83">
        <f>I75*J83</f>
        <v>8</v>
      </c>
      <c r="J83">
        <v>1.1428571428571428</v>
      </c>
      <c r="K83">
        <v>1.1428571000000001</v>
      </c>
      <c r="O83">
        <f t="shared" si="55"/>
        <v>14488.16</v>
      </c>
      <c r="P83">
        <f t="shared" si="93"/>
        <v>14488.16</v>
      </c>
      <c r="Q83">
        <f t="shared" si="94"/>
        <v>0</v>
      </c>
      <c r="R83">
        <f t="shared" si="56"/>
        <v>0</v>
      </c>
      <c r="S83">
        <f t="shared" si="57"/>
        <v>0</v>
      </c>
      <c r="T83">
        <f t="shared" si="58"/>
        <v>0</v>
      </c>
      <c r="U83">
        <f t="shared" si="59"/>
        <v>0</v>
      </c>
      <c r="V83">
        <f t="shared" si="60"/>
        <v>0</v>
      </c>
      <c r="W83">
        <f t="shared" si="61"/>
        <v>0</v>
      </c>
      <c r="X83">
        <f t="shared" si="62"/>
        <v>0</v>
      </c>
      <c r="Y83">
        <f t="shared" si="63"/>
        <v>0</v>
      </c>
      <c r="AA83">
        <v>56498968</v>
      </c>
      <c r="AB83">
        <f t="shared" si="64"/>
        <v>285.2</v>
      </c>
      <c r="AC83">
        <f t="shared" si="65"/>
        <v>285.2</v>
      </c>
      <c r="AD83">
        <f t="shared" si="95"/>
        <v>0</v>
      </c>
      <c r="AE83">
        <f t="shared" si="96"/>
        <v>0</v>
      </c>
      <c r="AF83">
        <f t="shared" si="97"/>
        <v>0</v>
      </c>
      <c r="AG83">
        <f t="shared" si="66"/>
        <v>0</v>
      </c>
      <c r="AH83">
        <f t="shared" si="98"/>
        <v>0</v>
      </c>
      <c r="AI83">
        <f t="shared" si="99"/>
        <v>0</v>
      </c>
      <c r="AJ83">
        <f t="shared" si="67"/>
        <v>0</v>
      </c>
      <c r="AK83">
        <v>285.2</v>
      </c>
      <c r="AL83">
        <v>285.2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Z83">
        <v>1</v>
      </c>
      <c r="BA83">
        <v>1</v>
      </c>
      <c r="BB83">
        <v>1</v>
      </c>
      <c r="BC83">
        <v>6.35</v>
      </c>
      <c r="BD83" t="s">
        <v>3</v>
      </c>
      <c r="BE83" t="s">
        <v>3</v>
      </c>
      <c r="BF83" t="s">
        <v>3</v>
      </c>
      <c r="BG83" t="s">
        <v>3</v>
      </c>
      <c r="BH83">
        <v>3</v>
      </c>
      <c r="BI83">
        <v>3</v>
      </c>
      <c r="BJ83" t="s">
        <v>3</v>
      </c>
      <c r="BM83">
        <v>746</v>
      </c>
      <c r="BN83">
        <v>0</v>
      </c>
      <c r="BO83" t="s">
        <v>3</v>
      </c>
      <c r="BP83">
        <v>0</v>
      </c>
      <c r="BQ83">
        <v>130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 t="s">
        <v>3</v>
      </c>
      <c r="BZ83">
        <v>90</v>
      </c>
      <c r="CA83">
        <v>46</v>
      </c>
      <c r="CB83" t="s">
        <v>3</v>
      </c>
      <c r="CE83">
        <v>30</v>
      </c>
      <c r="CF83">
        <v>0</v>
      </c>
      <c r="CG83">
        <v>0</v>
      </c>
      <c r="CM83">
        <v>0</v>
      </c>
      <c r="CN83" t="s">
        <v>3</v>
      </c>
      <c r="CO83">
        <v>0</v>
      </c>
      <c r="CP83">
        <f t="shared" si="68"/>
        <v>14488.16</v>
      </c>
      <c r="CQ83">
        <f t="shared" si="100"/>
        <v>1811.02</v>
      </c>
      <c r="CR83">
        <f t="shared" si="101"/>
        <v>0</v>
      </c>
      <c r="CS83">
        <f t="shared" si="69"/>
        <v>0</v>
      </c>
      <c r="CT83">
        <f t="shared" si="70"/>
        <v>0</v>
      </c>
      <c r="CU83">
        <f t="shared" si="71"/>
        <v>0</v>
      </c>
      <c r="CV83">
        <f t="shared" si="72"/>
        <v>0</v>
      </c>
      <c r="CW83">
        <f t="shared" si="73"/>
        <v>0</v>
      </c>
      <c r="CX83">
        <f t="shared" si="74"/>
        <v>0</v>
      </c>
      <c r="CY83">
        <f t="shared" si="75"/>
        <v>0</v>
      </c>
      <c r="CZ83">
        <f t="shared" si="76"/>
        <v>0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>
        <v>0</v>
      </c>
      <c r="DO83">
        <v>0</v>
      </c>
      <c r="DP83">
        <v>1</v>
      </c>
      <c r="DQ83">
        <v>1</v>
      </c>
      <c r="DU83">
        <v>1010</v>
      </c>
      <c r="DV83" t="s">
        <v>32</v>
      </c>
      <c r="DW83" t="s">
        <v>32</v>
      </c>
      <c r="DX83">
        <v>1</v>
      </c>
      <c r="DZ83" t="s">
        <v>3</v>
      </c>
      <c r="EA83" t="s">
        <v>3</v>
      </c>
      <c r="EB83" t="s">
        <v>3</v>
      </c>
      <c r="EC83" t="s">
        <v>3</v>
      </c>
      <c r="EE83">
        <v>58162750</v>
      </c>
      <c r="EF83">
        <v>130</v>
      </c>
      <c r="EG83" t="s">
        <v>33</v>
      </c>
      <c r="EH83">
        <v>0</v>
      </c>
      <c r="EI83" t="s">
        <v>3</v>
      </c>
      <c r="EJ83">
        <v>3</v>
      </c>
      <c r="EK83">
        <v>746</v>
      </c>
      <c r="EL83" t="s">
        <v>34</v>
      </c>
      <c r="EM83" t="s">
        <v>35</v>
      </c>
      <c r="EO83" t="s">
        <v>3</v>
      </c>
      <c r="EQ83">
        <v>0</v>
      </c>
      <c r="ER83">
        <v>285.2</v>
      </c>
      <c r="ES83">
        <v>285.2</v>
      </c>
      <c r="ET83">
        <v>0</v>
      </c>
      <c r="EU83">
        <v>0</v>
      </c>
      <c r="EV83">
        <v>0</v>
      </c>
      <c r="EW83">
        <v>0</v>
      </c>
      <c r="EX83">
        <v>0</v>
      </c>
      <c r="FQ83">
        <v>0</v>
      </c>
      <c r="FR83">
        <f t="shared" si="102"/>
        <v>14488.16</v>
      </c>
      <c r="FS83">
        <v>0</v>
      </c>
      <c r="FX83">
        <v>90</v>
      </c>
      <c r="FY83">
        <v>46</v>
      </c>
      <c r="GA83" t="s">
        <v>3</v>
      </c>
      <c r="GD83">
        <v>1</v>
      </c>
      <c r="GF83">
        <v>1694751249</v>
      </c>
      <c r="GG83">
        <v>2</v>
      </c>
      <c r="GH83">
        <v>1</v>
      </c>
      <c r="GI83">
        <v>2</v>
      </c>
      <c r="GJ83">
        <v>0</v>
      </c>
      <c r="GK83">
        <v>0</v>
      </c>
      <c r="GL83">
        <f t="shared" si="77"/>
        <v>0</v>
      </c>
      <c r="GM83">
        <f t="shared" si="78"/>
        <v>14488.16</v>
      </c>
      <c r="GN83">
        <f t="shared" si="79"/>
        <v>0</v>
      </c>
      <c r="GO83">
        <f t="shared" si="80"/>
        <v>0</v>
      </c>
      <c r="GP83">
        <f t="shared" si="81"/>
        <v>0</v>
      </c>
      <c r="GR83">
        <v>0</v>
      </c>
      <c r="GS83">
        <v>3</v>
      </c>
      <c r="GT83">
        <v>0</v>
      </c>
      <c r="GU83" t="s">
        <v>3</v>
      </c>
      <c r="GV83">
        <f t="shared" si="82"/>
        <v>0</v>
      </c>
      <c r="GW83">
        <v>1</v>
      </c>
      <c r="GX83">
        <f t="shared" si="83"/>
        <v>0</v>
      </c>
      <c r="HA83">
        <v>0</v>
      </c>
      <c r="HB83">
        <v>0</v>
      </c>
      <c r="HC83">
        <f t="shared" si="84"/>
        <v>0</v>
      </c>
      <c r="HE83" t="s">
        <v>3</v>
      </c>
      <c r="HF83" t="s">
        <v>3</v>
      </c>
      <c r="HM83" t="s">
        <v>3</v>
      </c>
      <c r="HN83" t="s">
        <v>3</v>
      </c>
      <c r="HO83" t="s">
        <v>3</v>
      </c>
      <c r="HP83" t="s">
        <v>3</v>
      </c>
      <c r="HQ83" t="s">
        <v>3</v>
      </c>
      <c r="HS83">
        <v>0</v>
      </c>
      <c r="IK83">
        <v>0</v>
      </c>
    </row>
    <row r="84" spans="1:255" x14ac:dyDescent="0.3">
      <c r="A84" s="2">
        <v>18</v>
      </c>
      <c r="B84" s="2">
        <v>1</v>
      </c>
      <c r="C84" s="2"/>
      <c r="D84" s="2"/>
      <c r="E84" s="2" t="s">
        <v>141</v>
      </c>
      <c r="F84" s="2" t="s">
        <v>142</v>
      </c>
      <c r="G84" s="2" t="s">
        <v>143</v>
      </c>
      <c r="H84" s="2" t="s">
        <v>32</v>
      </c>
      <c r="I84" s="2">
        <f>I74*J84</f>
        <v>4</v>
      </c>
      <c r="J84" s="2">
        <v>0.5714285714285714</v>
      </c>
      <c r="K84" s="2">
        <v>0.57142859999999995</v>
      </c>
      <c r="L84" s="2"/>
      <c r="M84" s="2"/>
      <c r="N84" s="2"/>
      <c r="O84" s="2">
        <f t="shared" si="55"/>
        <v>1113.4000000000001</v>
      </c>
      <c r="P84" s="2">
        <f t="shared" si="93"/>
        <v>1113.4000000000001</v>
      </c>
      <c r="Q84" s="2">
        <f t="shared" si="94"/>
        <v>0</v>
      </c>
      <c r="R84" s="2">
        <f t="shared" si="56"/>
        <v>0</v>
      </c>
      <c r="S84" s="2">
        <f t="shared" si="57"/>
        <v>0</v>
      </c>
      <c r="T84" s="2">
        <f t="shared" si="58"/>
        <v>0</v>
      </c>
      <c r="U84" s="2">
        <f t="shared" si="59"/>
        <v>0</v>
      </c>
      <c r="V84" s="2">
        <f t="shared" si="60"/>
        <v>0</v>
      </c>
      <c r="W84" s="2">
        <f t="shared" si="61"/>
        <v>0</v>
      </c>
      <c r="X84" s="2">
        <f t="shared" si="62"/>
        <v>0</v>
      </c>
      <c r="Y84" s="2">
        <f t="shared" si="63"/>
        <v>0</v>
      </c>
      <c r="Z84" s="2"/>
      <c r="AA84" s="2">
        <v>56498966</v>
      </c>
      <c r="AB84" s="2">
        <f t="shared" si="64"/>
        <v>278.35000000000002</v>
      </c>
      <c r="AC84" s="2">
        <f t="shared" si="65"/>
        <v>278.35000000000002</v>
      </c>
      <c r="AD84" s="2">
        <f t="shared" si="95"/>
        <v>0</v>
      </c>
      <c r="AE84" s="2">
        <f t="shared" si="96"/>
        <v>0</v>
      </c>
      <c r="AF84" s="2">
        <f t="shared" si="97"/>
        <v>0</v>
      </c>
      <c r="AG84" s="2">
        <f t="shared" si="66"/>
        <v>0</v>
      </c>
      <c r="AH84" s="2">
        <f t="shared" si="98"/>
        <v>0</v>
      </c>
      <c r="AI84" s="2">
        <f t="shared" si="99"/>
        <v>0</v>
      </c>
      <c r="AJ84" s="2">
        <f t="shared" si="67"/>
        <v>0</v>
      </c>
      <c r="AK84" s="2">
        <v>278.35000000000002</v>
      </c>
      <c r="AL84" s="2">
        <v>278.35000000000002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3</v>
      </c>
      <c r="BJ84" s="2" t="s">
        <v>3</v>
      </c>
      <c r="BK84" s="2"/>
      <c r="BL84" s="2"/>
      <c r="BM84" s="2">
        <v>746</v>
      </c>
      <c r="BN84" s="2">
        <v>0</v>
      </c>
      <c r="BO84" s="2" t="s">
        <v>3</v>
      </c>
      <c r="BP84" s="2">
        <v>0</v>
      </c>
      <c r="BQ84" s="2">
        <v>130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90</v>
      </c>
      <c r="CA84" s="2">
        <v>46</v>
      </c>
      <c r="CB84" s="2" t="s">
        <v>3</v>
      </c>
      <c r="CC84" s="2"/>
      <c r="CD84" s="2"/>
      <c r="CE84" s="2">
        <v>30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</v>
      </c>
      <c r="CO84" s="2">
        <v>0</v>
      </c>
      <c r="CP84" s="2">
        <f t="shared" si="68"/>
        <v>1113.4000000000001</v>
      </c>
      <c r="CQ84" s="2">
        <f t="shared" si="100"/>
        <v>278.35000000000002</v>
      </c>
      <c r="CR84" s="2">
        <f t="shared" si="101"/>
        <v>0</v>
      </c>
      <c r="CS84" s="2">
        <f t="shared" si="69"/>
        <v>0</v>
      </c>
      <c r="CT84" s="2">
        <f t="shared" si="70"/>
        <v>0</v>
      </c>
      <c r="CU84" s="2">
        <f t="shared" si="71"/>
        <v>0</v>
      </c>
      <c r="CV84" s="2">
        <f t="shared" si="72"/>
        <v>0</v>
      </c>
      <c r="CW84" s="2">
        <f t="shared" si="73"/>
        <v>0</v>
      </c>
      <c r="CX84" s="2">
        <f t="shared" si="74"/>
        <v>0</v>
      </c>
      <c r="CY84" s="2">
        <f t="shared" si="75"/>
        <v>0</v>
      </c>
      <c r="CZ84" s="2">
        <f t="shared" si="76"/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1010</v>
      </c>
      <c r="DV84" s="2" t="s">
        <v>32</v>
      </c>
      <c r="DW84" s="2" t="s">
        <v>32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58162750</v>
      </c>
      <c r="EF84" s="2">
        <v>130</v>
      </c>
      <c r="EG84" s="2" t="s">
        <v>33</v>
      </c>
      <c r="EH84" s="2">
        <v>0</v>
      </c>
      <c r="EI84" s="2" t="s">
        <v>3</v>
      </c>
      <c r="EJ84" s="2">
        <v>3</v>
      </c>
      <c r="EK84" s="2">
        <v>746</v>
      </c>
      <c r="EL84" s="2" t="s">
        <v>34</v>
      </c>
      <c r="EM84" s="2" t="s">
        <v>35</v>
      </c>
      <c r="EN84" s="2"/>
      <c r="EO84" s="2" t="s">
        <v>3</v>
      </c>
      <c r="EP84" s="2"/>
      <c r="EQ84" s="2">
        <v>0</v>
      </c>
      <c r="ER84" s="2">
        <v>278.35000000000002</v>
      </c>
      <c r="ES84" s="2">
        <v>278.35000000000002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f t="shared" si="102"/>
        <v>1113.4000000000001</v>
      </c>
      <c r="FS84" s="2">
        <v>0</v>
      </c>
      <c r="FT84" s="2"/>
      <c r="FU84" s="2"/>
      <c r="FV84" s="2"/>
      <c r="FW84" s="2"/>
      <c r="FX84" s="2">
        <v>90</v>
      </c>
      <c r="FY84" s="2">
        <v>46</v>
      </c>
      <c r="FZ84" s="2"/>
      <c r="GA84" s="2" t="s">
        <v>3</v>
      </c>
      <c r="GB84" s="2"/>
      <c r="GC84" s="2"/>
      <c r="GD84" s="2">
        <v>1</v>
      </c>
      <c r="GE84" s="2"/>
      <c r="GF84" s="2">
        <v>-842375657</v>
      </c>
      <c r="GG84" s="2">
        <v>2</v>
      </c>
      <c r="GH84" s="2">
        <v>1</v>
      </c>
      <c r="GI84" s="2">
        <v>-2</v>
      </c>
      <c r="GJ84" s="2">
        <v>0</v>
      </c>
      <c r="GK84" s="2">
        <v>0</v>
      </c>
      <c r="GL84" s="2">
        <f t="shared" si="77"/>
        <v>0</v>
      </c>
      <c r="GM84" s="2">
        <f t="shared" si="78"/>
        <v>1113.4000000000001</v>
      </c>
      <c r="GN84" s="2">
        <f t="shared" si="79"/>
        <v>0</v>
      </c>
      <c r="GO84" s="2">
        <f t="shared" si="80"/>
        <v>0</v>
      </c>
      <c r="GP84" s="2">
        <f t="shared" si="81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82"/>
        <v>0</v>
      </c>
      <c r="GW84" s="2">
        <v>1</v>
      </c>
      <c r="GX84" s="2">
        <f t="shared" si="83"/>
        <v>0</v>
      </c>
      <c r="GY84" s="2"/>
      <c r="GZ84" s="2"/>
      <c r="HA84" s="2">
        <v>0</v>
      </c>
      <c r="HB84" s="2">
        <v>0</v>
      </c>
      <c r="HC84" s="2">
        <f t="shared" si="84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3">
      <c r="A85">
        <v>18</v>
      </c>
      <c r="B85">
        <v>1</v>
      </c>
      <c r="E85" t="s">
        <v>141</v>
      </c>
      <c r="F85" t="s">
        <v>142</v>
      </c>
      <c r="G85" t="s">
        <v>143</v>
      </c>
      <c r="H85" t="s">
        <v>32</v>
      </c>
      <c r="I85">
        <f>I75*J85</f>
        <v>4</v>
      </c>
      <c r="J85">
        <v>0.5714285714285714</v>
      </c>
      <c r="K85">
        <v>0.57142859999999995</v>
      </c>
      <c r="O85">
        <f t="shared" si="55"/>
        <v>10165.34</v>
      </c>
      <c r="P85">
        <f t="shared" si="93"/>
        <v>10165.34</v>
      </c>
      <c r="Q85">
        <f t="shared" si="94"/>
        <v>0</v>
      </c>
      <c r="R85">
        <f t="shared" si="56"/>
        <v>0</v>
      </c>
      <c r="S85">
        <f t="shared" si="57"/>
        <v>0</v>
      </c>
      <c r="T85">
        <f t="shared" si="58"/>
        <v>0</v>
      </c>
      <c r="U85">
        <f t="shared" si="59"/>
        <v>0</v>
      </c>
      <c r="V85">
        <f t="shared" si="60"/>
        <v>0</v>
      </c>
      <c r="W85">
        <f t="shared" si="61"/>
        <v>0</v>
      </c>
      <c r="X85">
        <f t="shared" si="62"/>
        <v>0</v>
      </c>
      <c r="Y85">
        <f t="shared" si="63"/>
        <v>0</v>
      </c>
      <c r="AA85">
        <v>56498968</v>
      </c>
      <c r="AB85">
        <f t="shared" si="64"/>
        <v>278.35000000000002</v>
      </c>
      <c r="AC85">
        <f t="shared" si="65"/>
        <v>278.35000000000002</v>
      </c>
      <c r="AD85">
        <f t="shared" si="95"/>
        <v>0</v>
      </c>
      <c r="AE85">
        <f t="shared" si="96"/>
        <v>0</v>
      </c>
      <c r="AF85">
        <f t="shared" si="97"/>
        <v>0</v>
      </c>
      <c r="AG85">
        <f t="shared" si="66"/>
        <v>0</v>
      </c>
      <c r="AH85">
        <f t="shared" si="98"/>
        <v>0</v>
      </c>
      <c r="AI85">
        <f t="shared" si="99"/>
        <v>0</v>
      </c>
      <c r="AJ85">
        <f t="shared" si="67"/>
        <v>0</v>
      </c>
      <c r="AK85">
        <v>278.35000000000002</v>
      </c>
      <c r="AL85">
        <v>278.35000000000002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1</v>
      </c>
      <c r="AZ85">
        <v>1</v>
      </c>
      <c r="BA85">
        <v>1</v>
      </c>
      <c r="BB85">
        <v>1</v>
      </c>
      <c r="BC85">
        <v>9.1300000000000008</v>
      </c>
      <c r="BD85" t="s">
        <v>3</v>
      </c>
      <c r="BE85" t="s">
        <v>3</v>
      </c>
      <c r="BF85" t="s">
        <v>3</v>
      </c>
      <c r="BG85" t="s">
        <v>3</v>
      </c>
      <c r="BH85">
        <v>3</v>
      </c>
      <c r="BI85">
        <v>3</v>
      </c>
      <c r="BJ85" t="s">
        <v>3</v>
      </c>
      <c r="BM85">
        <v>746</v>
      </c>
      <c r="BN85">
        <v>0</v>
      </c>
      <c r="BO85" t="s">
        <v>3</v>
      </c>
      <c r="BP85">
        <v>0</v>
      </c>
      <c r="BQ85">
        <v>130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 t="s">
        <v>3</v>
      </c>
      <c r="BZ85">
        <v>90</v>
      </c>
      <c r="CA85">
        <v>46</v>
      </c>
      <c r="CB85" t="s">
        <v>3</v>
      </c>
      <c r="CE85">
        <v>30</v>
      </c>
      <c r="CF85">
        <v>0</v>
      </c>
      <c r="CG85">
        <v>0</v>
      </c>
      <c r="CM85">
        <v>0</v>
      </c>
      <c r="CN85" t="s">
        <v>3</v>
      </c>
      <c r="CO85">
        <v>0</v>
      </c>
      <c r="CP85">
        <f t="shared" si="68"/>
        <v>10165.34</v>
      </c>
      <c r="CQ85">
        <f t="shared" si="100"/>
        <v>2541.34</v>
      </c>
      <c r="CR85">
        <f t="shared" si="101"/>
        <v>0</v>
      </c>
      <c r="CS85">
        <f t="shared" si="69"/>
        <v>0</v>
      </c>
      <c r="CT85">
        <f t="shared" si="70"/>
        <v>0</v>
      </c>
      <c r="CU85">
        <f t="shared" si="71"/>
        <v>0</v>
      </c>
      <c r="CV85">
        <f t="shared" si="72"/>
        <v>0</v>
      </c>
      <c r="CW85">
        <f t="shared" si="73"/>
        <v>0</v>
      </c>
      <c r="CX85">
        <f t="shared" si="74"/>
        <v>0</v>
      </c>
      <c r="CY85">
        <f t="shared" si="75"/>
        <v>0</v>
      </c>
      <c r="CZ85">
        <f t="shared" si="76"/>
        <v>0</v>
      </c>
      <c r="DC85" t="s">
        <v>3</v>
      </c>
      <c r="DD85" t="s">
        <v>3</v>
      </c>
      <c r="DE85" t="s">
        <v>3</v>
      </c>
      <c r="DF85" t="s">
        <v>3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>
        <v>0</v>
      </c>
      <c r="DO85">
        <v>0</v>
      </c>
      <c r="DP85">
        <v>1</v>
      </c>
      <c r="DQ85">
        <v>1</v>
      </c>
      <c r="DU85">
        <v>1010</v>
      </c>
      <c r="DV85" t="s">
        <v>32</v>
      </c>
      <c r="DW85" t="s">
        <v>32</v>
      </c>
      <c r="DX85">
        <v>1</v>
      </c>
      <c r="DZ85" t="s">
        <v>3</v>
      </c>
      <c r="EA85" t="s">
        <v>3</v>
      </c>
      <c r="EB85" t="s">
        <v>3</v>
      </c>
      <c r="EC85" t="s">
        <v>3</v>
      </c>
      <c r="EE85">
        <v>58162750</v>
      </c>
      <c r="EF85">
        <v>130</v>
      </c>
      <c r="EG85" t="s">
        <v>33</v>
      </c>
      <c r="EH85">
        <v>0</v>
      </c>
      <c r="EI85" t="s">
        <v>3</v>
      </c>
      <c r="EJ85">
        <v>3</v>
      </c>
      <c r="EK85">
        <v>746</v>
      </c>
      <c r="EL85" t="s">
        <v>34</v>
      </c>
      <c r="EM85" t="s">
        <v>35</v>
      </c>
      <c r="EO85" t="s">
        <v>3</v>
      </c>
      <c r="EQ85">
        <v>0</v>
      </c>
      <c r="ER85">
        <v>278.35000000000002</v>
      </c>
      <c r="ES85">
        <v>278.35000000000002</v>
      </c>
      <c r="ET85">
        <v>0</v>
      </c>
      <c r="EU85">
        <v>0</v>
      </c>
      <c r="EV85">
        <v>0</v>
      </c>
      <c r="EW85">
        <v>0</v>
      </c>
      <c r="EX85">
        <v>0</v>
      </c>
      <c r="FQ85">
        <v>0</v>
      </c>
      <c r="FR85">
        <f t="shared" si="102"/>
        <v>10165.34</v>
      </c>
      <c r="FS85">
        <v>0</v>
      </c>
      <c r="FX85">
        <v>90</v>
      </c>
      <c r="FY85">
        <v>46</v>
      </c>
      <c r="GA85" t="s">
        <v>3</v>
      </c>
      <c r="GD85">
        <v>1</v>
      </c>
      <c r="GF85">
        <v>-842375657</v>
      </c>
      <c r="GG85">
        <v>2</v>
      </c>
      <c r="GH85">
        <v>1</v>
      </c>
      <c r="GI85">
        <v>2</v>
      </c>
      <c r="GJ85">
        <v>0</v>
      </c>
      <c r="GK85">
        <v>0</v>
      </c>
      <c r="GL85">
        <f t="shared" si="77"/>
        <v>0</v>
      </c>
      <c r="GM85">
        <f t="shared" si="78"/>
        <v>10165.34</v>
      </c>
      <c r="GN85">
        <f t="shared" si="79"/>
        <v>0</v>
      </c>
      <c r="GO85">
        <f t="shared" si="80"/>
        <v>0</v>
      </c>
      <c r="GP85">
        <f t="shared" si="81"/>
        <v>0</v>
      </c>
      <c r="GR85">
        <v>0</v>
      </c>
      <c r="GS85">
        <v>3</v>
      </c>
      <c r="GT85">
        <v>0</v>
      </c>
      <c r="GU85" t="s">
        <v>3</v>
      </c>
      <c r="GV85">
        <f t="shared" si="82"/>
        <v>0</v>
      </c>
      <c r="GW85">
        <v>1</v>
      </c>
      <c r="GX85">
        <f t="shared" si="83"/>
        <v>0</v>
      </c>
      <c r="HA85">
        <v>0</v>
      </c>
      <c r="HB85">
        <v>0</v>
      </c>
      <c r="HC85">
        <f t="shared" si="84"/>
        <v>0</v>
      </c>
      <c r="HE85" t="s">
        <v>3</v>
      </c>
      <c r="HF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3</v>
      </c>
      <c r="HS85">
        <v>0</v>
      </c>
      <c r="IK85">
        <v>0</v>
      </c>
    </row>
    <row r="86" spans="1:255" x14ac:dyDescent="0.3">
      <c r="A86" s="2">
        <v>18</v>
      </c>
      <c r="B86" s="2">
        <v>1</v>
      </c>
      <c r="C86" s="2"/>
      <c r="D86" s="2"/>
      <c r="E86" s="2" t="s">
        <v>144</v>
      </c>
      <c r="F86" s="2" t="s">
        <v>145</v>
      </c>
      <c r="G86" s="2" t="s">
        <v>146</v>
      </c>
      <c r="H86" s="2" t="s">
        <v>32</v>
      </c>
      <c r="I86" s="2">
        <f>I74*J86</f>
        <v>2</v>
      </c>
      <c r="J86" s="2">
        <v>0.2857142857142857</v>
      </c>
      <c r="K86" s="2">
        <v>0.28571429999999998</v>
      </c>
      <c r="L86" s="2"/>
      <c r="M86" s="2"/>
      <c r="N86" s="2"/>
      <c r="O86" s="2">
        <f t="shared" si="55"/>
        <v>1397.62</v>
      </c>
      <c r="P86" s="2">
        <f t="shared" si="93"/>
        <v>1397.62</v>
      </c>
      <c r="Q86" s="2">
        <f t="shared" si="94"/>
        <v>0</v>
      </c>
      <c r="R86" s="2">
        <f t="shared" si="56"/>
        <v>0</v>
      </c>
      <c r="S86" s="2">
        <f t="shared" si="57"/>
        <v>0</v>
      </c>
      <c r="T86" s="2">
        <f t="shared" si="58"/>
        <v>0</v>
      </c>
      <c r="U86" s="2">
        <f t="shared" si="59"/>
        <v>0</v>
      </c>
      <c r="V86" s="2">
        <f t="shared" si="60"/>
        <v>0</v>
      </c>
      <c r="W86" s="2">
        <f t="shared" si="61"/>
        <v>0</v>
      </c>
      <c r="X86" s="2">
        <f t="shared" si="62"/>
        <v>0</v>
      </c>
      <c r="Y86" s="2">
        <f t="shared" si="63"/>
        <v>0</v>
      </c>
      <c r="Z86" s="2"/>
      <c r="AA86" s="2">
        <v>56498966</v>
      </c>
      <c r="AB86" s="2">
        <f t="shared" si="64"/>
        <v>698.81</v>
      </c>
      <c r="AC86" s="2">
        <f t="shared" si="65"/>
        <v>698.81</v>
      </c>
      <c r="AD86" s="2">
        <f t="shared" si="95"/>
        <v>0</v>
      </c>
      <c r="AE86" s="2">
        <f t="shared" si="96"/>
        <v>0</v>
      </c>
      <c r="AF86" s="2">
        <f t="shared" si="97"/>
        <v>0</v>
      </c>
      <c r="AG86" s="2">
        <f t="shared" si="66"/>
        <v>0</v>
      </c>
      <c r="AH86" s="2">
        <f t="shared" si="98"/>
        <v>0</v>
      </c>
      <c r="AI86" s="2">
        <f t="shared" si="99"/>
        <v>0</v>
      </c>
      <c r="AJ86" s="2">
        <f t="shared" si="67"/>
        <v>0</v>
      </c>
      <c r="AK86" s="2">
        <v>698.81</v>
      </c>
      <c r="AL86" s="2">
        <v>698.81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3</v>
      </c>
      <c r="BJ86" s="2" t="s">
        <v>3</v>
      </c>
      <c r="BK86" s="2"/>
      <c r="BL86" s="2"/>
      <c r="BM86" s="2">
        <v>746</v>
      </c>
      <c r="BN86" s="2">
        <v>0</v>
      </c>
      <c r="BO86" s="2" t="s">
        <v>3</v>
      </c>
      <c r="BP86" s="2">
        <v>0</v>
      </c>
      <c r="BQ86" s="2">
        <v>130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90</v>
      </c>
      <c r="CA86" s="2">
        <v>46</v>
      </c>
      <c r="CB86" s="2" t="s">
        <v>3</v>
      </c>
      <c r="CC86" s="2"/>
      <c r="CD86" s="2"/>
      <c r="CE86" s="2">
        <v>30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68"/>
        <v>1397.62</v>
      </c>
      <c r="CQ86" s="2">
        <f t="shared" si="100"/>
        <v>698.81</v>
      </c>
      <c r="CR86" s="2">
        <f t="shared" si="101"/>
        <v>0</v>
      </c>
      <c r="CS86" s="2">
        <f t="shared" si="69"/>
        <v>0</v>
      </c>
      <c r="CT86" s="2">
        <f t="shared" si="70"/>
        <v>0</v>
      </c>
      <c r="CU86" s="2">
        <f t="shared" si="71"/>
        <v>0</v>
      </c>
      <c r="CV86" s="2">
        <f t="shared" si="72"/>
        <v>0</v>
      </c>
      <c r="CW86" s="2">
        <f t="shared" si="73"/>
        <v>0</v>
      </c>
      <c r="CX86" s="2">
        <f t="shared" si="74"/>
        <v>0</v>
      </c>
      <c r="CY86" s="2">
        <f t="shared" si="75"/>
        <v>0</v>
      </c>
      <c r="CZ86" s="2">
        <f t="shared" si="76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1010</v>
      </c>
      <c r="DV86" s="2" t="s">
        <v>32</v>
      </c>
      <c r="DW86" s="2" t="s">
        <v>32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58162750</v>
      </c>
      <c r="EF86" s="2">
        <v>130</v>
      </c>
      <c r="EG86" s="2" t="s">
        <v>33</v>
      </c>
      <c r="EH86" s="2">
        <v>0</v>
      </c>
      <c r="EI86" s="2" t="s">
        <v>3</v>
      </c>
      <c r="EJ86" s="2">
        <v>3</v>
      </c>
      <c r="EK86" s="2">
        <v>746</v>
      </c>
      <c r="EL86" s="2" t="s">
        <v>34</v>
      </c>
      <c r="EM86" s="2" t="s">
        <v>35</v>
      </c>
      <c r="EN86" s="2"/>
      <c r="EO86" s="2" t="s">
        <v>3</v>
      </c>
      <c r="EP86" s="2"/>
      <c r="EQ86" s="2">
        <v>0</v>
      </c>
      <c r="ER86" s="2">
        <v>698.81</v>
      </c>
      <c r="ES86" s="2">
        <v>698.81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f t="shared" si="102"/>
        <v>1397.62</v>
      </c>
      <c r="FS86" s="2">
        <v>0</v>
      </c>
      <c r="FT86" s="2"/>
      <c r="FU86" s="2"/>
      <c r="FV86" s="2"/>
      <c r="FW86" s="2"/>
      <c r="FX86" s="2">
        <v>90</v>
      </c>
      <c r="FY86" s="2">
        <v>46</v>
      </c>
      <c r="FZ86" s="2"/>
      <c r="GA86" s="2" t="s">
        <v>3</v>
      </c>
      <c r="GB86" s="2"/>
      <c r="GC86" s="2"/>
      <c r="GD86" s="2">
        <v>1</v>
      </c>
      <c r="GE86" s="2"/>
      <c r="GF86" s="2">
        <v>1617475430</v>
      </c>
      <c r="GG86" s="2">
        <v>2</v>
      </c>
      <c r="GH86" s="2">
        <v>1</v>
      </c>
      <c r="GI86" s="2">
        <v>-2</v>
      </c>
      <c r="GJ86" s="2">
        <v>0</v>
      </c>
      <c r="GK86" s="2">
        <v>0</v>
      </c>
      <c r="GL86" s="2">
        <f t="shared" si="77"/>
        <v>0</v>
      </c>
      <c r="GM86" s="2">
        <f t="shared" si="78"/>
        <v>1397.62</v>
      </c>
      <c r="GN86" s="2">
        <f t="shared" si="79"/>
        <v>0</v>
      </c>
      <c r="GO86" s="2">
        <f t="shared" si="80"/>
        <v>0</v>
      </c>
      <c r="GP86" s="2">
        <f t="shared" si="81"/>
        <v>0</v>
      </c>
      <c r="GQ86" s="2"/>
      <c r="GR86" s="2">
        <v>0</v>
      </c>
      <c r="GS86" s="2">
        <v>3</v>
      </c>
      <c r="GT86" s="2">
        <v>0</v>
      </c>
      <c r="GU86" s="2" t="s">
        <v>3</v>
      </c>
      <c r="GV86" s="2">
        <f t="shared" si="82"/>
        <v>0</v>
      </c>
      <c r="GW86" s="2">
        <v>1</v>
      </c>
      <c r="GX86" s="2">
        <f t="shared" si="83"/>
        <v>0</v>
      </c>
      <c r="GY86" s="2"/>
      <c r="GZ86" s="2"/>
      <c r="HA86" s="2">
        <v>0</v>
      </c>
      <c r="HB86" s="2">
        <v>0</v>
      </c>
      <c r="HC86" s="2">
        <f t="shared" si="84"/>
        <v>0</v>
      </c>
      <c r="HD86" s="2"/>
      <c r="HE86" s="2" t="s">
        <v>3</v>
      </c>
      <c r="HF86" s="2" t="s">
        <v>3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3">
      <c r="A87">
        <v>18</v>
      </c>
      <c r="B87">
        <v>1</v>
      </c>
      <c r="E87" t="s">
        <v>144</v>
      </c>
      <c r="F87" t="s">
        <v>145</v>
      </c>
      <c r="G87" t="s">
        <v>146</v>
      </c>
      <c r="H87" t="s">
        <v>32</v>
      </c>
      <c r="I87">
        <f>I75*J87</f>
        <v>2</v>
      </c>
      <c r="J87">
        <v>0.2857142857142857</v>
      </c>
      <c r="K87">
        <v>0.28571429999999998</v>
      </c>
      <c r="O87">
        <f t="shared" si="55"/>
        <v>11041.2</v>
      </c>
      <c r="P87">
        <f t="shared" si="93"/>
        <v>11041.2</v>
      </c>
      <c r="Q87">
        <f t="shared" si="94"/>
        <v>0</v>
      </c>
      <c r="R87">
        <f t="shared" si="56"/>
        <v>0</v>
      </c>
      <c r="S87">
        <f t="shared" si="57"/>
        <v>0</v>
      </c>
      <c r="T87">
        <f t="shared" si="58"/>
        <v>0</v>
      </c>
      <c r="U87">
        <f t="shared" si="59"/>
        <v>0</v>
      </c>
      <c r="V87">
        <f t="shared" si="60"/>
        <v>0</v>
      </c>
      <c r="W87">
        <f t="shared" si="61"/>
        <v>0</v>
      </c>
      <c r="X87">
        <f t="shared" si="62"/>
        <v>0</v>
      </c>
      <c r="Y87">
        <f t="shared" si="63"/>
        <v>0</v>
      </c>
      <c r="AA87">
        <v>56498968</v>
      </c>
      <c r="AB87">
        <f t="shared" si="64"/>
        <v>698.81</v>
      </c>
      <c r="AC87">
        <f t="shared" si="65"/>
        <v>698.81</v>
      </c>
      <c r="AD87">
        <f t="shared" si="95"/>
        <v>0</v>
      </c>
      <c r="AE87">
        <f t="shared" si="96"/>
        <v>0</v>
      </c>
      <c r="AF87">
        <f t="shared" si="97"/>
        <v>0</v>
      </c>
      <c r="AG87">
        <f t="shared" si="66"/>
        <v>0</v>
      </c>
      <c r="AH87">
        <f t="shared" si="98"/>
        <v>0</v>
      </c>
      <c r="AI87">
        <f t="shared" si="99"/>
        <v>0</v>
      </c>
      <c r="AJ87">
        <f t="shared" si="67"/>
        <v>0</v>
      </c>
      <c r="AK87">
        <v>698.81</v>
      </c>
      <c r="AL87">
        <v>698.81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Z87">
        <v>1</v>
      </c>
      <c r="BA87">
        <v>1</v>
      </c>
      <c r="BB87">
        <v>1</v>
      </c>
      <c r="BC87">
        <v>7.9</v>
      </c>
      <c r="BD87" t="s">
        <v>3</v>
      </c>
      <c r="BE87" t="s">
        <v>3</v>
      </c>
      <c r="BF87" t="s">
        <v>3</v>
      </c>
      <c r="BG87" t="s">
        <v>3</v>
      </c>
      <c r="BH87">
        <v>3</v>
      </c>
      <c r="BI87">
        <v>3</v>
      </c>
      <c r="BJ87" t="s">
        <v>3</v>
      </c>
      <c r="BM87">
        <v>746</v>
      </c>
      <c r="BN87">
        <v>0</v>
      </c>
      <c r="BO87" t="s">
        <v>3</v>
      </c>
      <c r="BP87">
        <v>0</v>
      </c>
      <c r="BQ87">
        <v>130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 t="s">
        <v>3</v>
      </c>
      <c r="BZ87">
        <v>90</v>
      </c>
      <c r="CA87">
        <v>46</v>
      </c>
      <c r="CB87" t="s">
        <v>3</v>
      </c>
      <c r="CE87">
        <v>30</v>
      </c>
      <c r="CF87">
        <v>0</v>
      </c>
      <c r="CG87">
        <v>0</v>
      </c>
      <c r="CM87">
        <v>0</v>
      </c>
      <c r="CN87" t="s">
        <v>3</v>
      </c>
      <c r="CO87">
        <v>0</v>
      </c>
      <c r="CP87">
        <f t="shared" si="68"/>
        <v>11041.2</v>
      </c>
      <c r="CQ87">
        <f t="shared" si="100"/>
        <v>5520.6</v>
      </c>
      <c r="CR87">
        <f t="shared" si="101"/>
        <v>0</v>
      </c>
      <c r="CS87">
        <f t="shared" si="69"/>
        <v>0</v>
      </c>
      <c r="CT87">
        <f t="shared" si="70"/>
        <v>0</v>
      </c>
      <c r="CU87">
        <f t="shared" si="71"/>
        <v>0</v>
      </c>
      <c r="CV87">
        <f t="shared" si="72"/>
        <v>0</v>
      </c>
      <c r="CW87">
        <f t="shared" si="73"/>
        <v>0</v>
      </c>
      <c r="CX87">
        <f t="shared" si="74"/>
        <v>0</v>
      </c>
      <c r="CY87">
        <f t="shared" si="75"/>
        <v>0</v>
      </c>
      <c r="CZ87">
        <f t="shared" si="76"/>
        <v>0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>
        <v>0</v>
      </c>
      <c r="DO87">
        <v>0</v>
      </c>
      <c r="DP87">
        <v>1</v>
      </c>
      <c r="DQ87">
        <v>1</v>
      </c>
      <c r="DU87">
        <v>1010</v>
      </c>
      <c r="DV87" t="s">
        <v>32</v>
      </c>
      <c r="DW87" t="s">
        <v>32</v>
      </c>
      <c r="DX87">
        <v>1</v>
      </c>
      <c r="DZ87" t="s">
        <v>3</v>
      </c>
      <c r="EA87" t="s">
        <v>3</v>
      </c>
      <c r="EB87" t="s">
        <v>3</v>
      </c>
      <c r="EC87" t="s">
        <v>3</v>
      </c>
      <c r="EE87">
        <v>58162750</v>
      </c>
      <c r="EF87">
        <v>130</v>
      </c>
      <c r="EG87" t="s">
        <v>33</v>
      </c>
      <c r="EH87">
        <v>0</v>
      </c>
      <c r="EI87" t="s">
        <v>3</v>
      </c>
      <c r="EJ87">
        <v>3</v>
      </c>
      <c r="EK87">
        <v>746</v>
      </c>
      <c r="EL87" t="s">
        <v>34</v>
      </c>
      <c r="EM87" t="s">
        <v>35</v>
      </c>
      <c r="EO87" t="s">
        <v>3</v>
      </c>
      <c r="EQ87">
        <v>0</v>
      </c>
      <c r="ER87">
        <v>698.81</v>
      </c>
      <c r="ES87">
        <v>698.81</v>
      </c>
      <c r="ET87">
        <v>0</v>
      </c>
      <c r="EU87">
        <v>0</v>
      </c>
      <c r="EV87">
        <v>0</v>
      </c>
      <c r="EW87">
        <v>0</v>
      </c>
      <c r="EX87">
        <v>0</v>
      </c>
      <c r="FQ87">
        <v>0</v>
      </c>
      <c r="FR87">
        <f t="shared" si="102"/>
        <v>11041.2</v>
      </c>
      <c r="FS87">
        <v>0</v>
      </c>
      <c r="FX87">
        <v>90</v>
      </c>
      <c r="FY87">
        <v>46</v>
      </c>
      <c r="GA87" t="s">
        <v>3</v>
      </c>
      <c r="GD87">
        <v>1</v>
      </c>
      <c r="GF87">
        <v>1617475430</v>
      </c>
      <c r="GG87">
        <v>2</v>
      </c>
      <c r="GH87">
        <v>1</v>
      </c>
      <c r="GI87">
        <v>2</v>
      </c>
      <c r="GJ87">
        <v>0</v>
      </c>
      <c r="GK87">
        <v>0</v>
      </c>
      <c r="GL87">
        <f t="shared" si="77"/>
        <v>0</v>
      </c>
      <c r="GM87">
        <f t="shared" si="78"/>
        <v>11041.2</v>
      </c>
      <c r="GN87">
        <f t="shared" si="79"/>
        <v>0</v>
      </c>
      <c r="GO87">
        <f t="shared" si="80"/>
        <v>0</v>
      </c>
      <c r="GP87">
        <f t="shared" si="81"/>
        <v>0</v>
      </c>
      <c r="GR87">
        <v>0</v>
      </c>
      <c r="GS87">
        <v>3</v>
      </c>
      <c r="GT87">
        <v>0</v>
      </c>
      <c r="GU87" t="s">
        <v>3</v>
      </c>
      <c r="GV87">
        <f t="shared" si="82"/>
        <v>0</v>
      </c>
      <c r="GW87">
        <v>1</v>
      </c>
      <c r="GX87">
        <f t="shared" si="83"/>
        <v>0</v>
      </c>
      <c r="HA87">
        <v>0</v>
      </c>
      <c r="HB87">
        <v>0</v>
      </c>
      <c r="HC87">
        <f t="shared" si="84"/>
        <v>0</v>
      </c>
      <c r="HE87" t="s">
        <v>3</v>
      </c>
      <c r="HF87" t="s">
        <v>3</v>
      </c>
      <c r="HM87" t="s">
        <v>3</v>
      </c>
      <c r="HN87" t="s">
        <v>3</v>
      </c>
      <c r="HO87" t="s">
        <v>3</v>
      </c>
      <c r="HP87" t="s">
        <v>3</v>
      </c>
      <c r="HQ87" t="s">
        <v>3</v>
      </c>
      <c r="HS87">
        <v>0</v>
      </c>
      <c r="IK87">
        <v>0</v>
      </c>
    </row>
    <row r="88" spans="1:255" x14ac:dyDescent="0.3">
      <c r="A88" s="2">
        <v>17</v>
      </c>
      <c r="B88" s="2">
        <v>1</v>
      </c>
      <c r="C88" s="2"/>
      <c r="D88" s="2">
        <f>ROW(EtalonRes!A57)</f>
        <v>57</v>
      </c>
      <c r="E88" s="2" t="s">
        <v>147</v>
      </c>
      <c r="F88" s="2" t="s">
        <v>148</v>
      </c>
      <c r="G88" s="2" t="s">
        <v>149</v>
      </c>
      <c r="H88" s="2" t="s">
        <v>22</v>
      </c>
      <c r="I88" s="2">
        <f>ROUND(1+26+1+2,9)</f>
        <v>30</v>
      </c>
      <c r="J88" s="2">
        <v>0</v>
      </c>
      <c r="K88" s="2">
        <f>ROUND(1+26+1+2,9)</f>
        <v>30</v>
      </c>
      <c r="L88" s="2"/>
      <c r="M88" s="2"/>
      <c r="N88" s="2"/>
      <c r="O88" s="2">
        <f t="shared" si="55"/>
        <v>615.76</v>
      </c>
      <c r="P88" s="2">
        <f>ROUND((ROUND((AC88*AW88*I88),2)*BC88),2)</f>
        <v>58.8</v>
      </c>
      <c r="Q88" s="2">
        <f>(ROUND((ROUND((((ET88*1.1))*AV88*I88),2)*BB88),2)+ROUND((ROUND(((AE88-((EU88*1.1)))*AV88*I88),2)*BS88),2))</f>
        <v>1.73</v>
      </c>
      <c r="R88" s="2">
        <f t="shared" si="56"/>
        <v>0.35</v>
      </c>
      <c r="S88" s="2">
        <f t="shared" si="57"/>
        <v>555.23</v>
      </c>
      <c r="T88" s="2">
        <f t="shared" si="58"/>
        <v>0</v>
      </c>
      <c r="U88" s="2">
        <f t="shared" si="59"/>
        <v>41.461199999999998</v>
      </c>
      <c r="V88" s="2">
        <f t="shared" si="60"/>
        <v>0</v>
      </c>
      <c r="W88" s="2">
        <f t="shared" si="61"/>
        <v>0</v>
      </c>
      <c r="X88" s="2">
        <f t="shared" si="62"/>
        <v>500.02</v>
      </c>
      <c r="Y88" s="2">
        <f t="shared" si="63"/>
        <v>255.57</v>
      </c>
      <c r="Z88" s="2"/>
      <c r="AA88" s="2">
        <v>56498966</v>
      </c>
      <c r="AB88" s="2">
        <f t="shared" si="64"/>
        <v>19.692</v>
      </c>
      <c r="AC88" s="2">
        <f t="shared" si="65"/>
        <v>1.96</v>
      </c>
      <c r="AD88" s="2">
        <f>ROUND(((((ET88*1.1))-((EU88*1.1)))+AE88),6)</f>
        <v>5.5E-2</v>
      </c>
      <c r="AE88" s="2">
        <f>ROUND(((EU88*1.1)),6)</f>
        <v>1.0999999999999999E-2</v>
      </c>
      <c r="AF88" s="2">
        <f>ROUND(((EV88*1.1)),6)</f>
        <v>17.677</v>
      </c>
      <c r="AG88" s="2">
        <f t="shared" si="66"/>
        <v>0</v>
      </c>
      <c r="AH88" s="2">
        <f>((EW88*1.1))</f>
        <v>1.32</v>
      </c>
      <c r="AI88" s="2">
        <f>((EX88*1.1))</f>
        <v>0</v>
      </c>
      <c r="AJ88" s="2">
        <f t="shared" si="67"/>
        <v>0</v>
      </c>
      <c r="AK88" s="2">
        <v>18.079999999999998</v>
      </c>
      <c r="AL88" s="2">
        <v>1.96</v>
      </c>
      <c r="AM88" s="2">
        <v>0.05</v>
      </c>
      <c r="AN88" s="2">
        <v>0.01</v>
      </c>
      <c r="AO88" s="2">
        <v>16.07</v>
      </c>
      <c r="AP88" s="2">
        <v>0</v>
      </c>
      <c r="AQ88" s="2">
        <v>1.2</v>
      </c>
      <c r="AR88" s="2">
        <v>0</v>
      </c>
      <c r="AS88" s="2">
        <v>0</v>
      </c>
      <c r="AT88" s="2">
        <v>90</v>
      </c>
      <c r="AU88" s="2">
        <v>46</v>
      </c>
      <c r="AV88" s="2">
        <v>1.0469999999999999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2</v>
      </c>
      <c r="BJ88" s="2" t="s">
        <v>150</v>
      </c>
      <c r="BK88" s="2"/>
      <c r="BL88" s="2"/>
      <c r="BM88" s="2">
        <v>68</v>
      </c>
      <c r="BN88" s="2">
        <v>0</v>
      </c>
      <c r="BO88" s="2" t="s">
        <v>148</v>
      </c>
      <c r="BP88" s="2">
        <v>1</v>
      </c>
      <c r="BQ88" s="2">
        <v>40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90</v>
      </c>
      <c r="CA88" s="2">
        <v>46</v>
      </c>
      <c r="CB88" s="2" t="s">
        <v>3</v>
      </c>
      <c r="CC88" s="2"/>
      <c r="CD88" s="2"/>
      <c r="CE88" s="2">
        <v>30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3</v>
      </c>
      <c r="CO88" s="2">
        <v>0</v>
      </c>
      <c r="CP88" s="2">
        <f t="shared" si="68"/>
        <v>615.76</v>
      </c>
      <c r="CQ88" s="2">
        <f>ROUND((ROUND((AC88*AW88*1),2)*BC88),2)</f>
        <v>1.96</v>
      </c>
      <c r="CR88" s="2">
        <f>(ROUND((ROUND((((ET88*1.1))*AV88*1),2)*BB88),2)+ROUND((ROUND(((AE88-((EU88*1.1)))*AV88*1),2)*BS88),2))</f>
        <v>0.06</v>
      </c>
      <c r="CS88" s="2">
        <f t="shared" si="69"/>
        <v>0.01</v>
      </c>
      <c r="CT88" s="2">
        <f t="shared" si="70"/>
        <v>18.510000000000002</v>
      </c>
      <c r="CU88" s="2">
        <f t="shared" si="71"/>
        <v>0</v>
      </c>
      <c r="CV88" s="2">
        <f t="shared" si="72"/>
        <v>1.3820399999999999</v>
      </c>
      <c r="CW88" s="2">
        <f t="shared" si="73"/>
        <v>0</v>
      </c>
      <c r="CX88" s="2">
        <f t="shared" si="74"/>
        <v>0</v>
      </c>
      <c r="CY88" s="2">
        <f t="shared" si="75"/>
        <v>500.02200000000005</v>
      </c>
      <c r="CZ88" s="2">
        <f t="shared" si="76"/>
        <v>255.5668</v>
      </c>
      <c r="DA88" s="2"/>
      <c r="DB88" s="2"/>
      <c r="DC88" s="2" t="s">
        <v>3</v>
      </c>
      <c r="DD88" s="2" t="s">
        <v>3</v>
      </c>
      <c r="DE88" s="2" t="s">
        <v>24</v>
      </c>
      <c r="DF88" s="2" t="s">
        <v>24</v>
      </c>
      <c r="DG88" s="2" t="s">
        <v>24</v>
      </c>
      <c r="DH88" s="2" t="s">
        <v>3</v>
      </c>
      <c r="DI88" s="2" t="s">
        <v>24</v>
      </c>
      <c r="DJ88" s="2" t="s">
        <v>24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1013</v>
      </c>
      <c r="DV88" s="2" t="s">
        <v>22</v>
      </c>
      <c r="DW88" s="2" t="s">
        <v>22</v>
      </c>
      <c r="DX88" s="2">
        <v>1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58162630</v>
      </c>
      <c r="EF88" s="2">
        <v>40</v>
      </c>
      <c r="EG88" s="2" t="s">
        <v>25</v>
      </c>
      <c r="EH88" s="2">
        <v>0</v>
      </c>
      <c r="EI88" s="2" t="s">
        <v>3</v>
      </c>
      <c r="EJ88" s="2">
        <v>2</v>
      </c>
      <c r="EK88" s="2">
        <v>68</v>
      </c>
      <c r="EL88" s="2" t="s">
        <v>26</v>
      </c>
      <c r="EM88" s="2" t="s">
        <v>27</v>
      </c>
      <c r="EN88" s="2"/>
      <c r="EO88" s="2" t="s">
        <v>28</v>
      </c>
      <c r="EP88" s="2"/>
      <c r="EQ88" s="2">
        <v>0</v>
      </c>
      <c r="ER88" s="2">
        <v>18.079999999999998</v>
      </c>
      <c r="ES88" s="2">
        <v>1.96</v>
      </c>
      <c r="ET88" s="2">
        <v>0.05</v>
      </c>
      <c r="EU88" s="2">
        <v>0.01</v>
      </c>
      <c r="EV88" s="2">
        <v>16.07</v>
      </c>
      <c r="EW88" s="2">
        <v>1.2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90</v>
      </c>
      <c r="FY88" s="2">
        <v>46</v>
      </c>
      <c r="FZ88" s="2"/>
      <c r="GA88" s="2" t="s">
        <v>3</v>
      </c>
      <c r="GB88" s="2"/>
      <c r="GC88" s="2"/>
      <c r="GD88" s="2">
        <v>1</v>
      </c>
      <c r="GE88" s="2"/>
      <c r="GF88" s="2">
        <v>1665592289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77"/>
        <v>0</v>
      </c>
      <c r="GM88" s="2">
        <f t="shared" si="78"/>
        <v>1371.35</v>
      </c>
      <c r="GN88" s="2">
        <f t="shared" si="79"/>
        <v>0</v>
      </c>
      <c r="GO88" s="2">
        <f t="shared" si="80"/>
        <v>1371.35</v>
      </c>
      <c r="GP88" s="2">
        <f t="shared" si="81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82"/>
        <v>0</v>
      </c>
      <c r="GW88" s="2">
        <v>1</v>
      </c>
      <c r="GX88" s="2">
        <f t="shared" si="83"/>
        <v>0</v>
      </c>
      <c r="GY88" s="2"/>
      <c r="GZ88" s="2"/>
      <c r="HA88" s="2">
        <v>0</v>
      </c>
      <c r="HB88" s="2">
        <v>0</v>
      </c>
      <c r="HC88" s="2">
        <f t="shared" si="84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3">
      <c r="A89">
        <v>17</v>
      </c>
      <c r="B89">
        <v>1</v>
      </c>
      <c r="D89">
        <f>ROW(EtalonRes!A58)</f>
        <v>58</v>
      </c>
      <c r="E89" t="s">
        <v>147</v>
      </c>
      <c r="F89" t="s">
        <v>148</v>
      </c>
      <c r="G89" t="s">
        <v>149</v>
      </c>
      <c r="H89" t="s">
        <v>22</v>
      </c>
      <c r="I89">
        <f>ROUND(1+26+1+2,9)</f>
        <v>30</v>
      </c>
      <c r="J89">
        <v>0</v>
      </c>
      <c r="K89">
        <f>ROUND(1+26+1+2,9)</f>
        <v>30</v>
      </c>
      <c r="O89">
        <f t="shared" si="55"/>
        <v>31146.5</v>
      </c>
      <c r="P89">
        <f>ROUND((ROUND((AC89*AW89*I89),2)*BC89),2)</f>
        <v>581.53</v>
      </c>
      <c r="Q89">
        <f>(ROUND((ROUND((((ET89*1.1))*AV89*I89),2)*BB89),2)+ROUND((ROUND(((AE89-((EU89*1.1)))*AV89*I89),2)*BS89),2))</f>
        <v>32.869999999999997</v>
      </c>
      <c r="R89">
        <f t="shared" si="56"/>
        <v>19.25</v>
      </c>
      <c r="S89">
        <f t="shared" si="57"/>
        <v>30532.1</v>
      </c>
      <c r="T89">
        <f t="shared" si="58"/>
        <v>0</v>
      </c>
      <c r="U89">
        <f t="shared" si="59"/>
        <v>41.461199999999998</v>
      </c>
      <c r="V89">
        <f t="shared" si="60"/>
        <v>0</v>
      </c>
      <c r="W89">
        <f t="shared" si="61"/>
        <v>0</v>
      </c>
      <c r="X89">
        <f t="shared" si="62"/>
        <v>27496.22</v>
      </c>
      <c r="Y89">
        <f t="shared" si="63"/>
        <v>14053.62</v>
      </c>
      <c r="AA89">
        <v>56498968</v>
      </c>
      <c r="AB89">
        <f t="shared" si="64"/>
        <v>19.692</v>
      </c>
      <c r="AC89">
        <f t="shared" si="65"/>
        <v>1.96</v>
      </c>
      <c r="AD89">
        <f>ROUND(((((ET89*1.1))-((EU89*1.1)))+AE89),6)</f>
        <v>5.5E-2</v>
      </c>
      <c r="AE89">
        <f>ROUND(((EU89*1.1)),6)</f>
        <v>1.0999999999999999E-2</v>
      </c>
      <c r="AF89">
        <f>ROUND(((EV89*1.1)),6)</f>
        <v>17.677</v>
      </c>
      <c r="AG89">
        <f t="shared" si="66"/>
        <v>0</v>
      </c>
      <c r="AH89">
        <f>((EW89*1.1))</f>
        <v>1.32</v>
      </c>
      <c r="AI89">
        <f>((EX89*1.1))</f>
        <v>0</v>
      </c>
      <c r="AJ89">
        <f t="shared" si="67"/>
        <v>0</v>
      </c>
      <c r="AK89">
        <v>18.079999999999998</v>
      </c>
      <c r="AL89">
        <v>1.96</v>
      </c>
      <c r="AM89">
        <v>0.05</v>
      </c>
      <c r="AN89">
        <v>0.01</v>
      </c>
      <c r="AO89">
        <v>16.07</v>
      </c>
      <c r="AP89">
        <v>0</v>
      </c>
      <c r="AQ89">
        <v>1.2</v>
      </c>
      <c r="AR89">
        <v>0</v>
      </c>
      <c r="AS89">
        <v>0</v>
      </c>
      <c r="AT89">
        <v>90</v>
      </c>
      <c r="AU89">
        <v>46</v>
      </c>
      <c r="AV89">
        <v>1.0469999999999999</v>
      </c>
      <c r="AW89">
        <v>1</v>
      </c>
      <c r="AZ89">
        <v>1</v>
      </c>
      <c r="BA89">
        <v>54.99</v>
      </c>
      <c r="BB89">
        <v>19</v>
      </c>
      <c r="BC89">
        <v>9.89</v>
      </c>
      <c r="BD89" t="s">
        <v>3</v>
      </c>
      <c r="BE89" t="s">
        <v>3</v>
      </c>
      <c r="BF89" t="s">
        <v>3</v>
      </c>
      <c r="BG89" t="s">
        <v>3</v>
      </c>
      <c r="BH89">
        <v>0</v>
      </c>
      <c r="BI89">
        <v>2</v>
      </c>
      <c r="BJ89" t="s">
        <v>150</v>
      </c>
      <c r="BM89">
        <v>68</v>
      </c>
      <c r="BN89">
        <v>0</v>
      </c>
      <c r="BO89" t="s">
        <v>148</v>
      </c>
      <c r="BP89">
        <v>1</v>
      </c>
      <c r="BQ89">
        <v>40</v>
      </c>
      <c r="BR89">
        <v>0</v>
      </c>
      <c r="BS89">
        <v>54.99</v>
      </c>
      <c r="BT89">
        <v>1</v>
      </c>
      <c r="BU89">
        <v>1</v>
      </c>
      <c r="BV89">
        <v>1</v>
      </c>
      <c r="BW89">
        <v>1</v>
      </c>
      <c r="BX89">
        <v>1</v>
      </c>
      <c r="BY89" t="s">
        <v>3</v>
      </c>
      <c r="BZ89">
        <v>90</v>
      </c>
      <c r="CA89">
        <v>46</v>
      </c>
      <c r="CB89" t="s">
        <v>3</v>
      </c>
      <c r="CE89">
        <v>30</v>
      </c>
      <c r="CF89">
        <v>0</v>
      </c>
      <c r="CG89">
        <v>0</v>
      </c>
      <c r="CM89">
        <v>0</v>
      </c>
      <c r="CN89" t="s">
        <v>3</v>
      </c>
      <c r="CO89">
        <v>0</v>
      </c>
      <c r="CP89">
        <f t="shared" si="68"/>
        <v>31146.5</v>
      </c>
      <c r="CQ89">
        <f>ROUND((ROUND((AC89*AW89*1),2)*BC89),2)</f>
        <v>19.38</v>
      </c>
      <c r="CR89">
        <f>(ROUND((ROUND((((ET89*1.1))*AV89*1),2)*BB89),2)+ROUND((ROUND(((AE89-((EU89*1.1)))*AV89*1),2)*BS89),2))</f>
        <v>1.1399999999999999</v>
      </c>
      <c r="CS89">
        <f t="shared" si="69"/>
        <v>0.55000000000000004</v>
      </c>
      <c r="CT89">
        <f t="shared" si="70"/>
        <v>1017.86</v>
      </c>
      <c r="CU89">
        <f t="shared" si="71"/>
        <v>0</v>
      </c>
      <c r="CV89">
        <f t="shared" si="72"/>
        <v>1.3820399999999999</v>
      </c>
      <c r="CW89">
        <f t="shared" si="73"/>
        <v>0</v>
      </c>
      <c r="CX89">
        <f t="shared" si="74"/>
        <v>0</v>
      </c>
      <c r="CY89">
        <f t="shared" si="75"/>
        <v>27496.215</v>
      </c>
      <c r="CZ89">
        <f t="shared" si="76"/>
        <v>14053.620999999999</v>
      </c>
      <c r="DC89" t="s">
        <v>3</v>
      </c>
      <c r="DD89" t="s">
        <v>3</v>
      </c>
      <c r="DE89" t="s">
        <v>24</v>
      </c>
      <c r="DF89" t="s">
        <v>24</v>
      </c>
      <c r="DG89" t="s">
        <v>24</v>
      </c>
      <c r="DH89" t="s">
        <v>3</v>
      </c>
      <c r="DI89" t="s">
        <v>24</v>
      </c>
      <c r="DJ89" t="s">
        <v>24</v>
      </c>
      <c r="DK89" t="s">
        <v>3</v>
      </c>
      <c r="DL89" t="s">
        <v>3</v>
      </c>
      <c r="DM89" t="s">
        <v>3</v>
      </c>
      <c r="DN89">
        <v>0</v>
      </c>
      <c r="DO89">
        <v>0</v>
      </c>
      <c r="DP89">
        <v>1</v>
      </c>
      <c r="DQ89">
        <v>1</v>
      </c>
      <c r="DU89">
        <v>1013</v>
      </c>
      <c r="DV89" t="s">
        <v>22</v>
      </c>
      <c r="DW89" t="s">
        <v>22</v>
      </c>
      <c r="DX89">
        <v>1</v>
      </c>
      <c r="DZ89" t="s">
        <v>3</v>
      </c>
      <c r="EA89" t="s">
        <v>3</v>
      </c>
      <c r="EB89" t="s">
        <v>3</v>
      </c>
      <c r="EC89" t="s">
        <v>3</v>
      </c>
      <c r="EE89">
        <v>58162630</v>
      </c>
      <c r="EF89">
        <v>40</v>
      </c>
      <c r="EG89" t="s">
        <v>25</v>
      </c>
      <c r="EH89">
        <v>0</v>
      </c>
      <c r="EI89" t="s">
        <v>3</v>
      </c>
      <c r="EJ89">
        <v>2</v>
      </c>
      <c r="EK89">
        <v>68</v>
      </c>
      <c r="EL89" t="s">
        <v>26</v>
      </c>
      <c r="EM89" t="s">
        <v>27</v>
      </c>
      <c r="EO89" t="s">
        <v>28</v>
      </c>
      <c r="EQ89">
        <v>0</v>
      </c>
      <c r="ER89">
        <v>18.079999999999998</v>
      </c>
      <c r="ES89">
        <v>1.96</v>
      </c>
      <c r="ET89">
        <v>0.05</v>
      </c>
      <c r="EU89">
        <v>0.01</v>
      </c>
      <c r="EV89">
        <v>16.07</v>
      </c>
      <c r="EW89">
        <v>1.2</v>
      </c>
      <c r="EX89">
        <v>0</v>
      </c>
      <c r="EY89">
        <v>0</v>
      </c>
      <c r="FQ89">
        <v>0</v>
      </c>
      <c r="FR89">
        <v>0</v>
      </c>
      <c r="FS89">
        <v>0</v>
      </c>
      <c r="FX89">
        <v>90</v>
      </c>
      <c r="FY89">
        <v>46</v>
      </c>
      <c r="GA89" t="s">
        <v>3</v>
      </c>
      <c r="GD89">
        <v>1</v>
      </c>
      <c r="GF89">
        <v>1665592289</v>
      </c>
      <c r="GG89">
        <v>2</v>
      </c>
      <c r="GH89">
        <v>1</v>
      </c>
      <c r="GI89">
        <v>2</v>
      </c>
      <c r="GJ89">
        <v>0</v>
      </c>
      <c r="GK89">
        <v>0</v>
      </c>
      <c r="GL89">
        <f t="shared" si="77"/>
        <v>0</v>
      </c>
      <c r="GM89">
        <f t="shared" si="78"/>
        <v>72696.34</v>
      </c>
      <c r="GN89">
        <f t="shared" si="79"/>
        <v>0</v>
      </c>
      <c r="GO89">
        <f t="shared" si="80"/>
        <v>72696.34</v>
      </c>
      <c r="GP89">
        <f t="shared" si="81"/>
        <v>0</v>
      </c>
      <c r="GR89">
        <v>0</v>
      </c>
      <c r="GS89">
        <v>3</v>
      </c>
      <c r="GT89">
        <v>0</v>
      </c>
      <c r="GU89" t="s">
        <v>3</v>
      </c>
      <c r="GV89">
        <f t="shared" si="82"/>
        <v>0</v>
      </c>
      <c r="GW89">
        <v>1</v>
      </c>
      <c r="GX89">
        <f t="shared" si="83"/>
        <v>0</v>
      </c>
      <c r="HA89">
        <v>0</v>
      </c>
      <c r="HB89">
        <v>0</v>
      </c>
      <c r="HC89">
        <f t="shared" si="84"/>
        <v>0</v>
      </c>
      <c r="HE89" t="s">
        <v>3</v>
      </c>
      <c r="HF89" t="s">
        <v>3</v>
      </c>
      <c r="HM89" t="s">
        <v>3</v>
      </c>
      <c r="HN89" t="s">
        <v>3</v>
      </c>
      <c r="HO89" t="s">
        <v>3</v>
      </c>
      <c r="HP89" t="s">
        <v>3</v>
      </c>
      <c r="HQ89" t="s">
        <v>3</v>
      </c>
      <c r="HS89">
        <v>0</v>
      </c>
      <c r="IK89">
        <v>0</v>
      </c>
    </row>
    <row r="90" spans="1:255" x14ac:dyDescent="0.3">
      <c r="A90" s="2">
        <v>18</v>
      </c>
      <c r="B90" s="2">
        <v>1</v>
      </c>
      <c r="C90" s="2"/>
      <c r="D90" s="2"/>
      <c r="E90" s="2" t="s">
        <v>151</v>
      </c>
      <c r="F90" s="2" t="s">
        <v>152</v>
      </c>
      <c r="G90" s="2" t="s">
        <v>153</v>
      </c>
      <c r="H90" s="2" t="s">
        <v>32</v>
      </c>
      <c r="I90" s="2">
        <f>I88*J90</f>
        <v>1</v>
      </c>
      <c r="J90" s="2">
        <v>3.3333333333333333E-2</v>
      </c>
      <c r="K90" s="2">
        <v>3.3333330000000001E-2</v>
      </c>
      <c r="L90" s="2"/>
      <c r="M90" s="2"/>
      <c r="N90" s="2"/>
      <c r="O90" s="2">
        <f t="shared" si="55"/>
        <v>352.44</v>
      </c>
      <c r="P90" s="2">
        <f t="shared" ref="P90:P97" si="103">ROUND((ROUND((AC90*I90),2)*BC90),2)</f>
        <v>352.44</v>
      </c>
      <c r="Q90" s="2">
        <f t="shared" ref="Q90:Q97" si="104">(ROUND((ROUND(((ET90)*AV90*I90),2)*BB90),2)+ROUND((ROUND(((AE90-(EU90))*AV90*I90),2)*BS90),2))</f>
        <v>0</v>
      </c>
      <c r="R90" s="2">
        <f t="shared" si="56"/>
        <v>0</v>
      </c>
      <c r="S90" s="2">
        <f t="shared" si="57"/>
        <v>0</v>
      </c>
      <c r="T90" s="2">
        <f t="shared" si="58"/>
        <v>0</v>
      </c>
      <c r="U90" s="2">
        <f t="shared" si="59"/>
        <v>0</v>
      </c>
      <c r="V90" s="2">
        <f t="shared" si="60"/>
        <v>0</v>
      </c>
      <c r="W90" s="2">
        <f t="shared" si="61"/>
        <v>0</v>
      </c>
      <c r="X90" s="2">
        <f t="shared" si="62"/>
        <v>0</v>
      </c>
      <c r="Y90" s="2">
        <f t="shared" si="63"/>
        <v>0</v>
      </c>
      <c r="Z90" s="2"/>
      <c r="AA90" s="2">
        <v>56498966</v>
      </c>
      <c r="AB90" s="2">
        <f t="shared" si="64"/>
        <v>352.44</v>
      </c>
      <c r="AC90" s="2">
        <f t="shared" si="65"/>
        <v>352.44</v>
      </c>
      <c r="AD90" s="2">
        <f t="shared" ref="AD90:AD97" si="105">ROUND((((ET90)-(EU90))+AE90),6)</f>
        <v>0</v>
      </c>
      <c r="AE90" s="2">
        <f t="shared" ref="AE90:AF97" si="106">ROUND((EU90),6)</f>
        <v>0</v>
      </c>
      <c r="AF90" s="2">
        <f t="shared" si="106"/>
        <v>0</v>
      </c>
      <c r="AG90" s="2">
        <f t="shared" si="66"/>
        <v>0</v>
      </c>
      <c r="AH90" s="2">
        <f t="shared" ref="AH90:AI97" si="107">(EW90)</f>
        <v>0</v>
      </c>
      <c r="AI90" s="2">
        <f t="shared" si="107"/>
        <v>0</v>
      </c>
      <c r="AJ90" s="2">
        <f t="shared" si="67"/>
        <v>0</v>
      </c>
      <c r="AK90" s="2">
        <v>352.44</v>
      </c>
      <c r="AL90" s="2">
        <v>352.44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3</v>
      </c>
      <c r="BJ90" s="2" t="s">
        <v>3</v>
      </c>
      <c r="BK90" s="2"/>
      <c r="BL90" s="2"/>
      <c r="BM90" s="2">
        <v>746</v>
      </c>
      <c r="BN90" s="2">
        <v>0</v>
      </c>
      <c r="BO90" s="2" t="s">
        <v>3</v>
      </c>
      <c r="BP90" s="2">
        <v>0</v>
      </c>
      <c r="BQ90" s="2">
        <v>130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90</v>
      </c>
      <c r="CA90" s="2">
        <v>46</v>
      </c>
      <c r="CB90" s="2" t="s">
        <v>3</v>
      </c>
      <c r="CC90" s="2"/>
      <c r="CD90" s="2"/>
      <c r="CE90" s="2">
        <v>30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68"/>
        <v>352.44</v>
      </c>
      <c r="CQ90" s="2">
        <f t="shared" ref="CQ90:CQ97" si="108">ROUND((ROUND((AC90*1),2)*BC90),2)</f>
        <v>352.44</v>
      </c>
      <c r="CR90" s="2">
        <f t="shared" ref="CR90:CR97" si="109">(ROUND((ROUND(((ET90)*AV90*1),2)*BB90),2)+ROUND((ROUND(((AE90-(EU90))*AV90*1),2)*BS90),2))</f>
        <v>0</v>
      </c>
      <c r="CS90" s="2">
        <f t="shared" si="69"/>
        <v>0</v>
      </c>
      <c r="CT90" s="2">
        <f t="shared" si="70"/>
        <v>0</v>
      </c>
      <c r="CU90" s="2">
        <f t="shared" si="71"/>
        <v>0</v>
      </c>
      <c r="CV90" s="2">
        <f t="shared" si="72"/>
        <v>0</v>
      </c>
      <c r="CW90" s="2">
        <f t="shared" si="73"/>
        <v>0</v>
      </c>
      <c r="CX90" s="2">
        <f t="shared" si="74"/>
        <v>0</v>
      </c>
      <c r="CY90" s="2">
        <f t="shared" si="75"/>
        <v>0</v>
      </c>
      <c r="CZ90" s="2">
        <f t="shared" si="76"/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32</v>
      </c>
      <c r="DW90" s="2" t="s">
        <v>32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58162750</v>
      </c>
      <c r="EF90" s="2">
        <v>130</v>
      </c>
      <c r="EG90" s="2" t="s">
        <v>33</v>
      </c>
      <c r="EH90" s="2">
        <v>0</v>
      </c>
      <c r="EI90" s="2" t="s">
        <v>3</v>
      </c>
      <c r="EJ90" s="2">
        <v>3</v>
      </c>
      <c r="EK90" s="2">
        <v>746</v>
      </c>
      <c r="EL90" s="2" t="s">
        <v>34</v>
      </c>
      <c r="EM90" s="2" t="s">
        <v>35</v>
      </c>
      <c r="EN90" s="2"/>
      <c r="EO90" s="2" t="s">
        <v>3</v>
      </c>
      <c r="EP90" s="2"/>
      <c r="EQ90" s="2">
        <v>0</v>
      </c>
      <c r="ER90" s="2">
        <v>0</v>
      </c>
      <c r="ES90" s="2">
        <v>352.44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f t="shared" ref="FR90:FR97" si="110">P90</f>
        <v>352.44</v>
      </c>
      <c r="FS90" s="2">
        <v>0</v>
      </c>
      <c r="FT90" s="2"/>
      <c r="FU90" s="2"/>
      <c r="FV90" s="2"/>
      <c r="FW90" s="2"/>
      <c r="FX90" s="2">
        <v>90</v>
      </c>
      <c r="FY90" s="2">
        <v>46</v>
      </c>
      <c r="FZ90" s="2"/>
      <c r="GA90" s="2" t="s">
        <v>154</v>
      </c>
      <c r="GB90" s="2"/>
      <c r="GC90" s="2"/>
      <c r="GD90" s="2">
        <v>1</v>
      </c>
      <c r="GE90" s="2"/>
      <c r="GF90" s="2">
        <v>-699272242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77"/>
        <v>0</v>
      </c>
      <c r="GM90" s="2">
        <f t="shared" si="78"/>
        <v>352.44</v>
      </c>
      <c r="GN90" s="2">
        <f t="shared" si="79"/>
        <v>0</v>
      </c>
      <c r="GO90" s="2">
        <f t="shared" si="80"/>
        <v>0</v>
      </c>
      <c r="GP90" s="2">
        <f t="shared" si="81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82"/>
        <v>0</v>
      </c>
      <c r="GW90" s="2">
        <v>1</v>
      </c>
      <c r="GX90" s="2">
        <f t="shared" si="83"/>
        <v>0</v>
      </c>
      <c r="GY90" s="2"/>
      <c r="GZ90" s="2"/>
      <c r="HA90" s="2">
        <v>0</v>
      </c>
      <c r="HB90" s="2">
        <v>0</v>
      </c>
      <c r="HC90" s="2">
        <f t="shared" si="84"/>
        <v>0</v>
      </c>
      <c r="HD90" s="2"/>
      <c r="HE90" s="2" t="s">
        <v>37</v>
      </c>
      <c r="HF90" s="2" t="s">
        <v>38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3">
      <c r="A91">
        <v>18</v>
      </c>
      <c r="B91">
        <v>1</v>
      </c>
      <c r="E91" t="s">
        <v>151</v>
      </c>
      <c r="F91" t="s">
        <v>152</v>
      </c>
      <c r="G91" t="s">
        <v>153</v>
      </c>
      <c r="H91" t="s">
        <v>32</v>
      </c>
      <c r="I91">
        <f>I89*J91</f>
        <v>1</v>
      </c>
      <c r="J91">
        <v>3.3333333333333333E-2</v>
      </c>
      <c r="K91">
        <v>3.3333330000000001E-2</v>
      </c>
      <c r="O91">
        <f t="shared" si="55"/>
        <v>2699.69</v>
      </c>
      <c r="P91">
        <f t="shared" si="103"/>
        <v>2699.69</v>
      </c>
      <c r="Q91">
        <f t="shared" si="104"/>
        <v>0</v>
      </c>
      <c r="R91">
        <f t="shared" si="56"/>
        <v>0</v>
      </c>
      <c r="S91">
        <f t="shared" si="57"/>
        <v>0</v>
      </c>
      <c r="T91">
        <f t="shared" si="58"/>
        <v>0</v>
      </c>
      <c r="U91">
        <f t="shared" si="59"/>
        <v>0</v>
      </c>
      <c r="V91">
        <f t="shared" si="60"/>
        <v>0</v>
      </c>
      <c r="W91">
        <f t="shared" si="61"/>
        <v>0</v>
      </c>
      <c r="X91">
        <f t="shared" si="62"/>
        <v>0</v>
      </c>
      <c r="Y91">
        <f t="shared" si="63"/>
        <v>0</v>
      </c>
      <c r="AA91">
        <v>56498968</v>
      </c>
      <c r="AB91">
        <f t="shared" si="64"/>
        <v>352.44</v>
      </c>
      <c r="AC91">
        <f t="shared" si="65"/>
        <v>352.44</v>
      </c>
      <c r="AD91">
        <f t="shared" si="105"/>
        <v>0</v>
      </c>
      <c r="AE91">
        <f t="shared" si="106"/>
        <v>0</v>
      </c>
      <c r="AF91">
        <f t="shared" si="106"/>
        <v>0</v>
      </c>
      <c r="AG91">
        <f t="shared" si="66"/>
        <v>0</v>
      </c>
      <c r="AH91">
        <f t="shared" si="107"/>
        <v>0</v>
      </c>
      <c r="AI91">
        <f t="shared" si="107"/>
        <v>0</v>
      </c>
      <c r="AJ91">
        <f t="shared" si="67"/>
        <v>0</v>
      </c>
      <c r="AK91">
        <v>352.44</v>
      </c>
      <c r="AL91">
        <v>352.44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Z91">
        <v>1</v>
      </c>
      <c r="BA91">
        <v>1</v>
      </c>
      <c r="BB91">
        <v>1</v>
      </c>
      <c r="BC91">
        <v>7.66</v>
      </c>
      <c r="BD91" t="s">
        <v>3</v>
      </c>
      <c r="BE91" t="s">
        <v>3</v>
      </c>
      <c r="BF91" t="s">
        <v>3</v>
      </c>
      <c r="BG91" t="s">
        <v>3</v>
      </c>
      <c r="BH91">
        <v>3</v>
      </c>
      <c r="BI91">
        <v>3</v>
      </c>
      <c r="BJ91" t="s">
        <v>3</v>
      </c>
      <c r="BM91">
        <v>746</v>
      </c>
      <c r="BN91">
        <v>0</v>
      </c>
      <c r="BO91" t="s">
        <v>3</v>
      </c>
      <c r="BP91">
        <v>0</v>
      </c>
      <c r="BQ91">
        <v>130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 t="s">
        <v>3</v>
      </c>
      <c r="BZ91">
        <v>90</v>
      </c>
      <c r="CA91">
        <v>46</v>
      </c>
      <c r="CB91" t="s">
        <v>3</v>
      </c>
      <c r="CE91">
        <v>30</v>
      </c>
      <c r="CF91">
        <v>0</v>
      </c>
      <c r="CG91">
        <v>0</v>
      </c>
      <c r="CM91">
        <v>0</v>
      </c>
      <c r="CN91" t="s">
        <v>3</v>
      </c>
      <c r="CO91">
        <v>0</v>
      </c>
      <c r="CP91">
        <f t="shared" si="68"/>
        <v>2699.69</v>
      </c>
      <c r="CQ91">
        <f t="shared" si="108"/>
        <v>2699.69</v>
      </c>
      <c r="CR91">
        <f t="shared" si="109"/>
        <v>0</v>
      </c>
      <c r="CS91">
        <f t="shared" si="69"/>
        <v>0</v>
      </c>
      <c r="CT91">
        <f t="shared" si="70"/>
        <v>0</v>
      </c>
      <c r="CU91">
        <f t="shared" si="71"/>
        <v>0</v>
      </c>
      <c r="CV91">
        <f t="shared" si="72"/>
        <v>0</v>
      </c>
      <c r="CW91">
        <f t="shared" si="73"/>
        <v>0</v>
      </c>
      <c r="CX91">
        <f t="shared" si="74"/>
        <v>0</v>
      </c>
      <c r="CY91">
        <f t="shared" si="75"/>
        <v>0</v>
      </c>
      <c r="CZ91">
        <f t="shared" si="76"/>
        <v>0</v>
      </c>
      <c r="DC91" t="s">
        <v>3</v>
      </c>
      <c r="DD91" t="s">
        <v>3</v>
      </c>
      <c r="DE91" t="s">
        <v>3</v>
      </c>
      <c r="DF91" t="s">
        <v>3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>
        <v>0</v>
      </c>
      <c r="DO91">
        <v>0</v>
      </c>
      <c r="DP91">
        <v>1</v>
      </c>
      <c r="DQ91">
        <v>1</v>
      </c>
      <c r="DU91">
        <v>1010</v>
      </c>
      <c r="DV91" t="s">
        <v>32</v>
      </c>
      <c r="DW91" t="s">
        <v>32</v>
      </c>
      <c r="DX91">
        <v>1</v>
      </c>
      <c r="DZ91" t="s">
        <v>3</v>
      </c>
      <c r="EA91" t="s">
        <v>3</v>
      </c>
      <c r="EB91" t="s">
        <v>3</v>
      </c>
      <c r="EC91" t="s">
        <v>3</v>
      </c>
      <c r="EE91">
        <v>58162750</v>
      </c>
      <c r="EF91">
        <v>130</v>
      </c>
      <c r="EG91" t="s">
        <v>33</v>
      </c>
      <c r="EH91">
        <v>0</v>
      </c>
      <c r="EI91" t="s">
        <v>3</v>
      </c>
      <c r="EJ91">
        <v>3</v>
      </c>
      <c r="EK91">
        <v>746</v>
      </c>
      <c r="EL91" t="s">
        <v>34</v>
      </c>
      <c r="EM91" t="s">
        <v>35</v>
      </c>
      <c r="EO91" t="s">
        <v>3</v>
      </c>
      <c r="EQ91">
        <v>0</v>
      </c>
      <c r="ER91">
        <v>352.44</v>
      </c>
      <c r="ES91">
        <v>352.44</v>
      </c>
      <c r="ET91">
        <v>0</v>
      </c>
      <c r="EU91">
        <v>0</v>
      </c>
      <c r="EV91">
        <v>0</v>
      </c>
      <c r="EW91">
        <v>0</v>
      </c>
      <c r="EX91">
        <v>0</v>
      </c>
      <c r="EZ91">
        <v>5</v>
      </c>
      <c r="FC91">
        <v>1</v>
      </c>
      <c r="FD91">
        <v>18</v>
      </c>
      <c r="FF91">
        <v>3108</v>
      </c>
      <c r="FQ91">
        <v>0</v>
      </c>
      <c r="FR91">
        <f t="shared" si="110"/>
        <v>2699.69</v>
      </c>
      <c r="FS91">
        <v>0</v>
      </c>
      <c r="FX91">
        <v>90</v>
      </c>
      <c r="FY91">
        <v>46</v>
      </c>
      <c r="GA91" t="s">
        <v>154</v>
      </c>
      <c r="GD91">
        <v>1</v>
      </c>
      <c r="GF91">
        <v>-699272242</v>
      </c>
      <c r="GG91">
        <v>2</v>
      </c>
      <c r="GH91">
        <v>3</v>
      </c>
      <c r="GI91">
        <v>5</v>
      </c>
      <c r="GJ91">
        <v>0</v>
      </c>
      <c r="GK91">
        <v>0</v>
      </c>
      <c r="GL91">
        <f t="shared" si="77"/>
        <v>0</v>
      </c>
      <c r="GM91">
        <f t="shared" si="78"/>
        <v>2699.69</v>
      </c>
      <c r="GN91">
        <f t="shared" si="79"/>
        <v>0</v>
      </c>
      <c r="GO91">
        <f t="shared" si="80"/>
        <v>0</v>
      </c>
      <c r="GP91">
        <f t="shared" si="81"/>
        <v>0</v>
      </c>
      <c r="GR91">
        <v>1</v>
      </c>
      <c r="GS91">
        <v>1</v>
      </c>
      <c r="GT91">
        <v>0</v>
      </c>
      <c r="GU91" t="s">
        <v>3</v>
      </c>
      <c r="GV91">
        <f t="shared" si="82"/>
        <v>0</v>
      </c>
      <c r="GW91">
        <v>1</v>
      </c>
      <c r="GX91">
        <f t="shared" si="83"/>
        <v>0</v>
      </c>
      <c r="HA91">
        <v>0</v>
      </c>
      <c r="HB91">
        <v>0</v>
      </c>
      <c r="HC91">
        <f t="shared" si="84"/>
        <v>0</v>
      </c>
      <c r="HE91" t="s">
        <v>37</v>
      </c>
      <c r="HF91" t="s">
        <v>38</v>
      </c>
      <c r="HM91" t="s">
        <v>3</v>
      </c>
      <c r="HN91" t="s">
        <v>3</v>
      </c>
      <c r="HO91" t="s">
        <v>3</v>
      </c>
      <c r="HP91" t="s">
        <v>3</v>
      </c>
      <c r="HQ91" t="s">
        <v>3</v>
      </c>
      <c r="HS91">
        <v>0</v>
      </c>
      <c r="IK91">
        <v>0</v>
      </c>
    </row>
    <row r="92" spans="1:255" x14ac:dyDescent="0.3">
      <c r="A92" s="2">
        <v>18</v>
      </c>
      <c r="B92" s="2">
        <v>1</v>
      </c>
      <c r="C92" s="2"/>
      <c r="D92" s="2"/>
      <c r="E92" s="2" t="s">
        <v>155</v>
      </c>
      <c r="F92" s="2" t="s">
        <v>156</v>
      </c>
      <c r="G92" s="2" t="s">
        <v>157</v>
      </c>
      <c r="H92" s="2" t="s">
        <v>32</v>
      </c>
      <c r="I92" s="2">
        <f>I88*J92</f>
        <v>26</v>
      </c>
      <c r="J92" s="2">
        <v>0.8666666666666667</v>
      </c>
      <c r="K92" s="2">
        <v>0.86666666999999997</v>
      </c>
      <c r="L92" s="2"/>
      <c r="M92" s="2"/>
      <c r="N92" s="2"/>
      <c r="O92" s="2">
        <f t="shared" ref="O92:O111" si="111">ROUND(CP92,2)</f>
        <v>8827.52</v>
      </c>
      <c r="P92" s="2">
        <f t="shared" si="103"/>
        <v>8827.52</v>
      </c>
      <c r="Q92" s="2">
        <f t="shared" si="104"/>
        <v>0</v>
      </c>
      <c r="R92" s="2">
        <f t="shared" ref="R92:R111" si="112">ROUND((ROUND((AE92*AV92*I92),2)*BS92),2)</f>
        <v>0</v>
      </c>
      <c r="S92" s="2">
        <f t="shared" ref="S92:S111" si="113">ROUND((ROUND((AF92*AV92*I92),2)*BA92),2)</f>
        <v>0</v>
      </c>
      <c r="T92" s="2">
        <f t="shared" ref="T92:T111" si="114">ROUND(CU92*I92,2)</f>
        <v>0</v>
      </c>
      <c r="U92" s="2">
        <f t="shared" ref="U92:U111" si="115">CV92*I92</f>
        <v>0</v>
      </c>
      <c r="V92" s="2">
        <f t="shared" ref="V92:V111" si="116">CW92*I92</f>
        <v>0</v>
      </c>
      <c r="W92" s="2">
        <f t="shared" ref="W92:W111" si="117">ROUND(CX92*I92,2)</f>
        <v>0</v>
      </c>
      <c r="X92" s="2">
        <f t="shared" ref="X92:X111" si="118">ROUND(CY92,2)</f>
        <v>0</v>
      </c>
      <c r="Y92" s="2">
        <f t="shared" ref="Y92:Y111" si="119">ROUND(CZ92,2)</f>
        <v>0</v>
      </c>
      <c r="Z92" s="2"/>
      <c r="AA92" s="2">
        <v>56498966</v>
      </c>
      <c r="AB92" s="2">
        <f t="shared" ref="AB92:AB111" si="120">ROUND((AC92+AD92+AF92),6)</f>
        <v>339.52</v>
      </c>
      <c r="AC92" s="2">
        <f t="shared" ref="AC92:AC111" si="121">ROUND((ES92),6)</f>
        <v>339.52</v>
      </c>
      <c r="AD92" s="2">
        <f t="shared" si="105"/>
        <v>0</v>
      </c>
      <c r="AE92" s="2">
        <f t="shared" si="106"/>
        <v>0</v>
      </c>
      <c r="AF92" s="2">
        <f t="shared" si="106"/>
        <v>0</v>
      </c>
      <c r="AG92" s="2">
        <f t="shared" ref="AG92:AG111" si="122">ROUND((AP92),6)</f>
        <v>0</v>
      </c>
      <c r="AH92" s="2">
        <f t="shared" si="107"/>
        <v>0</v>
      </c>
      <c r="AI92" s="2">
        <f t="shared" si="107"/>
        <v>0</v>
      </c>
      <c r="AJ92" s="2">
        <f t="shared" ref="AJ92:AJ111" si="123">(AS92)</f>
        <v>0</v>
      </c>
      <c r="AK92" s="2">
        <v>339.52</v>
      </c>
      <c r="AL92" s="2">
        <v>339.52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1</v>
      </c>
      <c r="AW92" s="2">
        <v>1</v>
      </c>
      <c r="AX92" s="2"/>
      <c r="AY92" s="2"/>
      <c r="AZ92" s="2">
        <v>1</v>
      </c>
      <c r="BA92" s="2">
        <v>1</v>
      </c>
      <c r="BB92" s="2">
        <v>1</v>
      </c>
      <c r="BC92" s="2">
        <v>1</v>
      </c>
      <c r="BD92" s="2" t="s">
        <v>3</v>
      </c>
      <c r="BE92" s="2" t="s">
        <v>3</v>
      </c>
      <c r="BF92" s="2" t="s">
        <v>3</v>
      </c>
      <c r="BG92" s="2" t="s">
        <v>3</v>
      </c>
      <c r="BH92" s="2">
        <v>3</v>
      </c>
      <c r="BI92" s="2">
        <v>3</v>
      </c>
      <c r="BJ92" s="2" t="s">
        <v>3</v>
      </c>
      <c r="BK92" s="2"/>
      <c r="BL92" s="2"/>
      <c r="BM92" s="2">
        <v>746</v>
      </c>
      <c r="BN92" s="2">
        <v>0</v>
      </c>
      <c r="BO92" s="2" t="s">
        <v>3</v>
      </c>
      <c r="BP92" s="2">
        <v>0</v>
      </c>
      <c r="BQ92" s="2">
        <v>130</v>
      </c>
      <c r="BR92" s="2">
        <v>0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 t="s">
        <v>3</v>
      </c>
      <c r="BZ92" s="2">
        <v>90</v>
      </c>
      <c r="CA92" s="2">
        <v>46</v>
      </c>
      <c r="CB92" s="2" t="s">
        <v>3</v>
      </c>
      <c r="CC92" s="2"/>
      <c r="CD92" s="2"/>
      <c r="CE92" s="2">
        <v>30</v>
      </c>
      <c r="CF92" s="2">
        <v>0</v>
      </c>
      <c r="CG92" s="2">
        <v>0</v>
      </c>
      <c r="CH92" s="2"/>
      <c r="CI92" s="2"/>
      <c r="CJ92" s="2"/>
      <c r="CK92" s="2"/>
      <c r="CL92" s="2"/>
      <c r="CM92" s="2">
        <v>0</v>
      </c>
      <c r="CN92" s="2" t="s">
        <v>3</v>
      </c>
      <c r="CO92" s="2">
        <v>0</v>
      </c>
      <c r="CP92" s="2">
        <f t="shared" ref="CP92:CP111" si="124">(P92+Q92+S92)</f>
        <v>8827.52</v>
      </c>
      <c r="CQ92" s="2">
        <f t="shared" si="108"/>
        <v>339.52</v>
      </c>
      <c r="CR92" s="2">
        <f t="shared" si="109"/>
        <v>0</v>
      </c>
      <c r="CS92" s="2">
        <f t="shared" ref="CS92:CS111" si="125">ROUND((ROUND((AE92*AV92*1),2)*BS92),2)</f>
        <v>0</v>
      </c>
      <c r="CT92" s="2">
        <f t="shared" ref="CT92:CT111" si="126">ROUND((ROUND((AF92*AV92*1),2)*BA92),2)</f>
        <v>0</v>
      </c>
      <c r="CU92" s="2">
        <f t="shared" ref="CU92:CU111" si="127">AG92</f>
        <v>0</v>
      </c>
      <c r="CV92" s="2">
        <f t="shared" ref="CV92:CV111" si="128">(AH92*AV92)</f>
        <v>0</v>
      </c>
      <c r="CW92" s="2">
        <f t="shared" ref="CW92:CW111" si="129">AI92</f>
        <v>0</v>
      </c>
      <c r="CX92" s="2">
        <f t="shared" ref="CX92:CX111" si="130">AJ92</f>
        <v>0</v>
      </c>
      <c r="CY92" s="2">
        <f t="shared" ref="CY92:CY111" si="131">(((S92+R92)*AT92)/100)</f>
        <v>0</v>
      </c>
      <c r="CZ92" s="2">
        <f t="shared" ref="CZ92:CZ111" si="132">(((S92+R92)*AU92)/100)</f>
        <v>0</v>
      </c>
      <c r="DA92" s="2"/>
      <c r="DB92" s="2"/>
      <c r="DC92" s="2" t="s">
        <v>3</v>
      </c>
      <c r="DD92" s="2" t="s">
        <v>3</v>
      </c>
      <c r="DE92" s="2" t="s">
        <v>3</v>
      </c>
      <c r="DF92" s="2" t="s">
        <v>3</v>
      </c>
      <c r="DG92" s="2" t="s">
        <v>3</v>
      </c>
      <c r="DH92" s="2" t="s">
        <v>3</v>
      </c>
      <c r="DI92" s="2" t="s">
        <v>3</v>
      </c>
      <c r="DJ92" s="2" t="s">
        <v>3</v>
      </c>
      <c r="DK92" s="2" t="s">
        <v>3</v>
      </c>
      <c r="DL92" s="2" t="s">
        <v>3</v>
      </c>
      <c r="DM92" s="2" t="s">
        <v>3</v>
      </c>
      <c r="DN92" s="2">
        <v>0</v>
      </c>
      <c r="DO92" s="2">
        <v>0</v>
      </c>
      <c r="DP92" s="2">
        <v>1</v>
      </c>
      <c r="DQ92" s="2">
        <v>1</v>
      </c>
      <c r="DR92" s="2"/>
      <c r="DS92" s="2"/>
      <c r="DT92" s="2"/>
      <c r="DU92" s="2">
        <v>1010</v>
      </c>
      <c r="DV92" s="2" t="s">
        <v>32</v>
      </c>
      <c r="DW92" s="2" t="s">
        <v>32</v>
      </c>
      <c r="DX92" s="2">
        <v>1</v>
      </c>
      <c r="DY92" s="2"/>
      <c r="DZ92" s="2" t="s">
        <v>3</v>
      </c>
      <c r="EA92" s="2" t="s">
        <v>3</v>
      </c>
      <c r="EB92" s="2" t="s">
        <v>3</v>
      </c>
      <c r="EC92" s="2" t="s">
        <v>3</v>
      </c>
      <c r="ED92" s="2"/>
      <c r="EE92" s="2">
        <v>58162750</v>
      </c>
      <c r="EF92" s="2">
        <v>130</v>
      </c>
      <c r="EG92" s="2" t="s">
        <v>33</v>
      </c>
      <c r="EH92" s="2">
        <v>0</v>
      </c>
      <c r="EI92" s="2" t="s">
        <v>3</v>
      </c>
      <c r="EJ92" s="2">
        <v>3</v>
      </c>
      <c r="EK92" s="2">
        <v>746</v>
      </c>
      <c r="EL92" s="2" t="s">
        <v>34</v>
      </c>
      <c r="EM92" s="2" t="s">
        <v>35</v>
      </c>
      <c r="EN92" s="2"/>
      <c r="EO92" s="2" t="s">
        <v>3</v>
      </c>
      <c r="EP92" s="2"/>
      <c r="EQ92" s="2">
        <v>0</v>
      </c>
      <c r="ER92" s="2">
        <v>0</v>
      </c>
      <c r="ES92" s="2">
        <v>339.52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>
        <v>0</v>
      </c>
      <c r="FR92" s="2">
        <f t="shared" si="110"/>
        <v>8827.52</v>
      </c>
      <c r="FS92" s="2">
        <v>0</v>
      </c>
      <c r="FT92" s="2"/>
      <c r="FU92" s="2"/>
      <c r="FV92" s="2"/>
      <c r="FW92" s="2"/>
      <c r="FX92" s="2">
        <v>90</v>
      </c>
      <c r="FY92" s="2">
        <v>46</v>
      </c>
      <c r="FZ92" s="2"/>
      <c r="GA92" s="2" t="s">
        <v>158</v>
      </c>
      <c r="GB92" s="2"/>
      <c r="GC92" s="2"/>
      <c r="GD92" s="2">
        <v>1</v>
      </c>
      <c r="GE92" s="2"/>
      <c r="GF92" s="2">
        <v>-11585406</v>
      </c>
      <c r="GG92" s="2">
        <v>2</v>
      </c>
      <c r="GH92" s="2">
        <v>4</v>
      </c>
      <c r="GI92" s="2">
        <v>-2</v>
      </c>
      <c r="GJ92" s="2">
        <v>0</v>
      </c>
      <c r="GK92" s="2">
        <v>0</v>
      </c>
      <c r="GL92" s="2">
        <f t="shared" ref="GL92:GL111" si="133">ROUND(IF(AND(BH92=3,BI92=3,FS92&lt;&gt;0),P92,0),2)</f>
        <v>0</v>
      </c>
      <c r="GM92" s="2">
        <f t="shared" ref="GM92:GM111" si="134">ROUND(O92+X92+Y92,2)+GX92</f>
        <v>8827.52</v>
      </c>
      <c r="GN92" s="2">
        <f t="shared" ref="GN92:GN111" si="135">IF(OR(BI92=0,BI92=1),GM92-GX92,0)</f>
        <v>0</v>
      </c>
      <c r="GO92" s="2">
        <f t="shared" ref="GO92:GO111" si="136">IF(BI92=2,GM92-GX92,0)</f>
        <v>0</v>
      </c>
      <c r="GP92" s="2">
        <f t="shared" ref="GP92:GP111" si="137">IF(BI92=4,GM92-GX92,0)</f>
        <v>0</v>
      </c>
      <c r="GQ92" s="2"/>
      <c r="GR92" s="2">
        <v>0</v>
      </c>
      <c r="GS92" s="2">
        <v>2</v>
      </c>
      <c r="GT92" s="2">
        <v>0</v>
      </c>
      <c r="GU92" s="2" t="s">
        <v>3</v>
      </c>
      <c r="GV92" s="2">
        <f t="shared" ref="GV92:GV111" si="138">ROUND((GT92),6)</f>
        <v>0</v>
      </c>
      <c r="GW92" s="2">
        <v>1</v>
      </c>
      <c r="GX92" s="2">
        <f t="shared" ref="GX92:GX111" si="139">ROUND(HC92*I92,2)</f>
        <v>0</v>
      </c>
      <c r="GY92" s="2"/>
      <c r="GZ92" s="2"/>
      <c r="HA92" s="2">
        <v>0</v>
      </c>
      <c r="HB92" s="2">
        <v>0</v>
      </c>
      <c r="HC92" s="2">
        <f t="shared" ref="HC92:HC111" si="140">GV92*GW92</f>
        <v>0</v>
      </c>
      <c r="HD92" s="2"/>
      <c r="HE92" s="2" t="s">
        <v>37</v>
      </c>
      <c r="HF92" s="2" t="s">
        <v>38</v>
      </c>
      <c r="HG92" s="2"/>
      <c r="HH92" s="2"/>
      <c r="HI92" s="2"/>
      <c r="HJ92" s="2"/>
      <c r="HK92" s="2"/>
      <c r="HL92" s="2"/>
      <c r="HM92" s="2" t="s">
        <v>3</v>
      </c>
      <c r="HN92" s="2" t="s">
        <v>3</v>
      </c>
      <c r="HO92" s="2" t="s">
        <v>3</v>
      </c>
      <c r="HP92" s="2" t="s">
        <v>3</v>
      </c>
      <c r="HQ92" s="2" t="s">
        <v>3</v>
      </c>
      <c r="HR92" s="2"/>
      <c r="HS92" s="2">
        <v>0</v>
      </c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>
        <v>0</v>
      </c>
      <c r="IL92" s="2"/>
      <c r="IM92" s="2"/>
      <c r="IN92" s="2"/>
      <c r="IO92" s="2"/>
      <c r="IP92" s="2"/>
      <c r="IQ92" s="2"/>
      <c r="IR92" s="2"/>
      <c r="IS92" s="2"/>
      <c r="IT92" s="2"/>
      <c r="IU92" s="2"/>
    </row>
    <row r="93" spans="1:255" x14ac:dyDescent="0.3">
      <c r="A93">
        <v>18</v>
      </c>
      <c r="B93">
        <v>1</v>
      </c>
      <c r="E93" t="s">
        <v>155</v>
      </c>
      <c r="F93" t="s">
        <v>156</v>
      </c>
      <c r="G93" t="s">
        <v>157</v>
      </c>
      <c r="H93" t="s">
        <v>32</v>
      </c>
      <c r="I93">
        <f>I89*J93</f>
        <v>26</v>
      </c>
      <c r="J93">
        <v>0.8666666666666667</v>
      </c>
      <c r="K93">
        <v>0.86666666999999997</v>
      </c>
      <c r="O93">
        <f t="shared" si="111"/>
        <v>67618.8</v>
      </c>
      <c r="P93">
        <f t="shared" si="103"/>
        <v>67618.8</v>
      </c>
      <c r="Q93">
        <f t="shared" si="104"/>
        <v>0</v>
      </c>
      <c r="R93">
        <f t="shared" si="112"/>
        <v>0</v>
      </c>
      <c r="S93">
        <f t="shared" si="113"/>
        <v>0</v>
      </c>
      <c r="T93">
        <f t="shared" si="114"/>
        <v>0</v>
      </c>
      <c r="U93">
        <f t="shared" si="115"/>
        <v>0</v>
      </c>
      <c r="V93">
        <f t="shared" si="116"/>
        <v>0</v>
      </c>
      <c r="W93">
        <f t="shared" si="117"/>
        <v>0</v>
      </c>
      <c r="X93">
        <f t="shared" si="118"/>
        <v>0</v>
      </c>
      <c r="Y93">
        <f t="shared" si="119"/>
        <v>0</v>
      </c>
      <c r="AA93">
        <v>56498968</v>
      </c>
      <c r="AB93">
        <f t="shared" si="120"/>
        <v>339.52</v>
      </c>
      <c r="AC93">
        <f t="shared" si="121"/>
        <v>339.52</v>
      </c>
      <c r="AD93">
        <f t="shared" si="105"/>
        <v>0</v>
      </c>
      <c r="AE93">
        <f t="shared" si="106"/>
        <v>0</v>
      </c>
      <c r="AF93">
        <f t="shared" si="106"/>
        <v>0</v>
      </c>
      <c r="AG93">
        <f t="shared" si="122"/>
        <v>0</v>
      </c>
      <c r="AH93">
        <f t="shared" si="107"/>
        <v>0</v>
      </c>
      <c r="AI93">
        <f t="shared" si="107"/>
        <v>0</v>
      </c>
      <c r="AJ93">
        <f t="shared" si="123"/>
        <v>0</v>
      </c>
      <c r="AK93">
        <v>339.52</v>
      </c>
      <c r="AL93">
        <v>339.52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1</v>
      </c>
      <c r="AZ93">
        <v>1</v>
      </c>
      <c r="BA93">
        <v>1</v>
      </c>
      <c r="BB93">
        <v>1</v>
      </c>
      <c r="BC93">
        <v>7.66</v>
      </c>
      <c r="BD93" t="s">
        <v>3</v>
      </c>
      <c r="BE93" t="s">
        <v>3</v>
      </c>
      <c r="BF93" t="s">
        <v>3</v>
      </c>
      <c r="BG93" t="s">
        <v>3</v>
      </c>
      <c r="BH93">
        <v>3</v>
      </c>
      <c r="BI93">
        <v>3</v>
      </c>
      <c r="BJ93" t="s">
        <v>3</v>
      </c>
      <c r="BM93">
        <v>746</v>
      </c>
      <c r="BN93">
        <v>0</v>
      </c>
      <c r="BO93" t="s">
        <v>3</v>
      </c>
      <c r="BP93">
        <v>0</v>
      </c>
      <c r="BQ93">
        <v>130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 t="s">
        <v>3</v>
      </c>
      <c r="BZ93">
        <v>90</v>
      </c>
      <c r="CA93">
        <v>46</v>
      </c>
      <c r="CB93" t="s">
        <v>3</v>
      </c>
      <c r="CE93">
        <v>30</v>
      </c>
      <c r="CF93">
        <v>0</v>
      </c>
      <c r="CG93">
        <v>0</v>
      </c>
      <c r="CM93">
        <v>0</v>
      </c>
      <c r="CN93" t="s">
        <v>3</v>
      </c>
      <c r="CO93">
        <v>0</v>
      </c>
      <c r="CP93">
        <f t="shared" si="124"/>
        <v>67618.8</v>
      </c>
      <c r="CQ93">
        <f t="shared" si="108"/>
        <v>2600.7199999999998</v>
      </c>
      <c r="CR93">
        <f t="shared" si="109"/>
        <v>0</v>
      </c>
      <c r="CS93">
        <f t="shared" si="125"/>
        <v>0</v>
      </c>
      <c r="CT93">
        <f t="shared" si="126"/>
        <v>0</v>
      </c>
      <c r="CU93">
        <f t="shared" si="127"/>
        <v>0</v>
      </c>
      <c r="CV93">
        <f t="shared" si="128"/>
        <v>0</v>
      </c>
      <c r="CW93">
        <f t="shared" si="129"/>
        <v>0</v>
      </c>
      <c r="CX93">
        <f t="shared" si="130"/>
        <v>0</v>
      </c>
      <c r="CY93">
        <f t="shared" si="131"/>
        <v>0</v>
      </c>
      <c r="CZ93">
        <f t="shared" si="132"/>
        <v>0</v>
      </c>
      <c r="DC93" t="s">
        <v>3</v>
      </c>
      <c r="DD93" t="s">
        <v>3</v>
      </c>
      <c r="DE93" t="s">
        <v>3</v>
      </c>
      <c r="DF93" t="s">
        <v>3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>
        <v>0</v>
      </c>
      <c r="DO93">
        <v>0</v>
      </c>
      <c r="DP93">
        <v>1</v>
      </c>
      <c r="DQ93">
        <v>1</v>
      </c>
      <c r="DU93">
        <v>1010</v>
      </c>
      <c r="DV93" t="s">
        <v>32</v>
      </c>
      <c r="DW93" t="s">
        <v>32</v>
      </c>
      <c r="DX93">
        <v>1</v>
      </c>
      <c r="DZ93" t="s">
        <v>3</v>
      </c>
      <c r="EA93" t="s">
        <v>3</v>
      </c>
      <c r="EB93" t="s">
        <v>3</v>
      </c>
      <c r="EC93" t="s">
        <v>3</v>
      </c>
      <c r="EE93">
        <v>58162750</v>
      </c>
      <c r="EF93">
        <v>130</v>
      </c>
      <c r="EG93" t="s">
        <v>33</v>
      </c>
      <c r="EH93">
        <v>0</v>
      </c>
      <c r="EI93" t="s">
        <v>3</v>
      </c>
      <c r="EJ93">
        <v>3</v>
      </c>
      <c r="EK93">
        <v>746</v>
      </c>
      <c r="EL93" t="s">
        <v>34</v>
      </c>
      <c r="EM93" t="s">
        <v>35</v>
      </c>
      <c r="EO93" t="s">
        <v>3</v>
      </c>
      <c r="EQ93">
        <v>0</v>
      </c>
      <c r="ER93">
        <v>339.52</v>
      </c>
      <c r="ES93">
        <v>339.52</v>
      </c>
      <c r="ET93">
        <v>0</v>
      </c>
      <c r="EU93">
        <v>0</v>
      </c>
      <c r="EV93">
        <v>0</v>
      </c>
      <c r="EW93">
        <v>0</v>
      </c>
      <c r="EX93">
        <v>0</v>
      </c>
      <c r="EZ93">
        <v>5</v>
      </c>
      <c r="FC93">
        <v>1</v>
      </c>
      <c r="FD93">
        <v>18</v>
      </c>
      <c r="FF93">
        <v>2994</v>
      </c>
      <c r="FQ93">
        <v>0</v>
      </c>
      <c r="FR93">
        <f t="shared" si="110"/>
        <v>67618.8</v>
      </c>
      <c r="FS93">
        <v>0</v>
      </c>
      <c r="FX93">
        <v>90</v>
      </c>
      <c r="FY93">
        <v>46</v>
      </c>
      <c r="GA93" t="s">
        <v>158</v>
      </c>
      <c r="GD93">
        <v>1</v>
      </c>
      <c r="GF93">
        <v>-11585406</v>
      </c>
      <c r="GG93">
        <v>2</v>
      </c>
      <c r="GH93">
        <v>3</v>
      </c>
      <c r="GI93">
        <v>5</v>
      </c>
      <c r="GJ93">
        <v>0</v>
      </c>
      <c r="GK93">
        <v>0</v>
      </c>
      <c r="GL93">
        <f t="shared" si="133"/>
        <v>0</v>
      </c>
      <c r="GM93">
        <f t="shared" si="134"/>
        <v>67618.8</v>
      </c>
      <c r="GN93">
        <f t="shared" si="135"/>
        <v>0</v>
      </c>
      <c r="GO93">
        <f t="shared" si="136"/>
        <v>0</v>
      </c>
      <c r="GP93">
        <f t="shared" si="137"/>
        <v>0</v>
      </c>
      <c r="GR93">
        <v>1</v>
      </c>
      <c r="GS93">
        <v>1</v>
      </c>
      <c r="GT93">
        <v>0</v>
      </c>
      <c r="GU93" t="s">
        <v>3</v>
      </c>
      <c r="GV93">
        <f t="shared" si="138"/>
        <v>0</v>
      </c>
      <c r="GW93">
        <v>1</v>
      </c>
      <c r="GX93">
        <f t="shared" si="139"/>
        <v>0</v>
      </c>
      <c r="HA93">
        <v>0</v>
      </c>
      <c r="HB93">
        <v>0</v>
      </c>
      <c r="HC93">
        <f t="shared" si="140"/>
        <v>0</v>
      </c>
      <c r="HE93" t="s">
        <v>37</v>
      </c>
      <c r="HF93" t="s">
        <v>38</v>
      </c>
      <c r="HM93" t="s">
        <v>3</v>
      </c>
      <c r="HN93" t="s">
        <v>3</v>
      </c>
      <c r="HO93" t="s">
        <v>3</v>
      </c>
      <c r="HP93" t="s">
        <v>3</v>
      </c>
      <c r="HQ93" t="s">
        <v>3</v>
      </c>
      <c r="HS93">
        <v>0</v>
      </c>
      <c r="IK93">
        <v>0</v>
      </c>
    </row>
    <row r="94" spans="1:255" x14ac:dyDescent="0.3">
      <c r="A94" s="2">
        <v>18</v>
      </c>
      <c r="B94" s="2">
        <v>1</v>
      </c>
      <c r="C94" s="2"/>
      <c r="D94" s="2"/>
      <c r="E94" s="2" t="s">
        <v>159</v>
      </c>
      <c r="F94" s="2" t="s">
        <v>160</v>
      </c>
      <c r="G94" s="2" t="s">
        <v>161</v>
      </c>
      <c r="H94" s="2" t="s">
        <v>32</v>
      </c>
      <c r="I94" s="2">
        <f>I88*J94</f>
        <v>1</v>
      </c>
      <c r="J94" s="2">
        <v>3.3333333333333333E-2</v>
      </c>
      <c r="K94" s="2">
        <v>3.3333330000000001E-2</v>
      </c>
      <c r="L94" s="2"/>
      <c r="M94" s="2"/>
      <c r="N94" s="2"/>
      <c r="O94" s="2">
        <f t="shared" si="111"/>
        <v>399.62</v>
      </c>
      <c r="P94" s="2">
        <f t="shared" si="103"/>
        <v>399.62</v>
      </c>
      <c r="Q94" s="2">
        <f t="shared" si="104"/>
        <v>0</v>
      </c>
      <c r="R94" s="2">
        <f t="shared" si="112"/>
        <v>0</v>
      </c>
      <c r="S94" s="2">
        <f t="shared" si="113"/>
        <v>0</v>
      </c>
      <c r="T94" s="2">
        <f t="shared" si="114"/>
        <v>0</v>
      </c>
      <c r="U94" s="2">
        <f t="shared" si="115"/>
        <v>0</v>
      </c>
      <c r="V94" s="2">
        <f t="shared" si="116"/>
        <v>0</v>
      </c>
      <c r="W94" s="2">
        <f t="shared" si="117"/>
        <v>0</v>
      </c>
      <c r="X94" s="2">
        <f t="shared" si="118"/>
        <v>0</v>
      </c>
      <c r="Y94" s="2">
        <f t="shared" si="119"/>
        <v>0</v>
      </c>
      <c r="Z94" s="2"/>
      <c r="AA94" s="2">
        <v>56498966</v>
      </c>
      <c r="AB94" s="2">
        <f t="shared" si="120"/>
        <v>399.62</v>
      </c>
      <c r="AC94" s="2">
        <f t="shared" si="121"/>
        <v>399.62</v>
      </c>
      <c r="AD94" s="2">
        <f t="shared" si="105"/>
        <v>0</v>
      </c>
      <c r="AE94" s="2">
        <f t="shared" si="106"/>
        <v>0</v>
      </c>
      <c r="AF94" s="2">
        <f t="shared" si="106"/>
        <v>0</v>
      </c>
      <c r="AG94" s="2">
        <f t="shared" si="122"/>
        <v>0</v>
      </c>
      <c r="AH94" s="2">
        <f t="shared" si="107"/>
        <v>0</v>
      </c>
      <c r="AI94" s="2">
        <f t="shared" si="107"/>
        <v>0</v>
      </c>
      <c r="AJ94" s="2">
        <f t="shared" si="123"/>
        <v>0</v>
      </c>
      <c r="AK94" s="2">
        <v>399.62</v>
      </c>
      <c r="AL94" s="2">
        <v>399.62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1</v>
      </c>
      <c r="AW94" s="2">
        <v>1</v>
      </c>
      <c r="AX94" s="2"/>
      <c r="AY94" s="2"/>
      <c r="AZ94" s="2">
        <v>1</v>
      </c>
      <c r="BA94" s="2">
        <v>1</v>
      </c>
      <c r="BB94" s="2">
        <v>1</v>
      </c>
      <c r="BC94" s="2">
        <v>1</v>
      </c>
      <c r="BD94" s="2" t="s">
        <v>3</v>
      </c>
      <c r="BE94" s="2" t="s">
        <v>3</v>
      </c>
      <c r="BF94" s="2" t="s">
        <v>3</v>
      </c>
      <c r="BG94" s="2" t="s">
        <v>3</v>
      </c>
      <c r="BH94" s="2">
        <v>3</v>
      </c>
      <c r="BI94" s="2">
        <v>3</v>
      </c>
      <c r="BJ94" s="2" t="s">
        <v>3</v>
      </c>
      <c r="BK94" s="2"/>
      <c r="BL94" s="2"/>
      <c r="BM94" s="2">
        <v>746</v>
      </c>
      <c r="BN94" s="2">
        <v>0</v>
      </c>
      <c r="BO94" s="2" t="s">
        <v>3</v>
      </c>
      <c r="BP94" s="2">
        <v>0</v>
      </c>
      <c r="BQ94" s="2">
        <v>130</v>
      </c>
      <c r="BR94" s="2">
        <v>0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 t="s">
        <v>3</v>
      </c>
      <c r="BZ94" s="2">
        <v>90</v>
      </c>
      <c r="CA94" s="2">
        <v>46</v>
      </c>
      <c r="CB94" s="2" t="s">
        <v>3</v>
      </c>
      <c r="CC94" s="2"/>
      <c r="CD94" s="2"/>
      <c r="CE94" s="2">
        <v>30</v>
      </c>
      <c r="CF94" s="2">
        <v>0</v>
      </c>
      <c r="CG94" s="2">
        <v>0</v>
      </c>
      <c r="CH94" s="2"/>
      <c r="CI94" s="2"/>
      <c r="CJ94" s="2"/>
      <c r="CK94" s="2"/>
      <c r="CL94" s="2"/>
      <c r="CM94" s="2">
        <v>0</v>
      </c>
      <c r="CN94" s="2" t="s">
        <v>3</v>
      </c>
      <c r="CO94" s="2">
        <v>0</v>
      </c>
      <c r="CP94" s="2">
        <f t="shared" si="124"/>
        <v>399.62</v>
      </c>
      <c r="CQ94" s="2">
        <f t="shared" si="108"/>
        <v>399.62</v>
      </c>
      <c r="CR94" s="2">
        <f t="shared" si="109"/>
        <v>0</v>
      </c>
      <c r="CS94" s="2">
        <f t="shared" si="125"/>
        <v>0</v>
      </c>
      <c r="CT94" s="2">
        <f t="shared" si="126"/>
        <v>0</v>
      </c>
      <c r="CU94" s="2">
        <f t="shared" si="127"/>
        <v>0</v>
      </c>
      <c r="CV94" s="2">
        <f t="shared" si="128"/>
        <v>0</v>
      </c>
      <c r="CW94" s="2">
        <f t="shared" si="129"/>
        <v>0</v>
      </c>
      <c r="CX94" s="2">
        <f t="shared" si="130"/>
        <v>0</v>
      </c>
      <c r="CY94" s="2">
        <f t="shared" si="131"/>
        <v>0</v>
      </c>
      <c r="CZ94" s="2">
        <f t="shared" si="132"/>
        <v>0</v>
      </c>
      <c r="DA94" s="2"/>
      <c r="DB94" s="2"/>
      <c r="DC94" s="2" t="s">
        <v>3</v>
      </c>
      <c r="DD94" s="2" t="s">
        <v>3</v>
      </c>
      <c r="DE94" s="2" t="s">
        <v>3</v>
      </c>
      <c r="DF94" s="2" t="s">
        <v>3</v>
      </c>
      <c r="DG94" s="2" t="s">
        <v>3</v>
      </c>
      <c r="DH94" s="2" t="s">
        <v>3</v>
      </c>
      <c r="DI94" s="2" t="s">
        <v>3</v>
      </c>
      <c r="DJ94" s="2" t="s">
        <v>3</v>
      </c>
      <c r="DK94" s="2" t="s">
        <v>3</v>
      </c>
      <c r="DL94" s="2" t="s">
        <v>3</v>
      </c>
      <c r="DM94" s="2" t="s">
        <v>3</v>
      </c>
      <c r="DN94" s="2">
        <v>0</v>
      </c>
      <c r="DO94" s="2">
        <v>0</v>
      </c>
      <c r="DP94" s="2">
        <v>1</v>
      </c>
      <c r="DQ94" s="2">
        <v>1</v>
      </c>
      <c r="DR94" s="2"/>
      <c r="DS94" s="2"/>
      <c r="DT94" s="2"/>
      <c r="DU94" s="2">
        <v>1010</v>
      </c>
      <c r="DV94" s="2" t="s">
        <v>32</v>
      </c>
      <c r="DW94" s="2" t="s">
        <v>32</v>
      </c>
      <c r="DX94" s="2">
        <v>1</v>
      </c>
      <c r="DY94" s="2"/>
      <c r="DZ94" s="2" t="s">
        <v>3</v>
      </c>
      <c r="EA94" s="2" t="s">
        <v>3</v>
      </c>
      <c r="EB94" s="2" t="s">
        <v>3</v>
      </c>
      <c r="EC94" s="2" t="s">
        <v>3</v>
      </c>
      <c r="ED94" s="2"/>
      <c r="EE94" s="2">
        <v>58162750</v>
      </c>
      <c r="EF94" s="2">
        <v>130</v>
      </c>
      <c r="EG94" s="2" t="s">
        <v>33</v>
      </c>
      <c r="EH94" s="2">
        <v>0</v>
      </c>
      <c r="EI94" s="2" t="s">
        <v>3</v>
      </c>
      <c r="EJ94" s="2">
        <v>3</v>
      </c>
      <c r="EK94" s="2">
        <v>746</v>
      </c>
      <c r="EL94" s="2" t="s">
        <v>34</v>
      </c>
      <c r="EM94" s="2" t="s">
        <v>35</v>
      </c>
      <c r="EN94" s="2"/>
      <c r="EO94" s="2" t="s">
        <v>3</v>
      </c>
      <c r="EP94" s="2"/>
      <c r="EQ94" s="2">
        <v>0</v>
      </c>
      <c r="ER94" s="2">
        <v>0</v>
      </c>
      <c r="ES94" s="2">
        <v>399.62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>
        <v>0</v>
      </c>
      <c r="FR94" s="2">
        <f t="shared" si="110"/>
        <v>399.62</v>
      </c>
      <c r="FS94" s="2">
        <v>0</v>
      </c>
      <c r="FT94" s="2"/>
      <c r="FU94" s="2"/>
      <c r="FV94" s="2"/>
      <c r="FW94" s="2"/>
      <c r="FX94" s="2">
        <v>90</v>
      </c>
      <c r="FY94" s="2">
        <v>46</v>
      </c>
      <c r="FZ94" s="2"/>
      <c r="GA94" s="2" t="s">
        <v>162</v>
      </c>
      <c r="GB94" s="2"/>
      <c r="GC94" s="2"/>
      <c r="GD94" s="2">
        <v>1</v>
      </c>
      <c r="GE94" s="2"/>
      <c r="GF94" s="2">
        <v>341585860</v>
      </c>
      <c r="GG94" s="2">
        <v>2</v>
      </c>
      <c r="GH94" s="2">
        <v>4</v>
      </c>
      <c r="GI94" s="2">
        <v>-2</v>
      </c>
      <c r="GJ94" s="2">
        <v>0</v>
      </c>
      <c r="GK94" s="2">
        <v>0</v>
      </c>
      <c r="GL94" s="2">
        <f t="shared" si="133"/>
        <v>0</v>
      </c>
      <c r="GM94" s="2">
        <f t="shared" si="134"/>
        <v>399.62</v>
      </c>
      <c r="GN94" s="2">
        <f t="shared" si="135"/>
        <v>0</v>
      </c>
      <c r="GO94" s="2">
        <f t="shared" si="136"/>
        <v>0</v>
      </c>
      <c r="GP94" s="2">
        <f t="shared" si="137"/>
        <v>0</v>
      </c>
      <c r="GQ94" s="2"/>
      <c r="GR94" s="2">
        <v>0</v>
      </c>
      <c r="GS94" s="2">
        <v>2</v>
      </c>
      <c r="GT94" s="2">
        <v>0</v>
      </c>
      <c r="GU94" s="2" t="s">
        <v>3</v>
      </c>
      <c r="GV94" s="2">
        <f t="shared" si="138"/>
        <v>0</v>
      </c>
      <c r="GW94" s="2">
        <v>1</v>
      </c>
      <c r="GX94" s="2">
        <f t="shared" si="139"/>
        <v>0</v>
      </c>
      <c r="GY94" s="2"/>
      <c r="GZ94" s="2"/>
      <c r="HA94" s="2">
        <v>0</v>
      </c>
      <c r="HB94" s="2">
        <v>0</v>
      </c>
      <c r="HC94" s="2">
        <f t="shared" si="140"/>
        <v>0</v>
      </c>
      <c r="HD94" s="2"/>
      <c r="HE94" s="2" t="s">
        <v>37</v>
      </c>
      <c r="HF94" s="2" t="s">
        <v>38</v>
      </c>
      <c r="HG94" s="2"/>
      <c r="HH94" s="2"/>
      <c r="HI94" s="2"/>
      <c r="HJ94" s="2"/>
      <c r="HK94" s="2"/>
      <c r="HL94" s="2"/>
      <c r="HM94" s="2" t="s">
        <v>3</v>
      </c>
      <c r="HN94" s="2" t="s">
        <v>3</v>
      </c>
      <c r="HO94" s="2" t="s">
        <v>3</v>
      </c>
      <c r="HP94" s="2" t="s">
        <v>3</v>
      </c>
      <c r="HQ94" s="2" t="s">
        <v>3</v>
      </c>
      <c r="HR94" s="2"/>
      <c r="HS94" s="2">
        <v>0</v>
      </c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>
        <v>0</v>
      </c>
      <c r="IL94" s="2"/>
      <c r="IM94" s="2"/>
      <c r="IN94" s="2"/>
      <c r="IO94" s="2"/>
      <c r="IP94" s="2"/>
      <c r="IQ94" s="2"/>
      <c r="IR94" s="2"/>
      <c r="IS94" s="2"/>
      <c r="IT94" s="2"/>
      <c r="IU94" s="2"/>
    </row>
    <row r="95" spans="1:255" x14ac:dyDescent="0.3">
      <c r="A95">
        <v>18</v>
      </c>
      <c r="B95">
        <v>1</v>
      </c>
      <c r="E95" t="s">
        <v>159</v>
      </c>
      <c r="F95" t="s">
        <v>160</v>
      </c>
      <c r="G95" t="s">
        <v>161</v>
      </c>
      <c r="H95" t="s">
        <v>32</v>
      </c>
      <c r="I95">
        <f>I89*J95</f>
        <v>1</v>
      </c>
      <c r="J95">
        <v>3.3333333333333333E-2</v>
      </c>
      <c r="K95">
        <v>3.3333330000000001E-2</v>
      </c>
      <c r="O95">
        <f t="shared" si="111"/>
        <v>3061.09</v>
      </c>
      <c r="P95">
        <f t="shared" si="103"/>
        <v>3061.09</v>
      </c>
      <c r="Q95">
        <f t="shared" si="104"/>
        <v>0</v>
      </c>
      <c r="R95">
        <f t="shared" si="112"/>
        <v>0</v>
      </c>
      <c r="S95">
        <f t="shared" si="113"/>
        <v>0</v>
      </c>
      <c r="T95">
        <f t="shared" si="114"/>
        <v>0</v>
      </c>
      <c r="U95">
        <f t="shared" si="115"/>
        <v>0</v>
      </c>
      <c r="V95">
        <f t="shared" si="116"/>
        <v>0</v>
      </c>
      <c r="W95">
        <f t="shared" si="117"/>
        <v>0</v>
      </c>
      <c r="X95">
        <f t="shared" si="118"/>
        <v>0</v>
      </c>
      <c r="Y95">
        <f t="shared" si="119"/>
        <v>0</v>
      </c>
      <c r="AA95">
        <v>56498968</v>
      </c>
      <c r="AB95">
        <f t="shared" si="120"/>
        <v>399.62</v>
      </c>
      <c r="AC95">
        <f t="shared" si="121"/>
        <v>399.62</v>
      </c>
      <c r="AD95">
        <f t="shared" si="105"/>
        <v>0</v>
      </c>
      <c r="AE95">
        <f t="shared" si="106"/>
        <v>0</v>
      </c>
      <c r="AF95">
        <f t="shared" si="106"/>
        <v>0</v>
      </c>
      <c r="AG95">
        <f t="shared" si="122"/>
        <v>0</v>
      </c>
      <c r="AH95">
        <f t="shared" si="107"/>
        <v>0</v>
      </c>
      <c r="AI95">
        <f t="shared" si="107"/>
        <v>0</v>
      </c>
      <c r="AJ95">
        <f t="shared" si="123"/>
        <v>0</v>
      </c>
      <c r="AK95">
        <v>399.62</v>
      </c>
      <c r="AL95">
        <v>399.62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1</v>
      </c>
      <c r="AZ95">
        <v>1</v>
      </c>
      <c r="BA95">
        <v>1</v>
      </c>
      <c r="BB95">
        <v>1</v>
      </c>
      <c r="BC95">
        <v>7.66</v>
      </c>
      <c r="BD95" t="s">
        <v>3</v>
      </c>
      <c r="BE95" t="s">
        <v>3</v>
      </c>
      <c r="BF95" t="s">
        <v>3</v>
      </c>
      <c r="BG95" t="s">
        <v>3</v>
      </c>
      <c r="BH95">
        <v>3</v>
      </c>
      <c r="BI95">
        <v>3</v>
      </c>
      <c r="BJ95" t="s">
        <v>3</v>
      </c>
      <c r="BM95">
        <v>746</v>
      </c>
      <c r="BN95">
        <v>0</v>
      </c>
      <c r="BO95" t="s">
        <v>3</v>
      </c>
      <c r="BP95">
        <v>0</v>
      </c>
      <c r="BQ95">
        <v>130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 t="s">
        <v>3</v>
      </c>
      <c r="BZ95">
        <v>90</v>
      </c>
      <c r="CA95">
        <v>46</v>
      </c>
      <c r="CB95" t="s">
        <v>3</v>
      </c>
      <c r="CE95">
        <v>30</v>
      </c>
      <c r="CF95">
        <v>0</v>
      </c>
      <c r="CG95">
        <v>0</v>
      </c>
      <c r="CM95">
        <v>0</v>
      </c>
      <c r="CN95" t="s">
        <v>3</v>
      </c>
      <c r="CO95">
        <v>0</v>
      </c>
      <c r="CP95">
        <f t="shared" si="124"/>
        <v>3061.09</v>
      </c>
      <c r="CQ95">
        <f t="shared" si="108"/>
        <v>3061.09</v>
      </c>
      <c r="CR95">
        <f t="shared" si="109"/>
        <v>0</v>
      </c>
      <c r="CS95">
        <f t="shared" si="125"/>
        <v>0</v>
      </c>
      <c r="CT95">
        <f t="shared" si="126"/>
        <v>0</v>
      </c>
      <c r="CU95">
        <f t="shared" si="127"/>
        <v>0</v>
      </c>
      <c r="CV95">
        <f t="shared" si="128"/>
        <v>0</v>
      </c>
      <c r="CW95">
        <f t="shared" si="129"/>
        <v>0</v>
      </c>
      <c r="CX95">
        <f t="shared" si="130"/>
        <v>0</v>
      </c>
      <c r="CY95">
        <f t="shared" si="131"/>
        <v>0</v>
      </c>
      <c r="CZ95">
        <f t="shared" si="132"/>
        <v>0</v>
      </c>
      <c r="DC95" t="s">
        <v>3</v>
      </c>
      <c r="DD95" t="s">
        <v>3</v>
      </c>
      <c r="DE95" t="s">
        <v>3</v>
      </c>
      <c r="DF95" t="s">
        <v>3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  <c r="DN95">
        <v>0</v>
      </c>
      <c r="DO95">
        <v>0</v>
      </c>
      <c r="DP95">
        <v>1</v>
      </c>
      <c r="DQ95">
        <v>1</v>
      </c>
      <c r="DU95">
        <v>1010</v>
      </c>
      <c r="DV95" t="s">
        <v>32</v>
      </c>
      <c r="DW95" t="s">
        <v>32</v>
      </c>
      <c r="DX95">
        <v>1</v>
      </c>
      <c r="DZ95" t="s">
        <v>3</v>
      </c>
      <c r="EA95" t="s">
        <v>3</v>
      </c>
      <c r="EB95" t="s">
        <v>3</v>
      </c>
      <c r="EC95" t="s">
        <v>3</v>
      </c>
      <c r="EE95">
        <v>58162750</v>
      </c>
      <c r="EF95">
        <v>130</v>
      </c>
      <c r="EG95" t="s">
        <v>33</v>
      </c>
      <c r="EH95">
        <v>0</v>
      </c>
      <c r="EI95" t="s">
        <v>3</v>
      </c>
      <c r="EJ95">
        <v>3</v>
      </c>
      <c r="EK95">
        <v>746</v>
      </c>
      <c r="EL95" t="s">
        <v>34</v>
      </c>
      <c r="EM95" t="s">
        <v>35</v>
      </c>
      <c r="EO95" t="s">
        <v>3</v>
      </c>
      <c r="EQ95">
        <v>0</v>
      </c>
      <c r="ER95">
        <v>399.62</v>
      </c>
      <c r="ES95">
        <v>399.62</v>
      </c>
      <c r="ET95">
        <v>0</v>
      </c>
      <c r="EU95">
        <v>0</v>
      </c>
      <c r="EV95">
        <v>0</v>
      </c>
      <c r="EW95">
        <v>0</v>
      </c>
      <c r="EX95">
        <v>0</v>
      </c>
      <c r="EZ95">
        <v>5</v>
      </c>
      <c r="FC95">
        <v>1</v>
      </c>
      <c r="FD95">
        <v>18</v>
      </c>
      <c r="FF95">
        <v>3524</v>
      </c>
      <c r="FQ95">
        <v>0</v>
      </c>
      <c r="FR95">
        <f t="shared" si="110"/>
        <v>3061.09</v>
      </c>
      <c r="FS95">
        <v>0</v>
      </c>
      <c r="FX95">
        <v>90</v>
      </c>
      <c r="FY95">
        <v>46</v>
      </c>
      <c r="GA95" t="s">
        <v>162</v>
      </c>
      <c r="GD95">
        <v>1</v>
      </c>
      <c r="GF95">
        <v>341585860</v>
      </c>
      <c r="GG95">
        <v>2</v>
      </c>
      <c r="GH95">
        <v>3</v>
      </c>
      <c r="GI95">
        <v>5</v>
      </c>
      <c r="GJ95">
        <v>0</v>
      </c>
      <c r="GK95">
        <v>0</v>
      </c>
      <c r="GL95">
        <f t="shared" si="133"/>
        <v>0</v>
      </c>
      <c r="GM95">
        <f t="shared" si="134"/>
        <v>3061.09</v>
      </c>
      <c r="GN95">
        <f t="shared" si="135"/>
        <v>0</v>
      </c>
      <c r="GO95">
        <f t="shared" si="136"/>
        <v>0</v>
      </c>
      <c r="GP95">
        <f t="shared" si="137"/>
        <v>0</v>
      </c>
      <c r="GR95">
        <v>1</v>
      </c>
      <c r="GS95">
        <v>1</v>
      </c>
      <c r="GT95">
        <v>0</v>
      </c>
      <c r="GU95" t="s">
        <v>3</v>
      </c>
      <c r="GV95">
        <f t="shared" si="138"/>
        <v>0</v>
      </c>
      <c r="GW95">
        <v>1</v>
      </c>
      <c r="GX95">
        <f t="shared" si="139"/>
        <v>0</v>
      </c>
      <c r="HA95">
        <v>0</v>
      </c>
      <c r="HB95">
        <v>0</v>
      </c>
      <c r="HC95">
        <f t="shared" si="140"/>
        <v>0</v>
      </c>
      <c r="HE95" t="s">
        <v>37</v>
      </c>
      <c r="HF95" t="s">
        <v>38</v>
      </c>
      <c r="HM95" t="s">
        <v>3</v>
      </c>
      <c r="HN95" t="s">
        <v>3</v>
      </c>
      <c r="HO95" t="s">
        <v>3</v>
      </c>
      <c r="HP95" t="s">
        <v>3</v>
      </c>
      <c r="HQ95" t="s">
        <v>3</v>
      </c>
      <c r="HS95">
        <v>0</v>
      </c>
      <c r="IK95">
        <v>0</v>
      </c>
    </row>
    <row r="96" spans="1:255" x14ac:dyDescent="0.3">
      <c r="A96" s="2">
        <v>18</v>
      </c>
      <c r="B96" s="2">
        <v>1</v>
      </c>
      <c r="C96" s="2"/>
      <c r="D96" s="2"/>
      <c r="E96" s="2" t="s">
        <v>163</v>
      </c>
      <c r="F96" s="2" t="s">
        <v>164</v>
      </c>
      <c r="G96" s="2" t="s">
        <v>165</v>
      </c>
      <c r="H96" s="2" t="s">
        <v>32</v>
      </c>
      <c r="I96" s="2">
        <f>I88*J96</f>
        <v>2</v>
      </c>
      <c r="J96" s="2">
        <v>6.6666666666666666E-2</v>
      </c>
      <c r="K96" s="2">
        <v>6.6666669999999997E-2</v>
      </c>
      <c r="L96" s="2"/>
      <c r="M96" s="2"/>
      <c r="N96" s="2"/>
      <c r="O96" s="2">
        <f t="shared" si="111"/>
        <v>1059.5999999999999</v>
      </c>
      <c r="P96" s="2">
        <f t="shared" si="103"/>
        <v>1059.5999999999999</v>
      </c>
      <c r="Q96" s="2">
        <f t="shared" si="104"/>
        <v>0</v>
      </c>
      <c r="R96" s="2">
        <f t="shared" si="112"/>
        <v>0</v>
      </c>
      <c r="S96" s="2">
        <f t="shared" si="113"/>
        <v>0</v>
      </c>
      <c r="T96" s="2">
        <f t="shared" si="114"/>
        <v>0</v>
      </c>
      <c r="U96" s="2">
        <f t="shared" si="115"/>
        <v>0</v>
      </c>
      <c r="V96" s="2">
        <f t="shared" si="116"/>
        <v>0</v>
      </c>
      <c r="W96" s="2">
        <f t="shared" si="117"/>
        <v>0</v>
      </c>
      <c r="X96" s="2">
        <f t="shared" si="118"/>
        <v>0</v>
      </c>
      <c r="Y96" s="2">
        <f t="shared" si="119"/>
        <v>0</v>
      </c>
      <c r="Z96" s="2"/>
      <c r="AA96" s="2">
        <v>56498966</v>
      </c>
      <c r="AB96" s="2">
        <f t="shared" si="120"/>
        <v>529.79999999999995</v>
      </c>
      <c r="AC96" s="2">
        <f t="shared" si="121"/>
        <v>529.79999999999995</v>
      </c>
      <c r="AD96" s="2">
        <f t="shared" si="105"/>
        <v>0</v>
      </c>
      <c r="AE96" s="2">
        <f t="shared" si="106"/>
        <v>0</v>
      </c>
      <c r="AF96" s="2">
        <f t="shared" si="106"/>
        <v>0</v>
      </c>
      <c r="AG96" s="2">
        <f t="shared" si="122"/>
        <v>0</v>
      </c>
      <c r="AH96" s="2">
        <f t="shared" si="107"/>
        <v>0</v>
      </c>
      <c r="AI96" s="2">
        <f t="shared" si="107"/>
        <v>0</v>
      </c>
      <c r="AJ96" s="2">
        <f t="shared" si="123"/>
        <v>0</v>
      </c>
      <c r="AK96" s="2">
        <v>529.79999999999995</v>
      </c>
      <c r="AL96" s="2">
        <v>529.79999999999995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1</v>
      </c>
      <c r="AW96" s="2">
        <v>1</v>
      </c>
      <c r="AX96" s="2"/>
      <c r="AY96" s="2"/>
      <c r="AZ96" s="2">
        <v>1</v>
      </c>
      <c r="BA96" s="2">
        <v>1</v>
      </c>
      <c r="BB96" s="2">
        <v>1</v>
      </c>
      <c r="BC96" s="2">
        <v>1</v>
      </c>
      <c r="BD96" s="2" t="s">
        <v>3</v>
      </c>
      <c r="BE96" s="2" t="s">
        <v>3</v>
      </c>
      <c r="BF96" s="2" t="s">
        <v>3</v>
      </c>
      <c r="BG96" s="2" t="s">
        <v>3</v>
      </c>
      <c r="BH96" s="2">
        <v>3</v>
      </c>
      <c r="BI96" s="2">
        <v>3</v>
      </c>
      <c r="BJ96" s="2" t="s">
        <v>3</v>
      </c>
      <c r="BK96" s="2"/>
      <c r="BL96" s="2"/>
      <c r="BM96" s="2">
        <v>746</v>
      </c>
      <c r="BN96" s="2">
        <v>0</v>
      </c>
      <c r="BO96" s="2" t="s">
        <v>3</v>
      </c>
      <c r="BP96" s="2">
        <v>0</v>
      </c>
      <c r="BQ96" s="2">
        <v>130</v>
      </c>
      <c r="BR96" s="2">
        <v>0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 t="s">
        <v>3</v>
      </c>
      <c r="BZ96" s="2">
        <v>90</v>
      </c>
      <c r="CA96" s="2">
        <v>46</v>
      </c>
      <c r="CB96" s="2" t="s">
        <v>3</v>
      </c>
      <c r="CC96" s="2"/>
      <c r="CD96" s="2"/>
      <c r="CE96" s="2">
        <v>30</v>
      </c>
      <c r="CF96" s="2">
        <v>0</v>
      </c>
      <c r="CG96" s="2">
        <v>0</v>
      </c>
      <c r="CH96" s="2"/>
      <c r="CI96" s="2"/>
      <c r="CJ96" s="2"/>
      <c r="CK96" s="2"/>
      <c r="CL96" s="2"/>
      <c r="CM96" s="2">
        <v>0</v>
      </c>
      <c r="CN96" s="2" t="s">
        <v>3</v>
      </c>
      <c r="CO96" s="2">
        <v>0</v>
      </c>
      <c r="CP96" s="2">
        <f t="shared" si="124"/>
        <v>1059.5999999999999</v>
      </c>
      <c r="CQ96" s="2">
        <f t="shared" si="108"/>
        <v>529.79999999999995</v>
      </c>
      <c r="CR96" s="2">
        <f t="shared" si="109"/>
        <v>0</v>
      </c>
      <c r="CS96" s="2">
        <f t="shared" si="125"/>
        <v>0</v>
      </c>
      <c r="CT96" s="2">
        <f t="shared" si="126"/>
        <v>0</v>
      </c>
      <c r="CU96" s="2">
        <f t="shared" si="127"/>
        <v>0</v>
      </c>
      <c r="CV96" s="2">
        <f t="shared" si="128"/>
        <v>0</v>
      </c>
      <c r="CW96" s="2">
        <f t="shared" si="129"/>
        <v>0</v>
      </c>
      <c r="CX96" s="2">
        <f t="shared" si="130"/>
        <v>0</v>
      </c>
      <c r="CY96" s="2">
        <f t="shared" si="131"/>
        <v>0</v>
      </c>
      <c r="CZ96" s="2">
        <f t="shared" si="132"/>
        <v>0</v>
      </c>
      <c r="DA96" s="2"/>
      <c r="DB96" s="2"/>
      <c r="DC96" s="2" t="s">
        <v>3</v>
      </c>
      <c r="DD96" s="2" t="s">
        <v>3</v>
      </c>
      <c r="DE96" s="2" t="s">
        <v>3</v>
      </c>
      <c r="DF96" s="2" t="s">
        <v>3</v>
      </c>
      <c r="DG96" s="2" t="s">
        <v>3</v>
      </c>
      <c r="DH96" s="2" t="s">
        <v>3</v>
      </c>
      <c r="DI96" s="2" t="s">
        <v>3</v>
      </c>
      <c r="DJ96" s="2" t="s">
        <v>3</v>
      </c>
      <c r="DK96" s="2" t="s">
        <v>3</v>
      </c>
      <c r="DL96" s="2" t="s">
        <v>3</v>
      </c>
      <c r="DM96" s="2" t="s">
        <v>3</v>
      </c>
      <c r="DN96" s="2">
        <v>0</v>
      </c>
      <c r="DO96" s="2">
        <v>0</v>
      </c>
      <c r="DP96" s="2">
        <v>1</v>
      </c>
      <c r="DQ96" s="2">
        <v>1</v>
      </c>
      <c r="DR96" s="2"/>
      <c r="DS96" s="2"/>
      <c r="DT96" s="2"/>
      <c r="DU96" s="2">
        <v>1010</v>
      </c>
      <c r="DV96" s="2" t="s">
        <v>32</v>
      </c>
      <c r="DW96" s="2" t="s">
        <v>32</v>
      </c>
      <c r="DX96" s="2">
        <v>1</v>
      </c>
      <c r="DY96" s="2"/>
      <c r="DZ96" s="2" t="s">
        <v>3</v>
      </c>
      <c r="EA96" s="2" t="s">
        <v>3</v>
      </c>
      <c r="EB96" s="2" t="s">
        <v>3</v>
      </c>
      <c r="EC96" s="2" t="s">
        <v>3</v>
      </c>
      <c r="ED96" s="2"/>
      <c r="EE96" s="2">
        <v>58162750</v>
      </c>
      <c r="EF96" s="2">
        <v>130</v>
      </c>
      <c r="EG96" s="2" t="s">
        <v>33</v>
      </c>
      <c r="EH96" s="2">
        <v>0</v>
      </c>
      <c r="EI96" s="2" t="s">
        <v>3</v>
      </c>
      <c r="EJ96" s="2">
        <v>3</v>
      </c>
      <c r="EK96" s="2">
        <v>746</v>
      </c>
      <c r="EL96" s="2" t="s">
        <v>34</v>
      </c>
      <c r="EM96" s="2" t="s">
        <v>35</v>
      </c>
      <c r="EN96" s="2"/>
      <c r="EO96" s="2" t="s">
        <v>3</v>
      </c>
      <c r="EP96" s="2"/>
      <c r="EQ96" s="2">
        <v>0</v>
      </c>
      <c r="ER96" s="2">
        <v>0</v>
      </c>
      <c r="ES96" s="2">
        <v>529.79999999999995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>
        <v>0</v>
      </c>
      <c r="FR96" s="2">
        <f t="shared" si="110"/>
        <v>1059.5999999999999</v>
      </c>
      <c r="FS96" s="2">
        <v>0</v>
      </c>
      <c r="FT96" s="2"/>
      <c r="FU96" s="2"/>
      <c r="FV96" s="2"/>
      <c r="FW96" s="2"/>
      <c r="FX96" s="2">
        <v>90</v>
      </c>
      <c r="FY96" s="2">
        <v>46</v>
      </c>
      <c r="FZ96" s="2"/>
      <c r="GA96" s="2" t="s">
        <v>166</v>
      </c>
      <c r="GB96" s="2"/>
      <c r="GC96" s="2"/>
      <c r="GD96" s="2">
        <v>1</v>
      </c>
      <c r="GE96" s="2"/>
      <c r="GF96" s="2">
        <v>600110797</v>
      </c>
      <c r="GG96" s="2">
        <v>2</v>
      </c>
      <c r="GH96" s="2">
        <v>4</v>
      </c>
      <c r="GI96" s="2">
        <v>-2</v>
      </c>
      <c r="GJ96" s="2">
        <v>0</v>
      </c>
      <c r="GK96" s="2">
        <v>0</v>
      </c>
      <c r="GL96" s="2">
        <f t="shared" si="133"/>
        <v>0</v>
      </c>
      <c r="GM96" s="2">
        <f t="shared" si="134"/>
        <v>1059.5999999999999</v>
      </c>
      <c r="GN96" s="2">
        <f t="shared" si="135"/>
        <v>0</v>
      </c>
      <c r="GO96" s="2">
        <f t="shared" si="136"/>
        <v>0</v>
      </c>
      <c r="GP96" s="2">
        <f t="shared" si="137"/>
        <v>0</v>
      </c>
      <c r="GQ96" s="2"/>
      <c r="GR96" s="2">
        <v>0</v>
      </c>
      <c r="GS96" s="2">
        <v>2</v>
      </c>
      <c r="GT96" s="2">
        <v>0</v>
      </c>
      <c r="GU96" s="2" t="s">
        <v>3</v>
      </c>
      <c r="GV96" s="2">
        <f t="shared" si="138"/>
        <v>0</v>
      </c>
      <c r="GW96" s="2">
        <v>1</v>
      </c>
      <c r="GX96" s="2">
        <f t="shared" si="139"/>
        <v>0</v>
      </c>
      <c r="GY96" s="2"/>
      <c r="GZ96" s="2"/>
      <c r="HA96" s="2">
        <v>0</v>
      </c>
      <c r="HB96" s="2">
        <v>0</v>
      </c>
      <c r="HC96" s="2">
        <f t="shared" si="140"/>
        <v>0</v>
      </c>
      <c r="HD96" s="2"/>
      <c r="HE96" s="2" t="s">
        <v>37</v>
      </c>
      <c r="HF96" s="2" t="s">
        <v>38</v>
      </c>
      <c r="HG96" s="2"/>
      <c r="HH96" s="2"/>
      <c r="HI96" s="2"/>
      <c r="HJ96" s="2"/>
      <c r="HK96" s="2"/>
      <c r="HL96" s="2"/>
      <c r="HM96" s="2" t="s">
        <v>3</v>
      </c>
      <c r="HN96" s="2" t="s">
        <v>3</v>
      </c>
      <c r="HO96" s="2" t="s">
        <v>3</v>
      </c>
      <c r="HP96" s="2" t="s">
        <v>3</v>
      </c>
      <c r="HQ96" s="2" t="s">
        <v>3</v>
      </c>
      <c r="HR96" s="2"/>
      <c r="HS96" s="2">
        <v>0</v>
      </c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>
        <v>0</v>
      </c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x14ac:dyDescent="0.3">
      <c r="A97">
        <v>18</v>
      </c>
      <c r="B97">
        <v>1</v>
      </c>
      <c r="E97" t="s">
        <v>163</v>
      </c>
      <c r="F97" t="s">
        <v>164</v>
      </c>
      <c r="G97" t="s">
        <v>165</v>
      </c>
      <c r="H97" t="s">
        <v>32</v>
      </c>
      <c r="I97">
        <f>I89*J97</f>
        <v>2</v>
      </c>
      <c r="J97">
        <v>6.6666666666666666E-2</v>
      </c>
      <c r="K97">
        <v>6.6666669999999997E-2</v>
      </c>
      <c r="O97">
        <f t="shared" si="111"/>
        <v>8116.54</v>
      </c>
      <c r="P97">
        <f t="shared" si="103"/>
        <v>8116.54</v>
      </c>
      <c r="Q97">
        <f t="shared" si="104"/>
        <v>0</v>
      </c>
      <c r="R97">
        <f t="shared" si="112"/>
        <v>0</v>
      </c>
      <c r="S97">
        <f t="shared" si="113"/>
        <v>0</v>
      </c>
      <c r="T97">
        <f t="shared" si="114"/>
        <v>0</v>
      </c>
      <c r="U97">
        <f t="shared" si="115"/>
        <v>0</v>
      </c>
      <c r="V97">
        <f t="shared" si="116"/>
        <v>0</v>
      </c>
      <c r="W97">
        <f t="shared" si="117"/>
        <v>0</v>
      </c>
      <c r="X97">
        <f t="shared" si="118"/>
        <v>0</v>
      </c>
      <c r="Y97">
        <f t="shared" si="119"/>
        <v>0</v>
      </c>
      <c r="AA97">
        <v>56498968</v>
      </c>
      <c r="AB97">
        <f t="shared" si="120"/>
        <v>529.79999999999995</v>
      </c>
      <c r="AC97">
        <f t="shared" si="121"/>
        <v>529.79999999999995</v>
      </c>
      <c r="AD97">
        <f t="shared" si="105"/>
        <v>0</v>
      </c>
      <c r="AE97">
        <f t="shared" si="106"/>
        <v>0</v>
      </c>
      <c r="AF97">
        <f t="shared" si="106"/>
        <v>0</v>
      </c>
      <c r="AG97">
        <f t="shared" si="122"/>
        <v>0</v>
      </c>
      <c r="AH97">
        <f t="shared" si="107"/>
        <v>0</v>
      </c>
      <c r="AI97">
        <f t="shared" si="107"/>
        <v>0</v>
      </c>
      <c r="AJ97">
        <f t="shared" si="123"/>
        <v>0</v>
      </c>
      <c r="AK97">
        <v>529.79999999999995</v>
      </c>
      <c r="AL97">
        <v>529.79999999999995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1</v>
      </c>
      <c r="AZ97">
        <v>1</v>
      </c>
      <c r="BA97">
        <v>1</v>
      </c>
      <c r="BB97">
        <v>1</v>
      </c>
      <c r="BC97">
        <v>7.66</v>
      </c>
      <c r="BD97" t="s">
        <v>3</v>
      </c>
      <c r="BE97" t="s">
        <v>3</v>
      </c>
      <c r="BF97" t="s">
        <v>3</v>
      </c>
      <c r="BG97" t="s">
        <v>3</v>
      </c>
      <c r="BH97">
        <v>3</v>
      </c>
      <c r="BI97">
        <v>3</v>
      </c>
      <c r="BJ97" t="s">
        <v>3</v>
      </c>
      <c r="BM97">
        <v>746</v>
      </c>
      <c r="BN97">
        <v>0</v>
      </c>
      <c r="BO97" t="s">
        <v>3</v>
      </c>
      <c r="BP97">
        <v>0</v>
      </c>
      <c r="BQ97">
        <v>130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 t="s">
        <v>3</v>
      </c>
      <c r="BZ97">
        <v>90</v>
      </c>
      <c r="CA97">
        <v>46</v>
      </c>
      <c r="CB97" t="s">
        <v>3</v>
      </c>
      <c r="CE97">
        <v>30</v>
      </c>
      <c r="CF97">
        <v>0</v>
      </c>
      <c r="CG97">
        <v>0</v>
      </c>
      <c r="CM97">
        <v>0</v>
      </c>
      <c r="CN97" t="s">
        <v>3</v>
      </c>
      <c r="CO97">
        <v>0</v>
      </c>
      <c r="CP97">
        <f t="shared" si="124"/>
        <v>8116.54</v>
      </c>
      <c r="CQ97">
        <f t="shared" si="108"/>
        <v>4058.27</v>
      </c>
      <c r="CR97">
        <f t="shared" si="109"/>
        <v>0</v>
      </c>
      <c r="CS97">
        <f t="shared" si="125"/>
        <v>0</v>
      </c>
      <c r="CT97">
        <f t="shared" si="126"/>
        <v>0</v>
      </c>
      <c r="CU97">
        <f t="shared" si="127"/>
        <v>0</v>
      </c>
      <c r="CV97">
        <f t="shared" si="128"/>
        <v>0</v>
      </c>
      <c r="CW97">
        <f t="shared" si="129"/>
        <v>0</v>
      </c>
      <c r="CX97">
        <f t="shared" si="130"/>
        <v>0</v>
      </c>
      <c r="CY97">
        <f t="shared" si="131"/>
        <v>0</v>
      </c>
      <c r="CZ97">
        <f t="shared" si="132"/>
        <v>0</v>
      </c>
      <c r="DC97" t="s">
        <v>3</v>
      </c>
      <c r="DD97" t="s">
        <v>3</v>
      </c>
      <c r="DE97" t="s">
        <v>3</v>
      </c>
      <c r="DF97" t="s">
        <v>3</v>
      </c>
      <c r="DG97" t="s">
        <v>3</v>
      </c>
      <c r="DH97" t="s">
        <v>3</v>
      </c>
      <c r="DI97" t="s">
        <v>3</v>
      </c>
      <c r="DJ97" t="s">
        <v>3</v>
      </c>
      <c r="DK97" t="s">
        <v>3</v>
      </c>
      <c r="DL97" t="s">
        <v>3</v>
      </c>
      <c r="DM97" t="s">
        <v>3</v>
      </c>
      <c r="DN97">
        <v>0</v>
      </c>
      <c r="DO97">
        <v>0</v>
      </c>
      <c r="DP97">
        <v>1</v>
      </c>
      <c r="DQ97">
        <v>1</v>
      </c>
      <c r="DU97">
        <v>1010</v>
      </c>
      <c r="DV97" t="s">
        <v>32</v>
      </c>
      <c r="DW97" t="s">
        <v>32</v>
      </c>
      <c r="DX97">
        <v>1</v>
      </c>
      <c r="DZ97" t="s">
        <v>3</v>
      </c>
      <c r="EA97" t="s">
        <v>3</v>
      </c>
      <c r="EB97" t="s">
        <v>3</v>
      </c>
      <c r="EC97" t="s">
        <v>3</v>
      </c>
      <c r="EE97">
        <v>58162750</v>
      </c>
      <c r="EF97">
        <v>130</v>
      </c>
      <c r="EG97" t="s">
        <v>33</v>
      </c>
      <c r="EH97">
        <v>0</v>
      </c>
      <c r="EI97" t="s">
        <v>3</v>
      </c>
      <c r="EJ97">
        <v>3</v>
      </c>
      <c r="EK97">
        <v>746</v>
      </c>
      <c r="EL97" t="s">
        <v>34</v>
      </c>
      <c r="EM97" t="s">
        <v>35</v>
      </c>
      <c r="EO97" t="s">
        <v>3</v>
      </c>
      <c r="EQ97">
        <v>0</v>
      </c>
      <c r="ER97">
        <v>529.79999999999995</v>
      </c>
      <c r="ES97">
        <v>529.79999999999995</v>
      </c>
      <c r="ET97">
        <v>0</v>
      </c>
      <c r="EU97">
        <v>0</v>
      </c>
      <c r="EV97">
        <v>0</v>
      </c>
      <c r="EW97">
        <v>0</v>
      </c>
      <c r="EX97">
        <v>0</v>
      </c>
      <c r="EZ97">
        <v>5</v>
      </c>
      <c r="FC97">
        <v>1</v>
      </c>
      <c r="FD97">
        <v>18</v>
      </c>
      <c r="FF97">
        <v>4672</v>
      </c>
      <c r="FQ97">
        <v>0</v>
      </c>
      <c r="FR97">
        <f t="shared" si="110"/>
        <v>8116.54</v>
      </c>
      <c r="FS97">
        <v>0</v>
      </c>
      <c r="FX97">
        <v>90</v>
      </c>
      <c r="FY97">
        <v>46</v>
      </c>
      <c r="GA97" t="s">
        <v>166</v>
      </c>
      <c r="GD97">
        <v>1</v>
      </c>
      <c r="GF97">
        <v>600110797</v>
      </c>
      <c r="GG97">
        <v>2</v>
      </c>
      <c r="GH97">
        <v>3</v>
      </c>
      <c r="GI97">
        <v>5</v>
      </c>
      <c r="GJ97">
        <v>0</v>
      </c>
      <c r="GK97">
        <v>0</v>
      </c>
      <c r="GL97">
        <f t="shared" si="133"/>
        <v>0</v>
      </c>
      <c r="GM97">
        <f t="shared" si="134"/>
        <v>8116.54</v>
      </c>
      <c r="GN97">
        <f t="shared" si="135"/>
        <v>0</v>
      </c>
      <c r="GO97">
        <f t="shared" si="136"/>
        <v>0</v>
      </c>
      <c r="GP97">
        <f t="shared" si="137"/>
        <v>0</v>
      </c>
      <c r="GR97">
        <v>1</v>
      </c>
      <c r="GS97">
        <v>1</v>
      </c>
      <c r="GT97">
        <v>0</v>
      </c>
      <c r="GU97" t="s">
        <v>3</v>
      </c>
      <c r="GV97">
        <f t="shared" si="138"/>
        <v>0</v>
      </c>
      <c r="GW97">
        <v>1</v>
      </c>
      <c r="GX97">
        <f t="shared" si="139"/>
        <v>0</v>
      </c>
      <c r="HA97">
        <v>0</v>
      </c>
      <c r="HB97">
        <v>0</v>
      </c>
      <c r="HC97">
        <f t="shared" si="140"/>
        <v>0</v>
      </c>
      <c r="HE97" t="s">
        <v>37</v>
      </c>
      <c r="HF97" t="s">
        <v>38</v>
      </c>
      <c r="HM97" t="s">
        <v>3</v>
      </c>
      <c r="HN97" t="s">
        <v>3</v>
      </c>
      <c r="HO97" t="s">
        <v>3</v>
      </c>
      <c r="HP97" t="s">
        <v>3</v>
      </c>
      <c r="HQ97" t="s">
        <v>3</v>
      </c>
      <c r="HS97">
        <v>0</v>
      </c>
      <c r="IK97">
        <v>0</v>
      </c>
    </row>
    <row r="98" spans="1:255" x14ac:dyDescent="0.3">
      <c r="A98" s="2">
        <v>17</v>
      </c>
      <c r="B98" s="2">
        <v>1</v>
      </c>
      <c r="C98" s="2"/>
      <c r="D98" s="2">
        <f>ROW(EtalonRes!A65)</f>
        <v>65</v>
      </c>
      <c r="E98" s="2" t="s">
        <v>167</v>
      </c>
      <c r="F98" s="2" t="s">
        <v>168</v>
      </c>
      <c r="G98" s="2" t="s">
        <v>169</v>
      </c>
      <c r="H98" s="2" t="s">
        <v>22</v>
      </c>
      <c r="I98" s="2">
        <v>2</v>
      </c>
      <c r="J98" s="2">
        <v>0</v>
      </c>
      <c r="K98" s="2">
        <v>2</v>
      </c>
      <c r="L98" s="2"/>
      <c r="M98" s="2"/>
      <c r="N98" s="2"/>
      <c r="O98" s="2">
        <f t="shared" si="111"/>
        <v>48.36</v>
      </c>
      <c r="P98" s="2">
        <f>ROUND((ROUND((AC98*AW98*I98),2)*BC98),2)</f>
        <v>4.68</v>
      </c>
      <c r="Q98" s="2">
        <f>(ROUND((ROUND((((ET98*1.1))*AV98*I98),2)*BB98),2)+ROUND((ROUND(((AE98-((EU98*1.1)))*AV98*I98),2)*BS98),2))</f>
        <v>0.05</v>
      </c>
      <c r="R98" s="2">
        <f t="shared" si="112"/>
        <v>0</v>
      </c>
      <c r="S98" s="2">
        <f t="shared" si="113"/>
        <v>43.63</v>
      </c>
      <c r="T98" s="2">
        <f t="shared" si="114"/>
        <v>0</v>
      </c>
      <c r="U98" s="2">
        <f t="shared" si="115"/>
        <v>3.1326240000000003</v>
      </c>
      <c r="V98" s="2">
        <f t="shared" si="116"/>
        <v>0</v>
      </c>
      <c r="W98" s="2">
        <f t="shared" si="117"/>
        <v>0</v>
      </c>
      <c r="X98" s="2">
        <f t="shared" si="118"/>
        <v>39.270000000000003</v>
      </c>
      <c r="Y98" s="2">
        <f t="shared" si="119"/>
        <v>20.07</v>
      </c>
      <c r="Z98" s="2"/>
      <c r="AA98" s="2">
        <v>56498966</v>
      </c>
      <c r="AB98" s="2">
        <f t="shared" si="120"/>
        <v>23.196000000000002</v>
      </c>
      <c r="AC98" s="2">
        <f t="shared" si="121"/>
        <v>2.34</v>
      </c>
      <c r="AD98" s="2">
        <f>ROUND(((((ET98*1.1))-((EU98*1.1)))+AE98),6)</f>
        <v>2.1999999999999999E-2</v>
      </c>
      <c r="AE98" s="2">
        <f>ROUND(((EU98*1.1)),6)</f>
        <v>0</v>
      </c>
      <c r="AF98" s="2">
        <f>ROUND(((EV98*1.1)),6)</f>
        <v>20.834</v>
      </c>
      <c r="AG98" s="2">
        <f t="shared" si="122"/>
        <v>0</v>
      </c>
      <c r="AH98" s="2">
        <f>((EW98*1.1))</f>
        <v>1.4960000000000002</v>
      </c>
      <c r="AI98" s="2">
        <f>((EX98*1.1))</f>
        <v>0</v>
      </c>
      <c r="AJ98" s="2">
        <f t="shared" si="123"/>
        <v>0</v>
      </c>
      <c r="AK98" s="2">
        <v>21.3</v>
      </c>
      <c r="AL98" s="2">
        <v>2.34</v>
      </c>
      <c r="AM98" s="2">
        <v>0.02</v>
      </c>
      <c r="AN98" s="2">
        <v>0</v>
      </c>
      <c r="AO98" s="2">
        <v>18.940000000000001</v>
      </c>
      <c r="AP98" s="2">
        <v>0</v>
      </c>
      <c r="AQ98" s="2">
        <v>1.36</v>
      </c>
      <c r="AR98" s="2">
        <v>0</v>
      </c>
      <c r="AS98" s="2">
        <v>0</v>
      </c>
      <c r="AT98" s="2">
        <v>90</v>
      </c>
      <c r="AU98" s="2">
        <v>46</v>
      </c>
      <c r="AV98" s="2">
        <v>1.0469999999999999</v>
      </c>
      <c r="AW98" s="2">
        <v>1</v>
      </c>
      <c r="AX98" s="2"/>
      <c r="AY98" s="2"/>
      <c r="AZ98" s="2">
        <v>1</v>
      </c>
      <c r="BA98" s="2">
        <v>1</v>
      </c>
      <c r="BB98" s="2">
        <v>1</v>
      </c>
      <c r="BC98" s="2">
        <v>1</v>
      </c>
      <c r="BD98" s="2" t="s">
        <v>3</v>
      </c>
      <c r="BE98" s="2" t="s">
        <v>3</v>
      </c>
      <c r="BF98" s="2" t="s">
        <v>3</v>
      </c>
      <c r="BG98" s="2" t="s">
        <v>3</v>
      </c>
      <c r="BH98" s="2">
        <v>0</v>
      </c>
      <c r="BI98" s="2">
        <v>2</v>
      </c>
      <c r="BJ98" s="2" t="s">
        <v>170</v>
      </c>
      <c r="BK98" s="2"/>
      <c r="BL98" s="2"/>
      <c r="BM98" s="2">
        <v>68</v>
      </c>
      <c r="BN98" s="2">
        <v>0</v>
      </c>
      <c r="BO98" s="2" t="s">
        <v>168</v>
      </c>
      <c r="BP98" s="2">
        <v>1</v>
      </c>
      <c r="BQ98" s="2">
        <v>40</v>
      </c>
      <c r="BR98" s="2">
        <v>0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 t="s">
        <v>3</v>
      </c>
      <c r="BZ98" s="2">
        <v>90</v>
      </c>
      <c r="CA98" s="2">
        <v>46</v>
      </c>
      <c r="CB98" s="2" t="s">
        <v>3</v>
      </c>
      <c r="CC98" s="2"/>
      <c r="CD98" s="2"/>
      <c r="CE98" s="2">
        <v>30</v>
      </c>
      <c r="CF98" s="2">
        <v>0</v>
      </c>
      <c r="CG98" s="2">
        <v>0</v>
      </c>
      <c r="CH98" s="2"/>
      <c r="CI98" s="2"/>
      <c r="CJ98" s="2"/>
      <c r="CK98" s="2"/>
      <c r="CL98" s="2"/>
      <c r="CM98" s="2">
        <v>0</v>
      </c>
      <c r="CN98" s="2" t="s">
        <v>3</v>
      </c>
      <c r="CO98" s="2">
        <v>0</v>
      </c>
      <c r="CP98" s="2">
        <f t="shared" si="124"/>
        <v>48.36</v>
      </c>
      <c r="CQ98" s="2">
        <f>ROUND((ROUND((AC98*AW98*1),2)*BC98),2)</f>
        <v>2.34</v>
      </c>
      <c r="CR98" s="2">
        <f>(ROUND((ROUND((((ET98*1.1))*AV98*1),2)*BB98),2)+ROUND((ROUND(((AE98-((EU98*1.1)))*AV98*1),2)*BS98),2))</f>
        <v>0.02</v>
      </c>
      <c r="CS98" s="2">
        <f t="shared" si="125"/>
        <v>0</v>
      </c>
      <c r="CT98" s="2">
        <f t="shared" si="126"/>
        <v>21.81</v>
      </c>
      <c r="CU98" s="2">
        <f t="shared" si="127"/>
        <v>0</v>
      </c>
      <c r="CV98" s="2">
        <f t="shared" si="128"/>
        <v>1.5663120000000001</v>
      </c>
      <c r="CW98" s="2">
        <f t="shared" si="129"/>
        <v>0</v>
      </c>
      <c r="CX98" s="2">
        <f t="shared" si="130"/>
        <v>0</v>
      </c>
      <c r="CY98" s="2">
        <f t="shared" si="131"/>
        <v>39.267000000000003</v>
      </c>
      <c r="CZ98" s="2">
        <f t="shared" si="132"/>
        <v>20.069800000000001</v>
      </c>
      <c r="DA98" s="2"/>
      <c r="DB98" s="2"/>
      <c r="DC98" s="2" t="s">
        <v>3</v>
      </c>
      <c r="DD98" s="2" t="s">
        <v>3</v>
      </c>
      <c r="DE98" s="2" t="s">
        <v>24</v>
      </c>
      <c r="DF98" s="2" t="s">
        <v>24</v>
      </c>
      <c r="DG98" s="2" t="s">
        <v>24</v>
      </c>
      <c r="DH98" s="2" t="s">
        <v>3</v>
      </c>
      <c r="DI98" s="2" t="s">
        <v>24</v>
      </c>
      <c r="DJ98" s="2" t="s">
        <v>24</v>
      </c>
      <c r="DK98" s="2" t="s">
        <v>3</v>
      </c>
      <c r="DL98" s="2" t="s">
        <v>3</v>
      </c>
      <c r="DM98" s="2" t="s">
        <v>3</v>
      </c>
      <c r="DN98" s="2">
        <v>0</v>
      </c>
      <c r="DO98" s="2">
        <v>0</v>
      </c>
      <c r="DP98" s="2">
        <v>1</v>
      </c>
      <c r="DQ98" s="2">
        <v>1</v>
      </c>
      <c r="DR98" s="2"/>
      <c r="DS98" s="2"/>
      <c r="DT98" s="2"/>
      <c r="DU98" s="2">
        <v>1013</v>
      </c>
      <c r="DV98" s="2" t="s">
        <v>22</v>
      </c>
      <c r="DW98" s="2" t="s">
        <v>22</v>
      </c>
      <c r="DX98" s="2">
        <v>1</v>
      </c>
      <c r="DY98" s="2"/>
      <c r="DZ98" s="2" t="s">
        <v>3</v>
      </c>
      <c r="EA98" s="2" t="s">
        <v>3</v>
      </c>
      <c r="EB98" s="2" t="s">
        <v>3</v>
      </c>
      <c r="EC98" s="2" t="s">
        <v>3</v>
      </c>
      <c r="ED98" s="2"/>
      <c r="EE98" s="2">
        <v>58162630</v>
      </c>
      <c r="EF98" s="2">
        <v>40</v>
      </c>
      <c r="EG98" s="2" t="s">
        <v>25</v>
      </c>
      <c r="EH98" s="2">
        <v>0</v>
      </c>
      <c r="EI98" s="2" t="s">
        <v>3</v>
      </c>
      <c r="EJ98" s="2">
        <v>2</v>
      </c>
      <c r="EK98" s="2">
        <v>68</v>
      </c>
      <c r="EL98" s="2" t="s">
        <v>26</v>
      </c>
      <c r="EM98" s="2" t="s">
        <v>27</v>
      </c>
      <c r="EN98" s="2"/>
      <c r="EO98" s="2" t="s">
        <v>28</v>
      </c>
      <c r="EP98" s="2"/>
      <c r="EQ98" s="2">
        <v>0</v>
      </c>
      <c r="ER98" s="2">
        <v>21.3</v>
      </c>
      <c r="ES98" s="2">
        <v>2.34</v>
      </c>
      <c r="ET98" s="2">
        <v>0.02</v>
      </c>
      <c r="EU98" s="2">
        <v>0</v>
      </c>
      <c r="EV98" s="2">
        <v>18.940000000000001</v>
      </c>
      <c r="EW98" s="2">
        <v>1.36</v>
      </c>
      <c r="EX98" s="2">
        <v>0</v>
      </c>
      <c r="EY98" s="2">
        <v>0</v>
      </c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>
        <v>0</v>
      </c>
      <c r="FR98" s="2">
        <v>0</v>
      </c>
      <c r="FS98" s="2">
        <v>0</v>
      </c>
      <c r="FT98" s="2"/>
      <c r="FU98" s="2"/>
      <c r="FV98" s="2"/>
      <c r="FW98" s="2"/>
      <c r="FX98" s="2">
        <v>90</v>
      </c>
      <c r="FY98" s="2">
        <v>46</v>
      </c>
      <c r="FZ98" s="2"/>
      <c r="GA98" s="2" t="s">
        <v>3</v>
      </c>
      <c r="GB98" s="2"/>
      <c r="GC98" s="2"/>
      <c r="GD98" s="2">
        <v>1</v>
      </c>
      <c r="GE98" s="2"/>
      <c r="GF98" s="2">
        <v>938017806</v>
      </c>
      <c r="GG98" s="2">
        <v>2</v>
      </c>
      <c r="GH98" s="2">
        <v>1</v>
      </c>
      <c r="GI98" s="2">
        <v>2</v>
      </c>
      <c r="GJ98" s="2">
        <v>0</v>
      </c>
      <c r="GK98" s="2">
        <v>0</v>
      </c>
      <c r="GL98" s="2">
        <f t="shared" si="133"/>
        <v>0</v>
      </c>
      <c r="GM98" s="2">
        <f t="shared" si="134"/>
        <v>107.7</v>
      </c>
      <c r="GN98" s="2">
        <f t="shared" si="135"/>
        <v>0</v>
      </c>
      <c r="GO98" s="2">
        <f t="shared" si="136"/>
        <v>107.7</v>
      </c>
      <c r="GP98" s="2">
        <f t="shared" si="137"/>
        <v>0</v>
      </c>
      <c r="GQ98" s="2"/>
      <c r="GR98" s="2">
        <v>0</v>
      </c>
      <c r="GS98" s="2">
        <v>3</v>
      </c>
      <c r="GT98" s="2">
        <v>0</v>
      </c>
      <c r="GU98" s="2" t="s">
        <v>3</v>
      </c>
      <c r="GV98" s="2">
        <f t="shared" si="138"/>
        <v>0</v>
      </c>
      <c r="GW98" s="2">
        <v>1</v>
      </c>
      <c r="GX98" s="2">
        <f t="shared" si="139"/>
        <v>0</v>
      </c>
      <c r="GY98" s="2"/>
      <c r="GZ98" s="2"/>
      <c r="HA98" s="2">
        <v>0</v>
      </c>
      <c r="HB98" s="2">
        <v>0</v>
      </c>
      <c r="HC98" s="2">
        <f t="shared" si="140"/>
        <v>0</v>
      </c>
      <c r="HD98" s="2"/>
      <c r="HE98" s="2" t="s">
        <v>3</v>
      </c>
      <c r="HF98" s="2" t="s">
        <v>3</v>
      </c>
      <c r="HG98" s="2"/>
      <c r="HH98" s="2"/>
      <c r="HI98" s="2"/>
      <c r="HJ98" s="2"/>
      <c r="HK98" s="2"/>
      <c r="HL98" s="2"/>
      <c r="HM98" s="2" t="s">
        <v>3</v>
      </c>
      <c r="HN98" s="2" t="s">
        <v>3</v>
      </c>
      <c r="HO98" s="2" t="s">
        <v>3</v>
      </c>
      <c r="HP98" s="2" t="s">
        <v>3</v>
      </c>
      <c r="HQ98" s="2" t="s">
        <v>3</v>
      </c>
      <c r="HR98" s="2"/>
      <c r="HS98" s="2">
        <v>0</v>
      </c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>
        <v>0</v>
      </c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x14ac:dyDescent="0.3">
      <c r="A99">
        <v>17</v>
      </c>
      <c r="B99">
        <v>1</v>
      </c>
      <c r="D99">
        <f>ROW(EtalonRes!A72)</f>
        <v>72</v>
      </c>
      <c r="E99" t="s">
        <v>167</v>
      </c>
      <c r="F99" t="s">
        <v>168</v>
      </c>
      <c r="G99" t="s">
        <v>169</v>
      </c>
      <c r="H99" t="s">
        <v>22</v>
      </c>
      <c r="I99">
        <v>2</v>
      </c>
      <c r="J99">
        <v>0</v>
      </c>
      <c r="K99">
        <v>2</v>
      </c>
      <c r="O99">
        <f t="shared" si="111"/>
        <v>2447.73</v>
      </c>
      <c r="P99">
        <f>ROUND((ROUND((AC99*AW99*I99),2)*BC99),2)</f>
        <v>48.02</v>
      </c>
      <c r="Q99">
        <f>(ROUND((ROUND((((ET99*1.1))*AV99*I99),2)*BB99),2)+ROUND((ROUND(((AE99-((EU99*1.1)))*AV99*I99),2)*BS99),2))</f>
        <v>0.5</v>
      </c>
      <c r="R99">
        <f t="shared" si="112"/>
        <v>0</v>
      </c>
      <c r="S99">
        <f t="shared" si="113"/>
        <v>2399.21</v>
      </c>
      <c r="T99">
        <f t="shared" si="114"/>
        <v>0</v>
      </c>
      <c r="U99">
        <f t="shared" si="115"/>
        <v>3.1326240000000003</v>
      </c>
      <c r="V99">
        <f t="shared" si="116"/>
        <v>0</v>
      </c>
      <c r="W99">
        <f t="shared" si="117"/>
        <v>0</v>
      </c>
      <c r="X99">
        <f t="shared" si="118"/>
        <v>2159.29</v>
      </c>
      <c r="Y99">
        <f t="shared" si="119"/>
        <v>1103.6400000000001</v>
      </c>
      <c r="AA99">
        <v>56498968</v>
      </c>
      <c r="AB99">
        <f t="shared" si="120"/>
        <v>23.196000000000002</v>
      </c>
      <c r="AC99">
        <f t="shared" si="121"/>
        <v>2.34</v>
      </c>
      <c r="AD99">
        <f>ROUND(((((ET99*1.1))-((EU99*1.1)))+AE99),6)</f>
        <v>2.1999999999999999E-2</v>
      </c>
      <c r="AE99">
        <f>ROUND(((EU99*1.1)),6)</f>
        <v>0</v>
      </c>
      <c r="AF99">
        <f>ROUND(((EV99*1.1)),6)</f>
        <v>20.834</v>
      </c>
      <c r="AG99">
        <f t="shared" si="122"/>
        <v>0</v>
      </c>
      <c r="AH99">
        <f>((EW99*1.1))</f>
        <v>1.4960000000000002</v>
      </c>
      <c r="AI99">
        <f>((EX99*1.1))</f>
        <v>0</v>
      </c>
      <c r="AJ99">
        <f t="shared" si="123"/>
        <v>0</v>
      </c>
      <c r="AK99">
        <v>21.3</v>
      </c>
      <c r="AL99">
        <v>2.34</v>
      </c>
      <c r="AM99">
        <v>0.02</v>
      </c>
      <c r="AN99">
        <v>0</v>
      </c>
      <c r="AO99">
        <v>18.940000000000001</v>
      </c>
      <c r="AP99">
        <v>0</v>
      </c>
      <c r="AQ99">
        <v>1.36</v>
      </c>
      <c r="AR99">
        <v>0</v>
      </c>
      <c r="AS99">
        <v>0</v>
      </c>
      <c r="AT99">
        <v>90</v>
      </c>
      <c r="AU99">
        <v>46</v>
      </c>
      <c r="AV99">
        <v>1.0469999999999999</v>
      </c>
      <c r="AW99">
        <v>1</v>
      </c>
      <c r="AZ99">
        <v>1</v>
      </c>
      <c r="BA99">
        <v>54.99</v>
      </c>
      <c r="BB99">
        <v>10</v>
      </c>
      <c r="BC99">
        <v>10.26</v>
      </c>
      <c r="BD99" t="s">
        <v>3</v>
      </c>
      <c r="BE99" t="s">
        <v>3</v>
      </c>
      <c r="BF99" t="s">
        <v>3</v>
      </c>
      <c r="BG99" t="s">
        <v>3</v>
      </c>
      <c r="BH99">
        <v>0</v>
      </c>
      <c r="BI99">
        <v>2</v>
      </c>
      <c r="BJ99" t="s">
        <v>170</v>
      </c>
      <c r="BM99">
        <v>68</v>
      </c>
      <c r="BN99">
        <v>0</v>
      </c>
      <c r="BO99" t="s">
        <v>168</v>
      </c>
      <c r="BP99">
        <v>1</v>
      </c>
      <c r="BQ99">
        <v>40</v>
      </c>
      <c r="BR99">
        <v>0</v>
      </c>
      <c r="BS99">
        <v>54.99</v>
      </c>
      <c r="BT99">
        <v>1</v>
      </c>
      <c r="BU99">
        <v>1</v>
      </c>
      <c r="BV99">
        <v>1</v>
      </c>
      <c r="BW99">
        <v>1</v>
      </c>
      <c r="BX99">
        <v>1</v>
      </c>
      <c r="BY99" t="s">
        <v>3</v>
      </c>
      <c r="BZ99">
        <v>90</v>
      </c>
      <c r="CA99">
        <v>46</v>
      </c>
      <c r="CB99" t="s">
        <v>3</v>
      </c>
      <c r="CE99">
        <v>30</v>
      </c>
      <c r="CF99">
        <v>0</v>
      </c>
      <c r="CG99">
        <v>0</v>
      </c>
      <c r="CM99">
        <v>0</v>
      </c>
      <c r="CN99" t="s">
        <v>3</v>
      </c>
      <c r="CO99">
        <v>0</v>
      </c>
      <c r="CP99">
        <f t="shared" si="124"/>
        <v>2447.73</v>
      </c>
      <c r="CQ99">
        <f>ROUND((ROUND((AC99*AW99*1),2)*BC99),2)</f>
        <v>24.01</v>
      </c>
      <c r="CR99">
        <f>(ROUND((ROUND((((ET99*1.1))*AV99*1),2)*BB99),2)+ROUND((ROUND(((AE99-((EU99*1.1)))*AV99*1),2)*BS99),2))</f>
        <v>0.2</v>
      </c>
      <c r="CS99">
        <f t="shared" si="125"/>
        <v>0</v>
      </c>
      <c r="CT99">
        <f t="shared" si="126"/>
        <v>1199.33</v>
      </c>
      <c r="CU99">
        <f t="shared" si="127"/>
        <v>0</v>
      </c>
      <c r="CV99">
        <f t="shared" si="128"/>
        <v>1.5663120000000001</v>
      </c>
      <c r="CW99">
        <f t="shared" si="129"/>
        <v>0</v>
      </c>
      <c r="CX99">
        <f t="shared" si="130"/>
        <v>0</v>
      </c>
      <c r="CY99">
        <f t="shared" si="131"/>
        <v>2159.2889999999998</v>
      </c>
      <c r="CZ99">
        <f t="shared" si="132"/>
        <v>1103.6366</v>
      </c>
      <c r="DC99" t="s">
        <v>3</v>
      </c>
      <c r="DD99" t="s">
        <v>3</v>
      </c>
      <c r="DE99" t="s">
        <v>24</v>
      </c>
      <c r="DF99" t="s">
        <v>24</v>
      </c>
      <c r="DG99" t="s">
        <v>24</v>
      </c>
      <c r="DH99" t="s">
        <v>3</v>
      </c>
      <c r="DI99" t="s">
        <v>24</v>
      </c>
      <c r="DJ99" t="s">
        <v>24</v>
      </c>
      <c r="DK99" t="s">
        <v>3</v>
      </c>
      <c r="DL99" t="s">
        <v>3</v>
      </c>
      <c r="DM99" t="s">
        <v>3</v>
      </c>
      <c r="DN99">
        <v>0</v>
      </c>
      <c r="DO99">
        <v>0</v>
      </c>
      <c r="DP99">
        <v>1</v>
      </c>
      <c r="DQ99">
        <v>1</v>
      </c>
      <c r="DU99">
        <v>1013</v>
      </c>
      <c r="DV99" t="s">
        <v>22</v>
      </c>
      <c r="DW99" t="s">
        <v>22</v>
      </c>
      <c r="DX99">
        <v>1</v>
      </c>
      <c r="DZ99" t="s">
        <v>3</v>
      </c>
      <c r="EA99" t="s">
        <v>3</v>
      </c>
      <c r="EB99" t="s">
        <v>3</v>
      </c>
      <c r="EC99" t="s">
        <v>3</v>
      </c>
      <c r="EE99">
        <v>58162630</v>
      </c>
      <c r="EF99">
        <v>40</v>
      </c>
      <c r="EG99" t="s">
        <v>25</v>
      </c>
      <c r="EH99">
        <v>0</v>
      </c>
      <c r="EI99" t="s">
        <v>3</v>
      </c>
      <c r="EJ99">
        <v>2</v>
      </c>
      <c r="EK99">
        <v>68</v>
      </c>
      <c r="EL99" t="s">
        <v>26</v>
      </c>
      <c r="EM99" t="s">
        <v>27</v>
      </c>
      <c r="EO99" t="s">
        <v>28</v>
      </c>
      <c r="EQ99">
        <v>0</v>
      </c>
      <c r="ER99">
        <v>21.3</v>
      </c>
      <c r="ES99">
        <v>2.34</v>
      </c>
      <c r="ET99">
        <v>0.02</v>
      </c>
      <c r="EU99">
        <v>0</v>
      </c>
      <c r="EV99">
        <v>18.940000000000001</v>
      </c>
      <c r="EW99">
        <v>1.36</v>
      </c>
      <c r="EX99">
        <v>0</v>
      </c>
      <c r="EY99">
        <v>0</v>
      </c>
      <c r="FQ99">
        <v>0</v>
      </c>
      <c r="FR99">
        <v>0</v>
      </c>
      <c r="FS99">
        <v>0</v>
      </c>
      <c r="FX99">
        <v>90</v>
      </c>
      <c r="FY99">
        <v>46</v>
      </c>
      <c r="GA99" t="s">
        <v>3</v>
      </c>
      <c r="GD99">
        <v>1</v>
      </c>
      <c r="GF99">
        <v>938017806</v>
      </c>
      <c r="GG99">
        <v>2</v>
      </c>
      <c r="GH99">
        <v>1</v>
      </c>
      <c r="GI99">
        <v>2</v>
      </c>
      <c r="GJ99">
        <v>0</v>
      </c>
      <c r="GK99">
        <v>0</v>
      </c>
      <c r="GL99">
        <f t="shared" si="133"/>
        <v>0</v>
      </c>
      <c r="GM99">
        <f t="shared" si="134"/>
        <v>5710.66</v>
      </c>
      <c r="GN99">
        <f t="shared" si="135"/>
        <v>0</v>
      </c>
      <c r="GO99">
        <f t="shared" si="136"/>
        <v>5710.66</v>
      </c>
      <c r="GP99">
        <f t="shared" si="137"/>
        <v>0</v>
      </c>
      <c r="GR99">
        <v>0</v>
      </c>
      <c r="GS99">
        <v>3</v>
      </c>
      <c r="GT99">
        <v>0</v>
      </c>
      <c r="GU99" t="s">
        <v>3</v>
      </c>
      <c r="GV99">
        <f t="shared" si="138"/>
        <v>0</v>
      </c>
      <c r="GW99">
        <v>1</v>
      </c>
      <c r="GX99">
        <f t="shared" si="139"/>
        <v>0</v>
      </c>
      <c r="HA99">
        <v>0</v>
      </c>
      <c r="HB99">
        <v>0</v>
      </c>
      <c r="HC99">
        <f t="shared" si="140"/>
        <v>0</v>
      </c>
      <c r="HE99" t="s">
        <v>3</v>
      </c>
      <c r="HF99" t="s">
        <v>3</v>
      </c>
      <c r="HM99" t="s">
        <v>3</v>
      </c>
      <c r="HN99" t="s">
        <v>3</v>
      </c>
      <c r="HO99" t="s">
        <v>3</v>
      </c>
      <c r="HP99" t="s">
        <v>3</v>
      </c>
      <c r="HQ99" t="s">
        <v>3</v>
      </c>
      <c r="HS99">
        <v>0</v>
      </c>
      <c r="IK99">
        <v>0</v>
      </c>
    </row>
    <row r="100" spans="1:255" x14ac:dyDescent="0.3">
      <c r="A100" s="2">
        <v>18</v>
      </c>
      <c r="B100" s="2">
        <v>1</v>
      </c>
      <c r="C100" s="2"/>
      <c r="D100" s="2"/>
      <c r="E100" s="2" t="s">
        <v>171</v>
      </c>
      <c r="F100" s="2" t="s">
        <v>172</v>
      </c>
      <c r="G100" s="2" t="s">
        <v>173</v>
      </c>
      <c r="H100" s="2" t="s">
        <v>32</v>
      </c>
      <c r="I100" s="2">
        <f>I98*J100</f>
        <v>2</v>
      </c>
      <c r="J100" s="2">
        <v>1</v>
      </c>
      <c r="K100" s="2">
        <v>1</v>
      </c>
      <c r="L100" s="2"/>
      <c r="M100" s="2"/>
      <c r="N100" s="2"/>
      <c r="O100" s="2">
        <f t="shared" si="111"/>
        <v>1759.7</v>
      </c>
      <c r="P100" s="2">
        <f>ROUND((ROUND((AC100*I100),2)*BC100),2)</f>
        <v>1759.7</v>
      </c>
      <c r="Q100" s="2">
        <f>(ROUND((ROUND(((ET100)*AV100*I100),2)*BB100),2)+ROUND((ROUND(((AE100-(EU100))*AV100*I100),2)*BS100),2))</f>
        <v>0</v>
      </c>
      <c r="R100" s="2">
        <f t="shared" si="112"/>
        <v>0</v>
      </c>
      <c r="S100" s="2">
        <f t="shared" si="113"/>
        <v>0</v>
      </c>
      <c r="T100" s="2">
        <f t="shared" si="114"/>
        <v>0</v>
      </c>
      <c r="U100" s="2">
        <f t="shared" si="115"/>
        <v>0</v>
      </c>
      <c r="V100" s="2">
        <f t="shared" si="116"/>
        <v>0</v>
      </c>
      <c r="W100" s="2">
        <f t="shared" si="117"/>
        <v>0</v>
      </c>
      <c r="X100" s="2">
        <f t="shared" si="118"/>
        <v>0</v>
      </c>
      <c r="Y100" s="2">
        <f t="shared" si="119"/>
        <v>0</v>
      </c>
      <c r="Z100" s="2"/>
      <c r="AA100" s="2">
        <v>56498966</v>
      </c>
      <c r="AB100" s="2">
        <f t="shared" si="120"/>
        <v>879.85</v>
      </c>
      <c r="AC100" s="2">
        <f t="shared" si="121"/>
        <v>879.85</v>
      </c>
      <c r="AD100" s="2">
        <f>ROUND((((ET100)-(EU100))+AE100),6)</f>
        <v>0</v>
      </c>
      <c r="AE100" s="2">
        <f>ROUND((EU100),6)</f>
        <v>0</v>
      </c>
      <c r="AF100" s="2">
        <f>ROUND((EV100),6)</f>
        <v>0</v>
      </c>
      <c r="AG100" s="2">
        <f t="shared" si="122"/>
        <v>0</v>
      </c>
      <c r="AH100" s="2">
        <f>(EW100)</f>
        <v>0</v>
      </c>
      <c r="AI100" s="2">
        <f>(EX100)</f>
        <v>0</v>
      </c>
      <c r="AJ100" s="2">
        <f t="shared" si="123"/>
        <v>0</v>
      </c>
      <c r="AK100" s="2">
        <v>879.85</v>
      </c>
      <c r="AL100" s="2">
        <v>879.85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1</v>
      </c>
      <c r="AW100" s="2">
        <v>1</v>
      </c>
      <c r="AX100" s="2"/>
      <c r="AY100" s="2"/>
      <c r="AZ100" s="2">
        <v>1</v>
      </c>
      <c r="BA100" s="2">
        <v>1</v>
      </c>
      <c r="BB100" s="2">
        <v>1</v>
      </c>
      <c r="BC100" s="2">
        <v>1</v>
      </c>
      <c r="BD100" s="2" t="s">
        <v>3</v>
      </c>
      <c r="BE100" s="2" t="s">
        <v>3</v>
      </c>
      <c r="BF100" s="2" t="s">
        <v>3</v>
      </c>
      <c r="BG100" s="2" t="s">
        <v>3</v>
      </c>
      <c r="BH100" s="2">
        <v>3</v>
      </c>
      <c r="BI100" s="2">
        <v>3</v>
      </c>
      <c r="BJ100" s="2" t="s">
        <v>3</v>
      </c>
      <c r="BK100" s="2"/>
      <c r="BL100" s="2"/>
      <c r="BM100" s="2">
        <v>746</v>
      </c>
      <c r="BN100" s="2">
        <v>0</v>
      </c>
      <c r="BO100" s="2" t="s">
        <v>3</v>
      </c>
      <c r="BP100" s="2">
        <v>0</v>
      </c>
      <c r="BQ100" s="2">
        <v>130</v>
      </c>
      <c r="BR100" s="2">
        <v>0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 t="s">
        <v>3</v>
      </c>
      <c r="BZ100" s="2">
        <v>90</v>
      </c>
      <c r="CA100" s="2">
        <v>46</v>
      </c>
      <c r="CB100" s="2" t="s">
        <v>3</v>
      </c>
      <c r="CC100" s="2"/>
      <c r="CD100" s="2"/>
      <c r="CE100" s="2">
        <v>30</v>
      </c>
      <c r="CF100" s="2">
        <v>0</v>
      </c>
      <c r="CG100" s="2">
        <v>0</v>
      </c>
      <c r="CH100" s="2"/>
      <c r="CI100" s="2"/>
      <c r="CJ100" s="2"/>
      <c r="CK100" s="2"/>
      <c r="CL100" s="2"/>
      <c r="CM100" s="2">
        <v>0</v>
      </c>
      <c r="CN100" s="2" t="s">
        <v>3</v>
      </c>
      <c r="CO100" s="2">
        <v>0</v>
      </c>
      <c r="CP100" s="2">
        <f t="shared" si="124"/>
        <v>1759.7</v>
      </c>
      <c r="CQ100" s="2">
        <f>ROUND((ROUND((AC100*1),2)*BC100),2)</f>
        <v>879.85</v>
      </c>
      <c r="CR100" s="2">
        <f>(ROUND((ROUND(((ET100)*AV100*1),2)*BB100),2)+ROUND((ROUND(((AE100-(EU100))*AV100*1),2)*BS100),2))</f>
        <v>0</v>
      </c>
      <c r="CS100" s="2">
        <f t="shared" si="125"/>
        <v>0</v>
      </c>
      <c r="CT100" s="2">
        <f t="shared" si="126"/>
        <v>0</v>
      </c>
      <c r="CU100" s="2">
        <f t="shared" si="127"/>
        <v>0</v>
      </c>
      <c r="CV100" s="2">
        <f t="shared" si="128"/>
        <v>0</v>
      </c>
      <c r="CW100" s="2">
        <f t="shared" si="129"/>
        <v>0</v>
      </c>
      <c r="CX100" s="2">
        <f t="shared" si="130"/>
        <v>0</v>
      </c>
      <c r="CY100" s="2">
        <f t="shared" si="131"/>
        <v>0</v>
      </c>
      <c r="CZ100" s="2">
        <f t="shared" si="132"/>
        <v>0</v>
      </c>
      <c r="DA100" s="2"/>
      <c r="DB100" s="2"/>
      <c r="DC100" s="2" t="s">
        <v>3</v>
      </c>
      <c r="DD100" s="2" t="s">
        <v>3</v>
      </c>
      <c r="DE100" s="2" t="s">
        <v>3</v>
      </c>
      <c r="DF100" s="2" t="s">
        <v>3</v>
      </c>
      <c r="DG100" s="2" t="s">
        <v>3</v>
      </c>
      <c r="DH100" s="2" t="s">
        <v>3</v>
      </c>
      <c r="DI100" s="2" t="s">
        <v>3</v>
      </c>
      <c r="DJ100" s="2" t="s">
        <v>3</v>
      </c>
      <c r="DK100" s="2" t="s">
        <v>3</v>
      </c>
      <c r="DL100" s="2" t="s">
        <v>3</v>
      </c>
      <c r="DM100" s="2" t="s">
        <v>3</v>
      </c>
      <c r="DN100" s="2">
        <v>0</v>
      </c>
      <c r="DO100" s="2">
        <v>0</v>
      </c>
      <c r="DP100" s="2">
        <v>1</v>
      </c>
      <c r="DQ100" s="2">
        <v>1</v>
      </c>
      <c r="DR100" s="2"/>
      <c r="DS100" s="2"/>
      <c r="DT100" s="2"/>
      <c r="DU100" s="2">
        <v>1010</v>
      </c>
      <c r="DV100" s="2" t="s">
        <v>32</v>
      </c>
      <c r="DW100" s="2" t="s">
        <v>32</v>
      </c>
      <c r="DX100" s="2">
        <v>1</v>
      </c>
      <c r="DY100" s="2"/>
      <c r="DZ100" s="2" t="s">
        <v>3</v>
      </c>
      <c r="EA100" s="2" t="s">
        <v>3</v>
      </c>
      <c r="EB100" s="2" t="s">
        <v>3</v>
      </c>
      <c r="EC100" s="2" t="s">
        <v>3</v>
      </c>
      <c r="ED100" s="2"/>
      <c r="EE100" s="2">
        <v>58162750</v>
      </c>
      <c r="EF100" s="2">
        <v>130</v>
      </c>
      <c r="EG100" s="2" t="s">
        <v>33</v>
      </c>
      <c r="EH100" s="2">
        <v>0</v>
      </c>
      <c r="EI100" s="2" t="s">
        <v>3</v>
      </c>
      <c r="EJ100" s="2">
        <v>3</v>
      </c>
      <c r="EK100" s="2">
        <v>746</v>
      </c>
      <c r="EL100" s="2" t="s">
        <v>34</v>
      </c>
      <c r="EM100" s="2" t="s">
        <v>35</v>
      </c>
      <c r="EN100" s="2"/>
      <c r="EO100" s="2" t="s">
        <v>3</v>
      </c>
      <c r="EP100" s="2"/>
      <c r="EQ100" s="2">
        <v>0</v>
      </c>
      <c r="ER100" s="2">
        <v>0</v>
      </c>
      <c r="ES100" s="2">
        <v>879.85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>
        <v>0</v>
      </c>
      <c r="FR100" s="2">
        <f>P100</f>
        <v>1759.7</v>
      </c>
      <c r="FS100" s="2">
        <v>0</v>
      </c>
      <c r="FT100" s="2"/>
      <c r="FU100" s="2"/>
      <c r="FV100" s="2"/>
      <c r="FW100" s="2"/>
      <c r="FX100" s="2">
        <v>90</v>
      </c>
      <c r="FY100" s="2">
        <v>46</v>
      </c>
      <c r="FZ100" s="2"/>
      <c r="GA100" s="2" t="s">
        <v>174</v>
      </c>
      <c r="GB100" s="2"/>
      <c r="GC100" s="2"/>
      <c r="GD100" s="2">
        <v>1</v>
      </c>
      <c r="GE100" s="2"/>
      <c r="GF100" s="2">
        <v>2121168175</v>
      </c>
      <c r="GG100" s="2">
        <v>2</v>
      </c>
      <c r="GH100" s="2">
        <v>4</v>
      </c>
      <c r="GI100" s="2">
        <v>-2</v>
      </c>
      <c r="GJ100" s="2">
        <v>0</v>
      </c>
      <c r="GK100" s="2">
        <v>0</v>
      </c>
      <c r="GL100" s="2">
        <f t="shared" si="133"/>
        <v>0</v>
      </c>
      <c r="GM100" s="2">
        <f t="shared" si="134"/>
        <v>1759.7</v>
      </c>
      <c r="GN100" s="2">
        <f t="shared" si="135"/>
        <v>0</v>
      </c>
      <c r="GO100" s="2">
        <f t="shared" si="136"/>
        <v>0</v>
      </c>
      <c r="GP100" s="2">
        <f t="shared" si="137"/>
        <v>0</v>
      </c>
      <c r="GQ100" s="2"/>
      <c r="GR100" s="2">
        <v>0</v>
      </c>
      <c r="GS100" s="2">
        <v>2</v>
      </c>
      <c r="GT100" s="2">
        <v>0</v>
      </c>
      <c r="GU100" s="2" t="s">
        <v>3</v>
      </c>
      <c r="GV100" s="2">
        <f t="shared" si="138"/>
        <v>0</v>
      </c>
      <c r="GW100" s="2">
        <v>1</v>
      </c>
      <c r="GX100" s="2">
        <f t="shared" si="139"/>
        <v>0</v>
      </c>
      <c r="GY100" s="2"/>
      <c r="GZ100" s="2"/>
      <c r="HA100" s="2">
        <v>0</v>
      </c>
      <c r="HB100" s="2">
        <v>0</v>
      </c>
      <c r="HC100" s="2">
        <f t="shared" si="140"/>
        <v>0</v>
      </c>
      <c r="HD100" s="2"/>
      <c r="HE100" s="2" t="s">
        <v>37</v>
      </c>
      <c r="HF100" s="2" t="s">
        <v>38</v>
      </c>
      <c r="HG100" s="2"/>
      <c r="HH100" s="2"/>
      <c r="HI100" s="2"/>
      <c r="HJ100" s="2"/>
      <c r="HK100" s="2"/>
      <c r="HL100" s="2"/>
      <c r="HM100" s="2" t="s">
        <v>3</v>
      </c>
      <c r="HN100" s="2" t="s">
        <v>3</v>
      </c>
      <c r="HO100" s="2" t="s">
        <v>3</v>
      </c>
      <c r="HP100" s="2" t="s">
        <v>3</v>
      </c>
      <c r="HQ100" s="2" t="s">
        <v>3</v>
      </c>
      <c r="HR100" s="2"/>
      <c r="HS100" s="2">
        <v>0</v>
      </c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>
        <v>0</v>
      </c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x14ac:dyDescent="0.3">
      <c r="A101">
        <v>18</v>
      </c>
      <c r="B101">
        <v>1</v>
      </c>
      <c r="E101" t="s">
        <v>171</v>
      </c>
      <c r="F101" t="s">
        <v>172</v>
      </c>
      <c r="G101" t="s">
        <v>173</v>
      </c>
      <c r="H101" t="s">
        <v>32</v>
      </c>
      <c r="I101">
        <f>I99*J101</f>
        <v>2</v>
      </c>
      <c r="J101">
        <v>1</v>
      </c>
      <c r="K101">
        <v>1</v>
      </c>
      <c r="O101">
        <f t="shared" si="111"/>
        <v>13479.3</v>
      </c>
      <c r="P101">
        <f>ROUND((ROUND((AC101*I101),2)*BC101),2)</f>
        <v>13479.3</v>
      </c>
      <c r="Q101">
        <f>(ROUND((ROUND(((ET101)*AV101*I101),2)*BB101),2)+ROUND((ROUND(((AE101-(EU101))*AV101*I101),2)*BS101),2))</f>
        <v>0</v>
      </c>
      <c r="R101">
        <f t="shared" si="112"/>
        <v>0</v>
      </c>
      <c r="S101">
        <f t="shared" si="113"/>
        <v>0</v>
      </c>
      <c r="T101">
        <f t="shared" si="114"/>
        <v>0</v>
      </c>
      <c r="U101">
        <f t="shared" si="115"/>
        <v>0</v>
      </c>
      <c r="V101">
        <f t="shared" si="116"/>
        <v>0</v>
      </c>
      <c r="W101">
        <f t="shared" si="117"/>
        <v>0</v>
      </c>
      <c r="X101">
        <f t="shared" si="118"/>
        <v>0</v>
      </c>
      <c r="Y101">
        <f t="shared" si="119"/>
        <v>0</v>
      </c>
      <c r="AA101">
        <v>56498968</v>
      </c>
      <c r="AB101">
        <f t="shared" si="120"/>
        <v>879.85</v>
      </c>
      <c r="AC101">
        <f t="shared" si="121"/>
        <v>879.85</v>
      </c>
      <c r="AD101">
        <f>ROUND((((ET101)-(EU101))+AE101),6)</f>
        <v>0</v>
      </c>
      <c r="AE101">
        <f>ROUND((EU101),6)</f>
        <v>0</v>
      </c>
      <c r="AF101">
        <f>ROUND((EV101),6)</f>
        <v>0</v>
      </c>
      <c r="AG101">
        <f t="shared" si="122"/>
        <v>0</v>
      </c>
      <c r="AH101">
        <f>(EW101)</f>
        <v>0</v>
      </c>
      <c r="AI101">
        <f>(EX101)</f>
        <v>0</v>
      </c>
      <c r="AJ101">
        <f t="shared" si="123"/>
        <v>0</v>
      </c>
      <c r="AK101">
        <v>879.85</v>
      </c>
      <c r="AL101">
        <v>879.85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1</v>
      </c>
      <c r="AZ101">
        <v>1</v>
      </c>
      <c r="BA101">
        <v>1</v>
      </c>
      <c r="BB101">
        <v>1</v>
      </c>
      <c r="BC101">
        <v>7.66</v>
      </c>
      <c r="BD101" t="s">
        <v>3</v>
      </c>
      <c r="BE101" t="s">
        <v>3</v>
      </c>
      <c r="BF101" t="s">
        <v>3</v>
      </c>
      <c r="BG101" t="s">
        <v>3</v>
      </c>
      <c r="BH101">
        <v>3</v>
      </c>
      <c r="BI101">
        <v>3</v>
      </c>
      <c r="BJ101" t="s">
        <v>3</v>
      </c>
      <c r="BM101">
        <v>746</v>
      </c>
      <c r="BN101">
        <v>0</v>
      </c>
      <c r="BO101" t="s">
        <v>3</v>
      </c>
      <c r="BP101">
        <v>0</v>
      </c>
      <c r="BQ101">
        <v>130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 t="s">
        <v>3</v>
      </c>
      <c r="BZ101">
        <v>90</v>
      </c>
      <c r="CA101">
        <v>46</v>
      </c>
      <c r="CB101" t="s">
        <v>3</v>
      </c>
      <c r="CE101">
        <v>30</v>
      </c>
      <c r="CF101">
        <v>0</v>
      </c>
      <c r="CG101">
        <v>0</v>
      </c>
      <c r="CM101">
        <v>0</v>
      </c>
      <c r="CN101" t="s">
        <v>3</v>
      </c>
      <c r="CO101">
        <v>0</v>
      </c>
      <c r="CP101">
        <f t="shared" si="124"/>
        <v>13479.3</v>
      </c>
      <c r="CQ101">
        <f>ROUND((ROUND((AC101*1),2)*BC101),2)</f>
        <v>6739.65</v>
      </c>
      <c r="CR101">
        <f>(ROUND((ROUND(((ET101)*AV101*1),2)*BB101),2)+ROUND((ROUND(((AE101-(EU101))*AV101*1),2)*BS101),2))</f>
        <v>0</v>
      </c>
      <c r="CS101">
        <f t="shared" si="125"/>
        <v>0</v>
      </c>
      <c r="CT101">
        <f t="shared" si="126"/>
        <v>0</v>
      </c>
      <c r="CU101">
        <f t="shared" si="127"/>
        <v>0</v>
      </c>
      <c r="CV101">
        <f t="shared" si="128"/>
        <v>0</v>
      </c>
      <c r="CW101">
        <f t="shared" si="129"/>
        <v>0</v>
      </c>
      <c r="CX101">
        <f t="shared" si="130"/>
        <v>0</v>
      </c>
      <c r="CY101">
        <f t="shared" si="131"/>
        <v>0</v>
      </c>
      <c r="CZ101">
        <f t="shared" si="132"/>
        <v>0</v>
      </c>
      <c r="DC101" t="s">
        <v>3</v>
      </c>
      <c r="DD101" t="s">
        <v>3</v>
      </c>
      <c r="DE101" t="s">
        <v>3</v>
      </c>
      <c r="DF101" t="s">
        <v>3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  <c r="DN101">
        <v>0</v>
      </c>
      <c r="DO101">
        <v>0</v>
      </c>
      <c r="DP101">
        <v>1</v>
      </c>
      <c r="DQ101">
        <v>1</v>
      </c>
      <c r="DU101">
        <v>1010</v>
      </c>
      <c r="DV101" t="s">
        <v>32</v>
      </c>
      <c r="DW101" t="s">
        <v>32</v>
      </c>
      <c r="DX101">
        <v>1</v>
      </c>
      <c r="DZ101" t="s">
        <v>3</v>
      </c>
      <c r="EA101" t="s">
        <v>3</v>
      </c>
      <c r="EB101" t="s">
        <v>3</v>
      </c>
      <c r="EC101" t="s">
        <v>3</v>
      </c>
      <c r="EE101">
        <v>58162750</v>
      </c>
      <c r="EF101">
        <v>130</v>
      </c>
      <c r="EG101" t="s">
        <v>33</v>
      </c>
      <c r="EH101">
        <v>0</v>
      </c>
      <c r="EI101" t="s">
        <v>3</v>
      </c>
      <c r="EJ101">
        <v>3</v>
      </c>
      <c r="EK101">
        <v>746</v>
      </c>
      <c r="EL101" t="s">
        <v>34</v>
      </c>
      <c r="EM101" t="s">
        <v>35</v>
      </c>
      <c r="EO101" t="s">
        <v>3</v>
      </c>
      <c r="EQ101">
        <v>0</v>
      </c>
      <c r="ER101">
        <v>879.85</v>
      </c>
      <c r="ES101">
        <v>879.85</v>
      </c>
      <c r="ET101">
        <v>0</v>
      </c>
      <c r="EU101">
        <v>0</v>
      </c>
      <c r="EV101">
        <v>0</v>
      </c>
      <c r="EW101">
        <v>0</v>
      </c>
      <c r="EX101">
        <v>0</v>
      </c>
      <c r="EZ101">
        <v>5</v>
      </c>
      <c r="FC101">
        <v>1</v>
      </c>
      <c r="FD101">
        <v>18</v>
      </c>
      <c r="FF101">
        <v>7759</v>
      </c>
      <c r="FQ101">
        <v>0</v>
      </c>
      <c r="FR101">
        <f>P101</f>
        <v>13479.3</v>
      </c>
      <c r="FS101">
        <v>0</v>
      </c>
      <c r="FX101">
        <v>90</v>
      </c>
      <c r="FY101">
        <v>46</v>
      </c>
      <c r="GA101" t="s">
        <v>174</v>
      </c>
      <c r="GD101">
        <v>1</v>
      </c>
      <c r="GF101">
        <v>2121168175</v>
      </c>
      <c r="GG101">
        <v>2</v>
      </c>
      <c r="GH101">
        <v>3</v>
      </c>
      <c r="GI101">
        <v>5</v>
      </c>
      <c r="GJ101">
        <v>0</v>
      </c>
      <c r="GK101">
        <v>0</v>
      </c>
      <c r="GL101">
        <f t="shared" si="133"/>
        <v>0</v>
      </c>
      <c r="GM101">
        <f t="shared" si="134"/>
        <v>13479.3</v>
      </c>
      <c r="GN101">
        <f t="shared" si="135"/>
        <v>0</v>
      </c>
      <c r="GO101">
        <f t="shared" si="136"/>
        <v>0</v>
      </c>
      <c r="GP101">
        <f t="shared" si="137"/>
        <v>0</v>
      </c>
      <c r="GR101">
        <v>1</v>
      </c>
      <c r="GS101">
        <v>1</v>
      </c>
      <c r="GT101">
        <v>0</v>
      </c>
      <c r="GU101" t="s">
        <v>3</v>
      </c>
      <c r="GV101">
        <f t="shared" si="138"/>
        <v>0</v>
      </c>
      <c r="GW101">
        <v>1</v>
      </c>
      <c r="GX101">
        <f t="shared" si="139"/>
        <v>0</v>
      </c>
      <c r="HA101">
        <v>0</v>
      </c>
      <c r="HB101">
        <v>0</v>
      </c>
      <c r="HC101">
        <f t="shared" si="140"/>
        <v>0</v>
      </c>
      <c r="HE101" t="s">
        <v>37</v>
      </c>
      <c r="HF101" t="s">
        <v>38</v>
      </c>
      <c r="HM101" t="s">
        <v>3</v>
      </c>
      <c r="HN101" t="s">
        <v>3</v>
      </c>
      <c r="HO101" t="s">
        <v>3</v>
      </c>
      <c r="HP101" t="s">
        <v>3</v>
      </c>
      <c r="HQ101" t="s">
        <v>3</v>
      </c>
      <c r="HS101">
        <v>0</v>
      </c>
      <c r="IK101">
        <v>0</v>
      </c>
    </row>
    <row r="102" spans="1:255" x14ac:dyDescent="0.3">
      <c r="A102" s="2">
        <v>17</v>
      </c>
      <c r="B102" s="2">
        <v>1</v>
      </c>
      <c r="C102" s="2"/>
      <c r="D102" s="2">
        <f>ROW(EtalonRes!A77)</f>
        <v>77</v>
      </c>
      <c r="E102" s="2" t="s">
        <v>175</v>
      </c>
      <c r="F102" s="2" t="s">
        <v>176</v>
      </c>
      <c r="G102" s="2" t="s">
        <v>177</v>
      </c>
      <c r="H102" s="2" t="s">
        <v>22</v>
      </c>
      <c r="I102" s="2">
        <v>24</v>
      </c>
      <c r="J102" s="2">
        <v>0</v>
      </c>
      <c r="K102" s="2">
        <v>24</v>
      </c>
      <c r="L102" s="2"/>
      <c r="M102" s="2"/>
      <c r="N102" s="2"/>
      <c r="O102" s="2">
        <f t="shared" si="111"/>
        <v>1244.3399999999999</v>
      </c>
      <c r="P102" s="2">
        <f>ROUND((ROUND((AC102*AW102*I102),2)*BC102),2)</f>
        <v>587.04</v>
      </c>
      <c r="Q102" s="2">
        <f>(ROUND((ROUND((((ET102*1.1))*AV102*I102),2)*BB102),2)+ROUND((ROUND(((AE102-((EU102*1.1)))*AV102*I102),2)*BS102),2))</f>
        <v>0</v>
      </c>
      <c r="R102" s="2">
        <f t="shared" si="112"/>
        <v>0</v>
      </c>
      <c r="S102" s="2">
        <f t="shared" si="113"/>
        <v>657.3</v>
      </c>
      <c r="T102" s="2">
        <f t="shared" si="114"/>
        <v>0</v>
      </c>
      <c r="U102" s="2">
        <f t="shared" si="115"/>
        <v>55.281599999999997</v>
      </c>
      <c r="V102" s="2">
        <f t="shared" si="116"/>
        <v>0</v>
      </c>
      <c r="W102" s="2">
        <f t="shared" si="117"/>
        <v>0</v>
      </c>
      <c r="X102" s="2">
        <f t="shared" si="118"/>
        <v>624.44000000000005</v>
      </c>
      <c r="Y102" s="2">
        <f t="shared" si="119"/>
        <v>348.37</v>
      </c>
      <c r="Z102" s="2"/>
      <c r="AA102" s="2">
        <v>56498966</v>
      </c>
      <c r="AB102" s="2">
        <f t="shared" si="120"/>
        <v>50.618000000000002</v>
      </c>
      <c r="AC102" s="2">
        <f t="shared" si="121"/>
        <v>24.46</v>
      </c>
      <c r="AD102" s="2">
        <f>ROUND(((((ET102*1.1))-((EU102*1.1)))+AE102),6)</f>
        <v>0</v>
      </c>
      <c r="AE102" s="2">
        <f>ROUND(((EU102*1.1)),6)</f>
        <v>0</v>
      </c>
      <c r="AF102" s="2">
        <f>ROUND(((EV102*1.1)),6)</f>
        <v>26.158000000000001</v>
      </c>
      <c r="AG102" s="2">
        <f t="shared" si="122"/>
        <v>0</v>
      </c>
      <c r="AH102" s="2">
        <f>((EW102*1.1))</f>
        <v>2.2000000000000002</v>
      </c>
      <c r="AI102" s="2">
        <f>((EX102*1.1))</f>
        <v>0</v>
      </c>
      <c r="AJ102" s="2">
        <f t="shared" si="123"/>
        <v>0</v>
      </c>
      <c r="AK102" s="2">
        <v>48.24</v>
      </c>
      <c r="AL102" s="2">
        <v>24.46</v>
      </c>
      <c r="AM102" s="2">
        <v>0</v>
      </c>
      <c r="AN102" s="2">
        <v>0</v>
      </c>
      <c r="AO102" s="2">
        <v>23.78</v>
      </c>
      <c r="AP102" s="2">
        <v>0</v>
      </c>
      <c r="AQ102" s="2">
        <v>2</v>
      </c>
      <c r="AR102" s="2">
        <v>0</v>
      </c>
      <c r="AS102" s="2">
        <v>0</v>
      </c>
      <c r="AT102" s="2">
        <v>95</v>
      </c>
      <c r="AU102" s="2">
        <v>53</v>
      </c>
      <c r="AV102" s="2">
        <v>1.0469999999999999</v>
      </c>
      <c r="AW102" s="2">
        <v>1</v>
      </c>
      <c r="AX102" s="2"/>
      <c r="AY102" s="2"/>
      <c r="AZ102" s="2">
        <v>1</v>
      </c>
      <c r="BA102" s="2">
        <v>1</v>
      </c>
      <c r="BB102" s="2">
        <v>1</v>
      </c>
      <c r="BC102" s="2">
        <v>1</v>
      </c>
      <c r="BD102" s="2" t="s">
        <v>3</v>
      </c>
      <c r="BE102" s="2" t="s">
        <v>3</v>
      </c>
      <c r="BF102" s="2" t="s">
        <v>3</v>
      </c>
      <c r="BG102" s="2" t="s">
        <v>3</v>
      </c>
      <c r="BH102" s="2">
        <v>0</v>
      </c>
      <c r="BI102" s="2">
        <v>2</v>
      </c>
      <c r="BJ102" s="2" t="s">
        <v>178</v>
      </c>
      <c r="BK102" s="2"/>
      <c r="BL102" s="2"/>
      <c r="BM102" s="2">
        <v>69</v>
      </c>
      <c r="BN102" s="2">
        <v>0</v>
      </c>
      <c r="BO102" s="2" t="s">
        <v>176</v>
      </c>
      <c r="BP102" s="2">
        <v>1</v>
      </c>
      <c r="BQ102" s="2">
        <v>40</v>
      </c>
      <c r="BR102" s="2">
        <v>0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 t="s">
        <v>3</v>
      </c>
      <c r="BZ102" s="2">
        <v>95</v>
      </c>
      <c r="CA102" s="2">
        <v>53</v>
      </c>
      <c r="CB102" s="2" t="s">
        <v>3</v>
      </c>
      <c r="CC102" s="2"/>
      <c r="CD102" s="2"/>
      <c r="CE102" s="2">
        <v>30</v>
      </c>
      <c r="CF102" s="2">
        <v>0</v>
      </c>
      <c r="CG102" s="2">
        <v>0</v>
      </c>
      <c r="CH102" s="2"/>
      <c r="CI102" s="2"/>
      <c r="CJ102" s="2"/>
      <c r="CK102" s="2"/>
      <c r="CL102" s="2"/>
      <c r="CM102" s="2">
        <v>0</v>
      </c>
      <c r="CN102" s="2" t="s">
        <v>3</v>
      </c>
      <c r="CO102" s="2">
        <v>0</v>
      </c>
      <c r="CP102" s="2">
        <f t="shared" si="124"/>
        <v>1244.3399999999999</v>
      </c>
      <c r="CQ102" s="2">
        <f>ROUND((ROUND((AC102*AW102*1),2)*BC102),2)</f>
        <v>24.46</v>
      </c>
      <c r="CR102" s="2">
        <f>(ROUND((ROUND((((ET102*1.1))*AV102*1),2)*BB102),2)+ROUND((ROUND(((AE102-((EU102*1.1)))*AV102*1),2)*BS102),2))</f>
        <v>0</v>
      </c>
      <c r="CS102" s="2">
        <f t="shared" si="125"/>
        <v>0</v>
      </c>
      <c r="CT102" s="2">
        <f t="shared" si="126"/>
        <v>27.39</v>
      </c>
      <c r="CU102" s="2">
        <f t="shared" si="127"/>
        <v>0</v>
      </c>
      <c r="CV102" s="2">
        <f t="shared" si="128"/>
        <v>2.3033999999999999</v>
      </c>
      <c r="CW102" s="2">
        <f t="shared" si="129"/>
        <v>0</v>
      </c>
      <c r="CX102" s="2">
        <f t="shared" si="130"/>
        <v>0</v>
      </c>
      <c r="CY102" s="2">
        <f t="shared" si="131"/>
        <v>624.43499999999995</v>
      </c>
      <c r="CZ102" s="2">
        <f t="shared" si="132"/>
        <v>348.36899999999991</v>
      </c>
      <c r="DA102" s="2"/>
      <c r="DB102" s="2"/>
      <c r="DC102" s="2" t="s">
        <v>3</v>
      </c>
      <c r="DD102" s="2" t="s">
        <v>3</v>
      </c>
      <c r="DE102" s="2" t="s">
        <v>24</v>
      </c>
      <c r="DF102" s="2" t="s">
        <v>24</v>
      </c>
      <c r="DG102" s="2" t="s">
        <v>24</v>
      </c>
      <c r="DH102" s="2" t="s">
        <v>3</v>
      </c>
      <c r="DI102" s="2" t="s">
        <v>24</v>
      </c>
      <c r="DJ102" s="2" t="s">
        <v>24</v>
      </c>
      <c r="DK102" s="2" t="s">
        <v>3</v>
      </c>
      <c r="DL102" s="2" t="s">
        <v>3</v>
      </c>
      <c r="DM102" s="2" t="s">
        <v>3</v>
      </c>
      <c r="DN102" s="2">
        <v>0</v>
      </c>
      <c r="DO102" s="2">
        <v>0</v>
      </c>
      <c r="DP102" s="2">
        <v>1</v>
      </c>
      <c r="DQ102" s="2">
        <v>1</v>
      </c>
      <c r="DR102" s="2"/>
      <c r="DS102" s="2"/>
      <c r="DT102" s="2"/>
      <c r="DU102" s="2">
        <v>1013</v>
      </c>
      <c r="DV102" s="2" t="s">
        <v>22</v>
      </c>
      <c r="DW102" s="2" t="s">
        <v>22</v>
      </c>
      <c r="DX102" s="2">
        <v>1</v>
      </c>
      <c r="DY102" s="2"/>
      <c r="DZ102" s="2" t="s">
        <v>3</v>
      </c>
      <c r="EA102" s="2" t="s">
        <v>3</v>
      </c>
      <c r="EB102" s="2" t="s">
        <v>3</v>
      </c>
      <c r="EC102" s="2" t="s">
        <v>3</v>
      </c>
      <c r="ED102" s="2"/>
      <c r="EE102" s="2">
        <v>58162631</v>
      </c>
      <c r="EF102" s="2">
        <v>40</v>
      </c>
      <c r="EG102" s="2" t="s">
        <v>25</v>
      </c>
      <c r="EH102" s="2">
        <v>0</v>
      </c>
      <c r="EI102" s="2" t="s">
        <v>3</v>
      </c>
      <c r="EJ102" s="2">
        <v>2</v>
      </c>
      <c r="EK102" s="2">
        <v>69</v>
      </c>
      <c r="EL102" s="2" t="s">
        <v>86</v>
      </c>
      <c r="EM102" s="2" t="s">
        <v>87</v>
      </c>
      <c r="EN102" s="2"/>
      <c r="EO102" s="2" t="s">
        <v>28</v>
      </c>
      <c r="EP102" s="2"/>
      <c r="EQ102" s="2">
        <v>0</v>
      </c>
      <c r="ER102" s="2">
        <v>48.24</v>
      </c>
      <c r="ES102" s="2">
        <v>24.46</v>
      </c>
      <c r="ET102" s="2">
        <v>0</v>
      </c>
      <c r="EU102" s="2">
        <v>0</v>
      </c>
      <c r="EV102" s="2">
        <v>23.78</v>
      </c>
      <c r="EW102" s="2">
        <v>2</v>
      </c>
      <c r="EX102" s="2">
        <v>0</v>
      </c>
      <c r="EY102" s="2">
        <v>0</v>
      </c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>
        <v>0</v>
      </c>
      <c r="FR102" s="2">
        <v>0</v>
      </c>
      <c r="FS102" s="2">
        <v>0</v>
      </c>
      <c r="FT102" s="2"/>
      <c r="FU102" s="2"/>
      <c r="FV102" s="2"/>
      <c r="FW102" s="2"/>
      <c r="FX102" s="2">
        <v>95</v>
      </c>
      <c r="FY102" s="2">
        <v>53</v>
      </c>
      <c r="FZ102" s="2"/>
      <c r="GA102" s="2" t="s">
        <v>3</v>
      </c>
      <c r="GB102" s="2"/>
      <c r="GC102" s="2"/>
      <c r="GD102" s="2">
        <v>1</v>
      </c>
      <c r="GE102" s="2"/>
      <c r="GF102" s="2">
        <v>385347773</v>
      </c>
      <c r="GG102" s="2">
        <v>2</v>
      </c>
      <c r="GH102" s="2">
        <v>1</v>
      </c>
      <c r="GI102" s="2">
        <v>2</v>
      </c>
      <c r="GJ102" s="2">
        <v>0</v>
      </c>
      <c r="GK102" s="2">
        <v>0</v>
      </c>
      <c r="GL102" s="2">
        <f t="shared" si="133"/>
        <v>0</v>
      </c>
      <c r="GM102" s="2">
        <f t="shared" si="134"/>
        <v>2217.15</v>
      </c>
      <c r="GN102" s="2">
        <f t="shared" si="135"/>
        <v>0</v>
      </c>
      <c r="GO102" s="2">
        <f t="shared" si="136"/>
        <v>2217.15</v>
      </c>
      <c r="GP102" s="2">
        <f t="shared" si="137"/>
        <v>0</v>
      </c>
      <c r="GQ102" s="2"/>
      <c r="GR102" s="2">
        <v>0</v>
      </c>
      <c r="GS102" s="2">
        <v>3</v>
      </c>
      <c r="GT102" s="2">
        <v>0</v>
      </c>
      <c r="GU102" s="2" t="s">
        <v>3</v>
      </c>
      <c r="GV102" s="2">
        <f t="shared" si="138"/>
        <v>0</v>
      </c>
      <c r="GW102" s="2">
        <v>1</v>
      </c>
      <c r="GX102" s="2">
        <f t="shared" si="139"/>
        <v>0</v>
      </c>
      <c r="GY102" s="2"/>
      <c r="GZ102" s="2"/>
      <c r="HA102" s="2">
        <v>0</v>
      </c>
      <c r="HB102" s="2">
        <v>0</v>
      </c>
      <c r="HC102" s="2">
        <f t="shared" si="140"/>
        <v>0</v>
      </c>
      <c r="HD102" s="2"/>
      <c r="HE102" s="2" t="s">
        <v>3</v>
      </c>
      <c r="HF102" s="2" t="s">
        <v>3</v>
      </c>
      <c r="HG102" s="2"/>
      <c r="HH102" s="2"/>
      <c r="HI102" s="2"/>
      <c r="HJ102" s="2"/>
      <c r="HK102" s="2"/>
      <c r="HL102" s="2"/>
      <c r="HM102" s="2" t="s">
        <v>3</v>
      </c>
      <c r="HN102" s="2" t="s">
        <v>3</v>
      </c>
      <c r="HO102" s="2" t="s">
        <v>3</v>
      </c>
      <c r="HP102" s="2" t="s">
        <v>3</v>
      </c>
      <c r="HQ102" s="2" t="s">
        <v>3</v>
      </c>
      <c r="HR102" s="2"/>
      <c r="HS102" s="2">
        <v>0</v>
      </c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>
        <v>0</v>
      </c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x14ac:dyDescent="0.3">
      <c r="A103">
        <v>17</v>
      </c>
      <c r="B103">
        <v>1</v>
      </c>
      <c r="D103">
        <f>ROW(EtalonRes!A82)</f>
        <v>82</v>
      </c>
      <c r="E103" t="s">
        <v>175</v>
      </c>
      <c r="F103" t="s">
        <v>176</v>
      </c>
      <c r="G103" t="s">
        <v>177</v>
      </c>
      <c r="H103" t="s">
        <v>22</v>
      </c>
      <c r="I103">
        <v>24</v>
      </c>
      <c r="J103">
        <v>0</v>
      </c>
      <c r="K103">
        <v>24</v>
      </c>
      <c r="O103">
        <f t="shared" si="111"/>
        <v>42561.279999999999</v>
      </c>
      <c r="P103">
        <f>ROUND((ROUND((AC103*AW103*I103),2)*BC103),2)</f>
        <v>6416.35</v>
      </c>
      <c r="Q103">
        <f>(ROUND((ROUND((((ET103*1.1))*AV103*I103),2)*BB103),2)+ROUND((ROUND(((AE103-((EU103*1.1)))*AV103*I103),2)*BS103),2))</f>
        <v>0</v>
      </c>
      <c r="R103">
        <f t="shared" si="112"/>
        <v>0</v>
      </c>
      <c r="S103">
        <f t="shared" si="113"/>
        <v>36144.93</v>
      </c>
      <c r="T103">
        <f t="shared" si="114"/>
        <v>0</v>
      </c>
      <c r="U103">
        <f t="shared" si="115"/>
        <v>55.281599999999997</v>
      </c>
      <c r="V103">
        <f t="shared" si="116"/>
        <v>0</v>
      </c>
      <c r="W103">
        <f t="shared" si="117"/>
        <v>0</v>
      </c>
      <c r="X103">
        <f t="shared" si="118"/>
        <v>34337.68</v>
      </c>
      <c r="Y103">
        <f t="shared" si="119"/>
        <v>19156.810000000001</v>
      </c>
      <c r="AA103">
        <v>56498968</v>
      </c>
      <c r="AB103">
        <f t="shared" si="120"/>
        <v>50.618000000000002</v>
      </c>
      <c r="AC103">
        <f t="shared" si="121"/>
        <v>24.46</v>
      </c>
      <c r="AD103">
        <f>ROUND(((((ET103*1.1))-((EU103*1.1)))+AE103),6)</f>
        <v>0</v>
      </c>
      <c r="AE103">
        <f>ROUND(((EU103*1.1)),6)</f>
        <v>0</v>
      </c>
      <c r="AF103">
        <f>ROUND(((EV103*1.1)),6)</f>
        <v>26.158000000000001</v>
      </c>
      <c r="AG103">
        <f t="shared" si="122"/>
        <v>0</v>
      </c>
      <c r="AH103">
        <f>((EW103*1.1))</f>
        <v>2.2000000000000002</v>
      </c>
      <c r="AI103">
        <f>((EX103*1.1))</f>
        <v>0</v>
      </c>
      <c r="AJ103">
        <f t="shared" si="123"/>
        <v>0</v>
      </c>
      <c r="AK103">
        <v>48.24</v>
      </c>
      <c r="AL103">
        <v>24.46</v>
      </c>
      <c r="AM103">
        <v>0</v>
      </c>
      <c r="AN103">
        <v>0</v>
      </c>
      <c r="AO103">
        <v>23.78</v>
      </c>
      <c r="AP103">
        <v>0</v>
      </c>
      <c r="AQ103">
        <v>2</v>
      </c>
      <c r="AR103">
        <v>0</v>
      </c>
      <c r="AS103">
        <v>0</v>
      </c>
      <c r="AT103">
        <v>95</v>
      </c>
      <c r="AU103">
        <v>53</v>
      </c>
      <c r="AV103">
        <v>1.0469999999999999</v>
      </c>
      <c r="AW103">
        <v>1</v>
      </c>
      <c r="AZ103">
        <v>1</v>
      </c>
      <c r="BA103">
        <v>54.99</v>
      </c>
      <c r="BB103">
        <v>1</v>
      </c>
      <c r="BC103">
        <v>10.93</v>
      </c>
      <c r="BD103" t="s">
        <v>3</v>
      </c>
      <c r="BE103" t="s">
        <v>3</v>
      </c>
      <c r="BF103" t="s">
        <v>3</v>
      </c>
      <c r="BG103" t="s">
        <v>3</v>
      </c>
      <c r="BH103">
        <v>0</v>
      </c>
      <c r="BI103">
        <v>2</v>
      </c>
      <c r="BJ103" t="s">
        <v>178</v>
      </c>
      <c r="BM103">
        <v>69</v>
      </c>
      <c r="BN103">
        <v>0</v>
      </c>
      <c r="BO103" t="s">
        <v>176</v>
      </c>
      <c r="BP103">
        <v>1</v>
      </c>
      <c r="BQ103">
        <v>40</v>
      </c>
      <c r="BR103">
        <v>0</v>
      </c>
      <c r="BS103">
        <v>54.99</v>
      </c>
      <c r="BT103">
        <v>1</v>
      </c>
      <c r="BU103">
        <v>1</v>
      </c>
      <c r="BV103">
        <v>1</v>
      </c>
      <c r="BW103">
        <v>1</v>
      </c>
      <c r="BX103">
        <v>1</v>
      </c>
      <c r="BY103" t="s">
        <v>3</v>
      </c>
      <c r="BZ103">
        <v>95</v>
      </c>
      <c r="CA103">
        <v>53</v>
      </c>
      <c r="CB103" t="s">
        <v>3</v>
      </c>
      <c r="CE103">
        <v>30</v>
      </c>
      <c r="CF103">
        <v>0</v>
      </c>
      <c r="CG103">
        <v>0</v>
      </c>
      <c r="CM103">
        <v>0</v>
      </c>
      <c r="CN103" t="s">
        <v>3</v>
      </c>
      <c r="CO103">
        <v>0</v>
      </c>
      <c r="CP103">
        <f t="shared" si="124"/>
        <v>42561.279999999999</v>
      </c>
      <c r="CQ103">
        <f>ROUND((ROUND((AC103*AW103*1),2)*BC103),2)</f>
        <v>267.35000000000002</v>
      </c>
      <c r="CR103">
        <f>(ROUND((ROUND((((ET103*1.1))*AV103*1),2)*BB103),2)+ROUND((ROUND(((AE103-((EU103*1.1)))*AV103*1),2)*BS103),2))</f>
        <v>0</v>
      </c>
      <c r="CS103">
        <f t="shared" si="125"/>
        <v>0</v>
      </c>
      <c r="CT103">
        <f t="shared" si="126"/>
        <v>1506.18</v>
      </c>
      <c r="CU103">
        <f t="shared" si="127"/>
        <v>0</v>
      </c>
      <c r="CV103">
        <f t="shared" si="128"/>
        <v>2.3033999999999999</v>
      </c>
      <c r="CW103">
        <f t="shared" si="129"/>
        <v>0</v>
      </c>
      <c r="CX103">
        <f t="shared" si="130"/>
        <v>0</v>
      </c>
      <c r="CY103">
        <f t="shared" si="131"/>
        <v>34337.683499999999</v>
      </c>
      <c r="CZ103">
        <f t="shared" si="132"/>
        <v>19156.812900000001</v>
      </c>
      <c r="DC103" t="s">
        <v>3</v>
      </c>
      <c r="DD103" t="s">
        <v>3</v>
      </c>
      <c r="DE103" t="s">
        <v>24</v>
      </c>
      <c r="DF103" t="s">
        <v>24</v>
      </c>
      <c r="DG103" t="s">
        <v>24</v>
      </c>
      <c r="DH103" t="s">
        <v>3</v>
      </c>
      <c r="DI103" t="s">
        <v>24</v>
      </c>
      <c r="DJ103" t="s">
        <v>24</v>
      </c>
      <c r="DK103" t="s">
        <v>3</v>
      </c>
      <c r="DL103" t="s">
        <v>3</v>
      </c>
      <c r="DM103" t="s">
        <v>3</v>
      </c>
      <c r="DN103">
        <v>0</v>
      </c>
      <c r="DO103">
        <v>0</v>
      </c>
      <c r="DP103">
        <v>1</v>
      </c>
      <c r="DQ103">
        <v>1</v>
      </c>
      <c r="DU103">
        <v>1013</v>
      </c>
      <c r="DV103" t="s">
        <v>22</v>
      </c>
      <c r="DW103" t="s">
        <v>22</v>
      </c>
      <c r="DX103">
        <v>1</v>
      </c>
      <c r="DZ103" t="s">
        <v>3</v>
      </c>
      <c r="EA103" t="s">
        <v>3</v>
      </c>
      <c r="EB103" t="s">
        <v>3</v>
      </c>
      <c r="EC103" t="s">
        <v>3</v>
      </c>
      <c r="EE103">
        <v>58162631</v>
      </c>
      <c r="EF103">
        <v>40</v>
      </c>
      <c r="EG103" t="s">
        <v>25</v>
      </c>
      <c r="EH103">
        <v>0</v>
      </c>
      <c r="EI103" t="s">
        <v>3</v>
      </c>
      <c r="EJ103">
        <v>2</v>
      </c>
      <c r="EK103">
        <v>69</v>
      </c>
      <c r="EL103" t="s">
        <v>86</v>
      </c>
      <c r="EM103" t="s">
        <v>87</v>
      </c>
      <c r="EO103" t="s">
        <v>28</v>
      </c>
      <c r="EQ103">
        <v>0</v>
      </c>
      <c r="ER103">
        <v>48.24</v>
      </c>
      <c r="ES103">
        <v>24.46</v>
      </c>
      <c r="ET103">
        <v>0</v>
      </c>
      <c r="EU103">
        <v>0</v>
      </c>
      <c r="EV103">
        <v>23.78</v>
      </c>
      <c r="EW103">
        <v>2</v>
      </c>
      <c r="EX103">
        <v>0</v>
      </c>
      <c r="EY103">
        <v>0</v>
      </c>
      <c r="FQ103">
        <v>0</v>
      </c>
      <c r="FR103">
        <v>0</v>
      </c>
      <c r="FS103">
        <v>0</v>
      </c>
      <c r="FX103">
        <v>95</v>
      </c>
      <c r="FY103">
        <v>53</v>
      </c>
      <c r="GA103" t="s">
        <v>3</v>
      </c>
      <c r="GD103">
        <v>1</v>
      </c>
      <c r="GF103">
        <v>385347773</v>
      </c>
      <c r="GG103">
        <v>2</v>
      </c>
      <c r="GH103">
        <v>1</v>
      </c>
      <c r="GI103">
        <v>2</v>
      </c>
      <c r="GJ103">
        <v>0</v>
      </c>
      <c r="GK103">
        <v>0</v>
      </c>
      <c r="GL103">
        <f t="shared" si="133"/>
        <v>0</v>
      </c>
      <c r="GM103">
        <f t="shared" si="134"/>
        <v>96055.77</v>
      </c>
      <c r="GN103">
        <f t="shared" si="135"/>
        <v>0</v>
      </c>
      <c r="GO103">
        <f t="shared" si="136"/>
        <v>96055.77</v>
      </c>
      <c r="GP103">
        <f t="shared" si="137"/>
        <v>0</v>
      </c>
      <c r="GR103">
        <v>0</v>
      </c>
      <c r="GS103">
        <v>3</v>
      </c>
      <c r="GT103">
        <v>0</v>
      </c>
      <c r="GU103" t="s">
        <v>3</v>
      </c>
      <c r="GV103">
        <f t="shared" si="138"/>
        <v>0</v>
      </c>
      <c r="GW103">
        <v>1</v>
      </c>
      <c r="GX103">
        <f t="shared" si="139"/>
        <v>0</v>
      </c>
      <c r="HA103">
        <v>0</v>
      </c>
      <c r="HB103">
        <v>0</v>
      </c>
      <c r="HC103">
        <f t="shared" si="140"/>
        <v>0</v>
      </c>
      <c r="HE103" t="s">
        <v>3</v>
      </c>
      <c r="HF103" t="s">
        <v>3</v>
      </c>
      <c r="HM103" t="s">
        <v>3</v>
      </c>
      <c r="HN103" t="s">
        <v>3</v>
      </c>
      <c r="HO103" t="s">
        <v>3</v>
      </c>
      <c r="HP103" t="s">
        <v>3</v>
      </c>
      <c r="HQ103" t="s">
        <v>3</v>
      </c>
      <c r="HS103">
        <v>0</v>
      </c>
      <c r="IK103">
        <v>0</v>
      </c>
    </row>
    <row r="104" spans="1:255" x14ac:dyDescent="0.3">
      <c r="A104" s="2">
        <v>18</v>
      </c>
      <c r="B104" s="2">
        <v>1</v>
      </c>
      <c r="C104" s="2"/>
      <c r="D104" s="2"/>
      <c r="E104" s="2" t="s">
        <v>179</v>
      </c>
      <c r="F104" s="2" t="s">
        <v>180</v>
      </c>
      <c r="G104" s="2" t="s">
        <v>181</v>
      </c>
      <c r="H104" s="2" t="s">
        <v>32</v>
      </c>
      <c r="I104" s="2">
        <f>I102*J104</f>
        <v>24</v>
      </c>
      <c r="J104" s="2">
        <v>1</v>
      </c>
      <c r="K104" s="2">
        <v>1</v>
      </c>
      <c r="L104" s="2"/>
      <c r="M104" s="2"/>
      <c r="N104" s="2"/>
      <c r="O104" s="2">
        <f t="shared" si="111"/>
        <v>1858.8</v>
      </c>
      <c r="P104" s="2">
        <f>ROUND((ROUND((AC104*I104),2)*BC104),2)</f>
        <v>1858.8</v>
      </c>
      <c r="Q104" s="2">
        <f>(ROUND((ROUND(((ET104)*AV104*I104),2)*BB104),2)+ROUND((ROUND(((AE104-(EU104))*AV104*I104),2)*BS104),2))</f>
        <v>0</v>
      </c>
      <c r="R104" s="2">
        <f t="shared" si="112"/>
        <v>0</v>
      </c>
      <c r="S104" s="2">
        <f t="shared" si="113"/>
        <v>0</v>
      </c>
      <c r="T104" s="2">
        <f t="shared" si="114"/>
        <v>0</v>
      </c>
      <c r="U104" s="2">
        <f t="shared" si="115"/>
        <v>0</v>
      </c>
      <c r="V104" s="2">
        <f t="shared" si="116"/>
        <v>0</v>
      </c>
      <c r="W104" s="2">
        <f t="shared" si="117"/>
        <v>0</v>
      </c>
      <c r="X104" s="2">
        <f t="shared" si="118"/>
        <v>0</v>
      </c>
      <c r="Y104" s="2">
        <f t="shared" si="119"/>
        <v>0</v>
      </c>
      <c r="Z104" s="2"/>
      <c r="AA104" s="2">
        <v>56498966</v>
      </c>
      <c r="AB104" s="2">
        <f t="shared" si="120"/>
        <v>77.45</v>
      </c>
      <c r="AC104" s="2">
        <f t="shared" si="121"/>
        <v>77.45</v>
      </c>
      <c r="AD104" s="2">
        <f>ROUND((((ET104)-(EU104))+AE104),6)</f>
        <v>0</v>
      </c>
      <c r="AE104" s="2">
        <f>ROUND((EU104),6)</f>
        <v>0</v>
      </c>
      <c r="AF104" s="2">
        <f>ROUND((EV104),6)</f>
        <v>0</v>
      </c>
      <c r="AG104" s="2">
        <f t="shared" si="122"/>
        <v>0</v>
      </c>
      <c r="AH104" s="2">
        <f>(EW104)</f>
        <v>0</v>
      </c>
      <c r="AI104" s="2">
        <f>(EX104)</f>
        <v>0</v>
      </c>
      <c r="AJ104" s="2">
        <f t="shared" si="123"/>
        <v>0</v>
      </c>
      <c r="AK104" s="2">
        <v>77.45</v>
      </c>
      <c r="AL104" s="2">
        <v>77.45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1</v>
      </c>
      <c r="AW104" s="2">
        <v>1</v>
      </c>
      <c r="AX104" s="2"/>
      <c r="AY104" s="2"/>
      <c r="AZ104" s="2">
        <v>1</v>
      </c>
      <c r="BA104" s="2">
        <v>1</v>
      </c>
      <c r="BB104" s="2">
        <v>1</v>
      </c>
      <c r="BC104" s="2">
        <v>1</v>
      </c>
      <c r="BD104" s="2" t="s">
        <v>3</v>
      </c>
      <c r="BE104" s="2" t="s">
        <v>3</v>
      </c>
      <c r="BF104" s="2" t="s">
        <v>3</v>
      </c>
      <c r="BG104" s="2" t="s">
        <v>3</v>
      </c>
      <c r="BH104" s="2">
        <v>3</v>
      </c>
      <c r="BI104" s="2">
        <v>3</v>
      </c>
      <c r="BJ104" s="2" t="s">
        <v>3</v>
      </c>
      <c r="BK104" s="2"/>
      <c r="BL104" s="2"/>
      <c r="BM104" s="2">
        <v>746</v>
      </c>
      <c r="BN104" s="2">
        <v>0</v>
      </c>
      <c r="BO104" s="2" t="s">
        <v>3</v>
      </c>
      <c r="BP104" s="2">
        <v>0</v>
      </c>
      <c r="BQ104" s="2">
        <v>130</v>
      </c>
      <c r="BR104" s="2">
        <v>0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 t="s">
        <v>3</v>
      </c>
      <c r="BZ104" s="2">
        <v>95</v>
      </c>
      <c r="CA104" s="2">
        <v>53</v>
      </c>
      <c r="CB104" s="2" t="s">
        <v>3</v>
      </c>
      <c r="CC104" s="2"/>
      <c r="CD104" s="2"/>
      <c r="CE104" s="2">
        <v>30</v>
      </c>
      <c r="CF104" s="2">
        <v>0</v>
      </c>
      <c r="CG104" s="2">
        <v>0</v>
      </c>
      <c r="CH104" s="2"/>
      <c r="CI104" s="2"/>
      <c r="CJ104" s="2"/>
      <c r="CK104" s="2"/>
      <c r="CL104" s="2"/>
      <c r="CM104" s="2">
        <v>0</v>
      </c>
      <c r="CN104" s="2" t="s">
        <v>3</v>
      </c>
      <c r="CO104" s="2">
        <v>0</v>
      </c>
      <c r="CP104" s="2">
        <f t="shared" si="124"/>
        <v>1858.8</v>
      </c>
      <c r="CQ104" s="2">
        <f>ROUND((ROUND((AC104*1),2)*BC104),2)</f>
        <v>77.45</v>
      </c>
      <c r="CR104" s="2">
        <f>(ROUND((ROUND(((ET104)*AV104*1),2)*BB104),2)+ROUND((ROUND(((AE104-(EU104))*AV104*1),2)*BS104),2))</f>
        <v>0</v>
      </c>
      <c r="CS104" s="2">
        <f t="shared" si="125"/>
        <v>0</v>
      </c>
      <c r="CT104" s="2">
        <f t="shared" si="126"/>
        <v>0</v>
      </c>
      <c r="CU104" s="2">
        <f t="shared" si="127"/>
        <v>0</v>
      </c>
      <c r="CV104" s="2">
        <f t="shared" si="128"/>
        <v>0</v>
      </c>
      <c r="CW104" s="2">
        <f t="shared" si="129"/>
        <v>0</v>
      </c>
      <c r="CX104" s="2">
        <f t="shared" si="130"/>
        <v>0</v>
      </c>
      <c r="CY104" s="2">
        <f t="shared" si="131"/>
        <v>0</v>
      </c>
      <c r="CZ104" s="2">
        <f t="shared" si="132"/>
        <v>0</v>
      </c>
      <c r="DA104" s="2"/>
      <c r="DB104" s="2"/>
      <c r="DC104" s="2" t="s">
        <v>3</v>
      </c>
      <c r="DD104" s="2" t="s">
        <v>3</v>
      </c>
      <c r="DE104" s="2" t="s">
        <v>3</v>
      </c>
      <c r="DF104" s="2" t="s">
        <v>3</v>
      </c>
      <c r="DG104" s="2" t="s">
        <v>3</v>
      </c>
      <c r="DH104" s="2" t="s">
        <v>3</v>
      </c>
      <c r="DI104" s="2" t="s">
        <v>3</v>
      </c>
      <c r="DJ104" s="2" t="s">
        <v>3</v>
      </c>
      <c r="DK104" s="2" t="s">
        <v>3</v>
      </c>
      <c r="DL104" s="2" t="s">
        <v>3</v>
      </c>
      <c r="DM104" s="2" t="s">
        <v>3</v>
      </c>
      <c r="DN104" s="2">
        <v>0</v>
      </c>
      <c r="DO104" s="2">
        <v>0</v>
      </c>
      <c r="DP104" s="2">
        <v>1</v>
      </c>
      <c r="DQ104" s="2">
        <v>1</v>
      </c>
      <c r="DR104" s="2"/>
      <c r="DS104" s="2"/>
      <c r="DT104" s="2"/>
      <c r="DU104" s="2">
        <v>1010</v>
      </c>
      <c r="DV104" s="2" t="s">
        <v>32</v>
      </c>
      <c r="DW104" s="2" t="s">
        <v>32</v>
      </c>
      <c r="DX104" s="2">
        <v>1</v>
      </c>
      <c r="DY104" s="2"/>
      <c r="DZ104" s="2" t="s">
        <v>3</v>
      </c>
      <c r="EA104" s="2" t="s">
        <v>3</v>
      </c>
      <c r="EB104" s="2" t="s">
        <v>3</v>
      </c>
      <c r="EC104" s="2" t="s">
        <v>3</v>
      </c>
      <c r="ED104" s="2"/>
      <c r="EE104" s="2">
        <v>58162750</v>
      </c>
      <c r="EF104" s="2">
        <v>130</v>
      </c>
      <c r="EG104" s="2" t="s">
        <v>33</v>
      </c>
      <c r="EH104" s="2">
        <v>0</v>
      </c>
      <c r="EI104" s="2" t="s">
        <v>3</v>
      </c>
      <c r="EJ104" s="2">
        <v>3</v>
      </c>
      <c r="EK104" s="2">
        <v>746</v>
      </c>
      <c r="EL104" s="2" t="s">
        <v>34</v>
      </c>
      <c r="EM104" s="2" t="s">
        <v>35</v>
      </c>
      <c r="EN104" s="2"/>
      <c r="EO104" s="2" t="s">
        <v>3</v>
      </c>
      <c r="EP104" s="2"/>
      <c r="EQ104" s="2">
        <v>0</v>
      </c>
      <c r="ER104" s="2">
        <v>0</v>
      </c>
      <c r="ES104" s="2">
        <v>77.45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>
        <v>0</v>
      </c>
      <c r="FR104" s="2">
        <f>P104</f>
        <v>1858.8</v>
      </c>
      <c r="FS104" s="2">
        <v>0</v>
      </c>
      <c r="FT104" s="2"/>
      <c r="FU104" s="2"/>
      <c r="FV104" s="2"/>
      <c r="FW104" s="2"/>
      <c r="FX104" s="2">
        <v>95</v>
      </c>
      <c r="FY104" s="2">
        <v>53</v>
      </c>
      <c r="FZ104" s="2"/>
      <c r="GA104" s="2" t="s">
        <v>182</v>
      </c>
      <c r="GB104" s="2"/>
      <c r="GC104" s="2"/>
      <c r="GD104" s="2">
        <v>1</v>
      </c>
      <c r="GE104" s="2"/>
      <c r="GF104" s="2">
        <v>1014093802</v>
      </c>
      <c r="GG104" s="2">
        <v>2</v>
      </c>
      <c r="GH104" s="2">
        <v>4</v>
      </c>
      <c r="GI104" s="2">
        <v>-2</v>
      </c>
      <c r="GJ104" s="2">
        <v>0</v>
      </c>
      <c r="GK104" s="2">
        <v>0</v>
      </c>
      <c r="GL104" s="2">
        <f t="shared" si="133"/>
        <v>0</v>
      </c>
      <c r="GM104" s="2">
        <f t="shared" si="134"/>
        <v>1858.8</v>
      </c>
      <c r="GN104" s="2">
        <f t="shared" si="135"/>
        <v>0</v>
      </c>
      <c r="GO104" s="2">
        <f t="shared" si="136"/>
        <v>0</v>
      </c>
      <c r="GP104" s="2">
        <f t="shared" si="137"/>
        <v>0</v>
      </c>
      <c r="GQ104" s="2"/>
      <c r="GR104" s="2">
        <v>0</v>
      </c>
      <c r="GS104" s="2">
        <v>2</v>
      </c>
      <c r="GT104" s="2">
        <v>0</v>
      </c>
      <c r="GU104" s="2" t="s">
        <v>3</v>
      </c>
      <c r="GV104" s="2">
        <f t="shared" si="138"/>
        <v>0</v>
      </c>
      <c r="GW104" s="2">
        <v>1</v>
      </c>
      <c r="GX104" s="2">
        <f t="shared" si="139"/>
        <v>0</v>
      </c>
      <c r="GY104" s="2"/>
      <c r="GZ104" s="2"/>
      <c r="HA104" s="2">
        <v>0</v>
      </c>
      <c r="HB104" s="2">
        <v>0</v>
      </c>
      <c r="HC104" s="2">
        <f t="shared" si="140"/>
        <v>0</v>
      </c>
      <c r="HD104" s="2"/>
      <c r="HE104" s="2" t="s">
        <v>37</v>
      </c>
      <c r="HF104" s="2" t="s">
        <v>38</v>
      </c>
      <c r="HG104" s="2"/>
      <c r="HH104" s="2"/>
      <c r="HI104" s="2"/>
      <c r="HJ104" s="2"/>
      <c r="HK104" s="2"/>
      <c r="HL104" s="2"/>
      <c r="HM104" s="2" t="s">
        <v>3</v>
      </c>
      <c r="HN104" s="2" t="s">
        <v>3</v>
      </c>
      <c r="HO104" s="2" t="s">
        <v>3</v>
      </c>
      <c r="HP104" s="2" t="s">
        <v>3</v>
      </c>
      <c r="HQ104" s="2" t="s">
        <v>3</v>
      </c>
      <c r="HR104" s="2"/>
      <c r="HS104" s="2">
        <v>0</v>
      </c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>
        <v>0</v>
      </c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x14ac:dyDescent="0.3">
      <c r="A105">
        <v>18</v>
      </c>
      <c r="B105">
        <v>1</v>
      </c>
      <c r="E105" t="s">
        <v>179</v>
      </c>
      <c r="F105" t="s">
        <v>180</v>
      </c>
      <c r="G105" t="s">
        <v>181</v>
      </c>
      <c r="H105" t="s">
        <v>32</v>
      </c>
      <c r="I105">
        <f>I103*J105</f>
        <v>24</v>
      </c>
      <c r="J105">
        <v>1</v>
      </c>
      <c r="K105">
        <v>1</v>
      </c>
      <c r="O105">
        <f t="shared" si="111"/>
        <v>14238.41</v>
      </c>
      <c r="P105">
        <f>ROUND((ROUND((AC105*I105),2)*BC105),2)</f>
        <v>14238.41</v>
      </c>
      <c r="Q105">
        <f>(ROUND((ROUND(((ET105)*AV105*I105),2)*BB105),2)+ROUND((ROUND(((AE105-(EU105))*AV105*I105),2)*BS105),2))</f>
        <v>0</v>
      </c>
      <c r="R105">
        <f t="shared" si="112"/>
        <v>0</v>
      </c>
      <c r="S105">
        <f t="shared" si="113"/>
        <v>0</v>
      </c>
      <c r="T105">
        <f t="shared" si="114"/>
        <v>0</v>
      </c>
      <c r="U105">
        <f t="shared" si="115"/>
        <v>0</v>
      </c>
      <c r="V105">
        <f t="shared" si="116"/>
        <v>0</v>
      </c>
      <c r="W105">
        <f t="shared" si="117"/>
        <v>0</v>
      </c>
      <c r="X105">
        <f t="shared" si="118"/>
        <v>0</v>
      </c>
      <c r="Y105">
        <f t="shared" si="119"/>
        <v>0</v>
      </c>
      <c r="AA105">
        <v>56498968</v>
      </c>
      <c r="AB105">
        <f t="shared" si="120"/>
        <v>77.45</v>
      </c>
      <c r="AC105">
        <f t="shared" si="121"/>
        <v>77.45</v>
      </c>
      <c r="AD105">
        <f>ROUND((((ET105)-(EU105))+AE105),6)</f>
        <v>0</v>
      </c>
      <c r="AE105">
        <f>ROUND((EU105),6)</f>
        <v>0</v>
      </c>
      <c r="AF105">
        <f>ROUND((EV105),6)</f>
        <v>0</v>
      </c>
      <c r="AG105">
        <f t="shared" si="122"/>
        <v>0</v>
      </c>
      <c r="AH105">
        <f>(EW105)</f>
        <v>0</v>
      </c>
      <c r="AI105">
        <f>(EX105)</f>
        <v>0</v>
      </c>
      <c r="AJ105">
        <f t="shared" si="123"/>
        <v>0</v>
      </c>
      <c r="AK105">
        <v>77.45</v>
      </c>
      <c r="AL105">
        <v>77.45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1</v>
      </c>
      <c r="AZ105">
        <v>1</v>
      </c>
      <c r="BA105">
        <v>1</v>
      </c>
      <c r="BB105">
        <v>1</v>
      </c>
      <c r="BC105">
        <v>7.66</v>
      </c>
      <c r="BD105" t="s">
        <v>3</v>
      </c>
      <c r="BE105" t="s">
        <v>3</v>
      </c>
      <c r="BF105" t="s">
        <v>3</v>
      </c>
      <c r="BG105" t="s">
        <v>3</v>
      </c>
      <c r="BH105">
        <v>3</v>
      </c>
      <c r="BI105">
        <v>3</v>
      </c>
      <c r="BJ105" t="s">
        <v>3</v>
      </c>
      <c r="BM105">
        <v>746</v>
      </c>
      <c r="BN105">
        <v>0</v>
      </c>
      <c r="BO105" t="s">
        <v>3</v>
      </c>
      <c r="BP105">
        <v>0</v>
      </c>
      <c r="BQ105">
        <v>130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 t="s">
        <v>3</v>
      </c>
      <c r="BZ105">
        <v>95</v>
      </c>
      <c r="CA105">
        <v>53</v>
      </c>
      <c r="CB105" t="s">
        <v>3</v>
      </c>
      <c r="CE105">
        <v>30</v>
      </c>
      <c r="CF105">
        <v>0</v>
      </c>
      <c r="CG105">
        <v>0</v>
      </c>
      <c r="CM105">
        <v>0</v>
      </c>
      <c r="CN105" t="s">
        <v>3</v>
      </c>
      <c r="CO105">
        <v>0</v>
      </c>
      <c r="CP105">
        <f t="shared" si="124"/>
        <v>14238.41</v>
      </c>
      <c r="CQ105">
        <f>ROUND((ROUND((AC105*1),2)*BC105),2)</f>
        <v>593.27</v>
      </c>
      <c r="CR105">
        <f>(ROUND((ROUND(((ET105)*AV105*1),2)*BB105),2)+ROUND((ROUND(((AE105-(EU105))*AV105*1),2)*BS105),2))</f>
        <v>0</v>
      </c>
      <c r="CS105">
        <f t="shared" si="125"/>
        <v>0</v>
      </c>
      <c r="CT105">
        <f t="shared" si="126"/>
        <v>0</v>
      </c>
      <c r="CU105">
        <f t="shared" si="127"/>
        <v>0</v>
      </c>
      <c r="CV105">
        <f t="shared" si="128"/>
        <v>0</v>
      </c>
      <c r="CW105">
        <f t="shared" si="129"/>
        <v>0</v>
      </c>
      <c r="CX105">
        <f t="shared" si="130"/>
        <v>0</v>
      </c>
      <c r="CY105">
        <f t="shared" si="131"/>
        <v>0</v>
      </c>
      <c r="CZ105">
        <f t="shared" si="132"/>
        <v>0</v>
      </c>
      <c r="DC105" t="s">
        <v>3</v>
      </c>
      <c r="DD105" t="s">
        <v>3</v>
      </c>
      <c r="DE105" t="s">
        <v>3</v>
      </c>
      <c r="DF105" t="s">
        <v>3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>
        <v>0</v>
      </c>
      <c r="DO105">
        <v>0</v>
      </c>
      <c r="DP105">
        <v>1</v>
      </c>
      <c r="DQ105">
        <v>1</v>
      </c>
      <c r="DU105">
        <v>1010</v>
      </c>
      <c r="DV105" t="s">
        <v>32</v>
      </c>
      <c r="DW105" t="s">
        <v>32</v>
      </c>
      <c r="DX105">
        <v>1</v>
      </c>
      <c r="DZ105" t="s">
        <v>3</v>
      </c>
      <c r="EA105" t="s">
        <v>3</v>
      </c>
      <c r="EB105" t="s">
        <v>3</v>
      </c>
      <c r="EC105" t="s">
        <v>3</v>
      </c>
      <c r="EE105">
        <v>58162750</v>
      </c>
      <c r="EF105">
        <v>130</v>
      </c>
      <c r="EG105" t="s">
        <v>33</v>
      </c>
      <c r="EH105">
        <v>0</v>
      </c>
      <c r="EI105" t="s">
        <v>3</v>
      </c>
      <c r="EJ105">
        <v>3</v>
      </c>
      <c r="EK105">
        <v>746</v>
      </c>
      <c r="EL105" t="s">
        <v>34</v>
      </c>
      <c r="EM105" t="s">
        <v>35</v>
      </c>
      <c r="EO105" t="s">
        <v>3</v>
      </c>
      <c r="EQ105">
        <v>0</v>
      </c>
      <c r="ER105">
        <v>77.45</v>
      </c>
      <c r="ES105">
        <v>77.45</v>
      </c>
      <c r="ET105">
        <v>0</v>
      </c>
      <c r="EU105">
        <v>0</v>
      </c>
      <c r="EV105">
        <v>0</v>
      </c>
      <c r="EW105">
        <v>0</v>
      </c>
      <c r="EX105">
        <v>0</v>
      </c>
      <c r="EZ105">
        <v>5</v>
      </c>
      <c r="FC105">
        <v>1</v>
      </c>
      <c r="FD105">
        <v>18</v>
      </c>
      <c r="FF105">
        <v>683</v>
      </c>
      <c r="FQ105">
        <v>0</v>
      </c>
      <c r="FR105">
        <f>P105</f>
        <v>14238.41</v>
      </c>
      <c r="FS105">
        <v>0</v>
      </c>
      <c r="FX105">
        <v>95</v>
      </c>
      <c r="FY105">
        <v>53</v>
      </c>
      <c r="GA105" t="s">
        <v>182</v>
      </c>
      <c r="GD105">
        <v>1</v>
      </c>
      <c r="GF105">
        <v>1014093802</v>
      </c>
      <c r="GG105">
        <v>2</v>
      </c>
      <c r="GH105">
        <v>3</v>
      </c>
      <c r="GI105">
        <v>5</v>
      </c>
      <c r="GJ105">
        <v>0</v>
      </c>
      <c r="GK105">
        <v>0</v>
      </c>
      <c r="GL105">
        <f t="shared" si="133"/>
        <v>0</v>
      </c>
      <c r="GM105">
        <f t="shared" si="134"/>
        <v>14238.41</v>
      </c>
      <c r="GN105">
        <f t="shared" si="135"/>
        <v>0</v>
      </c>
      <c r="GO105">
        <f t="shared" si="136"/>
        <v>0</v>
      </c>
      <c r="GP105">
        <f t="shared" si="137"/>
        <v>0</v>
      </c>
      <c r="GR105">
        <v>1</v>
      </c>
      <c r="GS105">
        <v>1</v>
      </c>
      <c r="GT105">
        <v>0</v>
      </c>
      <c r="GU105" t="s">
        <v>3</v>
      </c>
      <c r="GV105">
        <f t="shared" si="138"/>
        <v>0</v>
      </c>
      <c r="GW105">
        <v>1</v>
      </c>
      <c r="GX105">
        <f t="shared" si="139"/>
        <v>0</v>
      </c>
      <c r="HA105">
        <v>0</v>
      </c>
      <c r="HB105">
        <v>0</v>
      </c>
      <c r="HC105">
        <f t="shared" si="140"/>
        <v>0</v>
      </c>
      <c r="HE105" t="s">
        <v>37</v>
      </c>
      <c r="HF105" t="s">
        <v>38</v>
      </c>
      <c r="HM105" t="s">
        <v>3</v>
      </c>
      <c r="HN105" t="s">
        <v>3</v>
      </c>
      <c r="HO105" t="s">
        <v>3</v>
      </c>
      <c r="HP105" t="s">
        <v>3</v>
      </c>
      <c r="HQ105" t="s">
        <v>3</v>
      </c>
      <c r="HS105">
        <v>0</v>
      </c>
      <c r="IK105">
        <v>0</v>
      </c>
    </row>
    <row r="106" spans="1:255" x14ac:dyDescent="0.3">
      <c r="A106" s="2">
        <v>17</v>
      </c>
      <c r="B106" s="2">
        <v>1</v>
      </c>
      <c r="C106" s="2"/>
      <c r="D106" s="2">
        <f>ROW(EtalonRes!A90)</f>
        <v>90</v>
      </c>
      <c r="E106" s="2" t="s">
        <v>183</v>
      </c>
      <c r="F106" s="2" t="s">
        <v>184</v>
      </c>
      <c r="G106" s="2" t="s">
        <v>185</v>
      </c>
      <c r="H106" s="2" t="s">
        <v>186</v>
      </c>
      <c r="I106" s="2">
        <f>ROUND((2+2)/100,9)</f>
        <v>0.04</v>
      </c>
      <c r="J106" s="2">
        <v>0</v>
      </c>
      <c r="K106" s="2">
        <f>ROUND((2+2)/100,9)</f>
        <v>0.04</v>
      </c>
      <c r="L106" s="2"/>
      <c r="M106" s="2"/>
      <c r="N106" s="2"/>
      <c r="O106" s="2">
        <f t="shared" si="111"/>
        <v>58.22</v>
      </c>
      <c r="P106" s="2">
        <f>ROUND((ROUND((AC106*AW106*I106),2)*BC106),2)</f>
        <v>3.25</v>
      </c>
      <c r="Q106" s="2">
        <f>(ROUND((ROUND((((ET106*1.1))*AV106*I106),2)*BB106),2)+ROUND((ROUND(((AE106-((EU106*1.1)))*AV106*I106),2)*BS106),2))</f>
        <v>4.3</v>
      </c>
      <c r="R106" s="2">
        <f t="shared" si="112"/>
        <v>0.6</v>
      </c>
      <c r="S106" s="2">
        <f t="shared" si="113"/>
        <v>50.67</v>
      </c>
      <c r="T106" s="2">
        <f t="shared" si="114"/>
        <v>0</v>
      </c>
      <c r="U106" s="2">
        <f t="shared" si="115"/>
        <v>3.9005775600000003</v>
      </c>
      <c r="V106" s="2">
        <f t="shared" si="116"/>
        <v>0</v>
      </c>
      <c r="W106" s="2">
        <f t="shared" si="117"/>
        <v>0</v>
      </c>
      <c r="X106" s="2">
        <f t="shared" si="118"/>
        <v>49.73</v>
      </c>
      <c r="Y106" s="2">
        <f t="shared" si="119"/>
        <v>26.15</v>
      </c>
      <c r="Z106" s="2"/>
      <c r="AA106" s="2">
        <v>56498966</v>
      </c>
      <c r="AB106" s="2">
        <f t="shared" si="120"/>
        <v>1393.8579999999999</v>
      </c>
      <c r="AC106" s="2">
        <f t="shared" si="121"/>
        <v>81.36</v>
      </c>
      <c r="AD106" s="2">
        <f>ROUND(((((ET106*1.1))-((EU106*1.1)))+AE106),6)</f>
        <v>102.652</v>
      </c>
      <c r="AE106" s="2">
        <f>ROUND(((EU106*1.1)),6)</f>
        <v>14.3</v>
      </c>
      <c r="AF106" s="2">
        <f>ROUND(((EV106*1.1)),6)</f>
        <v>1209.846</v>
      </c>
      <c r="AG106" s="2">
        <f t="shared" si="122"/>
        <v>0</v>
      </c>
      <c r="AH106" s="2">
        <f>((EW106*1.1))</f>
        <v>93.137000000000015</v>
      </c>
      <c r="AI106" s="2">
        <f>((EX106*1.1))</f>
        <v>0</v>
      </c>
      <c r="AJ106" s="2">
        <f t="shared" si="123"/>
        <v>0</v>
      </c>
      <c r="AK106" s="2">
        <v>1274.54</v>
      </c>
      <c r="AL106" s="2">
        <v>81.36</v>
      </c>
      <c r="AM106" s="2">
        <v>93.32</v>
      </c>
      <c r="AN106" s="2">
        <v>13</v>
      </c>
      <c r="AO106" s="2">
        <v>1099.8599999999999</v>
      </c>
      <c r="AP106" s="2">
        <v>0</v>
      </c>
      <c r="AQ106" s="2">
        <v>84.67</v>
      </c>
      <c r="AR106" s="2">
        <v>0</v>
      </c>
      <c r="AS106" s="2">
        <v>0</v>
      </c>
      <c r="AT106" s="2">
        <v>97</v>
      </c>
      <c r="AU106" s="2">
        <v>51</v>
      </c>
      <c r="AV106" s="2">
        <v>1.0469999999999999</v>
      </c>
      <c r="AW106" s="2">
        <v>1</v>
      </c>
      <c r="AX106" s="2"/>
      <c r="AY106" s="2"/>
      <c r="AZ106" s="2">
        <v>1</v>
      </c>
      <c r="BA106" s="2">
        <v>1</v>
      </c>
      <c r="BB106" s="2">
        <v>1</v>
      </c>
      <c r="BC106" s="2">
        <v>1</v>
      </c>
      <c r="BD106" s="2" t="s">
        <v>3</v>
      </c>
      <c r="BE106" s="2" t="s">
        <v>3</v>
      </c>
      <c r="BF106" s="2" t="s">
        <v>3</v>
      </c>
      <c r="BG106" s="2" t="s">
        <v>3</v>
      </c>
      <c r="BH106" s="2">
        <v>0</v>
      </c>
      <c r="BI106" s="2">
        <v>2</v>
      </c>
      <c r="BJ106" s="2" t="s">
        <v>187</v>
      </c>
      <c r="BK106" s="2"/>
      <c r="BL106" s="2"/>
      <c r="BM106" s="2">
        <v>67</v>
      </c>
      <c r="BN106" s="2">
        <v>0</v>
      </c>
      <c r="BO106" s="2" t="s">
        <v>184</v>
      </c>
      <c r="BP106" s="2">
        <v>1</v>
      </c>
      <c r="BQ106" s="2">
        <v>40</v>
      </c>
      <c r="BR106" s="2">
        <v>0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 t="s">
        <v>3</v>
      </c>
      <c r="BZ106" s="2">
        <v>97</v>
      </c>
      <c r="CA106" s="2">
        <v>51</v>
      </c>
      <c r="CB106" s="2" t="s">
        <v>3</v>
      </c>
      <c r="CC106" s="2"/>
      <c r="CD106" s="2"/>
      <c r="CE106" s="2">
        <v>30</v>
      </c>
      <c r="CF106" s="2">
        <v>0</v>
      </c>
      <c r="CG106" s="2">
        <v>0</v>
      </c>
      <c r="CH106" s="2"/>
      <c r="CI106" s="2"/>
      <c r="CJ106" s="2"/>
      <c r="CK106" s="2"/>
      <c r="CL106" s="2"/>
      <c r="CM106" s="2">
        <v>0</v>
      </c>
      <c r="CN106" s="2" t="s">
        <v>3</v>
      </c>
      <c r="CO106" s="2">
        <v>0</v>
      </c>
      <c r="CP106" s="2">
        <f t="shared" si="124"/>
        <v>58.22</v>
      </c>
      <c r="CQ106" s="2">
        <f>ROUND((ROUND((AC106*AW106*1),2)*BC106),2)</f>
        <v>81.36</v>
      </c>
      <c r="CR106" s="2">
        <f>(ROUND((ROUND((((ET106*1.1))*AV106*1),2)*BB106),2)+ROUND((ROUND(((AE106-((EU106*1.1)))*AV106*1),2)*BS106),2))</f>
        <v>107.48</v>
      </c>
      <c r="CS106" s="2">
        <f t="shared" si="125"/>
        <v>14.97</v>
      </c>
      <c r="CT106" s="2">
        <f t="shared" si="126"/>
        <v>1266.71</v>
      </c>
      <c r="CU106" s="2">
        <f t="shared" si="127"/>
        <v>0</v>
      </c>
      <c r="CV106" s="2">
        <f t="shared" si="128"/>
        <v>97.51443900000001</v>
      </c>
      <c r="CW106" s="2">
        <f t="shared" si="129"/>
        <v>0</v>
      </c>
      <c r="CX106" s="2">
        <f t="shared" si="130"/>
        <v>0</v>
      </c>
      <c r="CY106" s="2">
        <f t="shared" si="131"/>
        <v>49.731900000000003</v>
      </c>
      <c r="CZ106" s="2">
        <f t="shared" si="132"/>
        <v>26.1477</v>
      </c>
      <c r="DA106" s="2"/>
      <c r="DB106" s="2"/>
      <c r="DC106" s="2" t="s">
        <v>3</v>
      </c>
      <c r="DD106" s="2" t="s">
        <v>3</v>
      </c>
      <c r="DE106" s="2" t="s">
        <v>24</v>
      </c>
      <c r="DF106" s="2" t="s">
        <v>24</v>
      </c>
      <c r="DG106" s="2" t="s">
        <v>24</v>
      </c>
      <c r="DH106" s="2" t="s">
        <v>3</v>
      </c>
      <c r="DI106" s="2" t="s">
        <v>24</v>
      </c>
      <c r="DJ106" s="2" t="s">
        <v>24</v>
      </c>
      <c r="DK106" s="2" t="s">
        <v>3</v>
      </c>
      <c r="DL106" s="2" t="s">
        <v>3</v>
      </c>
      <c r="DM106" s="2" t="s">
        <v>3</v>
      </c>
      <c r="DN106" s="2">
        <v>0</v>
      </c>
      <c r="DO106" s="2">
        <v>0</v>
      </c>
      <c r="DP106" s="2">
        <v>1</v>
      </c>
      <c r="DQ106" s="2">
        <v>1</v>
      </c>
      <c r="DR106" s="2"/>
      <c r="DS106" s="2"/>
      <c r="DT106" s="2"/>
      <c r="DU106" s="2">
        <v>1010</v>
      </c>
      <c r="DV106" s="2" t="s">
        <v>186</v>
      </c>
      <c r="DW106" s="2" t="s">
        <v>186</v>
      </c>
      <c r="DX106" s="2">
        <v>100</v>
      </c>
      <c r="DY106" s="2"/>
      <c r="DZ106" s="2" t="s">
        <v>3</v>
      </c>
      <c r="EA106" s="2" t="s">
        <v>3</v>
      </c>
      <c r="EB106" s="2" t="s">
        <v>3</v>
      </c>
      <c r="EC106" s="2" t="s">
        <v>3</v>
      </c>
      <c r="ED106" s="2"/>
      <c r="EE106" s="2">
        <v>58162629</v>
      </c>
      <c r="EF106" s="2">
        <v>40</v>
      </c>
      <c r="EG106" s="2" t="s">
        <v>25</v>
      </c>
      <c r="EH106" s="2">
        <v>0</v>
      </c>
      <c r="EI106" s="2" t="s">
        <v>3</v>
      </c>
      <c r="EJ106" s="2">
        <v>2</v>
      </c>
      <c r="EK106" s="2">
        <v>67</v>
      </c>
      <c r="EL106" s="2" t="s">
        <v>104</v>
      </c>
      <c r="EM106" s="2" t="s">
        <v>105</v>
      </c>
      <c r="EN106" s="2"/>
      <c r="EO106" s="2" t="s">
        <v>28</v>
      </c>
      <c r="EP106" s="2"/>
      <c r="EQ106" s="2">
        <v>0</v>
      </c>
      <c r="ER106" s="2">
        <v>1274.54</v>
      </c>
      <c r="ES106" s="2">
        <v>81.36</v>
      </c>
      <c r="ET106" s="2">
        <v>93.32</v>
      </c>
      <c r="EU106" s="2">
        <v>13</v>
      </c>
      <c r="EV106" s="2">
        <v>1099.8599999999999</v>
      </c>
      <c r="EW106" s="2">
        <v>84.67</v>
      </c>
      <c r="EX106" s="2">
        <v>0</v>
      </c>
      <c r="EY106" s="2">
        <v>0</v>
      </c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>
        <v>0</v>
      </c>
      <c r="FR106" s="2">
        <v>0</v>
      </c>
      <c r="FS106" s="2">
        <v>0</v>
      </c>
      <c r="FT106" s="2"/>
      <c r="FU106" s="2"/>
      <c r="FV106" s="2"/>
      <c r="FW106" s="2"/>
      <c r="FX106" s="2">
        <v>97</v>
      </c>
      <c r="FY106" s="2">
        <v>51</v>
      </c>
      <c r="FZ106" s="2"/>
      <c r="GA106" s="2" t="s">
        <v>3</v>
      </c>
      <c r="GB106" s="2"/>
      <c r="GC106" s="2"/>
      <c r="GD106" s="2">
        <v>1</v>
      </c>
      <c r="GE106" s="2"/>
      <c r="GF106" s="2">
        <v>1425619810</v>
      </c>
      <c r="GG106" s="2">
        <v>2</v>
      </c>
      <c r="GH106" s="2">
        <v>1</v>
      </c>
      <c r="GI106" s="2">
        <v>2</v>
      </c>
      <c r="GJ106" s="2">
        <v>0</v>
      </c>
      <c r="GK106" s="2">
        <v>0</v>
      </c>
      <c r="GL106" s="2">
        <f t="shared" si="133"/>
        <v>0</v>
      </c>
      <c r="GM106" s="2">
        <f t="shared" si="134"/>
        <v>134.1</v>
      </c>
      <c r="GN106" s="2">
        <f t="shared" si="135"/>
        <v>0</v>
      </c>
      <c r="GO106" s="2">
        <f t="shared" si="136"/>
        <v>134.1</v>
      </c>
      <c r="GP106" s="2">
        <f t="shared" si="137"/>
        <v>0</v>
      </c>
      <c r="GQ106" s="2"/>
      <c r="GR106" s="2">
        <v>0</v>
      </c>
      <c r="GS106" s="2">
        <v>3</v>
      </c>
      <c r="GT106" s="2">
        <v>0</v>
      </c>
      <c r="GU106" s="2" t="s">
        <v>3</v>
      </c>
      <c r="GV106" s="2">
        <f t="shared" si="138"/>
        <v>0</v>
      </c>
      <c r="GW106" s="2">
        <v>1</v>
      </c>
      <c r="GX106" s="2">
        <f t="shared" si="139"/>
        <v>0</v>
      </c>
      <c r="GY106" s="2"/>
      <c r="GZ106" s="2"/>
      <c r="HA106" s="2">
        <v>0</v>
      </c>
      <c r="HB106" s="2">
        <v>0</v>
      </c>
      <c r="HC106" s="2">
        <f t="shared" si="140"/>
        <v>0</v>
      </c>
      <c r="HD106" s="2"/>
      <c r="HE106" s="2" t="s">
        <v>3</v>
      </c>
      <c r="HF106" s="2" t="s">
        <v>3</v>
      </c>
      <c r="HG106" s="2"/>
      <c r="HH106" s="2"/>
      <c r="HI106" s="2"/>
      <c r="HJ106" s="2"/>
      <c r="HK106" s="2"/>
      <c r="HL106" s="2"/>
      <c r="HM106" s="2" t="s">
        <v>3</v>
      </c>
      <c r="HN106" s="2" t="s">
        <v>3</v>
      </c>
      <c r="HO106" s="2" t="s">
        <v>3</v>
      </c>
      <c r="HP106" s="2" t="s">
        <v>3</v>
      </c>
      <c r="HQ106" s="2" t="s">
        <v>3</v>
      </c>
      <c r="HR106" s="2"/>
      <c r="HS106" s="2">
        <v>0</v>
      </c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>
        <v>0</v>
      </c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x14ac:dyDescent="0.3">
      <c r="A107">
        <v>17</v>
      </c>
      <c r="B107">
        <v>1</v>
      </c>
      <c r="D107">
        <f>ROW(EtalonRes!A98)</f>
        <v>98</v>
      </c>
      <c r="E107" t="s">
        <v>183</v>
      </c>
      <c r="F107" t="s">
        <v>184</v>
      </c>
      <c r="G107" t="s">
        <v>185</v>
      </c>
      <c r="H107" t="s">
        <v>186</v>
      </c>
      <c r="I107">
        <f>ROUND((2+2)/100,9)</f>
        <v>0.04</v>
      </c>
      <c r="J107">
        <v>0</v>
      </c>
      <c r="K107">
        <f>ROUND((2+2)/100,9)</f>
        <v>0.04</v>
      </c>
      <c r="O107">
        <f t="shared" si="111"/>
        <v>2888.25</v>
      </c>
      <c r="P107">
        <f>ROUND((ROUND((AC107*AW107*I107),2)*BC107),2)</f>
        <v>34.61</v>
      </c>
      <c r="Q107">
        <f>(ROUND((ROUND((((ET107*1.1))*AV107*I107),2)*BB107),2)+ROUND((ROUND(((AE107-((EU107*1.1)))*AV107*I107),2)*BS107),2))</f>
        <v>67.3</v>
      </c>
      <c r="R107">
        <f t="shared" si="112"/>
        <v>32.99</v>
      </c>
      <c r="S107">
        <f t="shared" si="113"/>
        <v>2786.34</v>
      </c>
      <c r="T107">
        <f t="shared" si="114"/>
        <v>0</v>
      </c>
      <c r="U107">
        <f t="shared" si="115"/>
        <v>3.9005775600000003</v>
      </c>
      <c r="V107">
        <f t="shared" si="116"/>
        <v>0</v>
      </c>
      <c r="W107">
        <f t="shared" si="117"/>
        <v>0</v>
      </c>
      <c r="X107">
        <f t="shared" si="118"/>
        <v>2734.75</v>
      </c>
      <c r="Y107">
        <f t="shared" si="119"/>
        <v>1437.86</v>
      </c>
      <c r="AA107">
        <v>56498968</v>
      </c>
      <c r="AB107">
        <f t="shared" si="120"/>
        <v>1393.8579999999999</v>
      </c>
      <c r="AC107">
        <f t="shared" si="121"/>
        <v>81.36</v>
      </c>
      <c r="AD107">
        <f>ROUND(((((ET107*1.1))-((EU107*1.1)))+AE107),6)</f>
        <v>102.652</v>
      </c>
      <c r="AE107">
        <f>ROUND(((EU107*1.1)),6)</f>
        <v>14.3</v>
      </c>
      <c r="AF107">
        <f>ROUND(((EV107*1.1)),6)</f>
        <v>1209.846</v>
      </c>
      <c r="AG107">
        <f t="shared" si="122"/>
        <v>0</v>
      </c>
      <c r="AH107">
        <f>((EW107*1.1))</f>
        <v>93.137000000000015</v>
      </c>
      <c r="AI107">
        <f>((EX107*1.1))</f>
        <v>0</v>
      </c>
      <c r="AJ107">
        <f t="shared" si="123"/>
        <v>0</v>
      </c>
      <c r="AK107">
        <v>1274.54</v>
      </c>
      <c r="AL107">
        <v>81.36</v>
      </c>
      <c r="AM107">
        <v>93.32</v>
      </c>
      <c r="AN107">
        <v>13</v>
      </c>
      <c r="AO107">
        <v>1099.8599999999999</v>
      </c>
      <c r="AP107">
        <v>0</v>
      </c>
      <c r="AQ107">
        <v>84.67</v>
      </c>
      <c r="AR107">
        <v>0</v>
      </c>
      <c r="AS107">
        <v>0</v>
      </c>
      <c r="AT107">
        <v>97</v>
      </c>
      <c r="AU107">
        <v>51</v>
      </c>
      <c r="AV107">
        <v>1.0469999999999999</v>
      </c>
      <c r="AW107">
        <v>1</v>
      </c>
      <c r="AZ107">
        <v>1</v>
      </c>
      <c r="BA107">
        <v>54.99</v>
      </c>
      <c r="BB107">
        <v>15.65</v>
      </c>
      <c r="BC107">
        <v>10.65</v>
      </c>
      <c r="BD107" t="s">
        <v>3</v>
      </c>
      <c r="BE107" t="s">
        <v>3</v>
      </c>
      <c r="BF107" t="s">
        <v>3</v>
      </c>
      <c r="BG107" t="s">
        <v>3</v>
      </c>
      <c r="BH107">
        <v>0</v>
      </c>
      <c r="BI107">
        <v>2</v>
      </c>
      <c r="BJ107" t="s">
        <v>187</v>
      </c>
      <c r="BM107">
        <v>67</v>
      </c>
      <c r="BN107">
        <v>0</v>
      </c>
      <c r="BO107" t="s">
        <v>184</v>
      </c>
      <c r="BP107">
        <v>1</v>
      </c>
      <c r="BQ107">
        <v>40</v>
      </c>
      <c r="BR107">
        <v>0</v>
      </c>
      <c r="BS107">
        <v>54.99</v>
      </c>
      <c r="BT107">
        <v>1</v>
      </c>
      <c r="BU107">
        <v>1</v>
      </c>
      <c r="BV107">
        <v>1</v>
      </c>
      <c r="BW107">
        <v>1</v>
      </c>
      <c r="BX107">
        <v>1</v>
      </c>
      <c r="BY107" t="s">
        <v>3</v>
      </c>
      <c r="BZ107">
        <v>97</v>
      </c>
      <c r="CA107">
        <v>51</v>
      </c>
      <c r="CB107" t="s">
        <v>3</v>
      </c>
      <c r="CE107">
        <v>30</v>
      </c>
      <c r="CF107">
        <v>0</v>
      </c>
      <c r="CG107">
        <v>0</v>
      </c>
      <c r="CM107">
        <v>0</v>
      </c>
      <c r="CN107" t="s">
        <v>3</v>
      </c>
      <c r="CO107">
        <v>0</v>
      </c>
      <c r="CP107">
        <f t="shared" si="124"/>
        <v>2888.25</v>
      </c>
      <c r="CQ107">
        <f>ROUND((ROUND((AC107*AW107*1),2)*BC107),2)</f>
        <v>866.48</v>
      </c>
      <c r="CR107">
        <f>(ROUND((ROUND((((ET107*1.1))*AV107*1),2)*BB107),2)+ROUND((ROUND(((AE107-((EU107*1.1)))*AV107*1),2)*BS107),2))</f>
        <v>1682.06</v>
      </c>
      <c r="CS107">
        <f t="shared" si="125"/>
        <v>823.2</v>
      </c>
      <c r="CT107">
        <f t="shared" si="126"/>
        <v>69656.38</v>
      </c>
      <c r="CU107">
        <f t="shared" si="127"/>
        <v>0</v>
      </c>
      <c r="CV107">
        <f t="shared" si="128"/>
        <v>97.51443900000001</v>
      </c>
      <c r="CW107">
        <f t="shared" si="129"/>
        <v>0</v>
      </c>
      <c r="CX107">
        <f t="shared" si="130"/>
        <v>0</v>
      </c>
      <c r="CY107">
        <f t="shared" si="131"/>
        <v>2734.7501000000002</v>
      </c>
      <c r="CZ107">
        <f t="shared" si="132"/>
        <v>1437.8582999999999</v>
      </c>
      <c r="DC107" t="s">
        <v>3</v>
      </c>
      <c r="DD107" t="s">
        <v>3</v>
      </c>
      <c r="DE107" t="s">
        <v>24</v>
      </c>
      <c r="DF107" t="s">
        <v>24</v>
      </c>
      <c r="DG107" t="s">
        <v>24</v>
      </c>
      <c r="DH107" t="s">
        <v>3</v>
      </c>
      <c r="DI107" t="s">
        <v>24</v>
      </c>
      <c r="DJ107" t="s">
        <v>24</v>
      </c>
      <c r="DK107" t="s">
        <v>3</v>
      </c>
      <c r="DL107" t="s">
        <v>3</v>
      </c>
      <c r="DM107" t="s">
        <v>3</v>
      </c>
      <c r="DN107">
        <v>0</v>
      </c>
      <c r="DO107">
        <v>0</v>
      </c>
      <c r="DP107">
        <v>1</v>
      </c>
      <c r="DQ107">
        <v>1</v>
      </c>
      <c r="DU107">
        <v>1010</v>
      </c>
      <c r="DV107" t="s">
        <v>186</v>
      </c>
      <c r="DW107" t="s">
        <v>186</v>
      </c>
      <c r="DX107">
        <v>100</v>
      </c>
      <c r="DZ107" t="s">
        <v>3</v>
      </c>
      <c r="EA107" t="s">
        <v>3</v>
      </c>
      <c r="EB107" t="s">
        <v>3</v>
      </c>
      <c r="EC107" t="s">
        <v>3</v>
      </c>
      <c r="EE107">
        <v>58162629</v>
      </c>
      <c r="EF107">
        <v>40</v>
      </c>
      <c r="EG107" t="s">
        <v>25</v>
      </c>
      <c r="EH107">
        <v>0</v>
      </c>
      <c r="EI107" t="s">
        <v>3</v>
      </c>
      <c r="EJ107">
        <v>2</v>
      </c>
      <c r="EK107">
        <v>67</v>
      </c>
      <c r="EL107" t="s">
        <v>104</v>
      </c>
      <c r="EM107" t="s">
        <v>105</v>
      </c>
      <c r="EO107" t="s">
        <v>28</v>
      </c>
      <c r="EQ107">
        <v>0</v>
      </c>
      <c r="ER107">
        <v>1274.54</v>
      </c>
      <c r="ES107">
        <v>81.36</v>
      </c>
      <c r="ET107">
        <v>93.32</v>
      </c>
      <c r="EU107">
        <v>13</v>
      </c>
      <c r="EV107">
        <v>1099.8599999999999</v>
      </c>
      <c r="EW107">
        <v>84.67</v>
      </c>
      <c r="EX107">
        <v>0</v>
      </c>
      <c r="EY107">
        <v>0</v>
      </c>
      <c r="FQ107">
        <v>0</v>
      </c>
      <c r="FR107">
        <v>0</v>
      </c>
      <c r="FS107">
        <v>0</v>
      </c>
      <c r="FX107">
        <v>97</v>
      </c>
      <c r="FY107">
        <v>51</v>
      </c>
      <c r="GA107" t="s">
        <v>3</v>
      </c>
      <c r="GD107">
        <v>1</v>
      </c>
      <c r="GF107">
        <v>1425619810</v>
      </c>
      <c r="GG107">
        <v>2</v>
      </c>
      <c r="GH107">
        <v>1</v>
      </c>
      <c r="GI107">
        <v>2</v>
      </c>
      <c r="GJ107">
        <v>0</v>
      </c>
      <c r="GK107">
        <v>0</v>
      </c>
      <c r="GL107">
        <f t="shared" si="133"/>
        <v>0</v>
      </c>
      <c r="GM107">
        <f t="shared" si="134"/>
        <v>7060.86</v>
      </c>
      <c r="GN107">
        <f t="shared" si="135"/>
        <v>0</v>
      </c>
      <c r="GO107">
        <f t="shared" si="136"/>
        <v>7060.86</v>
      </c>
      <c r="GP107">
        <f t="shared" si="137"/>
        <v>0</v>
      </c>
      <c r="GR107">
        <v>0</v>
      </c>
      <c r="GS107">
        <v>3</v>
      </c>
      <c r="GT107">
        <v>0</v>
      </c>
      <c r="GU107" t="s">
        <v>3</v>
      </c>
      <c r="GV107">
        <f t="shared" si="138"/>
        <v>0</v>
      </c>
      <c r="GW107">
        <v>1</v>
      </c>
      <c r="GX107">
        <f t="shared" si="139"/>
        <v>0</v>
      </c>
      <c r="HA107">
        <v>0</v>
      </c>
      <c r="HB107">
        <v>0</v>
      </c>
      <c r="HC107">
        <f t="shared" si="140"/>
        <v>0</v>
      </c>
      <c r="HE107" t="s">
        <v>3</v>
      </c>
      <c r="HF107" t="s">
        <v>3</v>
      </c>
      <c r="HM107" t="s">
        <v>3</v>
      </c>
      <c r="HN107" t="s">
        <v>3</v>
      </c>
      <c r="HO107" t="s">
        <v>3</v>
      </c>
      <c r="HP107" t="s">
        <v>3</v>
      </c>
      <c r="HQ107" t="s">
        <v>3</v>
      </c>
      <c r="HS107">
        <v>0</v>
      </c>
      <c r="IK107">
        <v>0</v>
      </c>
    </row>
    <row r="108" spans="1:255" x14ac:dyDescent="0.3">
      <c r="A108" s="2">
        <v>18</v>
      </c>
      <c r="B108" s="2">
        <v>1</v>
      </c>
      <c r="C108" s="2"/>
      <c r="D108" s="2"/>
      <c r="E108" s="2" t="s">
        <v>188</v>
      </c>
      <c r="F108" s="2" t="s">
        <v>189</v>
      </c>
      <c r="G108" s="2" t="s">
        <v>190</v>
      </c>
      <c r="H108" s="2" t="s">
        <v>32</v>
      </c>
      <c r="I108" s="2">
        <f>I106*J108</f>
        <v>2</v>
      </c>
      <c r="J108" s="2">
        <v>50</v>
      </c>
      <c r="K108" s="2">
        <v>50</v>
      </c>
      <c r="L108" s="2"/>
      <c r="M108" s="2"/>
      <c r="N108" s="2"/>
      <c r="O108" s="2">
        <f t="shared" si="111"/>
        <v>107.76</v>
      </c>
      <c r="P108" s="2">
        <f>ROUND((ROUND((AC108*I108),2)*BC108),2)</f>
        <v>107.76</v>
      </c>
      <c r="Q108" s="2">
        <f>(ROUND((ROUND(((ET108)*AV108*I108),2)*BB108),2)+ROUND((ROUND(((AE108-(EU108))*AV108*I108),2)*BS108),2))</f>
        <v>0</v>
      </c>
      <c r="R108" s="2">
        <f t="shared" si="112"/>
        <v>0</v>
      </c>
      <c r="S108" s="2">
        <f t="shared" si="113"/>
        <v>0</v>
      </c>
      <c r="T108" s="2">
        <f t="shared" si="114"/>
        <v>0</v>
      </c>
      <c r="U108" s="2">
        <f t="shared" si="115"/>
        <v>0</v>
      </c>
      <c r="V108" s="2">
        <f t="shared" si="116"/>
        <v>0</v>
      </c>
      <c r="W108" s="2">
        <f t="shared" si="117"/>
        <v>0</v>
      </c>
      <c r="X108" s="2">
        <f t="shared" si="118"/>
        <v>0</v>
      </c>
      <c r="Y108" s="2">
        <f t="shared" si="119"/>
        <v>0</v>
      </c>
      <c r="Z108" s="2"/>
      <c r="AA108" s="2">
        <v>56498966</v>
      </c>
      <c r="AB108" s="2">
        <f t="shared" si="120"/>
        <v>53.88</v>
      </c>
      <c r="AC108" s="2">
        <f t="shared" si="121"/>
        <v>53.88</v>
      </c>
      <c r="AD108" s="2">
        <f>ROUND((((ET108)-(EU108))+AE108),6)</f>
        <v>0</v>
      </c>
      <c r="AE108" s="2">
        <f t="shared" ref="AE108:AF111" si="141">ROUND((EU108),6)</f>
        <v>0</v>
      </c>
      <c r="AF108" s="2">
        <f t="shared" si="141"/>
        <v>0</v>
      </c>
      <c r="AG108" s="2">
        <f t="shared" si="122"/>
        <v>0</v>
      </c>
      <c r="AH108" s="2">
        <f t="shared" ref="AH108:AI111" si="142">(EW108)</f>
        <v>0</v>
      </c>
      <c r="AI108" s="2">
        <f t="shared" si="142"/>
        <v>0</v>
      </c>
      <c r="AJ108" s="2">
        <f t="shared" si="123"/>
        <v>0</v>
      </c>
      <c r="AK108" s="2">
        <v>53.88</v>
      </c>
      <c r="AL108" s="2">
        <v>53.88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1</v>
      </c>
      <c r="AW108" s="2">
        <v>1</v>
      </c>
      <c r="AX108" s="2"/>
      <c r="AY108" s="2"/>
      <c r="AZ108" s="2">
        <v>1</v>
      </c>
      <c r="BA108" s="2">
        <v>1</v>
      </c>
      <c r="BB108" s="2">
        <v>1</v>
      </c>
      <c r="BC108" s="2">
        <v>1</v>
      </c>
      <c r="BD108" s="2" t="s">
        <v>3</v>
      </c>
      <c r="BE108" s="2" t="s">
        <v>3</v>
      </c>
      <c r="BF108" s="2" t="s">
        <v>3</v>
      </c>
      <c r="BG108" s="2" t="s">
        <v>3</v>
      </c>
      <c r="BH108" s="2">
        <v>3</v>
      </c>
      <c r="BI108" s="2">
        <v>3</v>
      </c>
      <c r="BJ108" s="2" t="s">
        <v>3</v>
      </c>
      <c r="BK108" s="2"/>
      <c r="BL108" s="2"/>
      <c r="BM108" s="2">
        <v>746</v>
      </c>
      <c r="BN108" s="2">
        <v>0</v>
      </c>
      <c r="BO108" s="2" t="s">
        <v>3</v>
      </c>
      <c r="BP108" s="2">
        <v>0</v>
      </c>
      <c r="BQ108" s="2">
        <v>130</v>
      </c>
      <c r="BR108" s="2">
        <v>0</v>
      </c>
      <c r="BS108" s="2">
        <v>1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 t="s">
        <v>3</v>
      </c>
      <c r="BZ108" s="2">
        <v>97</v>
      </c>
      <c r="CA108" s="2">
        <v>51</v>
      </c>
      <c r="CB108" s="2" t="s">
        <v>3</v>
      </c>
      <c r="CC108" s="2"/>
      <c r="CD108" s="2"/>
      <c r="CE108" s="2">
        <v>30</v>
      </c>
      <c r="CF108" s="2">
        <v>0</v>
      </c>
      <c r="CG108" s="2">
        <v>0</v>
      </c>
      <c r="CH108" s="2"/>
      <c r="CI108" s="2"/>
      <c r="CJ108" s="2"/>
      <c r="CK108" s="2"/>
      <c r="CL108" s="2"/>
      <c r="CM108" s="2">
        <v>0</v>
      </c>
      <c r="CN108" s="2" t="s">
        <v>3</v>
      </c>
      <c r="CO108" s="2">
        <v>0</v>
      </c>
      <c r="CP108" s="2">
        <f t="shared" si="124"/>
        <v>107.76</v>
      </c>
      <c r="CQ108" s="2">
        <f>ROUND((ROUND((AC108*1),2)*BC108),2)</f>
        <v>53.88</v>
      </c>
      <c r="CR108" s="2">
        <f>(ROUND((ROUND(((ET108)*AV108*1),2)*BB108),2)+ROUND((ROUND(((AE108-(EU108))*AV108*1),2)*BS108),2))</f>
        <v>0</v>
      </c>
      <c r="CS108" s="2">
        <f t="shared" si="125"/>
        <v>0</v>
      </c>
      <c r="CT108" s="2">
        <f t="shared" si="126"/>
        <v>0</v>
      </c>
      <c r="CU108" s="2">
        <f t="shared" si="127"/>
        <v>0</v>
      </c>
      <c r="CV108" s="2">
        <f t="shared" si="128"/>
        <v>0</v>
      </c>
      <c r="CW108" s="2">
        <f t="shared" si="129"/>
        <v>0</v>
      </c>
      <c r="CX108" s="2">
        <f t="shared" si="130"/>
        <v>0</v>
      </c>
      <c r="CY108" s="2">
        <f t="shared" si="131"/>
        <v>0</v>
      </c>
      <c r="CZ108" s="2">
        <f t="shared" si="132"/>
        <v>0</v>
      </c>
      <c r="DA108" s="2"/>
      <c r="DB108" s="2"/>
      <c r="DC108" s="2" t="s">
        <v>3</v>
      </c>
      <c r="DD108" s="2" t="s">
        <v>3</v>
      </c>
      <c r="DE108" s="2" t="s">
        <v>3</v>
      </c>
      <c r="DF108" s="2" t="s">
        <v>3</v>
      </c>
      <c r="DG108" s="2" t="s">
        <v>3</v>
      </c>
      <c r="DH108" s="2" t="s">
        <v>3</v>
      </c>
      <c r="DI108" s="2" t="s">
        <v>3</v>
      </c>
      <c r="DJ108" s="2" t="s">
        <v>3</v>
      </c>
      <c r="DK108" s="2" t="s">
        <v>3</v>
      </c>
      <c r="DL108" s="2" t="s">
        <v>3</v>
      </c>
      <c r="DM108" s="2" t="s">
        <v>3</v>
      </c>
      <c r="DN108" s="2">
        <v>0</v>
      </c>
      <c r="DO108" s="2">
        <v>0</v>
      </c>
      <c r="DP108" s="2">
        <v>1</v>
      </c>
      <c r="DQ108" s="2">
        <v>1</v>
      </c>
      <c r="DR108" s="2"/>
      <c r="DS108" s="2"/>
      <c r="DT108" s="2"/>
      <c r="DU108" s="2">
        <v>1010</v>
      </c>
      <c r="DV108" s="2" t="s">
        <v>32</v>
      </c>
      <c r="DW108" s="2" t="s">
        <v>32</v>
      </c>
      <c r="DX108" s="2">
        <v>1</v>
      </c>
      <c r="DY108" s="2"/>
      <c r="DZ108" s="2" t="s">
        <v>3</v>
      </c>
      <c r="EA108" s="2" t="s">
        <v>3</v>
      </c>
      <c r="EB108" s="2" t="s">
        <v>3</v>
      </c>
      <c r="EC108" s="2" t="s">
        <v>3</v>
      </c>
      <c r="ED108" s="2"/>
      <c r="EE108" s="2">
        <v>58162750</v>
      </c>
      <c r="EF108" s="2">
        <v>130</v>
      </c>
      <c r="EG108" s="2" t="s">
        <v>33</v>
      </c>
      <c r="EH108" s="2">
        <v>0</v>
      </c>
      <c r="EI108" s="2" t="s">
        <v>3</v>
      </c>
      <c r="EJ108" s="2">
        <v>3</v>
      </c>
      <c r="EK108" s="2">
        <v>746</v>
      </c>
      <c r="EL108" s="2" t="s">
        <v>34</v>
      </c>
      <c r="EM108" s="2" t="s">
        <v>35</v>
      </c>
      <c r="EN108" s="2"/>
      <c r="EO108" s="2" t="s">
        <v>3</v>
      </c>
      <c r="EP108" s="2"/>
      <c r="EQ108" s="2">
        <v>0</v>
      </c>
      <c r="ER108" s="2">
        <v>53.88</v>
      </c>
      <c r="ES108" s="2">
        <v>53.88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>
        <v>0</v>
      </c>
      <c r="FR108" s="2">
        <f>P108</f>
        <v>107.76</v>
      </c>
      <c r="FS108" s="2">
        <v>0</v>
      </c>
      <c r="FT108" s="2"/>
      <c r="FU108" s="2"/>
      <c r="FV108" s="2"/>
      <c r="FW108" s="2"/>
      <c r="FX108" s="2">
        <v>97</v>
      </c>
      <c r="FY108" s="2">
        <v>51</v>
      </c>
      <c r="FZ108" s="2"/>
      <c r="GA108" s="2" t="s">
        <v>3</v>
      </c>
      <c r="GB108" s="2"/>
      <c r="GC108" s="2"/>
      <c r="GD108" s="2">
        <v>1</v>
      </c>
      <c r="GE108" s="2"/>
      <c r="GF108" s="2">
        <v>1377442923</v>
      </c>
      <c r="GG108" s="2">
        <v>2</v>
      </c>
      <c r="GH108" s="2">
        <v>1</v>
      </c>
      <c r="GI108" s="2">
        <v>-2</v>
      </c>
      <c r="GJ108" s="2">
        <v>0</v>
      </c>
      <c r="GK108" s="2">
        <v>0</v>
      </c>
      <c r="GL108" s="2">
        <f t="shared" si="133"/>
        <v>0</v>
      </c>
      <c r="GM108" s="2">
        <f t="shared" si="134"/>
        <v>107.76</v>
      </c>
      <c r="GN108" s="2">
        <f t="shared" si="135"/>
        <v>0</v>
      </c>
      <c r="GO108" s="2">
        <f t="shared" si="136"/>
        <v>0</v>
      </c>
      <c r="GP108" s="2">
        <f t="shared" si="137"/>
        <v>0</v>
      </c>
      <c r="GQ108" s="2"/>
      <c r="GR108" s="2">
        <v>0</v>
      </c>
      <c r="GS108" s="2">
        <v>3</v>
      </c>
      <c r="GT108" s="2">
        <v>0</v>
      </c>
      <c r="GU108" s="2" t="s">
        <v>3</v>
      </c>
      <c r="GV108" s="2">
        <f t="shared" si="138"/>
        <v>0</v>
      </c>
      <c r="GW108" s="2">
        <v>1</v>
      </c>
      <c r="GX108" s="2">
        <f t="shared" si="139"/>
        <v>0</v>
      </c>
      <c r="GY108" s="2"/>
      <c r="GZ108" s="2"/>
      <c r="HA108" s="2">
        <v>0</v>
      </c>
      <c r="HB108" s="2">
        <v>0</v>
      </c>
      <c r="HC108" s="2">
        <f t="shared" si="140"/>
        <v>0</v>
      </c>
      <c r="HD108" s="2"/>
      <c r="HE108" s="2" t="s">
        <v>3</v>
      </c>
      <c r="HF108" s="2" t="s">
        <v>3</v>
      </c>
      <c r="HG108" s="2"/>
      <c r="HH108" s="2"/>
      <c r="HI108" s="2"/>
      <c r="HJ108" s="2"/>
      <c r="HK108" s="2"/>
      <c r="HL108" s="2"/>
      <c r="HM108" s="2" t="s">
        <v>3</v>
      </c>
      <c r="HN108" s="2" t="s">
        <v>3</v>
      </c>
      <c r="HO108" s="2" t="s">
        <v>3</v>
      </c>
      <c r="HP108" s="2" t="s">
        <v>3</v>
      </c>
      <c r="HQ108" s="2" t="s">
        <v>3</v>
      </c>
      <c r="HR108" s="2"/>
      <c r="HS108" s="2">
        <v>0</v>
      </c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>
        <v>0</v>
      </c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x14ac:dyDescent="0.3">
      <c r="A109">
        <v>18</v>
      </c>
      <c r="B109">
        <v>1</v>
      </c>
      <c r="E109" t="s">
        <v>188</v>
      </c>
      <c r="F109" t="s">
        <v>189</v>
      </c>
      <c r="G109" t="s">
        <v>190</v>
      </c>
      <c r="H109" t="s">
        <v>32</v>
      </c>
      <c r="I109">
        <f>I107*J109</f>
        <v>2</v>
      </c>
      <c r="J109">
        <v>50</v>
      </c>
      <c r="K109">
        <v>50</v>
      </c>
      <c r="O109">
        <f t="shared" si="111"/>
        <v>383.63</v>
      </c>
      <c r="P109">
        <f>ROUND((ROUND((AC109*I109),2)*BC109),2)</f>
        <v>383.63</v>
      </c>
      <c r="Q109">
        <f>(ROUND((ROUND(((ET109)*AV109*I109),2)*BB109),2)+ROUND((ROUND(((AE109-(EU109))*AV109*I109),2)*BS109),2))</f>
        <v>0</v>
      </c>
      <c r="R109">
        <f t="shared" si="112"/>
        <v>0</v>
      </c>
      <c r="S109">
        <f t="shared" si="113"/>
        <v>0</v>
      </c>
      <c r="T109">
        <f t="shared" si="114"/>
        <v>0</v>
      </c>
      <c r="U109">
        <f t="shared" si="115"/>
        <v>0</v>
      </c>
      <c r="V109">
        <f t="shared" si="116"/>
        <v>0</v>
      </c>
      <c r="W109">
        <f t="shared" si="117"/>
        <v>0</v>
      </c>
      <c r="X109">
        <f t="shared" si="118"/>
        <v>0</v>
      </c>
      <c r="Y109">
        <f t="shared" si="119"/>
        <v>0</v>
      </c>
      <c r="AA109">
        <v>56498968</v>
      </c>
      <c r="AB109">
        <f t="shared" si="120"/>
        <v>53.88</v>
      </c>
      <c r="AC109">
        <f t="shared" si="121"/>
        <v>53.88</v>
      </c>
      <c r="AD109">
        <f>ROUND((((ET109)-(EU109))+AE109),6)</f>
        <v>0</v>
      </c>
      <c r="AE109">
        <f t="shared" si="141"/>
        <v>0</v>
      </c>
      <c r="AF109">
        <f t="shared" si="141"/>
        <v>0</v>
      </c>
      <c r="AG109">
        <f t="shared" si="122"/>
        <v>0</v>
      </c>
      <c r="AH109">
        <f t="shared" si="142"/>
        <v>0</v>
      </c>
      <c r="AI109">
        <f t="shared" si="142"/>
        <v>0</v>
      </c>
      <c r="AJ109">
        <f t="shared" si="123"/>
        <v>0</v>
      </c>
      <c r="AK109">
        <v>53.88</v>
      </c>
      <c r="AL109">
        <v>53.88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1</v>
      </c>
      <c r="AZ109">
        <v>1</v>
      </c>
      <c r="BA109">
        <v>1</v>
      </c>
      <c r="BB109">
        <v>1</v>
      </c>
      <c r="BC109">
        <v>3.56</v>
      </c>
      <c r="BD109" t="s">
        <v>3</v>
      </c>
      <c r="BE109" t="s">
        <v>3</v>
      </c>
      <c r="BF109" t="s">
        <v>3</v>
      </c>
      <c r="BG109" t="s">
        <v>3</v>
      </c>
      <c r="BH109">
        <v>3</v>
      </c>
      <c r="BI109">
        <v>3</v>
      </c>
      <c r="BJ109" t="s">
        <v>3</v>
      </c>
      <c r="BM109">
        <v>746</v>
      </c>
      <c r="BN109">
        <v>0</v>
      </c>
      <c r="BO109" t="s">
        <v>3</v>
      </c>
      <c r="BP109">
        <v>0</v>
      </c>
      <c r="BQ109">
        <v>130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 t="s">
        <v>3</v>
      </c>
      <c r="BZ109">
        <v>97</v>
      </c>
      <c r="CA109">
        <v>51</v>
      </c>
      <c r="CB109" t="s">
        <v>3</v>
      </c>
      <c r="CE109">
        <v>30</v>
      </c>
      <c r="CF109">
        <v>0</v>
      </c>
      <c r="CG109">
        <v>0</v>
      </c>
      <c r="CM109">
        <v>0</v>
      </c>
      <c r="CN109" t="s">
        <v>3</v>
      </c>
      <c r="CO109">
        <v>0</v>
      </c>
      <c r="CP109">
        <f t="shared" si="124"/>
        <v>383.63</v>
      </c>
      <c r="CQ109">
        <f>ROUND((ROUND((AC109*1),2)*BC109),2)</f>
        <v>191.81</v>
      </c>
      <c r="CR109">
        <f>(ROUND((ROUND(((ET109)*AV109*1),2)*BB109),2)+ROUND((ROUND(((AE109-(EU109))*AV109*1),2)*BS109),2))</f>
        <v>0</v>
      </c>
      <c r="CS109">
        <f t="shared" si="125"/>
        <v>0</v>
      </c>
      <c r="CT109">
        <f t="shared" si="126"/>
        <v>0</v>
      </c>
      <c r="CU109">
        <f t="shared" si="127"/>
        <v>0</v>
      </c>
      <c r="CV109">
        <f t="shared" si="128"/>
        <v>0</v>
      </c>
      <c r="CW109">
        <f t="shared" si="129"/>
        <v>0</v>
      </c>
      <c r="CX109">
        <f t="shared" si="130"/>
        <v>0</v>
      </c>
      <c r="CY109">
        <f t="shared" si="131"/>
        <v>0</v>
      </c>
      <c r="CZ109">
        <f t="shared" si="132"/>
        <v>0</v>
      </c>
      <c r="DC109" t="s">
        <v>3</v>
      </c>
      <c r="DD109" t="s">
        <v>3</v>
      </c>
      <c r="DE109" t="s">
        <v>3</v>
      </c>
      <c r="DF109" t="s">
        <v>3</v>
      </c>
      <c r="DG109" t="s">
        <v>3</v>
      </c>
      <c r="DH109" t="s">
        <v>3</v>
      </c>
      <c r="DI109" t="s">
        <v>3</v>
      </c>
      <c r="DJ109" t="s">
        <v>3</v>
      </c>
      <c r="DK109" t="s">
        <v>3</v>
      </c>
      <c r="DL109" t="s">
        <v>3</v>
      </c>
      <c r="DM109" t="s">
        <v>3</v>
      </c>
      <c r="DN109">
        <v>0</v>
      </c>
      <c r="DO109">
        <v>0</v>
      </c>
      <c r="DP109">
        <v>1</v>
      </c>
      <c r="DQ109">
        <v>1</v>
      </c>
      <c r="DU109">
        <v>1010</v>
      </c>
      <c r="DV109" t="s">
        <v>32</v>
      </c>
      <c r="DW109" t="s">
        <v>32</v>
      </c>
      <c r="DX109">
        <v>1</v>
      </c>
      <c r="DZ109" t="s">
        <v>3</v>
      </c>
      <c r="EA109" t="s">
        <v>3</v>
      </c>
      <c r="EB109" t="s">
        <v>3</v>
      </c>
      <c r="EC109" t="s">
        <v>3</v>
      </c>
      <c r="EE109">
        <v>58162750</v>
      </c>
      <c r="EF109">
        <v>130</v>
      </c>
      <c r="EG109" t="s">
        <v>33</v>
      </c>
      <c r="EH109">
        <v>0</v>
      </c>
      <c r="EI109" t="s">
        <v>3</v>
      </c>
      <c r="EJ109">
        <v>3</v>
      </c>
      <c r="EK109">
        <v>746</v>
      </c>
      <c r="EL109" t="s">
        <v>34</v>
      </c>
      <c r="EM109" t="s">
        <v>35</v>
      </c>
      <c r="EO109" t="s">
        <v>3</v>
      </c>
      <c r="EQ109">
        <v>0</v>
      </c>
      <c r="ER109">
        <v>53.88</v>
      </c>
      <c r="ES109">
        <v>53.88</v>
      </c>
      <c r="ET109">
        <v>0</v>
      </c>
      <c r="EU109">
        <v>0</v>
      </c>
      <c r="EV109">
        <v>0</v>
      </c>
      <c r="EW109">
        <v>0</v>
      </c>
      <c r="EX109">
        <v>0</v>
      </c>
      <c r="FQ109">
        <v>0</v>
      </c>
      <c r="FR109">
        <f>P109</f>
        <v>383.63</v>
      </c>
      <c r="FS109">
        <v>0</v>
      </c>
      <c r="FX109">
        <v>97</v>
      </c>
      <c r="FY109">
        <v>51</v>
      </c>
      <c r="GA109" t="s">
        <v>3</v>
      </c>
      <c r="GD109">
        <v>1</v>
      </c>
      <c r="GF109">
        <v>1377442923</v>
      </c>
      <c r="GG109">
        <v>2</v>
      </c>
      <c r="GH109">
        <v>1</v>
      </c>
      <c r="GI109">
        <v>2</v>
      </c>
      <c r="GJ109">
        <v>0</v>
      </c>
      <c r="GK109">
        <v>0</v>
      </c>
      <c r="GL109">
        <f t="shared" si="133"/>
        <v>0</v>
      </c>
      <c r="GM109">
        <f t="shared" si="134"/>
        <v>383.63</v>
      </c>
      <c r="GN109">
        <f t="shared" si="135"/>
        <v>0</v>
      </c>
      <c r="GO109">
        <f t="shared" si="136"/>
        <v>0</v>
      </c>
      <c r="GP109">
        <f t="shared" si="137"/>
        <v>0</v>
      </c>
      <c r="GR109">
        <v>0</v>
      </c>
      <c r="GS109">
        <v>3</v>
      </c>
      <c r="GT109">
        <v>0</v>
      </c>
      <c r="GU109" t="s">
        <v>3</v>
      </c>
      <c r="GV109">
        <f t="shared" si="138"/>
        <v>0</v>
      </c>
      <c r="GW109">
        <v>1</v>
      </c>
      <c r="GX109">
        <f t="shared" si="139"/>
        <v>0</v>
      </c>
      <c r="HA109">
        <v>0</v>
      </c>
      <c r="HB109">
        <v>0</v>
      </c>
      <c r="HC109">
        <f t="shared" si="140"/>
        <v>0</v>
      </c>
      <c r="HE109" t="s">
        <v>3</v>
      </c>
      <c r="HF109" t="s">
        <v>3</v>
      </c>
      <c r="HM109" t="s">
        <v>3</v>
      </c>
      <c r="HN109" t="s">
        <v>3</v>
      </c>
      <c r="HO109" t="s">
        <v>3</v>
      </c>
      <c r="HP109" t="s">
        <v>3</v>
      </c>
      <c r="HQ109" t="s">
        <v>3</v>
      </c>
      <c r="HS109">
        <v>0</v>
      </c>
      <c r="IK109">
        <v>0</v>
      </c>
    </row>
    <row r="110" spans="1:255" x14ac:dyDescent="0.3">
      <c r="A110" s="2">
        <v>18</v>
      </c>
      <c r="B110" s="2">
        <v>1</v>
      </c>
      <c r="C110" s="2"/>
      <c r="D110" s="2"/>
      <c r="E110" s="2" t="s">
        <v>191</v>
      </c>
      <c r="F110" s="2" t="s">
        <v>192</v>
      </c>
      <c r="G110" s="2" t="s">
        <v>193</v>
      </c>
      <c r="H110" s="2" t="s">
        <v>32</v>
      </c>
      <c r="I110" s="2">
        <f>I106*J110</f>
        <v>2</v>
      </c>
      <c r="J110" s="2">
        <v>50</v>
      </c>
      <c r="K110" s="2">
        <v>50</v>
      </c>
      <c r="L110" s="2"/>
      <c r="M110" s="2"/>
      <c r="N110" s="2"/>
      <c r="O110" s="2">
        <f t="shared" si="111"/>
        <v>598.9</v>
      </c>
      <c r="P110" s="2">
        <f>ROUND((ROUND((AC110*I110),2)*BC110),2)</f>
        <v>598.9</v>
      </c>
      <c r="Q110" s="2">
        <f>(ROUND((ROUND(((ET110)*AV110*I110),2)*BB110),2)+ROUND((ROUND(((AE110-(EU110))*AV110*I110),2)*BS110),2))</f>
        <v>0</v>
      </c>
      <c r="R110" s="2">
        <f t="shared" si="112"/>
        <v>0</v>
      </c>
      <c r="S110" s="2">
        <f t="shared" si="113"/>
        <v>0</v>
      </c>
      <c r="T110" s="2">
        <f t="shared" si="114"/>
        <v>0</v>
      </c>
      <c r="U110" s="2">
        <f t="shared" si="115"/>
        <v>0</v>
      </c>
      <c r="V110" s="2">
        <f t="shared" si="116"/>
        <v>0</v>
      </c>
      <c r="W110" s="2">
        <f t="shared" si="117"/>
        <v>0</v>
      </c>
      <c r="X110" s="2">
        <f t="shared" si="118"/>
        <v>0</v>
      </c>
      <c r="Y110" s="2">
        <f t="shared" si="119"/>
        <v>0</v>
      </c>
      <c r="Z110" s="2"/>
      <c r="AA110" s="2">
        <v>56498966</v>
      </c>
      <c r="AB110" s="2">
        <f t="shared" si="120"/>
        <v>299.45</v>
      </c>
      <c r="AC110" s="2">
        <f t="shared" si="121"/>
        <v>299.45</v>
      </c>
      <c r="AD110" s="2">
        <f>ROUND((((ET110)-(EU110))+AE110),6)</f>
        <v>0</v>
      </c>
      <c r="AE110" s="2">
        <f t="shared" si="141"/>
        <v>0</v>
      </c>
      <c r="AF110" s="2">
        <f t="shared" si="141"/>
        <v>0</v>
      </c>
      <c r="AG110" s="2">
        <f t="shared" si="122"/>
        <v>0</v>
      </c>
      <c r="AH110" s="2">
        <f t="shared" si="142"/>
        <v>0</v>
      </c>
      <c r="AI110" s="2">
        <f t="shared" si="142"/>
        <v>0</v>
      </c>
      <c r="AJ110" s="2">
        <f t="shared" si="123"/>
        <v>0</v>
      </c>
      <c r="AK110" s="2">
        <v>299.45</v>
      </c>
      <c r="AL110" s="2">
        <v>299.45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1</v>
      </c>
      <c r="AW110" s="2">
        <v>1</v>
      </c>
      <c r="AX110" s="2"/>
      <c r="AY110" s="2"/>
      <c r="AZ110" s="2">
        <v>1</v>
      </c>
      <c r="BA110" s="2">
        <v>1</v>
      </c>
      <c r="BB110" s="2">
        <v>1</v>
      </c>
      <c r="BC110" s="2">
        <v>1</v>
      </c>
      <c r="BD110" s="2" t="s">
        <v>3</v>
      </c>
      <c r="BE110" s="2" t="s">
        <v>3</v>
      </c>
      <c r="BF110" s="2" t="s">
        <v>3</v>
      </c>
      <c r="BG110" s="2" t="s">
        <v>3</v>
      </c>
      <c r="BH110" s="2">
        <v>3</v>
      </c>
      <c r="BI110" s="2">
        <v>3</v>
      </c>
      <c r="BJ110" s="2" t="s">
        <v>3</v>
      </c>
      <c r="BK110" s="2"/>
      <c r="BL110" s="2"/>
      <c r="BM110" s="2">
        <v>746</v>
      </c>
      <c r="BN110" s="2">
        <v>0</v>
      </c>
      <c r="BO110" s="2" t="s">
        <v>3</v>
      </c>
      <c r="BP110" s="2">
        <v>0</v>
      </c>
      <c r="BQ110" s="2">
        <v>130</v>
      </c>
      <c r="BR110" s="2">
        <v>0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 t="s">
        <v>3</v>
      </c>
      <c r="BZ110" s="2">
        <v>97</v>
      </c>
      <c r="CA110" s="2">
        <v>51</v>
      </c>
      <c r="CB110" s="2" t="s">
        <v>3</v>
      </c>
      <c r="CC110" s="2"/>
      <c r="CD110" s="2"/>
      <c r="CE110" s="2">
        <v>30</v>
      </c>
      <c r="CF110" s="2">
        <v>0</v>
      </c>
      <c r="CG110" s="2">
        <v>0</v>
      </c>
      <c r="CH110" s="2"/>
      <c r="CI110" s="2"/>
      <c r="CJ110" s="2"/>
      <c r="CK110" s="2"/>
      <c r="CL110" s="2"/>
      <c r="CM110" s="2">
        <v>0</v>
      </c>
      <c r="CN110" s="2" t="s">
        <v>3</v>
      </c>
      <c r="CO110" s="2">
        <v>0</v>
      </c>
      <c r="CP110" s="2">
        <f t="shared" si="124"/>
        <v>598.9</v>
      </c>
      <c r="CQ110" s="2">
        <f>ROUND((ROUND((AC110*1),2)*BC110),2)</f>
        <v>299.45</v>
      </c>
      <c r="CR110" s="2">
        <f>(ROUND((ROUND(((ET110)*AV110*1),2)*BB110),2)+ROUND((ROUND(((AE110-(EU110))*AV110*1),2)*BS110),2))</f>
        <v>0</v>
      </c>
      <c r="CS110" s="2">
        <f t="shared" si="125"/>
        <v>0</v>
      </c>
      <c r="CT110" s="2">
        <f t="shared" si="126"/>
        <v>0</v>
      </c>
      <c r="CU110" s="2">
        <f t="shared" si="127"/>
        <v>0</v>
      </c>
      <c r="CV110" s="2">
        <f t="shared" si="128"/>
        <v>0</v>
      </c>
      <c r="CW110" s="2">
        <f t="shared" si="129"/>
        <v>0</v>
      </c>
      <c r="CX110" s="2">
        <f t="shared" si="130"/>
        <v>0</v>
      </c>
      <c r="CY110" s="2">
        <f t="shared" si="131"/>
        <v>0</v>
      </c>
      <c r="CZ110" s="2">
        <f t="shared" si="132"/>
        <v>0</v>
      </c>
      <c r="DA110" s="2"/>
      <c r="DB110" s="2"/>
      <c r="DC110" s="2" t="s">
        <v>3</v>
      </c>
      <c r="DD110" s="2" t="s">
        <v>3</v>
      </c>
      <c r="DE110" s="2" t="s">
        <v>3</v>
      </c>
      <c r="DF110" s="2" t="s">
        <v>3</v>
      </c>
      <c r="DG110" s="2" t="s">
        <v>3</v>
      </c>
      <c r="DH110" s="2" t="s">
        <v>3</v>
      </c>
      <c r="DI110" s="2" t="s">
        <v>3</v>
      </c>
      <c r="DJ110" s="2" t="s">
        <v>3</v>
      </c>
      <c r="DK110" s="2" t="s">
        <v>3</v>
      </c>
      <c r="DL110" s="2" t="s">
        <v>3</v>
      </c>
      <c r="DM110" s="2" t="s">
        <v>3</v>
      </c>
      <c r="DN110" s="2">
        <v>0</v>
      </c>
      <c r="DO110" s="2">
        <v>0</v>
      </c>
      <c r="DP110" s="2">
        <v>1</v>
      </c>
      <c r="DQ110" s="2">
        <v>1</v>
      </c>
      <c r="DR110" s="2"/>
      <c r="DS110" s="2"/>
      <c r="DT110" s="2"/>
      <c r="DU110" s="2">
        <v>1010</v>
      </c>
      <c r="DV110" s="2" t="s">
        <v>32</v>
      </c>
      <c r="DW110" s="2" t="s">
        <v>32</v>
      </c>
      <c r="DX110" s="2">
        <v>1</v>
      </c>
      <c r="DY110" s="2"/>
      <c r="DZ110" s="2" t="s">
        <v>3</v>
      </c>
      <c r="EA110" s="2" t="s">
        <v>3</v>
      </c>
      <c r="EB110" s="2" t="s">
        <v>3</v>
      </c>
      <c r="EC110" s="2" t="s">
        <v>3</v>
      </c>
      <c r="ED110" s="2"/>
      <c r="EE110" s="2">
        <v>58162750</v>
      </c>
      <c r="EF110" s="2">
        <v>130</v>
      </c>
      <c r="EG110" s="2" t="s">
        <v>33</v>
      </c>
      <c r="EH110" s="2">
        <v>0</v>
      </c>
      <c r="EI110" s="2" t="s">
        <v>3</v>
      </c>
      <c r="EJ110" s="2">
        <v>3</v>
      </c>
      <c r="EK110" s="2">
        <v>746</v>
      </c>
      <c r="EL110" s="2" t="s">
        <v>34</v>
      </c>
      <c r="EM110" s="2" t="s">
        <v>35</v>
      </c>
      <c r="EN110" s="2"/>
      <c r="EO110" s="2" t="s">
        <v>3</v>
      </c>
      <c r="EP110" s="2"/>
      <c r="EQ110" s="2">
        <v>0</v>
      </c>
      <c r="ER110" s="2">
        <v>299.45</v>
      </c>
      <c r="ES110" s="2">
        <v>299.45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>
        <v>0</v>
      </c>
      <c r="FR110" s="2">
        <f>P110</f>
        <v>598.9</v>
      </c>
      <c r="FS110" s="2">
        <v>0</v>
      </c>
      <c r="FT110" s="2"/>
      <c r="FU110" s="2"/>
      <c r="FV110" s="2"/>
      <c r="FW110" s="2"/>
      <c r="FX110" s="2">
        <v>97</v>
      </c>
      <c r="FY110" s="2">
        <v>51</v>
      </c>
      <c r="FZ110" s="2"/>
      <c r="GA110" s="2" t="s">
        <v>3</v>
      </c>
      <c r="GB110" s="2"/>
      <c r="GC110" s="2"/>
      <c r="GD110" s="2">
        <v>1</v>
      </c>
      <c r="GE110" s="2"/>
      <c r="GF110" s="2">
        <v>1870445285</v>
      </c>
      <c r="GG110" s="2">
        <v>2</v>
      </c>
      <c r="GH110" s="2">
        <v>1</v>
      </c>
      <c r="GI110" s="2">
        <v>-2</v>
      </c>
      <c r="GJ110" s="2">
        <v>0</v>
      </c>
      <c r="GK110" s="2">
        <v>0</v>
      </c>
      <c r="GL110" s="2">
        <f t="shared" si="133"/>
        <v>0</v>
      </c>
      <c r="GM110" s="2">
        <f t="shared" si="134"/>
        <v>598.9</v>
      </c>
      <c r="GN110" s="2">
        <f t="shared" si="135"/>
        <v>0</v>
      </c>
      <c r="GO110" s="2">
        <f t="shared" si="136"/>
        <v>0</v>
      </c>
      <c r="GP110" s="2">
        <f t="shared" si="137"/>
        <v>0</v>
      </c>
      <c r="GQ110" s="2"/>
      <c r="GR110" s="2">
        <v>0</v>
      </c>
      <c r="GS110" s="2">
        <v>3</v>
      </c>
      <c r="GT110" s="2">
        <v>0</v>
      </c>
      <c r="GU110" s="2" t="s">
        <v>3</v>
      </c>
      <c r="GV110" s="2">
        <f t="shared" si="138"/>
        <v>0</v>
      </c>
      <c r="GW110" s="2">
        <v>1</v>
      </c>
      <c r="GX110" s="2">
        <f t="shared" si="139"/>
        <v>0</v>
      </c>
      <c r="GY110" s="2"/>
      <c r="GZ110" s="2"/>
      <c r="HA110" s="2">
        <v>0</v>
      </c>
      <c r="HB110" s="2">
        <v>0</v>
      </c>
      <c r="HC110" s="2">
        <f t="shared" si="140"/>
        <v>0</v>
      </c>
      <c r="HD110" s="2"/>
      <c r="HE110" s="2" t="s">
        <v>3</v>
      </c>
      <c r="HF110" s="2" t="s">
        <v>3</v>
      </c>
      <c r="HG110" s="2"/>
      <c r="HH110" s="2"/>
      <c r="HI110" s="2"/>
      <c r="HJ110" s="2"/>
      <c r="HK110" s="2"/>
      <c r="HL110" s="2"/>
      <c r="HM110" s="2" t="s">
        <v>3</v>
      </c>
      <c r="HN110" s="2" t="s">
        <v>3</v>
      </c>
      <c r="HO110" s="2" t="s">
        <v>3</v>
      </c>
      <c r="HP110" s="2" t="s">
        <v>3</v>
      </c>
      <c r="HQ110" s="2" t="s">
        <v>3</v>
      </c>
      <c r="HR110" s="2"/>
      <c r="HS110" s="2">
        <v>0</v>
      </c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>
        <v>0</v>
      </c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x14ac:dyDescent="0.3">
      <c r="A111">
        <v>18</v>
      </c>
      <c r="B111">
        <v>1</v>
      </c>
      <c r="E111" t="s">
        <v>191</v>
      </c>
      <c r="F111" t="s">
        <v>192</v>
      </c>
      <c r="G111" t="s">
        <v>193</v>
      </c>
      <c r="H111" t="s">
        <v>32</v>
      </c>
      <c r="I111">
        <f>I107*J111</f>
        <v>2</v>
      </c>
      <c r="J111">
        <v>50</v>
      </c>
      <c r="K111">
        <v>50</v>
      </c>
      <c r="O111">
        <f t="shared" si="111"/>
        <v>2611.1999999999998</v>
      </c>
      <c r="P111">
        <f>ROUND((ROUND((AC111*I111),2)*BC111),2)</f>
        <v>2611.1999999999998</v>
      </c>
      <c r="Q111">
        <f>(ROUND((ROUND(((ET111)*AV111*I111),2)*BB111),2)+ROUND((ROUND(((AE111-(EU111))*AV111*I111),2)*BS111),2))</f>
        <v>0</v>
      </c>
      <c r="R111">
        <f t="shared" si="112"/>
        <v>0</v>
      </c>
      <c r="S111">
        <f t="shared" si="113"/>
        <v>0</v>
      </c>
      <c r="T111">
        <f t="shared" si="114"/>
        <v>0</v>
      </c>
      <c r="U111">
        <f t="shared" si="115"/>
        <v>0</v>
      </c>
      <c r="V111">
        <f t="shared" si="116"/>
        <v>0</v>
      </c>
      <c r="W111">
        <f t="shared" si="117"/>
        <v>0</v>
      </c>
      <c r="X111">
        <f t="shared" si="118"/>
        <v>0</v>
      </c>
      <c r="Y111">
        <f t="shared" si="119"/>
        <v>0</v>
      </c>
      <c r="AA111">
        <v>56498968</v>
      </c>
      <c r="AB111">
        <f t="shared" si="120"/>
        <v>299.45</v>
      </c>
      <c r="AC111">
        <f t="shared" si="121"/>
        <v>299.45</v>
      </c>
      <c r="AD111">
        <f>ROUND((((ET111)-(EU111))+AE111),6)</f>
        <v>0</v>
      </c>
      <c r="AE111">
        <f t="shared" si="141"/>
        <v>0</v>
      </c>
      <c r="AF111">
        <f t="shared" si="141"/>
        <v>0</v>
      </c>
      <c r="AG111">
        <f t="shared" si="122"/>
        <v>0</v>
      </c>
      <c r="AH111">
        <f t="shared" si="142"/>
        <v>0</v>
      </c>
      <c r="AI111">
        <f t="shared" si="142"/>
        <v>0</v>
      </c>
      <c r="AJ111">
        <f t="shared" si="123"/>
        <v>0</v>
      </c>
      <c r="AK111">
        <v>299.45</v>
      </c>
      <c r="AL111">
        <v>299.45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Z111">
        <v>1</v>
      </c>
      <c r="BA111">
        <v>1</v>
      </c>
      <c r="BB111">
        <v>1</v>
      </c>
      <c r="BC111">
        <v>4.3600000000000003</v>
      </c>
      <c r="BD111" t="s">
        <v>3</v>
      </c>
      <c r="BE111" t="s">
        <v>3</v>
      </c>
      <c r="BF111" t="s">
        <v>3</v>
      </c>
      <c r="BG111" t="s">
        <v>3</v>
      </c>
      <c r="BH111">
        <v>3</v>
      </c>
      <c r="BI111">
        <v>3</v>
      </c>
      <c r="BJ111" t="s">
        <v>3</v>
      </c>
      <c r="BM111">
        <v>746</v>
      </c>
      <c r="BN111">
        <v>0</v>
      </c>
      <c r="BO111" t="s">
        <v>3</v>
      </c>
      <c r="BP111">
        <v>0</v>
      </c>
      <c r="BQ111">
        <v>130</v>
      </c>
      <c r="BR111">
        <v>0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 t="s">
        <v>3</v>
      </c>
      <c r="BZ111">
        <v>97</v>
      </c>
      <c r="CA111">
        <v>51</v>
      </c>
      <c r="CB111" t="s">
        <v>3</v>
      </c>
      <c r="CE111">
        <v>30</v>
      </c>
      <c r="CF111">
        <v>0</v>
      </c>
      <c r="CG111">
        <v>0</v>
      </c>
      <c r="CM111">
        <v>0</v>
      </c>
      <c r="CN111" t="s">
        <v>3</v>
      </c>
      <c r="CO111">
        <v>0</v>
      </c>
      <c r="CP111">
        <f t="shared" si="124"/>
        <v>2611.1999999999998</v>
      </c>
      <c r="CQ111">
        <f>ROUND((ROUND((AC111*1),2)*BC111),2)</f>
        <v>1305.5999999999999</v>
      </c>
      <c r="CR111">
        <f>(ROUND((ROUND(((ET111)*AV111*1),2)*BB111),2)+ROUND((ROUND(((AE111-(EU111))*AV111*1),2)*BS111),2))</f>
        <v>0</v>
      </c>
      <c r="CS111">
        <f t="shared" si="125"/>
        <v>0</v>
      </c>
      <c r="CT111">
        <f t="shared" si="126"/>
        <v>0</v>
      </c>
      <c r="CU111">
        <f t="shared" si="127"/>
        <v>0</v>
      </c>
      <c r="CV111">
        <f t="shared" si="128"/>
        <v>0</v>
      </c>
      <c r="CW111">
        <f t="shared" si="129"/>
        <v>0</v>
      </c>
      <c r="CX111">
        <f t="shared" si="130"/>
        <v>0</v>
      </c>
      <c r="CY111">
        <f t="shared" si="131"/>
        <v>0</v>
      </c>
      <c r="CZ111">
        <f t="shared" si="132"/>
        <v>0</v>
      </c>
      <c r="DC111" t="s">
        <v>3</v>
      </c>
      <c r="DD111" t="s">
        <v>3</v>
      </c>
      <c r="DE111" t="s">
        <v>3</v>
      </c>
      <c r="DF111" t="s">
        <v>3</v>
      </c>
      <c r="DG111" t="s">
        <v>3</v>
      </c>
      <c r="DH111" t="s">
        <v>3</v>
      </c>
      <c r="DI111" t="s">
        <v>3</v>
      </c>
      <c r="DJ111" t="s">
        <v>3</v>
      </c>
      <c r="DK111" t="s">
        <v>3</v>
      </c>
      <c r="DL111" t="s">
        <v>3</v>
      </c>
      <c r="DM111" t="s">
        <v>3</v>
      </c>
      <c r="DN111">
        <v>0</v>
      </c>
      <c r="DO111">
        <v>0</v>
      </c>
      <c r="DP111">
        <v>1</v>
      </c>
      <c r="DQ111">
        <v>1</v>
      </c>
      <c r="DU111">
        <v>1010</v>
      </c>
      <c r="DV111" t="s">
        <v>32</v>
      </c>
      <c r="DW111" t="s">
        <v>32</v>
      </c>
      <c r="DX111">
        <v>1</v>
      </c>
      <c r="DZ111" t="s">
        <v>3</v>
      </c>
      <c r="EA111" t="s">
        <v>3</v>
      </c>
      <c r="EB111" t="s">
        <v>3</v>
      </c>
      <c r="EC111" t="s">
        <v>3</v>
      </c>
      <c r="EE111">
        <v>58162750</v>
      </c>
      <c r="EF111">
        <v>130</v>
      </c>
      <c r="EG111" t="s">
        <v>33</v>
      </c>
      <c r="EH111">
        <v>0</v>
      </c>
      <c r="EI111" t="s">
        <v>3</v>
      </c>
      <c r="EJ111">
        <v>3</v>
      </c>
      <c r="EK111">
        <v>746</v>
      </c>
      <c r="EL111" t="s">
        <v>34</v>
      </c>
      <c r="EM111" t="s">
        <v>35</v>
      </c>
      <c r="EO111" t="s">
        <v>3</v>
      </c>
      <c r="EQ111">
        <v>0</v>
      </c>
      <c r="ER111">
        <v>299.45</v>
      </c>
      <c r="ES111">
        <v>299.45</v>
      </c>
      <c r="ET111">
        <v>0</v>
      </c>
      <c r="EU111">
        <v>0</v>
      </c>
      <c r="EV111">
        <v>0</v>
      </c>
      <c r="EW111">
        <v>0</v>
      </c>
      <c r="EX111">
        <v>0</v>
      </c>
      <c r="FQ111">
        <v>0</v>
      </c>
      <c r="FR111">
        <f>P111</f>
        <v>2611.1999999999998</v>
      </c>
      <c r="FS111">
        <v>0</v>
      </c>
      <c r="FX111">
        <v>97</v>
      </c>
      <c r="FY111">
        <v>51</v>
      </c>
      <c r="GA111" t="s">
        <v>3</v>
      </c>
      <c r="GD111">
        <v>1</v>
      </c>
      <c r="GF111">
        <v>1870445285</v>
      </c>
      <c r="GG111">
        <v>2</v>
      </c>
      <c r="GH111">
        <v>1</v>
      </c>
      <c r="GI111">
        <v>2</v>
      </c>
      <c r="GJ111">
        <v>0</v>
      </c>
      <c r="GK111">
        <v>0</v>
      </c>
      <c r="GL111">
        <f t="shared" si="133"/>
        <v>0</v>
      </c>
      <c r="GM111">
        <f t="shared" si="134"/>
        <v>2611.1999999999998</v>
      </c>
      <c r="GN111">
        <f t="shared" si="135"/>
        <v>0</v>
      </c>
      <c r="GO111">
        <f t="shared" si="136"/>
        <v>0</v>
      </c>
      <c r="GP111">
        <f t="shared" si="137"/>
        <v>0</v>
      </c>
      <c r="GR111">
        <v>0</v>
      </c>
      <c r="GS111">
        <v>3</v>
      </c>
      <c r="GT111">
        <v>0</v>
      </c>
      <c r="GU111" t="s">
        <v>3</v>
      </c>
      <c r="GV111">
        <f t="shared" si="138"/>
        <v>0</v>
      </c>
      <c r="GW111">
        <v>1</v>
      </c>
      <c r="GX111">
        <f t="shared" si="139"/>
        <v>0</v>
      </c>
      <c r="HA111">
        <v>0</v>
      </c>
      <c r="HB111">
        <v>0</v>
      </c>
      <c r="HC111">
        <f t="shared" si="140"/>
        <v>0</v>
      </c>
      <c r="HE111" t="s">
        <v>3</v>
      </c>
      <c r="HF111" t="s">
        <v>3</v>
      </c>
      <c r="HM111" t="s">
        <v>3</v>
      </c>
      <c r="HN111" t="s">
        <v>3</v>
      </c>
      <c r="HO111" t="s">
        <v>3</v>
      </c>
      <c r="HP111" t="s">
        <v>3</v>
      </c>
      <c r="HQ111" t="s">
        <v>3</v>
      </c>
      <c r="HS111">
        <v>0</v>
      </c>
      <c r="IK111">
        <v>0</v>
      </c>
    </row>
    <row r="113" spans="1:206" x14ac:dyDescent="0.3">
      <c r="A113" s="3">
        <v>51</v>
      </c>
      <c r="B113" s="3">
        <f>B24</f>
        <v>1</v>
      </c>
      <c r="C113" s="3">
        <f>A24</f>
        <v>4</v>
      </c>
      <c r="D113" s="3">
        <f>ROW(A24)</f>
        <v>24</v>
      </c>
      <c r="E113" s="3"/>
      <c r="F113" s="3" t="str">
        <f>IF(F24&lt;&gt;"",F24,"")</f>
        <v/>
      </c>
      <c r="G113" s="3" t="str">
        <f>IF(G24&lt;&gt;"",G24,"")</f>
        <v>Монтажные работы</v>
      </c>
      <c r="H113" s="3">
        <v>0</v>
      </c>
      <c r="I113" s="3"/>
      <c r="J113" s="3"/>
      <c r="K113" s="3"/>
      <c r="L113" s="3"/>
      <c r="M113" s="3"/>
      <c r="N113" s="3"/>
      <c r="O113" s="3">
        <f t="shared" ref="O113:T113" si="143">ROUND(AB113,2)</f>
        <v>268696.12</v>
      </c>
      <c r="P113" s="3">
        <f t="shared" si="143"/>
        <v>240197.78</v>
      </c>
      <c r="Q113" s="3">
        <f t="shared" si="143"/>
        <v>3149.8</v>
      </c>
      <c r="R113" s="3">
        <f t="shared" si="143"/>
        <v>199.18</v>
      </c>
      <c r="S113" s="3">
        <f t="shared" si="143"/>
        <v>25348.54</v>
      </c>
      <c r="T113" s="3">
        <f t="shared" si="143"/>
        <v>0</v>
      </c>
      <c r="U113" s="3">
        <f>AH113</f>
        <v>2008.4344275600001</v>
      </c>
      <c r="V113" s="3">
        <f>AI113</f>
        <v>0</v>
      </c>
      <c r="W113" s="3">
        <f>ROUND(AJ113,2)</f>
        <v>0</v>
      </c>
      <c r="X113" s="3">
        <f>ROUND(AK113,2)</f>
        <v>23232.41</v>
      </c>
      <c r="Y113" s="3">
        <f>ROUND(AL113,2)</f>
        <v>11956.79</v>
      </c>
      <c r="Z113" s="3"/>
      <c r="AA113" s="3"/>
      <c r="AB113" s="3">
        <f>ROUND(SUMIF(AA28:AA111,"=56498966",O28:O111),2)</f>
        <v>268696.12</v>
      </c>
      <c r="AC113" s="3">
        <f>ROUND(SUMIF(AA28:AA111,"=56498966",P28:P111),2)</f>
        <v>240197.78</v>
      </c>
      <c r="AD113" s="3">
        <f>ROUND(SUMIF(AA28:AA111,"=56498966",Q28:Q111),2)</f>
        <v>3149.8</v>
      </c>
      <c r="AE113" s="3">
        <f>ROUND(SUMIF(AA28:AA111,"=56498966",R28:R111),2)</f>
        <v>199.18</v>
      </c>
      <c r="AF113" s="3">
        <f>ROUND(SUMIF(AA28:AA111,"=56498966",S28:S111),2)</f>
        <v>25348.54</v>
      </c>
      <c r="AG113" s="3">
        <f>ROUND(SUMIF(AA28:AA111,"=56498966",T28:T111),2)</f>
        <v>0</v>
      </c>
      <c r="AH113" s="3">
        <f>SUMIF(AA28:AA111,"=56498966",U28:U111)</f>
        <v>2008.4344275600001</v>
      </c>
      <c r="AI113" s="3">
        <f>SUMIF(AA28:AA111,"=56498966",V28:V111)</f>
        <v>0</v>
      </c>
      <c r="AJ113" s="3">
        <f>ROUND(SUMIF(AA28:AA111,"=56498966",W28:W111),2)</f>
        <v>0</v>
      </c>
      <c r="AK113" s="3">
        <f>ROUND(SUMIF(AA28:AA111,"=56498966",X28:X111),2)</f>
        <v>23232.41</v>
      </c>
      <c r="AL113" s="3">
        <f>ROUND(SUMIF(AA28:AA111,"=56498966",Y28:Y111),2)</f>
        <v>11956.79</v>
      </c>
      <c r="AM113" s="3"/>
      <c r="AN113" s="3"/>
      <c r="AO113" s="3">
        <f t="shared" ref="AO113:BD113" si="144">ROUND(BX113,2)</f>
        <v>0</v>
      </c>
      <c r="AP113" s="3">
        <f t="shared" si="144"/>
        <v>221173.38</v>
      </c>
      <c r="AQ113" s="3">
        <f t="shared" si="144"/>
        <v>0</v>
      </c>
      <c r="AR113" s="3">
        <f t="shared" si="144"/>
        <v>303885.32</v>
      </c>
      <c r="AS113" s="3">
        <f t="shared" si="144"/>
        <v>0</v>
      </c>
      <c r="AT113" s="3">
        <f t="shared" si="144"/>
        <v>82711.94</v>
      </c>
      <c r="AU113" s="3">
        <f t="shared" si="144"/>
        <v>0</v>
      </c>
      <c r="AV113" s="3">
        <f t="shared" si="144"/>
        <v>240197.78</v>
      </c>
      <c r="AW113" s="3">
        <f t="shared" si="144"/>
        <v>19024.400000000001</v>
      </c>
      <c r="AX113" s="3">
        <f t="shared" si="144"/>
        <v>0</v>
      </c>
      <c r="AY113" s="3">
        <f t="shared" si="144"/>
        <v>19024.400000000001</v>
      </c>
      <c r="AZ113" s="3">
        <f t="shared" si="144"/>
        <v>221173.38</v>
      </c>
      <c r="BA113" s="3">
        <f t="shared" si="144"/>
        <v>0</v>
      </c>
      <c r="BB113" s="3">
        <f t="shared" si="144"/>
        <v>0</v>
      </c>
      <c r="BC113" s="3">
        <f t="shared" si="144"/>
        <v>0</v>
      </c>
      <c r="BD113" s="3">
        <f t="shared" si="144"/>
        <v>0</v>
      </c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>
        <f>ROUND(SUMIF(AA28:AA111,"=56498966",FQ28:FQ111),2)</f>
        <v>0</v>
      </c>
      <c r="BY113" s="3">
        <f>ROUND(SUMIF(AA28:AA111,"=56498966",FR28:FR111),2)</f>
        <v>221173.38</v>
      </c>
      <c r="BZ113" s="3">
        <f>ROUND(SUMIF(AA28:AA111,"=56498966",GL28:GL111),2)</f>
        <v>0</v>
      </c>
      <c r="CA113" s="3">
        <f>ROUND(SUMIF(AA28:AA111,"=56498966",GM28:GM111),2)</f>
        <v>303885.32</v>
      </c>
      <c r="CB113" s="3">
        <f>ROUND(SUMIF(AA28:AA111,"=56498966",GN28:GN111),2)</f>
        <v>0</v>
      </c>
      <c r="CC113" s="3">
        <f>ROUND(SUMIF(AA28:AA111,"=56498966",GO28:GO111),2)</f>
        <v>82711.94</v>
      </c>
      <c r="CD113" s="3">
        <f>ROUND(SUMIF(AA28:AA111,"=56498966",GP28:GP111),2)</f>
        <v>0</v>
      </c>
      <c r="CE113" s="3">
        <f>AC113-BX113</f>
        <v>240197.78</v>
      </c>
      <c r="CF113" s="3">
        <f>AC113-BY113</f>
        <v>19024.399999999994</v>
      </c>
      <c r="CG113" s="3">
        <f>BX113-BZ113</f>
        <v>0</v>
      </c>
      <c r="CH113" s="3">
        <f>AC113-BX113-BY113+BZ113</f>
        <v>19024.399999999994</v>
      </c>
      <c r="CI113" s="3">
        <f>BY113-BZ113</f>
        <v>221173.38</v>
      </c>
      <c r="CJ113" s="3">
        <f>ROUND(SUMIF(AA28:AA111,"=56498966",GX28:GX111),2)</f>
        <v>0</v>
      </c>
      <c r="CK113" s="3">
        <f>ROUND(SUMIF(AA28:AA111,"=56498966",GY28:GY111),2)</f>
        <v>0</v>
      </c>
      <c r="CL113" s="3">
        <f>ROUND(SUMIF(AA28:AA111,"=56498966",GZ28:GZ111),2)</f>
        <v>0</v>
      </c>
      <c r="CM113" s="3">
        <f>ROUND(SUMIF(AA28:AA111,"=56498966",HD28:HD111),2)</f>
        <v>0</v>
      </c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4">
        <f t="shared" ref="DG113:DL113" si="145">ROUND(DT113,2)</f>
        <v>3307031.19</v>
      </c>
      <c r="DH113" s="4">
        <f t="shared" si="145"/>
        <v>1872543.24</v>
      </c>
      <c r="DI113" s="4">
        <f t="shared" si="145"/>
        <v>40571.730000000003</v>
      </c>
      <c r="DJ113" s="4">
        <f t="shared" si="145"/>
        <v>10952.91</v>
      </c>
      <c r="DK113" s="4">
        <f t="shared" si="145"/>
        <v>1393916.22</v>
      </c>
      <c r="DL113" s="4">
        <f t="shared" si="145"/>
        <v>0</v>
      </c>
      <c r="DM113" s="4">
        <f>DZ113</f>
        <v>2008.4344275600001</v>
      </c>
      <c r="DN113" s="4">
        <f>EA113</f>
        <v>0</v>
      </c>
      <c r="DO113" s="4">
        <f>ROUND(EB113,2)</f>
        <v>0</v>
      </c>
      <c r="DP113" s="4">
        <f>ROUND(EC113,2)</f>
        <v>1277548.95</v>
      </c>
      <c r="DQ113" s="4">
        <f>ROUND(ED113,2)</f>
        <v>657503.47</v>
      </c>
      <c r="DR113" s="4"/>
      <c r="DS113" s="4"/>
      <c r="DT113" s="4">
        <f>ROUND(SUMIF(AA28:AA111,"=56498968",O28:O111),2)</f>
        <v>3307031.19</v>
      </c>
      <c r="DU113" s="4">
        <f>ROUND(SUMIF(AA28:AA111,"=56498968",P28:P111),2)</f>
        <v>1872543.24</v>
      </c>
      <c r="DV113" s="4">
        <f>ROUND(SUMIF(AA28:AA111,"=56498968",Q28:Q111),2)</f>
        <v>40571.730000000003</v>
      </c>
      <c r="DW113" s="4">
        <f>ROUND(SUMIF(AA28:AA111,"=56498968",R28:R111),2)</f>
        <v>10952.91</v>
      </c>
      <c r="DX113" s="4">
        <f>ROUND(SUMIF(AA28:AA111,"=56498968",S28:S111),2)</f>
        <v>1393916.22</v>
      </c>
      <c r="DY113" s="4">
        <f>ROUND(SUMIF(AA28:AA111,"=56498968",T28:T111),2)</f>
        <v>0</v>
      </c>
      <c r="DZ113" s="4">
        <f>SUMIF(AA28:AA111,"=56498968",U28:U111)</f>
        <v>2008.4344275600001</v>
      </c>
      <c r="EA113" s="4">
        <f>SUMIF(AA28:AA111,"=56498968",V28:V111)</f>
        <v>0</v>
      </c>
      <c r="EB113" s="4">
        <f>ROUND(SUMIF(AA28:AA111,"=56498968",W28:W111),2)</f>
        <v>0</v>
      </c>
      <c r="EC113" s="4">
        <f>ROUND(SUMIF(AA28:AA111,"=56498968",X28:X111),2)</f>
        <v>1277548.95</v>
      </c>
      <c r="ED113" s="4">
        <f>ROUND(SUMIF(AA28:AA111,"=56498968",Y28:Y111),2)</f>
        <v>657503.47</v>
      </c>
      <c r="EE113" s="4"/>
      <c r="EF113" s="4"/>
      <c r="EG113" s="4">
        <f t="shared" ref="EG113:EV113" si="146">ROUND(FP113,2)</f>
        <v>0</v>
      </c>
      <c r="EH113" s="4">
        <f t="shared" si="146"/>
        <v>1690753.16</v>
      </c>
      <c r="EI113" s="4">
        <f t="shared" si="146"/>
        <v>0</v>
      </c>
      <c r="EJ113" s="4">
        <f t="shared" si="146"/>
        <v>5242083.6100000003</v>
      </c>
      <c r="EK113" s="4">
        <f t="shared" si="146"/>
        <v>0</v>
      </c>
      <c r="EL113" s="4">
        <f t="shared" si="146"/>
        <v>3551330.45</v>
      </c>
      <c r="EM113" s="4">
        <f t="shared" si="146"/>
        <v>0</v>
      </c>
      <c r="EN113" s="4">
        <f t="shared" si="146"/>
        <v>1872543.24</v>
      </c>
      <c r="EO113" s="4">
        <f t="shared" si="146"/>
        <v>181790.07999999999</v>
      </c>
      <c r="EP113" s="4">
        <f t="shared" si="146"/>
        <v>0</v>
      </c>
      <c r="EQ113" s="4">
        <f t="shared" si="146"/>
        <v>181790.07999999999</v>
      </c>
      <c r="ER113" s="4">
        <f t="shared" si="146"/>
        <v>1690753.16</v>
      </c>
      <c r="ES113" s="4">
        <f t="shared" si="146"/>
        <v>0</v>
      </c>
      <c r="ET113" s="4">
        <f t="shared" si="146"/>
        <v>0</v>
      </c>
      <c r="EU113" s="4">
        <f t="shared" si="146"/>
        <v>0</v>
      </c>
      <c r="EV113" s="4">
        <f t="shared" si="146"/>
        <v>0</v>
      </c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>
        <f>ROUND(SUMIF(AA28:AA111,"=56498968",FQ28:FQ111),2)</f>
        <v>0</v>
      </c>
      <c r="FQ113" s="4">
        <f>ROUND(SUMIF(AA28:AA111,"=56498968",FR28:FR111),2)</f>
        <v>1690753.16</v>
      </c>
      <c r="FR113" s="4">
        <f>ROUND(SUMIF(AA28:AA111,"=56498968",GL28:GL111),2)</f>
        <v>0</v>
      </c>
      <c r="FS113" s="4">
        <f>ROUND(SUMIF(AA28:AA111,"=56498968",GM28:GM111),2)</f>
        <v>5242083.6100000003</v>
      </c>
      <c r="FT113" s="4">
        <f>ROUND(SUMIF(AA28:AA111,"=56498968",GN28:GN111),2)</f>
        <v>0</v>
      </c>
      <c r="FU113" s="4">
        <f>ROUND(SUMIF(AA28:AA111,"=56498968",GO28:GO111),2)</f>
        <v>3551330.45</v>
      </c>
      <c r="FV113" s="4">
        <f>ROUND(SUMIF(AA28:AA111,"=56498968",GP28:GP111),2)</f>
        <v>0</v>
      </c>
      <c r="FW113" s="4">
        <f>DU113-FP113</f>
        <v>1872543.24</v>
      </c>
      <c r="FX113" s="4">
        <f>DU113-FQ113</f>
        <v>181790.08000000007</v>
      </c>
      <c r="FY113" s="4">
        <f>FP113-FR113</f>
        <v>0</v>
      </c>
      <c r="FZ113" s="4">
        <f>DU113-FP113-FQ113+FR113</f>
        <v>181790.08000000007</v>
      </c>
      <c r="GA113" s="4">
        <f>FQ113-FR113</f>
        <v>1690753.16</v>
      </c>
      <c r="GB113" s="4">
        <f>ROUND(SUMIF(AA28:AA111,"=56498968",GX28:GX111),2)</f>
        <v>0</v>
      </c>
      <c r="GC113" s="4">
        <f>ROUND(SUMIF(AA28:AA111,"=56498968",GY28:GY111),2)</f>
        <v>0</v>
      </c>
      <c r="GD113" s="4">
        <f>ROUND(SUMIF(AA28:AA111,"=56498968",GZ28:GZ111),2)</f>
        <v>0</v>
      </c>
      <c r="GE113" s="4">
        <f>ROUND(SUMIF(AA28:AA111,"=56498968",HD28:HD111),2)</f>
        <v>0</v>
      </c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>
        <v>0</v>
      </c>
    </row>
    <row r="115" spans="1:206" x14ac:dyDescent="0.3">
      <c r="A115" s="5">
        <v>50</v>
      </c>
      <c r="B115" s="5">
        <v>0</v>
      </c>
      <c r="C115" s="5">
        <v>0</v>
      </c>
      <c r="D115" s="5">
        <v>1</v>
      </c>
      <c r="E115" s="5">
        <v>201</v>
      </c>
      <c r="F115" s="5">
        <f>ROUND(Source!O113,O115)</f>
        <v>268696.12</v>
      </c>
      <c r="G115" s="5" t="s">
        <v>194</v>
      </c>
      <c r="H115" s="5" t="s">
        <v>195</v>
      </c>
      <c r="I115" s="5"/>
      <c r="J115" s="5"/>
      <c r="K115" s="5">
        <v>201</v>
      </c>
      <c r="L115" s="5">
        <v>1</v>
      </c>
      <c r="M115" s="5">
        <v>3</v>
      </c>
      <c r="N115" s="5" t="s">
        <v>3</v>
      </c>
      <c r="O115" s="5">
        <v>2</v>
      </c>
      <c r="P115" s="5">
        <f>ROUND(Source!DG113,O115)</f>
        <v>3307031.19</v>
      </c>
      <c r="Q115" s="5"/>
      <c r="R115" s="5"/>
      <c r="S115" s="5"/>
      <c r="T115" s="5"/>
      <c r="U115" s="5"/>
      <c r="V115" s="5"/>
      <c r="W115" s="5">
        <v>268696.12</v>
      </c>
      <c r="X115" s="5">
        <v>1</v>
      </c>
      <c r="Y115" s="5">
        <v>268696.12</v>
      </c>
      <c r="Z115" s="5">
        <v>3307031.19</v>
      </c>
      <c r="AA115" s="5">
        <v>1</v>
      </c>
      <c r="AB115" s="5">
        <v>3307031.19</v>
      </c>
    </row>
    <row r="116" spans="1:206" x14ac:dyDescent="0.3">
      <c r="A116" s="5">
        <v>50</v>
      </c>
      <c r="B116" s="5">
        <v>0</v>
      </c>
      <c r="C116" s="5">
        <v>0</v>
      </c>
      <c r="D116" s="5">
        <v>1</v>
      </c>
      <c r="E116" s="5">
        <v>202</v>
      </c>
      <c r="F116" s="5">
        <f>ROUND(Source!P113,O116)</f>
        <v>240197.78</v>
      </c>
      <c r="G116" s="5" t="s">
        <v>196</v>
      </c>
      <c r="H116" s="5" t="s">
        <v>197</v>
      </c>
      <c r="I116" s="5"/>
      <c r="J116" s="5"/>
      <c r="K116" s="5">
        <v>202</v>
      </c>
      <c r="L116" s="5">
        <v>2</v>
      </c>
      <c r="M116" s="5">
        <v>3</v>
      </c>
      <c r="N116" s="5" t="s">
        <v>3</v>
      </c>
      <c r="O116" s="5">
        <v>2</v>
      </c>
      <c r="P116" s="5">
        <f>ROUND(Source!DH113,O116)</f>
        <v>1872543.24</v>
      </c>
      <c r="Q116" s="5"/>
      <c r="R116" s="5"/>
      <c r="S116" s="5"/>
      <c r="T116" s="5"/>
      <c r="U116" s="5"/>
      <c r="V116" s="5"/>
      <c r="W116" s="5">
        <v>240197.78</v>
      </c>
      <c r="X116" s="5">
        <v>1</v>
      </c>
      <c r="Y116" s="5">
        <v>240197.78</v>
      </c>
      <c r="Z116" s="5">
        <v>1872543.24</v>
      </c>
      <c r="AA116" s="5">
        <v>1</v>
      </c>
      <c r="AB116" s="5">
        <v>1872543.24</v>
      </c>
    </row>
    <row r="117" spans="1:206" x14ac:dyDescent="0.3">
      <c r="A117" s="5">
        <v>50</v>
      </c>
      <c r="B117" s="5">
        <v>0</v>
      </c>
      <c r="C117" s="5">
        <v>0</v>
      </c>
      <c r="D117" s="5">
        <v>1</v>
      </c>
      <c r="E117" s="5">
        <v>222</v>
      </c>
      <c r="F117" s="5">
        <f>ROUND(Source!AO113,O117)</f>
        <v>0</v>
      </c>
      <c r="G117" s="5" t="s">
        <v>198</v>
      </c>
      <c r="H117" s="5" t="s">
        <v>199</v>
      </c>
      <c r="I117" s="5"/>
      <c r="J117" s="5"/>
      <c r="K117" s="5">
        <v>222</v>
      </c>
      <c r="L117" s="5">
        <v>3</v>
      </c>
      <c r="M117" s="5">
        <v>3</v>
      </c>
      <c r="N117" s="5" t="s">
        <v>3</v>
      </c>
      <c r="O117" s="5">
        <v>2</v>
      </c>
      <c r="P117" s="5">
        <f>ROUND(Source!EG113,O117)</f>
        <v>0</v>
      </c>
      <c r="Q117" s="5"/>
      <c r="R117" s="5"/>
      <c r="S117" s="5"/>
      <c r="T117" s="5"/>
      <c r="U117" s="5"/>
      <c r="V117" s="5"/>
      <c r="W117" s="5">
        <v>0</v>
      </c>
      <c r="X117" s="5">
        <v>1</v>
      </c>
      <c r="Y117" s="5">
        <v>0</v>
      </c>
      <c r="Z117" s="5">
        <v>0</v>
      </c>
      <c r="AA117" s="5">
        <v>1</v>
      </c>
      <c r="AB117" s="5">
        <v>0</v>
      </c>
    </row>
    <row r="118" spans="1:206" x14ac:dyDescent="0.3">
      <c r="A118" s="5">
        <v>50</v>
      </c>
      <c r="B118" s="5">
        <v>0</v>
      </c>
      <c r="C118" s="5">
        <v>0</v>
      </c>
      <c r="D118" s="5">
        <v>1</v>
      </c>
      <c r="E118" s="5">
        <v>225</v>
      </c>
      <c r="F118" s="5">
        <f>ROUND(Source!AV113,O118)</f>
        <v>240197.78</v>
      </c>
      <c r="G118" s="5" t="s">
        <v>200</v>
      </c>
      <c r="H118" s="5" t="s">
        <v>201</v>
      </c>
      <c r="I118" s="5"/>
      <c r="J118" s="5"/>
      <c r="K118" s="5">
        <v>225</v>
      </c>
      <c r="L118" s="5">
        <v>4</v>
      </c>
      <c r="M118" s="5">
        <v>3</v>
      </c>
      <c r="N118" s="5" t="s">
        <v>3</v>
      </c>
      <c r="O118" s="5">
        <v>2</v>
      </c>
      <c r="P118" s="5">
        <f>ROUND(Source!EN113,O118)</f>
        <v>1872543.24</v>
      </c>
      <c r="Q118" s="5"/>
      <c r="R118" s="5"/>
      <c r="S118" s="5"/>
      <c r="T118" s="5"/>
      <c r="U118" s="5"/>
      <c r="V118" s="5"/>
      <c r="W118" s="5">
        <v>240197.78</v>
      </c>
      <c r="X118" s="5">
        <v>1</v>
      </c>
      <c r="Y118" s="5">
        <v>240197.78</v>
      </c>
      <c r="Z118" s="5">
        <v>1872543.24</v>
      </c>
      <c r="AA118" s="5">
        <v>1</v>
      </c>
      <c r="AB118" s="5">
        <v>1872543.24</v>
      </c>
    </row>
    <row r="119" spans="1:206" x14ac:dyDescent="0.3">
      <c r="A119" s="5">
        <v>50</v>
      </c>
      <c r="B119" s="5">
        <v>0</v>
      </c>
      <c r="C119" s="5">
        <v>0</v>
      </c>
      <c r="D119" s="5">
        <v>1</v>
      </c>
      <c r="E119" s="5">
        <v>226</v>
      </c>
      <c r="F119" s="5">
        <f>ROUND(Source!AW113,O119)</f>
        <v>19024.400000000001</v>
      </c>
      <c r="G119" s="5" t="s">
        <v>202</v>
      </c>
      <c r="H119" s="5" t="s">
        <v>203</v>
      </c>
      <c r="I119" s="5"/>
      <c r="J119" s="5"/>
      <c r="K119" s="5">
        <v>226</v>
      </c>
      <c r="L119" s="5">
        <v>5</v>
      </c>
      <c r="M119" s="5">
        <v>3</v>
      </c>
      <c r="N119" s="5" t="s">
        <v>3</v>
      </c>
      <c r="O119" s="5">
        <v>2</v>
      </c>
      <c r="P119" s="5">
        <f>ROUND(Source!EO113,O119)</f>
        <v>181790.07999999999</v>
      </c>
      <c r="Q119" s="5"/>
      <c r="R119" s="5"/>
      <c r="S119" s="5"/>
      <c r="T119" s="5"/>
      <c r="U119" s="5"/>
      <c r="V119" s="5"/>
      <c r="W119" s="5">
        <v>19024.400000000001</v>
      </c>
      <c r="X119" s="5">
        <v>1</v>
      </c>
      <c r="Y119" s="5">
        <v>19024.400000000001</v>
      </c>
      <c r="Z119" s="5">
        <v>181790.07999999999</v>
      </c>
      <c r="AA119" s="5">
        <v>1</v>
      </c>
      <c r="AB119" s="5">
        <v>181790.07999999999</v>
      </c>
    </row>
    <row r="120" spans="1:206" x14ac:dyDescent="0.3">
      <c r="A120" s="5">
        <v>50</v>
      </c>
      <c r="B120" s="5">
        <v>0</v>
      </c>
      <c r="C120" s="5">
        <v>0</v>
      </c>
      <c r="D120" s="5">
        <v>1</v>
      </c>
      <c r="E120" s="5">
        <v>227</v>
      </c>
      <c r="F120" s="5">
        <f>ROUND(Source!AX113,O120)</f>
        <v>0</v>
      </c>
      <c r="G120" s="5" t="s">
        <v>204</v>
      </c>
      <c r="H120" s="5" t="s">
        <v>205</v>
      </c>
      <c r="I120" s="5"/>
      <c r="J120" s="5"/>
      <c r="K120" s="5">
        <v>227</v>
      </c>
      <c r="L120" s="5">
        <v>6</v>
      </c>
      <c r="M120" s="5">
        <v>3</v>
      </c>
      <c r="N120" s="5" t="s">
        <v>3</v>
      </c>
      <c r="O120" s="5">
        <v>2</v>
      </c>
      <c r="P120" s="5">
        <f>ROUND(Source!EP113,O120)</f>
        <v>0</v>
      </c>
      <c r="Q120" s="5"/>
      <c r="R120" s="5"/>
      <c r="S120" s="5"/>
      <c r="T120" s="5"/>
      <c r="U120" s="5"/>
      <c r="V120" s="5"/>
      <c r="W120" s="5">
        <v>0</v>
      </c>
      <c r="X120" s="5">
        <v>1</v>
      </c>
      <c r="Y120" s="5">
        <v>0</v>
      </c>
      <c r="Z120" s="5">
        <v>0</v>
      </c>
      <c r="AA120" s="5">
        <v>1</v>
      </c>
      <c r="AB120" s="5">
        <v>0</v>
      </c>
    </row>
    <row r="121" spans="1:206" x14ac:dyDescent="0.3">
      <c r="A121" s="5">
        <v>50</v>
      </c>
      <c r="B121" s="5">
        <v>0</v>
      </c>
      <c r="C121" s="5">
        <v>0</v>
      </c>
      <c r="D121" s="5">
        <v>1</v>
      </c>
      <c r="E121" s="5">
        <v>228</v>
      </c>
      <c r="F121" s="5">
        <f>ROUND(Source!AY113,O121)</f>
        <v>19024.400000000001</v>
      </c>
      <c r="G121" s="5" t="s">
        <v>206</v>
      </c>
      <c r="H121" s="5" t="s">
        <v>207</v>
      </c>
      <c r="I121" s="5"/>
      <c r="J121" s="5"/>
      <c r="K121" s="5">
        <v>228</v>
      </c>
      <c r="L121" s="5">
        <v>7</v>
      </c>
      <c r="M121" s="5">
        <v>3</v>
      </c>
      <c r="N121" s="5" t="s">
        <v>3</v>
      </c>
      <c r="O121" s="5">
        <v>2</v>
      </c>
      <c r="P121" s="5">
        <f>ROUND(Source!EQ113,O121)</f>
        <v>181790.07999999999</v>
      </c>
      <c r="Q121" s="5"/>
      <c r="R121" s="5"/>
      <c r="S121" s="5"/>
      <c r="T121" s="5"/>
      <c r="U121" s="5"/>
      <c r="V121" s="5"/>
      <c r="W121" s="5">
        <v>19024.400000000001</v>
      </c>
      <c r="X121" s="5">
        <v>1</v>
      </c>
      <c r="Y121" s="5">
        <v>19024.400000000001</v>
      </c>
      <c r="Z121" s="5">
        <v>181790.07999999999</v>
      </c>
      <c r="AA121" s="5">
        <v>1</v>
      </c>
      <c r="AB121" s="5">
        <v>181790.07999999999</v>
      </c>
    </row>
    <row r="122" spans="1:206" x14ac:dyDescent="0.3">
      <c r="A122" s="5">
        <v>50</v>
      </c>
      <c r="B122" s="5">
        <v>0</v>
      </c>
      <c r="C122" s="5">
        <v>0</v>
      </c>
      <c r="D122" s="5">
        <v>1</v>
      </c>
      <c r="E122" s="5">
        <v>216</v>
      </c>
      <c r="F122" s="5">
        <f>ROUND(Source!AP113,O122)</f>
        <v>221173.38</v>
      </c>
      <c r="G122" s="5" t="s">
        <v>208</v>
      </c>
      <c r="H122" s="5" t="s">
        <v>209</v>
      </c>
      <c r="I122" s="5"/>
      <c r="J122" s="5"/>
      <c r="K122" s="5">
        <v>216</v>
      </c>
      <c r="L122" s="5">
        <v>8</v>
      </c>
      <c r="M122" s="5">
        <v>3</v>
      </c>
      <c r="N122" s="5" t="s">
        <v>3</v>
      </c>
      <c r="O122" s="5">
        <v>2</v>
      </c>
      <c r="P122" s="5">
        <f>ROUND(Source!EH113,O122)</f>
        <v>1690753.16</v>
      </c>
      <c r="Q122" s="5"/>
      <c r="R122" s="5"/>
      <c r="S122" s="5"/>
      <c r="T122" s="5"/>
      <c r="U122" s="5"/>
      <c r="V122" s="5"/>
      <c r="W122" s="5">
        <v>221173.38</v>
      </c>
      <c r="X122" s="5">
        <v>1</v>
      </c>
      <c r="Y122" s="5">
        <v>221173.38</v>
      </c>
      <c r="Z122" s="5">
        <v>1690753.16</v>
      </c>
      <c r="AA122" s="5">
        <v>1</v>
      </c>
      <c r="AB122" s="5">
        <v>1690753.16</v>
      </c>
    </row>
    <row r="123" spans="1:206" x14ac:dyDescent="0.3">
      <c r="A123" s="5">
        <v>50</v>
      </c>
      <c r="B123" s="5">
        <v>0</v>
      </c>
      <c r="C123" s="5">
        <v>0</v>
      </c>
      <c r="D123" s="5">
        <v>1</v>
      </c>
      <c r="E123" s="5">
        <v>223</v>
      </c>
      <c r="F123" s="5">
        <f>ROUND(Source!AQ113,O123)</f>
        <v>0</v>
      </c>
      <c r="G123" s="5" t="s">
        <v>210</v>
      </c>
      <c r="H123" s="5" t="s">
        <v>211</v>
      </c>
      <c r="I123" s="5"/>
      <c r="J123" s="5"/>
      <c r="K123" s="5">
        <v>223</v>
      </c>
      <c r="L123" s="5">
        <v>9</v>
      </c>
      <c r="M123" s="5">
        <v>3</v>
      </c>
      <c r="N123" s="5" t="s">
        <v>3</v>
      </c>
      <c r="O123" s="5">
        <v>2</v>
      </c>
      <c r="P123" s="5">
        <f>ROUND(Source!EI113,O123)</f>
        <v>0</v>
      </c>
      <c r="Q123" s="5"/>
      <c r="R123" s="5"/>
      <c r="S123" s="5"/>
      <c r="T123" s="5"/>
      <c r="U123" s="5"/>
      <c r="V123" s="5"/>
      <c r="W123" s="5">
        <v>0</v>
      </c>
      <c r="X123" s="5">
        <v>1</v>
      </c>
      <c r="Y123" s="5">
        <v>0</v>
      </c>
      <c r="Z123" s="5">
        <v>0</v>
      </c>
      <c r="AA123" s="5">
        <v>1</v>
      </c>
      <c r="AB123" s="5">
        <v>0</v>
      </c>
    </row>
    <row r="124" spans="1:206" x14ac:dyDescent="0.3">
      <c r="A124" s="5">
        <v>50</v>
      </c>
      <c r="B124" s="5">
        <v>0</v>
      </c>
      <c r="C124" s="5">
        <v>0</v>
      </c>
      <c r="D124" s="5">
        <v>1</v>
      </c>
      <c r="E124" s="5">
        <v>229</v>
      </c>
      <c r="F124" s="5">
        <f>ROUND(Source!AZ113,O124)</f>
        <v>221173.38</v>
      </c>
      <c r="G124" s="5" t="s">
        <v>212</v>
      </c>
      <c r="H124" s="5" t="s">
        <v>213</v>
      </c>
      <c r="I124" s="5"/>
      <c r="J124" s="5"/>
      <c r="K124" s="5">
        <v>229</v>
      </c>
      <c r="L124" s="5">
        <v>10</v>
      </c>
      <c r="M124" s="5">
        <v>3</v>
      </c>
      <c r="N124" s="5" t="s">
        <v>3</v>
      </c>
      <c r="O124" s="5">
        <v>2</v>
      </c>
      <c r="P124" s="5">
        <f>ROUND(Source!ER113,O124)</f>
        <v>1690753.16</v>
      </c>
      <c r="Q124" s="5"/>
      <c r="R124" s="5"/>
      <c r="S124" s="5"/>
      <c r="T124" s="5"/>
      <c r="U124" s="5"/>
      <c r="V124" s="5"/>
      <c r="W124" s="5">
        <v>221173.38</v>
      </c>
      <c r="X124" s="5">
        <v>1</v>
      </c>
      <c r="Y124" s="5">
        <v>221173.38</v>
      </c>
      <c r="Z124" s="5">
        <v>1690753.16</v>
      </c>
      <c r="AA124" s="5">
        <v>1</v>
      </c>
      <c r="AB124" s="5">
        <v>1690753.16</v>
      </c>
    </row>
    <row r="125" spans="1:206" x14ac:dyDescent="0.3">
      <c r="A125" s="5">
        <v>50</v>
      </c>
      <c r="B125" s="5">
        <v>0</v>
      </c>
      <c r="C125" s="5">
        <v>0</v>
      </c>
      <c r="D125" s="5">
        <v>1</v>
      </c>
      <c r="E125" s="5">
        <v>203</v>
      </c>
      <c r="F125" s="5">
        <f>ROUND(Source!Q113,O125)</f>
        <v>3149.8</v>
      </c>
      <c r="G125" s="5" t="s">
        <v>214</v>
      </c>
      <c r="H125" s="5" t="s">
        <v>215</v>
      </c>
      <c r="I125" s="5"/>
      <c r="J125" s="5"/>
      <c r="K125" s="5">
        <v>203</v>
      </c>
      <c r="L125" s="5">
        <v>11</v>
      </c>
      <c r="M125" s="5">
        <v>3</v>
      </c>
      <c r="N125" s="5" t="s">
        <v>3</v>
      </c>
      <c r="O125" s="5">
        <v>2</v>
      </c>
      <c r="P125" s="5">
        <f>ROUND(Source!DI113,O125)</f>
        <v>40571.730000000003</v>
      </c>
      <c r="Q125" s="5"/>
      <c r="R125" s="5"/>
      <c r="S125" s="5"/>
      <c r="T125" s="5"/>
      <c r="U125" s="5"/>
      <c r="V125" s="5"/>
      <c r="W125" s="5">
        <v>3149.8</v>
      </c>
      <c r="X125" s="5">
        <v>1</v>
      </c>
      <c r="Y125" s="5">
        <v>3149.8</v>
      </c>
      <c r="Z125" s="5">
        <v>40571.730000000003</v>
      </c>
      <c r="AA125" s="5">
        <v>1</v>
      </c>
      <c r="AB125" s="5">
        <v>40571.730000000003</v>
      </c>
    </row>
    <row r="126" spans="1:206" x14ac:dyDescent="0.3">
      <c r="A126" s="5">
        <v>50</v>
      </c>
      <c r="B126" s="5">
        <v>0</v>
      </c>
      <c r="C126" s="5">
        <v>0</v>
      </c>
      <c r="D126" s="5">
        <v>1</v>
      </c>
      <c r="E126" s="5">
        <v>231</v>
      </c>
      <c r="F126" s="5">
        <f>ROUND(Source!BB113,O126)</f>
        <v>0</v>
      </c>
      <c r="G126" s="5" t="s">
        <v>216</v>
      </c>
      <c r="H126" s="5" t="s">
        <v>217</v>
      </c>
      <c r="I126" s="5"/>
      <c r="J126" s="5"/>
      <c r="K126" s="5">
        <v>231</v>
      </c>
      <c r="L126" s="5">
        <v>12</v>
      </c>
      <c r="M126" s="5">
        <v>3</v>
      </c>
      <c r="N126" s="5" t="s">
        <v>3</v>
      </c>
      <c r="O126" s="5">
        <v>2</v>
      </c>
      <c r="P126" s="5">
        <f>ROUND(Source!ET113,O126)</f>
        <v>0</v>
      </c>
      <c r="Q126" s="5"/>
      <c r="R126" s="5"/>
      <c r="S126" s="5"/>
      <c r="T126" s="5"/>
      <c r="U126" s="5"/>
      <c r="V126" s="5"/>
      <c r="W126" s="5">
        <v>0</v>
      </c>
      <c r="X126" s="5">
        <v>1</v>
      </c>
      <c r="Y126" s="5">
        <v>0</v>
      </c>
      <c r="Z126" s="5">
        <v>0</v>
      </c>
      <c r="AA126" s="5">
        <v>1</v>
      </c>
      <c r="AB126" s="5">
        <v>0</v>
      </c>
    </row>
    <row r="127" spans="1:206" x14ac:dyDescent="0.3">
      <c r="A127" s="5">
        <v>50</v>
      </c>
      <c r="B127" s="5">
        <v>0</v>
      </c>
      <c r="C127" s="5">
        <v>0</v>
      </c>
      <c r="D127" s="5">
        <v>1</v>
      </c>
      <c r="E127" s="5">
        <v>204</v>
      </c>
      <c r="F127" s="5">
        <f>ROUND(Source!R113,O127)</f>
        <v>199.18</v>
      </c>
      <c r="G127" s="5" t="s">
        <v>218</v>
      </c>
      <c r="H127" s="5" t="s">
        <v>219</v>
      </c>
      <c r="I127" s="5"/>
      <c r="J127" s="5"/>
      <c r="K127" s="5">
        <v>204</v>
      </c>
      <c r="L127" s="5">
        <v>13</v>
      </c>
      <c r="M127" s="5">
        <v>3</v>
      </c>
      <c r="N127" s="5" t="s">
        <v>3</v>
      </c>
      <c r="O127" s="5">
        <v>2</v>
      </c>
      <c r="P127" s="5">
        <f>ROUND(Source!DJ113,O127)</f>
        <v>10952.91</v>
      </c>
      <c r="Q127" s="5"/>
      <c r="R127" s="5"/>
      <c r="S127" s="5"/>
      <c r="T127" s="5"/>
      <c r="U127" s="5"/>
      <c r="V127" s="5"/>
      <c r="W127" s="5">
        <v>199.18</v>
      </c>
      <c r="X127" s="5">
        <v>1</v>
      </c>
      <c r="Y127" s="5">
        <v>199.18</v>
      </c>
      <c r="Z127" s="5">
        <v>10952.91</v>
      </c>
      <c r="AA127" s="5">
        <v>1</v>
      </c>
      <c r="AB127" s="5">
        <v>10952.91</v>
      </c>
    </row>
    <row r="128" spans="1:206" x14ac:dyDescent="0.3">
      <c r="A128" s="5">
        <v>50</v>
      </c>
      <c r="B128" s="5">
        <v>0</v>
      </c>
      <c r="C128" s="5">
        <v>0</v>
      </c>
      <c r="D128" s="5">
        <v>1</v>
      </c>
      <c r="E128" s="5">
        <v>205</v>
      </c>
      <c r="F128" s="5">
        <f>ROUND(Source!S113,O128)</f>
        <v>25348.54</v>
      </c>
      <c r="G128" s="5" t="s">
        <v>220</v>
      </c>
      <c r="H128" s="5" t="s">
        <v>221</v>
      </c>
      <c r="I128" s="5"/>
      <c r="J128" s="5"/>
      <c r="K128" s="5">
        <v>205</v>
      </c>
      <c r="L128" s="5">
        <v>14</v>
      </c>
      <c r="M128" s="5">
        <v>3</v>
      </c>
      <c r="N128" s="5" t="s">
        <v>3</v>
      </c>
      <c r="O128" s="5">
        <v>2</v>
      </c>
      <c r="P128" s="5">
        <f>ROUND(Source!DK113,O128)</f>
        <v>1393916.22</v>
      </c>
      <c r="Q128" s="5"/>
      <c r="R128" s="5"/>
      <c r="S128" s="5"/>
      <c r="T128" s="5"/>
      <c r="U128" s="5"/>
      <c r="V128" s="5"/>
      <c r="W128" s="5">
        <v>25348.54</v>
      </c>
      <c r="X128" s="5">
        <v>1</v>
      </c>
      <c r="Y128" s="5">
        <v>25348.54</v>
      </c>
      <c r="Z128" s="5">
        <v>1393916.22</v>
      </c>
      <c r="AA128" s="5">
        <v>1</v>
      </c>
      <c r="AB128" s="5">
        <v>1393916.22</v>
      </c>
    </row>
    <row r="129" spans="1:88" x14ac:dyDescent="0.3">
      <c r="A129" s="5">
        <v>50</v>
      </c>
      <c r="B129" s="5">
        <v>0</v>
      </c>
      <c r="C129" s="5">
        <v>0</v>
      </c>
      <c r="D129" s="5">
        <v>1</v>
      </c>
      <c r="E129" s="5">
        <v>232</v>
      </c>
      <c r="F129" s="5">
        <f>ROUND(Source!BC113,O129)</f>
        <v>0</v>
      </c>
      <c r="G129" s="5" t="s">
        <v>222</v>
      </c>
      <c r="H129" s="5" t="s">
        <v>223</v>
      </c>
      <c r="I129" s="5"/>
      <c r="J129" s="5"/>
      <c r="K129" s="5">
        <v>232</v>
      </c>
      <c r="L129" s="5">
        <v>15</v>
      </c>
      <c r="M129" s="5">
        <v>3</v>
      </c>
      <c r="N129" s="5" t="s">
        <v>3</v>
      </c>
      <c r="O129" s="5">
        <v>2</v>
      </c>
      <c r="P129" s="5">
        <f>ROUND(Source!EU113,O129)</f>
        <v>0</v>
      </c>
      <c r="Q129" s="5"/>
      <c r="R129" s="5"/>
      <c r="S129" s="5"/>
      <c r="T129" s="5"/>
      <c r="U129" s="5"/>
      <c r="V129" s="5"/>
      <c r="W129" s="5">
        <v>0</v>
      </c>
      <c r="X129" s="5">
        <v>1</v>
      </c>
      <c r="Y129" s="5">
        <v>0</v>
      </c>
      <c r="Z129" s="5">
        <v>0</v>
      </c>
      <c r="AA129" s="5">
        <v>1</v>
      </c>
      <c r="AB129" s="5">
        <v>0</v>
      </c>
    </row>
    <row r="130" spans="1:88" x14ac:dyDescent="0.3">
      <c r="A130" s="5">
        <v>50</v>
      </c>
      <c r="B130" s="5">
        <v>0</v>
      </c>
      <c r="C130" s="5">
        <v>0</v>
      </c>
      <c r="D130" s="5">
        <v>1</v>
      </c>
      <c r="E130" s="5">
        <v>214</v>
      </c>
      <c r="F130" s="5">
        <f>ROUND(Source!AS113,O130)</f>
        <v>0</v>
      </c>
      <c r="G130" s="5" t="s">
        <v>224</v>
      </c>
      <c r="H130" s="5" t="s">
        <v>225</v>
      </c>
      <c r="I130" s="5"/>
      <c r="J130" s="5"/>
      <c r="K130" s="5">
        <v>214</v>
      </c>
      <c r="L130" s="5">
        <v>16</v>
      </c>
      <c r="M130" s="5">
        <v>3</v>
      </c>
      <c r="N130" s="5" t="s">
        <v>3</v>
      </c>
      <c r="O130" s="5">
        <v>2</v>
      </c>
      <c r="P130" s="5">
        <f>ROUND(Source!EK113,O130)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88" x14ac:dyDescent="0.3">
      <c r="A131" s="5">
        <v>50</v>
      </c>
      <c r="B131" s="5">
        <v>0</v>
      </c>
      <c r="C131" s="5">
        <v>0</v>
      </c>
      <c r="D131" s="5">
        <v>1</v>
      </c>
      <c r="E131" s="5">
        <v>215</v>
      </c>
      <c r="F131" s="5">
        <f>ROUND(Source!AT113,O131)</f>
        <v>82711.94</v>
      </c>
      <c r="G131" s="5" t="s">
        <v>226</v>
      </c>
      <c r="H131" s="5" t="s">
        <v>227</v>
      </c>
      <c r="I131" s="5"/>
      <c r="J131" s="5"/>
      <c r="K131" s="5">
        <v>215</v>
      </c>
      <c r="L131" s="5">
        <v>17</v>
      </c>
      <c r="M131" s="5">
        <v>3</v>
      </c>
      <c r="N131" s="5" t="s">
        <v>3</v>
      </c>
      <c r="O131" s="5">
        <v>2</v>
      </c>
      <c r="P131" s="5">
        <f>ROUND(Source!EL113,O131)</f>
        <v>3551330.45</v>
      </c>
      <c r="Q131" s="5"/>
      <c r="R131" s="5"/>
      <c r="S131" s="5"/>
      <c r="T131" s="5"/>
      <c r="U131" s="5"/>
      <c r="V131" s="5"/>
      <c r="W131" s="5">
        <v>82711.94</v>
      </c>
      <c r="X131" s="5">
        <v>1</v>
      </c>
      <c r="Y131" s="5">
        <v>82711.94</v>
      </c>
      <c r="Z131" s="5">
        <v>3551330.45</v>
      </c>
      <c r="AA131" s="5">
        <v>1</v>
      </c>
      <c r="AB131" s="5">
        <v>3551330.45</v>
      </c>
    </row>
    <row r="132" spans="1:88" x14ac:dyDescent="0.3">
      <c r="A132" s="5">
        <v>50</v>
      </c>
      <c r="B132" s="5">
        <v>0</v>
      </c>
      <c r="C132" s="5">
        <v>0</v>
      </c>
      <c r="D132" s="5">
        <v>1</v>
      </c>
      <c r="E132" s="5">
        <v>217</v>
      </c>
      <c r="F132" s="5">
        <f>ROUND(Source!AU113,O132)</f>
        <v>0</v>
      </c>
      <c r="G132" s="5" t="s">
        <v>228</v>
      </c>
      <c r="H132" s="5" t="s">
        <v>229</v>
      </c>
      <c r="I132" s="5"/>
      <c r="J132" s="5"/>
      <c r="K132" s="5">
        <v>217</v>
      </c>
      <c r="L132" s="5">
        <v>18</v>
      </c>
      <c r="M132" s="5">
        <v>3</v>
      </c>
      <c r="N132" s="5" t="s">
        <v>3</v>
      </c>
      <c r="O132" s="5">
        <v>2</v>
      </c>
      <c r="P132" s="5">
        <f>ROUND(Source!EM113,O132)</f>
        <v>0</v>
      </c>
      <c r="Q132" s="5"/>
      <c r="R132" s="5"/>
      <c r="S132" s="5"/>
      <c r="T132" s="5"/>
      <c r="U132" s="5"/>
      <c r="V132" s="5"/>
      <c r="W132" s="5">
        <v>0</v>
      </c>
      <c r="X132" s="5">
        <v>1</v>
      </c>
      <c r="Y132" s="5">
        <v>0</v>
      </c>
      <c r="Z132" s="5">
        <v>0</v>
      </c>
      <c r="AA132" s="5">
        <v>1</v>
      </c>
      <c r="AB132" s="5">
        <v>0</v>
      </c>
    </row>
    <row r="133" spans="1:88" x14ac:dyDescent="0.3">
      <c r="A133" s="5">
        <v>50</v>
      </c>
      <c r="B133" s="5">
        <v>0</v>
      </c>
      <c r="C133" s="5">
        <v>0</v>
      </c>
      <c r="D133" s="5">
        <v>1</v>
      </c>
      <c r="E133" s="5">
        <v>230</v>
      </c>
      <c r="F133" s="5">
        <f>ROUND(Source!BA113,O133)</f>
        <v>0</v>
      </c>
      <c r="G133" s="5" t="s">
        <v>230</v>
      </c>
      <c r="H133" s="5" t="s">
        <v>231</v>
      </c>
      <c r="I133" s="5"/>
      <c r="J133" s="5"/>
      <c r="K133" s="5">
        <v>230</v>
      </c>
      <c r="L133" s="5">
        <v>19</v>
      </c>
      <c r="M133" s="5">
        <v>3</v>
      </c>
      <c r="N133" s="5" t="s">
        <v>3</v>
      </c>
      <c r="O133" s="5">
        <v>2</v>
      </c>
      <c r="P133" s="5">
        <f>ROUND(Source!ES113,O133)</f>
        <v>0</v>
      </c>
      <c r="Q133" s="5"/>
      <c r="R133" s="5"/>
      <c r="S133" s="5"/>
      <c r="T133" s="5"/>
      <c r="U133" s="5"/>
      <c r="V133" s="5"/>
      <c r="W133" s="5">
        <v>0</v>
      </c>
      <c r="X133" s="5">
        <v>1</v>
      </c>
      <c r="Y133" s="5">
        <v>0</v>
      </c>
      <c r="Z133" s="5">
        <v>0</v>
      </c>
      <c r="AA133" s="5">
        <v>1</v>
      </c>
      <c r="AB133" s="5">
        <v>0</v>
      </c>
    </row>
    <row r="134" spans="1:88" x14ac:dyDescent="0.3">
      <c r="A134" s="5">
        <v>50</v>
      </c>
      <c r="B134" s="5">
        <v>0</v>
      </c>
      <c r="C134" s="5">
        <v>0</v>
      </c>
      <c r="D134" s="5">
        <v>1</v>
      </c>
      <c r="E134" s="5">
        <v>206</v>
      </c>
      <c r="F134" s="5">
        <f>ROUND(Source!T113,O134)</f>
        <v>0</v>
      </c>
      <c r="G134" s="5" t="s">
        <v>232</v>
      </c>
      <c r="H134" s="5" t="s">
        <v>233</v>
      </c>
      <c r="I134" s="5"/>
      <c r="J134" s="5"/>
      <c r="K134" s="5">
        <v>206</v>
      </c>
      <c r="L134" s="5">
        <v>20</v>
      </c>
      <c r="M134" s="5">
        <v>3</v>
      </c>
      <c r="N134" s="5" t="s">
        <v>3</v>
      </c>
      <c r="O134" s="5">
        <v>2</v>
      </c>
      <c r="P134" s="5">
        <f>ROUND(Source!DL113,O134)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88" x14ac:dyDescent="0.3">
      <c r="A135" s="5">
        <v>50</v>
      </c>
      <c r="B135" s="5">
        <v>0</v>
      </c>
      <c r="C135" s="5">
        <v>0</v>
      </c>
      <c r="D135" s="5">
        <v>1</v>
      </c>
      <c r="E135" s="5">
        <v>207</v>
      </c>
      <c r="F135" s="5">
        <f>Source!U113</f>
        <v>2008.4344275600001</v>
      </c>
      <c r="G135" s="5" t="s">
        <v>234</v>
      </c>
      <c r="H135" s="5" t="s">
        <v>235</v>
      </c>
      <c r="I135" s="5"/>
      <c r="J135" s="5"/>
      <c r="K135" s="5">
        <v>207</v>
      </c>
      <c r="L135" s="5">
        <v>21</v>
      </c>
      <c r="M135" s="5">
        <v>3</v>
      </c>
      <c r="N135" s="5" t="s">
        <v>3</v>
      </c>
      <c r="O135" s="5">
        <v>-1</v>
      </c>
      <c r="P135" s="5">
        <f>Source!DM113</f>
        <v>2008.4344275600001</v>
      </c>
      <c r="Q135" s="5"/>
      <c r="R135" s="5"/>
      <c r="S135" s="5"/>
      <c r="T135" s="5"/>
      <c r="U135" s="5"/>
      <c r="V135" s="5"/>
      <c r="W135" s="5">
        <v>2008.4344275599999</v>
      </c>
      <c r="X135" s="5">
        <v>1</v>
      </c>
      <c r="Y135" s="5">
        <v>2008.4344275599999</v>
      </c>
      <c r="Z135" s="5">
        <v>2008.4344275599999</v>
      </c>
      <c r="AA135" s="5">
        <v>1</v>
      </c>
      <c r="AB135" s="5">
        <v>2008.4344275599999</v>
      </c>
    </row>
    <row r="136" spans="1:88" x14ac:dyDescent="0.3">
      <c r="A136" s="5">
        <v>50</v>
      </c>
      <c r="B136" s="5">
        <v>0</v>
      </c>
      <c r="C136" s="5">
        <v>0</v>
      </c>
      <c r="D136" s="5">
        <v>1</v>
      </c>
      <c r="E136" s="5">
        <v>208</v>
      </c>
      <c r="F136" s="5">
        <f>Source!V113</f>
        <v>0</v>
      </c>
      <c r="G136" s="5" t="s">
        <v>236</v>
      </c>
      <c r="H136" s="5" t="s">
        <v>237</v>
      </c>
      <c r="I136" s="5"/>
      <c r="J136" s="5"/>
      <c r="K136" s="5">
        <v>208</v>
      </c>
      <c r="L136" s="5">
        <v>22</v>
      </c>
      <c r="M136" s="5">
        <v>3</v>
      </c>
      <c r="N136" s="5" t="s">
        <v>3</v>
      </c>
      <c r="O136" s="5">
        <v>-1</v>
      </c>
      <c r="P136" s="5">
        <f>Source!DN113</f>
        <v>0</v>
      </c>
      <c r="Q136" s="5"/>
      <c r="R136" s="5"/>
      <c r="S136" s="5"/>
      <c r="T136" s="5"/>
      <c r="U136" s="5"/>
      <c r="V136" s="5"/>
      <c r="W136" s="5">
        <v>0</v>
      </c>
      <c r="X136" s="5">
        <v>1</v>
      </c>
      <c r="Y136" s="5">
        <v>0</v>
      </c>
      <c r="Z136" s="5">
        <v>0</v>
      </c>
      <c r="AA136" s="5">
        <v>1</v>
      </c>
      <c r="AB136" s="5">
        <v>0</v>
      </c>
    </row>
    <row r="137" spans="1:88" x14ac:dyDescent="0.3">
      <c r="A137" s="5">
        <v>50</v>
      </c>
      <c r="B137" s="5">
        <v>0</v>
      </c>
      <c r="C137" s="5">
        <v>0</v>
      </c>
      <c r="D137" s="5">
        <v>1</v>
      </c>
      <c r="E137" s="5">
        <v>209</v>
      </c>
      <c r="F137" s="5">
        <f>ROUND(Source!W113,O137)</f>
        <v>0</v>
      </c>
      <c r="G137" s="5" t="s">
        <v>238</v>
      </c>
      <c r="H137" s="5" t="s">
        <v>239</v>
      </c>
      <c r="I137" s="5"/>
      <c r="J137" s="5"/>
      <c r="K137" s="5">
        <v>209</v>
      </c>
      <c r="L137" s="5">
        <v>23</v>
      </c>
      <c r="M137" s="5">
        <v>3</v>
      </c>
      <c r="N137" s="5" t="s">
        <v>3</v>
      </c>
      <c r="O137" s="5">
        <v>2</v>
      </c>
      <c r="P137" s="5">
        <f>ROUND(Source!DO113,O137)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88" x14ac:dyDescent="0.3">
      <c r="A138" s="5">
        <v>50</v>
      </c>
      <c r="B138" s="5">
        <v>0</v>
      </c>
      <c r="C138" s="5">
        <v>0</v>
      </c>
      <c r="D138" s="5">
        <v>1</v>
      </c>
      <c r="E138" s="5">
        <v>233</v>
      </c>
      <c r="F138" s="5">
        <f>ROUND(Source!BD113,O138)</f>
        <v>0</v>
      </c>
      <c r="G138" s="5" t="s">
        <v>240</v>
      </c>
      <c r="H138" s="5" t="s">
        <v>241</v>
      </c>
      <c r="I138" s="5"/>
      <c r="J138" s="5"/>
      <c r="K138" s="5">
        <v>233</v>
      </c>
      <c r="L138" s="5">
        <v>24</v>
      </c>
      <c r="M138" s="5">
        <v>3</v>
      </c>
      <c r="N138" s="5" t="s">
        <v>3</v>
      </c>
      <c r="O138" s="5">
        <v>2</v>
      </c>
      <c r="P138" s="5">
        <f>ROUND(Source!EV113,O138)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88" x14ac:dyDescent="0.3">
      <c r="A139" s="5">
        <v>50</v>
      </c>
      <c r="B139" s="5">
        <v>0</v>
      </c>
      <c r="C139" s="5">
        <v>0</v>
      </c>
      <c r="D139" s="5">
        <v>1</v>
      </c>
      <c r="E139" s="5">
        <v>210</v>
      </c>
      <c r="F139" s="5">
        <f>ROUND(Source!X113,O139)</f>
        <v>23232.41</v>
      </c>
      <c r="G139" s="5" t="s">
        <v>242</v>
      </c>
      <c r="H139" s="5" t="s">
        <v>243</v>
      </c>
      <c r="I139" s="5"/>
      <c r="J139" s="5"/>
      <c r="K139" s="5">
        <v>210</v>
      </c>
      <c r="L139" s="5">
        <v>25</v>
      </c>
      <c r="M139" s="5">
        <v>3</v>
      </c>
      <c r="N139" s="5" t="s">
        <v>3</v>
      </c>
      <c r="O139" s="5">
        <v>2</v>
      </c>
      <c r="P139" s="5">
        <f>ROUND(Source!DP113,O139)</f>
        <v>1277548.95</v>
      </c>
      <c r="Q139" s="5"/>
      <c r="R139" s="5"/>
      <c r="S139" s="5"/>
      <c r="T139" s="5"/>
      <c r="U139" s="5"/>
      <c r="V139" s="5"/>
      <c r="W139" s="5">
        <v>23232.41</v>
      </c>
      <c r="X139" s="5">
        <v>1</v>
      </c>
      <c r="Y139" s="5">
        <v>23232.41</v>
      </c>
      <c r="Z139" s="5">
        <v>1277548.95</v>
      </c>
      <c r="AA139" s="5">
        <v>1</v>
      </c>
      <c r="AB139" s="5">
        <v>1277548.95</v>
      </c>
    </row>
    <row r="140" spans="1:88" x14ac:dyDescent="0.3">
      <c r="A140" s="5">
        <v>50</v>
      </c>
      <c r="B140" s="5">
        <v>0</v>
      </c>
      <c r="C140" s="5">
        <v>0</v>
      </c>
      <c r="D140" s="5">
        <v>1</v>
      </c>
      <c r="E140" s="5">
        <v>211</v>
      </c>
      <c r="F140" s="5">
        <f>ROUND(Source!Y113,O140)</f>
        <v>11956.79</v>
      </c>
      <c r="G140" s="5" t="s">
        <v>244</v>
      </c>
      <c r="H140" s="5" t="s">
        <v>245</v>
      </c>
      <c r="I140" s="5"/>
      <c r="J140" s="5"/>
      <c r="K140" s="5">
        <v>211</v>
      </c>
      <c r="L140" s="5">
        <v>26</v>
      </c>
      <c r="M140" s="5">
        <v>3</v>
      </c>
      <c r="N140" s="5" t="s">
        <v>3</v>
      </c>
      <c r="O140" s="5">
        <v>2</v>
      </c>
      <c r="P140" s="5">
        <f>ROUND(Source!DQ113,O140)</f>
        <v>657503.47</v>
      </c>
      <c r="Q140" s="5"/>
      <c r="R140" s="5"/>
      <c r="S140" s="5"/>
      <c r="T140" s="5"/>
      <c r="U140" s="5"/>
      <c r="V140" s="5"/>
      <c r="W140" s="5">
        <v>11956.79</v>
      </c>
      <c r="X140" s="5">
        <v>1</v>
      </c>
      <c r="Y140" s="5">
        <v>11956.79</v>
      </c>
      <c r="Z140" s="5">
        <v>657503.47</v>
      </c>
      <c r="AA140" s="5">
        <v>1</v>
      </c>
      <c r="AB140" s="5">
        <v>657503.47</v>
      </c>
    </row>
    <row r="141" spans="1:88" x14ac:dyDescent="0.3">
      <c r="A141" s="5">
        <v>50</v>
      </c>
      <c r="B141" s="5">
        <v>0</v>
      </c>
      <c r="C141" s="5">
        <v>0</v>
      </c>
      <c r="D141" s="5">
        <v>1</v>
      </c>
      <c r="E141" s="5">
        <v>224</v>
      </c>
      <c r="F141" s="5">
        <f>ROUND(Source!AR113,O141)</f>
        <v>303885.32</v>
      </c>
      <c r="G141" s="5" t="s">
        <v>246</v>
      </c>
      <c r="H141" s="5" t="s">
        <v>247</v>
      </c>
      <c r="I141" s="5"/>
      <c r="J141" s="5"/>
      <c r="K141" s="5">
        <v>224</v>
      </c>
      <c r="L141" s="5">
        <v>27</v>
      </c>
      <c r="M141" s="5">
        <v>3</v>
      </c>
      <c r="N141" s="5" t="s">
        <v>3</v>
      </c>
      <c r="O141" s="5">
        <v>2</v>
      </c>
      <c r="P141" s="5">
        <f>ROUND(Source!EJ113,O141)</f>
        <v>5242083.6100000003</v>
      </c>
      <c r="Q141" s="5"/>
      <c r="R141" s="5"/>
      <c r="S141" s="5"/>
      <c r="T141" s="5"/>
      <c r="U141" s="5"/>
      <c r="V141" s="5"/>
      <c r="W141" s="5">
        <v>303885.32</v>
      </c>
      <c r="X141" s="5">
        <v>1</v>
      </c>
      <c r="Y141" s="5">
        <v>303885.32</v>
      </c>
      <c r="Z141" s="5">
        <v>5242083.6100000003</v>
      </c>
      <c r="AA141" s="5">
        <v>1</v>
      </c>
      <c r="AB141" s="5">
        <v>5242083.6100000003</v>
      </c>
    </row>
    <row r="143" spans="1:88" x14ac:dyDescent="0.3">
      <c r="A143" s="1">
        <v>4</v>
      </c>
      <c r="B143" s="1">
        <v>1</v>
      </c>
      <c r="C143" s="1"/>
      <c r="D143" s="1">
        <f>ROW(A182)</f>
        <v>182</v>
      </c>
      <c r="E143" s="1"/>
      <c r="F143" s="1" t="s">
        <v>3</v>
      </c>
      <c r="G143" s="1" t="s">
        <v>248</v>
      </c>
      <c r="H143" s="1" t="s">
        <v>3</v>
      </c>
      <c r="I143" s="1">
        <v>0</v>
      </c>
      <c r="J143" s="1"/>
      <c r="K143" s="1">
        <v>-1</v>
      </c>
      <c r="L143" s="1"/>
      <c r="M143" s="1" t="s">
        <v>3</v>
      </c>
      <c r="N143" s="1"/>
      <c r="O143" s="1"/>
      <c r="P143" s="1"/>
      <c r="Q143" s="1"/>
      <c r="R143" s="1"/>
      <c r="S143" s="1">
        <v>0</v>
      </c>
      <c r="T143" s="1">
        <v>0</v>
      </c>
      <c r="U143" s="1" t="s">
        <v>3</v>
      </c>
      <c r="V143" s="1">
        <v>0</v>
      </c>
      <c r="W143" s="1"/>
      <c r="X143" s="1"/>
      <c r="Y143" s="1"/>
      <c r="Z143" s="1"/>
      <c r="AA143" s="1"/>
      <c r="AB143" s="1" t="s">
        <v>3</v>
      </c>
      <c r="AC143" s="1" t="s">
        <v>3</v>
      </c>
      <c r="AD143" s="1" t="s">
        <v>3</v>
      </c>
      <c r="AE143" s="1" t="s">
        <v>3</v>
      </c>
      <c r="AF143" s="1" t="s">
        <v>3</v>
      </c>
      <c r="AG143" s="1" t="s">
        <v>3</v>
      </c>
      <c r="AH143" s="1"/>
      <c r="AI143" s="1"/>
      <c r="AJ143" s="1"/>
      <c r="AK143" s="1"/>
      <c r="AL143" s="1"/>
      <c r="AM143" s="1"/>
      <c r="AN143" s="1"/>
      <c r="AO143" s="1"/>
      <c r="AP143" s="1" t="s">
        <v>3</v>
      </c>
      <c r="AQ143" s="1" t="s">
        <v>3</v>
      </c>
      <c r="AR143" s="1" t="s">
        <v>3</v>
      </c>
      <c r="AS143" s="1"/>
      <c r="AT143" s="1"/>
      <c r="AU143" s="1"/>
      <c r="AV143" s="1"/>
      <c r="AW143" s="1"/>
      <c r="AX143" s="1"/>
      <c r="AY143" s="1"/>
      <c r="AZ143" s="1" t="s">
        <v>3</v>
      </c>
      <c r="BA143" s="1"/>
      <c r="BB143" s="1" t="s">
        <v>3</v>
      </c>
      <c r="BC143" s="1" t="s">
        <v>3</v>
      </c>
      <c r="BD143" s="1" t="s">
        <v>3</v>
      </c>
      <c r="BE143" s="1" t="s">
        <v>3</v>
      </c>
      <c r="BF143" s="1" t="s">
        <v>3</v>
      </c>
      <c r="BG143" s="1" t="s">
        <v>3</v>
      </c>
      <c r="BH143" s="1" t="s">
        <v>3</v>
      </c>
      <c r="BI143" s="1" t="s">
        <v>3</v>
      </c>
      <c r="BJ143" s="1" t="s">
        <v>3</v>
      </c>
      <c r="BK143" s="1" t="s">
        <v>3</v>
      </c>
      <c r="BL143" s="1" t="s">
        <v>3</v>
      </c>
      <c r="BM143" s="1" t="s">
        <v>3</v>
      </c>
      <c r="BN143" s="1" t="s">
        <v>3</v>
      </c>
      <c r="BO143" s="1" t="s">
        <v>3</v>
      </c>
      <c r="BP143" s="1" t="s">
        <v>3</v>
      </c>
      <c r="BQ143" s="1"/>
      <c r="BR143" s="1"/>
      <c r="BS143" s="1"/>
      <c r="BT143" s="1"/>
      <c r="BU143" s="1"/>
      <c r="BV143" s="1"/>
      <c r="BW143" s="1"/>
      <c r="BX143" s="1">
        <v>0</v>
      </c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>
        <v>0</v>
      </c>
    </row>
    <row r="145" spans="1:255" x14ac:dyDescent="0.3">
      <c r="A145" s="3">
        <v>52</v>
      </c>
      <c r="B145" s="3">
        <f t="shared" ref="B145:G145" si="147">B182</f>
        <v>1</v>
      </c>
      <c r="C145" s="3">
        <f t="shared" si="147"/>
        <v>4</v>
      </c>
      <c r="D145" s="3">
        <f t="shared" si="147"/>
        <v>143</v>
      </c>
      <c r="E145" s="3">
        <f t="shared" si="147"/>
        <v>0</v>
      </c>
      <c r="F145" s="3" t="str">
        <f t="shared" si="147"/>
        <v/>
      </c>
      <c r="G145" s="3" t="str">
        <f t="shared" si="147"/>
        <v>Огнестойкая кабельная линия</v>
      </c>
      <c r="H145" s="3"/>
      <c r="I145" s="3"/>
      <c r="J145" s="3"/>
      <c r="K145" s="3"/>
      <c r="L145" s="3"/>
      <c r="M145" s="3"/>
      <c r="N145" s="3"/>
      <c r="O145" s="3">
        <f t="shared" ref="O145:AT145" si="148">O182</f>
        <v>72889.17</v>
      </c>
      <c r="P145" s="3">
        <f t="shared" si="148"/>
        <v>51012.59</v>
      </c>
      <c r="Q145" s="3">
        <f t="shared" si="148"/>
        <v>295.81</v>
      </c>
      <c r="R145" s="3">
        <f t="shared" si="148"/>
        <v>0.44</v>
      </c>
      <c r="S145" s="3">
        <f t="shared" si="148"/>
        <v>21580.77</v>
      </c>
      <c r="T145" s="3">
        <f t="shared" si="148"/>
        <v>0</v>
      </c>
      <c r="U145" s="3">
        <f t="shared" si="148"/>
        <v>1808.2938442800003</v>
      </c>
      <c r="V145" s="3">
        <f t="shared" si="148"/>
        <v>0</v>
      </c>
      <c r="W145" s="3">
        <f t="shared" si="148"/>
        <v>0</v>
      </c>
      <c r="X145" s="3">
        <f t="shared" si="148"/>
        <v>19429.28</v>
      </c>
      <c r="Y145" s="3">
        <f t="shared" si="148"/>
        <v>9931.7800000000007</v>
      </c>
      <c r="Z145" s="3">
        <f t="shared" si="148"/>
        <v>0</v>
      </c>
      <c r="AA145" s="3">
        <f t="shared" si="148"/>
        <v>0</v>
      </c>
      <c r="AB145" s="3">
        <f t="shared" si="148"/>
        <v>72889.17</v>
      </c>
      <c r="AC145" s="3">
        <f t="shared" si="148"/>
        <v>51012.59</v>
      </c>
      <c r="AD145" s="3">
        <f t="shared" si="148"/>
        <v>295.81</v>
      </c>
      <c r="AE145" s="3">
        <f t="shared" si="148"/>
        <v>0.44</v>
      </c>
      <c r="AF145" s="3">
        <f t="shared" si="148"/>
        <v>21580.77</v>
      </c>
      <c r="AG145" s="3">
        <f t="shared" si="148"/>
        <v>0</v>
      </c>
      <c r="AH145" s="3">
        <f t="shared" si="148"/>
        <v>1808.2938442800003</v>
      </c>
      <c r="AI145" s="3">
        <f t="shared" si="148"/>
        <v>0</v>
      </c>
      <c r="AJ145" s="3">
        <f t="shared" si="148"/>
        <v>0</v>
      </c>
      <c r="AK145" s="3">
        <f t="shared" si="148"/>
        <v>19429.28</v>
      </c>
      <c r="AL145" s="3">
        <f t="shared" si="148"/>
        <v>9931.7800000000007</v>
      </c>
      <c r="AM145" s="3">
        <f t="shared" si="148"/>
        <v>0</v>
      </c>
      <c r="AN145" s="3">
        <f t="shared" si="148"/>
        <v>0</v>
      </c>
      <c r="AO145" s="3">
        <f t="shared" si="148"/>
        <v>0</v>
      </c>
      <c r="AP145" s="3">
        <f t="shared" si="148"/>
        <v>0</v>
      </c>
      <c r="AQ145" s="3">
        <f t="shared" si="148"/>
        <v>0</v>
      </c>
      <c r="AR145" s="3">
        <f t="shared" si="148"/>
        <v>102250.23</v>
      </c>
      <c r="AS145" s="3">
        <f t="shared" si="148"/>
        <v>0</v>
      </c>
      <c r="AT145" s="3">
        <f t="shared" si="148"/>
        <v>102250.23</v>
      </c>
      <c r="AU145" s="3">
        <f t="shared" ref="AU145:BZ145" si="149">AU182</f>
        <v>0</v>
      </c>
      <c r="AV145" s="3">
        <f t="shared" si="149"/>
        <v>51012.59</v>
      </c>
      <c r="AW145" s="3">
        <f t="shared" si="149"/>
        <v>51012.59</v>
      </c>
      <c r="AX145" s="3">
        <f t="shared" si="149"/>
        <v>0</v>
      </c>
      <c r="AY145" s="3">
        <f t="shared" si="149"/>
        <v>51012.59</v>
      </c>
      <c r="AZ145" s="3">
        <f t="shared" si="149"/>
        <v>0</v>
      </c>
      <c r="BA145" s="3">
        <f t="shared" si="149"/>
        <v>0</v>
      </c>
      <c r="BB145" s="3">
        <f t="shared" si="149"/>
        <v>0</v>
      </c>
      <c r="BC145" s="3">
        <f t="shared" si="149"/>
        <v>0</v>
      </c>
      <c r="BD145" s="3">
        <f t="shared" si="149"/>
        <v>0</v>
      </c>
      <c r="BE145" s="3">
        <f t="shared" si="149"/>
        <v>0</v>
      </c>
      <c r="BF145" s="3">
        <f t="shared" si="149"/>
        <v>0</v>
      </c>
      <c r="BG145" s="3">
        <f t="shared" si="149"/>
        <v>0</v>
      </c>
      <c r="BH145" s="3">
        <f t="shared" si="149"/>
        <v>0</v>
      </c>
      <c r="BI145" s="3">
        <f t="shared" si="149"/>
        <v>0</v>
      </c>
      <c r="BJ145" s="3">
        <f t="shared" si="149"/>
        <v>0</v>
      </c>
      <c r="BK145" s="3">
        <f t="shared" si="149"/>
        <v>0</v>
      </c>
      <c r="BL145" s="3">
        <f t="shared" si="149"/>
        <v>0</v>
      </c>
      <c r="BM145" s="3">
        <f t="shared" si="149"/>
        <v>0</v>
      </c>
      <c r="BN145" s="3">
        <f t="shared" si="149"/>
        <v>0</v>
      </c>
      <c r="BO145" s="3">
        <f t="shared" si="149"/>
        <v>0</v>
      </c>
      <c r="BP145" s="3">
        <f t="shared" si="149"/>
        <v>0</v>
      </c>
      <c r="BQ145" s="3">
        <f t="shared" si="149"/>
        <v>0</v>
      </c>
      <c r="BR145" s="3">
        <f t="shared" si="149"/>
        <v>0</v>
      </c>
      <c r="BS145" s="3">
        <f t="shared" si="149"/>
        <v>0</v>
      </c>
      <c r="BT145" s="3">
        <f t="shared" si="149"/>
        <v>0</v>
      </c>
      <c r="BU145" s="3">
        <f t="shared" si="149"/>
        <v>0</v>
      </c>
      <c r="BV145" s="3">
        <f t="shared" si="149"/>
        <v>0</v>
      </c>
      <c r="BW145" s="3">
        <f t="shared" si="149"/>
        <v>0</v>
      </c>
      <c r="BX145" s="3">
        <f t="shared" si="149"/>
        <v>0</v>
      </c>
      <c r="BY145" s="3">
        <f t="shared" si="149"/>
        <v>0</v>
      </c>
      <c r="BZ145" s="3">
        <f t="shared" si="149"/>
        <v>0</v>
      </c>
      <c r="CA145" s="3">
        <f t="shared" ref="CA145:DF145" si="150">CA182</f>
        <v>102250.23</v>
      </c>
      <c r="CB145" s="3">
        <f t="shared" si="150"/>
        <v>0</v>
      </c>
      <c r="CC145" s="3">
        <f t="shared" si="150"/>
        <v>102250.23</v>
      </c>
      <c r="CD145" s="3">
        <f t="shared" si="150"/>
        <v>0</v>
      </c>
      <c r="CE145" s="3">
        <f t="shared" si="150"/>
        <v>51012.59</v>
      </c>
      <c r="CF145" s="3">
        <f t="shared" si="150"/>
        <v>51012.59</v>
      </c>
      <c r="CG145" s="3">
        <f t="shared" si="150"/>
        <v>0</v>
      </c>
      <c r="CH145" s="3">
        <f t="shared" si="150"/>
        <v>51012.59</v>
      </c>
      <c r="CI145" s="3">
        <f t="shared" si="150"/>
        <v>0</v>
      </c>
      <c r="CJ145" s="3">
        <f t="shared" si="150"/>
        <v>0</v>
      </c>
      <c r="CK145" s="3">
        <f t="shared" si="150"/>
        <v>0</v>
      </c>
      <c r="CL145" s="3">
        <f t="shared" si="150"/>
        <v>0</v>
      </c>
      <c r="CM145" s="3">
        <f t="shared" si="150"/>
        <v>0</v>
      </c>
      <c r="CN145" s="3">
        <f t="shared" si="150"/>
        <v>0</v>
      </c>
      <c r="CO145" s="3">
        <f t="shared" si="150"/>
        <v>0</v>
      </c>
      <c r="CP145" s="3">
        <f t="shared" si="150"/>
        <v>0</v>
      </c>
      <c r="CQ145" s="3">
        <f t="shared" si="150"/>
        <v>0</v>
      </c>
      <c r="CR145" s="3">
        <f t="shared" si="150"/>
        <v>0</v>
      </c>
      <c r="CS145" s="3">
        <f t="shared" si="150"/>
        <v>0</v>
      </c>
      <c r="CT145" s="3">
        <f t="shared" si="150"/>
        <v>0</v>
      </c>
      <c r="CU145" s="3">
        <f t="shared" si="150"/>
        <v>0</v>
      </c>
      <c r="CV145" s="3">
        <f t="shared" si="150"/>
        <v>0</v>
      </c>
      <c r="CW145" s="3">
        <f t="shared" si="150"/>
        <v>0</v>
      </c>
      <c r="CX145" s="3">
        <f t="shared" si="150"/>
        <v>0</v>
      </c>
      <c r="CY145" s="3">
        <f t="shared" si="150"/>
        <v>0</v>
      </c>
      <c r="CZ145" s="3">
        <f t="shared" si="150"/>
        <v>0</v>
      </c>
      <c r="DA145" s="3">
        <f t="shared" si="150"/>
        <v>0</v>
      </c>
      <c r="DB145" s="3">
        <f t="shared" si="150"/>
        <v>0</v>
      </c>
      <c r="DC145" s="3">
        <f t="shared" si="150"/>
        <v>0</v>
      </c>
      <c r="DD145" s="3">
        <f t="shared" si="150"/>
        <v>0</v>
      </c>
      <c r="DE145" s="3">
        <f t="shared" si="150"/>
        <v>0</v>
      </c>
      <c r="DF145" s="3">
        <f t="shared" si="150"/>
        <v>0</v>
      </c>
      <c r="DG145" s="4">
        <f t="shared" ref="DG145:EL145" si="151">DG182</f>
        <v>1646413.5</v>
      </c>
      <c r="DH145" s="4">
        <f t="shared" si="151"/>
        <v>457069.71</v>
      </c>
      <c r="DI145" s="4">
        <f t="shared" si="151"/>
        <v>2617.2399999999998</v>
      </c>
      <c r="DJ145" s="4">
        <f t="shared" si="151"/>
        <v>24.2</v>
      </c>
      <c r="DK145" s="4">
        <f t="shared" si="151"/>
        <v>1186726.55</v>
      </c>
      <c r="DL145" s="4">
        <f t="shared" si="151"/>
        <v>0</v>
      </c>
      <c r="DM145" s="4">
        <f t="shared" si="151"/>
        <v>1808.2938442800003</v>
      </c>
      <c r="DN145" s="4">
        <f t="shared" si="151"/>
        <v>0</v>
      </c>
      <c r="DO145" s="4">
        <f t="shared" si="151"/>
        <v>0</v>
      </c>
      <c r="DP145" s="4">
        <f t="shared" si="151"/>
        <v>1068416.53</v>
      </c>
      <c r="DQ145" s="4">
        <f t="shared" si="151"/>
        <v>546148.81000000006</v>
      </c>
      <c r="DR145" s="4">
        <f t="shared" si="151"/>
        <v>0</v>
      </c>
      <c r="DS145" s="4">
        <f t="shared" si="151"/>
        <v>0</v>
      </c>
      <c r="DT145" s="4">
        <f t="shared" si="151"/>
        <v>1646413.5</v>
      </c>
      <c r="DU145" s="4">
        <f t="shared" si="151"/>
        <v>457069.71</v>
      </c>
      <c r="DV145" s="4">
        <f t="shared" si="151"/>
        <v>2617.2399999999998</v>
      </c>
      <c r="DW145" s="4">
        <f t="shared" si="151"/>
        <v>24.2</v>
      </c>
      <c r="DX145" s="4">
        <f t="shared" si="151"/>
        <v>1186726.55</v>
      </c>
      <c r="DY145" s="4">
        <f t="shared" si="151"/>
        <v>0</v>
      </c>
      <c r="DZ145" s="4">
        <f t="shared" si="151"/>
        <v>1808.2938442800003</v>
      </c>
      <c r="EA145" s="4">
        <f t="shared" si="151"/>
        <v>0</v>
      </c>
      <c r="EB145" s="4">
        <f t="shared" si="151"/>
        <v>0</v>
      </c>
      <c r="EC145" s="4">
        <f t="shared" si="151"/>
        <v>1068416.53</v>
      </c>
      <c r="ED145" s="4">
        <f t="shared" si="151"/>
        <v>546148.81000000006</v>
      </c>
      <c r="EE145" s="4">
        <f t="shared" si="151"/>
        <v>0</v>
      </c>
      <c r="EF145" s="4">
        <f t="shared" si="151"/>
        <v>0</v>
      </c>
      <c r="EG145" s="4">
        <f t="shared" si="151"/>
        <v>0</v>
      </c>
      <c r="EH145" s="4">
        <f t="shared" si="151"/>
        <v>0</v>
      </c>
      <c r="EI145" s="4">
        <f t="shared" si="151"/>
        <v>0</v>
      </c>
      <c r="EJ145" s="4">
        <f t="shared" si="151"/>
        <v>3260978.84</v>
      </c>
      <c r="EK145" s="4">
        <f t="shared" si="151"/>
        <v>0</v>
      </c>
      <c r="EL145" s="4">
        <f t="shared" si="151"/>
        <v>3260978.84</v>
      </c>
      <c r="EM145" s="4">
        <f t="shared" ref="EM145:FR145" si="152">EM182</f>
        <v>0</v>
      </c>
      <c r="EN145" s="4">
        <f t="shared" si="152"/>
        <v>457069.71</v>
      </c>
      <c r="EO145" s="4">
        <f t="shared" si="152"/>
        <v>457069.71</v>
      </c>
      <c r="EP145" s="4">
        <f t="shared" si="152"/>
        <v>0</v>
      </c>
      <c r="EQ145" s="4">
        <f t="shared" si="152"/>
        <v>457069.71</v>
      </c>
      <c r="ER145" s="4">
        <f t="shared" si="152"/>
        <v>0</v>
      </c>
      <c r="ES145" s="4">
        <f t="shared" si="152"/>
        <v>0</v>
      </c>
      <c r="ET145" s="4">
        <f t="shared" si="152"/>
        <v>0</v>
      </c>
      <c r="EU145" s="4">
        <f t="shared" si="152"/>
        <v>0</v>
      </c>
      <c r="EV145" s="4">
        <f t="shared" si="152"/>
        <v>0</v>
      </c>
      <c r="EW145" s="4">
        <f t="shared" si="152"/>
        <v>0</v>
      </c>
      <c r="EX145" s="4">
        <f t="shared" si="152"/>
        <v>0</v>
      </c>
      <c r="EY145" s="4">
        <f t="shared" si="152"/>
        <v>0</v>
      </c>
      <c r="EZ145" s="4">
        <f t="shared" si="152"/>
        <v>0</v>
      </c>
      <c r="FA145" s="4">
        <f t="shared" si="152"/>
        <v>0</v>
      </c>
      <c r="FB145" s="4">
        <f t="shared" si="152"/>
        <v>0</v>
      </c>
      <c r="FC145" s="4">
        <f t="shared" si="152"/>
        <v>0</v>
      </c>
      <c r="FD145" s="4">
        <f t="shared" si="152"/>
        <v>0</v>
      </c>
      <c r="FE145" s="4">
        <f t="shared" si="152"/>
        <v>0</v>
      </c>
      <c r="FF145" s="4">
        <f t="shared" si="152"/>
        <v>0</v>
      </c>
      <c r="FG145" s="4">
        <f t="shared" si="152"/>
        <v>0</v>
      </c>
      <c r="FH145" s="4">
        <f t="shared" si="152"/>
        <v>0</v>
      </c>
      <c r="FI145" s="4">
        <f t="shared" si="152"/>
        <v>0</v>
      </c>
      <c r="FJ145" s="4">
        <f t="shared" si="152"/>
        <v>0</v>
      </c>
      <c r="FK145" s="4">
        <f t="shared" si="152"/>
        <v>0</v>
      </c>
      <c r="FL145" s="4">
        <f t="shared" si="152"/>
        <v>0</v>
      </c>
      <c r="FM145" s="4">
        <f t="shared" si="152"/>
        <v>0</v>
      </c>
      <c r="FN145" s="4">
        <f t="shared" si="152"/>
        <v>0</v>
      </c>
      <c r="FO145" s="4">
        <f t="shared" si="152"/>
        <v>0</v>
      </c>
      <c r="FP145" s="4">
        <f t="shared" si="152"/>
        <v>0</v>
      </c>
      <c r="FQ145" s="4">
        <f t="shared" si="152"/>
        <v>0</v>
      </c>
      <c r="FR145" s="4">
        <f t="shared" si="152"/>
        <v>0</v>
      </c>
      <c r="FS145" s="4">
        <f t="shared" ref="FS145:GX145" si="153">FS182</f>
        <v>3260978.84</v>
      </c>
      <c r="FT145" s="4">
        <f t="shared" si="153"/>
        <v>0</v>
      </c>
      <c r="FU145" s="4">
        <f t="shared" si="153"/>
        <v>3260978.84</v>
      </c>
      <c r="FV145" s="4">
        <f t="shared" si="153"/>
        <v>0</v>
      </c>
      <c r="FW145" s="4">
        <f t="shared" si="153"/>
        <v>457069.71</v>
      </c>
      <c r="FX145" s="4">
        <f t="shared" si="153"/>
        <v>457069.71</v>
      </c>
      <c r="FY145" s="4">
        <f t="shared" si="153"/>
        <v>0</v>
      </c>
      <c r="FZ145" s="4">
        <f t="shared" si="153"/>
        <v>457069.71</v>
      </c>
      <c r="GA145" s="4">
        <f t="shared" si="153"/>
        <v>0</v>
      </c>
      <c r="GB145" s="4">
        <f t="shared" si="153"/>
        <v>0</v>
      </c>
      <c r="GC145" s="4">
        <f t="shared" si="153"/>
        <v>0</v>
      </c>
      <c r="GD145" s="4">
        <f t="shared" si="153"/>
        <v>0</v>
      </c>
      <c r="GE145" s="4">
        <f t="shared" si="153"/>
        <v>0</v>
      </c>
      <c r="GF145" s="4">
        <f t="shared" si="153"/>
        <v>0</v>
      </c>
      <c r="GG145" s="4">
        <f t="shared" si="153"/>
        <v>0</v>
      </c>
      <c r="GH145" s="4">
        <f t="shared" si="153"/>
        <v>0</v>
      </c>
      <c r="GI145" s="4">
        <f t="shared" si="153"/>
        <v>0</v>
      </c>
      <c r="GJ145" s="4">
        <f t="shared" si="153"/>
        <v>0</v>
      </c>
      <c r="GK145" s="4">
        <f t="shared" si="153"/>
        <v>0</v>
      </c>
      <c r="GL145" s="4">
        <f t="shared" si="153"/>
        <v>0</v>
      </c>
      <c r="GM145" s="4">
        <f t="shared" si="153"/>
        <v>0</v>
      </c>
      <c r="GN145" s="4">
        <f t="shared" si="153"/>
        <v>0</v>
      </c>
      <c r="GO145" s="4">
        <f t="shared" si="153"/>
        <v>0</v>
      </c>
      <c r="GP145" s="4">
        <f t="shared" si="153"/>
        <v>0</v>
      </c>
      <c r="GQ145" s="4">
        <f t="shared" si="153"/>
        <v>0</v>
      </c>
      <c r="GR145" s="4">
        <f t="shared" si="153"/>
        <v>0</v>
      </c>
      <c r="GS145" s="4">
        <f t="shared" si="153"/>
        <v>0</v>
      </c>
      <c r="GT145" s="4">
        <f t="shared" si="153"/>
        <v>0</v>
      </c>
      <c r="GU145" s="4">
        <f t="shared" si="153"/>
        <v>0</v>
      </c>
      <c r="GV145" s="4">
        <f t="shared" si="153"/>
        <v>0</v>
      </c>
      <c r="GW145" s="4">
        <f t="shared" si="153"/>
        <v>0</v>
      </c>
      <c r="GX145" s="4">
        <f t="shared" si="153"/>
        <v>0</v>
      </c>
    </row>
    <row r="147" spans="1:255" x14ac:dyDescent="0.3">
      <c r="A147" s="2">
        <v>17</v>
      </c>
      <c r="B147" s="2">
        <v>1</v>
      </c>
      <c r="C147" s="2"/>
      <c r="D147" s="2">
        <f>ROW(EtalonRes!A108)</f>
        <v>108</v>
      </c>
      <c r="E147" s="2" t="s">
        <v>249</v>
      </c>
      <c r="F147" s="2" t="s">
        <v>250</v>
      </c>
      <c r="G147" s="2" t="s">
        <v>251</v>
      </c>
      <c r="H147" s="2" t="s">
        <v>252</v>
      </c>
      <c r="I147" s="2">
        <f>ROUND((500+4+430+5050)/100,9)</f>
        <v>59.84</v>
      </c>
      <c r="J147" s="2">
        <v>0</v>
      </c>
      <c r="K147" s="2">
        <f>ROUND((500+4+430+5050)/100,9)</f>
        <v>59.84</v>
      </c>
      <c r="L147" s="2"/>
      <c r="M147" s="2"/>
      <c r="N147" s="2"/>
      <c r="O147" s="2">
        <f t="shared" ref="O147:O180" si="154">ROUND(CP147,2)</f>
        <v>21717.49</v>
      </c>
      <c r="P147" s="2">
        <f t="shared" ref="P147:P180" si="155">ROUND((ROUND((AC147*AW147*I147),2)*BC147),2)</f>
        <v>1162.0899999999999</v>
      </c>
      <c r="Q147" s="2">
        <f>(ROUND((ROUND((((ET147*1.1))*AV147*I147),2)*BB147),2)+ROUND((ROUND(((AE147-((EU147*1.1)))*AV147*I147),2)*BS147),2))</f>
        <v>279.12</v>
      </c>
      <c r="R147" s="2">
        <f t="shared" ref="R147:R180" si="156">ROUND((ROUND((AE147*AV147*I147),2)*BS147),2)</f>
        <v>0</v>
      </c>
      <c r="S147" s="2">
        <f t="shared" ref="S147:S180" si="157">ROUND((ROUND((AF147*AV147*I147),2)*BA147),2)</f>
        <v>20276.28</v>
      </c>
      <c r="T147" s="2">
        <f t="shared" ref="T147:T180" si="158">ROUND(CU147*I147,2)</f>
        <v>0</v>
      </c>
      <c r="U147" s="2">
        <f t="shared" ref="U147:U180" si="159">CV147*I147</f>
        <v>1706.4029452800003</v>
      </c>
      <c r="V147" s="2">
        <f t="shared" ref="V147:V180" si="160">CW147*I147</f>
        <v>0</v>
      </c>
      <c r="W147" s="2">
        <f t="shared" ref="W147:W180" si="161">ROUND(CX147*I147,2)</f>
        <v>0</v>
      </c>
      <c r="X147" s="2">
        <f t="shared" ref="X147:X180" si="162">ROUND(CY147,2)</f>
        <v>18248.650000000001</v>
      </c>
      <c r="Y147" s="2">
        <f t="shared" ref="Y147:Y180" si="163">ROUND(CZ147,2)</f>
        <v>9327.09</v>
      </c>
      <c r="Z147" s="2"/>
      <c r="AA147" s="2">
        <v>56498966</v>
      </c>
      <c r="AB147" s="2">
        <f t="shared" ref="AB147:AB180" si="164">ROUND((AC147+AD147+AF147),6)</f>
        <v>347.50599999999997</v>
      </c>
      <c r="AC147" s="2">
        <f t="shared" ref="AC147:AC180" si="165">ROUND((ES147),6)</f>
        <v>19.420000000000002</v>
      </c>
      <c r="AD147" s="2">
        <f>ROUND(((((ET147*1.1))-((EU147*1.1)))+AE147),6)</f>
        <v>4.4550000000000001</v>
      </c>
      <c r="AE147" s="2">
        <f>ROUND(((EU147*1.1)),6)</f>
        <v>0</v>
      </c>
      <c r="AF147" s="2">
        <f>ROUND(((EV147*1.1)),6)</f>
        <v>323.63099999999997</v>
      </c>
      <c r="AG147" s="2">
        <f t="shared" ref="AG147:AG180" si="166">ROUND((AP147),6)</f>
        <v>0</v>
      </c>
      <c r="AH147" s="2">
        <f>((EW147*1.1))</f>
        <v>27.236000000000004</v>
      </c>
      <c r="AI147" s="2">
        <f>((EX147*1.1))</f>
        <v>0</v>
      </c>
      <c r="AJ147" s="2">
        <f t="shared" ref="AJ147:AJ180" si="167">(AS147)</f>
        <v>0</v>
      </c>
      <c r="AK147" s="2">
        <v>317.68</v>
      </c>
      <c r="AL147" s="2">
        <v>19.420000000000002</v>
      </c>
      <c r="AM147" s="2">
        <v>4.05</v>
      </c>
      <c r="AN147" s="2">
        <v>0</v>
      </c>
      <c r="AO147" s="2">
        <v>294.20999999999998</v>
      </c>
      <c r="AP147" s="2">
        <v>0</v>
      </c>
      <c r="AQ147" s="2">
        <v>24.76</v>
      </c>
      <c r="AR147" s="2">
        <v>0</v>
      </c>
      <c r="AS147" s="2">
        <v>0</v>
      </c>
      <c r="AT147" s="2">
        <v>90</v>
      </c>
      <c r="AU147" s="2">
        <v>46</v>
      </c>
      <c r="AV147" s="2">
        <v>1.0469999999999999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2</v>
      </c>
      <c r="BJ147" s="2" t="s">
        <v>253</v>
      </c>
      <c r="BK147" s="2"/>
      <c r="BL147" s="2"/>
      <c r="BM147" s="2">
        <v>68</v>
      </c>
      <c r="BN147" s="2">
        <v>0</v>
      </c>
      <c r="BO147" s="2" t="s">
        <v>250</v>
      </c>
      <c r="BP147" s="2">
        <v>1</v>
      </c>
      <c r="BQ147" s="2">
        <v>40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90</v>
      </c>
      <c r="CA147" s="2">
        <v>46</v>
      </c>
      <c r="CB147" s="2" t="s">
        <v>3</v>
      </c>
      <c r="CC147" s="2"/>
      <c r="CD147" s="2"/>
      <c r="CE147" s="2">
        <v>30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ref="CP147:CP180" si="168">(P147+Q147+S147)</f>
        <v>21717.489999999998</v>
      </c>
      <c r="CQ147" s="2">
        <f t="shared" ref="CQ147:CQ180" si="169">ROUND((ROUND((AC147*AW147*1),2)*BC147),2)</f>
        <v>19.420000000000002</v>
      </c>
      <c r="CR147" s="2">
        <f>(ROUND((ROUND((((ET147*1.1))*AV147*1),2)*BB147),2)+ROUND((ROUND(((AE147-((EU147*1.1)))*AV147*1),2)*BS147),2))</f>
        <v>4.66</v>
      </c>
      <c r="CS147" s="2">
        <f t="shared" ref="CS147:CS180" si="170">ROUND((ROUND((AE147*AV147*1),2)*BS147),2)</f>
        <v>0</v>
      </c>
      <c r="CT147" s="2">
        <f t="shared" ref="CT147:CT180" si="171">ROUND((ROUND((AF147*AV147*1),2)*BA147),2)</f>
        <v>338.84</v>
      </c>
      <c r="CU147" s="2">
        <f t="shared" ref="CU147:CU180" si="172">AG147</f>
        <v>0</v>
      </c>
      <c r="CV147" s="2">
        <f t="shared" ref="CV147:CV180" si="173">(AH147*AV147)</f>
        <v>28.516092000000004</v>
      </c>
      <c r="CW147" s="2">
        <f t="shared" ref="CW147:CW180" si="174">AI147</f>
        <v>0</v>
      </c>
      <c r="CX147" s="2">
        <f t="shared" ref="CX147:CX180" si="175">AJ147</f>
        <v>0</v>
      </c>
      <c r="CY147" s="2">
        <f t="shared" ref="CY147:CY180" si="176">(((S147+R147)*AT147)/100)</f>
        <v>18248.651999999998</v>
      </c>
      <c r="CZ147" s="2">
        <f t="shared" ref="CZ147:CZ180" si="177">(((S147+R147)*AU147)/100)</f>
        <v>9327.0887999999995</v>
      </c>
      <c r="DA147" s="2"/>
      <c r="DB147" s="2"/>
      <c r="DC147" s="2" t="s">
        <v>3</v>
      </c>
      <c r="DD147" s="2" t="s">
        <v>3</v>
      </c>
      <c r="DE147" s="2" t="s">
        <v>24</v>
      </c>
      <c r="DF147" s="2" t="s">
        <v>24</v>
      </c>
      <c r="DG147" s="2" t="s">
        <v>24</v>
      </c>
      <c r="DH147" s="2" t="s">
        <v>3</v>
      </c>
      <c r="DI147" s="2" t="s">
        <v>24</v>
      </c>
      <c r="DJ147" s="2" t="s">
        <v>24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1003</v>
      </c>
      <c r="DV147" s="2" t="s">
        <v>252</v>
      </c>
      <c r="DW147" s="2" t="s">
        <v>252</v>
      </c>
      <c r="DX147" s="2">
        <v>100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58162630</v>
      </c>
      <c r="EF147" s="2">
        <v>40</v>
      </c>
      <c r="EG147" s="2" t="s">
        <v>25</v>
      </c>
      <c r="EH147" s="2">
        <v>0</v>
      </c>
      <c r="EI147" s="2" t="s">
        <v>3</v>
      </c>
      <c r="EJ147" s="2">
        <v>2</v>
      </c>
      <c r="EK147" s="2">
        <v>68</v>
      </c>
      <c r="EL147" s="2" t="s">
        <v>26</v>
      </c>
      <c r="EM147" s="2" t="s">
        <v>27</v>
      </c>
      <c r="EN147" s="2"/>
      <c r="EO147" s="2" t="s">
        <v>28</v>
      </c>
      <c r="EP147" s="2"/>
      <c r="EQ147" s="2">
        <v>0</v>
      </c>
      <c r="ER147" s="2">
        <v>317.68</v>
      </c>
      <c r="ES147" s="2">
        <v>19.420000000000002</v>
      </c>
      <c r="ET147" s="2">
        <v>4.05</v>
      </c>
      <c r="EU147" s="2">
        <v>0</v>
      </c>
      <c r="EV147" s="2">
        <v>294.20999999999998</v>
      </c>
      <c r="EW147" s="2">
        <v>24.76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90</v>
      </c>
      <c r="FY147" s="2">
        <v>46</v>
      </c>
      <c r="FZ147" s="2"/>
      <c r="GA147" s="2" t="s">
        <v>3</v>
      </c>
      <c r="GB147" s="2"/>
      <c r="GC147" s="2"/>
      <c r="GD147" s="2">
        <v>1</v>
      </c>
      <c r="GE147" s="2"/>
      <c r="GF147" s="2">
        <v>-670664398</v>
      </c>
      <c r="GG147" s="2">
        <v>2</v>
      </c>
      <c r="GH147" s="2">
        <v>1</v>
      </c>
      <c r="GI147" s="2">
        <v>2</v>
      </c>
      <c r="GJ147" s="2">
        <v>0</v>
      </c>
      <c r="GK147" s="2">
        <v>0</v>
      </c>
      <c r="GL147" s="2">
        <f t="shared" ref="GL147:GL180" si="178">ROUND(IF(AND(BH147=3,BI147=3,FS147&lt;&gt;0),P147,0),2)</f>
        <v>0</v>
      </c>
      <c r="GM147" s="2">
        <f t="shared" ref="GM147:GM180" si="179">ROUND(O147+X147+Y147,2)+GX147</f>
        <v>49293.23</v>
      </c>
      <c r="GN147" s="2">
        <f t="shared" ref="GN147:GN180" si="180">IF(OR(BI147=0,BI147=1),GM147-GX147,0)</f>
        <v>0</v>
      </c>
      <c r="GO147" s="2">
        <f t="shared" ref="GO147:GO180" si="181">IF(BI147=2,GM147-GX147,0)</f>
        <v>49293.23</v>
      </c>
      <c r="GP147" s="2">
        <f t="shared" ref="GP147:GP180" si="182">IF(BI147=4,GM147-GX147,0)</f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ref="GV147:GV180" si="183">ROUND((GT147),6)</f>
        <v>0</v>
      </c>
      <c r="GW147" s="2">
        <v>1</v>
      </c>
      <c r="GX147" s="2">
        <f t="shared" ref="GX147:GX180" si="184">ROUND(HC147*I147,2)</f>
        <v>0</v>
      </c>
      <c r="GY147" s="2"/>
      <c r="GZ147" s="2"/>
      <c r="HA147" s="2">
        <v>0</v>
      </c>
      <c r="HB147" s="2">
        <v>0</v>
      </c>
      <c r="HC147" s="2">
        <f t="shared" ref="HC147:HC180" si="185">GV147*GW147</f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3">
      <c r="A148">
        <v>17</v>
      </c>
      <c r="B148">
        <v>1</v>
      </c>
      <c r="D148">
        <f>ROW(EtalonRes!A118)</f>
        <v>118</v>
      </c>
      <c r="E148" t="s">
        <v>249</v>
      </c>
      <c r="F148" t="s">
        <v>250</v>
      </c>
      <c r="G148" t="s">
        <v>251</v>
      </c>
      <c r="H148" t="s">
        <v>252</v>
      </c>
      <c r="I148">
        <f>ROUND((500+4+430+5050)/100,9)</f>
        <v>59.84</v>
      </c>
      <c r="J148">
        <v>0</v>
      </c>
      <c r="K148">
        <f>ROUND((500+4+430+5050)/100,9)</f>
        <v>59.84</v>
      </c>
      <c r="O148">
        <f t="shared" si="154"/>
        <v>1125166.0900000001</v>
      </c>
      <c r="P148">
        <f t="shared" si="155"/>
        <v>7739.52</v>
      </c>
      <c r="Q148">
        <f>(ROUND((ROUND((((ET148*1.1))*AV148*I148),2)*BB148),2)+ROUND((ROUND(((AE148-((EU148*1.1)))*AV148*I148),2)*BS148),2))</f>
        <v>2433.9299999999998</v>
      </c>
      <c r="R148">
        <f t="shared" si="156"/>
        <v>0</v>
      </c>
      <c r="S148">
        <f t="shared" si="157"/>
        <v>1114992.6399999999</v>
      </c>
      <c r="T148">
        <f t="shared" si="158"/>
        <v>0</v>
      </c>
      <c r="U148">
        <f t="shared" si="159"/>
        <v>1706.4029452800003</v>
      </c>
      <c r="V148">
        <f t="shared" si="160"/>
        <v>0</v>
      </c>
      <c r="W148">
        <f t="shared" si="161"/>
        <v>0</v>
      </c>
      <c r="X148">
        <f t="shared" si="162"/>
        <v>1003493.38</v>
      </c>
      <c r="Y148">
        <f t="shared" si="163"/>
        <v>512896.61</v>
      </c>
      <c r="AA148">
        <v>56498968</v>
      </c>
      <c r="AB148">
        <f t="shared" si="164"/>
        <v>347.50599999999997</v>
      </c>
      <c r="AC148">
        <f t="shared" si="165"/>
        <v>19.420000000000002</v>
      </c>
      <c r="AD148">
        <f>ROUND(((((ET148*1.1))-((EU148*1.1)))+AE148),6)</f>
        <v>4.4550000000000001</v>
      </c>
      <c r="AE148">
        <f>ROUND(((EU148*1.1)),6)</f>
        <v>0</v>
      </c>
      <c r="AF148">
        <f>ROUND(((EV148*1.1)),6)</f>
        <v>323.63099999999997</v>
      </c>
      <c r="AG148">
        <f t="shared" si="166"/>
        <v>0</v>
      </c>
      <c r="AH148">
        <f>((EW148*1.1))</f>
        <v>27.236000000000004</v>
      </c>
      <c r="AI148">
        <f>((EX148*1.1))</f>
        <v>0</v>
      </c>
      <c r="AJ148">
        <f t="shared" si="167"/>
        <v>0</v>
      </c>
      <c r="AK148">
        <v>317.68</v>
      </c>
      <c r="AL148">
        <v>19.420000000000002</v>
      </c>
      <c r="AM148">
        <v>4.05</v>
      </c>
      <c r="AN148">
        <v>0</v>
      </c>
      <c r="AO148">
        <v>294.20999999999998</v>
      </c>
      <c r="AP148">
        <v>0</v>
      </c>
      <c r="AQ148">
        <v>24.76</v>
      </c>
      <c r="AR148">
        <v>0</v>
      </c>
      <c r="AS148">
        <v>0</v>
      </c>
      <c r="AT148">
        <v>90</v>
      </c>
      <c r="AU148">
        <v>46</v>
      </c>
      <c r="AV148">
        <v>1.0469999999999999</v>
      </c>
      <c r="AW148">
        <v>1</v>
      </c>
      <c r="AZ148">
        <v>1</v>
      </c>
      <c r="BA148">
        <v>54.99</v>
      </c>
      <c r="BB148">
        <v>8.7200000000000006</v>
      </c>
      <c r="BC148">
        <v>6.66</v>
      </c>
      <c r="BD148" t="s">
        <v>3</v>
      </c>
      <c r="BE148" t="s">
        <v>3</v>
      </c>
      <c r="BF148" t="s">
        <v>3</v>
      </c>
      <c r="BG148" t="s">
        <v>3</v>
      </c>
      <c r="BH148">
        <v>0</v>
      </c>
      <c r="BI148">
        <v>2</v>
      </c>
      <c r="BJ148" t="s">
        <v>253</v>
      </c>
      <c r="BM148">
        <v>68</v>
      </c>
      <c r="BN148">
        <v>0</v>
      </c>
      <c r="BO148" t="s">
        <v>250</v>
      </c>
      <c r="BP148">
        <v>1</v>
      </c>
      <c r="BQ148">
        <v>40</v>
      </c>
      <c r="BR148">
        <v>0</v>
      </c>
      <c r="BS148">
        <v>54.99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90</v>
      </c>
      <c r="CA148">
        <v>46</v>
      </c>
      <c r="CB148" t="s">
        <v>3</v>
      </c>
      <c r="CE148">
        <v>30</v>
      </c>
      <c r="CF148">
        <v>0</v>
      </c>
      <c r="CG148">
        <v>0</v>
      </c>
      <c r="CM148">
        <v>0</v>
      </c>
      <c r="CN148" t="s">
        <v>3</v>
      </c>
      <c r="CO148">
        <v>0</v>
      </c>
      <c r="CP148">
        <f t="shared" si="168"/>
        <v>1125166.0899999999</v>
      </c>
      <c r="CQ148">
        <f t="shared" si="169"/>
        <v>129.34</v>
      </c>
      <c r="CR148">
        <f>(ROUND((ROUND((((ET148*1.1))*AV148*1),2)*BB148),2)+ROUND((ROUND(((AE148-((EU148*1.1)))*AV148*1),2)*BS148),2))</f>
        <v>40.64</v>
      </c>
      <c r="CS148">
        <f t="shared" si="170"/>
        <v>0</v>
      </c>
      <c r="CT148">
        <f t="shared" si="171"/>
        <v>18632.810000000001</v>
      </c>
      <c r="CU148">
        <f t="shared" si="172"/>
        <v>0</v>
      </c>
      <c r="CV148">
        <f t="shared" si="173"/>
        <v>28.516092000000004</v>
      </c>
      <c r="CW148">
        <f t="shared" si="174"/>
        <v>0</v>
      </c>
      <c r="CX148">
        <f t="shared" si="175"/>
        <v>0</v>
      </c>
      <c r="CY148">
        <f t="shared" si="176"/>
        <v>1003493.3759999999</v>
      </c>
      <c r="CZ148">
        <f t="shared" si="177"/>
        <v>512896.61439999996</v>
      </c>
      <c r="DC148" t="s">
        <v>3</v>
      </c>
      <c r="DD148" t="s">
        <v>3</v>
      </c>
      <c r="DE148" t="s">
        <v>24</v>
      </c>
      <c r="DF148" t="s">
        <v>24</v>
      </c>
      <c r="DG148" t="s">
        <v>24</v>
      </c>
      <c r="DH148" t="s">
        <v>3</v>
      </c>
      <c r="DI148" t="s">
        <v>24</v>
      </c>
      <c r="DJ148" t="s">
        <v>24</v>
      </c>
      <c r="DK148" t="s">
        <v>3</v>
      </c>
      <c r="DL148" t="s">
        <v>3</v>
      </c>
      <c r="DM148" t="s">
        <v>3</v>
      </c>
      <c r="DN148">
        <v>0</v>
      </c>
      <c r="DO148">
        <v>0</v>
      </c>
      <c r="DP148">
        <v>1</v>
      </c>
      <c r="DQ148">
        <v>1</v>
      </c>
      <c r="DU148">
        <v>1003</v>
      </c>
      <c r="DV148" t="s">
        <v>252</v>
      </c>
      <c r="DW148" t="s">
        <v>252</v>
      </c>
      <c r="DX148">
        <v>100</v>
      </c>
      <c r="DZ148" t="s">
        <v>3</v>
      </c>
      <c r="EA148" t="s">
        <v>3</v>
      </c>
      <c r="EB148" t="s">
        <v>3</v>
      </c>
      <c r="EC148" t="s">
        <v>3</v>
      </c>
      <c r="EE148">
        <v>58162630</v>
      </c>
      <c r="EF148">
        <v>40</v>
      </c>
      <c r="EG148" t="s">
        <v>25</v>
      </c>
      <c r="EH148">
        <v>0</v>
      </c>
      <c r="EI148" t="s">
        <v>3</v>
      </c>
      <c r="EJ148">
        <v>2</v>
      </c>
      <c r="EK148">
        <v>68</v>
      </c>
      <c r="EL148" t="s">
        <v>26</v>
      </c>
      <c r="EM148" t="s">
        <v>27</v>
      </c>
      <c r="EO148" t="s">
        <v>28</v>
      </c>
      <c r="EQ148">
        <v>0</v>
      </c>
      <c r="ER148">
        <v>317.68</v>
      </c>
      <c r="ES148">
        <v>19.420000000000002</v>
      </c>
      <c r="ET148">
        <v>4.05</v>
      </c>
      <c r="EU148">
        <v>0</v>
      </c>
      <c r="EV148">
        <v>294.20999999999998</v>
      </c>
      <c r="EW148">
        <v>24.76</v>
      </c>
      <c r="EX148">
        <v>0</v>
      </c>
      <c r="EY148">
        <v>0</v>
      </c>
      <c r="FQ148">
        <v>0</v>
      </c>
      <c r="FR148">
        <v>0</v>
      </c>
      <c r="FS148">
        <v>0</v>
      </c>
      <c r="FX148">
        <v>90</v>
      </c>
      <c r="FY148">
        <v>46</v>
      </c>
      <c r="GA148" t="s">
        <v>3</v>
      </c>
      <c r="GD148">
        <v>1</v>
      </c>
      <c r="GF148">
        <v>-670664398</v>
      </c>
      <c r="GG148">
        <v>2</v>
      </c>
      <c r="GH148">
        <v>1</v>
      </c>
      <c r="GI148">
        <v>2</v>
      </c>
      <c r="GJ148">
        <v>0</v>
      </c>
      <c r="GK148">
        <v>0</v>
      </c>
      <c r="GL148">
        <f t="shared" si="178"/>
        <v>0</v>
      </c>
      <c r="GM148">
        <f t="shared" si="179"/>
        <v>2641556.08</v>
      </c>
      <c r="GN148">
        <f t="shared" si="180"/>
        <v>0</v>
      </c>
      <c r="GO148">
        <f t="shared" si="181"/>
        <v>2641556.08</v>
      </c>
      <c r="GP148">
        <f t="shared" si="182"/>
        <v>0</v>
      </c>
      <c r="GR148">
        <v>0</v>
      </c>
      <c r="GS148">
        <v>3</v>
      </c>
      <c r="GT148">
        <v>0</v>
      </c>
      <c r="GU148" t="s">
        <v>3</v>
      </c>
      <c r="GV148">
        <f t="shared" si="183"/>
        <v>0</v>
      </c>
      <c r="GW148">
        <v>1</v>
      </c>
      <c r="GX148">
        <f t="shared" si="184"/>
        <v>0</v>
      </c>
      <c r="HA148">
        <v>0</v>
      </c>
      <c r="HB148">
        <v>0</v>
      </c>
      <c r="HC148">
        <f t="shared" si="185"/>
        <v>0</v>
      </c>
      <c r="HE148" t="s">
        <v>3</v>
      </c>
      <c r="HF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3">
      <c r="A149" s="2">
        <v>18</v>
      </c>
      <c r="B149" s="2">
        <v>1</v>
      </c>
      <c r="C149" s="2"/>
      <c r="D149" s="2"/>
      <c r="E149" s="2" t="s">
        <v>254</v>
      </c>
      <c r="F149" s="2" t="s">
        <v>255</v>
      </c>
      <c r="G149" s="2" t="s">
        <v>256</v>
      </c>
      <c r="H149" s="2" t="s">
        <v>257</v>
      </c>
      <c r="I149" s="2">
        <f>I147*J149</f>
        <v>610.36800000000005</v>
      </c>
      <c r="J149" s="2">
        <v>10.200000000000001</v>
      </c>
      <c r="K149" s="2">
        <v>10.199999999999999</v>
      </c>
      <c r="L149" s="2"/>
      <c r="M149" s="2"/>
      <c r="N149" s="2"/>
      <c r="O149" s="2">
        <f t="shared" si="154"/>
        <v>7373.25</v>
      </c>
      <c r="P149" s="2">
        <f t="shared" si="155"/>
        <v>7373.25</v>
      </c>
      <c r="Q149" s="2">
        <f t="shared" ref="Q149:Q164" si="186">(ROUND((ROUND(((ET149)*AV149*I149),2)*BB149),2)+ROUND((ROUND(((AE149-(EU149))*AV149*I149),2)*BS149),2))</f>
        <v>0</v>
      </c>
      <c r="R149" s="2">
        <f t="shared" si="156"/>
        <v>0</v>
      </c>
      <c r="S149" s="2">
        <f t="shared" si="157"/>
        <v>0</v>
      </c>
      <c r="T149" s="2">
        <f t="shared" si="158"/>
        <v>0</v>
      </c>
      <c r="U149" s="2">
        <f t="shared" si="159"/>
        <v>0</v>
      </c>
      <c r="V149" s="2">
        <f t="shared" si="160"/>
        <v>0</v>
      </c>
      <c r="W149" s="2">
        <f t="shared" si="161"/>
        <v>0</v>
      </c>
      <c r="X149" s="2">
        <f t="shared" si="162"/>
        <v>0</v>
      </c>
      <c r="Y149" s="2">
        <f t="shared" si="163"/>
        <v>0</v>
      </c>
      <c r="Z149" s="2"/>
      <c r="AA149" s="2">
        <v>56498966</v>
      </c>
      <c r="AB149" s="2">
        <f t="shared" si="164"/>
        <v>12.08</v>
      </c>
      <c r="AC149" s="2">
        <f t="shared" si="165"/>
        <v>12.08</v>
      </c>
      <c r="AD149" s="2">
        <f t="shared" ref="AD149:AD164" si="187">ROUND((((ET149)-(EU149))+AE149),6)</f>
        <v>0</v>
      </c>
      <c r="AE149" s="2">
        <f t="shared" ref="AE149:AE164" si="188">ROUND((EU149),6)</f>
        <v>0</v>
      </c>
      <c r="AF149" s="2">
        <f t="shared" ref="AF149:AF164" si="189">ROUND((EV149),6)</f>
        <v>0</v>
      </c>
      <c r="AG149" s="2">
        <f t="shared" si="166"/>
        <v>0</v>
      </c>
      <c r="AH149" s="2">
        <f t="shared" ref="AH149:AH164" si="190">(EW149)</f>
        <v>0</v>
      </c>
      <c r="AI149" s="2">
        <f t="shared" ref="AI149:AI164" si="191">(EX149)</f>
        <v>0</v>
      </c>
      <c r="AJ149" s="2">
        <f t="shared" si="167"/>
        <v>0</v>
      </c>
      <c r="AK149" s="2">
        <v>12.08</v>
      </c>
      <c r="AL149" s="2">
        <v>12.08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90</v>
      </c>
      <c r="AU149" s="2">
        <v>46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2</v>
      </c>
      <c r="BJ149" s="2" t="s">
        <v>258</v>
      </c>
      <c r="BK149" s="2"/>
      <c r="BL149" s="2"/>
      <c r="BM149" s="2">
        <v>68</v>
      </c>
      <c r="BN149" s="2">
        <v>0</v>
      </c>
      <c r="BO149" s="2" t="s">
        <v>3</v>
      </c>
      <c r="BP149" s="2">
        <v>0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90</v>
      </c>
      <c r="CA149" s="2">
        <v>46</v>
      </c>
      <c r="CB149" s="2" t="s">
        <v>3</v>
      </c>
      <c r="CC149" s="2"/>
      <c r="CD149" s="2"/>
      <c r="CE149" s="2">
        <v>30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68"/>
        <v>7373.25</v>
      </c>
      <c r="CQ149" s="2">
        <f t="shared" si="169"/>
        <v>12.08</v>
      </c>
      <c r="CR149" s="2">
        <f t="shared" ref="CR149:CR164" si="192">(ROUND((ROUND(((ET149)*AV149*1),2)*BB149),2)+ROUND((ROUND(((AE149-(EU149))*AV149*1),2)*BS149),2))</f>
        <v>0</v>
      </c>
      <c r="CS149" s="2">
        <f t="shared" si="170"/>
        <v>0</v>
      </c>
      <c r="CT149" s="2">
        <f t="shared" si="171"/>
        <v>0</v>
      </c>
      <c r="CU149" s="2">
        <f t="shared" si="172"/>
        <v>0</v>
      </c>
      <c r="CV149" s="2">
        <f t="shared" si="173"/>
        <v>0</v>
      </c>
      <c r="CW149" s="2">
        <f t="shared" si="174"/>
        <v>0</v>
      </c>
      <c r="CX149" s="2">
        <f t="shared" si="175"/>
        <v>0</v>
      </c>
      <c r="CY149" s="2">
        <f t="shared" si="176"/>
        <v>0</v>
      </c>
      <c r="CZ149" s="2">
        <f t="shared" si="177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1003</v>
      </c>
      <c r="DV149" s="2" t="s">
        <v>257</v>
      </c>
      <c r="DW149" s="2" t="s">
        <v>257</v>
      </c>
      <c r="DX149" s="2">
        <v>10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58162630</v>
      </c>
      <c r="EF149" s="2">
        <v>40</v>
      </c>
      <c r="EG149" s="2" t="s">
        <v>25</v>
      </c>
      <c r="EH149" s="2">
        <v>0</v>
      </c>
      <c r="EI149" s="2" t="s">
        <v>3</v>
      </c>
      <c r="EJ149" s="2">
        <v>2</v>
      </c>
      <c r="EK149" s="2">
        <v>68</v>
      </c>
      <c r="EL149" s="2" t="s">
        <v>26</v>
      </c>
      <c r="EM149" s="2" t="s">
        <v>27</v>
      </c>
      <c r="EN149" s="2"/>
      <c r="EO149" s="2" t="s">
        <v>3</v>
      </c>
      <c r="EP149" s="2"/>
      <c r="EQ149" s="2">
        <v>0</v>
      </c>
      <c r="ER149" s="2">
        <v>12.08</v>
      </c>
      <c r="ES149" s="2">
        <v>12.08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90</v>
      </c>
      <c r="FY149" s="2">
        <v>46</v>
      </c>
      <c r="FZ149" s="2"/>
      <c r="GA149" s="2" t="s">
        <v>3</v>
      </c>
      <c r="GB149" s="2"/>
      <c r="GC149" s="2"/>
      <c r="GD149" s="2">
        <v>1</v>
      </c>
      <c r="GE149" s="2"/>
      <c r="GF149" s="2">
        <v>1239044100</v>
      </c>
      <c r="GG149" s="2">
        <v>2</v>
      </c>
      <c r="GH149" s="2">
        <v>1</v>
      </c>
      <c r="GI149" s="2">
        <v>-2</v>
      </c>
      <c r="GJ149" s="2">
        <v>0</v>
      </c>
      <c r="GK149" s="2">
        <v>0</v>
      </c>
      <c r="GL149" s="2">
        <f t="shared" si="178"/>
        <v>0</v>
      </c>
      <c r="GM149" s="2">
        <f t="shared" si="179"/>
        <v>7373.25</v>
      </c>
      <c r="GN149" s="2">
        <f t="shared" si="180"/>
        <v>0</v>
      </c>
      <c r="GO149" s="2">
        <f t="shared" si="181"/>
        <v>7373.25</v>
      </c>
      <c r="GP149" s="2">
        <f t="shared" si="182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183"/>
        <v>0</v>
      </c>
      <c r="GW149" s="2">
        <v>1</v>
      </c>
      <c r="GX149" s="2">
        <f t="shared" si="184"/>
        <v>0</v>
      </c>
      <c r="GY149" s="2"/>
      <c r="GZ149" s="2"/>
      <c r="HA149" s="2">
        <v>0</v>
      </c>
      <c r="HB149" s="2">
        <v>0</v>
      </c>
      <c r="HC149" s="2">
        <f t="shared" si="185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3">
      <c r="A150">
        <v>18</v>
      </c>
      <c r="B150">
        <v>1</v>
      </c>
      <c r="E150" t="s">
        <v>254</v>
      </c>
      <c r="F150" t="s">
        <v>255</v>
      </c>
      <c r="G150" t="s">
        <v>256</v>
      </c>
      <c r="H150" t="s">
        <v>257</v>
      </c>
      <c r="I150">
        <f>I148*J150</f>
        <v>610.36800000000005</v>
      </c>
      <c r="J150">
        <v>10.200000000000001</v>
      </c>
      <c r="K150">
        <v>10.199999999999999</v>
      </c>
      <c r="O150">
        <f t="shared" si="154"/>
        <v>95483.59</v>
      </c>
      <c r="P150">
        <f t="shared" si="155"/>
        <v>95483.59</v>
      </c>
      <c r="Q150">
        <f t="shared" si="186"/>
        <v>0</v>
      </c>
      <c r="R150">
        <f t="shared" si="156"/>
        <v>0</v>
      </c>
      <c r="S150">
        <f t="shared" si="157"/>
        <v>0</v>
      </c>
      <c r="T150">
        <f t="shared" si="158"/>
        <v>0</v>
      </c>
      <c r="U150">
        <f t="shared" si="159"/>
        <v>0</v>
      </c>
      <c r="V150">
        <f t="shared" si="160"/>
        <v>0</v>
      </c>
      <c r="W150">
        <f t="shared" si="161"/>
        <v>0</v>
      </c>
      <c r="X150">
        <f t="shared" si="162"/>
        <v>0</v>
      </c>
      <c r="Y150">
        <f t="shared" si="163"/>
        <v>0</v>
      </c>
      <c r="AA150">
        <v>56498968</v>
      </c>
      <c r="AB150">
        <f t="shared" si="164"/>
        <v>12.08</v>
      </c>
      <c r="AC150">
        <f t="shared" si="165"/>
        <v>12.08</v>
      </c>
      <c r="AD150">
        <f t="shared" si="187"/>
        <v>0</v>
      </c>
      <c r="AE150">
        <f t="shared" si="188"/>
        <v>0</v>
      </c>
      <c r="AF150">
        <f t="shared" si="189"/>
        <v>0</v>
      </c>
      <c r="AG150">
        <f t="shared" si="166"/>
        <v>0</v>
      </c>
      <c r="AH150">
        <f t="shared" si="190"/>
        <v>0</v>
      </c>
      <c r="AI150">
        <f t="shared" si="191"/>
        <v>0</v>
      </c>
      <c r="AJ150">
        <f t="shared" si="167"/>
        <v>0</v>
      </c>
      <c r="AK150">
        <v>12.08</v>
      </c>
      <c r="AL150">
        <v>12.08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90</v>
      </c>
      <c r="AU150">
        <v>46</v>
      </c>
      <c r="AV150">
        <v>1</v>
      </c>
      <c r="AW150">
        <v>1</v>
      </c>
      <c r="AZ150">
        <v>1</v>
      </c>
      <c r="BA150">
        <v>1</v>
      </c>
      <c r="BB150">
        <v>1</v>
      </c>
      <c r="BC150">
        <v>12.95</v>
      </c>
      <c r="BD150" t="s">
        <v>3</v>
      </c>
      <c r="BE150" t="s">
        <v>3</v>
      </c>
      <c r="BF150" t="s">
        <v>3</v>
      </c>
      <c r="BG150" t="s">
        <v>3</v>
      </c>
      <c r="BH150">
        <v>3</v>
      </c>
      <c r="BI150">
        <v>2</v>
      </c>
      <c r="BJ150" t="s">
        <v>258</v>
      </c>
      <c r="BM150">
        <v>68</v>
      </c>
      <c r="BN150">
        <v>0</v>
      </c>
      <c r="BO150" t="s">
        <v>255</v>
      </c>
      <c r="BP150">
        <v>1</v>
      </c>
      <c r="BQ150">
        <v>40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90</v>
      </c>
      <c r="CA150">
        <v>46</v>
      </c>
      <c r="CB150" t="s">
        <v>3</v>
      </c>
      <c r="CE150">
        <v>30</v>
      </c>
      <c r="CF150">
        <v>0</v>
      </c>
      <c r="CG150">
        <v>0</v>
      </c>
      <c r="CM150">
        <v>0</v>
      </c>
      <c r="CN150" t="s">
        <v>3</v>
      </c>
      <c r="CO150">
        <v>0</v>
      </c>
      <c r="CP150">
        <f t="shared" si="168"/>
        <v>95483.59</v>
      </c>
      <c r="CQ150">
        <f t="shared" si="169"/>
        <v>156.44</v>
      </c>
      <c r="CR150">
        <f t="shared" si="192"/>
        <v>0</v>
      </c>
      <c r="CS150">
        <f t="shared" si="170"/>
        <v>0</v>
      </c>
      <c r="CT150">
        <f t="shared" si="171"/>
        <v>0</v>
      </c>
      <c r="CU150">
        <f t="shared" si="172"/>
        <v>0</v>
      </c>
      <c r="CV150">
        <f t="shared" si="173"/>
        <v>0</v>
      </c>
      <c r="CW150">
        <f t="shared" si="174"/>
        <v>0</v>
      </c>
      <c r="CX150">
        <f t="shared" si="175"/>
        <v>0</v>
      </c>
      <c r="CY150">
        <f t="shared" si="176"/>
        <v>0</v>
      </c>
      <c r="CZ150">
        <f t="shared" si="177"/>
        <v>0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>
        <v>0</v>
      </c>
      <c r="DO150">
        <v>0</v>
      </c>
      <c r="DP150">
        <v>1</v>
      </c>
      <c r="DQ150">
        <v>1</v>
      </c>
      <c r="DU150">
        <v>1003</v>
      </c>
      <c r="DV150" t="s">
        <v>257</v>
      </c>
      <c r="DW150" t="s">
        <v>257</v>
      </c>
      <c r="DX150">
        <v>10</v>
      </c>
      <c r="DZ150" t="s">
        <v>3</v>
      </c>
      <c r="EA150" t="s">
        <v>3</v>
      </c>
      <c r="EB150" t="s">
        <v>3</v>
      </c>
      <c r="EC150" t="s">
        <v>3</v>
      </c>
      <c r="EE150">
        <v>58162630</v>
      </c>
      <c r="EF150">
        <v>40</v>
      </c>
      <c r="EG150" t="s">
        <v>25</v>
      </c>
      <c r="EH150">
        <v>0</v>
      </c>
      <c r="EI150" t="s">
        <v>3</v>
      </c>
      <c r="EJ150">
        <v>2</v>
      </c>
      <c r="EK150">
        <v>68</v>
      </c>
      <c r="EL150" t="s">
        <v>26</v>
      </c>
      <c r="EM150" t="s">
        <v>27</v>
      </c>
      <c r="EO150" t="s">
        <v>3</v>
      </c>
      <c r="EQ150">
        <v>0</v>
      </c>
      <c r="ER150">
        <v>12.08</v>
      </c>
      <c r="ES150">
        <v>12.08</v>
      </c>
      <c r="ET150">
        <v>0</v>
      </c>
      <c r="EU150">
        <v>0</v>
      </c>
      <c r="EV150">
        <v>0</v>
      </c>
      <c r="EW150">
        <v>0</v>
      </c>
      <c r="EX150">
        <v>0</v>
      </c>
      <c r="FQ150">
        <v>0</v>
      </c>
      <c r="FR150">
        <v>0</v>
      </c>
      <c r="FS150">
        <v>0</v>
      </c>
      <c r="FX150">
        <v>90</v>
      </c>
      <c r="FY150">
        <v>46</v>
      </c>
      <c r="GA150" t="s">
        <v>3</v>
      </c>
      <c r="GD150">
        <v>1</v>
      </c>
      <c r="GF150">
        <v>1239044100</v>
      </c>
      <c r="GG150">
        <v>2</v>
      </c>
      <c r="GH150">
        <v>1</v>
      </c>
      <c r="GI150">
        <v>2</v>
      </c>
      <c r="GJ150">
        <v>0</v>
      </c>
      <c r="GK150">
        <v>0</v>
      </c>
      <c r="GL150">
        <f t="shared" si="178"/>
        <v>0</v>
      </c>
      <c r="GM150">
        <f t="shared" si="179"/>
        <v>95483.59</v>
      </c>
      <c r="GN150">
        <f t="shared" si="180"/>
        <v>0</v>
      </c>
      <c r="GO150">
        <f t="shared" si="181"/>
        <v>95483.59</v>
      </c>
      <c r="GP150">
        <f t="shared" si="182"/>
        <v>0</v>
      </c>
      <c r="GR150">
        <v>0</v>
      </c>
      <c r="GS150">
        <v>3</v>
      </c>
      <c r="GT150">
        <v>0</v>
      </c>
      <c r="GU150" t="s">
        <v>3</v>
      </c>
      <c r="GV150">
        <f t="shared" si="183"/>
        <v>0</v>
      </c>
      <c r="GW150">
        <v>1</v>
      </c>
      <c r="GX150">
        <f t="shared" si="184"/>
        <v>0</v>
      </c>
      <c r="HA150">
        <v>0</v>
      </c>
      <c r="HB150">
        <v>0</v>
      </c>
      <c r="HC150">
        <f t="shared" si="185"/>
        <v>0</v>
      </c>
      <c r="HE150" t="s">
        <v>3</v>
      </c>
      <c r="HF150" t="s">
        <v>3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1" spans="1:255" x14ac:dyDescent="0.3">
      <c r="A151" s="2">
        <v>18</v>
      </c>
      <c r="B151" s="2">
        <v>1</v>
      </c>
      <c r="C151" s="2"/>
      <c r="D151" s="2"/>
      <c r="E151" s="2" t="s">
        <v>259</v>
      </c>
      <c r="F151" s="2" t="s">
        <v>260</v>
      </c>
      <c r="G151" s="2" t="s">
        <v>261</v>
      </c>
      <c r="H151" s="2" t="s">
        <v>32</v>
      </c>
      <c r="I151" s="2">
        <f>I147*J151</f>
        <v>200</v>
      </c>
      <c r="J151" s="2">
        <v>3.3422459893048124</v>
      </c>
      <c r="K151" s="2">
        <v>3.3422459899999999</v>
      </c>
      <c r="L151" s="2"/>
      <c r="M151" s="2"/>
      <c r="N151" s="2"/>
      <c r="O151" s="2">
        <f t="shared" si="154"/>
        <v>190</v>
      </c>
      <c r="P151" s="2">
        <f t="shared" si="155"/>
        <v>190</v>
      </c>
      <c r="Q151" s="2">
        <f t="shared" si="186"/>
        <v>0</v>
      </c>
      <c r="R151" s="2">
        <f t="shared" si="156"/>
        <v>0</v>
      </c>
      <c r="S151" s="2">
        <f t="shared" si="157"/>
        <v>0</v>
      </c>
      <c r="T151" s="2">
        <f t="shared" si="158"/>
        <v>0</v>
      </c>
      <c r="U151" s="2">
        <f t="shared" si="159"/>
        <v>0</v>
      </c>
      <c r="V151" s="2">
        <f t="shared" si="160"/>
        <v>0</v>
      </c>
      <c r="W151" s="2">
        <f t="shared" si="161"/>
        <v>0</v>
      </c>
      <c r="X151" s="2">
        <f t="shared" si="162"/>
        <v>0</v>
      </c>
      <c r="Y151" s="2">
        <f t="shared" si="163"/>
        <v>0</v>
      </c>
      <c r="Z151" s="2"/>
      <c r="AA151" s="2">
        <v>56498966</v>
      </c>
      <c r="AB151" s="2">
        <f t="shared" si="164"/>
        <v>0.95</v>
      </c>
      <c r="AC151" s="2">
        <f t="shared" si="165"/>
        <v>0.95</v>
      </c>
      <c r="AD151" s="2">
        <f t="shared" si="187"/>
        <v>0</v>
      </c>
      <c r="AE151" s="2">
        <f t="shared" si="188"/>
        <v>0</v>
      </c>
      <c r="AF151" s="2">
        <f t="shared" si="189"/>
        <v>0</v>
      </c>
      <c r="AG151" s="2">
        <f t="shared" si="166"/>
        <v>0</v>
      </c>
      <c r="AH151" s="2">
        <f t="shared" si="190"/>
        <v>0</v>
      </c>
      <c r="AI151" s="2">
        <f t="shared" si="191"/>
        <v>0</v>
      </c>
      <c r="AJ151" s="2">
        <f t="shared" si="167"/>
        <v>0</v>
      </c>
      <c r="AK151" s="2">
        <v>0.95</v>
      </c>
      <c r="AL151" s="2">
        <v>0.95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90</v>
      </c>
      <c r="AU151" s="2">
        <v>46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2</v>
      </c>
      <c r="BJ151" s="2" t="s">
        <v>262</v>
      </c>
      <c r="BK151" s="2"/>
      <c r="BL151" s="2"/>
      <c r="BM151" s="2">
        <v>68</v>
      </c>
      <c r="BN151" s="2">
        <v>0</v>
      </c>
      <c r="BO151" s="2" t="s">
        <v>3</v>
      </c>
      <c r="BP151" s="2">
        <v>0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90</v>
      </c>
      <c r="CA151" s="2">
        <v>46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3</v>
      </c>
      <c r="CO151" s="2">
        <v>0</v>
      </c>
      <c r="CP151" s="2">
        <f t="shared" si="168"/>
        <v>190</v>
      </c>
      <c r="CQ151" s="2">
        <f t="shared" si="169"/>
        <v>0.95</v>
      </c>
      <c r="CR151" s="2">
        <f t="shared" si="192"/>
        <v>0</v>
      </c>
      <c r="CS151" s="2">
        <f t="shared" si="170"/>
        <v>0</v>
      </c>
      <c r="CT151" s="2">
        <f t="shared" si="171"/>
        <v>0</v>
      </c>
      <c r="CU151" s="2">
        <f t="shared" si="172"/>
        <v>0</v>
      </c>
      <c r="CV151" s="2">
        <f t="shared" si="173"/>
        <v>0</v>
      </c>
      <c r="CW151" s="2">
        <f t="shared" si="174"/>
        <v>0</v>
      </c>
      <c r="CX151" s="2">
        <f t="shared" si="175"/>
        <v>0</v>
      </c>
      <c r="CY151" s="2">
        <f t="shared" si="176"/>
        <v>0</v>
      </c>
      <c r="CZ151" s="2">
        <f t="shared" si="177"/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32</v>
      </c>
      <c r="DW151" s="2" t="s">
        <v>32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58162630</v>
      </c>
      <c r="EF151" s="2">
        <v>40</v>
      </c>
      <c r="EG151" s="2" t="s">
        <v>25</v>
      </c>
      <c r="EH151" s="2">
        <v>0</v>
      </c>
      <c r="EI151" s="2" t="s">
        <v>3</v>
      </c>
      <c r="EJ151" s="2">
        <v>2</v>
      </c>
      <c r="EK151" s="2">
        <v>68</v>
      </c>
      <c r="EL151" s="2" t="s">
        <v>26</v>
      </c>
      <c r="EM151" s="2" t="s">
        <v>27</v>
      </c>
      <c r="EN151" s="2"/>
      <c r="EO151" s="2" t="s">
        <v>3</v>
      </c>
      <c r="EP151" s="2"/>
      <c r="EQ151" s="2">
        <v>0</v>
      </c>
      <c r="ER151" s="2">
        <v>0.95</v>
      </c>
      <c r="ES151" s="2">
        <v>0.95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90</v>
      </c>
      <c r="FY151" s="2">
        <v>46</v>
      </c>
      <c r="FZ151" s="2"/>
      <c r="GA151" s="2" t="s">
        <v>3</v>
      </c>
      <c r="GB151" s="2"/>
      <c r="GC151" s="2"/>
      <c r="GD151" s="2">
        <v>1</v>
      </c>
      <c r="GE151" s="2"/>
      <c r="GF151" s="2">
        <v>729083060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78"/>
        <v>0</v>
      </c>
      <c r="GM151" s="2">
        <f t="shared" si="179"/>
        <v>190</v>
      </c>
      <c r="GN151" s="2">
        <f t="shared" si="180"/>
        <v>0</v>
      </c>
      <c r="GO151" s="2">
        <f t="shared" si="181"/>
        <v>190</v>
      </c>
      <c r="GP151" s="2">
        <f t="shared" si="182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83"/>
        <v>0</v>
      </c>
      <c r="GW151" s="2">
        <v>1</v>
      </c>
      <c r="GX151" s="2">
        <f t="shared" si="184"/>
        <v>0</v>
      </c>
      <c r="GY151" s="2"/>
      <c r="GZ151" s="2"/>
      <c r="HA151" s="2">
        <v>0</v>
      </c>
      <c r="HB151" s="2">
        <v>0</v>
      </c>
      <c r="HC151" s="2">
        <f t="shared" si="185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3">
      <c r="A152">
        <v>18</v>
      </c>
      <c r="B152">
        <v>1</v>
      </c>
      <c r="E152" t="s">
        <v>259</v>
      </c>
      <c r="F152" t="s">
        <v>260</v>
      </c>
      <c r="G152" t="s">
        <v>261</v>
      </c>
      <c r="H152" t="s">
        <v>32</v>
      </c>
      <c r="I152">
        <f>I148*J152</f>
        <v>200</v>
      </c>
      <c r="J152">
        <v>3.3422459893048124</v>
      </c>
      <c r="K152">
        <v>3.3422459899999999</v>
      </c>
      <c r="O152">
        <f t="shared" si="154"/>
        <v>1113.4000000000001</v>
      </c>
      <c r="P152">
        <f t="shared" si="155"/>
        <v>1113.4000000000001</v>
      </c>
      <c r="Q152">
        <f t="shared" si="186"/>
        <v>0</v>
      </c>
      <c r="R152">
        <f t="shared" si="156"/>
        <v>0</v>
      </c>
      <c r="S152">
        <f t="shared" si="157"/>
        <v>0</v>
      </c>
      <c r="T152">
        <f t="shared" si="158"/>
        <v>0</v>
      </c>
      <c r="U152">
        <f t="shared" si="159"/>
        <v>0</v>
      </c>
      <c r="V152">
        <f t="shared" si="160"/>
        <v>0</v>
      </c>
      <c r="W152">
        <f t="shared" si="161"/>
        <v>0</v>
      </c>
      <c r="X152">
        <f t="shared" si="162"/>
        <v>0</v>
      </c>
      <c r="Y152">
        <f t="shared" si="163"/>
        <v>0</v>
      </c>
      <c r="AA152">
        <v>56498968</v>
      </c>
      <c r="AB152">
        <f t="shared" si="164"/>
        <v>0.95</v>
      </c>
      <c r="AC152">
        <f t="shared" si="165"/>
        <v>0.95</v>
      </c>
      <c r="AD152">
        <f t="shared" si="187"/>
        <v>0</v>
      </c>
      <c r="AE152">
        <f t="shared" si="188"/>
        <v>0</v>
      </c>
      <c r="AF152">
        <f t="shared" si="189"/>
        <v>0</v>
      </c>
      <c r="AG152">
        <f t="shared" si="166"/>
        <v>0</v>
      </c>
      <c r="AH152">
        <f t="shared" si="190"/>
        <v>0</v>
      </c>
      <c r="AI152">
        <f t="shared" si="191"/>
        <v>0</v>
      </c>
      <c r="AJ152">
        <f t="shared" si="167"/>
        <v>0</v>
      </c>
      <c r="AK152">
        <v>0.95</v>
      </c>
      <c r="AL152">
        <v>0.95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90</v>
      </c>
      <c r="AU152">
        <v>46</v>
      </c>
      <c r="AV152">
        <v>1</v>
      </c>
      <c r="AW152">
        <v>1</v>
      </c>
      <c r="AZ152">
        <v>1</v>
      </c>
      <c r="BA152">
        <v>1</v>
      </c>
      <c r="BB152">
        <v>1</v>
      </c>
      <c r="BC152">
        <v>5.86</v>
      </c>
      <c r="BD152" t="s">
        <v>3</v>
      </c>
      <c r="BE152" t="s">
        <v>3</v>
      </c>
      <c r="BF152" t="s">
        <v>3</v>
      </c>
      <c r="BG152" t="s">
        <v>3</v>
      </c>
      <c r="BH152">
        <v>3</v>
      </c>
      <c r="BI152">
        <v>2</v>
      </c>
      <c r="BJ152" t="s">
        <v>262</v>
      </c>
      <c r="BM152">
        <v>68</v>
      </c>
      <c r="BN152">
        <v>0</v>
      </c>
      <c r="BO152" t="s">
        <v>260</v>
      </c>
      <c r="BP152">
        <v>1</v>
      </c>
      <c r="BQ152">
        <v>40</v>
      </c>
      <c r="BR152">
        <v>0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90</v>
      </c>
      <c r="CA152">
        <v>46</v>
      </c>
      <c r="CB152" t="s">
        <v>3</v>
      </c>
      <c r="CE152">
        <v>30</v>
      </c>
      <c r="CF152">
        <v>0</v>
      </c>
      <c r="CG152">
        <v>0</v>
      </c>
      <c r="CM152">
        <v>0</v>
      </c>
      <c r="CN152" t="s">
        <v>3</v>
      </c>
      <c r="CO152">
        <v>0</v>
      </c>
      <c r="CP152">
        <f t="shared" si="168"/>
        <v>1113.4000000000001</v>
      </c>
      <c r="CQ152">
        <f t="shared" si="169"/>
        <v>5.57</v>
      </c>
      <c r="CR152">
        <f t="shared" si="192"/>
        <v>0</v>
      </c>
      <c r="CS152">
        <f t="shared" si="170"/>
        <v>0</v>
      </c>
      <c r="CT152">
        <f t="shared" si="171"/>
        <v>0</v>
      </c>
      <c r="CU152">
        <f t="shared" si="172"/>
        <v>0</v>
      </c>
      <c r="CV152">
        <f t="shared" si="173"/>
        <v>0</v>
      </c>
      <c r="CW152">
        <f t="shared" si="174"/>
        <v>0</v>
      </c>
      <c r="CX152">
        <f t="shared" si="175"/>
        <v>0</v>
      </c>
      <c r="CY152">
        <f t="shared" si="176"/>
        <v>0</v>
      </c>
      <c r="CZ152">
        <f t="shared" si="177"/>
        <v>0</v>
      </c>
      <c r="DC152" t="s">
        <v>3</v>
      </c>
      <c r="DD152" t="s">
        <v>3</v>
      </c>
      <c r="DE152" t="s">
        <v>3</v>
      </c>
      <c r="DF152" t="s">
        <v>3</v>
      </c>
      <c r="DG152" t="s">
        <v>3</v>
      </c>
      <c r="DH152" t="s">
        <v>3</v>
      </c>
      <c r="DI152" t="s">
        <v>3</v>
      </c>
      <c r="DJ152" t="s">
        <v>3</v>
      </c>
      <c r="DK152" t="s">
        <v>3</v>
      </c>
      <c r="DL152" t="s">
        <v>3</v>
      </c>
      <c r="DM152" t="s">
        <v>3</v>
      </c>
      <c r="DN152">
        <v>0</v>
      </c>
      <c r="DO152">
        <v>0</v>
      </c>
      <c r="DP152">
        <v>1</v>
      </c>
      <c r="DQ152">
        <v>1</v>
      </c>
      <c r="DU152">
        <v>1010</v>
      </c>
      <c r="DV152" t="s">
        <v>32</v>
      </c>
      <c r="DW152" t="s">
        <v>32</v>
      </c>
      <c r="DX152">
        <v>1</v>
      </c>
      <c r="DZ152" t="s">
        <v>3</v>
      </c>
      <c r="EA152" t="s">
        <v>3</v>
      </c>
      <c r="EB152" t="s">
        <v>3</v>
      </c>
      <c r="EC152" t="s">
        <v>3</v>
      </c>
      <c r="EE152">
        <v>58162630</v>
      </c>
      <c r="EF152">
        <v>40</v>
      </c>
      <c r="EG152" t="s">
        <v>25</v>
      </c>
      <c r="EH152">
        <v>0</v>
      </c>
      <c r="EI152" t="s">
        <v>3</v>
      </c>
      <c r="EJ152">
        <v>2</v>
      </c>
      <c r="EK152">
        <v>68</v>
      </c>
      <c r="EL152" t="s">
        <v>26</v>
      </c>
      <c r="EM152" t="s">
        <v>27</v>
      </c>
      <c r="EO152" t="s">
        <v>3</v>
      </c>
      <c r="EQ152">
        <v>0</v>
      </c>
      <c r="ER152">
        <v>0.95</v>
      </c>
      <c r="ES152">
        <v>0.95</v>
      </c>
      <c r="ET152">
        <v>0</v>
      </c>
      <c r="EU152">
        <v>0</v>
      </c>
      <c r="EV152">
        <v>0</v>
      </c>
      <c r="EW152">
        <v>0</v>
      </c>
      <c r="EX152">
        <v>0</v>
      </c>
      <c r="FQ152">
        <v>0</v>
      </c>
      <c r="FR152">
        <v>0</v>
      </c>
      <c r="FS152">
        <v>0</v>
      </c>
      <c r="FX152">
        <v>90</v>
      </c>
      <c r="FY152">
        <v>46</v>
      </c>
      <c r="GA152" t="s">
        <v>3</v>
      </c>
      <c r="GD152">
        <v>1</v>
      </c>
      <c r="GF152">
        <v>729083060</v>
      </c>
      <c r="GG152">
        <v>2</v>
      </c>
      <c r="GH152">
        <v>1</v>
      </c>
      <c r="GI152">
        <v>2</v>
      </c>
      <c r="GJ152">
        <v>0</v>
      </c>
      <c r="GK152">
        <v>0</v>
      </c>
      <c r="GL152">
        <f t="shared" si="178"/>
        <v>0</v>
      </c>
      <c r="GM152">
        <f t="shared" si="179"/>
        <v>1113.4000000000001</v>
      </c>
      <c r="GN152">
        <f t="shared" si="180"/>
        <v>0</v>
      </c>
      <c r="GO152">
        <f t="shared" si="181"/>
        <v>1113.4000000000001</v>
      </c>
      <c r="GP152">
        <f t="shared" si="182"/>
        <v>0</v>
      </c>
      <c r="GR152">
        <v>0</v>
      </c>
      <c r="GS152">
        <v>3</v>
      </c>
      <c r="GT152">
        <v>0</v>
      </c>
      <c r="GU152" t="s">
        <v>3</v>
      </c>
      <c r="GV152">
        <f t="shared" si="183"/>
        <v>0</v>
      </c>
      <c r="GW152">
        <v>1</v>
      </c>
      <c r="GX152">
        <f t="shared" si="184"/>
        <v>0</v>
      </c>
      <c r="HA152">
        <v>0</v>
      </c>
      <c r="HB152">
        <v>0</v>
      </c>
      <c r="HC152">
        <f t="shared" si="185"/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3" spans="1:255" x14ac:dyDescent="0.3">
      <c r="A153" s="2">
        <v>18</v>
      </c>
      <c r="B153" s="2">
        <v>1</v>
      </c>
      <c r="C153" s="2"/>
      <c r="D153" s="2"/>
      <c r="E153" s="2" t="s">
        <v>263</v>
      </c>
      <c r="F153" s="2" t="s">
        <v>264</v>
      </c>
      <c r="G153" s="2" t="s">
        <v>265</v>
      </c>
      <c r="H153" s="2" t="s">
        <v>266</v>
      </c>
      <c r="I153" s="2">
        <f>I147*J153</f>
        <v>17.952000000000002</v>
      </c>
      <c r="J153" s="2">
        <v>0.3</v>
      </c>
      <c r="K153" s="2">
        <v>0.3</v>
      </c>
      <c r="L153" s="2"/>
      <c r="M153" s="2"/>
      <c r="N153" s="2"/>
      <c r="O153" s="2">
        <f t="shared" si="154"/>
        <v>7119.58</v>
      </c>
      <c r="P153" s="2">
        <f t="shared" si="155"/>
        <v>7119.58</v>
      </c>
      <c r="Q153" s="2">
        <f t="shared" si="186"/>
        <v>0</v>
      </c>
      <c r="R153" s="2">
        <f t="shared" si="156"/>
        <v>0</v>
      </c>
      <c r="S153" s="2">
        <f t="shared" si="157"/>
        <v>0</v>
      </c>
      <c r="T153" s="2">
        <f t="shared" si="158"/>
        <v>0</v>
      </c>
      <c r="U153" s="2">
        <f t="shared" si="159"/>
        <v>0</v>
      </c>
      <c r="V153" s="2">
        <f t="shared" si="160"/>
        <v>0</v>
      </c>
      <c r="W153" s="2">
        <f t="shared" si="161"/>
        <v>0</v>
      </c>
      <c r="X153" s="2">
        <f t="shared" si="162"/>
        <v>0</v>
      </c>
      <c r="Y153" s="2">
        <f t="shared" si="163"/>
        <v>0</v>
      </c>
      <c r="Z153" s="2"/>
      <c r="AA153" s="2">
        <v>56498966</v>
      </c>
      <c r="AB153" s="2">
        <f t="shared" si="164"/>
        <v>396.59</v>
      </c>
      <c r="AC153" s="2">
        <f t="shared" si="165"/>
        <v>396.59</v>
      </c>
      <c r="AD153" s="2">
        <f t="shared" si="187"/>
        <v>0</v>
      </c>
      <c r="AE153" s="2">
        <f t="shared" si="188"/>
        <v>0</v>
      </c>
      <c r="AF153" s="2">
        <f t="shared" si="189"/>
        <v>0</v>
      </c>
      <c r="AG153" s="2">
        <f t="shared" si="166"/>
        <v>0</v>
      </c>
      <c r="AH153" s="2">
        <f t="shared" si="190"/>
        <v>0</v>
      </c>
      <c r="AI153" s="2">
        <f t="shared" si="191"/>
        <v>0</v>
      </c>
      <c r="AJ153" s="2">
        <f t="shared" si="167"/>
        <v>0</v>
      </c>
      <c r="AK153" s="2">
        <v>396.59</v>
      </c>
      <c r="AL153" s="2">
        <v>396.59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90</v>
      </c>
      <c r="AU153" s="2">
        <v>46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2</v>
      </c>
      <c r="BJ153" s="2" t="s">
        <v>267</v>
      </c>
      <c r="BK153" s="2"/>
      <c r="BL153" s="2"/>
      <c r="BM153" s="2">
        <v>68</v>
      </c>
      <c r="BN153" s="2">
        <v>0</v>
      </c>
      <c r="BO153" s="2" t="s">
        <v>3</v>
      </c>
      <c r="BP153" s="2">
        <v>0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90</v>
      </c>
      <c r="CA153" s="2">
        <v>46</v>
      </c>
      <c r="CB153" s="2" t="s">
        <v>3</v>
      </c>
      <c r="CC153" s="2"/>
      <c r="CD153" s="2"/>
      <c r="CE153" s="2">
        <v>30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68"/>
        <v>7119.58</v>
      </c>
      <c r="CQ153" s="2">
        <f t="shared" si="169"/>
        <v>396.59</v>
      </c>
      <c r="CR153" s="2">
        <f t="shared" si="192"/>
        <v>0</v>
      </c>
      <c r="CS153" s="2">
        <f t="shared" si="170"/>
        <v>0</v>
      </c>
      <c r="CT153" s="2">
        <f t="shared" si="171"/>
        <v>0</v>
      </c>
      <c r="CU153" s="2">
        <f t="shared" si="172"/>
        <v>0</v>
      </c>
      <c r="CV153" s="2">
        <f t="shared" si="173"/>
        <v>0</v>
      </c>
      <c r="CW153" s="2">
        <f t="shared" si="174"/>
        <v>0</v>
      </c>
      <c r="CX153" s="2">
        <f t="shared" si="175"/>
        <v>0</v>
      </c>
      <c r="CY153" s="2">
        <f t="shared" si="176"/>
        <v>0</v>
      </c>
      <c r="CZ153" s="2">
        <f t="shared" si="177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1010</v>
      </c>
      <c r="DV153" s="2" t="s">
        <v>266</v>
      </c>
      <c r="DW153" s="2" t="s">
        <v>266</v>
      </c>
      <c r="DX153" s="2">
        <v>1000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58162630</v>
      </c>
      <c r="EF153" s="2">
        <v>40</v>
      </c>
      <c r="EG153" s="2" t="s">
        <v>25</v>
      </c>
      <c r="EH153" s="2">
        <v>0</v>
      </c>
      <c r="EI153" s="2" t="s">
        <v>3</v>
      </c>
      <c r="EJ153" s="2">
        <v>2</v>
      </c>
      <c r="EK153" s="2">
        <v>68</v>
      </c>
      <c r="EL153" s="2" t="s">
        <v>26</v>
      </c>
      <c r="EM153" s="2" t="s">
        <v>27</v>
      </c>
      <c r="EN153" s="2"/>
      <c r="EO153" s="2" t="s">
        <v>3</v>
      </c>
      <c r="EP153" s="2"/>
      <c r="EQ153" s="2">
        <v>0</v>
      </c>
      <c r="ER153" s="2">
        <v>396.59</v>
      </c>
      <c r="ES153" s="2">
        <v>396.59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90</v>
      </c>
      <c r="FY153" s="2">
        <v>46</v>
      </c>
      <c r="FZ153" s="2"/>
      <c r="GA153" s="2" t="s">
        <v>3</v>
      </c>
      <c r="GB153" s="2"/>
      <c r="GC153" s="2"/>
      <c r="GD153" s="2">
        <v>1</v>
      </c>
      <c r="GE153" s="2"/>
      <c r="GF153" s="2">
        <v>179573335</v>
      </c>
      <c r="GG153" s="2">
        <v>2</v>
      </c>
      <c r="GH153" s="2">
        <v>1</v>
      </c>
      <c r="GI153" s="2">
        <v>-2</v>
      </c>
      <c r="GJ153" s="2">
        <v>0</v>
      </c>
      <c r="GK153" s="2">
        <v>0</v>
      </c>
      <c r="GL153" s="2">
        <f t="shared" si="178"/>
        <v>0</v>
      </c>
      <c r="GM153" s="2">
        <f t="shared" si="179"/>
        <v>7119.58</v>
      </c>
      <c r="GN153" s="2">
        <f t="shared" si="180"/>
        <v>0</v>
      </c>
      <c r="GO153" s="2">
        <f t="shared" si="181"/>
        <v>7119.58</v>
      </c>
      <c r="GP153" s="2">
        <f t="shared" si="182"/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si="183"/>
        <v>0</v>
      </c>
      <c r="GW153" s="2">
        <v>1</v>
      </c>
      <c r="GX153" s="2">
        <f t="shared" si="184"/>
        <v>0</v>
      </c>
      <c r="GY153" s="2"/>
      <c r="GZ153" s="2"/>
      <c r="HA153" s="2">
        <v>0</v>
      </c>
      <c r="HB153" s="2">
        <v>0</v>
      </c>
      <c r="HC153" s="2">
        <f t="shared" si="185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3">
      <c r="A154">
        <v>18</v>
      </c>
      <c r="B154">
        <v>1</v>
      </c>
      <c r="E154" t="s">
        <v>263</v>
      </c>
      <c r="F154" t="s">
        <v>264</v>
      </c>
      <c r="G154" t="s">
        <v>265</v>
      </c>
      <c r="H154" t="s">
        <v>266</v>
      </c>
      <c r="I154">
        <f>I148*J154</f>
        <v>17.952000000000002</v>
      </c>
      <c r="J154">
        <v>0.3</v>
      </c>
      <c r="K154">
        <v>0.3</v>
      </c>
      <c r="O154">
        <f t="shared" si="154"/>
        <v>32963.660000000003</v>
      </c>
      <c r="P154">
        <f t="shared" si="155"/>
        <v>32963.660000000003</v>
      </c>
      <c r="Q154">
        <f t="shared" si="186"/>
        <v>0</v>
      </c>
      <c r="R154">
        <f t="shared" si="156"/>
        <v>0</v>
      </c>
      <c r="S154">
        <f t="shared" si="157"/>
        <v>0</v>
      </c>
      <c r="T154">
        <f t="shared" si="158"/>
        <v>0</v>
      </c>
      <c r="U154">
        <f t="shared" si="159"/>
        <v>0</v>
      </c>
      <c r="V154">
        <f t="shared" si="160"/>
        <v>0</v>
      </c>
      <c r="W154">
        <f t="shared" si="161"/>
        <v>0</v>
      </c>
      <c r="X154">
        <f t="shared" si="162"/>
        <v>0</v>
      </c>
      <c r="Y154">
        <f t="shared" si="163"/>
        <v>0</v>
      </c>
      <c r="AA154">
        <v>56498968</v>
      </c>
      <c r="AB154">
        <f t="shared" si="164"/>
        <v>396.59</v>
      </c>
      <c r="AC154">
        <f t="shared" si="165"/>
        <v>396.59</v>
      </c>
      <c r="AD154">
        <f t="shared" si="187"/>
        <v>0</v>
      </c>
      <c r="AE154">
        <f t="shared" si="188"/>
        <v>0</v>
      </c>
      <c r="AF154">
        <f t="shared" si="189"/>
        <v>0</v>
      </c>
      <c r="AG154">
        <f t="shared" si="166"/>
        <v>0</v>
      </c>
      <c r="AH154">
        <f t="shared" si="190"/>
        <v>0</v>
      </c>
      <c r="AI154">
        <f t="shared" si="191"/>
        <v>0</v>
      </c>
      <c r="AJ154">
        <f t="shared" si="167"/>
        <v>0</v>
      </c>
      <c r="AK154">
        <v>396.59</v>
      </c>
      <c r="AL154">
        <v>396.59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90</v>
      </c>
      <c r="AU154">
        <v>46</v>
      </c>
      <c r="AV154">
        <v>1</v>
      </c>
      <c r="AW154">
        <v>1</v>
      </c>
      <c r="AZ154">
        <v>1</v>
      </c>
      <c r="BA154">
        <v>1</v>
      </c>
      <c r="BB154">
        <v>1</v>
      </c>
      <c r="BC154">
        <v>4.63</v>
      </c>
      <c r="BD154" t="s">
        <v>3</v>
      </c>
      <c r="BE154" t="s">
        <v>3</v>
      </c>
      <c r="BF154" t="s">
        <v>3</v>
      </c>
      <c r="BG154" t="s">
        <v>3</v>
      </c>
      <c r="BH154">
        <v>3</v>
      </c>
      <c r="BI154">
        <v>2</v>
      </c>
      <c r="BJ154" t="s">
        <v>267</v>
      </c>
      <c r="BM154">
        <v>68</v>
      </c>
      <c r="BN154">
        <v>0</v>
      </c>
      <c r="BO154" t="s">
        <v>264</v>
      </c>
      <c r="BP154">
        <v>1</v>
      </c>
      <c r="BQ154">
        <v>40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 t="s">
        <v>3</v>
      </c>
      <c r="BZ154">
        <v>90</v>
      </c>
      <c r="CA154">
        <v>46</v>
      </c>
      <c r="CB154" t="s">
        <v>3</v>
      </c>
      <c r="CE154">
        <v>30</v>
      </c>
      <c r="CF154">
        <v>0</v>
      </c>
      <c r="CG154">
        <v>0</v>
      </c>
      <c r="CM154">
        <v>0</v>
      </c>
      <c r="CN154" t="s">
        <v>3</v>
      </c>
      <c r="CO154">
        <v>0</v>
      </c>
      <c r="CP154">
        <f t="shared" si="168"/>
        <v>32963.660000000003</v>
      </c>
      <c r="CQ154">
        <f t="shared" si="169"/>
        <v>1836.21</v>
      </c>
      <c r="CR154">
        <f t="shared" si="192"/>
        <v>0</v>
      </c>
      <c r="CS154">
        <f t="shared" si="170"/>
        <v>0</v>
      </c>
      <c r="CT154">
        <f t="shared" si="171"/>
        <v>0</v>
      </c>
      <c r="CU154">
        <f t="shared" si="172"/>
        <v>0</v>
      </c>
      <c r="CV154">
        <f t="shared" si="173"/>
        <v>0</v>
      </c>
      <c r="CW154">
        <f t="shared" si="174"/>
        <v>0</v>
      </c>
      <c r="CX154">
        <f t="shared" si="175"/>
        <v>0</v>
      </c>
      <c r="CY154">
        <f t="shared" si="176"/>
        <v>0</v>
      </c>
      <c r="CZ154">
        <f t="shared" si="177"/>
        <v>0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>
        <v>0</v>
      </c>
      <c r="DO154">
        <v>0</v>
      </c>
      <c r="DP154">
        <v>1</v>
      </c>
      <c r="DQ154">
        <v>1</v>
      </c>
      <c r="DU154">
        <v>1010</v>
      </c>
      <c r="DV154" t="s">
        <v>266</v>
      </c>
      <c r="DW154" t="s">
        <v>266</v>
      </c>
      <c r="DX154">
        <v>1000</v>
      </c>
      <c r="DZ154" t="s">
        <v>3</v>
      </c>
      <c r="EA154" t="s">
        <v>3</v>
      </c>
      <c r="EB154" t="s">
        <v>3</v>
      </c>
      <c r="EC154" t="s">
        <v>3</v>
      </c>
      <c r="EE154">
        <v>58162630</v>
      </c>
      <c r="EF154">
        <v>40</v>
      </c>
      <c r="EG154" t="s">
        <v>25</v>
      </c>
      <c r="EH154">
        <v>0</v>
      </c>
      <c r="EI154" t="s">
        <v>3</v>
      </c>
      <c r="EJ154">
        <v>2</v>
      </c>
      <c r="EK154">
        <v>68</v>
      </c>
      <c r="EL154" t="s">
        <v>26</v>
      </c>
      <c r="EM154" t="s">
        <v>27</v>
      </c>
      <c r="EO154" t="s">
        <v>3</v>
      </c>
      <c r="EQ154">
        <v>0</v>
      </c>
      <c r="ER154">
        <v>396.59</v>
      </c>
      <c r="ES154">
        <v>396.59</v>
      </c>
      <c r="ET154">
        <v>0</v>
      </c>
      <c r="EU154">
        <v>0</v>
      </c>
      <c r="EV154">
        <v>0</v>
      </c>
      <c r="EW154">
        <v>0</v>
      </c>
      <c r="EX154">
        <v>0</v>
      </c>
      <c r="FQ154">
        <v>0</v>
      </c>
      <c r="FR154">
        <v>0</v>
      </c>
      <c r="FS154">
        <v>0</v>
      </c>
      <c r="FX154">
        <v>90</v>
      </c>
      <c r="FY154">
        <v>46</v>
      </c>
      <c r="GA154" t="s">
        <v>3</v>
      </c>
      <c r="GD154">
        <v>1</v>
      </c>
      <c r="GF154">
        <v>179573335</v>
      </c>
      <c r="GG154">
        <v>2</v>
      </c>
      <c r="GH154">
        <v>1</v>
      </c>
      <c r="GI154">
        <v>2</v>
      </c>
      <c r="GJ154">
        <v>0</v>
      </c>
      <c r="GK154">
        <v>0</v>
      </c>
      <c r="GL154">
        <f t="shared" si="178"/>
        <v>0</v>
      </c>
      <c r="GM154">
        <f t="shared" si="179"/>
        <v>32963.660000000003</v>
      </c>
      <c r="GN154">
        <f t="shared" si="180"/>
        <v>0</v>
      </c>
      <c r="GO154">
        <f t="shared" si="181"/>
        <v>32963.660000000003</v>
      </c>
      <c r="GP154">
        <f t="shared" si="182"/>
        <v>0</v>
      </c>
      <c r="GR154">
        <v>0</v>
      </c>
      <c r="GS154">
        <v>3</v>
      </c>
      <c r="GT154">
        <v>0</v>
      </c>
      <c r="GU154" t="s">
        <v>3</v>
      </c>
      <c r="GV154">
        <f t="shared" si="183"/>
        <v>0</v>
      </c>
      <c r="GW154">
        <v>1</v>
      </c>
      <c r="GX154">
        <f t="shared" si="184"/>
        <v>0</v>
      </c>
      <c r="HA154">
        <v>0</v>
      </c>
      <c r="HB154">
        <v>0</v>
      </c>
      <c r="HC154">
        <f t="shared" si="185"/>
        <v>0</v>
      </c>
      <c r="HE154" t="s">
        <v>3</v>
      </c>
      <c r="HF154" t="s">
        <v>3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S154">
        <v>0</v>
      </c>
      <c r="IK154">
        <v>0</v>
      </c>
    </row>
    <row r="155" spans="1:255" x14ac:dyDescent="0.3">
      <c r="A155" s="2">
        <v>18</v>
      </c>
      <c r="B155" s="2">
        <v>1</v>
      </c>
      <c r="C155" s="2"/>
      <c r="D155" s="2"/>
      <c r="E155" s="2" t="s">
        <v>268</v>
      </c>
      <c r="F155" s="2" t="s">
        <v>269</v>
      </c>
      <c r="G155" s="2" t="s">
        <v>270</v>
      </c>
      <c r="H155" s="2" t="s">
        <v>271</v>
      </c>
      <c r="I155" s="2">
        <f>I147*J155</f>
        <v>0.51</v>
      </c>
      <c r="J155" s="2">
        <v>8.5227272727272721E-3</v>
      </c>
      <c r="K155" s="2">
        <v>8.5227299999999992E-3</v>
      </c>
      <c r="L155" s="2"/>
      <c r="M155" s="2"/>
      <c r="N155" s="2"/>
      <c r="O155" s="2">
        <f t="shared" si="154"/>
        <v>1058.74</v>
      </c>
      <c r="P155" s="2">
        <f t="shared" si="155"/>
        <v>1058.74</v>
      </c>
      <c r="Q155" s="2">
        <f t="shared" si="186"/>
        <v>0</v>
      </c>
      <c r="R155" s="2">
        <f t="shared" si="156"/>
        <v>0</v>
      </c>
      <c r="S155" s="2">
        <f t="shared" si="157"/>
        <v>0</v>
      </c>
      <c r="T155" s="2">
        <f t="shared" si="158"/>
        <v>0</v>
      </c>
      <c r="U155" s="2">
        <f t="shared" si="159"/>
        <v>0</v>
      </c>
      <c r="V155" s="2">
        <f t="shared" si="160"/>
        <v>0</v>
      </c>
      <c r="W155" s="2">
        <f t="shared" si="161"/>
        <v>0</v>
      </c>
      <c r="X155" s="2">
        <f t="shared" si="162"/>
        <v>0</v>
      </c>
      <c r="Y155" s="2">
        <f t="shared" si="163"/>
        <v>0</v>
      </c>
      <c r="Z155" s="2"/>
      <c r="AA155" s="2">
        <v>56498966</v>
      </c>
      <c r="AB155" s="2">
        <f t="shared" si="164"/>
        <v>2075.9699999999998</v>
      </c>
      <c r="AC155" s="2">
        <f t="shared" si="165"/>
        <v>2075.9699999999998</v>
      </c>
      <c r="AD155" s="2">
        <f t="shared" si="187"/>
        <v>0</v>
      </c>
      <c r="AE155" s="2">
        <f t="shared" si="188"/>
        <v>0</v>
      </c>
      <c r="AF155" s="2">
        <f t="shared" si="189"/>
        <v>0</v>
      </c>
      <c r="AG155" s="2">
        <f t="shared" si="166"/>
        <v>0</v>
      </c>
      <c r="AH155" s="2">
        <f t="shared" si="190"/>
        <v>0</v>
      </c>
      <c r="AI155" s="2">
        <f t="shared" si="191"/>
        <v>0</v>
      </c>
      <c r="AJ155" s="2">
        <f t="shared" si="167"/>
        <v>0</v>
      </c>
      <c r="AK155" s="2">
        <v>2075.9699999999998</v>
      </c>
      <c r="AL155" s="2">
        <v>2075.9699999999998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90</v>
      </c>
      <c r="AU155" s="2">
        <v>46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2</v>
      </c>
      <c r="BJ155" s="2" t="s">
        <v>3</v>
      </c>
      <c r="BK155" s="2"/>
      <c r="BL155" s="2"/>
      <c r="BM155" s="2">
        <v>68</v>
      </c>
      <c r="BN155" s="2">
        <v>0</v>
      </c>
      <c r="BO155" s="2" t="s">
        <v>3</v>
      </c>
      <c r="BP155" s="2">
        <v>0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90</v>
      </c>
      <c r="CA155" s="2">
        <v>46</v>
      </c>
      <c r="CB155" s="2" t="s">
        <v>3</v>
      </c>
      <c r="CC155" s="2"/>
      <c r="CD155" s="2"/>
      <c r="CE155" s="2">
        <v>30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3</v>
      </c>
      <c r="CO155" s="2">
        <v>0</v>
      </c>
      <c r="CP155" s="2">
        <f t="shared" si="168"/>
        <v>1058.74</v>
      </c>
      <c r="CQ155" s="2">
        <f t="shared" si="169"/>
        <v>2075.9699999999998</v>
      </c>
      <c r="CR155" s="2">
        <f t="shared" si="192"/>
        <v>0</v>
      </c>
      <c r="CS155" s="2">
        <f t="shared" si="170"/>
        <v>0</v>
      </c>
      <c r="CT155" s="2">
        <f t="shared" si="171"/>
        <v>0</v>
      </c>
      <c r="CU155" s="2">
        <f t="shared" si="172"/>
        <v>0</v>
      </c>
      <c r="CV155" s="2">
        <f t="shared" si="173"/>
        <v>0</v>
      </c>
      <c r="CW155" s="2">
        <f t="shared" si="174"/>
        <v>0</v>
      </c>
      <c r="CX155" s="2">
        <f t="shared" si="175"/>
        <v>0</v>
      </c>
      <c r="CY155" s="2">
        <f t="shared" si="176"/>
        <v>0</v>
      </c>
      <c r="CZ155" s="2">
        <f t="shared" si="177"/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1003</v>
      </c>
      <c r="DV155" s="2" t="s">
        <v>271</v>
      </c>
      <c r="DW155" s="2" t="s">
        <v>271</v>
      </c>
      <c r="DX155" s="2">
        <v>1000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58162630</v>
      </c>
      <c r="EF155" s="2">
        <v>40</v>
      </c>
      <c r="EG155" s="2" t="s">
        <v>25</v>
      </c>
      <c r="EH155" s="2">
        <v>0</v>
      </c>
      <c r="EI155" s="2" t="s">
        <v>3</v>
      </c>
      <c r="EJ155" s="2">
        <v>2</v>
      </c>
      <c r="EK155" s="2">
        <v>68</v>
      </c>
      <c r="EL155" s="2" t="s">
        <v>26</v>
      </c>
      <c r="EM155" s="2" t="s">
        <v>27</v>
      </c>
      <c r="EN155" s="2"/>
      <c r="EO155" s="2" t="s">
        <v>3</v>
      </c>
      <c r="EP155" s="2"/>
      <c r="EQ155" s="2">
        <v>0</v>
      </c>
      <c r="ER155" s="2">
        <v>0</v>
      </c>
      <c r="ES155" s="2">
        <v>2075.9699999999998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90</v>
      </c>
      <c r="FY155" s="2">
        <v>46</v>
      </c>
      <c r="FZ155" s="2"/>
      <c r="GA155" s="2" t="s">
        <v>272</v>
      </c>
      <c r="GB155" s="2"/>
      <c r="GC155" s="2"/>
      <c r="GD155" s="2">
        <v>1</v>
      </c>
      <c r="GE155" s="2"/>
      <c r="GF155" s="2">
        <v>-456408835</v>
      </c>
      <c r="GG155" s="2">
        <v>2</v>
      </c>
      <c r="GH155" s="2">
        <v>4</v>
      </c>
      <c r="GI155" s="2">
        <v>-2</v>
      </c>
      <c r="GJ155" s="2">
        <v>0</v>
      </c>
      <c r="GK155" s="2">
        <v>0</v>
      </c>
      <c r="GL155" s="2">
        <f t="shared" si="178"/>
        <v>0</v>
      </c>
      <c r="GM155" s="2">
        <f t="shared" si="179"/>
        <v>1058.74</v>
      </c>
      <c r="GN155" s="2">
        <f t="shared" si="180"/>
        <v>0</v>
      </c>
      <c r="GO155" s="2">
        <f t="shared" si="181"/>
        <v>1058.74</v>
      </c>
      <c r="GP155" s="2">
        <f t="shared" si="182"/>
        <v>0</v>
      </c>
      <c r="GQ155" s="2"/>
      <c r="GR155" s="2">
        <v>0</v>
      </c>
      <c r="GS155" s="2">
        <v>2</v>
      </c>
      <c r="GT155" s="2">
        <v>0</v>
      </c>
      <c r="GU155" s="2" t="s">
        <v>3</v>
      </c>
      <c r="GV155" s="2">
        <f t="shared" si="183"/>
        <v>0</v>
      </c>
      <c r="GW155" s="2">
        <v>1</v>
      </c>
      <c r="GX155" s="2">
        <f t="shared" si="184"/>
        <v>0</v>
      </c>
      <c r="GY155" s="2"/>
      <c r="GZ155" s="2"/>
      <c r="HA155" s="2">
        <v>0</v>
      </c>
      <c r="HB155" s="2">
        <v>0</v>
      </c>
      <c r="HC155" s="2">
        <f t="shared" si="185"/>
        <v>0</v>
      </c>
      <c r="HD155" s="2"/>
      <c r="HE155" s="2" t="s">
        <v>72</v>
      </c>
      <c r="HF155" s="2" t="s">
        <v>39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3">
      <c r="A156">
        <v>18</v>
      </c>
      <c r="B156">
        <v>1</v>
      </c>
      <c r="E156" t="s">
        <v>268</v>
      </c>
      <c r="F156" t="s">
        <v>269</v>
      </c>
      <c r="G156" t="s">
        <v>270</v>
      </c>
      <c r="H156" t="s">
        <v>271</v>
      </c>
      <c r="I156">
        <f>I148*J156</f>
        <v>0.51</v>
      </c>
      <c r="J156">
        <v>8.5227272727272721E-3</v>
      </c>
      <c r="K156">
        <v>8.5227299999999992E-3</v>
      </c>
      <c r="O156">
        <f t="shared" si="154"/>
        <v>10460.35</v>
      </c>
      <c r="P156">
        <f t="shared" si="155"/>
        <v>10460.35</v>
      </c>
      <c r="Q156">
        <f t="shared" si="186"/>
        <v>0</v>
      </c>
      <c r="R156">
        <f t="shared" si="156"/>
        <v>0</v>
      </c>
      <c r="S156">
        <f t="shared" si="157"/>
        <v>0</v>
      </c>
      <c r="T156">
        <f t="shared" si="158"/>
        <v>0</v>
      </c>
      <c r="U156">
        <f t="shared" si="159"/>
        <v>0</v>
      </c>
      <c r="V156">
        <f t="shared" si="160"/>
        <v>0</v>
      </c>
      <c r="W156">
        <f t="shared" si="161"/>
        <v>0</v>
      </c>
      <c r="X156">
        <f t="shared" si="162"/>
        <v>0</v>
      </c>
      <c r="Y156">
        <f t="shared" si="163"/>
        <v>0</v>
      </c>
      <c r="AA156">
        <v>56498968</v>
      </c>
      <c r="AB156">
        <f t="shared" si="164"/>
        <v>2075.9699999999998</v>
      </c>
      <c r="AC156">
        <f t="shared" si="165"/>
        <v>2075.9699999999998</v>
      </c>
      <c r="AD156">
        <f t="shared" si="187"/>
        <v>0</v>
      </c>
      <c r="AE156">
        <f t="shared" si="188"/>
        <v>0</v>
      </c>
      <c r="AF156">
        <f t="shared" si="189"/>
        <v>0</v>
      </c>
      <c r="AG156">
        <f t="shared" si="166"/>
        <v>0</v>
      </c>
      <c r="AH156">
        <f t="shared" si="190"/>
        <v>0</v>
      </c>
      <c r="AI156">
        <f t="shared" si="191"/>
        <v>0</v>
      </c>
      <c r="AJ156">
        <f t="shared" si="167"/>
        <v>0</v>
      </c>
      <c r="AK156">
        <v>2075.9699999999998</v>
      </c>
      <c r="AL156">
        <v>2075.9699999999998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90</v>
      </c>
      <c r="AU156">
        <v>46</v>
      </c>
      <c r="AV156">
        <v>1</v>
      </c>
      <c r="AW156">
        <v>1</v>
      </c>
      <c r="AZ156">
        <v>1</v>
      </c>
      <c r="BA156">
        <v>1</v>
      </c>
      <c r="BB156">
        <v>1</v>
      </c>
      <c r="BC156">
        <v>9.8800000000000008</v>
      </c>
      <c r="BD156" t="s">
        <v>3</v>
      </c>
      <c r="BE156" t="s">
        <v>3</v>
      </c>
      <c r="BF156" t="s">
        <v>3</v>
      </c>
      <c r="BG156" t="s">
        <v>3</v>
      </c>
      <c r="BH156">
        <v>3</v>
      </c>
      <c r="BI156">
        <v>2</v>
      </c>
      <c r="BJ156" t="s">
        <v>3</v>
      </c>
      <c r="BM156">
        <v>68</v>
      </c>
      <c r="BN156">
        <v>0</v>
      </c>
      <c r="BO156" t="s">
        <v>3</v>
      </c>
      <c r="BP156">
        <v>0</v>
      </c>
      <c r="BQ156">
        <v>40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 t="s">
        <v>3</v>
      </c>
      <c r="BZ156">
        <v>90</v>
      </c>
      <c r="CA156">
        <v>46</v>
      </c>
      <c r="CB156" t="s">
        <v>3</v>
      </c>
      <c r="CE156">
        <v>30</v>
      </c>
      <c r="CF156">
        <v>0</v>
      </c>
      <c r="CG156">
        <v>0</v>
      </c>
      <c r="CM156">
        <v>0</v>
      </c>
      <c r="CN156" t="s">
        <v>3</v>
      </c>
      <c r="CO156">
        <v>0</v>
      </c>
      <c r="CP156">
        <f t="shared" si="168"/>
        <v>10460.35</v>
      </c>
      <c r="CQ156">
        <f t="shared" si="169"/>
        <v>20510.580000000002</v>
      </c>
      <c r="CR156">
        <f t="shared" si="192"/>
        <v>0</v>
      </c>
      <c r="CS156">
        <f t="shared" si="170"/>
        <v>0</v>
      </c>
      <c r="CT156">
        <f t="shared" si="171"/>
        <v>0</v>
      </c>
      <c r="CU156">
        <f t="shared" si="172"/>
        <v>0</v>
      </c>
      <c r="CV156">
        <f t="shared" si="173"/>
        <v>0</v>
      </c>
      <c r="CW156">
        <f t="shared" si="174"/>
        <v>0</v>
      </c>
      <c r="CX156">
        <f t="shared" si="175"/>
        <v>0</v>
      </c>
      <c r="CY156">
        <f t="shared" si="176"/>
        <v>0</v>
      </c>
      <c r="CZ156">
        <f t="shared" si="177"/>
        <v>0</v>
      </c>
      <c r="DC156" t="s">
        <v>3</v>
      </c>
      <c r="DD156" t="s">
        <v>3</v>
      </c>
      <c r="DE156" t="s">
        <v>3</v>
      </c>
      <c r="DF156" t="s">
        <v>3</v>
      </c>
      <c r="DG156" t="s">
        <v>3</v>
      </c>
      <c r="DH156" t="s">
        <v>3</v>
      </c>
      <c r="DI156" t="s">
        <v>3</v>
      </c>
      <c r="DJ156" t="s">
        <v>3</v>
      </c>
      <c r="DK156" t="s">
        <v>3</v>
      </c>
      <c r="DL156" t="s">
        <v>3</v>
      </c>
      <c r="DM156" t="s">
        <v>3</v>
      </c>
      <c r="DN156">
        <v>0</v>
      </c>
      <c r="DO156">
        <v>0</v>
      </c>
      <c r="DP156">
        <v>1</v>
      </c>
      <c r="DQ156">
        <v>1</v>
      </c>
      <c r="DU156">
        <v>1003</v>
      </c>
      <c r="DV156" t="s">
        <v>271</v>
      </c>
      <c r="DW156" t="s">
        <v>271</v>
      </c>
      <c r="DX156">
        <v>1000</v>
      </c>
      <c r="DZ156" t="s">
        <v>3</v>
      </c>
      <c r="EA156" t="s">
        <v>3</v>
      </c>
      <c r="EB156" t="s">
        <v>3</v>
      </c>
      <c r="EC156" t="s">
        <v>3</v>
      </c>
      <c r="EE156">
        <v>58162630</v>
      </c>
      <c r="EF156">
        <v>40</v>
      </c>
      <c r="EG156" t="s">
        <v>25</v>
      </c>
      <c r="EH156">
        <v>0</v>
      </c>
      <c r="EI156" t="s">
        <v>3</v>
      </c>
      <c r="EJ156">
        <v>2</v>
      </c>
      <c r="EK156">
        <v>68</v>
      </c>
      <c r="EL156" t="s">
        <v>26</v>
      </c>
      <c r="EM156" t="s">
        <v>27</v>
      </c>
      <c r="EO156" t="s">
        <v>3</v>
      </c>
      <c r="EQ156">
        <v>0</v>
      </c>
      <c r="ER156">
        <v>2075.9699999999998</v>
      </c>
      <c r="ES156">
        <v>2075.9699999999998</v>
      </c>
      <c r="ET156">
        <v>0</v>
      </c>
      <c r="EU156">
        <v>0</v>
      </c>
      <c r="EV156">
        <v>0</v>
      </c>
      <c r="EW156">
        <v>0</v>
      </c>
      <c r="EX156">
        <v>0</v>
      </c>
      <c r="EZ156">
        <v>5</v>
      </c>
      <c r="FC156">
        <v>1</v>
      </c>
      <c r="FD156">
        <v>18</v>
      </c>
      <c r="FF156">
        <v>24130</v>
      </c>
      <c r="FQ156">
        <v>0</v>
      </c>
      <c r="FR156">
        <v>0</v>
      </c>
      <c r="FS156">
        <v>0</v>
      </c>
      <c r="FX156">
        <v>90</v>
      </c>
      <c r="FY156">
        <v>46</v>
      </c>
      <c r="GA156" t="s">
        <v>272</v>
      </c>
      <c r="GD156">
        <v>1</v>
      </c>
      <c r="GF156">
        <v>-456408835</v>
      </c>
      <c r="GG156">
        <v>2</v>
      </c>
      <c r="GH156">
        <v>3</v>
      </c>
      <c r="GI156">
        <v>5</v>
      </c>
      <c r="GJ156">
        <v>0</v>
      </c>
      <c r="GK156">
        <v>0</v>
      </c>
      <c r="GL156">
        <f t="shared" si="178"/>
        <v>0</v>
      </c>
      <c r="GM156">
        <f t="shared" si="179"/>
        <v>10460.35</v>
      </c>
      <c r="GN156">
        <f t="shared" si="180"/>
        <v>0</v>
      </c>
      <c r="GO156">
        <f t="shared" si="181"/>
        <v>10460.35</v>
      </c>
      <c r="GP156">
        <f t="shared" si="182"/>
        <v>0</v>
      </c>
      <c r="GR156">
        <v>1</v>
      </c>
      <c r="GS156">
        <v>1</v>
      </c>
      <c r="GT156">
        <v>0</v>
      </c>
      <c r="GU156" t="s">
        <v>3</v>
      </c>
      <c r="GV156">
        <f t="shared" si="183"/>
        <v>0</v>
      </c>
      <c r="GW156">
        <v>1</v>
      </c>
      <c r="GX156">
        <f t="shared" si="184"/>
        <v>0</v>
      </c>
      <c r="HA156">
        <v>0</v>
      </c>
      <c r="HB156">
        <v>0</v>
      </c>
      <c r="HC156">
        <f t="shared" si="185"/>
        <v>0</v>
      </c>
      <c r="HE156" t="s">
        <v>72</v>
      </c>
      <c r="HF156" t="s">
        <v>39</v>
      </c>
      <c r="HM156" t="s">
        <v>3</v>
      </c>
      <c r="HN156" t="s">
        <v>3</v>
      </c>
      <c r="HO156" t="s">
        <v>3</v>
      </c>
      <c r="HP156" t="s">
        <v>3</v>
      </c>
      <c r="HQ156" t="s">
        <v>3</v>
      </c>
      <c r="HS156">
        <v>0</v>
      </c>
      <c r="IK156">
        <v>0</v>
      </c>
    </row>
    <row r="157" spans="1:255" x14ac:dyDescent="0.3">
      <c r="A157" s="2">
        <v>18</v>
      </c>
      <c r="B157" s="2">
        <v>1</v>
      </c>
      <c r="C157" s="2"/>
      <c r="D157" s="2"/>
      <c r="E157" s="2" t="s">
        <v>273</v>
      </c>
      <c r="F157" s="2" t="s">
        <v>274</v>
      </c>
      <c r="G157" s="2" t="s">
        <v>275</v>
      </c>
      <c r="H157" s="2" t="s">
        <v>271</v>
      </c>
      <c r="I157" s="2">
        <f>I147*J157</f>
        <v>4.0800000000000003E-3</v>
      </c>
      <c r="J157" s="2">
        <v>6.8181818181818184E-5</v>
      </c>
      <c r="K157" s="2">
        <v>6.8180000000000001E-5</v>
      </c>
      <c r="L157" s="2"/>
      <c r="M157" s="2"/>
      <c r="N157" s="2"/>
      <c r="O157" s="2">
        <f t="shared" si="154"/>
        <v>19.91</v>
      </c>
      <c r="P157" s="2">
        <f t="shared" si="155"/>
        <v>19.91</v>
      </c>
      <c r="Q157" s="2">
        <f t="shared" si="186"/>
        <v>0</v>
      </c>
      <c r="R157" s="2">
        <f t="shared" si="156"/>
        <v>0</v>
      </c>
      <c r="S157" s="2">
        <f t="shared" si="157"/>
        <v>0</v>
      </c>
      <c r="T157" s="2">
        <f t="shared" si="158"/>
        <v>0</v>
      </c>
      <c r="U157" s="2">
        <f t="shared" si="159"/>
        <v>0</v>
      </c>
      <c r="V157" s="2">
        <f t="shared" si="160"/>
        <v>0</v>
      </c>
      <c r="W157" s="2">
        <f t="shared" si="161"/>
        <v>0</v>
      </c>
      <c r="X157" s="2">
        <f t="shared" si="162"/>
        <v>0</v>
      </c>
      <c r="Y157" s="2">
        <f t="shared" si="163"/>
        <v>0</v>
      </c>
      <c r="Z157" s="2"/>
      <c r="AA157" s="2">
        <v>56498966</v>
      </c>
      <c r="AB157" s="2">
        <f t="shared" si="164"/>
        <v>4880.62</v>
      </c>
      <c r="AC157" s="2">
        <f t="shared" si="165"/>
        <v>4880.62</v>
      </c>
      <c r="AD157" s="2">
        <f t="shared" si="187"/>
        <v>0</v>
      </c>
      <c r="AE157" s="2">
        <f t="shared" si="188"/>
        <v>0</v>
      </c>
      <c r="AF157" s="2">
        <f t="shared" si="189"/>
        <v>0</v>
      </c>
      <c r="AG157" s="2">
        <f t="shared" si="166"/>
        <v>0</v>
      </c>
      <c r="AH157" s="2">
        <f t="shared" si="190"/>
        <v>0</v>
      </c>
      <c r="AI157" s="2">
        <f t="shared" si="191"/>
        <v>0</v>
      </c>
      <c r="AJ157" s="2">
        <f t="shared" si="167"/>
        <v>0</v>
      </c>
      <c r="AK157" s="2">
        <v>4880.62</v>
      </c>
      <c r="AL157" s="2">
        <v>4880.62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90</v>
      </c>
      <c r="AU157" s="2">
        <v>46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2</v>
      </c>
      <c r="BJ157" s="2" t="s">
        <v>3</v>
      </c>
      <c r="BK157" s="2"/>
      <c r="BL157" s="2"/>
      <c r="BM157" s="2">
        <v>68</v>
      </c>
      <c r="BN157" s="2">
        <v>0</v>
      </c>
      <c r="BO157" s="2" t="s">
        <v>3</v>
      </c>
      <c r="BP157" s="2">
        <v>0</v>
      </c>
      <c r="BQ157" s="2">
        <v>40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90</v>
      </c>
      <c r="CA157" s="2">
        <v>46</v>
      </c>
      <c r="CB157" s="2" t="s">
        <v>3</v>
      </c>
      <c r="CC157" s="2"/>
      <c r="CD157" s="2"/>
      <c r="CE157" s="2">
        <v>30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68"/>
        <v>19.91</v>
      </c>
      <c r="CQ157" s="2">
        <f t="shared" si="169"/>
        <v>4880.62</v>
      </c>
      <c r="CR157" s="2">
        <f t="shared" si="192"/>
        <v>0</v>
      </c>
      <c r="CS157" s="2">
        <f t="shared" si="170"/>
        <v>0</v>
      </c>
      <c r="CT157" s="2">
        <f t="shared" si="171"/>
        <v>0</v>
      </c>
      <c r="CU157" s="2">
        <f t="shared" si="172"/>
        <v>0</v>
      </c>
      <c r="CV157" s="2">
        <f t="shared" si="173"/>
        <v>0</v>
      </c>
      <c r="CW157" s="2">
        <f t="shared" si="174"/>
        <v>0</v>
      </c>
      <c r="CX157" s="2">
        <f t="shared" si="175"/>
        <v>0</v>
      </c>
      <c r="CY157" s="2">
        <f t="shared" si="176"/>
        <v>0</v>
      </c>
      <c r="CZ157" s="2">
        <f t="shared" si="177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1003</v>
      </c>
      <c r="DV157" s="2" t="s">
        <v>271</v>
      </c>
      <c r="DW157" s="2" t="s">
        <v>271</v>
      </c>
      <c r="DX157" s="2">
        <v>1000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58162630</v>
      </c>
      <c r="EF157" s="2">
        <v>40</v>
      </c>
      <c r="EG157" s="2" t="s">
        <v>25</v>
      </c>
      <c r="EH157" s="2">
        <v>0</v>
      </c>
      <c r="EI157" s="2" t="s">
        <v>3</v>
      </c>
      <c r="EJ157" s="2">
        <v>2</v>
      </c>
      <c r="EK157" s="2">
        <v>68</v>
      </c>
      <c r="EL157" s="2" t="s">
        <v>26</v>
      </c>
      <c r="EM157" s="2" t="s">
        <v>27</v>
      </c>
      <c r="EN157" s="2"/>
      <c r="EO157" s="2" t="s">
        <v>3</v>
      </c>
      <c r="EP157" s="2"/>
      <c r="EQ157" s="2">
        <v>0</v>
      </c>
      <c r="ER157" s="2">
        <v>0</v>
      </c>
      <c r="ES157" s="2">
        <v>4880.62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90</v>
      </c>
      <c r="FY157" s="2">
        <v>46</v>
      </c>
      <c r="FZ157" s="2"/>
      <c r="GA157" s="2" t="s">
        <v>276</v>
      </c>
      <c r="GB157" s="2"/>
      <c r="GC157" s="2"/>
      <c r="GD157" s="2">
        <v>1</v>
      </c>
      <c r="GE157" s="2"/>
      <c r="GF157" s="2">
        <v>1414005442</v>
      </c>
      <c r="GG157" s="2">
        <v>2</v>
      </c>
      <c r="GH157" s="2">
        <v>4</v>
      </c>
      <c r="GI157" s="2">
        <v>-2</v>
      </c>
      <c r="GJ157" s="2">
        <v>0</v>
      </c>
      <c r="GK157" s="2">
        <v>0</v>
      </c>
      <c r="GL157" s="2">
        <f t="shared" si="178"/>
        <v>0</v>
      </c>
      <c r="GM157" s="2">
        <f t="shared" si="179"/>
        <v>19.91</v>
      </c>
      <c r="GN157" s="2">
        <f t="shared" si="180"/>
        <v>0</v>
      </c>
      <c r="GO157" s="2">
        <f t="shared" si="181"/>
        <v>19.91</v>
      </c>
      <c r="GP157" s="2">
        <f t="shared" si="182"/>
        <v>0</v>
      </c>
      <c r="GQ157" s="2"/>
      <c r="GR157" s="2">
        <v>0</v>
      </c>
      <c r="GS157" s="2">
        <v>2</v>
      </c>
      <c r="GT157" s="2">
        <v>0</v>
      </c>
      <c r="GU157" s="2" t="s">
        <v>3</v>
      </c>
      <c r="GV157" s="2">
        <f t="shared" si="183"/>
        <v>0</v>
      </c>
      <c r="GW157" s="2">
        <v>1</v>
      </c>
      <c r="GX157" s="2">
        <f t="shared" si="184"/>
        <v>0</v>
      </c>
      <c r="GY157" s="2"/>
      <c r="GZ157" s="2"/>
      <c r="HA157" s="2">
        <v>0</v>
      </c>
      <c r="HB157" s="2">
        <v>0</v>
      </c>
      <c r="HC157" s="2">
        <f t="shared" si="185"/>
        <v>0</v>
      </c>
      <c r="HD157" s="2"/>
      <c r="HE157" s="2" t="s">
        <v>72</v>
      </c>
      <c r="HF157" s="2" t="s">
        <v>39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3">
      <c r="A158">
        <v>18</v>
      </c>
      <c r="B158">
        <v>1</v>
      </c>
      <c r="E158" t="s">
        <v>273</v>
      </c>
      <c r="F158" t="s">
        <v>274</v>
      </c>
      <c r="G158" t="s">
        <v>275</v>
      </c>
      <c r="H158" t="s">
        <v>271</v>
      </c>
      <c r="I158">
        <f>I148*J158</f>
        <v>4.0800000000000003E-3</v>
      </c>
      <c r="J158">
        <v>6.8181818181818184E-5</v>
      </c>
      <c r="K158">
        <v>6.8180000000000001E-5</v>
      </c>
      <c r="O158">
        <f t="shared" si="154"/>
        <v>196.71</v>
      </c>
      <c r="P158">
        <f t="shared" si="155"/>
        <v>196.71</v>
      </c>
      <c r="Q158">
        <f t="shared" si="186"/>
        <v>0</v>
      </c>
      <c r="R158">
        <f t="shared" si="156"/>
        <v>0</v>
      </c>
      <c r="S158">
        <f t="shared" si="157"/>
        <v>0</v>
      </c>
      <c r="T158">
        <f t="shared" si="158"/>
        <v>0</v>
      </c>
      <c r="U158">
        <f t="shared" si="159"/>
        <v>0</v>
      </c>
      <c r="V158">
        <f t="shared" si="160"/>
        <v>0</v>
      </c>
      <c r="W158">
        <f t="shared" si="161"/>
        <v>0</v>
      </c>
      <c r="X158">
        <f t="shared" si="162"/>
        <v>0</v>
      </c>
      <c r="Y158">
        <f t="shared" si="163"/>
        <v>0</v>
      </c>
      <c r="AA158">
        <v>56498968</v>
      </c>
      <c r="AB158">
        <f t="shared" si="164"/>
        <v>4880.62</v>
      </c>
      <c r="AC158">
        <f t="shared" si="165"/>
        <v>4880.62</v>
      </c>
      <c r="AD158">
        <f t="shared" si="187"/>
        <v>0</v>
      </c>
      <c r="AE158">
        <f t="shared" si="188"/>
        <v>0</v>
      </c>
      <c r="AF158">
        <f t="shared" si="189"/>
        <v>0</v>
      </c>
      <c r="AG158">
        <f t="shared" si="166"/>
        <v>0</v>
      </c>
      <c r="AH158">
        <f t="shared" si="190"/>
        <v>0</v>
      </c>
      <c r="AI158">
        <f t="shared" si="191"/>
        <v>0</v>
      </c>
      <c r="AJ158">
        <f t="shared" si="167"/>
        <v>0</v>
      </c>
      <c r="AK158">
        <v>4880.62</v>
      </c>
      <c r="AL158">
        <v>4880.62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90</v>
      </c>
      <c r="AU158">
        <v>46</v>
      </c>
      <c r="AV158">
        <v>1</v>
      </c>
      <c r="AW158">
        <v>1</v>
      </c>
      <c r="AZ158">
        <v>1</v>
      </c>
      <c r="BA158">
        <v>1</v>
      </c>
      <c r="BB158">
        <v>1</v>
      </c>
      <c r="BC158">
        <v>9.8800000000000008</v>
      </c>
      <c r="BD158" t="s">
        <v>3</v>
      </c>
      <c r="BE158" t="s">
        <v>3</v>
      </c>
      <c r="BF158" t="s">
        <v>3</v>
      </c>
      <c r="BG158" t="s">
        <v>3</v>
      </c>
      <c r="BH158">
        <v>3</v>
      </c>
      <c r="BI158">
        <v>2</v>
      </c>
      <c r="BJ158" t="s">
        <v>3</v>
      </c>
      <c r="BM158">
        <v>68</v>
      </c>
      <c r="BN158">
        <v>0</v>
      </c>
      <c r="BO158" t="s">
        <v>3</v>
      </c>
      <c r="BP158">
        <v>0</v>
      </c>
      <c r="BQ158">
        <v>40</v>
      </c>
      <c r="BR158">
        <v>0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 t="s">
        <v>3</v>
      </c>
      <c r="BZ158">
        <v>90</v>
      </c>
      <c r="CA158">
        <v>46</v>
      </c>
      <c r="CB158" t="s">
        <v>3</v>
      </c>
      <c r="CE158">
        <v>30</v>
      </c>
      <c r="CF158">
        <v>0</v>
      </c>
      <c r="CG158">
        <v>0</v>
      </c>
      <c r="CM158">
        <v>0</v>
      </c>
      <c r="CN158" t="s">
        <v>3</v>
      </c>
      <c r="CO158">
        <v>0</v>
      </c>
      <c r="CP158">
        <f t="shared" si="168"/>
        <v>196.71</v>
      </c>
      <c r="CQ158">
        <f t="shared" si="169"/>
        <v>48220.53</v>
      </c>
      <c r="CR158">
        <f t="shared" si="192"/>
        <v>0</v>
      </c>
      <c r="CS158">
        <f t="shared" si="170"/>
        <v>0</v>
      </c>
      <c r="CT158">
        <f t="shared" si="171"/>
        <v>0</v>
      </c>
      <c r="CU158">
        <f t="shared" si="172"/>
        <v>0</v>
      </c>
      <c r="CV158">
        <f t="shared" si="173"/>
        <v>0</v>
      </c>
      <c r="CW158">
        <f t="shared" si="174"/>
        <v>0</v>
      </c>
      <c r="CX158">
        <f t="shared" si="175"/>
        <v>0</v>
      </c>
      <c r="CY158">
        <f t="shared" si="176"/>
        <v>0</v>
      </c>
      <c r="CZ158">
        <f t="shared" si="177"/>
        <v>0</v>
      </c>
      <c r="DC158" t="s">
        <v>3</v>
      </c>
      <c r="DD158" t="s">
        <v>3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>
        <v>0</v>
      </c>
      <c r="DO158">
        <v>0</v>
      </c>
      <c r="DP158">
        <v>1</v>
      </c>
      <c r="DQ158">
        <v>1</v>
      </c>
      <c r="DU158">
        <v>1003</v>
      </c>
      <c r="DV158" t="s">
        <v>271</v>
      </c>
      <c r="DW158" t="s">
        <v>271</v>
      </c>
      <c r="DX158">
        <v>1000</v>
      </c>
      <c r="DZ158" t="s">
        <v>3</v>
      </c>
      <c r="EA158" t="s">
        <v>3</v>
      </c>
      <c r="EB158" t="s">
        <v>3</v>
      </c>
      <c r="EC158" t="s">
        <v>3</v>
      </c>
      <c r="EE158">
        <v>58162630</v>
      </c>
      <c r="EF158">
        <v>40</v>
      </c>
      <c r="EG158" t="s">
        <v>25</v>
      </c>
      <c r="EH158">
        <v>0</v>
      </c>
      <c r="EI158" t="s">
        <v>3</v>
      </c>
      <c r="EJ158">
        <v>2</v>
      </c>
      <c r="EK158">
        <v>68</v>
      </c>
      <c r="EL158" t="s">
        <v>26</v>
      </c>
      <c r="EM158" t="s">
        <v>27</v>
      </c>
      <c r="EO158" t="s">
        <v>3</v>
      </c>
      <c r="EQ158">
        <v>0</v>
      </c>
      <c r="ER158">
        <v>4880.62</v>
      </c>
      <c r="ES158">
        <v>4880.62</v>
      </c>
      <c r="ET158">
        <v>0</v>
      </c>
      <c r="EU158">
        <v>0</v>
      </c>
      <c r="EV158">
        <v>0</v>
      </c>
      <c r="EW158">
        <v>0</v>
      </c>
      <c r="EX158">
        <v>0</v>
      </c>
      <c r="EZ158">
        <v>5</v>
      </c>
      <c r="FC158">
        <v>1</v>
      </c>
      <c r="FD158">
        <v>18</v>
      </c>
      <c r="FF158">
        <v>56730</v>
      </c>
      <c r="FQ158">
        <v>0</v>
      </c>
      <c r="FR158">
        <v>0</v>
      </c>
      <c r="FS158">
        <v>0</v>
      </c>
      <c r="FX158">
        <v>90</v>
      </c>
      <c r="FY158">
        <v>46</v>
      </c>
      <c r="GA158" t="s">
        <v>276</v>
      </c>
      <c r="GD158">
        <v>1</v>
      </c>
      <c r="GF158">
        <v>1414005442</v>
      </c>
      <c r="GG158">
        <v>2</v>
      </c>
      <c r="GH158">
        <v>3</v>
      </c>
      <c r="GI158">
        <v>5</v>
      </c>
      <c r="GJ158">
        <v>0</v>
      </c>
      <c r="GK158">
        <v>0</v>
      </c>
      <c r="GL158">
        <f t="shared" si="178"/>
        <v>0</v>
      </c>
      <c r="GM158">
        <f t="shared" si="179"/>
        <v>196.71</v>
      </c>
      <c r="GN158">
        <f t="shared" si="180"/>
        <v>0</v>
      </c>
      <c r="GO158">
        <f t="shared" si="181"/>
        <v>196.71</v>
      </c>
      <c r="GP158">
        <f t="shared" si="182"/>
        <v>0</v>
      </c>
      <c r="GR158">
        <v>1</v>
      </c>
      <c r="GS158">
        <v>1</v>
      </c>
      <c r="GT158">
        <v>0</v>
      </c>
      <c r="GU158" t="s">
        <v>3</v>
      </c>
      <c r="GV158">
        <f t="shared" si="183"/>
        <v>0</v>
      </c>
      <c r="GW158">
        <v>1</v>
      </c>
      <c r="GX158">
        <f t="shared" si="184"/>
        <v>0</v>
      </c>
      <c r="HA158">
        <v>0</v>
      </c>
      <c r="HB158">
        <v>0</v>
      </c>
      <c r="HC158">
        <f t="shared" si="185"/>
        <v>0</v>
      </c>
      <c r="HE158" t="s">
        <v>72</v>
      </c>
      <c r="HF158" t="s">
        <v>39</v>
      </c>
      <c r="HM158" t="s">
        <v>3</v>
      </c>
      <c r="HN158" t="s">
        <v>3</v>
      </c>
      <c r="HO158" t="s">
        <v>3</v>
      </c>
      <c r="HP158" t="s">
        <v>3</v>
      </c>
      <c r="HQ158" t="s">
        <v>3</v>
      </c>
      <c r="HS158">
        <v>0</v>
      </c>
      <c r="IK158">
        <v>0</v>
      </c>
    </row>
    <row r="159" spans="1:255" x14ac:dyDescent="0.3">
      <c r="A159" s="2">
        <v>18</v>
      </c>
      <c r="B159" s="2">
        <v>1</v>
      </c>
      <c r="C159" s="2"/>
      <c r="D159" s="2"/>
      <c r="E159" s="2" t="s">
        <v>277</v>
      </c>
      <c r="F159" s="2" t="s">
        <v>278</v>
      </c>
      <c r="G159" s="2" t="s">
        <v>279</v>
      </c>
      <c r="H159" s="2" t="s">
        <v>271</v>
      </c>
      <c r="I159" s="2">
        <f>I147*J159</f>
        <v>0.43859999999999999</v>
      </c>
      <c r="J159" s="2">
        <v>7.329545454545454E-3</v>
      </c>
      <c r="K159" s="2">
        <v>7.3295499999999998E-3</v>
      </c>
      <c r="L159" s="2"/>
      <c r="M159" s="2"/>
      <c r="N159" s="2"/>
      <c r="O159" s="2">
        <f t="shared" si="154"/>
        <v>1562.93</v>
      </c>
      <c r="P159" s="2">
        <f t="shared" si="155"/>
        <v>1562.93</v>
      </c>
      <c r="Q159" s="2">
        <f t="shared" si="186"/>
        <v>0</v>
      </c>
      <c r="R159" s="2">
        <f t="shared" si="156"/>
        <v>0</v>
      </c>
      <c r="S159" s="2">
        <f t="shared" si="157"/>
        <v>0</v>
      </c>
      <c r="T159" s="2">
        <f t="shared" si="158"/>
        <v>0</v>
      </c>
      <c r="U159" s="2">
        <f t="shared" si="159"/>
        <v>0</v>
      </c>
      <c r="V159" s="2">
        <f t="shared" si="160"/>
        <v>0</v>
      </c>
      <c r="W159" s="2">
        <f t="shared" si="161"/>
        <v>0</v>
      </c>
      <c r="X159" s="2">
        <f t="shared" si="162"/>
        <v>0</v>
      </c>
      <c r="Y159" s="2">
        <f t="shared" si="163"/>
        <v>0</v>
      </c>
      <c r="Z159" s="2"/>
      <c r="AA159" s="2">
        <v>56498966</v>
      </c>
      <c r="AB159" s="2">
        <f t="shared" si="164"/>
        <v>3563.46</v>
      </c>
      <c r="AC159" s="2">
        <f t="shared" si="165"/>
        <v>3563.46</v>
      </c>
      <c r="AD159" s="2">
        <f t="shared" si="187"/>
        <v>0</v>
      </c>
      <c r="AE159" s="2">
        <f t="shared" si="188"/>
        <v>0</v>
      </c>
      <c r="AF159" s="2">
        <f t="shared" si="189"/>
        <v>0</v>
      </c>
      <c r="AG159" s="2">
        <f t="shared" si="166"/>
        <v>0</v>
      </c>
      <c r="AH159" s="2">
        <f t="shared" si="190"/>
        <v>0</v>
      </c>
      <c r="AI159" s="2">
        <f t="shared" si="191"/>
        <v>0</v>
      </c>
      <c r="AJ159" s="2">
        <f t="shared" si="167"/>
        <v>0</v>
      </c>
      <c r="AK159" s="2">
        <v>3563.46</v>
      </c>
      <c r="AL159" s="2">
        <v>3563.46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90</v>
      </c>
      <c r="AU159" s="2">
        <v>46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2</v>
      </c>
      <c r="BJ159" s="2" t="s">
        <v>3</v>
      </c>
      <c r="BK159" s="2"/>
      <c r="BL159" s="2"/>
      <c r="BM159" s="2">
        <v>68</v>
      </c>
      <c r="BN159" s="2">
        <v>0</v>
      </c>
      <c r="BO159" s="2" t="s">
        <v>3</v>
      </c>
      <c r="BP159" s="2">
        <v>0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90</v>
      </c>
      <c r="CA159" s="2">
        <v>46</v>
      </c>
      <c r="CB159" s="2" t="s">
        <v>3</v>
      </c>
      <c r="CC159" s="2"/>
      <c r="CD159" s="2"/>
      <c r="CE159" s="2">
        <v>30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68"/>
        <v>1562.93</v>
      </c>
      <c r="CQ159" s="2">
        <f t="shared" si="169"/>
        <v>3563.46</v>
      </c>
      <c r="CR159" s="2">
        <f t="shared" si="192"/>
        <v>0</v>
      </c>
      <c r="CS159" s="2">
        <f t="shared" si="170"/>
        <v>0</v>
      </c>
      <c r="CT159" s="2">
        <f t="shared" si="171"/>
        <v>0</v>
      </c>
      <c r="CU159" s="2">
        <f t="shared" si="172"/>
        <v>0</v>
      </c>
      <c r="CV159" s="2">
        <f t="shared" si="173"/>
        <v>0</v>
      </c>
      <c r="CW159" s="2">
        <f t="shared" si="174"/>
        <v>0</v>
      </c>
      <c r="CX159" s="2">
        <f t="shared" si="175"/>
        <v>0</v>
      </c>
      <c r="CY159" s="2">
        <f t="shared" si="176"/>
        <v>0</v>
      </c>
      <c r="CZ159" s="2">
        <f t="shared" si="177"/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1003</v>
      </c>
      <c r="DV159" s="2" t="s">
        <v>271</v>
      </c>
      <c r="DW159" s="2" t="s">
        <v>271</v>
      </c>
      <c r="DX159" s="2">
        <v>1000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58162630</v>
      </c>
      <c r="EF159" s="2">
        <v>40</v>
      </c>
      <c r="EG159" s="2" t="s">
        <v>25</v>
      </c>
      <c r="EH159" s="2">
        <v>0</v>
      </c>
      <c r="EI159" s="2" t="s">
        <v>3</v>
      </c>
      <c r="EJ159" s="2">
        <v>2</v>
      </c>
      <c r="EK159" s="2">
        <v>68</v>
      </c>
      <c r="EL159" s="2" t="s">
        <v>26</v>
      </c>
      <c r="EM159" s="2" t="s">
        <v>27</v>
      </c>
      <c r="EN159" s="2"/>
      <c r="EO159" s="2" t="s">
        <v>3</v>
      </c>
      <c r="EP159" s="2"/>
      <c r="EQ159" s="2">
        <v>0</v>
      </c>
      <c r="ER159" s="2">
        <v>0</v>
      </c>
      <c r="ES159" s="2">
        <v>3563.46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90</v>
      </c>
      <c r="FY159" s="2">
        <v>46</v>
      </c>
      <c r="FZ159" s="2"/>
      <c r="GA159" s="2" t="s">
        <v>280</v>
      </c>
      <c r="GB159" s="2"/>
      <c r="GC159" s="2"/>
      <c r="GD159" s="2">
        <v>1</v>
      </c>
      <c r="GE159" s="2"/>
      <c r="GF159" s="2">
        <v>-1533447699</v>
      </c>
      <c r="GG159" s="2">
        <v>2</v>
      </c>
      <c r="GH159" s="2">
        <v>4</v>
      </c>
      <c r="GI159" s="2">
        <v>-2</v>
      </c>
      <c r="GJ159" s="2">
        <v>0</v>
      </c>
      <c r="GK159" s="2">
        <v>0</v>
      </c>
      <c r="GL159" s="2">
        <f t="shared" si="178"/>
        <v>0</v>
      </c>
      <c r="GM159" s="2">
        <f t="shared" si="179"/>
        <v>1562.93</v>
      </c>
      <c r="GN159" s="2">
        <f t="shared" si="180"/>
        <v>0</v>
      </c>
      <c r="GO159" s="2">
        <f t="shared" si="181"/>
        <v>1562.93</v>
      </c>
      <c r="GP159" s="2">
        <f t="shared" si="182"/>
        <v>0</v>
      </c>
      <c r="GQ159" s="2"/>
      <c r="GR159" s="2">
        <v>0</v>
      </c>
      <c r="GS159" s="2">
        <v>2</v>
      </c>
      <c r="GT159" s="2">
        <v>0</v>
      </c>
      <c r="GU159" s="2" t="s">
        <v>3</v>
      </c>
      <c r="GV159" s="2">
        <f t="shared" si="183"/>
        <v>0</v>
      </c>
      <c r="GW159" s="2">
        <v>1</v>
      </c>
      <c r="GX159" s="2">
        <f t="shared" si="184"/>
        <v>0</v>
      </c>
      <c r="GY159" s="2"/>
      <c r="GZ159" s="2"/>
      <c r="HA159" s="2">
        <v>0</v>
      </c>
      <c r="HB159" s="2">
        <v>0</v>
      </c>
      <c r="HC159" s="2">
        <f t="shared" si="185"/>
        <v>0</v>
      </c>
      <c r="HD159" s="2"/>
      <c r="HE159" s="2" t="s">
        <v>72</v>
      </c>
      <c r="HF159" s="2" t="s">
        <v>39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3">
      <c r="A160">
        <v>18</v>
      </c>
      <c r="B160">
        <v>1</v>
      </c>
      <c r="E160" t="s">
        <v>277</v>
      </c>
      <c r="F160" t="s">
        <v>278</v>
      </c>
      <c r="G160" t="s">
        <v>279</v>
      </c>
      <c r="H160" t="s">
        <v>271</v>
      </c>
      <c r="I160">
        <f>I148*J160</f>
        <v>0.43859999999999999</v>
      </c>
      <c r="J160">
        <v>7.329545454545454E-3</v>
      </c>
      <c r="K160">
        <v>7.3295499999999998E-3</v>
      </c>
      <c r="O160">
        <f t="shared" si="154"/>
        <v>15441.75</v>
      </c>
      <c r="P160">
        <f t="shared" si="155"/>
        <v>15441.75</v>
      </c>
      <c r="Q160">
        <f t="shared" si="186"/>
        <v>0</v>
      </c>
      <c r="R160">
        <f t="shared" si="156"/>
        <v>0</v>
      </c>
      <c r="S160">
        <f t="shared" si="157"/>
        <v>0</v>
      </c>
      <c r="T160">
        <f t="shared" si="158"/>
        <v>0</v>
      </c>
      <c r="U160">
        <f t="shared" si="159"/>
        <v>0</v>
      </c>
      <c r="V160">
        <f t="shared" si="160"/>
        <v>0</v>
      </c>
      <c r="W160">
        <f t="shared" si="161"/>
        <v>0</v>
      </c>
      <c r="X160">
        <f t="shared" si="162"/>
        <v>0</v>
      </c>
      <c r="Y160">
        <f t="shared" si="163"/>
        <v>0</v>
      </c>
      <c r="AA160">
        <v>56498968</v>
      </c>
      <c r="AB160">
        <f t="shared" si="164"/>
        <v>3563.46</v>
      </c>
      <c r="AC160">
        <f t="shared" si="165"/>
        <v>3563.46</v>
      </c>
      <c r="AD160">
        <f t="shared" si="187"/>
        <v>0</v>
      </c>
      <c r="AE160">
        <f t="shared" si="188"/>
        <v>0</v>
      </c>
      <c r="AF160">
        <f t="shared" si="189"/>
        <v>0</v>
      </c>
      <c r="AG160">
        <f t="shared" si="166"/>
        <v>0</v>
      </c>
      <c r="AH160">
        <f t="shared" si="190"/>
        <v>0</v>
      </c>
      <c r="AI160">
        <f t="shared" si="191"/>
        <v>0</v>
      </c>
      <c r="AJ160">
        <f t="shared" si="167"/>
        <v>0</v>
      </c>
      <c r="AK160">
        <v>3563.46</v>
      </c>
      <c r="AL160">
        <v>3563.46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90</v>
      </c>
      <c r="AU160">
        <v>46</v>
      </c>
      <c r="AV160">
        <v>1</v>
      </c>
      <c r="AW160">
        <v>1</v>
      </c>
      <c r="AZ160">
        <v>1</v>
      </c>
      <c r="BA160">
        <v>1</v>
      </c>
      <c r="BB160">
        <v>1</v>
      </c>
      <c r="BC160">
        <v>9.8800000000000008</v>
      </c>
      <c r="BD160" t="s">
        <v>3</v>
      </c>
      <c r="BE160" t="s">
        <v>3</v>
      </c>
      <c r="BF160" t="s">
        <v>3</v>
      </c>
      <c r="BG160" t="s">
        <v>3</v>
      </c>
      <c r="BH160">
        <v>3</v>
      </c>
      <c r="BI160">
        <v>2</v>
      </c>
      <c r="BJ160" t="s">
        <v>3</v>
      </c>
      <c r="BM160">
        <v>68</v>
      </c>
      <c r="BN160">
        <v>0</v>
      </c>
      <c r="BO160" t="s">
        <v>3</v>
      </c>
      <c r="BP160">
        <v>0</v>
      </c>
      <c r="BQ160">
        <v>40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 t="s">
        <v>3</v>
      </c>
      <c r="BZ160">
        <v>90</v>
      </c>
      <c r="CA160">
        <v>46</v>
      </c>
      <c r="CB160" t="s">
        <v>3</v>
      </c>
      <c r="CE160">
        <v>30</v>
      </c>
      <c r="CF160">
        <v>0</v>
      </c>
      <c r="CG160">
        <v>0</v>
      </c>
      <c r="CM160">
        <v>0</v>
      </c>
      <c r="CN160" t="s">
        <v>3</v>
      </c>
      <c r="CO160">
        <v>0</v>
      </c>
      <c r="CP160">
        <f t="shared" si="168"/>
        <v>15441.75</v>
      </c>
      <c r="CQ160">
        <f t="shared" si="169"/>
        <v>35206.980000000003</v>
      </c>
      <c r="CR160">
        <f t="shared" si="192"/>
        <v>0</v>
      </c>
      <c r="CS160">
        <f t="shared" si="170"/>
        <v>0</v>
      </c>
      <c r="CT160">
        <f t="shared" si="171"/>
        <v>0</v>
      </c>
      <c r="CU160">
        <f t="shared" si="172"/>
        <v>0</v>
      </c>
      <c r="CV160">
        <f t="shared" si="173"/>
        <v>0</v>
      </c>
      <c r="CW160">
        <f t="shared" si="174"/>
        <v>0</v>
      </c>
      <c r="CX160">
        <f t="shared" si="175"/>
        <v>0</v>
      </c>
      <c r="CY160">
        <f t="shared" si="176"/>
        <v>0</v>
      </c>
      <c r="CZ160">
        <f t="shared" si="177"/>
        <v>0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>
        <v>0</v>
      </c>
      <c r="DO160">
        <v>0</v>
      </c>
      <c r="DP160">
        <v>1</v>
      </c>
      <c r="DQ160">
        <v>1</v>
      </c>
      <c r="DU160">
        <v>1003</v>
      </c>
      <c r="DV160" t="s">
        <v>271</v>
      </c>
      <c r="DW160" t="s">
        <v>271</v>
      </c>
      <c r="DX160">
        <v>1000</v>
      </c>
      <c r="DZ160" t="s">
        <v>3</v>
      </c>
      <c r="EA160" t="s">
        <v>3</v>
      </c>
      <c r="EB160" t="s">
        <v>3</v>
      </c>
      <c r="EC160" t="s">
        <v>3</v>
      </c>
      <c r="EE160">
        <v>58162630</v>
      </c>
      <c r="EF160">
        <v>40</v>
      </c>
      <c r="EG160" t="s">
        <v>25</v>
      </c>
      <c r="EH160">
        <v>0</v>
      </c>
      <c r="EI160" t="s">
        <v>3</v>
      </c>
      <c r="EJ160">
        <v>2</v>
      </c>
      <c r="EK160">
        <v>68</v>
      </c>
      <c r="EL160" t="s">
        <v>26</v>
      </c>
      <c r="EM160" t="s">
        <v>27</v>
      </c>
      <c r="EO160" t="s">
        <v>3</v>
      </c>
      <c r="EQ160">
        <v>0</v>
      </c>
      <c r="ER160">
        <v>3563.46</v>
      </c>
      <c r="ES160">
        <v>3563.46</v>
      </c>
      <c r="ET160">
        <v>0</v>
      </c>
      <c r="EU160">
        <v>0</v>
      </c>
      <c r="EV160">
        <v>0</v>
      </c>
      <c r="EW160">
        <v>0</v>
      </c>
      <c r="EX160">
        <v>0</v>
      </c>
      <c r="EZ160">
        <v>5</v>
      </c>
      <c r="FC160">
        <v>1</v>
      </c>
      <c r="FD160">
        <v>18</v>
      </c>
      <c r="FF160">
        <v>41420</v>
      </c>
      <c r="FQ160">
        <v>0</v>
      </c>
      <c r="FR160">
        <v>0</v>
      </c>
      <c r="FS160">
        <v>0</v>
      </c>
      <c r="FX160">
        <v>90</v>
      </c>
      <c r="FY160">
        <v>46</v>
      </c>
      <c r="GA160" t="s">
        <v>280</v>
      </c>
      <c r="GD160">
        <v>1</v>
      </c>
      <c r="GF160">
        <v>-1533447699</v>
      </c>
      <c r="GG160">
        <v>2</v>
      </c>
      <c r="GH160">
        <v>3</v>
      </c>
      <c r="GI160">
        <v>5</v>
      </c>
      <c r="GJ160">
        <v>0</v>
      </c>
      <c r="GK160">
        <v>0</v>
      </c>
      <c r="GL160">
        <f t="shared" si="178"/>
        <v>0</v>
      </c>
      <c r="GM160">
        <f t="shared" si="179"/>
        <v>15441.75</v>
      </c>
      <c r="GN160">
        <f t="shared" si="180"/>
        <v>0</v>
      </c>
      <c r="GO160">
        <f t="shared" si="181"/>
        <v>15441.75</v>
      </c>
      <c r="GP160">
        <f t="shared" si="182"/>
        <v>0</v>
      </c>
      <c r="GR160">
        <v>1</v>
      </c>
      <c r="GS160">
        <v>1</v>
      </c>
      <c r="GT160">
        <v>0</v>
      </c>
      <c r="GU160" t="s">
        <v>3</v>
      </c>
      <c r="GV160">
        <f t="shared" si="183"/>
        <v>0</v>
      </c>
      <c r="GW160">
        <v>1</v>
      </c>
      <c r="GX160">
        <f t="shared" si="184"/>
        <v>0</v>
      </c>
      <c r="HA160">
        <v>0</v>
      </c>
      <c r="HB160">
        <v>0</v>
      </c>
      <c r="HC160">
        <f t="shared" si="185"/>
        <v>0</v>
      </c>
      <c r="HE160" t="s">
        <v>72</v>
      </c>
      <c r="HF160" t="s">
        <v>39</v>
      </c>
      <c r="HM160" t="s">
        <v>3</v>
      </c>
      <c r="HN160" t="s">
        <v>3</v>
      </c>
      <c r="HO160" t="s">
        <v>3</v>
      </c>
      <c r="HP160" t="s">
        <v>3</v>
      </c>
      <c r="HQ160" t="s">
        <v>3</v>
      </c>
      <c r="HS160">
        <v>0</v>
      </c>
      <c r="IK160">
        <v>0</v>
      </c>
    </row>
    <row r="161" spans="1:255" x14ac:dyDescent="0.3">
      <c r="A161" s="2">
        <v>18</v>
      </c>
      <c r="B161" s="2">
        <v>1</v>
      </c>
      <c r="C161" s="2"/>
      <c r="D161" s="2"/>
      <c r="E161" s="2" t="s">
        <v>281</v>
      </c>
      <c r="F161" s="2" t="s">
        <v>282</v>
      </c>
      <c r="G161" s="2" t="s">
        <v>283</v>
      </c>
      <c r="H161" s="2" t="s">
        <v>271</v>
      </c>
      <c r="I161" s="2">
        <f>I147*J161</f>
        <v>5.1509999999999998</v>
      </c>
      <c r="J161" s="2">
        <v>8.607954545454545E-2</v>
      </c>
      <c r="K161" s="2">
        <v>8.6079550000000005E-2</v>
      </c>
      <c r="L161" s="2"/>
      <c r="M161" s="2"/>
      <c r="N161" s="2"/>
      <c r="O161" s="2">
        <f t="shared" si="154"/>
        <v>13994.75</v>
      </c>
      <c r="P161" s="2">
        <f t="shared" si="155"/>
        <v>13994.75</v>
      </c>
      <c r="Q161" s="2">
        <f t="shared" si="186"/>
        <v>0</v>
      </c>
      <c r="R161" s="2">
        <f t="shared" si="156"/>
        <v>0</v>
      </c>
      <c r="S161" s="2">
        <f t="shared" si="157"/>
        <v>0</v>
      </c>
      <c r="T161" s="2">
        <f t="shared" si="158"/>
        <v>0</v>
      </c>
      <c r="U161" s="2">
        <f t="shared" si="159"/>
        <v>0</v>
      </c>
      <c r="V161" s="2">
        <f t="shared" si="160"/>
        <v>0</v>
      </c>
      <c r="W161" s="2">
        <f t="shared" si="161"/>
        <v>0</v>
      </c>
      <c r="X161" s="2">
        <f t="shared" si="162"/>
        <v>0</v>
      </c>
      <c r="Y161" s="2">
        <f t="shared" si="163"/>
        <v>0</v>
      </c>
      <c r="Z161" s="2"/>
      <c r="AA161" s="2">
        <v>56498966</v>
      </c>
      <c r="AB161" s="2">
        <f t="shared" si="164"/>
        <v>2716.9</v>
      </c>
      <c r="AC161" s="2">
        <f t="shared" si="165"/>
        <v>2716.9</v>
      </c>
      <c r="AD161" s="2">
        <f t="shared" si="187"/>
        <v>0</v>
      </c>
      <c r="AE161" s="2">
        <f t="shared" si="188"/>
        <v>0</v>
      </c>
      <c r="AF161" s="2">
        <f t="shared" si="189"/>
        <v>0</v>
      </c>
      <c r="AG161" s="2">
        <f t="shared" si="166"/>
        <v>0</v>
      </c>
      <c r="AH161" s="2">
        <f t="shared" si="190"/>
        <v>0</v>
      </c>
      <c r="AI161" s="2">
        <f t="shared" si="191"/>
        <v>0</v>
      </c>
      <c r="AJ161" s="2">
        <f t="shared" si="167"/>
        <v>0</v>
      </c>
      <c r="AK161" s="2">
        <v>2716.9</v>
      </c>
      <c r="AL161" s="2">
        <v>2716.9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90</v>
      </c>
      <c r="AU161" s="2">
        <v>46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2</v>
      </c>
      <c r="BJ161" s="2" t="s">
        <v>3</v>
      </c>
      <c r="BK161" s="2"/>
      <c r="BL161" s="2"/>
      <c r="BM161" s="2">
        <v>68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90</v>
      </c>
      <c r="CA161" s="2">
        <v>46</v>
      </c>
      <c r="CB161" s="2" t="s">
        <v>3</v>
      </c>
      <c r="CC161" s="2"/>
      <c r="CD161" s="2"/>
      <c r="CE161" s="2">
        <v>30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si="168"/>
        <v>13994.75</v>
      </c>
      <c r="CQ161" s="2">
        <f t="shared" si="169"/>
        <v>2716.9</v>
      </c>
      <c r="CR161" s="2">
        <f t="shared" si="192"/>
        <v>0</v>
      </c>
      <c r="CS161" s="2">
        <f t="shared" si="170"/>
        <v>0</v>
      </c>
      <c r="CT161" s="2">
        <f t="shared" si="171"/>
        <v>0</v>
      </c>
      <c r="CU161" s="2">
        <f t="shared" si="172"/>
        <v>0</v>
      </c>
      <c r="CV161" s="2">
        <f t="shared" si="173"/>
        <v>0</v>
      </c>
      <c r="CW161" s="2">
        <f t="shared" si="174"/>
        <v>0</v>
      </c>
      <c r="CX161" s="2">
        <f t="shared" si="175"/>
        <v>0</v>
      </c>
      <c r="CY161" s="2">
        <f t="shared" si="176"/>
        <v>0</v>
      </c>
      <c r="CZ161" s="2">
        <f t="shared" si="177"/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1003</v>
      </c>
      <c r="DV161" s="2" t="s">
        <v>271</v>
      </c>
      <c r="DW161" s="2" t="s">
        <v>271</v>
      </c>
      <c r="DX161" s="2">
        <v>1000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58162630</v>
      </c>
      <c r="EF161" s="2">
        <v>40</v>
      </c>
      <c r="EG161" s="2" t="s">
        <v>25</v>
      </c>
      <c r="EH161" s="2">
        <v>0</v>
      </c>
      <c r="EI161" s="2" t="s">
        <v>3</v>
      </c>
      <c r="EJ161" s="2">
        <v>2</v>
      </c>
      <c r="EK161" s="2">
        <v>68</v>
      </c>
      <c r="EL161" s="2" t="s">
        <v>26</v>
      </c>
      <c r="EM161" s="2" t="s">
        <v>27</v>
      </c>
      <c r="EN161" s="2"/>
      <c r="EO161" s="2" t="s">
        <v>3</v>
      </c>
      <c r="EP161" s="2"/>
      <c r="EQ161" s="2">
        <v>0</v>
      </c>
      <c r="ER161" s="2">
        <v>0</v>
      </c>
      <c r="ES161" s="2">
        <v>2716.9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90</v>
      </c>
      <c r="FY161" s="2">
        <v>46</v>
      </c>
      <c r="FZ161" s="2"/>
      <c r="GA161" s="2" t="s">
        <v>284</v>
      </c>
      <c r="GB161" s="2"/>
      <c r="GC161" s="2"/>
      <c r="GD161" s="2">
        <v>1</v>
      </c>
      <c r="GE161" s="2"/>
      <c r="GF161" s="2">
        <v>1242618067</v>
      </c>
      <c r="GG161" s="2">
        <v>2</v>
      </c>
      <c r="GH161" s="2">
        <v>4</v>
      </c>
      <c r="GI161" s="2">
        <v>-2</v>
      </c>
      <c r="GJ161" s="2">
        <v>0</v>
      </c>
      <c r="GK161" s="2">
        <v>0</v>
      </c>
      <c r="GL161" s="2">
        <f t="shared" si="178"/>
        <v>0</v>
      </c>
      <c r="GM161" s="2">
        <f t="shared" si="179"/>
        <v>13994.75</v>
      </c>
      <c r="GN161" s="2">
        <f t="shared" si="180"/>
        <v>0</v>
      </c>
      <c r="GO161" s="2">
        <f t="shared" si="181"/>
        <v>13994.75</v>
      </c>
      <c r="GP161" s="2">
        <f t="shared" si="182"/>
        <v>0</v>
      </c>
      <c r="GQ161" s="2"/>
      <c r="GR161" s="2">
        <v>0</v>
      </c>
      <c r="GS161" s="2">
        <v>2</v>
      </c>
      <c r="GT161" s="2">
        <v>0</v>
      </c>
      <c r="GU161" s="2" t="s">
        <v>3</v>
      </c>
      <c r="GV161" s="2">
        <f t="shared" si="183"/>
        <v>0</v>
      </c>
      <c r="GW161" s="2">
        <v>1</v>
      </c>
      <c r="GX161" s="2">
        <f t="shared" si="184"/>
        <v>0</v>
      </c>
      <c r="GY161" s="2"/>
      <c r="GZ161" s="2"/>
      <c r="HA161" s="2">
        <v>0</v>
      </c>
      <c r="HB161" s="2">
        <v>0</v>
      </c>
      <c r="HC161" s="2">
        <f t="shared" si="185"/>
        <v>0</v>
      </c>
      <c r="HD161" s="2"/>
      <c r="HE161" s="2" t="s">
        <v>72</v>
      </c>
      <c r="HF161" s="2" t="s">
        <v>39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3">
      <c r="A162">
        <v>18</v>
      </c>
      <c r="B162">
        <v>1</v>
      </c>
      <c r="E162" t="s">
        <v>281</v>
      </c>
      <c r="F162" t="s">
        <v>282</v>
      </c>
      <c r="G162" t="s">
        <v>283</v>
      </c>
      <c r="H162" t="s">
        <v>271</v>
      </c>
      <c r="I162">
        <f>I148*J162</f>
        <v>5.1509999999999998</v>
      </c>
      <c r="J162">
        <v>8.607954545454545E-2</v>
      </c>
      <c r="K162">
        <v>8.6079550000000005E-2</v>
      </c>
      <c r="O162">
        <f t="shared" si="154"/>
        <v>138268.13</v>
      </c>
      <c r="P162">
        <f t="shared" si="155"/>
        <v>138268.13</v>
      </c>
      <c r="Q162">
        <f t="shared" si="186"/>
        <v>0</v>
      </c>
      <c r="R162">
        <f t="shared" si="156"/>
        <v>0</v>
      </c>
      <c r="S162">
        <f t="shared" si="157"/>
        <v>0</v>
      </c>
      <c r="T162">
        <f t="shared" si="158"/>
        <v>0</v>
      </c>
      <c r="U162">
        <f t="shared" si="159"/>
        <v>0</v>
      </c>
      <c r="V162">
        <f t="shared" si="160"/>
        <v>0</v>
      </c>
      <c r="W162">
        <f t="shared" si="161"/>
        <v>0</v>
      </c>
      <c r="X162">
        <f t="shared" si="162"/>
        <v>0</v>
      </c>
      <c r="Y162">
        <f t="shared" si="163"/>
        <v>0</v>
      </c>
      <c r="AA162">
        <v>56498968</v>
      </c>
      <c r="AB162">
        <f t="shared" si="164"/>
        <v>2716.9</v>
      </c>
      <c r="AC162">
        <f t="shared" si="165"/>
        <v>2716.9</v>
      </c>
      <c r="AD162">
        <f t="shared" si="187"/>
        <v>0</v>
      </c>
      <c r="AE162">
        <f t="shared" si="188"/>
        <v>0</v>
      </c>
      <c r="AF162">
        <f t="shared" si="189"/>
        <v>0</v>
      </c>
      <c r="AG162">
        <f t="shared" si="166"/>
        <v>0</v>
      </c>
      <c r="AH162">
        <f t="shared" si="190"/>
        <v>0</v>
      </c>
      <c r="AI162">
        <f t="shared" si="191"/>
        <v>0</v>
      </c>
      <c r="AJ162">
        <f t="shared" si="167"/>
        <v>0</v>
      </c>
      <c r="AK162">
        <v>2716.9</v>
      </c>
      <c r="AL162">
        <v>2716.9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90</v>
      </c>
      <c r="AU162">
        <v>46</v>
      </c>
      <c r="AV162">
        <v>1</v>
      </c>
      <c r="AW162">
        <v>1</v>
      </c>
      <c r="AZ162">
        <v>1</v>
      </c>
      <c r="BA162">
        <v>1</v>
      </c>
      <c r="BB162">
        <v>1</v>
      </c>
      <c r="BC162">
        <v>9.8800000000000008</v>
      </c>
      <c r="BD162" t="s">
        <v>3</v>
      </c>
      <c r="BE162" t="s">
        <v>3</v>
      </c>
      <c r="BF162" t="s">
        <v>3</v>
      </c>
      <c r="BG162" t="s">
        <v>3</v>
      </c>
      <c r="BH162">
        <v>3</v>
      </c>
      <c r="BI162">
        <v>2</v>
      </c>
      <c r="BJ162" t="s">
        <v>3</v>
      </c>
      <c r="BM162">
        <v>68</v>
      </c>
      <c r="BN162">
        <v>0</v>
      </c>
      <c r="BO162" t="s">
        <v>3</v>
      </c>
      <c r="BP162">
        <v>0</v>
      </c>
      <c r="BQ162">
        <v>40</v>
      </c>
      <c r="BR162">
        <v>0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 t="s">
        <v>3</v>
      </c>
      <c r="BZ162">
        <v>90</v>
      </c>
      <c r="CA162">
        <v>46</v>
      </c>
      <c r="CB162" t="s">
        <v>3</v>
      </c>
      <c r="CE162">
        <v>30</v>
      </c>
      <c r="CF162">
        <v>0</v>
      </c>
      <c r="CG162">
        <v>0</v>
      </c>
      <c r="CM162">
        <v>0</v>
      </c>
      <c r="CN162" t="s">
        <v>3</v>
      </c>
      <c r="CO162">
        <v>0</v>
      </c>
      <c r="CP162">
        <f t="shared" si="168"/>
        <v>138268.13</v>
      </c>
      <c r="CQ162">
        <f t="shared" si="169"/>
        <v>26842.97</v>
      </c>
      <c r="CR162">
        <f t="shared" si="192"/>
        <v>0</v>
      </c>
      <c r="CS162">
        <f t="shared" si="170"/>
        <v>0</v>
      </c>
      <c r="CT162">
        <f t="shared" si="171"/>
        <v>0</v>
      </c>
      <c r="CU162">
        <f t="shared" si="172"/>
        <v>0</v>
      </c>
      <c r="CV162">
        <f t="shared" si="173"/>
        <v>0</v>
      </c>
      <c r="CW162">
        <f t="shared" si="174"/>
        <v>0</v>
      </c>
      <c r="CX162">
        <f t="shared" si="175"/>
        <v>0</v>
      </c>
      <c r="CY162">
        <f t="shared" si="176"/>
        <v>0</v>
      </c>
      <c r="CZ162">
        <f t="shared" si="177"/>
        <v>0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  <c r="DN162">
        <v>0</v>
      </c>
      <c r="DO162">
        <v>0</v>
      </c>
      <c r="DP162">
        <v>1</v>
      </c>
      <c r="DQ162">
        <v>1</v>
      </c>
      <c r="DU162">
        <v>1003</v>
      </c>
      <c r="DV162" t="s">
        <v>271</v>
      </c>
      <c r="DW162" t="s">
        <v>271</v>
      </c>
      <c r="DX162">
        <v>1000</v>
      </c>
      <c r="DZ162" t="s">
        <v>3</v>
      </c>
      <c r="EA162" t="s">
        <v>3</v>
      </c>
      <c r="EB162" t="s">
        <v>3</v>
      </c>
      <c r="EC162" t="s">
        <v>3</v>
      </c>
      <c r="EE162">
        <v>58162630</v>
      </c>
      <c r="EF162">
        <v>40</v>
      </c>
      <c r="EG162" t="s">
        <v>25</v>
      </c>
      <c r="EH162">
        <v>0</v>
      </c>
      <c r="EI162" t="s">
        <v>3</v>
      </c>
      <c r="EJ162">
        <v>2</v>
      </c>
      <c r="EK162">
        <v>68</v>
      </c>
      <c r="EL162" t="s">
        <v>26</v>
      </c>
      <c r="EM162" t="s">
        <v>27</v>
      </c>
      <c r="EO162" t="s">
        <v>3</v>
      </c>
      <c r="EQ162">
        <v>0</v>
      </c>
      <c r="ER162">
        <v>2716.9</v>
      </c>
      <c r="ES162">
        <v>2716.9</v>
      </c>
      <c r="ET162">
        <v>0</v>
      </c>
      <c r="EU162">
        <v>0</v>
      </c>
      <c r="EV162">
        <v>0</v>
      </c>
      <c r="EW162">
        <v>0</v>
      </c>
      <c r="EX162">
        <v>0</v>
      </c>
      <c r="EZ162">
        <v>5</v>
      </c>
      <c r="FC162">
        <v>1</v>
      </c>
      <c r="FD162">
        <v>18</v>
      </c>
      <c r="FF162">
        <v>31580</v>
      </c>
      <c r="FQ162">
        <v>0</v>
      </c>
      <c r="FR162">
        <v>0</v>
      </c>
      <c r="FS162">
        <v>0</v>
      </c>
      <c r="FX162">
        <v>90</v>
      </c>
      <c r="FY162">
        <v>46</v>
      </c>
      <c r="GA162" t="s">
        <v>284</v>
      </c>
      <c r="GD162">
        <v>1</v>
      </c>
      <c r="GF162">
        <v>1242618067</v>
      </c>
      <c r="GG162">
        <v>2</v>
      </c>
      <c r="GH162">
        <v>3</v>
      </c>
      <c r="GI162">
        <v>5</v>
      </c>
      <c r="GJ162">
        <v>0</v>
      </c>
      <c r="GK162">
        <v>0</v>
      </c>
      <c r="GL162">
        <f t="shared" si="178"/>
        <v>0</v>
      </c>
      <c r="GM162">
        <f t="shared" si="179"/>
        <v>138268.13</v>
      </c>
      <c r="GN162">
        <f t="shared" si="180"/>
        <v>0</v>
      </c>
      <c r="GO162">
        <f t="shared" si="181"/>
        <v>138268.13</v>
      </c>
      <c r="GP162">
        <f t="shared" si="182"/>
        <v>0</v>
      </c>
      <c r="GR162">
        <v>1</v>
      </c>
      <c r="GS162">
        <v>1</v>
      </c>
      <c r="GT162">
        <v>0</v>
      </c>
      <c r="GU162" t="s">
        <v>3</v>
      </c>
      <c r="GV162">
        <f t="shared" si="183"/>
        <v>0</v>
      </c>
      <c r="GW162">
        <v>1</v>
      </c>
      <c r="GX162">
        <f t="shared" si="184"/>
        <v>0</v>
      </c>
      <c r="HA162">
        <v>0</v>
      </c>
      <c r="HB162">
        <v>0</v>
      </c>
      <c r="HC162">
        <f t="shared" si="185"/>
        <v>0</v>
      </c>
      <c r="HE162" t="s">
        <v>72</v>
      </c>
      <c r="HF162" t="s">
        <v>39</v>
      </c>
      <c r="HM162" t="s">
        <v>3</v>
      </c>
      <c r="HN162" t="s">
        <v>3</v>
      </c>
      <c r="HO162" t="s">
        <v>3</v>
      </c>
      <c r="HP162" t="s">
        <v>3</v>
      </c>
      <c r="HQ162" t="s">
        <v>3</v>
      </c>
      <c r="HS162">
        <v>0</v>
      </c>
      <c r="IK162">
        <v>0</v>
      </c>
    </row>
    <row r="163" spans="1:255" x14ac:dyDescent="0.3">
      <c r="A163" s="2">
        <v>18</v>
      </c>
      <c r="B163" s="2">
        <v>1</v>
      </c>
      <c r="C163" s="2"/>
      <c r="D163" s="2"/>
      <c r="E163" s="2" t="s">
        <v>285</v>
      </c>
      <c r="F163" s="2" t="s">
        <v>286</v>
      </c>
      <c r="G163" s="2" t="s">
        <v>287</v>
      </c>
      <c r="H163" s="2" t="s">
        <v>186</v>
      </c>
      <c r="I163" s="2">
        <f>I147*J163</f>
        <v>141.22239999999999</v>
      </c>
      <c r="J163" s="2">
        <v>2.36</v>
      </c>
      <c r="K163" s="2">
        <v>2.36</v>
      </c>
      <c r="L163" s="2"/>
      <c r="M163" s="2"/>
      <c r="N163" s="2"/>
      <c r="O163" s="2">
        <f t="shared" si="154"/>
        <v>4547.3599999999997</v>
      </c>
      <c r="P163" s="2">
        <f t="shared" si="155"/>
        <v>4547.3599999999997</v>
      </c>
      <c r="Q163" s="2">
        <f t="shared" si="186"/>
        <v>0</v>
      </c>
      <c r="R163" s="2">
        <f t="shared" si="156"/>
        <v>0</v>
      </c>
      <c r="S163" s="2">
        <f t="shared" si="157"/>
        <v>0</v>
      </c>
      <c r="T163" s="2">
        <f t="shared" si="158"/>
        <v>0</v>
      </c>
      <c r="U163" s="2">
        <f t="shared" si="159"/>
        <v>0</v>
      </c>
      <c r="V163" s="2">
        <f t="shared" si="160"/>
        <v>0</v>
      </c>
      <c r="W163" s="2">
        <f t="shared" si="161"/>
        <v>0</v>
      </c>
      <c r="X163" s="2">
        <f t="shared" si="162"/>
        <v>0</v>
      </c>
      <c r="Y163" s="2">
        <f t="shared" si="163"/>
        <v>0</v>
      </c>
      <c r="Z163" s="2"/>
      <c r="AA163" s="2">
        <v>56498966</v>
      </c>
      <c r="AB163" s="2">
        <f t="shared" si="164"/>
        <v>32.200000000000003</v>
      </c>
      <c r="AC163" s="2">
        <f t="shared" si="165"/>
        <v>32.200000000000003</v>
      </c>
      <c r="AD163" s="2">
        <f t="shared" si="187"/>
        <v>0</v>
      </c>
      <c r="AE163" s="2">
        <f t="shared" si="188"/>
        <v>0</v>
      </c>
      <c r="AF163" s="2">
        <f t="shared" si="189"/>
        <v>0</v>
      </c>
      <c r="AG163" s="2">
        <f t="shared" si="166"/>
        <v>0</v>
      </c>
      <c r="AH163" s="2">
        <f t="shared" si="190"/>
        <v>0</v>
      </c>
      <c r="AI163" s="2">
        <f t="shared" si="191"/>
        <v>0</v>
      </c>
      <c r="AJ163" s="2">
        <f t="shared" si="167"/>
        <v>0</v>
      </c>
      <c r="AK163" s="2">
        <v>32.200000000000003</v>
      </c>
      <c r="AL163" s="2">
        <v>32.200000000000003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90</v>
      </c>
      <c r="AU163" s="2">
        <v>46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2</v>
      </c>
      <c r="BJ163" s="2" t="s">
        <v>288</v>
      </c>
      <c r="BK163" s="2"/>
      <c r="BL163" s="2"/>
      <c r="BM163" s="2">
        <v>68</v>
      </c>
      <c r="BN163" s="2">
        <v>0</v>
      </c>
      <c r="BO163" s="2" t="s">
        <v>3</v>
      </c>
      <c r="BP163" s="2">
        <v>0</v>
      </c>
      <c r="BQ163" s="2">
        <v>40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90</v>
      </c>
      <c r="CA163" s="2">
        <v>46</v>
      </c>
      <c r="CB163" s="2" t="s">
        <v>3</v>
      </c>
      <c r="CC163" s="2"/>
      <c r="CD163" s="2"/>
      <c r="CE163" s="2">
        <v>30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3</v>
      </c>
      <c r="CO163" s="2">
        <v>0</v>
      </c>
      <c r="CP163" s="2">
        <f t="shared" si="168"/>
        <v>4547.3599999999997</v>
      </c>
      <c r="CQ163" s="2">
        <f t="shared" si="169"/>
        <v>32.200000000000003</v>
      </c>
      <c r="CR163" s="2">
        <f t="shared" si="192"/>
        <v>0</v>
      </c>
      <c r="CS163" s="2">
        <f t="shared" si="170"/>
        <v>0</v>
      </c>
      <c r="CT163" s="2">
        <f t="shared" si="171"/>
        <v>0</v>
      </c>
      <c r="CU163" s="2">
        <f t="shared" si="172"/>
        <v>0</v>
      </c>
      <c r="CV163" s="2">
        <f t="shared" si="173"/>
        <v>0</v>
      </c>
      <c r="CW163" s="2">
        <f t="shared" si="174"/>
        <v>0</v>
      </c>
      <c r="CX163" s="2">
        <f t="shared" si="175"/>
        <v>0</v>
      </c>
      <c r="CY163" s="2">
        <f t="shared" si="176"/>
        <v>0</v>
      </c>
      <c r="CZ163" s="2">
        <f t="shared" si="177"/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1010</v>
      </c>
      <c r="DV163" s="2" t="s">
        <v>186</v>
      </c>
      <c r="DW163" s="2" t="s">
        <v>186</v>
      </c>
      <c r="DX163" s="2">
        <v>100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58162630</v>
      </c>
      <c r="EF163" s="2">
        <v>40</v>
      </c>
      <c r="EG163" s="2" t="s">
        <v>25</v>
      </c>
      <c r="EH163" s="2">
        <v>0</v>
      </c>
      <c r="EI163" s="2" t="s">
        <v>3</v>
      </c>
      <c r="EJ163" s="2">
        <v>2</v>
      </c>
      <c r="EK163" s="2">
        <v>68</v>
      </c>
      <c r="EL163" s="2" t="s">
        <v>26</v>
      </c>
      <c r="EM163" s="2" t="s">
        <v>27</v>
      </c>
      <c r="EN163" s="2"/>
      <c r="EO163" s="2" t="s">
        <v>3</v>
      </c>
      <c r="EP163" s="2"/>
      <c r="EQ163" s="2">
        <v>0</v>
      </c>
      <c r="ER163" s="2">
        <v>32.200000000000003</v>
      </c>
      <c r="ES163" s="2">
        <v>32.200000000000003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90</v>
      </c>
      <c r="FY163" s="2">
        <v>46</v>
      </c>
      <c r="FZ163" s="2"/>
      <c r="GA163" s="2" t="s">
        <v>3</v>
      </c>
      <c r="GB163" s="2"/>
      <c r="GC163" s="2"/>
      <c r="GD163" s="2">
        <v>1</v>
      </c>
      <c r="GE163" s="2"/>
      <c r="GF163" s="2">
        <v>1665244518</v>
      </c>
      <c r="GG163" s="2">
        <v>2</v>
      </c>
      <c r="GH163" s="2">
        <v>1</v>
      </c>
      <c r="GI163" s="2">
        <v>-2</v>
      </c>
      <c r="GJ163" s="2">
        <v>0</v>
      </c>
      <c r="GK163" s="2">
        <v>0</v>
      </c>
      <c r="GL163" s="2">
        <f t="shared" si="178"/>
        <v>0</v>
      </c>
      <c r="GM163" s="2">
        <f t="shared" si="179"/>
        <v>4547.3599999999997</v>
      </c>
      <c r="GN163" s="2">
        <f t="shared" si="180"/>
        <v>0</v>
      </c>
      <c r="GO163" s="2">
        <f t="shared" si="181"/>
        <v>4547.3599999999997</v>
      </c>
      <c r="GP163" s="2">
        <f t="shared" si="182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183"/>
        <v>0</v>
      </c>
      <c r="GW163" s="2">
        <v>1</v>
      </c>
      <c r="GX163" s="2">
        <f t="shared" si="184"/>
        <v>0</v>
      </c>
      <c r="GY163" s="2"/>
      <c r="GZ163" s="2"/>
      <c r="HA163" s="2">
        <v>0</v>
      </c>
      <c r="HB163" s="2">
        <v>0</v>
      </c>
      <c r="HC163" s="2">
        <f t="shared" si="185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3">
      <c r="A164">
        <v>18</v>
      </c>
      <c r="B164">
        <v>1</v>
      </c>
      <c r="E164" t="s">
        <v>285</v>
      </c>
      <c r="F164" t="s">
        <v>286</v>
      </c>
      <c r="G164" t="s">
        <v>287</v>
      </c>
      <c r="H164" t="s">
        <v>186</v>
      </c>
      <c r="I164">
        <f>I148*J164</f>
        <v>141.22239999999999</v>
      </c>
      <c r="J164">
        <v>2.36</v>
      </c>
      <c r="K164">
        <v>2.36</v>
      </c>
      <c r="O164">
        <f t="shared" si="154"/>
        <v>88173.31</v>
      </c>
      <c r="P164">
        <f t="shared" si="155"/>
        <v>88173.31</v>
      </c>
      <c r="Q164">
        <f t="shared" si="186"/>
        <v>0</v>
      </c>
      <c r="R164">
        <f t="shared" si="156"/>
        <v>0</v>
      </c>
      <c r="S164">
        <f t="shared" si="157"/>
        <v>0</v>
      </c>
      <c r="T164">
        <f t="shared" si="158"/>
        <v>0</v>
      </c>
      <c r="U164">
        <f t="shared" si="159"/>
        <v>0</v>
      </c>
      <c r="V164">
        <f t="shared" si="160"/>
        <v>0</v>
      </c>
      <c r="W164">
        <f t="shared" si="161"/>
        <v>0</v>
      </c>
      <c r="X164">
        <f t="shared" si="162"/>
        <v>0</v>
      </c>
      <c r="Y164">
        <f t="shared" si="163"/>
        <v>0</v>
      </c>
      <c r="AA164">
        <v>56498968</v>
      </c>
      <c r="AB164">
        <f t="shared" si="164"/>
        <v>32.200000000000003</v>
      </c>
      <c r="AC164">
        <f t="shared" si="165"/>
        <v>32.200000000000003</v>
      </c>
      <c r="AD164">
        <f t="shared" si="187"/>
        <v>0</v>
      </c>
      <c r="AE164">
        <f t="shared" si="188"/>
        <v>0</v>
      </c>
      <c r="AF164">
        <f t="shared" si="189"/>
        <v>0</v>
      </c>
      <c r="AG164">
        <f t="shared" si="166"/>
        <v>0</v>
      </c>
      <c r="AH164">
        <f t="shared" si="190"/>
        <v>0</v>
      </c>
      <c r="AI164">
        <f t="shared" si="191"/>
        <v>0</v>
      </c>
      <c r="AJ164">
        <f t="shared" si="167"/>
        <v>0</v>
      </c>
      <c r="AK164">
        <v>32.200000000000003</v>
      </c>
      <c r="AL164">
        <v>32.200000000000003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90</v>
      </c>
      <c r="AU164">
        <v>46</v>
      </c>
      <c r="AV164">
        <v>1</v>
      </c>
      <c r="AW164">
        <v>1</v>
      </c>
      <c r="AZ164">
        <v>1</v>
      </c>
      <c r="BA164">
        <v>1</v>
      </c>
      <c r="BB164">
        <v>1</v>
      </c>
      <c r="BC164">
        <v>19.39</v>
      </c>
      <c r="BD164" t="s">
        <v>3</v>
      </c>
      <c r="BE164" t="s">
        <v>3</v>
      </c>
      <c r="BF164" t="s">
        <v>3</v>
      </c>
      <c r="BG164" t="s">
        <v>3</v>
      </c>
      <c r="BH164">
        <v>3</v>
      </c>
      <c r="BI164">
        <v>2</v>
      </c>
      <c r="BJ164" t="s">
        <v>288</v>
      </c>
      <c r="BM164">
        <v>68</v>
      </c>
      <c r="BN164">
        <v>0</v>
      </c>
      <c r="BO164" t="s">
        <v>286</v>
      </c>
      <c r="BP164">
        <v>1</v>
      </c>
      <c r="BQ164">
        <v>40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 t="s">
        <v>3</v>
      </c>
      <c r="BZ164">
        <v>90</v>
      </c>
      <c r="CA164">
        <v>46</v>
      </c>
      <c r="CB164" t="s">
        <v>3</v>
      </c>
      <c r="CE164">
        <v>30</v>
      </c>
      <c r="CF164">
        <v>0</v>
      </c>
      <c r="CG164">
        <v>0</v>
      </c>
      <c r="CM164">
        <v>0</v>
      </c>
      <c r="CN164" t="s">
        <v>3</v>
      </c>
      <c r="CO164">
        <v>0</v>
      </c>
      <c r="CP164">
        <f t="shared" si="168"/>
        <v>88173.31</v>
      </c>
      <c r="CQ164">
        <f t="shared" si="169"/>
        <v>624.36</v>
      </c>
      <c r="CR164">
        <f t="shared" si="192"/>
        <v>0</v>
      </c>
      <c r="CS164">
        <f t="shared" si="170"/>
        <v>0</v>
      </c>
      <c r="CT164">
        <f t="shared" si="171"/>
        <v>0</v>
      </c>
      <c r="CU164">
        <f t="shared" si="172"/>
        <v>0</v>
      </c>
      <c r="CV164">
        <f t="shared" si="173"/>
        <v>0</v>
      </c>
      <c r="CW164">
        <f t="shared" si="174"/>
        <v>0</v>
      </c>
      <c r="CX164">
        <f t="shared" si="175"/>
        <v>0</v>
      </c>
      <c r="CY164">
        <f t="shared" si="176"/>
        <v>0</v>
      </c>
      <c r="CZ164">
        <f t="shared" si="177"/>
        <v>0</v>
      </c>
      <c r="DC164" t="s">
        <v>3</v>
      </c>
      <c r="DD164" t="s">
        <v>3</v>
      </c>
      <c r="DE164" t="s">
        <v>3</v>
      </c>
      <c r="DF164" t="s">
        <v>3</v>
      </c>
      <c r="DG164" t="s">
        <v>3</v>
      </c>
      <c r="DH164" t="s">
        <v>3</v>
      </c>
      <c r="DI164" t="s">
        <v>3</v>
      </c>
      <c r="DJ164" t="s">
        <v>3</v>
      </c>
      <c r="DK164" t="s">
        <v>3</v>
      </c>
      <c r="DL164" t="s">
        <v>3</v>
      </c>
      <c r="DM164" t="s">
        <v>3</v>
      </c>
      <c r="DN164">
        <v>0</v>
      </c>
      <c r="DO164">
        <v>0</v>
      </c>
      <c r="DP164">
        <v>1</v>
      </c>
      <c r="DQ164">
        <v>1</v>
      </c>
      <c r="DU164">
        <v>1010</v>
      </c>
      <c r="DV164" t="s">
        <v>186</v>
      </c>
      <c r="DW164" t="s">
        <v>186</v>
      </c>
      <c r="DX164">
        <v>100</v>
      </c>
      <c r="DZ164" t="s">
        <v>3</v>
      </c>
      <c r="EA164" t="s">
        <v>3</v>
      </c>
      <c r="EB164" t="s">
        <v>3</v>
      </c>
      <c r="EC164" t="s">
        <v>3</v>
      </c>
      <c r="EE164">
        <v>58162630</v>
      </c>
      <c r="EF164">
        <v>40</v>
      </c>
      <c r="EG164" t="s">
        <v>25</v>
      </c>
      <c r="EH164">
        <v>0</v>
      </c>
      <c r="EI164" t="s">
        <v>3</v>
      </c>
      <c r="EJ164">
        <v>2</v>
      </c>
      <c r="EK164">
        <v>68</v>
      </c>
      <c r="EL164" t="s">
        <v>26</v>
      </c>
      <c r="EM164" t="s">
        <v>27</v>
      </c>
      <c r="EO164" t="s">
        <v>3</v>
      </c>
      <c r="EQ164">
        <v>0</v>
      </c>
      <c r="ER164">
        <v>32.200000000000003</v>
      </c>
      <c r="ES164">
        <v>32.200000000000003</v>
      </c>
      <c r="ET164">
        <v>0</v>
      </c>
      <c r="EU164">
        <v>0</v>
      </c>
      <c r="EV164">
        <v>0</v>
      </c>
      <c r="EW164">
        <v>0</v>
      </c>
      <c r="EX164">
        <v>0</v>
      </c>
      <c r="FQ164">
        <v>0</v>
      </c>
      <c r="FR164">
        <v>0</v>
      </c>
      <c r="FS164">
        <v>0</v>
      </c>
      <c r="FX164">
        <v>90</v>
      </c>
      <c r="FY164">
        <v>46</v>
      </c>
      <c r="GA164" t="s">
        <v>3</v>
      </c>
      <c r="GD164">
        <v>1</v>
      </c>
      <c r="GF164">
        <v>1665244518</v>
      </c>
      <c r="GG164">
        <v>2</v>
      </c>
      <c r="GH164">
        <v>1</v>
      </c>
      <c r="GI164">
        <v>2</v>
      </c>
      <c r="GJ164">
        <v>0</v>
      </c>
      <c r="GK164">
        <v>0</v>
      </c>
      <c r="GL164">
        <f t="shared" si="178"/>
        <v>0</v>
      </c>
      <c r="GM164">
        <f t="shared" si="179"/>
        <v>88173.31</v>
      </c>
      <c r="GN164">
        <f t="shared" si="180"/>
        <v>0</v>
      </c>
      <c r="GO164">
        <f t="shared" si="181"/>
        <v>88173.31</v>
      </c>
      <c r="GP164">
        <f t="shared" si="182"/>
        <v>0</v>
      </c>
      <c r="GR164">
        <v>0</v>
      </c>
      <c r="GS164">
        <v>3</v>
      </c>
      <c r="GT164">
        <v>0</v>
      </c>
      <c r="GU164" t="s">
        <v>3</v>
      </c>
      <c r="GV164">
        <f t="shared" si="183"/>
        <v>0</v>
      </c>
      <c r="GW164">
        <v>1</v>
      </c>
      <c r="GX164">
        <f t="shared" si="184"/>
        <v>0</v>
      </c>
      <c r="HA164">
        <v>0</v>
      </c>
      <c r="HB164">
        <v>0</v>
      </c>
      <c r="HC164">
        <f t="shared" si="185"/>
        <v>0</v>
      </c>
      <c r="HE164" t="s">
        <v>3</v>
      </c>
      <c r="HF164" t="s">
        <v>3</v>
      </c>
      <c r="HM164" t="s">
        <v>3</v>
      </c>
      <c r="HN164" t="s">
        <v>3</v>
      </c>
      <c r="HO164" t="s">
        <v>3</v>
      </c>
      <c r="HP164" t="s">
        <v>3</v>
      </c>
      <c r="HQ164" t="s">
        <v>3</v>
      </c>
      <c r="HS164">
        <v>0</v>
      </c>
      <c r="IK164">
        <v>0</v>
      </c>
    </row>
    <row r="165" spans="1:255" x14ac:dyDescent="0.3">
      <c r="A165" s="2">
        <v>17</v>
      </c>
      <c r="B165" s="2">
        <v>1</v>
      </c>
      <c r="C165" s="2"/>
      <c r="D165" s="2">
        <f>ROW(EtalonRes!A132)</f>
        <v>132</v>
      </c>
      <c r="E165" s="2" t="s">
        <v>289</v>
      </c>
      <c r="F165" s="2" t="s">
        <v>290</v>
      </c>
      <c r="G165" s="2" t="s">
        <v>291</v>
      </c>
      <c r="H165" s="2" t="s">
        <v>252</v>
      </c>
      <c r="I165" s="2">
        <f>ROUND(30/100,9)</f>
        <v>0.3</v>
      </c>
      <c r="J165" s="2">
        <v>0</v>
      </c>
      <c r="K165" s="2">
        <f>ROUND(30/100,9)</f>
        <v>0.3</v>
      </c>
      <c r="L165" s="2"/>
      <c r="M165" s="2"/>
      <c r="N165" s="2"/>
      <c r="O165" s="2">
        <f t="shared" si="154"/>
        <v>392.12</v>
      </c>
      <c r="P165" s="2">
        <f t="shared" si="155"/>
        <v>294.3</v>
      </c>
      <c r="Q165" s="2">
        <f>(ROUND((ROUND((((ET165*1.1))*AV165*I165),2)*BB165),2)+ROUND((ROUND(((AE165-((EU165*1.1)))*AV165*I165),2)*BS165),2))</f>
        <v>9.7100000000000009</v>
      </c>
      <c r="R165" s="2">
        <f t="shared" si="156"/>
        <v>0.44</v>
      </c>
      <c r="S165" s="2">
        <f t="shared" si="157"/>
        <v>88.11</v>
      </c>
      <c r="T165" s="2">
        <f t="shared" si="158"/>
        <v>0</v>
      </c>
      <c r="U165" s="2">
        <f t="shared" si="159"/>
        <v>7.1520569999999983</v>
      </c>
      <c r="V165" s="2">
        <f t="shared" si="160"/>
        <v>0</v>
      </c>
      <c r="W165" s="2">
        <f t="shared" si="161"/>
        <v>0</v>
      </c>
      <c r="X165" s="2">
        <f t="shared" si="162"/>
        <v>85.89</v>
      </c>
      <c r="Y165" s="2">
        <f t="shared" si="163"/>
        <v>45.16</v>
      </c>
      <c r="Z165" s="2"/>
      <c r="AA165" s="2">
        <v>56498966</v>
      </c>
      <c r="AB165" s="2">
        <f t="shared" si="164"/>
        <v>1292.421</v>
      </c>
      <c r="AC165" s="2">
        <f t="shared" si="165"/>
        <v>981</v>
      </c>
      <c r="AD165" s="2">
        <f>ROUND(((((ET165*1.1))-((EU165*1.1)))+AE165),6)</f>
        <v>30.899000000000001</v>
      </c>
      <c r="AE165" s="2">
        <f>ROUND(((EU165*1.1)),6)</f>
        <v>1.3859999999999999</v>
      </c>
      <c r="AF165" s="2">
        <f>ROUND(((EV165*1.1)),6)</f>
        <v>280.52199999999999</v>
      </c>
      <c r="AG165" s="2">
        <f t="shared" si="166"/>
        <v>0</v>
      </c>
      <c r="AH165" s="2">
        <f>((EW165*1.1))</f>
        <v>22.77</v>
      </c>
      <c r="AI165" s="2">
        <f>((EX165*1.1))</f>
        <v>0</v>
      </c>
      <c r="AJ165" s="2">
        <f t="shared" si="167"/>
        <v>0</v>
      </c>
      <c r="AK165" s="2">
        <v>1264.1099999999999</v>
      </c>
      <c r="AL165" s="2">
        <v>981</v>
      </c>
      <c r="AM165" s="2">
        <v>28.09</v>
      </c>
      <c r="AN165" s="2">
        <v>1.26</v>
      </c>
      <c r="AO165" s="2">
        <v>255.02</v>
      </c>
      <c r="AP165" s="2">
        <v>0</v>
      </c>
      <c r="AQ165" s="2">
        <v>20.7</v>
      </c>
      <c r="AR165" s="2">
        <v>0</v>
      </c>
      <c r="AS165" s="2">
        <v>0</v>
      </c>
      <c r="AT165" s="2">
        <v>97</v>
      </c>
      <c r="AU165" s="2">
        <v>51</v>
      </c>
      <c r="AV165" s="2">
        <v>1.0469999999999999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292</v>
      </c>
      <c r="BK165" s="2"/>
      <c r="BL165" s="2"/>
      <c r="BM165" s="2">
        <v>67</v>
      </c>
      <c r="BN165" s="2">
        <v>0</v>
      </c>
      <c r="BO165" s="2" t="s">
        <v>290</v>
      </c>
      <c r="BP165" s="2">
        <v>1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97</v>
      </c>
      <c r="CA165" s="2">
        <v>51</v>
      </c>
      <c r="CB165" s="2" t="s">
        <v>3</v>
      </c>
      <c r="CC165" s="2"/>
      <c r="CD165" s="2"/>
      <c r="CE165" s="2">
        <v>30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3</v>
      </c>
      <c r="CO165" s="2">
        <v>0</v>
      </c>
      <c r="CP165" s="2">
        <f t="shared" si="168"/>
        <v>392.12</v>
      </c>
      <c r="CQ165" s="2">
        <f t="shared" si="169"/>
        <v>981</v>
      </c>
      <c r="CR165" s="2">
        <f>(ROUND((ROUND((((ET165*1.1))*AV165*1),2)*BB165),2)+ROUND((ROUND(((AE165-((EU165*1.1)))*AV165*1),2)*BS165),2))</f>
        <v>32.35</v>
      </c>
      <c r="CS165" s="2">
        <f t="shared" si="170"/>
        <v>1.45</v>
      </c>
      <c r="CT165" s="2">
        <f t="shared" si="171"/>
        <v>293.70999999999998</v>
      </c>
      <c r="CU165" s="2">
        <f t="shared" si="172"/>
        <v>0</v>
      </c>
      <c r="CV165" s="2">
        <f t="shared" si="173"/>
        <v>23.840189999999996</v>
      </c>
      <c r="CW165" s="2">
        <f t="shared" si="174"/>
        <v>0</v>
      </c>
      <c r="CX165" s="2">
        <f t="shared" si="175"/>
        <v>0</v>
      </c>
      <c r="CY165" s="2">
        <f t="shared" si="176"/>
        <v>85.893500000000003</v>
      </c>
      <c r="CZ165" s="2">
        <f t="shared" si="177"/>
        <v>45.160499999999999</v>
      </c>
      <c r="DA165" s="2"/>
      <c r="DB165" s="2"/>
      <c r="DC165" s="2" t="s">
        <v>3</v>
      </c>
      <c r="DD165" s="2" t="s">
        <v>3</v>
      </c>
      <c r="DE165" s="2" t="s">
        <v>24</v>
      </c>
      <c r="DF165" s="2" t="s">
        <v>24</v>
      </c>
      <c r="DG165" s="2" t="s">
        <v>24</v>
      </c>
      <c r="DH165" s="2" t="s">
        <v>3</v>
      </c>
      <c r="DI165" s="2" t="s">
        <v>24</v>
      </c>
      <c r="DJ165" s="2" t="s">
        <v>24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1003</v>
      </c>
      <c r="DV165" s="2" t="s">
        <v>252</v>
      </c>
      <c r="DW165" s="2" t="s">
        <v>252</v>
      </c>
      <c r="DX165" s="2">
        <v>100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58162629</v>
      </c>
      <c r="EF165" s="2">
        <v>40</v>
      </c>
      <c r="EG165" s="2" t="s">
        <v>25</v>
      </c>
      <c r="EH165" s="2">
        <v>0</v>
      </c>
      <c r="EI165" s="2" t="s">
        <v>3</v>
      </c>
      <c r="EJ165" s="2">
        <v>2</v>
      </c>
      <c r="EK165" s="2">
        <v>67</v>
      </c>
      <c r="EL165" s="2" t="s">
        <v>104</v>
      </c>
      <c r="EM165" s="2" t="s">
        <v>105</v>
      </c>
      <c r="EN165" s="2"/>
      <c r="EO165" s="2" t="s">
        <v>28</v>
      </c>
      <c r="EP165" s="2"/>
      <c r="EQ165" s="2">
        <v>0</v>
      </c>
      <c r="ER165" s="2">
        <v>1264.1099999999999</v>
      </c>
      <c r="ES165" s="2">
        <v>981</v>
      </c>
      <c r="ET165" s="2">
        <v>28.09</v>
      </c>
      <c r="EU165" s="2">
        <v>1.26</v>
      </c>
      <c r="EV165" s="2">
        <v>255.02</v>
      </c>
      <c r="EW165" s="2">
        <v>20.7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97</v>
      </c>
      <c r="FY165" s="2">
        <v>51</v>
      </c>
      <c r="FZ165" s="2"/>
      <c r="GA165" s="2" t="s">
        <v>3</v>
      </c>
      <c r="GB165" s="2"/>
      <c r="GC165" s="2"/>
      <c r="GD165" s="2">
        <v>1</v>
      </c>
      <c r="GE165" s="2"/>
      <c r="GF165" s="2">
        <v>242247751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si="178"/>
        <v>0</v>
      </c>
      <c r="GM165" s="2">
        <f t="shared" si="179"/>
        <v>523.16999999999996</v>
      </c>
      <c r="GN165" s="2">
        <f t="shared" si="180"/>
        <v>0</v>
      </c>
      <c r="GO165" s="2">
        <f t="shared" si="181"/>
        <v>523.16999999999996</v>
      </c>
      <c r="GP165" s="2">
        <f t="shared" si="182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183"/>
        <v>0</v>
      </c>
      <c r="GW165" s="2">
        <v>1</v>
      </c>
      <c r="GX165" s="2">
        <f t="shared" si="184"/>
        <v>0</v>
      </c>
      <c r="GY165" s="2"/>
      <c r="GZ165" s="2"/>
      <c r="HA165" s="2">
        <v>0</v>
      </c>
      <c r="HB165" s="2">
        <v>0</v>
      </c>
      <c r="HC165" s="2">
        <f t="shared" si="185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3">
      <c r="A166">
        <v>17</v>
      </c>
      <c r="B166">
        <v>1</v>
      </c>
      <c r="D166">
        <f>ROW(EtalonRes!A146)</f>
        <v>146</v>
      </c>
      <c r="E166" t="s">
        <v>289</v>
      </c>
      <c r="F166" t="s">
        <v>290</v>
      </c>
      <c r="G166" t="s">
        <v>291</v>
      </c>
      <c r="H166" t="s">
        <v>252</v>
      </c>
      <c r="I166">
        <f>ROUND(30/100,9)</f>
        <v>0.3</v>
      </c>
      <c r="J166">
        <v>0</v>
      </c>
      <c r="K166">
        <f>ROUND(30/100,9)</f>
        <v>0.3</v>
      </c>
      <c r="O166">
        <f t="shared" si="154"/>
        <v>5782.82</v>
      </c>
      <c r="P166">
        <f t="shared" si="155"/>
        <v>815.21</v>
      </c>
      <c r="Q166">
        <f>(ROUND((ROUND((((ET166*1.1))*AV166*I166),2)*BB166),2)+ROUND((ROUND(((AE166-((EU166*1.1)))*AV166*I166),2)*BS166),2))</f>
        <v>122.44</v>
      </c>
      <c r="R166">
        <f t="shared" si="156"/>
        <v>24.2</v>
      </c>
      <c r="S166">
        <f t="shared" si="157"/>
        <v>4845.17</v>
      </c>
      <c r="T166">
        <f t="shared" si="158"/>
        <v>0</v>
      </c>
      <c r="U166">
        <f t="shared" si="159"/>
        <v>7.1520569999999983</v>
      </c>
      <c r="V166">
        <f t="shared" si="160"/>
        <v>0</v>
      </c>
      <c r="W166">
        <f t="shared" si="161"/>
        <v>0</v>
      </c>
      <c r="X166">
        <f t="shared" si="162"/>
        <v>4723.29</v>
      </c>
      <c r="Y166">
        <f t="shared" si="163"/>
        <v>2483.38</v>
      </c>
      <c r="AA166">
        <v>56498968</v>
      </c>
      <c r="AB166">
        <f t="shared" si="164"/>
        <v>1292.421</v>
      </c>
      <c r="AC166">
        <f t="shared" si="165"/>
        <v>981</v>
      </c>
      <c r="AD166">
        <f>ROUND(((((ET166*1.1))-((EU166*1.1)))+AE166),6)</f>
        <v>30.899000000000001</v>
      </c>
      <c r="AE166">
        <f>ROUND(((EU166*1.1)),6)</f>
        <v>1.3859999999999999</v>
      </c>
      <c r="AF166">
        <f>ROUND(((EV166*1.1)),6)</f>
        <v>280.52199999999999</v>
      </c>
      <c r="AG166">
        <f t="shared" si="166"/>
        <v>0</v>
      </c>
      <c r="AH166">
        <f>((EW166*1.1))</f>
        <v>22.77</v>
      </c>
      <c r="AI166">
        <f>((EX166*1.1))</f>
        <v>0</v>
      </c>
      <c r="AJ166">
        <f t="shared" si="167"/>
        <v>0</v>
      </c>
      <c r="AK166">
        <v>1264.1099999999999</v>
      </c>
      <c r="AL166">
        <v>981</v>
      </c>
      <c r="AM166">
        <v>28.09</v>
      </c>
      <c r="AN166">
        <v>1.26</v>
      </c>
      <c r="AO166">
        <v>255.02</v>
      </c>
      <c r="AP166">
        <v>0</v>
      </c>
      <c r="AQ166">
        <v>20.7</v>
      </c>
      <c r="AR166">
        <v>0</v>
      </c>
      <c r="AS166">
        <v>0</v>
      </c>
      <c r="AT166">
        <v>97</v>
      </c>
      <c r="AU166">
        <v>51</v>
      </c>
      <c r="AV166">
        <v>1.0469999999999999</v>
      </c>
      <c r="AW166">
        <v>1</v>
      </c>
      <c r="AZ166">
        <v>1</v>
      </c>
      <c r="BA166">
        <v>54.99</v>
      </c>
      <c r="BB166">
        <v>12.61</v>
      </c>
      <c r="BC166">
        <v>2.77</v>
      </c>
      <c r="BD166" t="s">
        <v>3</v>
      </c>
      <c r="BE166" t="s">
        <v>3</v>
      </c>
      <c r="BF166" t="s">
        <v>3</v>
      </c>
      <c r="BG166" t="s">
        <v>3</v>
      </c>
      <c r="BH166">
        <v>0</v>
      </c>
      <c r="BI166">
        <v>2</v>
      </c>
      <c r="BJ166" t="s">
        <v>292</v>
      </c>
      <c r="BM166">
        <v>67</v>
      </c>
      <c r="BN166">
        <v>0</v>
      </c>
      <c r="BO166" t="s">
        <v>290</v>
      </c>
      <c r="BP166">
        <v>1</v>
      </c>
      <c r="BQ166">
        <v>40</v>
      </c>
      <c r="BR166">
        <v>0</v>
      </c>
      <c r="BS166">
        <v>54.99</v>
      </c>
      <c r="BT166">
        <v>1</v>
      </c>
      <c r="BU166">
        <v>1</v>
      </c>
      <c r="BV166">
        <v>1</v>
      </c>
      <c r="BW166">
        <v>1</v>
      </c>
      <c r="BX166">
        <v>1</v>
      </c>
      <c r="BY166" t="s">
        <v>3</v>
      </c>
      <c r="BZ166">
        <v>97</v>
      </c>
      <c r="CA166">
        <v>51</v>
      </c>
      <c r="CB166" t="s">
        <v>3</v>
      </c>
      <c r="CE166">
        <v>30</v>
      </c>
      <c r="CF166">
        <v>0</v>
      </c>
      <c r="CG166">
        <v>0</v>
      </c>
      <c r="CM166">
        <v>0</v>
      </c>
      <c r="CN166" t="s">
        <v>3</v>
      </c>
      <c r="CO166">
        <v>0</v>
      </c>
      <c r="CP166">
        <f t="shared" si="168"/>
        <v>5782.82</v>
      </c>
      <c r="CQ166">
        <f t="shared" si="169"/>
        <v>2717.37</v>
      </c>
      <c r="CR166">
        <f>(ROUND((ROUND((((ET166*1.1))*AV166*1),2)*BB166),2)+ROUND((ROUND(((AE166-((EU166*1.1)))*AV166*1),2)*BS166),2))</f>
        <v>407.93</v>
      </c>
      <c r="CS166">
        <f t="shared" si="170"/>
        <v>79.739999999999995</v>
      </c>
      <c r="CT166">
        <f t="shared" si="171"/>
        <v>16151.11</v>
      </c>
      <c r="CU166">
        <f t="shared" si="172"/>
        <v>0</v>
      </c>
      <c r="CV166">
        <f t="shared" si="173"/>
        <v>23.840189999999996</v>
      </c>
      <c r="CW166">
        <f t="shared" si="174"/>
        <v>0</v>
      </c>
      <c r="CX166">
        <f t="shared" si="175"/>
        <v>0</v>
      </c>
      <c r="CY166">
        <f t="shared" si="176"/>
        <v>4723.2889000000005</v>
      </c>
      <c r="CZ166">
        <f t="shared" si="177"/>
        <v>2483.3786999999998</v>
      </c>
      <c r="DC166" t="s">
        <v>3</v>
      </c>
      <c r="DD166" t="s">
        <v>3</v>
      </c>
      <c r="DE166" t="s">
        <v>24</v>
      </c>
      <c r="DF166" t="s">
        <v>24</v>
      </c>
      <c r="DG166" t="s">
        <v>24</v>
      </c>
      <c r="DH166" t="s">
        <v>3</v>
      </c>
      <c r="DI166" t="s">
        <v>24</v>
      </c>
      <c r="DJ166" t="s">
        <v>24</v>
      </c>
      <c r="DK166" t="s">
        <v>3</v>
      </c>
      <c r="DL166" t="s">
        <v>3</v>
      </c>
      <c r="DM166" t="s">
        <v>3</v>
      </c>
      <c r="DN166">
        <v>0</v>
      </c>
      <c r="DO166">
        <v>0</v>
      </c>
      <c r="DP166">
        <v>1</v>
      </c>
      <c r="DQ166">
        <v>1</v>
      </c>
      <c r="DU166">
        <v>1003</v>
      </c>
      <c r="DV166" t="s">
        <v>252</v>
      </c>
      <c r="DW166" t="s">
        <v>252</v>
      </c>
      <c r="DX166">
        <v>100</v>
      </c>
      <c r="DZ166" t="s">
        <v>3</v>
      </c>
      <c r="EA166" t="s">
        <v>3</v>
      </c>
      <c r="EB166" t="s">
        <v>3</v>
      </c>
      <c r="EC166" t="s">
        <v>3</v>
      </c>
      <c r="EE166">
        <v>58162629</v>
      </c>
      <c r="EF166">
        <v>40</v>
      </c>
      <c r="EG166" t="s">
        <v>25</v>
      </c>
      <c r="EH166">
        <v>0</v>
      </c>
      <c r="EI166" t="s">
        <v>3</v>
      </c>
      <c r="EJ166">
        <v>2</v>
      </c>
      <c r="EK166">
        <v>67</v>
      </c>
      <c r="EL166" t="s">
        <v>104</v>
      </c>
      <c r="EM166" t="s">
        <v>105</v>
      </c>
      <c r="EO166" t="s">
        <v>28</v>
      </c>
      <c r="EQ166">
        <v>0</v>
      </c>
      <c r="ER166">
        <v>1264.1099999999999</v>
      </c>
      <c r="ES166">
        <v>981</v>
      </c>
      <c r="ET166">
        <v>28.09</v>
      </c>
      <c r="EU166">
        <v>1.26</v>
      </c>
      <c r="EV166">
        <v>255.02</v>
      </c>
      <c r="EW166">
        <v>20.7</v>
      </c>
      <c r="EX166">
        <v>0</v>
      </c>
      <c r="EY166">
        <v>0</v>
      </c>
      <c r="FQ166">
        <v>0</v>
      </c>
      <c r="FR166">
        <v>0</v>
      </c>
      <c r="FS166">
        <v>0</v>
      </c>
      <c r="FX166">
        <v>97</v>
      </c>
      <c r="FY166">
        <v>51</v>
      </c>
      <c r="GA166" t="s">
        <v>3</v>
      </c>
      <c r="GD166">
        <v>1</v>
      </c>
      <c r="GF166">
        <v>242247751</v>
      </c>
      <c r="GG166">
        <v>2</v>
      </c>
      <c r="GH166">
        <v>1</v>
      </c>
      <c r="GI166">
        <v>2</v>
      </c>
      <c r="GJ166">
        <v>0</v>
      </c>
      <c r="GK166">
        <v>0</v>
      </c>
      <c r="GL166">
        <f t="shared" si="178"/>
        <v>0</v>
      </c>
      <c r="GM166">
        <f t="shared" si="179"/>
        <v>12989.49</v>
      </c>
      <c r="GN166">
        <f t="shared" si="180"/>
        <v>0</v>
      </c>
      <c r="GO166">
        <f t="shared" si="181"/>
        <v>12989.49</v>
      </c>
      <c r="GP166">
        <f t="shared" si="182"/>
        <v>0</v>
      </c>
      <c r="GR166">
        <v>0</v>
      </c>
      <c r="GS166">
        <v>3</v>
      </c>
      <c r="GT166">
        <v>0</v>
      </c>
      <c r="GU166" t="s">
        <v>3</v>
      </c>
      <c r="GV166">
        <f t="shared" si="183"/>
        <v>0</v>
      </c>
      <c r="GW166">
        <v>1</v>
      </c>
      <c r="GX166">
        <f t="shared" si="184"/>
        <v>0</v>
      </c>
      <c r="HA166">
        <v>0</v>
      </c>
      <c r="HB166">
        <v>0</v>
      </c>
      <c r="HC166">
        <f t="shared" si="185"/>
        <v>0</v>
      </c>
      <c r="HE166" t="s">
        <v>3</v>
      </c>
      <c r="HF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3</v>
      </c>
      <c r="HS166">
        <v>0</v>
      </c>
      <c r="IK166">
        <v>0</v>
      </c>
    </row>
    <row r="167" spans="1:255" x14ac:dyDescent="0.3">
      <c r="A167" s="2">
        <v>18</v>
      </c>
      <c r="B167" s="2">
        <v>1</v>
      </c>
      <c r="C167" s="2"/>
      <c r="D167" s="2"/>
      <c r="E167" s="2" t="s">
        <v>293</v>
      </c>
      <c r="F167" s="2" t="s">
        <v>294</v>
      </c>
      <c r="G167" s="2" t="s">
        <v>295</v>
      </c>
      <c r="H167" s="2" t="s">
        <v>296</v>
      </c>
      <c r="I167" s="2">
        <f>I165*J167</f>
        <v>30.6</v>
      </c>
      <c r="J167" s="2">
        <v>102.00000000000001</v>
      </c>
      <c r="K167" s="2">
        <v>102</v>
      </c>
      <c r="L167" s="2"/>
      <c r="M167" s="2"/>
      <c r="N167" s="2"/>
      <c r="O167" s="2">
        <f t="shared" si="154"/>
        <v>176.87</v>
      </c>
      <c r="P167" s="2">
        <f t="shared" si="155"/>
        <v>176.87</v>
      </c>
      <c r="Q167" s="2">
        <f t="shared" ref="Q167:Q172" si="193">(ROUND((ROUND(((ET167)*AV167*I167),2)*BB167),2)+ROUND((ROUND(((AE167-(EU167))*AV167*I167),2)*BS167),2))</f>
        <v>0</v>
      </c>
      <c r="R167" s="2">
        <f t="shared" si="156"/>
        <v>0</v>
      </c>
      <c r="S167" s="2">
        <f t="shared" si="157"/>
        <v>0</v>
      </c>
      <c r="T167" s="2">
        <f t="shared" si="158"/>
        <v>0</v>
      </c>
      <c r="U167" s="2">
        <f t="shared" si="159"/>
        <v>0</v>
      </c>
      <c r="V167" s="2">
        <f t="shared" si="160"/>
        <v>0</v>
      </c>
      <c r="W167" s="2">
        <f t="shared" si="161"/>
        <v>0</v>
      </c>
      <c r="X167" s="2">
        <f t="shared" si="162"/>
        <v>0</v>
      </c>
      <c r="Y167" s="2">
        <f t="shared" si="163"/>
        <v>0</v>
      </c>
      <c r="Z167" s="2"/>
      <c r="AA167" s="2">
        <v>56498966</v>
      </c>
      <c r="AB167" s="2">
        <f t="shared" si="164"/>
        <v>5.78</v>
      </c>
      <c r="AC167" s="2">
        <f t="shared" si="165"/>
        <v>5.78</v>
      </c>
      <c r="AD167" s="2">
        <f t="shared" ref="AD167:AD172" si="194">ROUND((((ET167)-(EU167))+AE167),6)</f>
        <v>0</v>
      </c>
      <c r="AE167" s="2">
        <f t="shared" ref="AE167:AF172" si="195">ROUND((EU167),6)</f>
        <v>0</v>
      </c>
      <c r="AF167" s="2">
        <f t="shared" si="195"/>
        <v>0</v>
      </c>
      <c r="AG167" s="2">
        <f t="shared" si="166"/>
        <v>0</v>
      </c>
      <c r="AH167" s="2">
        <f t="shared" ref="AH167:AI172" si="196">(EW167)</f>
        <v>0</v>
      </c>
      <c r="AI167" s="2">
        <f t="shared" si="196"/>
        <v>0</v>
      </c>
      <c r="AJ167" s="2">
        <f t="shared" si="167"/>
        <v>0</v>
      </c>
      <c r="AK167" s="2">
        <v>5.78</v>
      </c>
      <c r="AL167" s="2">
        <v>5.78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97</v>
      </c>
      <c r="AU167" s="2">
        <v>51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2</v>
      </c>
      <c r="BJ167" s="2" t="s">
        <v>297</v>
      </c>
      <c r="BK167" s="2"/>
      <c r="BL167" s="2"/>
      <c r="BM167" s="2">
        <v>67</v>
      </c>
      <c r="BN167" s="2">
        <v>0</v>
      </c>
      <c r="BO167" s="2" t="s">
        <v>3</v>
      </c>
      <c r="BP167" s="2">
        <v>0</v>
      </c>
      <c r="BQ167" s="2">
        <v>40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97</v>
      </c>
      <c r="CA167" s="2">
        <v>51</v>
      </c>
      <c r="CB167" s="2" t="s">
        <v>3</v>
      </c>
      <c r="CC167" s="2"/>
      <c r="CD167" s="2"/>
      <c r="CE167" s="2">
        <v>30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68"/>
        <v>176.87</v>
      </c>
      <c r="CQ167" s="2">
        <f t="shared" si="169"/>
        <v>5.78</v>
      </c>
      <c r="CR167" s="2">
        <f t="shared" ref="CR167:CR172" si="197">(ROUND((ROUND(((ET167)*AV167*1),2)*BB167),2)+ROUND((ROUND(((AE167-(EU167))*AV167*1),2)*BS167),2))</f>
        <v>0</v>
      </c>
      <c r="CS167" s="2">
        <f t="shared" si="170"/>
        <v>0</v>
      </c>
      <c r="CT167" s="2">
        <f t="shared" si="171"/>
        <v>0</v>
      </c>
      <c r="CU167" s="2">
        <f t="shared" si="172"/>
        <v>0</v>
      </c>
      <c r="CV167" s="2">
        <f t="shared" si="173"/>
        <v>0</v>
      </c>
      <c r="CW167" s="2">
        <f t="shared" si="174"/>
        <v>0</v>
      </c>
      <c r="CX167" s="2">
        <f t="shared" si="175"/>
        <v>0</v>
      </c>
      <c r="CY167" s="2">
        <f t="shared" si="176"/>
        <v>0</v>
      </c>
      <c r="CZ167" s="2">
        <f t="shared" si="177"/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1003</v>
      </c>
      <c r="DV167" s="2" t="s">
        <v>296</v>
      </c>
      <c r="DW167" s="2" t="s">
        <v>296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58162629</v>
      </c>
      <c r="EF167" s="2">
        <v>40</v>
      </c>
      <c r="EG167" s="2" t="s">
        <v>25</v>
      </c>
      <c r="EH167" s="2">
        <v>0</v>
      </c>
      <c r="EI167" s="2" t="s">
        <v>3</v>
      </c>
      <c r="EJ167" s="2">
        <v>2</v>
      </c>
      <c r="EK167" s="2">
        <v>67</v>
      </c>
      <c r="EL167" s="2" t="s">
        <v>104</v>
      </c>
      <c r="EM167" s="2" t="s">
        <v>105</v>
      </c>
      <c r="EN167" s="2"/>
      <c r="EO167" s="2" t="s">
        <v>3</v>
      </c>
      <c r="EP167" s="2"/>
      <c r="EQ167" s="2">
        <v>0</v>
      </c>
      <c r="ER167" s="2">
        <v>5.78</v>
      </c>
      <c r="ES167" s="2">
        <v>5.78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97</v>
      </c>
      <c r="FY167" s="2">
        <v>51</v>
      </c>
      <c r="FZ167" s="2"/>
      <c r="GA167" s="2" t="s">
        <v>3</v>
      </c>
      <c r="GB167" s="2"/>
      <c r="GC167" s="2"/>
      <c r="GD167" s="2">
        <v>1</v>
      </c>
      <c r="GE167" s="2"/>
      <c r="GF167" s="2">
        <v>-2129111418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78"/>
        <v>0</v>
      </c>
      <c r="GM167" s="2">
        <f t="shared" si="179"/>
        <v>176.87</v>
      </c>
      <c r="GN167" s="2">
        <f t="shared" si="180"/>
        <v>0</v>
      </c>
      <c r="GO167" s="2">
        <f t="shared" si="181"/>
        <v>176.87</v>
      </c>
      <c r="GP167" s="2">
        <f t="shared" si="182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183"/>
        <v>0</v>
      </c>
      <c r="GW167" s="2">
        <v>1</v>
      </c>
      <c r="GX167" s="2">
        <f t="shared" si="184"/>
        <v>0</v>
      </c>
      <c r="GY167" s="2"/>
      <c r="GZ167" s="2"/>
      <c r="HA167" s="2">
        <v>0</v>
      </c>
      <c r="HB167" s="2">
        <v>0</v>
      </c>
      <c r="HC167" s="2">
        <f t="shared" si="185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3">
      <c r="A168">
        <v>18</v>
      </c>
      <c r="B168">
        <v>1</v>
      </c>
      <c r="E168" t="s">
        <v>293</v>
      </c>
      <c r="F168" t="s">
        <v>294</v>
      </c>
      <c r="G168" t="s">
        <v>295</v>
      </c>
      <c r="H168" t="s">
        <v>296</v>
      </c>
      <c r="I168">
        <f>I166*J168</f>
        <v>30.6</v>
      </c>
      <c r="J168">
        <v>102.00000000000001</v>
      </c>
      <c r="K168">
        <v>102</v>
      </c>
      <c r="O168">
        <f t="shared" si="154"/>
        <v>1085.98</v>
      </c>
      <c r="P168">
        <f t="shared" si="155"/>
        <v>1085.98</v>
      </c>
      <c r="Q168">
        <f t="shared" si="193"/>
        <v>0</v>
      </c>
      <c r="R168">
        <f t="shared" si="156"/>
        <v>0</v>
      </c>
      <c r="S168">
        <f t="shared" si="157"/>
        <v>0</v>
      </c>
      <c r="T168">
        <f t="shared" si="158"/>
        <v>0</v>
      </c>
      <c r="U168">
        <f t="shared" si="159"/>
        <v>0</v>
      </c>
      <c r="V168">
        <f t="shared" si="160"/>
        <v>0</v>
      </c>
      <c r="W168">
        <f t="shared" si="161"/>
        <v>0</v>
      </c>
      <c r="X168">
        <f t="shared" si="162"/>
        <v>0</v>
      </c>
      <c r="Y168">
        <f t="shared" si="163"/>
        <v>0</v>
      </c>
      <c r="AA168">
        <v>56498968</v>
      </c>
      <c r="AB168">
        <f t="shared" si="164"/>
        <v>5.78</v>
      </c>
      <c r="AC168">
        <f t="shared" si="165"/>
        <v>5.78</v>
      </c>
      <c r="AD168">
        <f t="shared" si="194"/>
        <v>0</v>
      </c>
      <c r="AE168">
        <f t="shared" si="195"/>
        <v>0</v>
      </c>
      <c r="AF168">
        <f t="shared" si="195"/>
        <v>0</v>
      </c>
      <c r="AG168">
        <f t="shared" si="166"/>
        <v>0</v>
      </c>
      <c r="AH168">
        <f t="shared" si="196"/>
        <v>0</v>
      </c>
      <c r="AI168">
        <f t="shared" si="196"/>
        <v>0</v>
      </c>
      <c r="AJ168">
        <f t="shared" si="167"/>
        <v>0</v>
      </c>
      <c r="AK168">
        <v>5.78</v>
      </c>
      <c r="AL168">
        <v>5.78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97</v>
      </c>
      <c r="AU168">
        <v>51</v>
      </c>
      <c r="AV168">
        <v>1</v>
      </c>
      <c r="AW168">
        <v>1</v>
      </c>
      <c r="AZ168">
        <v>1</v>
      </c>
      <c r="BA168">
        <v>1</v>
      </c>
      <c r="BB168">
        <v>1</v>
      </c>
      <c r="BC168">
        <v>6.14</v>
      </c>
      <c r="BD168" t="s">
        <v>3</v>
      </c>
      <c r="BE168" t="s">
        <v>3</v>
      </c>
      <c r="BF168" t="s">
        <v>3</v>
      </c>
      <c r="BG168" t="s">
        <v>3</v>
      </c>
      <c r="BH168">
        <v>3</v>
      </c>
      <c r="BI168">
        <v>2</v>
      </c>
      <c r="BJ168" t="s">
        <v>297</v>
      </c>
      <c r="BM168">
        <v>67</v>
      </c>
      <c r="BN168">
        <v>0</v>
      </c>
      <c r="BO168" t="s">
        <v>294</v>
      </c>
      <c r="BP168">
        <v>1</v>
      </c>
      <c r="BQ168">
        <v>40</v>
      </c>
      <c r="BR168">
        <v>0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 t="s">
        <v>3</v>
      </c>
      <c r="BZ168">
        <v>97</v>
      </c>
      <c r="CA168">
        <v>51</v>
      </c>
      <c r="CB168" t="s">
        <v>3</v>
      </c>
      <c r="CE168">
        <v>30</v>
      </c>
      <c r="CF168">
        <v>0</v>
      </c>
      <c r="CG168">
        <v>0</v>
      </c>
      <c r="CM168">
        <v>0</v>
      </c>
      <c r="CN168" t="s">
        <v>3</v>
      </c>
      <c r="CO168">
        <v>0</v>
      </c>
      <c r="CP168">
        <f t="shared" si="168"/>
        <v>1085.98</v>
      </c>
      <c r="CQ168">
        <f t="shared" si="169"/>
        <v>35.49</v>
      </c>
      <c r="CR168">
        <f t="shared" si="197"/>
        <v>0</v>
      </c>
      <c r="CS168">
        <f t="shared" si="170"/>
        <v>0</v>
      </c>
      <c r="CT168">
        <f t="shared" si="171"/>
        <v>0</v>
      </c>
      <c r="CU168">
        <f t="shared" si="172"/>
        <v>0</v>
      </c>
      <c r="CV168">
        <f t="shared" si="173"/>
        <v>0</v>
      </c>
      <c r="CW168">
        <f t="shared" si="174"/>
        <v>0</v>
      </c>
      <c r="CX168">
        <f t="shared" si="175"/>
        <v>0</v>
      </c>
      <c r="CY168">
        <f t="shared" si="176"/>
        <v>0</v>
      </c>
      <c r="CZ168">
        <f t="shared" si="177"/>
        <v>0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>
        <v>0</v>
      </c>
      <c r="DO168">
        <v>0</v>
      </c>
      <c r="DP168">
        <v>1</v>
      </c>
      <c r="DQ168">
        <v>1</v>
      </c>
      <c r="DU168">
        <v>1003</v>
      </c>
      <c r="DV168" t="s">
        <v>296</v>
      </c>
      <c r="DW168" t="s">
        <v>296</v>
      </c>
      <c r="DX168">
        <v>1</v>
      </c>
      <c r="DZ168" t="s">
        <v>3</v>
      </c>
      <c r="EA168" t="s">
        <v>3</v>
      </c>
      <c r="EB168" t="s">
        <v>3</v>
      </c>
      <c r="EC168" t="s">
        <v>3</v>
      </c>
      <c r="EE168">
        <v>58162629</v>
      </c>
      <c r="EF168">
        <v>40</v>
      </c>
      <c r="EG168" t="s">
        <v>25</v>
      </c>
      <c r="EH168">
        <v>0</v>
      </c>
      <c r="EI168" t="s">
        <v>3</v>
      </c>
      <c r="EJ168">
        <v>2</v>
      </c>
      <c r="EK168">
        <v>67</v>
      </c>
      <c r="EL168" t="s">
        <v>104</v>
      </c>
      <c r="EM168" t="s">
        <v>105</v>
      </c>
      <c r="EO168" t="s">
        <v>3</v>
      </c>
      <c r="EQ168">
        <v>0</v>
      </c>
      <c r="ER168">
        <v>5.78</v>
      </c>
      <c r="ES168">
        <v>5.78</v>
      </c>
      <c r="ET168">
        <v>0</v>
      </c>
      <c r="EU168">
        <v>0</v>
      </c>
      <c r="EV168">
        <v>0</v>
      </c>
      <c r="EW168">
        <v>0</v>
      </c>
      <c r="EX168">
        <v>0</v>
      </c>
      <c r="FQ168">
        <v>0</v>
      </c>
      <c r="FR168">
        <v>0</v>
      </c>
      <c r="FS168">
        <v>0</v>
      </c>
      <c r="FX168">
        <v>97</v>
      </c>
      <c r="FY168">
        <v>51</v>
      </c>
      <c r="GA168" t="s">
        <v>3</v>
      </c>
      <c r="GD168">
        <v>1</v>
      </c>
      <c r="GF168">
        <v>-2129111418</v>
      </c>
      <c r="GG168">
        <v>2</v>
      </c>
      <c r="GH168">
        <v>1</v>
      </c>
      <c r="GI168">
        <v>2</v>
      </c>
      <c r="GJ168">
        <v>0</v>
      </c>
      <c r="GK168">
        <v>0</v>
      </c>
      <c r="GL168">
        <f t="shared" si="178"/>
        <v>0</v>
      </c>
      <c r="GM168">
        <f t="shared" si="179"/>
        <v>1085.98</v>
      </c>
      <c r="GN168">
        <f t="shared" si="180"/>
        <v>0</v>
      </c>
      <c r="GO168">
        <f t="shared" si="181"/>
        <v>1085.98</v>
      </c>
      <c r="GP168">
        <f t="shared" si="182"/>
        <v>0</v>
      </c>
      <c r="GR168">
        <v>0</v>
      </c>
      <c r="GS168">
        <v>3</v>
      </c>
      <c r="GT168">
        <v>0</v>
      </c>
      <c r="GU168" t="s">
        <v>3</v>
      </c>
      <c r="GV168">
        <f t="shared" si="183"/>
        <v>0</v>
      </c>
      <c r="GW168">
        <v>1</v>
      </c>
      <c r="GX168">
        <f t="shared" si="184"/>
        <v>0</v>
      </c>
      <c r="HA168">
        <v>0</v>
      </c>
      <c r="HB168">
        <v>0</v>
      </c>
      <c r="HC168">
        <f t="shared" si="185"/>
        <v>0</v>
      </c>
      <c r="HE168" t="s">
        <v>3</v>
      </c>
      <c r="HF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3</v>
      </c>
      <c r="HS168">
        <v>0</v>
      </c>
      <c r="IK168">
        <v>0</v>
      </c>
    </row>
    <row r="169" spans="1:255" x14ac:dyDescent="0.3">
      <c r="A169" s="2">
        <v>18</v>
      </c>
      <c r="B169" s="2">
        <v>1</v>
      </c>
      <c r="C169" s="2"/>
      <c r="D169" s="2"/>
      <c r="E169" s="2" t="s">
        <v>298</v>
      </c>
      <c r="F169" s="2" t="s">
        <v>299</v>
      </c>
      <c r="G169" s="2" t="s">
        <v>300</v>
      </c>
      <c r="H169" s="2" t="s">
        <v>266</v>
      </c>
      <c r="I169" s="2">
        <f>I165*J169</f>
        <v>6.6000000000000003E-2</v>
      </c>
      <c r="J169" s="2">
        <v>0.22000000000000003</v>
      </c>
      <c r="K169" s="2">
        <v>0.22</v>
      </c>
      <c r="L169" s="2"/>
      <c r="M169" s="2"/>
      <c r="N169" s="2"/>
      <c r="O169" s="2">
        <f t="shared" si="154"/>
        <v>60.71</v>
      </c>
      <c r="P169" s="2">
        <f t="shared" si="155"/>
        <v>60.71</v>
      </c>
      <c r="Q169" s="2">
        <f t="shared" si="193"/>
        <v>0</v>
      </c>
      <c r="R169" s="2">
        <f t="shared" si="156"/>
        <v>0</v>
      </c>
      <c r="S169" s="2">
        <f t="shared" si="157"/>
        <v>0</v>
      </c>
      <c r="T169" s="2">
        <f t="shared" si="158"/>
        <v>0</v>
      </c>
      <c r="U169" s="2">
        <f t="shared" si="159"/>
        <v>0</v>
      </c>
      <c r="V169" s="2">
        <f t="shared" si="160"/>
        <v>0</v>
      </c>
      <c r="W169" s="2">
        <f t="shared" si="161"/>
        <v>0</v>
      </c>
      <c r="X169" s="2">
        <f t="shared" si="162"/>
        <v>0</v>
      </c>
      <c r="Y169" s="2">
        <f t="shared" si="163"/>
        <v>0</v>
      </c>
      <c r="Z169" s="2"/>
      <c r="AA169" s="2">
        <v>56498966</v>
      </c>
      <c r="AB169" s="2">
        <f t="shared" si="164"/>
        <v>919.92</v>
      </c>
      <c r="AC169" s="2">
        <f t="shared" si="165"/>
        <v>919.92</v>
      </c>
      <c r="AD169" s="2">
        <f t="shared" si="194"/>
        <v>0</v>
      </c>
      <c r="AE169" s="2">
        <f t="shared" si="195"/>
        <v>0</v>
      </c>
      <c r="AF169" s="2">
        <f t="shared" si="195"/>
        <v>0</v>
      </c>
      <c r="AG169" s="2">
        <f t="shared" si="166"/>
        <v>0</v>
      </c>
      <c r="AH169" s="2">
        <f t="shared" si="196"/>
        <v>0</v>
      </c>
      <c r="AI169" s="2">
        <f t="shared" si="196"/>
        <v>0</v>
      </c>
      <c r="AJ169" s="2">
        <f t="shared" si="167"/>
        <v>0</v>
      </c>
      <c r="AK169" s="2">
        <v>919.92</v>
      </c>
      <c r="AL169" s="2">
        <v>919.92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97</v>
      </c>
      <c r="AU169" s="2">
        <v>51</v>
      </c>
      <c r="AV169" s="2">
        <v>1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3</v>
      </c>
      <c r="BI169" s="2">
        <v>2</v>
      </c>
      <c r="BJ169" s="2" t="s">
        <v>301</v>
      </c>
      <c r="BK169" s="2"/>
      <c r="BL169" s="2"/>
      <c r="BM169" s="2">
        <v>67</v>
      </c>
      <c r="BN169" s="2">
        <v>0</v>
      </c>
      <c r="BO169" s="2" t="s">
        <v>3</v>
      </c>
      <c r="BP169" s="2">
        <v>0</v>
      </c>
      <c r="BQ169" s="2">
        <v>40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97</v>
      </c>
      <c r="CA169" s="2">
        <v>51</v>
      </c>
      <c r="CB169" s="2" t="s">
        <v>3</v>
      </c>
      <c r="CC169" s="2"/>
      <c r="CD169" s="2"/>
      <c r="CE169" s="2">
        <v>30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3</v>
      </c>
      <c r="CO169" s="2">
        <v>0</v>
      </c>
      <c r="CP169" s="2">
        <f t="shared" si="168"/>
        <v>60.71</v>
      </c>
      <c r="CQ169" s="2">
        <f t="shared" si="169"/>
        <v>919.92</v>
      </c>
      <c r="CR169" s="2">
        <f t="shared" si="197"/>
        <v>0</v>
      </c>
      <c r="CS169" s="2">
        <f t="shared" si="170"/>
        <v>0</v>
      </c>
      <c r="CT169" s="2">
        <f t="shared" si="171"/>
        <v>0</v>
      </c>
      <c r="CU169" s="2">
        <f t="shared" si="172"/>
        <v>0</v>
      </c>
      <c r="CV169" s="2">
        <f t="shared" si="173"/>
        <v>0</v>
      </c>
      <c r="CW169" s="2">
        <f t="shared" si="174"/>
        <v>0</v>
      </c>
      <c r="CX169" s="2">
        <f t="shared" si="175"/>
        <v>0</v>
      </c>
      <c r="CY169" s="2">
        <f t="shared" si="176"/>
        <v>0</v>
      </c>
      <c r="CZ169" s="2">
        <f t="shared" si="177"/>
        <v>0</v>
      </c>
      <c r="DA169" s="2"/>
      <c r="DB169" s="2"/>
      <c r="DC169" s="2" t="s">
        <v>3</v>
      </c>
      <c r="DD169" s="2" t="s">
        <v>3</v>
      </c>
      <c r="DE169" s="2" t="s">
        <v>3</v>
      </c>
      <c r="DF169" s="2" t="s">
        <v>3</v>
      </c>
      <c r="DG169" s="2" t="s">
        <v>3</v>
      </c>
      <c r="DH169" s="2" t="s">
        <v>3</v>
      </c>
      <c r="DI169" s="2" t="s">
        <v>3</v>
      </c>
      <c r="DJ169" s="2" t="s">
        <v>3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1010</v>
      </c>
      <c r="DV169" s="2" t="s">
        <v>266</v>
      </c>
      <c r="DW169" s="2" t="s">
        <v>266</v>
      </c>
      <c r="DX169" s="2">
        <v>1000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58162629</v>
      </c>
      <c r="EF169" s="2">
        <v>40</v>
      </c>
      <c r="EG169" s="2" t="s">
        <v>25</v>
      </c>
      <c r="EH169" s="2">
        <v>0</v>
      </c>
      <c r="EI169" s="2" t="s">
        <v>3</v>
      </c>
      <c r="EJ169" s="2">
        <v>2</v>
      </c>
      <c r="EK169" s="2">
        <v>67</v>
      </c>
      <c r="EL169" s="2" t="s">
        <v>104</v>
      </c>
      <c r="EM169" s="2" t="s">
        <v>105</v>
      </c>
      <c r="EN169" s="2"/>
      <c r="EO169" s="2" t="s">
        <v>3</v>
      </c>
      <c r="EP169" s="2"/>
      <c r="EQ169" s="2">
        <v>0</v>
      </c>
      <c r="ER169" s="2">
        <v>919.92</v>
      </c>
      <c r="ES169" s="2">
        <v>919.92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97</v>
      </c>
      <c r="FY169" s="2">
        <v>51</v>
      </c>
      <c r="FZ169" s="2"/>
      <c r="GA169" s="2" t="s">
        <v>3</v>
      </c>
      <c r="GB169" s="2"/>
      <c r="GC169" s="2"/>
      <c r="GD169" s="2">
        <v>1</v>
      </c>
      <c r="GE169" s="2"/>
      <c r="GF169" s="2">
        <v>2136966088</v>
      </c>
      <c r="GG169" s="2">
        <v>2</v>
      </c>
      <c r="GH169" s="2">
        <v>1</v>
      </c>
      <c r="GI169" s="2">
        <v>-2</v>
      </c>
      <c r="GJ169" s="2">
        <v>0</v>
      </c>
      <c r="GK169" s="2">
        <v>0</v>
      </c>
      <c r="GL169" s="2">
        <f t="shared" si="178"/>
        <v>0</v>
      </c>
      <c r="GM169" s="2">
        <f t="shared" si="179"/>
        <v>60.71</v>
      </c>
      <c r="GN169" s="2">
        <f t="shared" si="180"/>
        <v>0</v>
      </c>
      <c r="GO169" s="2">
        <f t="shared" si="181"/>
        <v>60.71</v>
      </c>
      <c r="GP169" s="2">
        <f t="shared" si="182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183"/>
        <v>0</v>
      </c>
      <c r="GW169" s="2">
        <v>1</v>
      </c>
      <c r="GX169" s="2">
        <f t="shared" si="184"/>
        <v>0</v>
      </c>
      <c r="GY169" s="2"/>
      <c r="GZ169" s="2"/>
      <c r="HA169" s="2">
        <v>0</v>
      </c>
      <c r="HB169" s="2">
        <v>0</v>
      </c>
      <c r="HC169" s="2">
        <f t="shared" si="185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3">
      <c r="A170">
        <v>18</v>
      </c>
      <c r="B170">
        <v>1</v>
      </c>
      <c r="E170" t="s">
        <v>298</v>
      </c>
      <c r="F170" t="s">
        <v>299</v>
      </c>
      <c r="G170" t="s">
        <v>300</v>
      </c>
      <c r="H170" t="s">
        <v>266</v>
      </c>
      <c r="I170">
        <f>I166*J170</f>
        <v>6.6000000000000003E-2</v>
      </c>
      <c r="J170">
        <v>0.22000000000000003</v>
      </c>
      <c r="K170">
        <v>0.22</v>
      </c>
      <c r="O170">
        <f t="shared" si="154"/>
        <v>172.42</v>
      </c>
      <c r="P170">
        <f t="shared" si="155"/>
        <v>172.42</v>
      </c>
      <c r="Q170">
        <f t="shared" si="193"/>
        <v>0</v>
      </c>
      <c r="R170">
        <f t="shared" si="156"/>
        <v>0</v>
      </c>
      <c r="S170">
        <f t="shared" si="157"/>
        <v>0</v>
      </c>
      <c r="T170">
        <f t="shared" si="158"/>
        <v>0</v>
      </c>
      <c r="U170">
        <f t="shared" si="159"/>
        <v>0</v>
      </c>
      <c r="V170">
        <f t="shared" si="160"/>
        <v>0</v>
      </c>
      <c r="W170">
        <f t="shared" si="161"/>
        <v>0</v>
      </c>
      <c r="X170">
        <f t="shared" si="162"/>
        <v>0</v>
      </c>
      <c r="Y170">
        <f t="shared" si="163"/>
        <v>0</v>
      </c>
      <c r="AA170">
        <v>56498968</v>
      </c>
      <c r="AB170">
        <f t="shared" si="164"/>
        <v>919.92</v>
      </c>
      <c r="AC170">
        <f t="shared" si="165"/>
        <v>919.92</v>
      </c>
      <c r="AD170">
        <f t="shared" si="194"/>
        <v>0</v>
      </c>
      <c r="AE170">
        <f t="shared" si="195"/>
        <v>0</v>
      </c>
      <c r="AF170">
        <f t="shared" si="195"/>
        <v>0</v>
      </c>
      <c r="AG170">
        <f t="shared" si="166"/>
        <v>0</v>
      </c>
      <c r="AH170">
        <f t="shared" si="196"/>
        <v>0</v>
      </c>
      <c r="AI170">
        <f t="shared" si="196"/>
        <v>0</v>
      </c>
      <c r="AJ170">
        <f t="shared" si="167"/>
        <v>0</v>
      </c>
      <c r="AK170">
        <v>919.92</v>
      </c>
      <c r="AL170">
        <v>919.92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97</v>
      </c>
      <c r="AU170">
        <v>51</v>
      </c>
      <c r="AV170">
        <v>1</v>
      </c>
      <c r="AW170">
        <v>1</v>
      </c>
      <c r="AZ170">
        <v>1</v>
      </c>
      <c r="BA170">
        <v>1</v>
      </c>
      <c r="BB170">
        <v>1</v>
      </c>
      <c r="BC170">
        <v>2.84</v>
      </c>
      <c r="BD170" t="s">
        <v>3</v>
      </c>
      <c r="BE170" t="s">
        <v>3</v>
      </c>
      <c r="BF170" t="s">
        <v>3</v>
      </c>
      <c r="BG170" t="s">
        <v>3</v>
      </c>
      <c r="BH170">
        <v>3</v>
      </c>
      <c r="BI170">
        <v>2</v>
      </c>
      <c r="BJ170" t="s">
        <v>301</v>
      </c>
      <c r="BM170">
        <v>67</v>
      </c>
      <c r="BN170">
        <v>0</v>
      </c>
      <c r="BO170" t="s">
        <v>299</v>
      </c>
      <c r="BP170">
        <v>1</v>
      </c>
      <c r="BQ170">
        <v>40</v>
      </c>
      <c r="BR170">
        <v>0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 t="s">
        <v>3</v>
      </c>
      <c r="BZ170">
        <v>97</v>
      </c>
      <c r="CA170">
        <v>51</v>
      </c>
      <c r="CB170" t="s">
        <v>3</v>
      </c>
      <c r="CE170">
        <v>30</v>
      </c>
      <c r="CF170">
        <v>0</v>
      </c>
      <c r="CG170">
        <v>0</v>
      </c>
      <c r="CM170">
        <v>0</v>
      </c>
      <c r="CN170" t="s">
        <v>3</v>
      </c>
      <c r="CO170">
        <v>0</v>
      </c>
      <c r="CP170">
        <f t="shared" si="168"/>
        <v>172.42</v>
      </c>
      <c r="CQ170">
        <f t="shared" si="169"/>
        <v>2612.5700000000002</v>
      </c>
      <c r="CR170">
        <f t="shared" si="197"/>
        <v>0</v>
      </c>
      <c r="CS170">
        <f t="shared" si="170"/>
        <v>0</v>
      </c>
      <c r="CT170">
        <f t="shared" si="171"/>
        <v>0</v>
      </c>
      <c r="CU170">
        <f t="shared" si="172"/>
        <v>0</v>
      </c>
      <c r="CV170">
        <f t="shared" si="173"/>
        <v>0</v>
      </c>
      <c r="CW170">
        <f t="shared" si="174"/>
        <v>0</v>
      </c>
      <c r="CX170">
        <f t="shared" si="175"/>
        <v>0</v>
      </c>
      <c r="CY170">
        <f t="shared" si="176"/>
        <v>0</v>
      </c>
      <c r="CZ170">
        <f t="shared" si="177"/>
        <v>0</v>
      </c>
      <c r="DC170" t="s">
        <v>3</v>
      </c>
      <c r="DD170" t="s">
        <v>3</v>
      </c>
      <c r="DE170" t="s">
        <v>3</v>
      </c>
      <c r="DF170" t="s">
        <v>3</v>
      </c>
      <c r="DG170" t="s">
        <v>3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  <c r="DN170">
        <v>0</v>
      </c>
      <c r="DO170">
        <v>0</v>
      </c>
      <c r="DP170">
        <v>1</v>
      </c>
      <c r="DQ170">
        <v>1</v>
      </c>
      <c r="DU170">
        <v>1010</v>
      </c>
      <c r="DV170" t="s">
        <v>266</v>
      </c>
      <c r="DW170" t="s">
        <v>266</v>
      </c>
      <c r="DX170">
        <v>1000</v>
      </c>
      <c r="DZ170" t="s">
        <v>3</v>
      </c>
      <c r="EA170" t="s">
        <v>3</v>
      </c>
      <c r="EB170" t="s">
        <v>3</v>
      </c>
      <c r="EC170" t="s">
        <v>3</v>
      </c>
      <c r="EE170">
        <v>58162629</v>
      </c>
      <c r="EF170">
        <v>40</v>
      </c>
      <c r="EG170" t="s">
        <v>25</v>
      </c>
      <c r="EH170">
        <v>0</v>
      </c>
      <c r="EI170" t="s">
        <v>3</v>
      </c>
      <c r="EJ170">
        <v>2</v>
      </c>
      <c r="EK170">
        <v>67</v>
      </c>
      <c r="EL170" t="s">
        <v>104</v>
      </c>
      <c r="EM170" t="s">
        <v>105</v>
      </c>
      <c r="EO170" t="s">
        <v>3</v>
      </c>
      <c r="EQ170">
        <v>0</v>
      </c>
      <c r="ER170">
        <v>919.92</v>
      </c>
      <c r="ES170">
        <v>919.92</v>
      </c>
      <c r="ET170">
        <v>0</v>
      </c>
      <c r="EU170">
        <v>0</v>
      </c>
      <c r="EV170">
        <v>0</v>
      </c>
      <c r="EW170">
        <v>0</v>
      </c>
      <c r="EX170">
        <v>0</v>
      </c>
      <c r="FQ170">
        <v>0</v>
      </c>
      <c r="FR170">
        <v>0</v>
      </c>
      <c r="FS170">
        <v>0</v>
      </c>
      <c r="FX170">
        <v>97</v>
      </c>
      <c r="FY170">
        <v>51</v>
      </c>
      <c r="GA170" t="s">
        <v>3</v>
      </c>
      <c r="GD170">
        <v>1</v>
      </c>
      <c r="GF170">
        <v>2136966088</v>
      </c>
      <c r="GG170">
        <v>2</v>
      </c>
      <c r="GH170">
        <v>1</v>
      </c>
      <c r="GI170">
        <v>2</v>
      </c>
      <c r="GJ170">
        <v>0</v>
      </c>
      <c r="GK170">
        <v>0</v>
      </c>
      <c r="GL170">
        <f t="shared" si="178"/>
        <v>0</v>
      </c>
      <c r="GM170">
        <f t="shared" si="179"/>
        <v>172.42</v>
      </c>
      <c r="GN170">
        <f t="shared" si="180"/>
        <v>0</v>
      </c>
      <c r="GO170">
        <f t="shared" si="181"/>
        <v>172.42</v>
      </c>
      <c r="GP170">
        <f t="shared" si="182"/>
        <v>0</v>
      </c>
      <c r="GR170">
        <v>0</v>
      </c>
      <c r="GS170">
        <v>3</v>
      </c>
      <c r="GT170">
        <v>0</v>
      </c>
      <c r="GU170" t="s">
        <v>3</v>
      </c>
      <c r="GV170">
        <f t="shared" si="183"/>
        <v>0</v>
      </c>
      <c r="GW170">
        <v>1</v>
      </c>
      <c r="GX170">
        <f t="shared" si="184"/>
        <v>0</v>
      </c>
      <c r="HA170">
        <v>0</v>
      </c>
      <c r="HB170">
        <v>0</v>
      </c>
      <c r="HC170">
        <f t="shared" si="185"/>
        <v>0</v>
      </c>
      <c r="HE170" t="s">
        <v>3</v>
      </c>
      <c r="HF170" t="s">
        <v>3</v>
      </c>
      <c r="HM170" t="s">
        <v>3</v>
      </c>
      <c r="HN170" t="s">
        <v>3</v>
      </c>
      <c r="HO170" t="s">
        <v>3</v>
      </c>
      <c r="HP170" t="s">
        <v>3</v>
      </c>
      <c r="HQ170" t="s">
        <v>3</v>
      </c>
      <c r="HS170">
        <v>0</v>
      </c>
      <c r="IK170">
        <v>0</v>
      </c>
    </row>
    <row r="171" spans="1:255" x14ac:dyDescent="0.3">
      <c r="A171" s="2">
        <v>18</v>
      </c>
      <c r="B171" s="2">
        <v>1</v>
      </c>
      <c r="C171" s="2"/>
      <c r="D171" s="2"/>
      <c r="E171" s="2" t="s">
        <v>302</v>
      </c>
      <c r="F171" s="2" t="s">
        <v>303</v>
      </c>
      <c r="G171" s="2" t="s">
        <v>304</v>
      </c>
      <c r="H171" s="2" t="s">
        <v>305</v>
      </c>
      <c r="I171" s="2">
        <f>I165*J171</f>
        <v>5</v>
      </c>
      <c r="J171" s="2">
        <v>16.666666666666668</v>
      </c>
      <c r="K171" s="2">
        <v>16.666667</v>
      </c>
      <c r="L171" s="2"/>
      <c r="M171" s="2"/>
      <c r="N171" s="2"/>
      <c r="O171" s="2">
        <f t="shared" si="154"/>
        <v>212.65</v>
      </c>
      <c r="P171" s="2">
        <f t="shared" si="155"/>
        <v>212.65</v>
      </c>
      <c r="Q171" s="2">
        <f t="shared" si="193"/>
        <v>0</v>
      </c>
      <c r="R171" s="2">
        <f t="shared" si="156"/>
        <v>0</v>
      </c>
      <c r="S171" s="2">
        <f t="shared" si="157"/>
        <v>0</v>
      </c>
      <c r="T171" s="2">
        <f t="shared" si="158"/>
        <v>0</v>
      </c>
      <c r="U171" s="2">
        <f t="shared" si="159"/>
        <v>0</v>
      </c>
      <c r="V171" s="2">
        <f t="shared" si="160"/>
        <v>0</v>
      </c>
      <c r="W171" s="2">
        <f t="shared" si="161"/>
        <v>0</v>
      </c>
      <c r="X171" s="2">
        <f t="shared" si="162"/>
        <v>0</v>
      </c>
      <c r="Y171" s="2">
        <f t="shared" si="163"/>
        <v>0</v>
      </c>
      <c r="Z171" s="2"/>
      <c r="AA171" s="2">
        <v>56498966</v>
      </c>
      <c r="AB171" s="2">
        <f t="shared" si="164"/>
        <v>42.53</v>
      </c>
      <c r="AC171" s="2">
        <f t="shared" si="165"/>
        <v>42.53</v>
      </c>
      <c r="AD171" s="2">
        <f t="shared" si="194"/>
        <v>0</v>
      </c>
      <c r="AE171" s="2">
        <f t="shared" si="195"/>
        <v>0</v>
      </c>
      <c r="AF171" s="2">
        <f t="shared" si="195"/>
        <v>0</v>
      </c>
      <c r="AG171" s="2">
        <f t="shared" si="166"/>
        <v>0</v>
      </c>
      <c r="AH171" s="2">
        <f t="shared" si="196"/>
        <v>0</v>
      </c>
      <c r="AI171" s="2">
        <f t="shared" si="196"/>
        <v>0</v>
      </c>
      <c r="AJ171" s="2">
        <f t="shared" si="167"/>
        <v>0</v>
      </c>
      <c r="AK171" s="2">
        <v>42.53</v>
      </c>
      <c r="AL171" s="2">
        <v>42.53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97</v>
      </c>
      <c r="AU171" s="2">
        <v>51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2</v>
      </c>
      <c r="BJ171" s="2" t="s">
        <v>306</v>
      </c>
      <c r="BK171" s="2"/>
      <c r="BL171" s="2"/>
      <c r="BM171" s="2">
        <v>67</v>
      </c>
      <c r="BN171" s="2">
        <v>0</v>
      </c>
      <c r="BO171" s="2" t="s">
        <v>3</v>
      </c>
      <c r="BP171" s="2">
        <v>0</v>
      </c>
      <c r="BQ171" s="2">
        <v>40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97</v>
      </c>
      <c r="CA171" s="2">
        <v>51</v>
      </c>
      <c r="CB171" s="2" t="s">
        <v>3</v>
      </c>
      <c r="CC171" s="2"/>
      <c r="CD171" s="2"/>
      <c r="CE171" s="2">
        <v>30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168"/>
        <v>212.65</v>
      </c>
      <c r="CQ171" s="2">
        <f t="shared" si="169"/>
        <v>42.53</v>
      </c>
      <c r="CR171" s="2">
        <f t="shared" si="197"/>
        <v>0</v>
      </c>
      <c r="CS171" s="2">
        <f t="shared" si="170"/>
        <v>0</v>
      </c>
      <c r="CT171" s="2">
        <f t="shared" si="171"/>
        <v>0</v>
      </c>
      <c r="CU171" s="2">
        <f t="shared" si="172"/>
        <v>0</v>
      </c>
      <c r="CV171" s="2">
        <f t="shared" si="173"/>
        <v>0</v>
      </c>
      <c r="CW171" s="2">
        <f t="shared" si="174"/>
        <v>0</v>
      </c>
      <c r="CX171" s="2">
        <f t="shared" si="175"/>
        <v>0</v>
      </c>
      <c r="CY171" s="2">
        <f t="shared" si="176"/>
        <v>0</v>
      </c>
      <c r="CZ171" s="2">
        <f t="shared" si="177"/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1009</v>
      </c>
      <c r="DV171" s="2" t="s">
        <v>305</v>
      </c>
      <c r="DW171" s="2" t="s">
        <v>305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58162629</v>
      </c>
      <c r="EF171" s="2">
        <v>40</v>
      </c>
      <c r="EG171" s="2" t="s">
        <v>25</v>
      </c>
      <c r="EH171" s="2">
        <v>0</v>
      </c>
      <c r="EI171" s="2" t="s">
        <v>3</v>
      </c>
      <c r="EJ171" s="2">
        <v>2</v>
      </c>
      <c r="EK171" s="2">
        <v>67</v>
      </c>
      <c r="EL171" s="2" t="s">
        <v>104</v>
      </c>
      <c r="EM171" s="2" t="s">
        <v>105</v>
      </c>
      <c r="EN171" s="2"/>
      <c r="EO171" s="2" t="s">
        <v>3</v>
      </c>
      <c r="EP171" s="2"/>
      <c r="EQ171" s="2">
        <v>0</v>
      </c>
      <c r="ER171" s="2">
        <v>42.53</v>
      </c>
      <c r="ES171" s="2">
        <v>42.53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97</v>
      </c>
      <c r="FY171" s="2">
        <v>51</v>
      </c>
      <c r="FZ171" s="2"/>
      <c r="GA171" s="2" t="s">
        <v>3</v>
      </c>
      <c r="GB171" s="2"/>
      <c r="GC171" s="2"/>
      <c r="GD171" s="2">
        <v>1</v>
      </c>
      <c r="GE171" s="2"/>
      <c r="GF171" s="2">
        <v>-1075972502</v>
      </c>
      <c r="GG171" s="2">
        <v>2</v>
      </c>
      <c r="GH171" s="2">
        <v>1</v>
      </c>
      <c r="GI171" s="2">
        <v>-2</v>
      </c>
      <c r="GJ171" s="2">
        <v>0</v>
      </c>
      <c r="GK171" s="2">
        <v>0</v>
      </c>
      <c r="GL171" s="2">
        <f t="shared" si="178"/>
        <v>0</v>
      </c>
      <c r="GM171" s="2">
        <f t="shared" si="179"/>
        <v>212.65</v>
      </c>
      <c r="GN171" s="2">
        <f t="shared" si="180"/>
        <v>0</v>
      </c>
      <c r="GO171" s="2">
        <f t="shared" si="181"/>
        <v>212.65</v>
      </c>
      <c r="GP171" s="2">
        <f t="shared" si="182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183"/>
        <v>0</v>
      </c>
      <c r="GW171" s="2">
        <v>1</v>
      </c>
      <c r="GX171" s="2">
        <f t="shared" si="184"/>
        <v>0</v>
      </c>
      <c r="GY171" s="2"/>
      <c r="GZ171" s="2"/>
      <c r="HA171" s="2">
        <v>0</v>
      </c>
      <c r="HB171" s="2">
        <v>0</v>
      </c>
      <c r="HC171" s="2">
        <f t="shared" si="185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3">
      <c r="A172">
        <v>18</v>
      </c>
      <c r="B172">
        <v>1</v>
      </c>
      <c r="E172" t="s">
        <v>302</v>
      </c>
      <c r="F172" t="s">
        <v>303</v>
      </c>
      <c r="G172" t="s">
        <v>304</v>
      </c>
      <c r="H172" t="s">
        <v>305</v>
      </c>
      <c r="I172">
        <f>I166*J172</f>
        <v>5</v>
      </c>
      <c r="J172">
        <v>16.666666666666668</v>
      </c>
      <c r="K172">
        <v>16.666667</v>
      </c>
      <c r="O172">
        <f t="shared" si="154"/>
        <v>897.38</v>
      </c>
      <c r="P172">
        <f t="shared" si="155"/>
        <v>897.38</v>
      </c>
      <c r="Q172">
        <f t="shared" si="193"/>
        <v>0</v>
      </c>
      <c r="R172">
        <f t="shared" si="156"/>
        <v>0</v>
      </c>
      <c r="S172">
        <f t="shared" si="157"/>
        <v>0</v>
      </c>
      <c r="T172">
        <f t="shared" si="158"/>
        <v>0</v>
      </c>
      <c r="U172">
        <f t="shared" si="159"/>
        <v>0</v>
      </c>
      <c r="V172">
        <f t="shared" si="160"/>
        <v>0</v>
      </c>
      <c r="W172">
        <f t="shared" si="161"/>
        <v>0</v>
      </c>
      <c r="X172">
        <f t="shared" si="162"/>
        <v>0</v>
      </c>
      <c r="Y172">
        <f t="shared" si="163"/>
        <v>0</v>
      </c>
      <c r="AA172">
        <v>56498968</v>
      </c>
      <c r="AB172">
        <f t="shared" si="164"/>
        <v>42.53</v>
      </c>
      <c r="AC172">
        <f t="shared" si="165"/>
        <v>42.53</v>
      </c>
      <c r="AD172">
        <f t="shared" si="194"/>
        <v>0</v>
      </c>
      <c r="AE172">
        <f t="shared" si="195"/>
        <v>0</v>
      </c>
      <c r="AF172">
        <f t="shared" si="195"/>
        <v>0</v>
      </c>
      <c r="AG172">
        <f t="shared" si="166"/>
        <v>0</v>
      </c>
      <c r="AH172">
        <f t="shared" si="196"/>
        <v>0</v>
      </c>
      <c r="AI172">
        <f t="shared" si="196"/>
        <v>0</v>
      </c>
      <c r="AJ172">
        <f t="shared" si="167"/>
        <v>0</v>
      </c>
      <c r="AK172">
        <v>42.53</v>
      </c>
      <c r="AL172">
        <v>42.53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97</v>
      </c>
      <c r="AU172">
        <v>51</v>
      </c>
      <c r="AV172">
        <v>1</v>
      </c>
      <c r="AW172">
        <v>1</v>
      </c>
      <c r="AZ172">
        <v>1</v>
      </c>
      <c r="BA172">
        <v>1</v>
      </c>
      <c r="BB172">
        <v>1</v>
      </c>
      <c r="BC172">
        <v>4.22</v>
      </c>
      <c r="BD172" t="s">
        <v>3</v>
      </c>
      <c r="BE172" t="s">
        <v>3</v>
      </c>
      <c r="BF172" t="s">
        <v>3</v>
      </c>
      <c r="BG172" t="s">
        <v>3</v>
      </c>
      <c r="BH172">
        <v>3</v>
      </c>
      <c r="BI172">
        <v>2</v>
      </c>
      <c r="BJ172" t="s">
        <v>306</v>
      </c>
      <c r="BM172">
        <v>67</v>
      </c>
      <c r="BN172">
        <v>0</v>
      </c>
      <c r="BO172" t="s">
        <v>303</v>
      </c>
      <c r="BP172">
        <v>1</v>
      </c>
      <c r="BQ172">
        <v>40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 t="s">
        <v>3</v>
      </c>
      <c r="BZ172">
        <v>97</v>
      </c>
      <c r="CA172">
        <v>51</v>
      </c>
      <c r="CB172" t="s">
        <v>3</v>
      </c>
      <c r="CE172">
        <v>30</v>
      </c>
      <c r="CF172">
        <v>0</v>
      </c>
      <c r="CG172">
        <v>0</v>
      </c>
      <c r="CM172">
        <v>0</v>
      </c>
      <c r="CN172" t="s">
        <v>3</v>
      </c>
      <c r="CO172">
        <v>0</v>
      </c>
      <c r="CP172">
        <f t="shared" si="168"/>
        <v>897.38</v>
      </c>
      <c r="CQ172">
        <f t="shared" si="169"/>
        <v>179.48</v>
      </c>
      <c r="CR172">
        <f t="shared" si="197"/>
        <v>0</v>
      </c>
      <c r="CS172">
        <f t="shared" si="170"/>
        <v>0</v>
      </c>
      <c r="CT172">
        <f t="shared" si="171"/>
        <v>0</v>
      </c>
      <c r="CU172">
        <f t="shared" si="172"/>
        <v>0</v>
      </c>
      <c r="CV172">
        <f t="shared" si="173"/>
        <v>0</v>
      </c>
      <c r="CW172">
        <f t="shared" si="174"/>
        <v>0</v>
      </c>
      <c r="CX172">
        <f t="shared" si="175"/>
        <v>0</v>
      </c>
      <c r="CY172">
        <f t="shared" si="176"/>
        <v>0</v>
      </c>
      <c r="CZ172">
        <f t="shared" si="177"/>
        <v>0</v>
      </c>
      <c r="DC172" t="s">
        <v>3</v>
      </c>
      <c r="DD172" t="s">
        <v>3</v>
      </c>
      <c r="DE172" t="s">
        <v>3</v>
      </c>
      <c r="DF172" t="s">
        <v>3</v>
      </c>
      <c r="DG172" t="s">
        <v>3</v>
      </c>
      <c r="DH172" t="s">
        <v>3</v>
      </c>
      <c r="DI172" t="s">
        <v>3</v>
      </c>
      <c r="DJ172" t="s">
        <v>3</v>
      </c>
      <c r="DK172" t="s">
        <v>3</v>
      </c>
      <c r="DL172" t="s">
        <v>3</v>
      </c>
      <c r="DM172" t="s">
        <v>3</v>
      </c>
      <c r="DN172">
        <v>0</v>
      </c>
      <c r="DO172">
        <v>0</v>
      </c>
      <c r="DP172">
        <v>1</v>
      </c>
      <c r="DQ172">
        <v>1</v>
      </c>
      <c r="DU172">
        <v>1009</v>
      </c>
      <c r="DV172" t="s">
        <v>305</v>
      </c>
      <c r="DW172" t="s">
        <v>305</v>
      </c>
      <c r="DX172">
        <v>1</v>
      </c>
      <c r="DZ172" t="s">
        <v>3</v>
      </c>
      <c r="EA172" t="s">
        <v>3</v>
      </c>
      <c r="EB172" t="s">
        <v>3</v>
      </c>
      <c r="EC172" t="s">
        <v>3</v>
      </c>
      <c r="EE172">
        <v>58162629</v>
      </c>
      <c r="EF172">
        <v>40</v>
      </c>
      <c r="EG172" t="s">
        <v>25</v>
      </c>
      <c r="EH172">
        <v>0</v>
      </c>
      <c r="EI172" t="s">
        <v>3</v>
      </c>
      <c r="EJ172">
        <v>2</v>
      </c>
      <c r="EK172">
        <v>67</v>
      </c>
      <c r="EL172" t="s">
        <v>104</v>
      </c>
      <c r="EM172" t="s">
        <v>105</v>
      </c>
      <c r="EO172" t="s">
        <v>3</v>
      </c>
      <c r="EQ172">
        <v>0</v>
      </c>
      <c r="ER172">
        <v>42.53</v>
      </c>
      <c r="ES172">
        <v>42.53</v>
      </c>
      <c r="ET172">
        <v>0</v>
      </c>
      <c r="EU172">
        <v>0</v>
      </c>
      <c r="EV172">
        <v>0</v>
      </c>
      <c r="EW172">
        <v>0</v>
      </c>
      <c r="EX172">
        <v>0</v>
      </c>
      <c r="FQ172">
        <v>0</v>
      </c>
      <c r="FR172">
        <v>0</v>
      </c>
      <c r="FS172">
        <v>0</v>
      </c>
      <c r="FX172">
        <v>97</v>
      </c>
      <c r="FY172">
        <v>51</v>
      </c>
      <c r="GA172" t="s">
        <v>3</v>
      </c>
      <c r="GD172">
        <v>1</v>
      </c>
      <c r="GF172">
        <v>-1075972502</v>
      </c>
      <c r="GG172">
        <v>2</v>
      </c>
      <c r="GH172">
        <v>1</v>
      </c>
      <c r="GI172">
        <v>2</v>
      </c>
      <c r="GJ172">
        <v>0</v>
      </c>
      <c r="GK172">
        <v>0</v>
      </c>
      <c r="GL172">
        <f t="shared" si="178"/>
        <v>0</v>
      </c>
      <c r="GM172">
        <f t="shared" si="179"/>
        <v>897.38</v>
      </c>
      <c r="GN172">
        <f t="shared" si="180"/>
        <v>0</v>
      </c>
      <c r="GO172">
        <f t="shared" si="181"/>
        <v>897.38</v>
      </c>
      <c r="GP172">
        <f t="shared" si="182"/>
        <v>0</v>
      </c>
      <c r="GR172">
        <v>0</v>
      </c>
      <c r="GS172">
        <v>3</v>
      </c>
      <c r="GT172">
        <v>0</v>
      </c>
      <c r="GU172" t="s">
        <v>3</v>
      </c>
      <c r="GV172">
        <f t="shared" si="183"/>
        <v>0</v>
      </c>
      <c r="GW172">
        <v>1</v>
      </c>
      <c r="GX172">
        <f t="shared" si="184"/>
        <v>0</v>
      </c>
      <c r="HA172">
        <v>0</v>
      </c>
      <c r="HB172">
        <v>0</v>
      </c>
      <c r="HC172">
        <f t="shared" si="185"/>
        <v>0</v>
      </c>
      <c r="HE172" t="s">
        <v>3</v>
      </c>
      <c r="HF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3</v>
      </c>
      <c r="HS172">
        <v>0</v>
      </c>
      <c r="IK172">
        <v>0</v>
      </c>
    </row>
    <row r="173" spans="1:255" x14ac:dyDescent="0.3">
      <c r="A173" s="2">
        <v>17</v>
      </c>
      <c r="B173" s="2">
        <v>1</v>
      </c>
      <c r="C173" s="2"/>
      <c r="D173" s="2">
        <f>ROW(EtalonRes!A152)</f>
        <v>152</v>
      </c>
      <c r="E173" s="2" t="s">
        <v>307</v>
      </c>
      <c r="F173" s="2" t="s">
        <v>308</v>
      </c>
      <c r="G173" s="2" t="s">
        <v>309</v>
      </c>
      <c r="H173" s="2" t="s">
        <v>186</v>
      </c>
      <c r="I173" s="2">
        <f>ROUND(100/100,9)</f>
        <v>1</v>
      </c>
      <c r="J173" s="2">
        <v>0</v>
      </c>
      <c r="K173" s="2">
        <f>ROUND(100/100,9)</f>
        <v>1</v>
      </c>
      <c r="L173" s="2"/>
      <c r="M173" s="2"/>
      <c r="N173" s="2"/>
      <c r="O173" s="2">
        <f t="shared" si="154"/>
        <v>1034.8699999999999</v>
      </c>
      <c r="P173" s="2">
        <f t="shared" si="155"/>
        <v>3.41</v>
      </c>
      <c r="Q173" s="2">
        <f>(ROUND((ROUND((((ET173*1.1))*AV173*I173),2)*BB173),2)+ROUND((ROUND(((AE173-((EU173*1.1)))*AV173*I173),2)*BS173),2))</f>
        <v>6.98</v>
      </c>
      <c r="R173" s="2">
        <f t="shared" si="156"/>
        <v>0</v>
      </c>
      <c r="S173" s="2">
        <f t="shared" si="157"/>
        <v>1024.48</v>
      </c>
      <c r="T173" s="2">
        <f t="shared" si="158"/>
        <v>0</v>
      </c>
      <c r="U173" s="2">
        <f t="shared" si="159"/>
        <v>79.812809999999999</v>
      </c>
      <c r="V173" s="2">
        <f t="shared" si="160"/>
        <v>0</v>
      </c>
      <c r="W173" s="2">
        <f t="shared" si="161"/>
        <v>0</v>
      </c>
      <c r="X173" s="2">
        <f t="shared" si="162"/>
        <v>922.03</v>
      </c>
      <c r="Y173" s="2">
        <f t="shared" si="163"/>
        <v>471.26</v>
      </c>
      <c r="Z173" s="2"/>
      <c r="AA173" s="2">
        <v>56498966</v>
      </c>
      <c r="AB173" s="2">
        <f t="shared" si="164"/>
        <v>988.57</v>
      </c>
      <c r="AC173" s="2">
        <f t="shared" si="165"/>
        <v>3.41</v>
      </c>
      <c r="AD173" s="2">
        <f>ROUND(((((ET173*1.1))-((EU173*1.1)))+AE173),6)</f>
        <v>6.6660000000000004</v>
      </c>
      <c r="AE173" s="2">
        <f>ROUND(((EU173*1.1)),6)</f>
        <v>0</v>
      </c>
      <c r="AF173" s="2">
        <f>ROUND(((EV173*1.1)),6)</f>
        <v>978.49400000000003</v>
      </c>
      <c r="AG173" s="2">
        <f t="shared" si="166"/>
        <v>0</v>
      </c>
      <c r="AH173" s="2">
        <f>((EW173*1.1))</f>
        <v>76.23</v>
      </c>
      <c r="AI173" s="2">
        <f>((EX173*1.1))</f>
        <v>0</v>
      </c>
      <c r="AJ173" s="2">
        <f t="shared" si="167"/>
        <v>0</v>
      </c>
      <c r="AK173" s="2">
        <v>899.01</v>
      </c>
      <c r="AL173" s="2">
        <v>3.41</v>
      </c>
      <c r="AM173" s="2">
        <v>6.06</v>
      </c>
      <c r="AN173" s="2">
        <v>0</v>
      </c>
      <c r="AO173" s="2">
        <v>889.54</v>
      </c>
      <c r="AP173" s="2">
        <v>0</v>
      </c>
      <c r="AQ173" s="2">
        <v>69.3</v>
      </c>
      <c r="AR173" s="2">
        <v>0</v>
      </c>
      <c r="AS173" s="2">
        <v>0</v>
      </c>
      <c r="AT173" s="2">
        <v>90</v>
      </c>
      <c r="AU173" s="2">
        <v>46</v>
      </c>
      <c r="AV173" s="2">
        <v>1.0469999999999999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2</v>
      </c>
      <c r="BJ173" s="2" t="s">
        <v>310</v>
      </c>
      <c r="BK173" s="2"/>
      <c r="BL173" s="2"/>
      <c r="BM173" s="2">
        <v>68</v>
      </c>
      <c r="BN173" s="2">
        <v>0</v>
      </c>
      <c r="BO173" s="2" t="s">
        <v>308</v>
      </c>
      <c r="BP173" s="2">
        <v>1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30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3</v>
      </c>
      <c r="CO173" s="2">
        <v>0</v>
      </c>
      <c r="CP173" s="2">
        <f t="shared" si="168"/>
        <v>1034.8700000000001</v>
      </c>
      <c r="CQ173" s="2">
        <f t="shared" si="169"/>
        <v>3.41</v>
      </c>
      <c r="CR173" s="2">
        <f>(ROUND((ROUND((((ET173*1.1))*AV173*1),2)*BB173),2)+ROUND((ROUND(((AE173-((EU173*1.1)))*AV173*1),2)*BS173),2))</f>
        <v>6.98</v>
      </c>
      <c r="CS173" s="2">
        <f t="shared" si="170"/>
        <v>0</v>
      </c>
      <c r="CT173" s="2">
        <f t="shared" si="171"/>
        <v>1024.48</v>
      </c>
      <c r="CU173" s="2">
        <f t="shared" si="172"/>
        <v>0</v>
      </c>
      <c r="CV173" s="2">
        <f t="shared" si="173"/>
        <v>79.812809999999999</v>
      </c>
      <c r="CW173" s="2">
        <f t="shared" si="174"/>
        <v>0</v>
      </c>
      <c r="CX173" s="2">
        <f t="shared" si="175"/>
        <v>0</v>
      </c>
      <c r="CY173" s="2">
        <f t="shared" si="176"/>
        <v>922.03199999999993</v>
      </c>
      <c r="CZ173" s="2">
        <f t="shared" si="177"/>
        <v>471.26080000000002</v>
      </c>
      <c r="DA173" s="2"/>
      <c r="DB173" s="2"/>
      <c r="DC173" s="2" t="s">
        <v>3</v>
      </c>
      <c r="DD173" s="2" t="s">
        <v>3</v>
      </c>
      <c r="DE173" s="2" t="s">
        <v>24</v>
      </c>
      <c r="DF173" s="2" t="s">
        <v>24</v>
      </c>
      <c r="DG173" s="2" t="s">
        <v>24</v>
      </c>
      <c r="DH173" s="2" t="s">
        <v>3</v>
      </c>
      <c r="DI173" s="2" t="s">
        <v>24</v>
      </c>
      <c r="DJ173" s="2" t="s">
        <v>24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1010</v>
      </c>
      <c r="DV173" s="2" t="s">
        <v>186</v>
      </c>
      <c r="DW173" s="2" t="s">
        <v>186</v>
      </c>
      <c r="DX173" s="2">
        <v>100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58162630</v>
      </c>
      <c r="EF173" s="2">
        <v>40</v>
      </c>
      <c r="EG173" s="2" t="s">
        <v>25</v>
      </c>
      <c r="EH173" s="2">
        <v>0</v>
      </c>
      <c r="EI173" s="2" t="s">
        <v>3</v>
      </c>
      <c r="EJ173" s="2">
        <v>2</v>
      </c>
      <c r="EK173" s="2">
        <v>68</v>
      </c>
      <c r="EL173" s="2" t="s">
        <v>26</v>
      </c>
      <c r="EM173" s="2" t="s">
        <v>27</v>
      </c>
      <c r="EN173" s="2"/>
      <c r="EO173" s="2" t="s">
        <v>28</v>
      </c>
      <c r="EP173" s="2"/>
      <c r="EQ173" s="2">
        <v>0</v>
      </c>
      <c r="ER173" s="2">
        <v>899.01</v>
      </c>
      <c r="ES173" s="2">
        <v>3.41</v>
      </c>
      <c r="ET173" s="2">
        <v>6.06</v>
      </c>
      <c r="EU173" s="2">
        <v>0</v>
      </c>
      <c r="EV173" s="2">
        <v>889.54</v>
      </c>
      <c r="EW173" s="2">
        <v>69.3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-2044588183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78"/>
        <v>0</v>
      </c>
      <c r="GM173" s="2">
        <f t="shared" si="179"/>
        <v>2428.16</v>
      </c>
      <c r="GN173" s="2">
        <f t="shared" si="180"/>
        <v>0</v>
      </c>
      <c r="GO173" s="2">
        <f t="shared" si="181"/>
        <v>2428.16</v>
      </c>
      <c r="GP173" s="2">
        <f t="shared" si="182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183"/>
        <v>0</v>
      </c>
      <c r="GW173" s="2">
        <v>1</v>
      </c>
      <c r="GX173" s="2">
        <f t="shared" si="184"/>
        <v>0</v>
      </c>
      <c r="GY173" s="2"/>
      <c r="GZ173" s="2"/>
      <c r="HA173" s="2">
        <v>0</v>
      </c>
      <c r="HB173" s="2">
        <v>0</v>
      </c>
      <c r="HC173" s="2">
        <f t="shared" si="185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3">
      <c r="A174">
        <v>17</v>
      </c>
      <c r="B174">
        <v>1</v>
      </c>
      <c r="D174">
        <f>ROW(EtalonRes!A158)</f>
        <v>158</v>
      </c>
      <c r="E174" t="s">
        <v>307</v>
      </c>
      <c r="F174" t="s">
        <v>308</v>
      </c>
      <c r="G174" t="s">
        <v>309</v>
      </c>
      <c r="H174" t="s">
        <v>186</v>
      </c>
      <c r="I174">
        <f>ROUND(100/100,9)</f>
        <v>1</v>
      </c>
      <c r="J174">
        <v>0</v>
      </c>
      <c r="K174">
        <f>ROUND(100/100,9)</f>
        <v>1</v>
      </c>
      <c r="O174">
        <f t="shared" si="154"/>
        <v>56436.82</v>
      </c>
      <c r="P174">
        <f t="shared" si="155"/>
        <v>39.79</v>
      </c>
      <c r="Q174">
        <f>(ROUND((ROUND((((ET174*1.1))*AV174*I174),2)*BB174),2)+ROUND((ROUND(((AE174-((EU174*1.1)))*AV174*I174),2)*BS174),2))</f>
        <v>60.87</v>
      </c>
      <c r="R174">
        <f t="shared" si="156"/>
        <v>0</v>
      </c>
      <c r="S174">
        <f t="shared" si="157"/>
        <v>56336.160000000003</v>
      </c>
      <c r="T174">
        <f t="shared" si="158"/>
        <v>0</v>
      </c>
      <c r="U174">
        <f t="shared" si="159"/>
        <v>79.812809999999999</v>
      </c>
      <c r="V174">
        <f t="shared" si="160"/>
        <v>0</v>
      </c>
      <c r="W174">
        <f t="shared" si="161"/>
        <v>0</v>
      </c>
      <c r="X174">
        <f t="shared" si="162"/>
        <v>50702.54</v>
      </c>
      <c r="Y174">
        <f t="shared" si="163"/>
        <v>25914.63</v>
      </c>
      <c r="AA174">
        <v>56498968</v>
      </c>
      <c r="AB174">
        <f t="shared" si="164"/>
        <v>988.57</v>
      </c>
      <c r="AC174">
        <f t="shared" si="165"/>
        <v>3.41</v>
      </c>
      <c r="AD174">
        <f>ROUND(((((ET174*1.1))-((EU174*1.1)))+AE174),6)</f>
        <v>6.6660000000000004</v>
      </c>
      <c r="AE174">
        <f>ROUND(((EU174*1.1)),6)</f>
        <v>0</v>
      </c>
      <c r="AF174">
        <f>ROUND(((EV174*1.1)),6)</f>
        <v>978.49400000000003</v>
      </c>
      <c r="AG174">
        <f t="shared" si="166"/>
        <v>0</v>
      </c>
      <c r="AH174">
        <f>((EW174*1.1))</f>
        <v>76.23</v>
      </c>
      <c r="AI174">
        <f>((EX174*1.1))</f>
        <v>0</v>
      </c>
      <c r="AJ174">
        <f t="shared" si="167"/>
        <v>0</v>
      </c>
      <c r="AK174">
        <v>899.01</v>
      </c>
      <c r="AL174">
        <v>3.41</v>
      </c>
      <c r="AM174">
        <v>6.06</v>
      </c>
      <c r="AN174">
        <v>0</v>
      </c>
      <c r="AO174">
        <v>889.54</v>
      </c>
      <c r="AP174">
        <v>0</v>
      </c>
      <c r="AQ174">
        <v>69.3</v>
      </c>
      <c r="AR174">
        <v>0</v>
      </c>
      <c r="AS174">
        <v>0</v>
      </c>
      <c r="AT174">
        <v>90</v>
      </c>
      <c r="AU174">
        <v>46</v>
      </c>
      <c r="AV174">
        <v>1.0469999999999999</v>
      </c>
      <c r="AW174">
        <v>1</v>
      </c>
      <c r="AZ174">
        <v>1</v>
      </c>
      <c r="BA174">
        <v>54.99</v>
      </c>
      <c r="BB174">
        <v>8.7200000000000006</v>
      </c>
      <c r="BC174">
        <v>11.67</v>
      </c>
      <c r="BD174" t="s">
        <v>3</v>
      </c>
      <c r="BE174" t="s">
        <v>3</v>
      </c>
      <c r="BF174" t="s">
        <v>3</v>
      </c>
      <c r="BG174" t="s">
        <v>3</v>
      </c>
      <c r="BH174">
        <v>0</v>
      </c>
      <c r="BI174">
        <v>2</v>
      </c>
      <c r="BJ174" t="s">
        <v>310</v>
      </c>
      <c r="BM174">
        <v>68</v>
      </c>
      <c r="BN174">
        <v>0</v>
      </c>
      <c r="BO174" t="s">
        <v>308</v>
      </c>
      <c r="BP174">
        <v>1</v>
      </c>
      <c r="BQ174">
        <v>40</v>
      </c>
      <c r="BR174">
        <v>0</v>
      </c>
      <c r="BS174">
        <v>54.99</v>
      </c>
      <c r="BT174">
        <v>1</v>
      </c>
      <c r="BU174">
        <v>1</v>
      </c>
      <c r="BV174">
        <v>1</v>
      </c>
      <c r="BW174">
        <v>1</v>
      </c>
      <c r="BX174">
        <v>1</v>
      </c>
      <c r="BY174" t="s">
        <v>3</v>
      </c>
      <c r="BZ174">
        <v>90</v>
      </c>
      <c r="CA174">
        <v>46</v>
      </c>
      <c r="CB174" t="s">
        <v>3</v>
      </c>
      <c r="CE174">
        <v>30</v>
      </c>
      <c r="CF174">
        <v>0</v>
      </c>
      <c r="CG174">
        <v>0</v>
      </c>
      <c r="CM174">
        <v>0</v>
      </c>
      <c r="CN174" t="s">
        <v>3</v>
      </c>
      <c r="CO174">
        <v>0</v>
      </c>
      <c r="CP174">
        <f t="shared" si="168"/>
        <v>56436.820000000007</v>
      </c>
      <c r="CQ174">
        <f t="shared" si="169"/>
        <v>39.79</v>
      </c>
      <c r="CR174">
        <f>(ROUND((ROUND((((ET174*1.1))*AV174*1),2)*BB174),2)+ROUND((ROUND(((AE174-((EU174*1.1)))*AV174*1),2)*BS174),2))</f>
        <v>60.87</v>
      </c>
      <c r="CS174">
        <f t="shared" si="170"/>
        <v>0</v>
      </c>
      <c r="CT174">
        <f t="shared" si="171"/>
        <v>56336.160000000003</v>
      </c>
      <c r="CU174">
        <f t="shared" si="172"/>
        <v>0</v>
      </c>
      <c r="CV174">
        <f t="shared" si="173"/>
        <v>79.812809999999999</v>
      </c>
      <c r="CW174">
        <f t="shared" si="174"/>
        <v>0</v>
      </c>
      <c r="CX174">
        <f t="shared" si="175"/>
        <v>0</v>
      </c>
      <c r="CY174">
        <f t="shared" si="176"/>
        <v>50702.544000000002</v>
      </c>
      <c r="CZ174">
        <f t="shared" si="177"/>
        <v>25914.633600000005</v>
      </c>
      <c r="DC174" t="s">
        <v>3</v>
      </c>
      <c r="DD174" t="s">
        <v>3</v>
      </c>
      <c r="DE174" t="s">
        <v>24</v>
      </c>
      <c r="DF174" t="s">
        <v>24</v>
      </c>
      <c r="DG174" t="s">
        <v>24</v>
      </c>
      <c r="DH174" t="s">
        <v>3</v>
      </c>
      <c r="DI174" t="s">
        <v>24</v>
      </c>
      <c r="DJ174" t="s">
        <v>24</v>
      </c>
      <c r="DK174" t="s">
        <v>3</v>
      </c>
      <c r="DL174" t="s">
        <v>3</v>
      </c>
      <c r="DM174" t="s">
        <v>3</v>
      </c>
      <c r="DN174">
        <v>0</v>
      </c>
      <c r="DO174">
        <v>0</v>
      </c>
      <c r="DP174">
        <v>1</v>
      </c>
      <c r="DQ174">
        <v>1</v>
      </c>
      <c r="DU174">
        <v>1010</v>
      </c>
      <c r="DV174" t="s">
        <v>186</v>
      </c>
      <c r="DW174" t="s">
        <v>186</v>
      </c>
      <c r="DX174">
        <v>100</v>
      </c>
      <c r="DZ174" t="s">
        <v>3</v>
      </c>
      <c r="EA174" t="s">
        <v>3</v>
      </c>
      <c r="EB174" t="s">
        <v>3</v>
      </c>
      <c r="EC174" t="s">
        <v>3</v>
      </c>
      <c r="EE174">
        <v>58162630</v>
      </c>
      <c r="EF174">
        <v>40</v>
      </c>
      <c r="EG174" t="s">
        <v>25</v>
      </c>
      <c r="EH174">
        <v>0</v>
      </c>
      <c r="EI174" t="s">
        <v>3</v>
      </c>
      <c r="EJ174">
        <v>2</v>
      </c>
      <c r="EK174">
        <v>68</v>
      </c>
      <c r="EL174" t="s">
        <v>26</v>
      </c>
      <c r="EM174" t="s">
        <v>27</v>
      </c>
      <c r="EO174" t="s">
        <v>28</v>
      </c>
      <c r="EQ174">
        <v>0</v>
      </c>
      <c r="ER174">
        <v>899.01</v>
      </c>
      <c r="ES174">
        <v>3.41</v>
      </c>
      <c r="ET174">
        <v>6.06</v>
      </c>
      <c r="EU174">
        <v>0</v>
      </c>
      <c r="EV174">
        <v>889.54</v>
      </c>
      <c r="EW174">
        <v>69.3</v>
      </c>
      <c r="EX174">
        <v>0</v>
      </c>
      <c r="EY174">
        <v>0</v>
      </c>
      <c r="FQ174">
        <v>0</v>
      </c>
      <c r="FR174">
        <v>0</v>
      </c>
      <c r="FS174">
        <v>0</v>
      </c>
      <c r="FX174">
        <v>90</v>
      </c>
      <c r="FY174">
        <v>46</v>
      </c>
      <c r="GA174" t="s">
        <v>3</v>
      </c>
      <c r="GD174">
        <v>1</v>
      </c>
      <c r="GF174">
        <v>-2044588183</v>
      </c>
      <c r="GG174">
        <v>2</v>
      </c>
      <c r="GH174">
        <v>1</v>
      </c>
      <c r="GI174">
        <v>2</v>
      </c>
      <c r="GJ174">
        <v>0</v>
      </c>
      <c r="GK174">
        <v>0</v>
      </c>
      <c r="GL174">
        <f t="shared" si="178"/>
        <v>0</v>
      </c>
      <c r="GM174">
        <f t="shared" si="179"/>
        <v>133053.99</v>
      </c>
      <c r="GN174">
        <f t="shared" si="180"/>
        <v>0</v>
      </c>
      <c r="GO174">
        <f t="shared" si="181"/>
        <v>133053.99</v>
      </c>
      <c r="GP174">
        <f t="shared" si="182"/>
        <v>0</v>
      </c>
      <c r="GR174">
        <v>0</v>
      </c>
      <c r="GS174">
        <v>3</v>
      </c>
      <c r="GT174">
        <v>0</v>
      </c>
      <c r="GU174" t="s">
        <v>3</v>
      </c>
      <c r="GV174">
        <f t="shared" si="183"/>
        <v>0</v>
      </c>
      <c r="GW174">
        <v>1</v>
      </c>
      <c r="GX174">
        <f t="shared" si="184"/>
        <v>0</v>
      </c>
      <c r="HA174">
        <v>0</v>
      </c>
      <c r="HB174">
        <v>0</v>
      </c>
      <c r="HC174">
        <f t="shared" si="185"/>
        <v>0</v>
      </c>
      <c r="HE174" t="s">
        <v>3</v>
      </c>
      <c r="HF174" t="s">
        <v>3</v>
      </c>
      <c r="HM174" t="s">
        <v>3</v>
      </c>
      <c r="HN174" t="s">
        <v>3</v>
      </c>
      <c r="HO174" t="s">
        <v>3</v>
      </c>
      <c r="HP174" t="s">
        <v>3</v>
      </c>
      <c r="HQ174" t="s">
        <v>3</v>
      </c>
      <c r="HS174">
        <v>0</v>
      </c>
      <c r="IK174">
        <v>0</v>
      </c>
    </row>
    <row r="175" spans="1:255" x14ac:dyDescent="0.3">
      <c r="A175" s="2">
        <v>18</v>
      </c>
      <c r="B175" s="2">
        <v>1</v>
      </c>
      <c r="C175" s="2"/>
      <c r="D175" s="2"/>
      <c r="E175" s="2" t="s">
        <v>311</v>
      </c>
      <c r="F175" s="2" t="s">
        <v>312</v>
      </c>
      <c r="G175" s="2" t="s">
        <v>313</v>
      </c>
      <c r="H175" s="2" t="s">
        <v>32</v>
      </c>
      <c r="I175" s="2">
        <f>I173*J175</f>
        <v>100</v>
      </c>
      <c r="J175" s="2">
        <v>100</v>
      </c>
      <c r="K175" s="2">
        <v>100</v>
      </c>
      <c r="L175" s="2"/>
      <c r="M175" s="2"/>
      <c r="N175" s="2"/>
      <c r="O175" s="2">
        <f t="shared" si="154"/>
        <v>13171</v>
      </c>
      <c r="P175" s="2">
        <f t="shared" si="155"/>
        <v>13171</v>
      </c>
      <c r="Q175" s="2">
        <f>(ROUND((ROUND(((ET175)*AV175*I175),2)*BB175),2)+ROUND((ROUND(((AE175-(EU175))*AV175*I175),2)*BS175),2))</f>
        <v>0</v>
      </c>
      <c r="R175" s="2">
        <f t="shared" si="156"/>
        <v>0</v>
      </c>
      <c r="S175" s="2">
        <f t="shared" si="157"/>
        <v>0</v>
      </c>
      <c r="T175" s="2">
        <f t="shared" si="158"/>
        <v>0</v>
      </c>
      <c r="U175" s="2">
        <f t="shared" si="159"/>
        <v>0</v>
      </c>
      <c r="V175" s="2">
        <f t="shared" si="160"/>
        <v>0</v>
      </c>
      <c r="W175" s="2">
        <f t="shared" si="161"/>
        <v>0</v>
      </c>
      <c r="X175" s="2">
        <f t="shared" si="162"/>
        <v>0</v>
      </c>
      <c r="Y175" s="2">
        <f t="shared" si="163"/>
        <v>0</v>
      </c>
      <c r="Z175" s="2"/>
      <c r="AA175" s="2">
        <v>56498966</v>
      </c>
      <c r="AB175" s="2">
        <f t="shared" si="164"/>
        <v>131.71</v>
      </c>
      <c r="AC175" s="2">
        <f t="shared" si="165"/>
        <v>131.71</v>
      </c>
      <c r="AD175" s="2">
        <f>ROUND((((ET175)-(EU175))+AE175),6)</f>
        <v>0</v>
      </c>
      <c r="AE175" s="2">
        <f t="shared" ref="AE175:AF178" si="198">ROUND((EU175),6)</f>
        <v>0</v>
      </c>
      <c r="AF175" s="2">
        <f t="shared" si="198"/>
        <v>0</v>
      </c>
      <c r="AG175" s="2">
        <f t="shared" si="166"/>
        <v>0</v>
      </c>
      <c r="AH175" s="2">
        <f t="shared" ref="AH175:AI178" si="199">(EW175)</f>
        <v>0</v>
      </c>
      <c r="AI175" s="2">
        <f t="shared" si="199"/>
        <v>0</v>
      </c>
      <c r="AJ175" s="2">
        <f t="shared" si="167"/>
        <v>0</v>
      </c>
      <c r="AK175" s="2">
        <v>131.71</v>
      </c>
      <c r="AL175" s="2">
        <v>131.71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90</v>
      </c>
      <c r="AU175" s="2">
        <v>46</v>
      </c>
      <c r="AV175" s="2">
        <v>1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2</v>
      </c>
      <c r="BJ175" s="2" t="s">
        <v>314</v>
      </c>
      <c r="BK175" s="2"/>
      <c r="BL175" s="2"/>
      <c r="BM175" s="2">
        <v>68</v>
      </c>
      <c r="BN175" s="2">
        <v>0</v>
      </c>
      <c r="BO175" s="2" t="s">
        <v>3</v>
      </c>
      <c r="BP175" s="2">
        <v>0</v>
      </c>
      <c r="BQ175" s="2">
        <v>40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90</v>
      </c>
      <c r="CA175" s="2">
        <v>46</v>
      </c>
      <c r="CB175" s="2" t="s">
        <v>3</v>
      </c>
      <c r="CC175" s="2"/>
      <c r="CD175" s="2"/>
      <c r="CE175" s="2">
        <v>30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3</v>
      </c>
      <c r="CO175" s="2">
        <v>0</v>
      </c>
      <c r="CP175" s="2">
        <f t="shared" si="168"/>
        <v>13171</v>
      </c>
      <c r="CQ175" s="2">
        <f t="shared" si="169"/>
        <v>131.71</v>
      </c>
      <c r="CR175" s="2">
        <f>(ROUND((ROUND(((ET175)*AV175*1),2)*BB175),2)+ROUND((ROUND(((AE175-(EU175))*AV175*1),2)*BS175),2))</f>
        <v>0</v>
      </c>
      <c r="CS175" s="2">
        <f t="shared" si="170"/>
        <v>0</v>
      </c>
      <c r="CT175" s="2">
        <f t="shared" si="171"/>
        <v>0</v>
      </c>
      <c r="CU175" s="2">
        <f t="shared" si="172"/>
        <v>0</v>
      </c>
      <c r="CV175" s="2">
        <f t="shared" si="173"/>
        <v>0</v>
      </c>
      <c r="CW175" s="2">
        <f t="shared" si="174"/>
        <v>0</v>
      </c>
      <c r="CX175" s="2">
        <f t="shared" si="175"/>
        <v>0</v>
      </c>
      <c r="CY175" s="2">
        <f t="shared" si="176"/>
        <v>0</v>
      </c>
      <c r="CZ175" s="2">
        <f t="shared" si="177"/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1010</v>
      </c>
      <c r="DV175" s="2" t="s">
        <v>32</v>
      </c>
      <c r="DW175" s="2" t="s">
        <v>32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58162630</v>
      </c>
      <c r="EF175" s="2">
        <v>40</v>
      </c>
      <c r="EG175" s="2" t="s">
        <v>25</v>
      </c>
      <c r="EH175" s="2">
        <v>0</v>
      </c>
      <c r="EI175" s="2" t="s">
        <v>3</v>
      </c>
      <c r="EJ175" s="2">
        <v>2</v>
      </c>
      <c r="EK175" s="2">
        <v>68</v>
      </c>
      <c r="EL175" s="2" t="s">
        <v>26</v>
      </c>
      <c r="EM175" s="2" t="s">
        <v>27</v>
      </c>
      <c r="EN175" s="2"/>
      <c r="EO175" s="2" t="s">
        <v>3</v>
      </c>
      <c r="EP175" s="2"/>
      <c r="EQ175" s="2">
        <v>0</v>
      </c>
      <c r="ER175" s="2">
        <v>131.71</v>
      </c>
      <c r="ES175" s="2">
        <v>131.71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90</v>
      </c>
      <c r="FY175" s="2">
        <v>46</v>
      </c>
      <c r="FZ175" s="2"/>
      <c r="GA175" s="2" t="s">
        <v>3</v>
      </c>
      <c r="GB175" s="2"/>
      <c r="GC175" s="2"/>
      <c r="GD175" s="2">
        <v>1</v>
      </c>
      <c r="GE175" s="2"/>
      <c r="GF175" s="2">
        <v>837826706</v>
      </c>
      <c r="GG175" s="2">
        <v>2</v>
      </c>
      <c r="GH175" s="2">
        <v>1</v>
      </c>
      <c r="GI175" s="2">
        <v>-2</v>
      </c>
      <c r="GJ175" s="2">
        <v>0</v>
      </c>
      <c r="GK175" s="2">
        <v>0</v>
      </c>
      <c r="GL175" s="2">
        <f t="shared" si="178"/>
        <v>0</v>
      </c>
      <c r="GM175" s="2">
        <f t="shared" si="179"/>
        <v>13171</v>
      </c>
      <c r="GN175" s="2">
        <f t="shared" si="180"/>
        <v>0</v>
      </c>
      <c r="GO175" s="2">
        <f t="shared" si="181"/>
        <v>13171</v>
      </c>
      <c r="GP175" s="2">
        <f t="shared" si="182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183"/>
        <v>0</v>
      </c>
      <c r="GW175" s="2">
        <v>1</v>
      </c>
      <c r="GX175" s="2">
        <f t="shared" si="184"/>
        <v>0</v>
      </c>
      <c r="GY175" s="2"/>
      <c r="GZ175" s="2"/>
      <c r="HA175" s="2">
        <v>0</v>
      </c>
      <c r="HB175" s="2">
        <v>0</v>
      </c>
      <c r="HC175" s="2">
        <f t="shared" si="185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3">
      <c r="A176">
        <v>18</v>
      </c>
      <c r="B176">
        <v>1</v>
      </c>
      <c r="E176" t="s">
        <v>311</v>
      </c>
      <c r="F176" t="s">
        <v>312</v>
      </c>
      <c r="G176" t="s">
        <v>313</v>
      </c>
      <c r="H176" t="s">
        <v>32</v>
      </c>
      <c r="I176">
        <f>I174*J176</f>
        <v>100</v>
      </c>
      <c r="J176">
        <v>100</v>
      </c>
      <c r="K176">
        <v>100</v>
      </c>
      <c r="O176">
        <f t="shared" si="154"/>
        <v>62957.38</v>
      </c>
      <c r="P176">
        <f t="shared" si="155"/>
        <v>62957.38</v>
      </c>
      <c r="Q176">
        <f>(ROUND((ROUND(((ET176)*AV176*I176),2)*BB176),2)+ROUND((ROUND(((AE176-(EU176))*AV176*I176),2)*BS176),2))</f>
        <v>0</v>
      </c>
      <c r="R176">
        <f t="shared" si="156"/>
        <v>0</v>
      </c>
      <c r="S176">
        <f t="shared" si="157"/>
        <v>0</v>
      </c>
      <c r="T176">
        <f t="shared" si="158"/>
        <v>0</v>
      </c>
      <c r="U176">
        <f t="shared" si="159"/>
        <v>0</v>
      </c>
      <c r="V176">
        <f t="shared" si="160"/>
        <v>0</v>
      </c>
      <c r="W176">
        <f t="shared" si="161"/>
        <v>0</v>
      </c>
      <c r="X176">
        <f t="shared" si="162"/>
        <v>0</v>
      </c>
      <c r="Y176">
        <f t="shared" si="163"/>
        <v>0</v>
      </c>
      <c r="AA176">
        <v>56498968</v>
      </c>
      <c r="AB176">
        <f t="shared" si="164"/>
        <v>131.71</v>
      </c>
      <c r="AC176">
        <f t="shared" si="165"/>
        <v>131.71</v>
      </c>
      <c r="AD176">
        <f>ROUND((((ET176)-(EU176))+AE176),6)</f>
        <v>0</v>
      </c>
      <c r="AE176">
        <f t="shared" si="198"/>
        <v>0</v>
      </c>
      <c r="AF176">
        <f t="shared" si="198"/>
        <v>0</v>
      </c>
      <c r="AG176">
        <f t="shared" si="166"/>
        <v>0</v>
      </c>
      <c r="AH176">
        <f t="shared" si="199"/>
        <v>0</v>
      </c>
      <c r="AI176">
        <f t="shared" si="199"/>
        <v>0</v>
      </c>
      <c r="AJ176">
        <f t="shared" si="167"/>
        <v>0</v>
      </c>
      <c r="AK176">
        <v>131.71</v>
      </c>
      <c r="AL176">
        <v>131.71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90</v>
      </c>
      <c r="AU176">
        <v>46</v>
      </c>
      <c r="AV176">
        <v>1</v>
      </c>
      <c r="AW176">
        <v>1</v>
      </c>
      <c r="AZ176">
        <v>1</v>
      </c>
      <c r="BA176">
        <v>1</v>
      </c>
      <c r="BB176">
        <v>1</v>
      </c>
      <c r="BC176">
        <v>4.78</v>
      </c>
      <c r="BD176" t="s">
        <v>3</v>
      </c>
      <c r="BE176" t="s">
        <v>3</v>
      </c>
      <c r="BF176" t="s">
        <v>3</v>
      </c>
      <c r="BG176" t="s">
        <v>3</v>
      </c>
      <c r="BH176">
        <v>3</v>
      </c>
      <c r="BI176">
        <v>2</v>
      </c>
      <c r="BJ176" t="s">
        <v>314</v>
      </c>
      <c r="BM176">
        <v>68</v>
      </c>
      <c r="BN176">
        <v>0</v>
      </c>
      <c r="BO176" t="s">
        <v>312</v>
      </c>
      <c r="BP176">
        <v>1</v>
      </c>
      <c r="BQ176">
        <v>40</v>
      </c>
      <c r="BR176">
        <v>0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 t="s">
        <v>3</v>
      </c>
      <c r="BZ176">
        <v>90</v>
      </c>
      <c r="CA176">
        <v>46</v>
      </c>
      <c r="CB176" t="s">
        <v>3</v>
      </c>
      <c r="CE176">
        <v>30</v>
      </c>
      <c r="CF176">
        <v>0</v>
      </c>
      <c r="CG176">
        <v>0</v>
      </c>
      <c r="CM176">
        <v>0</v>
      </c>
      <c r="CN176" t="s">
        <v>3</v>
      </c>
      <c r="CO176">
        <v>0</v>
      </c>
      <c r="CP176">
        <f t="shared" si="168"/>
        <v>62957.38</v>
      </c>
      <c r="CQ176">
        <f t="shared" si="169"/>
        <v>629.57000000000005</v>
      </c>
      <c r="CR176">
        <f>(ROUND((ROUND(((ET176)*AV176*1),2)*BB176),2)+ROUND((ROUND(((AE176-(EU176))*AV176*1),2)*BS176),2))</f>
        <v>0</v>
      </c>
      <c r="CS176">
        <f t="shared" si="170"/>
        <v>0</v>
      </c>
      <c r="CT176">
        <f t="shared" si="171"/>
        <v>0</v>
      </c>
      <c r="CU176">
        <f t="shared" si="172"/>
        <v>0</v>
      </c>
      <c r="CV176">
        <f t="shared" si="173"/>
        <v>0</v>
      </c>
      <c r="CW176">
        <f t="shared" si="174"/>
        <v>0</v>
      </c>
      <c r="CX176">
        <f t="shared" si="175"/>
        <v>0</v>
      </c>
      <c r="CY176">
        <f t="shared" si="176"/>
        <v>0</v>
      </c>
      <c r="CZ176">
        <f t="shared" si="177"/>
        <v>0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>
        <v>0</v>
      </c>
      <c r="DO176">
        <v>0</v>
      </c>
      <c r="DP176">
        <v>1</v>
      </c>
      <c r="DQ176">
        <v>1</v>
      </c>
      <c r="DU176">
        <v>1010</v>
      </c>
      <c r="DV176" t="s">
        <v>32</v>
      </c>
      <c r="DW176" t="s">
        <v>32</v>
      </c>
      <c r="DX176">
        <v>1</v>
      </c>
      <c r="DZ176" t="s">
        <v>3</v>
      </c>
      <c r="EA176" t="s">
        <v>3</v>
      </c>
      <c r="EB176" t="s">
        <v>3</v>
      </c>
      <c r="EC176" t="s">
        <v>3</v>
      </c>
      <c r="EE176">
        <v>58162630</v>
      </c>
      <c r="EF176">
        <v>40</v>
      </c>
      <c r="EG176" t="s">
        <v>25</v>
      </c>
      <c r="EH176">
        <v>0</v>
      </c>
      <c r="EI176" t="s">
        <v>3</v>
      </c>
      <c r="EJ176">
        <v>2</v>
      </c>
      <c r="EK176">
        <v>68</v>
      </c>
      <c r="EL176" t="s">
        <v>26</v>
      </c>
      <c r="EM176" t="s">
        <v>27</v>
      </c>
      <c r="EO176" t="s">
        <v>3</v>
      </c>
      <c r="EQ176">
        <v>0</v>
      </c>
      <c r="ER176">
        <v>131.71</v>
      </c>
      <c r="ES176">
        <v>131.71</v>
      </c>
      <c r="ET176">
        <v>0</v>
      </c>
      <c r="EU176">
        <v>0</v>
      </c>
      <c r="EV176">
        <v>0</v>
      </c>
      <c r="EW176">
        <v>0</v>
      </c>
      <c r="EX176">
        <v>0</v>
      </c>
      <c r="FQ176">
        <v>0</v>
      </c>
      <c r="FR176">
        <v>0</v>
      </c>
      <c r="FS176">
        <v>0</v>
      </c>
      <c r="FX176">
        <v>90</v>
      </c>
      <c r="FY176">
        <v>46</v>
      </c>
      <c r="GA176" t="s">
        <v>3</v>
      </c>
      <c r="GD176">
        <v>1</v>
      </c>
      <c r="GF176">
        <v>837826706</v>
      </c>
      <c r="GG176">
        <v>2</v>
      </c>
      <c r="GH176">
        <v>1</v>
      </c>
      <c r="GI176">
        <v>2</v>
      </c>
      <c r="GJ176">
        <v>0</v>
      </c>
      <c r="GK176">
        <v>0</v>
      </c>
      <c r="GL176">
        <f t="shared" si="178"/>
        <v>0</v>
      </c>
      <c r="GM176">
        <f t="shared" si="179"/>
        <v>62957.38</v>
      </c>
      <c r="GN176">
        <f t="shared" si="180"/>
        <v>0</v>
      </c>
      <c r="GO176">
        <f t="shared" si="181"/>
        <v>62957.38</v>
      </c>
      <c r="GP176">
        <f t="shared" si="182"/>
        <v>0</v>
      </c>
      <c r="GR176">
        <v>0</v>
      </c>
      <c r="GS176">
        <v>3</v>
      </c>
      <c r="GT176">
        <v>0</v>
      </c>
      <c r="GU176" t="s">
        <v>3</v>
      </c>
      <c r="GV176">
        <f t="shared" si="183"/>
        <v>0</v>
      </c>
      <c r="GW176">
        <v>1</v>
      </c>
      <c r="GX176">
        <f t="shared" si="184"/>
        <v>0</v>
      </c>
      <c r="HA176">
        <v>0</v>
      </c>
      <c r="HB176">
        <v>0</v>
      </c>
      <c r="HC176">
        <f t="shared" si="185"/>
        <v>0</v>
      </c>
      <c r="HE176" t="s">
        <v>3</v>
      </c>
      <c r="HF176" t="s">
        <v>3</v>
      </c>
      <c r="HM176" t="s">
        <v>3</v>
      </c>
      <c r="HN176" t="s">
        <v>3</v>
      </c>
      <c r="HO176" t="s">
        <v>3</v>
      </c>
      <c r="HP176" t="s">
        <v>3</v>
      </c>
      <c r="HQ176" t="s">
        <v>3</v>
      </c>
      <c r="HS176">
        <v>0</v>
      </c>
      <c r="IK176">
        <v>0</v>
      </c>
    </row>
    <row r="177" spans="1:255" x14ac:dyDescent="0.3">
      <c r="A177" s="2">
        <v>18</v>
      </c>
      <c r="B177" s="2">
        <v>1</v>
      </c>
      <c r="C177" s="2"/>
      <c r="D177" s="2"/>
      <c r="E177" s="2" t="s">
        <v>315</v>
      </c>
      <c r="F177" s="2" t="s">
        <v>286</v>
      </c>
      <c r="G177" s="2" t="s">
        <v>287</v>
      </c>
      <c r="H177" s="2" t="s">
        <v>186</v>
      </c>
      <c r="I177" s="2">
        <f>I173*J177</f>
        <v>2.02</v>
      </c>
      <c r="J177" s="2">
        <v>2.02</v>
      </c>
      <c r="K177" s="2">
        <v>2.02</v>
      </c>
      <c r="L177" s="2"/>
      <c r="M177" s="2"/>
      <c r="N177" s="2"/>
      <c r="O177" s="2">
        <f t="shared" si="154"/>
        <v>65.040000000000006</v>
      </c>
      <c r="P177" s="2">
        <f t="shared" si="155"/>
        <v>65.040000000000006</v>
      </c>
      <c r="Q177" s="2">
        <f>(ROUND((ROUND(((ET177)*AV177*I177),2)*BB177),2)+ROUND((ROUND(((AE177-(EU177))*AV177*I177),2)*BS177),2))</f>
        <v>0</v>
      </c>
      <c r="R177" s="2">
        <f t="shared" si="156"/>
        <v>0</v>
      </c>
      <c r="S177" s="2">
        <f t="shared" si="157"/>
        <v>0</v>
      </c>
      <c r="T177" s="2">
        <f t="shared" si="158"/>
        <v>0</v>
      </c>
      <c r="U177" s="2">
        <f t="shared" si="159"/>
        <v>0</v>
      </c>
      <c r="V177" s="2">
        <f t="shared" si="160"/>
        <v>0</v>
      </c>
      <c r="W177" s="2">
        <f t="shared" si="161"/>
        <v>0</v>
      </c>
      <c r="X177" s="2">
        <f t="shared" si="162"/>
        <v>0</v>
      </c>
      <c r="Y177" s="2">
        <f t="shared" si="163"/>
        <v>0</v>
      </c>
      <c r="Z177" s="2"/>
      <c r="AA177" s="2">
        <v>56498966</v>
      </c>
      <c r="AB177" s="2">
        <f t="shared" si="164"/>
        <v>32.200000000000003</v>
      </c>
      <c r="AC177" s="2">
        <f t="shared" si="165"/>
        <v>32.200000000000003</v>
      </c>
      <c r="AD177" s="2">
        <f>ROUND((((ET177)-(EU177))+AE177),6)</f>
        <v>0</v>
      </c>
      <c r="AE177" s="2">
        <f t="shared" si="198"/>
        <v>0</v>
      </c>
      <c r="AF177" s="2">
        <f t="shared" si="198"/>
        <v>0</v>
      </c>
      <c r="AG177" s="2">
        <f t="shared" si="166"/>
        <v>0</v>
      </c>
      <c r="AH177" s="2">
        <f t="shared" si="199"/>
        <v>0</v>
      </c>
      <c r="AI177" s="2">
        <f t="shared" si="199"/>
        <v>0</v>
      </c>
      <c r="AJ177" s="2">
        <f t="shared" si="167"/>
        <v>0</v>
      </c>
      <c r="AK177" s="2">
        <v>32.200000000000003</v>
      </c>
      <c r="AL177" s="2">
        <v>32.200000000000003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90</v>
      </c>
      <c r="AU177" s="2">
        <v>46</v>
      </c>
      <c r="AV177" s="2">
        <v>1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2</v>
      </c>
      <c r="BJ177" s="2" t="s">
        <v>288</v>
      </c>
      <c r="BK177" s="2"/>
      <c r="BL177" s="2"/>
      <c r="BM177" s="2">
        <v>68</v>
      </c>
      <c r="BN177" s="2">
        <v>0</v>
      </c>
      <c r="BO177" s="2" t="s">
        <v>3</v>
      </c>
      <c r="BP177" s="2">
        <v>0</v>
      </c>
      <c r="BQ177" s="2">
        <v>40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90</v>
      </c>
      <c r="CA177" s="2">
        <v>46</v>
      </c>
      <c r="CB177" s="2" t="s">
        <v>3</v>
      </c>
      <c r="CC177" s="2"/>
      <c r="CD177" s="2"/>
      <c r="CE177" s="2">
        <v>30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3</v>
      </c>
      <c r="CO177" s="2">
        <v>0</v>
      </c>
      <c r="CP177" s="2">
        <f t="shared" si="168"/>
        <v>65.040000000000006</v>
      </c>
      <c r="CQ177" s="2">
        <f t="shared" si="169"/>
        <v>32.200000000000003</v>
      </c>
      <c r="CR177" s="2">
        <f>(ROUND((ROUND(((ET177)*AV177*1),2)*BB177),2)+ROUND((ROUND(((AE177-(EU177))*AV177*1),2)*BS177),2))</f>
        <v>0</v>
      </c>
      <c r="CS177" s="2">
        <f t="shared" si="170"/>
        <v>0</v>
      </c>
      <c r="CT177" s="2">
        <f t="shared" si="171"/>
        <v>0</v>
      </c>
      <c r="CU177" s="2">
        <f t="shared" si="172"/>
        <v>0</v>
      </c>
      <c r="CV177" s="2">
        <f t="shared" si="173"/>
        <v>0</v>
      </c>
      <c r="CW177" s="2">
        <f t="shared" si="174"/>
        <v>0</v>
      </c>
      <c r="CX177" s="2">
        <f t="shared" si="175"/>
        <v>0</v>
      </c>
      <c r="CY177" s="2">
        <f t="shared" si="176"/>
        <v>0</v>
      </c>
      <c r="CZ177" s="2">
        <f t="shared" si="177"/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1010</v>
      </c>
      <c r="DV177" s="2" t="s">
        <v>186</v>
      </c>
      <c r="DW177" s="2" t="s">
        <v>186</v>
      </c>
      <c r="DX177" s="2">
        <v>100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58162630</v>
      </c>
      <c r="EF177" s="2">
        <v>40</v>
      </c>
      <c r="EG177" s="2" t="s">
        <v>25</v>
      </c>
      <c r="EH177" s="2">
        <v>0</v>
      </c>
      <c r="EI177" s="2" t="s">
        <v>3</v>
      </c>
      <c r="EJ177" s="2">
        <v>2</v>
      </c>
      <c r="EK177" s="2">
        <v>68</v>
      </c>
      <c r="EL177" s="2" t="s">
        <v>26</v>
      </c>
      <c r="EM177" s="2" t="s">
        <v>27</v>
      </c>
      <c r="EN177" s="2"/>
      <c r="EO177" s="2" t="s">
        <v>3</v>
      </c>
      <c r="EP177" s="2"/>
      <c r="EQ177" s="2">
        <v>0</v>
      </c>
      <c r="ER177" s="2">
        <v>32.200000000000003</v>
      </c>
      <c r="ES177" s="2">
        <v>32.200000000000003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90</v>
      </c>
      <c r="FY177" s="2">
        <v>46</v>
      </c>
      <c r="FZ177" s="2"/>
      <c r="GA177" s="2" t="s">
        <v>3</v>
      </c>
      <c r="GB177" s="2"/>
      <c r="GC177" s="2"/>
      <c r="GD177" s="2">
        <v>1</v>
      </c>
      <c r="GE177" s="2"/>
      <c r="GF177" s="2">
        <v>1665244518</v>
      </c>
      <c r="GG177" s="2">
        <v>2</v>
      </c>
      <c r="GH177" s="2">
        <v>1</v>
      </c>
      <c r="GI177" s="2">
        <v>-2</v>
      </c>
      <c r="GJ177" s="2">
        <v>0</v>
      </c>
      <c r="GK177" s="2">
        <v>0</v>
      </c>
      <c r="GL177" s="2">
        <f t="shared" si="178"/>
        <v>0</v>
      </c>
      <c r="GM177" s="2">
        <f t="shared" si="179"/>
        <v>65.040000000000006</v>
      </c>
      <c r="GN177" s="2">
        <f t="shared" si="180"/>
        <v>0</v>
      </c>
      <c r="GO177" s="2">
        <f t="shared" si="181"/>
        <v>65.040000000000006</v>
      </c>
      <c r="GP177" s="2">
        <f t="shared" si="182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183"/>
        <v>0</v>
      </c>
      <c r="GW177" s="2">
        <v>1</v>
      </c>
      <c r="GX177" s="2">
        <f t="shared" si="184"/>
        <v>0</v>
      </c>
      <c r="GY177" s="2"/>
      <c r="GZ177" s="2"/>
      <c r="HA177" s="2">
        <v>0</v>
      </c>
      <c r="HB177" s="2">
        <v>0</v>
      </c>
      <c r="HC177" s="2">
        <f t="shared" si="185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3">
      <c r="A178">
        <v>18</v>
      </c>
      <c r="B178">
        <v>1</v>
      </c>
      <c r="E178" t="s">
        <v>315</v>
      </c>
      <c r="F178" t="s">
        <v>286</v>
      </c>
      <c r="G178" t="s">
        <v>287</v>
      </c>
      <c r="H178" t="s">
        <v>186</v>
      </c>
      <c r="I178">
        <f>I174*J178</f>
        <v>2.02</v>
      </c>
      <c r="J178">
        <v>2.02</v>
      </c>
      <c r="K178">
        <v>2.02</v>
      </c>
      <c r="O178">
        <f t="shared" si="154"/>
        <v>1261.1300000000001</v>
      </c>
      <c r="P178">
        <f t="shared" si="155"/>
        <v>1261.1300000000001</v>
      </c>
      <c r="Q178">
        <f>(ROUND((ROUND(((ET178)*AV178*I178),2)*BB178),2)+ROUND((ROUND(((AE178-(EU178))*AV178*I178),2)*BS178),2))</f>
        <v>0</v>
      </c>
      <c r="R178">
        <f t="shared" si="156"/>
        <v>0</v>
      </c>
      <c r="S178">
        <f t="shared" si="157"/>
        <v>0</v>
      </c>
      <c r="T178">
        <f t="shared" si="158"/>
        <v>0</v>
      </c>
      <c r="U178">
        <f t="shared" si="159"/>
        <v>0</v>
      </c>
      <c r="V178">
        <f t="shared" si="160"/>
        <v>0</v>
      </c>
      <c r="W178">
        <f t="shared" si="161"/>
        <v>0</v>
      </c>
      <c r="X178">
        <f t="shared" si="162"/>
        <v>0</v>
      </c>
      <c r="Y178">
        <f t="shared" si="163"/>
        <v>0</v>
      </c>
      <c r="AA178">
        <v>56498968</v>
      </c>
      <c r="AB178">
        <f t="shared" si="164"/>
        <v>32.200000000000003</v>
      </c>
      <c r="AC178">
        <f t="shared" si="165"/>
        <v>32.200000000000003</v>
      </c>
      <c r="AD178">
        <f>ROUND((((ET178)-(EU178))+AE178),6)</f>
        <v>0</v>
      </c>
      <c r="AE178">
        <f t="shared" si="198"/>
        <v>0</v>
      </c>
      <c r="AF178">
        <f t="shared" si="198"/>
        <v>0</v>
      </c>
      <c r="AG178">
        <f t="shared" si="166"/>
        <v>0</v>
      </c>
      <c r="AH178">
        <f t="shared" si="199"/>
        <v>0</v>
      </c>
      <c r="AI178">
        <f t="shared" si="199"/>
        <v>0</v>
      </c>
      <c r="AJ178">
        <f t="shared" si="167"/>
        <v>0</v>
      </c>
      <c r="AK178">
        <v>32.200000000000003</v>
      </c>
      <c r="AL178">
        <v>32.200000000000003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90</v>
      </c>
      <c r="AU178">
        <v>46</v>
      </c>
      <c r="AV178">
        <v>1</v>
      </c>
      <c r="AW178">
        <v>1</v>
      </c>
      <c r="AZ178">
        <v>1</v>
      </c>
      <c r="BA178">
        <v>1</v>
      </c>
      <c r="BB178">
        <v>1</v>
      </c>
      <c r="BC178">
        <v>19.39</v>
      </c>
      <c r="BD178" t="s">
        <v>3</v>
      </c>
      <c r="BE178" t="s">
        <v>3</v>
      </c>
      <c r="BF178" t="s">
        <v>3</v>
      </c>
      <c r="BG178" t="s">
        <v>3</v>
      </c>
      <c r="BH178">
        <v>3</v>
      </c>
      <c r="BI178">
        <v>2</v>
      </c>
      <c r="BJ178" t="s">
        <v>288</v>
      </c>
      <c r="BM178">
        <v>68</v>
      </c>
      <c r="BN178">
        <v>0</v>
      </c>
      <c r="BO178" t="s">
        <v>286</v>
      </c>
      <c r="BP178">
        <v>1</v>
      </c>
      <c r="BQ178">
        <v>40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 t="s">
        <v>3</v>
      </c>
      <c r="BZ178">
        <v>90</v>
      </c>
      <c r="CA178">
        <v>46</v>
      </c>
      <c r="CB178" t="s">
        <v>3</v>
      </c>
      <c r="CE178">
        <v>30</v>
      </c>
      <c r="CF178">
        <v>0</v>
      </c>
      <c r="CG178">
        <v>0</v>
      </c>
      <c r="CM178">
        <v>0</v>
      </c>
      <c r="CN178" t="s">
        <v>3</v>
      </c>
      <c r="CO178">
        <v>0</v>
      </c>
      <c r="CP178">
        <f t="shared" si="168"/>
        <v>1261.1300000000001</v>
      </c>
      <c r="CQ178">
        <f t="shared" si="169"/>
        <v>624.36</v>
      </c>
      <c r="CR178">
        <f>(ROUND((ROUND(((ET178)*AV178*1),2)*BB178),2)+ROUND((ROUND(((AE178-(EU178))*AV178*1),2)*BS178),2))</f>
        <v>0</v>
      </c>
      <c r="CS178">
        <f t="shared" si="170"/>
        <v>0</v>
      </c>
      <c r="CT178">
        <f t="shared" si="171"/>
        <v>0</v>
      </c>
      <c r="CU178">
        <f t="shared" si="172"/>
        <v>0</v>
      </c>
      <c r="CV178">
        <f t="shared" si="173"/>
        <v>0</v>
      </c>
      <c r="CW178">
        <f t="shared" si="174"/>
        <v>0</v>
      </c>
      <c r="CX178">
        <f t="shared" si="175"/>
        <v>0</v>
      </c>
      <c r="CY178">
        <f t="shared" si="176"/>
        <v>0</v>
      </c>
      <c r="CZ178">
        <f t="shared" si="177"/>
        <v>0</v>
      </c>
      <c r="DC178" t="s">
        <v>3</v>
      </c>
      <c r="DD178" t="s">
        <v>3</v>
      </c>
      <c r="DE178" t="s">
        <v>3</v>
      </c>
      <c r="DF178" t="s">
        <v>3</v>
      </c>
      <c r="DG178" t="s">
        <v>3</v>
      </c>
      <c r="DH178" t="s">
        <v>3</v>
      </c>
      <c r="DI178" t="s">
        <v>3</v>
      </c>
      <c r="DJ178" t="s">
        <v>3</v>
      </c>
      <c r="DK178" t="s">
        <v>3</v>
      </c>
      <c r="DL178" t="s">
        <v>3</v>
      </c>
      <c r="DM178" t="s">
        <v>3</v>
      </c>
      <c r="DN178">
        <v>0</v>
      </c>
      <c r="DO178">
        <v>0</v>
      </c>
      <c r="DP178">
        <v>1</v>
      </c>
      <c r="DQ178">
        <v>1</v>
      </c>
      <c r="DU178">
        <v>1010</v>
      </c>
      <c r="DV178" t="s">
        <v>186</v>
      </c>
      <c r="DW178" t="s">
        <v>186</v>
      </c>
      <c r="DX178">
        <v>100</v>
      </c>
      <c r="DZ178" t="s">
        <v>3</v>
      </c>
      <c r="EA178" t="s">
        <v>3</v>
      </c>
      <c r="EB178" t="s">
        <v>3</v>
      </c>
      <c r="EC178" t="s">
        <v>3</v>
      </c>
      <c r="EE178">
        <v>58162630</v>
      </c>
      <c r="EF178">
        <v>40</v>
      </c>
      <c r="EG178" t="s">
        <v>25</v>
      </c>
      <c r="EH178">
        <v>0</v>
      </c>
      <c r="EI178" t="s">
        <v>3</v>
      </c>
      <c r="EJ178">
        <v>2</v>
      </c>
      <c r="EK178">
        <v>68</v>
      </c>
      <c r="EL178" t="s">
        <v>26</v>
      </c>
      <c r="EM178" t="s">
        <v>27</v>
      </c>
      <c r="EO178" t="s">
        <v>3</v>
      </c>
      <c r="EQ178">
        <v>0</v>
      </c>
      <c r="ER178">
        <v>32.200000000000003</v>
      </c>
      <c r="ES178">
        <v>32.200000000000003</v>
      </c>
      <c r="ET178">
        <v>0</v>
      </c>
      <c r="EU178">
        <v>0</v>
      </c>
      <c r="EV178">
        <v>0</v>
      </c>
      <c r="EW178">
        <v>0</v>
      </c>
      <c r="EX178">
        <v>0</v>
      </c>
      <c r="FQ178">
        <v>0</v>
      </c>
      <c r="FR178">
        <v>0</v>
      </c>
      <c r="FS178">
        <v>0</v>
      </c>
      <c r="FX178">
        <v>90</v>
      </c>
      <c r="FY178">
        <v>46</v>
      </c>
      <c r="GA178" t="s">
        <v>3</v>
      </c>
      <c r="GD178">
        <v>1</v>
      </c>
      <c r="GF178">
        <v>1665244518</v>
      </c>
      <c r="GG178">
        <v>2</v>
      </c>
      <c r="GH178">
        <v>1</v>
      </c>
      <c r="GI178">
        <v>2</v>
      </c>
      <c r="GJ178">
        <v>0</v>
      </c>
      <c r="GK178">
        <v>0</v>
      </c>
      <c r="GL178">
        <f t="shared" si="178"/>
        <v>0</v>
      </c>
      <c r="GM178">
        <f t="shared" si="179"/>
        <v>1261.1300000000001</v>
      </c>
      <c r="GN178">
        <f t="shared" si="180"/>
        <v>0</v>
      </c>
      <c r="GO178">
        <f t="shared" si="181"/>
        <v>1261.1300000000001</v>
      </c>
      <c r="GP178">
        <f t="shared" si="182"/>
        <v>0</v>
      </c>
      <c r="GR178">
        <v>0</v>
      </c>
      <c r="GS178">
        <v>3</v>
      </c>
      <c r="GT178">
        <v>0</v>
      </c>
      <c r="GU178" t="s">
        <v>3</v>
      </c>
      <c r="GV178">
        <f t="shared" si="183"/>
        <v>0</v>
      </c>
      <c r="GW178">
        <v>1</v>
      </c>
      <c r="GX178">
        <f t="shared" si="184"/>
        <v>0</v>
      </c>
      <c r="HA178">
        <v>0</v>
      </c>
      <c r="HB178">
        <v>0</v>
      </c>
      <c r="HC178">
        <f t="shared" si="185"/>
        <v>0</v>
      </c>
      <c r="HE178" t="s">
        <v>3</v>
      </c>
      <c r="HF178" t="s">
        <v>3</v>
      </c>
      <c r="HM178" t="s">
        <v>3</v>
      </c>
      <c r="HN178" t="s">
        <v>3</v>
      </c>
      <c r="HO178" t="s">
        <v>3</v>
      </c>
      <c r="HP178" t="s">
        <v>3</v>
      </c>
      <c r="HQ178" t="s">
        <v>3</v>
      </c>
      <c r="HS178">
        <v>0</v>
      </c>
      <c r="IK178">
        <v>0</v>
      </c>
    </row>
    <row r="179" spans="1:255" x14ac:dyDescent="0.3">
      <c r="A179" s="2">
        <v>17</v>
      </c>
      <c r="B179" s="2">
        <v>1</v>
      </c>
      <c r="C179" s="2"/>
      <c r="D179" s="2">
        <f>ROW(EtalonRes!A159)</f>
        <v>159</v>
      </c>
      <c r="E179" s="2" t="s">
        <v>316</v>
      </c>
      <c r="F179" s="2" t="s">
        <v>317</v>
      </c>
      <c r="G179" s="2" t="s">
        <v>318</v>
      </c>
      <c r="H179" s="2" t="s">
        <v>186</v>
      </c>
      <c r="I179" s="2">
        <f>ROUND(100/100,9)</f>
        <v>1</v>
      </c>
      <c r="J179" s="2">
        <v>0</v>
      </c>
      <c r="K179" s="2">
        <f>ROUND(100/100,9)</f>
        <v>1</v>
      </c>
      <c r="L179" s="2"/>
      <c r="M179" s="2"/>
      <c r="N179" s="2"/>
      <c r="O179" s="2">
        <f t="shared" si="154"/>
        <v>191.9</v>
      </c>
      <c r="P179" s="2">
        <f t="shared" si="155"/>
        <v>0</v>
      </c>
      <c r="Q179" s="2">
        <f>(ROUND((ROUND((((ET179*1.1))*AV179*I179),2)*BB179),2)+ROUND((ROUND(((AE179-((EU179*1.1)))*AV179*I179),2)*BS179),2))</f>
        <v>0</v>
      </c>
      <c r="R179" s="2">
        <f t="shared" si="156"/>
        <v>0</v>
      </c>
      <c r="S179" s="2">
        <f t="shared" si="157"/>
        <v>191.9</v>
      </c>
      <c r="T179" s="2">
        <f t="shared" si="158"/>
        <v>0</v>
      </c>
      <c r="U179" s="2">
        <f t="shared" si="159"/>
        <v>14.926032000000001</v>
      </c>
      <c r="V179" s="2">
        <f t="shared" si="160"/>
        <v>0</v>
      </c>
      <c r="W179" s="2">
        <f t="shared" si="161"/>
        <v>0</v>
      </c>
      <c r="X179" s="2">
        <f t="shared" si="162"/>
        <v>172.71</v>
      </c>
      <c r="Y179" s="2">
        <f t="shared" si="163"/>
        <v>88.27</v>
      </c>
      <c r="Z179" s="2"/>
      <c r="AA179" s="2">
        <v>56498966</v>
      </c>
      <c r="AB179" s="2">
        <f t="shared" si="164"/>
        <v>183.28200000000001</v>
      </c>
      <c r="AC179" s="2">
        <f t="shared" si="165"/>
        <v>0</v>
      </c>
      <c r="AD179" s="2">
        <f>ROUND(((((ET179*1.1))-((EU179*1.1)))+AE179),6)</f>
        <v>0</v>
      </c>
      <c r="AE179" s="2">
        <f>ROUND(((EU179*1.1)),6)</f>
        <v>0</v>
      </c>
      <c r="AF179" s="2">
        <f>ROUND(((EV179*1.1)),6)</f>
        <v>183.28200000000001</v>
      </c>
      <c r="AG179" s="2">
        <f t="shared" si="166"/>
        <v>0</v>
      </c>
      <c r="AH179" s="2">
        <f>((EW179*1.1))</f>
        <v>14.256000000000002</v>
      </c>
      <c r="AI179" s="2">
        <f>((EX179*1.1))</f>
        <v>0</v>
      </c>
      <c r="AJ179" s="2">
        <f t="shared" si="167"/>
        <v>0</v>
      </c>
      <c r="AK179" s="2">
        <v>166.62</v>
      </c>
      <c r="AL179" s="2">
        <v>0</v>
      </c>
      <c r="AM179" s="2">
        <v>0</v>
      </c>
      <c r="AN179" s="2">
        <v>0</v>
      </c>
      <c r="AO179" s="2">
        <v>166.62</v>
      </c>
      <c r="AP179" s="2">
        <v>0</v>
      </c>
      <c r="AQ179" s="2">
        <v>12.96</v>
      </c>
      <c r="AR179" s="2">
        <v>0</v>
      </c>
      <c r="AS179" s="2">
        <v>0</v>
      </c>
      <c r="AT179" s="2">
        <v>90</v>
      </c>
      <c r="AU179" s="2">
        <v>46</v>
      </c>
      <c r="AV179" s="2">
        <v>1.0469999999999999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0</v>
      </c>
      <c r="BI179" s="2">
        <v>2</v>
      </c>
      <c r="BJ179" s="2" t="s">
        <v>319</v>
      </c>
      <c r="BK179" s="2"/>
      <c r="BL179" s="2"/>
      <c r="BM179" s="2">
        <v>68</v>
      </c>
      <c r="BN179" s="2">
        <v>0</v>
      </c>
      <c r="BO179" s="2" t="s">
        <v>317</v>
      </c>
      <c r="BP179" s="2">
        <v>1</v>
      </c>
      <c r="BQ179" s="2">
        <v>40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90</v>
      </c>
      <c r="CA179" s="2">
        <v>46</v>
      </c>
      <c r="CB179" s="2" t="s">
        <v>3</v>
      </c>
      <c r="CC179" s="2"/>
      <c r="CD179" s="2"/>
      <c r="CE179" s="2">
        <v>30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3</v>
      </c>
      <c r="CO179" s="2">
        <v>0</v>
      </c>
      <c r="CP179" s="2">
        <f t="shared" si="168"/>
        <v>191.9</v>
      </c>
      <c r="CQ179" s="2">
        <f t="shared" si="169"/>
        <v>0</v>
      </c>
      <c r="CR179" s="2">
        <f>(ROUND((ROUND((((ET179*1.1))*AV179*1),2)*BB179),2)+ROUND((ROUND(((AE179-((EU179*1.1)))*AV179*1),2)*BS179),2))</f>
        <v>0</v>
      </c>
      <c r="CS179" s="2">
        <f t="shared" si="170"/>
        <v>0</v>
      </c>
      <c r="CT179" s="2">
        <f t="shared" si="171"/>
        <v>191.9</v>
      </c>
      <c r="CU179" s="2">
        <f t="shared" si="172"/>
        <v>0</v>
      </c>
      <c r="CV179" s="2">
        <f t="shared" si="173"/>
        <v>14.926032000000001</v>
      </c>
      <c r="CW179" s="2">
        <f t="shared" si="174"/>
        <v>0</v>
      </c>
      <c r="CX179" s="2">
        <f t="shared" si="175"/>
        <v>0</v>
      </c>
      <c r="CY179" s="2">
        <f t="shared" si="176"/>
        <v>172.71</v>
      </c>
      <c r="CZ179" s="2">
        <f t="shared" si="177"/>
        <v>88.274000000000001</v>
      </c>
      <c r="DA179" s="2"/>
      <c r="DB179" s="2"/>
      <c r="DC179" s="2" t="s">
        <v>3</v>
      </c>
      <c r="DD179" s="2" t="s">
        <v>3</v>
      </c>
      <c r="DE179" s="2" t="s">
        <v>24</v>
      </c>
      <c r="DF179" s="2" t="s">
        <v>24</v>
      </c>
      <c r="DG179" s="2" t="s">
        <v>24</v>
      </c>
      <c r="DH179" s="2" t="s">
        <v>3</v>
      </c>
      <c r="DI179" s="2" t="s">
        <v>24</v>
      </c>
      <c r="DJ179" s="2" t="s">
        <v>24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1010</v>
      </c>
      <c r="DV179" s="2" t="s">
        <v>186</v>
      </c>
      <c r="DW179" s="2" t="s">
        <v>186</v>
      </c>
      <c r="DX179" s="2">
        <v>100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58162630</v>
      </c>
      <c r="EF179" s="2">
        <v>40</v>
      </c>
      <c r="EG179" s="2" t="s">
        <v>25</v>
      </c>
      <c r="EH179" s="2">
        <v>0</v>
      </c>
      <c r="EI179" s="2" t="s">
        <v>3</v>
      </c>
      <c r="EJ179" s="2">
        <v>2</v>
      </c>
      <c r="EK179" s="2">
        <v>68</v>
      </c>
      <c r="EL179" s="2" t="s">
        <v>26</v>
      </c>
      <c r="EM179" s="2" t="s">
        <v>27</v>
      </c>
      <c r="EN179" s="2"/>
      <c r="EO179" s="2" t="s">
        <v>28</v>
      </c>
      <c r="EP179" s="2"/>
      <c r="EQ179" s="2">
        <v>0</v>
      </c>
      <c r="ER179" s="2">
        <v>166.62</v>
      </c>
      <c r="ES179" s="2">
        <v>0</v>
      </c>
      <c r="ET179" s="2">
        <v>0</v>
      </c>
      <c r="EU179" s="2">
        <v>0</v>
      </c>
      <c r="EV179" s="2">
        <v>166.62</v>
      </c>
      <c r="EW179" s="2">
        <v>12.96</v>
      </c>
      <c r="EX179" s="2">
        <v>0</v>
      </c>
      <c r="EY179" s="2">
        <v>0</v>
      </c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90</v>
      </c>
      <c r="FY179" s="2">
        <v>46</v>
      </c>
      <c r="FZ179" s="2"/>
      <c r="GA179" s="2" t="s">
        <v>3</v>
      </c>
      <c r="GB179" s="2"/>
      <c r="GC179" s="2"/>
      <c r="GD179" s="2">
        <v>1</v>
      </c>
      <c r="GE179" s="2"/>
      <c r="GF179" s="2">
        <v>2087248570</v>
      </c>
      <c r="GG179" s="2">
        <v>2</v>
      </c>
      <c r="GH179" s="2">
        <v>1</v>
      </c>
      <c r="GI179" s="2">
        <v>2</v>
      </c>
      <c r="GJ179" s="2">
        <v>0</v>
      </c>
      <c r="GK179" s="2">
        <v>0</v>
      </c>
      <c r="GL179" s="2">
        <f t="shared" si="178"/>
        <v>0</v>
      </c>
      <c r="GM179" s="2">
        <f t="shared" si="179"/>
        <v>452.88</v>
      </c>
      <c r="GN179" s="2">
        <f t="shared" si="180"/>
        <v>0</v>
      </c>
      <c r="GO179" s="2">
        <f t="shared" si="181"/>
        <v>452.88</v>
      </c>
      <c r="GP179" s="2">
        <f t="shared" si="182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183"/>
        <v>0</v>
      </c>
      <c r="GW179" s="2">
        <v>1</v>
      </c>
      <c r="GX179" s="2">
        <f t="shared" si="184"/>
        <v>0</v>
      </c>
      <c r="GY179" s="2"/>
      <c r="GZ179" s="2"/>
      <c r="HA179" s="2">
        <v>0</v>
      </c>
      <c r="HB179" s="2">
        <v>0</v>
      </c>
      <c r="HC179" s="2">
        <f t="shared" si="185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3">
      <c r="A180">
        <v>17</v>
      </c>
      <c r="B180">
        <v>1</v>
      </c>
      <c r="D180">
        <f>ROW(EtalonRes!A160)</f>
        <v>160</v>
      </c>
      <c r="E180" t="s">
        <v>316</v>
      </c>
      <c r="F180" t="s">
        <v>317</v>
      </c>
      <c r="G180" t="s">
        <v>318</v>
      </c>
      <c r="H180" t="s">
        <v>186</v>
      </c>
      <c r="I180">
        <f>ROUND(100/100,9)</f>
        <v>1</v>
      </c>
      <c r="J180">
        <v>0</v>
      </c>
      <c r="K180">
        <f>ROUND(100/100,9)</f>
        <v>1</v>
      </c>
      <c r="O180">
        <f t="shared" si="154"/>
        <v>10552.58</v>
      </c>
      <c r="P180">
        <f t="shared" si="155"/>
        <v>0</v>
      </c>
      <c r="Q180">
        <f>(ROUND((ROUND((((ET180*1.1))*AV180*I180),2)*BB180),2)+ROUND((ROUND(((AE180-((EU180*1.1)))*AV180*I180),2)*BS180),2))</f>
        <v>0</v>
      </c>
      <c r="R180">
        <f t="shared" si="156"/>
        <v>0</v>
      </c>
      <c r="S180">
        <f t="shared" si="157"/>
        <v>10552.58</v>
      </c>
      <c r="T180">
        <f t="shared" si="158"/>
        <v>0</v>
      </c>
      <c r="U180">
        <f t="shared" si="159"/>
        <v>14.926032000000001</v>
      </c>
      <c r="V180">
        <f t="shared" si="160"/>
        <v>0</v>
      </c>
      <c r="W180">
        <f t="shared" si="161"/>
        <v>0</v>
      </c>
      <c r="X180">
        <f t="shared" si="162"/>
        <v>9497.32</v>
      </c>
      <c r="Y180">
        <f t="shared" si="163"/>
        <v>4854.1899999999996</v>
      </c>
      <c r="AA180">
        <v>56498968</v>
      </c>
      <c r="AB180">
        <f t="shared" si="164"/>
        <v>183.28200000000001</v>
      </c>
      <c r="AC180">
        <f t="shared" si="165"/>
        <v>0</v>
      </c>
      <c r="AD180">
        <f>ROUND(((((ET180*1.1))-((EU180*1.1)))+AE180),6)</f>
        <v>0</v>
      </c>
      <c r="AE180">
        <f>ROUND(((EU180*1.1)),6)</f>
        <v>0</v>
      </c>
      <c r="AF180">
        <f>ROUND(((EV180*1.1)),6)</f>
        <v>183.28200000000001</v>
      </c>
      <c r="AG180">
        <f t="shared" si="166"/>
        <v>0</v>
      </c>
      <c r="AH180">
        <f>((EW180*1.1))</f>
        <v>14.256000000000002</v>
      </c>
      <c r="AI180">
        <f>((EX180*1.1))</f>
        <v>0</v>
      </c>
      <c r="AJ180">
        <f t="shared" si="167"/>
        <v>0</v>
      </c>
      <c r="AK180">
        <v>166.62</v>
      </c>
      <c r="AL180">
        <v>0</v>
      </c>
      <c r="AM180">
        <v>0</v>
      </c>
      <c r="AN180">
        <v>0</v>
      </c>
      <c r="AO180">
        <v>166.62</v>
      </c>
      <c r="AP180">
        <v>0</v>
      </c>
      <c r="AQ180">
        <v>12.96</v>
      </c>
      <c r="AR180">
        <v>0</v>
      </c>
      <c r="AS180">
        <v>0</v>
      </c>
      <c r="AT180">
        <v>90</v>
      </c>
      <c r="AU180">
        <v>46</v>
      </c>
      <c r="AV180">
        <v>1.0469999999999999</v>
      </c>
      <c r="AW180">
        <v>1</v>
      </c>
      <c r="AZ180">
        <v>1</v>
      </c>
      <c r="BA180">
        <v>54.99</v>
      </c>
      <c r="BB180">
        <v>1</v>
      </c>
      <c r="BC180">
        <v>1</v>
      </c>
      <c r="BD180" t="s">
        <v>3</v>
      </c>
      <c r="BE180" t="s">
        <v>3</v>
      </c>
      <c r="BF180" t="s">
        <v>3</v>
      </c>
      <c r="BG180" t="s">
        <v>3</v>
      </c>
      <c r="BH180">
        <v>0</v>
      </c>
      <c r="BI180">
        <v>2</v>
      </c>
      <c r="BJ180" t="s">
        <v>319</v>
      </c>
      <c r="BM180">
        <v>68</v>
      </c>
      <c r="BN180">
        <v>0</v>
      </c>
      <c r="BO180" t="s">
        <v>317</v>
      </c>
      <c r="BP180">
        <v>1</v>
      </c>
      <c r="BQ180">
        <v>40</v>
      </c>
      <c r="BR180">
        <v>0</v>
      </c>
      <c r="BS180">
        <v>54.99</v>
      </c>
      <c r="BT180">
        <v>1</v>
      </c>
      <c r="BU180">
        <v>1</v>
      </c>
      <c r="BV180">
        <v>1</v>
      </c>
      <c r="BW180">
        <v>1</v>
      </c>
      <c r="BX180">
        <v>1</v>
      </c>
      <c r="BY180" t="s">
        <v>3</v>
      </c>
      <c r="BZ180">
        <v>90</v>
      </c>
      <c r="CA180">
        <v>46</v>
      </c>
      <c r="CB180" t="s">
        <v>3</v>
      </c>
      <c r="CE180">
        <v>30</v>
      </c>
      <c r="CF180">
        <v>0</v>
      </c>
      <c r="CG180">
        <v>0</v>
      </c>
      <c r="CM180">
        <v>0</v>
      </c>
      <c r="CN180" t="s">
        <v>3</v>
      </c>
      <c r="CO180">
        <v>0</v>
      </c>
      <c r="CP180">
        <f t="shared" si="168"/>
        <v>10552.58</v>
      </c>
      <c r="CQ180">
        <f t="shared" si="169"/>
        <v>0</v>
      </c>
      <c r="CR180">
        <f>(ROUND((ROUND((((ET180*1.1))*AV180*1),2)*BB180),2)+ROUND((ROUND(((AE180-((EU180*1.1)))*AV180*1),2)*BS180),2))</f>
        <v>0</v>
      </c>
      <c r="CS180">
        <f t="shared" si="170"/>
        <v>0</v>
      </c>
      <c r="CT180">
        <f t="shared" si="171"/>
        <v>10552.58</v>
      </c>
      <c r="CU180">
        <f t="shared" si="172"/>
        <v>0</v>
      </c>
      <c r="CV180">
        <f t="shared" si="173"/>
        <v>14.926032000000001</v>
      </c>
      <c r="CW180">
        <f t="shared" si="174"/>
        <v>0</v>
      </c>
      <c r="CX180">
        <f t="shared" si="175"/>
        <v>0</v>
      </c>
      <c r="CY180">
        <f t="shared" si="176"/>
        <v>9497.3220000000001</v>
      </c>
      <c r="CZ180">
        <f t="shared" si="177"/>
        <v>4854.1867999999995</v>
      </c>
      <c r="DC180" t="s">
        <v>3</v>
      </c>
      <c r="DD180" t="s">
        <v>3</v>
      </c>
      <c r="DE180" t="s">
        <v>24</v>
      </c>
      <c r="DF180" t="s">
        <v>24</v>
      </c>
      <c r="DG180" t="s">
        <v>24</v>
      </c>
      <c r="DH180" t="s">
        <v>3</v>
      </c>
      <c r="DI180" t="s">
        <v>24</v>
      </c>
      <c r="DJ180" t="s">
        <v>24</v>
      </c>
      <c r="DK180" t="s">
        <v>3</v>
      </c>
      <c r="DL180" t="s">
        <v>3</v>
      </c>
      <c r="DM180" t="s">
        <v>3</v>
      </c>
      <c r="DN180">
        <v>0</v>
      </c>
      <c r="DO180">
        <v>0</v>
      </c>
      <c r="DP180">
        <v>1</v>
      </c>
      <c r="DQ180">
        <v>1</v>
      </c>
      <c r="DU180">
        <v>1010</v>
      </c>
      <c r="DV180" t="s">
        <v>186</v>
      </c>
      <c r="DW180" t="s">
        <v>186</v>
      </c>
      <c r="DX180">
        <v>100</v>
      </c>
      <c r="DZ180" t="s">
        <v>3</v>
      </c>
      <c r="EA180" t="s">
        <v>3</v>
      </c>
      <c r="EB180" t="s">
        <v>3</v>
      </c>
      <c r="EC180" t="s">
        <v>3</v>
      </c>
      <c r="EE180">
        <v>58162630</v>
      </c>
      <c r="EF180">
        <v>40</v>
      </c>
      <c r="EG180" t="s">
        <v>25</v>
      </c>
      <c r="EH180">
        <v>0</v>
      </c>
      <c r="EI180" t="s">
        <v>3</v>
      </c>
      <c r="EJ180">
        <v>2</v>
      </c>
      <c r="EK180">
        <v>68</v>
      </c>
      <c r="EL180" t="s">
        <v>26</v>
      </c>
      <c r="EM180" t="s">
        <v>27</v>
      </c>
      <c r="EO180" t="s">
        <v>28</v>
      </c>
      <c r="EQ180">
        <v>0</v>
      </c>
      <c r="ER180">
        <v>166.62</v>
      </c>
      <c r="ES180">
        <v>0</v>
      </c>
      <c r="ET180">
        <v>0</v>
      </c>
      <c r="EU180">
        <v>0</v>
      </c>
      <c r="EV180">
        <v>166.62</v>
      </c>
      <c r="EW180">
        <v>12.96</v>
      </c>
      <c r="EX180">
        <v>0</v>
      </c>
      <c r="EY180">
        <v>0</v>
      </c>
      <c r="FQ180">
        <v>0</v>
      </c>
      <c r="FR180">
        <v>0</v>
      </c>
      <c r="FS180">
        <v>0</v>
      </c>
      <c r="FX180">
        <v>90</v>
      </c>
      <c r="FY180">
        <v>46</v>
      </c>
      <c r="GA180" t="s">
        <v>3</v>
      </c>
      <c r="GD180">
        <v>1</v>
      </c>
      <c r="GF180">
        <v>2087248570</v>
      </c>
      <c r="GG180">
        <v>2</v>
      </c>
      <c r="GH180">
        <v>1</v>
      </c>
      <c r="GI180">
        <v>2</v>
      </c>
      <c r="GJ180">
        <v>0</v>
      </c>
      <c r="GK180">
        <v>0</v>
      </c>
      <c r="GL180">
        <f t="shared" si="178"/>
        <v>0</v>
      </c>
      <c r="GM180">
        <f t="shared" si="179"/>
        <v>24904.09</v>
      </c>
      <c r="GN180">
        <f t="shared" si="180"/>
        <v>0</v>
      </c>
      <c r="GO180">
        <f t="shared" si="181"/>
        <v>24904.09</v>
      </c>
      <c r="GP180">
        <f t="shared" si="182"/>
        <v>0</v>
      </c>
      <c r="GR180">
        <v>0</v>
      </c>
      <c r="GS180">
        <v>3</v>
      </c>
      <c r="GT180">
        <v>0</v>
      </c>
      <c r="GU180" t="s">
        <v>3</v>
      </c>
      <c r="GV180">
        <f t="shared" si="183"/>
        <v>0</v>
      </c>
      <c r="GW180">
        <v>1</v>
      </c>
      <c r="GX180">
        <f t="shared" si="184"/>
        <v>0</v>
      </c>
      <c r="HA180">
        <v>0</v>
      </c>
      <c r="HB180">
        <v>0</v>
      </c>
      <c r="HC180">
        <f t="shared" si="185"/>
        <v>0</v>
      </c>
      <c r="HE180" t="s">
        <v>3</v>
      </c>
      <c r="HF180" t="s">
        <v>3</v>
      </c>
      <c r="HM180" t="s">
        <v>3</v>
      </c>
      <c r="HN180" t="s">
        <v>3</v>
      </c>
      <c r="HO180" t="s">
        <v>3</v>
      </c>
      <c r="HP180" t="s">
        <v>3</v>
      </c>
      <c r="HQ180" t="s">
        <v>3</v>
      </c>
      <c r="HS180">
        <v>0</v>
      </c>
      <c r="IK180">
        <v>0</v>
      </c>
    </row>
    <row r="182" spans="1:255" x14ac:dyDescent="0.3">
      <c r="A182" s="3">
        <v>51</v>
      </c>
      <c r="B182" s="3">
        <f>B143</f>
        <v>1</v>
      </c>
      <c r="C182" s="3">
        <f>A143</f>
        <v>4</v>
      </c>
      <c r="D182" s="3">
        <f>ROW(A143)</f>
        <v>143</v>
      </c>
      <c r="E182" s="3"/>
      <c r="F182" s="3" t="str">
        <f>IF(F143&lt;&gt;"",F143,"")</f>
        <v/>
      </c>
      <c r="G182" s="3" t="str">
        <f>IF(G143&lt;&gt;"",G143,"")</f>
        <v>Огнестойкая кабельная линия</v>
      </c>
      <c r="H182" s="3">
        <v>0</v>
      </c>
      <c r="I182" s="3"/>
      <c r="J182" s="3"/>
      <c r="K182" s="3"/>
      <c r="L182" s="3"/>
      <c r="M182" s="3"/>
      <c r="N182" s="3"/>
      <c r="O182" s="3">
        <f t="shared" ref="O182:T182" si="200">ROUND(AB182,2)</f>
        <v>72889.17</v>
      </c>
      <c r="P182" s="3">
        <f t="shared" si="200"/>
        <v>51012.59</v>
      </c>
      <c r="Q182" s="3">
        <f t="shared" si="200"/>
        <v>295.81</v>
      </c>
      <c r="R182" s="3">
        <f t="shared" si="200"/>
        <v>0.44</v>
      </c>
      <c r="S182" s="3">
        <f t="shared" si="200"/>
        <v>21580.77</v>
      </c>
      <c r="T182" s="3">
        <f t="shared" si="200"/>
        <v>0</v>
      </c>
      <c r="U182" s="3">
        <f>AH182</f>
        <v>1808.2938442800003</v>
      </c>
      <c r="V182" s="3">
        <f>AI182</f>
        <v>0</v>
      </c>
      <c r="W182" s="3">
        <f>ROUND(AJ182,2)</f>
        <v>0</v>
      </c>
      <c r="X182" s="3">
        <f>ROUND(AK182,2)</f>
        <v>19429.28</v>
      </c>
      <c r="Y182" s="3">
        <f>ROUND(AL182,2)</f>
        <v>9931.7800000000007</v>
      </c>
      <c r="Z182" s="3"/>
      <c r="AA182" s="3"/>
      <c r="AB182" s="3">
        <f>ROUND(SUMIF(AA147:AA180,"=56498966",O147:O180),2)</f>
        <v>72889.17</v>
      </c>
      <c r="AC182" s="3">
        <f>ROUND(SUMIF(AA147:AA180,"=56498966",P147:P180),2)</f>
        <v>51012.59</v>
      </c>
      <c r="AD182" s="3">
        <f>ROUND(SUMIF(AA147:AA180,"=56498966",Q147:Q180),2)</f>
        <v>295.81</v>
      </c>
      <c r="AE182" s="3">
        <f>ROUND(SUMIF(AA147:AA180,"=56498966",R147:R180),2)</f>
        <v>0.44</v>
      </c>
      <c r="AF182" s="3">
        <f>ROUND(SUMIF(AA147:AA180,"=56498966",S147:S180),2)</f>
        <v>21580.77</v>
      </c>
      <c r="AG182" s="3">
        <f>ROUND(SUMIF(AA147:AA180,"=56498966",T147:T180),2)</f>
        <v>0</v>
      </c>
      <c r="AH182" s="3">
        <f>SUMIF(AA147:AA180,"=56498966",U147:U180)</f>
        <v>1808.2938442800003</v>
      </c>
      <c r="AI182" s="3">
        <f>SUMIF(AA147:AA180,"=56498966",V147:V180)</f>
        <v>0</v>
      </c>
      <c r="AJ182" s="3">
        <f>ROUND(SUMIF(AA147:AA180,"=56498966",W147:W180),2)</f>
        <v>0</v>
      </c>
      <c r="AK182" s="3">
        <f>ROUND(SUMIF(AA147:AA180,"=56498966",X147:X180),2)</f>
        <v>19429.28</v>
      </c>
      <c r="AL182" s="3">
        <f>ROUND(SUMIF(AA147:AA180,"=56498966",Y147:Y180),2)</f>
        <v>9931.7800000000007</v>
      </c>
      <c r="AM182" s="3"/>
      <c r="AN182" s="3"/>
      <c r="AO182" s="3">
        <f t="shared" ref="AO182:BD182" si="201">ROUND(BX182,2)</f>
        <v>0</v>
      </c>
      <c r="AP182" s="3">
        <f t="shared" si="201"/>
        <v>0</v>
      </c>
      <c r="AQ182" s="3">
        <f t="shared" si="201"/>
        <v>0</v>
      </c>
      <c r="AR182" s="3">
        <f t="shared" si="201"/>
        <v>102250.23</v>
      </c>
      <c r="AS182" s="3">
        <f t="shared" si="201"/>
        <v>0</v>
      </c>
      <c r="AT182" s="3">
        <f t="shared" si="201"/>
        <v>102250.23</v>
      </c>
      <c r="AU182" s="3">
        <f t="shared" si="201"/>
        <v>0</v>
      </c>
      <c r="AV182" s="3">
        <f t="shared" si="201"/>
        <v>51012.59</v>
      </c>
      <c r="AW182" s="3">
        <f t="shared" si="201"/>
        <v>51012.59</v>
      </c>
      <c r="AX182" s="3">
        <f t="shared" si="201"/>
        <v>0</v>
      </c>
      <c r="AY182" s="3">
        <f t="shared" si="201"/>
        <v>51012.59</v>
      </c>
      <c r="AZ182" s="3">
        <f t="shared" si="201"/>
        <v>0</v>
      </c>
      <c r="BA182" s="3">
        <f t="shared" si="201"/>
        <v>0</v>
      </c>
      <c r="BB182" s="3">
        <f t="shared" si="201"/>
        <v>0</v>
      </c>
      <c r="BC182" s="3">
        <f t="shared" si="201"/>
        <v>0</v>
      </c>
      <c r="BD182" s="3">
        <f t="shared" si="201"/>
        <v>0</v>
      </c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>
        <f>ROUND(SUMIF(AA147:AA180,"=56498966",FQ147:FQ180),2)</f>
        <v>0</v>
      </c>
      <c r="BY182" s="3">
        <f>ROUND(SUMIF(AA147:AA180,"=56498966",FR147:FR180),2)</f>
        <v>0</v>
      </c>
      <c r="BZ182" s="3">
        <f>ROUND(SUMIF(AA147:AA180,"=56498966",GL147:GL180),2)</f>
        <v>0</v>
      </c>
      <c r="CA182" s="3">
        <f>ROUND(SUMIF(AA147:AA180,"=56498966",GM147:GM180),2)</f>
        <v>102250.23</v>
      </c>
      <c r="CB182" s="3">
        <f>ROUND(SUMIF(AA147:AA180,"=56498966",GN147:GN180),2)</f>
        <v>0</v>
      </c>
      <c r="CC182" s="3">
        <f>ROUND(SUMIF(AA147:AA180,"=56498966",GO147:GO180),2)</f>
        <v>102250.23</v>
      </c>
      <c r="CD182" s="3">
        <f>ROUND(SUMIF(AA147:AA180,"=56498966",GP147:GP180),2)</f>
        <v>0</v>
      </c>
      <c r="CE182" s="3">
        <f>AC182-BX182</f>
        <v>51012.59</v>
      </c>
      <c r="CF182" s="3">
        <f>AC182-BY182</f>
        <v>51012.59</v>
      </c>
      <c r="CG182" s="3">
        <f>BX182-BZ182</f>
        <v>0</v>
      </c>
      <c r="CH182" s="3">
        <f>AC182-BX182-BY182+BZ182</f>
        <v>51012.59</v>
      </c>
      <c r="CI182" s="3">
        <f>BY182-BZ182</f>
        <v>0</v>
      </c>
      <c r="CJ182" s="3">
        <f>ROUND(SUMIF(AA147:AA180,"=56498966",GX147:GX180),2)</f>
        <v>0</v>
      </c>
      <c r="CK182" s="3">
        <f>ROUND(SUMIF(AA147:AA180,"=56498966",GY147:GY180),2)</f>
        <v>0</v>
      </c>
      <c r="CL182" s="3">
        <f>ROUND(SUMIF(AA147:AA180,"=56498966",GZ147:GZ180),2)</f>
        <v>0</v>
      </c>
      <c r="CM182" s="3">
        <f>ROUND(SUMIF(AA147:AA180,"=56498966",HD147:HD180),2)</f>
        <v>0</v>
      </c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4">
        <f t="shared" ref="DG182:DL182" si="202">ROUND(DT182,2)</f>
        <v>1646413.5</v>
      </c>
      <c r="DH182" s="4">
        <f t="shared" si="202"/>
        <v>457069.71</v>
      </c>
      <c r="DI182" s="4">
        <f t="shared" si="202"/>
        <v>2617.2399999999998</v>
      </c>
      <c r="DJ182" s="4">
        <f t="shared" si="202"/>
        <v>24.2</v>
      </c>
      <c r="DK182" s="4">
        <f t="shared" si="202"/>
        <v>1186726.55</v>
      </c>
      <c r="DL182" s="4">
        <f t="shared" si="202"/>
        <v>0</v>
      </c>
      <c r="DM182" s="4">
        <f>DZ182</f>
        <v>1808.2938442800003</v>
      </c>
      <c r="DN182" s="4">
        <f>EA182</f>
        <v>0</v>
      </c>
      <c r="DO182" s="4">
        <f>ROUND(EB182,2)</f>
        <v>0</v>
      </c>
      <c r="DP182" s="4">
        <f>ROUND(EC182,2)</f>
        <v>1068416.53</v>
      </c>
      <c r="DQ182" s="4">
        <f>ROUND(ED182,2)</f>
        <v>546148.81000000006</v>
      </c>
      <c r="DR182" s="4"/>
      <c r="DS182" s="4"/>
      <c r="DT182" s="4">
        <f>ROUND(SUMIF(AA147:AA180,"=56498968",O147:O180),2)</f>
        <v>1646413.5</v>
      </c>
      <c r="DU182" s="4">
        <f>ROUND(SUMIF(AA147:AA180,"=56498968",P147:P180),2)</f>
        <v>457069.71</v>
      </c>
      <c r="DV182" s="4">
        <f>ROUND(SUMIF(AA147:AA180,"=56498968",Q147:Q180),2)</f>
        <v>2617.2399999999998</v>
      </c>
      <c r="DW182" s="4">
        <f>ROUND(SUMIF(AA147:AA180,"=56498968",R147:R180),2)</f>
        <v>24.2</v>
      </c>
      <c r="DX182" s="4">
        <f>ROUND(SUMIF(AA147:AA180,"=56498968",S147:S180),2)</f>
        <v>1186726.55</v>
      </c>
      <c r="DY182" s="4">
        <f>ROUND(SUMIF(AA147:AA180,"=56498968",T147:T180),2)</f>
        <v>0</v>
      </c>
      <c r="DZ182" s="4">
        <f>SUMIF(AA147:AA180,"=56498968",U147:U180)</f>
        <v>1808.2938442800003</v>
      </c>
      <c r="EA182" s="4">
        <f>SUMIF(AA147:AA180,"=56498968",V147:V180)</f>
        <v>0</v>
      </c>
      <c r="EB182" s="4">
        <f>ROUND(SUMIF(AA147:AA180,"=56498968",W147:W180),2)</f>
        <v>0</v>
      </c>
      <c r="EC182" s="4">
        <f>ROUND(SUMIF(AA147:AA180,"=56498968",X147:X180),2)</f>
        <v>1068416.53</v>
      </c>
      <c r="ED182" s="4">
        <f>ROUND(SUMIF(AA147:AA180,"=56498968",Y147:Y180),2)</f>
        <v>546148.81000000006</v>
      </c>
      <c r="EE182" s="4"/>
      <c r="EF182" s="4"/>
      <c r="EG182" s="4">
        <f t="shared" ref="EG182:EV182" si="203">ROUND(FP182,2)</f>
        <v>0</v>
      </c>
      <c r="EH182" s="4">
        <f t="shared" si="203"/>
        <v>0</v>
      </c>
      <c r="EI182" s="4">
        <f t="shared" si="203"/>
        <v>0</v>
      </c>
      <c r="EJ182" s="4">
        <f t="shared" si="203"/>
        <v>3260978.84</v>
      </c>
      <c r="EK182" s="4">
        <f t="shared" si="203"/>
        <v>0</v>
      </c>
      <c r="EL182" s="4">
        <f t="shared" si="203"/>
        <v>3260978.84</v>
      </c>
      <c r="EM182" s="4">
        <f t="shared" si="203"/>
        <v>0</v>
      </c>
      <c r="EN182" s="4">
        <f t="shared" si="203"/>
        <v>457069.71</v>
      </c>
      <c r="EO182" s="4">
        <f t="shared" si="203"/>
        <v>457069.71</v>
      </c>
      <c r="EP182" s="4">
        <f t="shared" si="203"/>
        <v>0</v>
      </c>
      <c r="EQ182" s="4">
        <f t="shared" si="203"/>
        <v>457069.71</v>
      </c>
      <c r="ER182" s="4">
        <f t="shared" si="203"/>
        <v>0</v>
      </c>
      <c r="ES182" s="4">
        <f t="shared" si="203"/>
        <v>0</v>
      </c>
      <c r="ET182" s="4">
        <f t="shared" si="203"/>
        <v>0</v>
      </c>
      <c r="EU182" s="4">
        <f t="shared" si="203"/>
        <v>0</v>
      </c>
      <c r="EV182" s="4">
        <f t="shared" si="203"/>
        <v>0</v>
      </c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>
        <f>ROUND(SUMIF(AA147:AA180,"=56498968",FQ147:FQ180),2)</f>
        <v>0</v>
      </c>
      <c r="FQ182" s="4">
        <f>ROUND(SUMIF(AA147:AA180,"=56498968",FR147:FR180),2)</f>
        <v>0</v>
      </c>
      <c r="FR182" s="4">
        <f>ROUND(SUMIF(AA147:AA180,"=56498968",GL147:GL180),2)</f>
        <v>0</v>
      </c>
      <c r="FS182" s="4">
        <f>ROUND(SUMIF(AA147:AA180,"=56498968",GM147:GM180),2)</f>
        <v>3260978.84</v>
      </c>
      <c r="FT182" s="4">
        <f>ROUND(SUMIF(AA147:AA180,"=56498968",GN147:GN180),2)</f>
        <v>0</v>
      </c>
      <c r="FU182" s="4">
        <f>ROUND(SUMIF(AA147:AA180,"=56498968",GO147:GO180),2)</f>
        <v>3260978.84</v>
      </c>
      <c r="FV182" s="4">
        <f>ROUND(SUMIF(AA147:AA180,"=56498968",GP147:GP180),2)</f>
        <v>0</v>
      </c>
      <c r="FW182" s="4">
        <f>DU182-FP182</f>
        <v>457069.71</v>
      </c>
      <c r="FX182" s="4">
        <f>DU182-FQ182</f>
        <v>457069.71</v>
      </c>
      <c r="FY182" s="4">
        <f>FP182-FR182</f>
        <v>0</v>
      </c>
      <c r="FZ182" s="4">
        <f>DU182-FP182-FQ182+FR182</f>
        <v>457069.71</v>
      </c>
      <c r="GA182" s="4">
        <f>FQ182-FR182</f>
        <v>0</v>
      </c>
      <c r="GB182" s="4">
        <f>ROUND(SUMIF(AA147:AA180,"=56498968",GX147:GX180),2)</f>
        <v>0</v>
      </c>
      <c r="GC182" s="4">
        <f>ROUND(SUMIF(AA147:AA180,"=56498968",GY147:GY180),2)</f>
        <v>0</v>
      </c>
      <c r="GD182" s="4">
        <f>ROUND(SUMIF(AA147:AA180,"=56498968",GZ147:GZ180),2)</f>
        <v>0</v>
      </c>
      <c r="GE182" s="4">
        <f>ROUND(SUMIF(AA147:AA180,"=56498968",HD147:HD180),2)</f>
        <v>0</v>
      </c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>
        <v>0</v>
      </c>
    </row>
    <row r="184" spans="1:255" x14ac:dyDescent="0.3">
      <c r="A184" s="5">
        <v>50</v>
      </c>
      <c r="B184" s="5">
        <v>0</v>
      </c>
      <c r="C184" s="5">
        <v>0</v>
      </c>
      <c r="D184" s="5">
        <v>1</v>
      </c>
      <c r="E184" s="5">
        <v>201</v>
      </c>
      <c r="F184" s="5">
        <f>ROUND(Source!O182,O184)</f>
        <v>72889.17</v>
      </c>
      <c r="G184" s="5" t="s">
        <v>194</v>
      </c>
      <c r="H184" s="5" t="s">
        <v>195</v>
      </c>
      <c r="I184" s="5"/>
      <c r="J184" s="5"/>
      <c r="K184" s="5">
        <v>201</v>
      </c>
      <c r="L184" s="5">
        <v>1</v>
      </c>
      <c r="M184" s="5">
        <v>3</v>
      </c>
      <c r="N184" s="5" t="s">
        <v>3</v>
      </c>
      <c r="O184" s="5">
        <v>2</v>
      </c>
      <c r="P184" s="5">
        <f>ROUND(Source!DG182,O184)</f>
        <v>1646413.5</v>
      </c>
      <c r="Q184" s="5"/>
      <c r="R184" s="5"/>
      <c r="S184" s="5"/>
      <c r="T184" s="5"/>
      <c r="U184" s="5"/>
      <c r="V184" s="5"/>
      <c r="W184" s="5">
        <v>72889.17</v>
      </c>
      <c r="X184" s="5">
        <v>1</v>
      </c>
      <c r="Y184" s="5">
        <v>72889.17</v>
      </c>
      <c r="Z184" s="5">
        <v>1646413.5</v>
      </c>
      <c r="AA184" s="5">
        <v>1</v>
      </c>
      <c r="AB184" s="5">
        <v>1646413.5</v>
      </c>
    </row>
    <row r="185" spans="1:255" x14ac:dyDescent="0.3">
      <c r="A185" s="5">
        <v>50</v>
      </c>
      <c r="B185" s="5">
        <v>0</v>
      </c>
      <c r="C185" s="5">
        <v>0</v>
      </c>
      <c r="D185" s="5">
        <v>1</v>
      </c>
      <c r="E185" s="5">
        <v>202</v>
      </c>
      <c r="F185" s="5">
        <f>ROUND(Source!P182,O185)</f>
        <v>51012.59</v>
      </c>
      <c r="G185" s="5" t="s">
        <v>196</v>
      </c>
      <c r="H185" s="5" t="s">
        <v>197</v>
      </c>
      <c r="I185" s="5"/>
      <c r="J185" s="5"/>
      <c r="K185" s="5">
        <v>202</v>
      </c>
      <c r="L185" s="5">
        <v>2</v>
      </c>
      <c r="M185" s="5">
        <v>3</v>
      </c>
      <c r="N185" s="5" t="s">
        <v>3</v>
      </c>
      <c r="O185" s="5">
        <v>2</v>
      </c>
      <c r="P185" s="5">
        <f>ROUND(Source!DH182,O185)</f>
        <v>457069.71</v>
      </c>
      <c r="Q185" s="5"/>
      <c r="R185" s="5"/>
      <c r="S185" s="5"/>
      <c r="T185" s="5"/>
      <c r="U185" s="5"/>
      <c r="V185" s="5"/>
      <c r="W185" s="5">
        <v>51012.59</v>
      </c>
      <c r="X185" s="5">
        <v>1</v>
      </c>
      <c r="Y185" s="5">
        <v>51012.59</v>
      </c>
      <c r="Z185" s="5">
        <v>457069.71</v>
      </c>
      <c r="AA185" s="5">
        <v>1</v>
      </c>
      <c r="AB185" s="5">
        <v>457069.71</v>
      </c>
    </row>
    <row r="186" spans="1:255" x14ac:dyDescent="0.3">
      <c r="A186" s="5">
        <v>50</v>
      </c>
      <c r="B186" s="5">
        <v>0</v>
      </c>
      <c r="C186" s="5">
        <v>0</v>
      </c>
      <c r="D186" s="5">
        <v>1</v>
      </c>
      <c r="E186" s="5">
        <v>222</v>
      </c>
      <c r="F186" s="5">
        <f>ROUND(Source!AO182,O186)</f>
        <v>0</v>
      </c>
      <c r="G186" s="5" t="s">
        <v>198</v>
      </c>
      <c r="H186" s="5" t="s">
        <v>199</v>
      </c>
      <c r="I186" s="5"/>
      <c r="J186" s="5"/>
      <c r="K186" s="5">
        <v>222</v>
      </c>
      <c r="L186" s="5">
        <v>3</v>
      </c>
      <c r="M186" s="5">
        <v>3</v>
      </c>
      <c r="N186" s="5" t="s">
        <v>3</v>
      </c>
      <c r="O186" s="5">
        <v>2</v>
      </c>
      <c r="P186" s="5">
        <f>ROUND(Source!EG182,O186)</f>
        <v>0</v>
      </c>
      <c r="Q186" s="5"/>
      <c r="R186" s="5"/>
      <c r="S186" s="5"/>
      <c r="T186" s="5"/>
      <c r="U186" s="5"/>
      <c r="V186" s="5"/>
      <c r="W186" s="5">
        <v>0</v>
      </c>
      <c r="X186" s="5">
        <v>1</v>
      </c>
      <c r="Y186" s="5">
        <v>0</v>
      </c>
      <c r="Z186" s="5">
        <v>0</v>
      </c>
      <c r="AA186" s="5">
        <v>1</v>
      </c>
      <c r="AB186" s="5">
        <v>0</v>
      </c>
    </row>
    <row r="187" spans="1:255" x14ac:dyDescent="0.3">
      <c r="A187" s="5">
        <v>50</v>
      </c>
      <c r="B187" s="5">
        <v>0</v>
      </c>
      <c r="C187" s="5">
        <v>0</v>
      </c>
      <c r="D187" s="5">
        <v>1</v>
      </c>
      <c r="E187" s="5">
        <v>225</v>
      </c>
      <c r="F187" s="5">
        <f>ROUND(Source!AV182,O187)</f>
        <v>51012.59</v>
      </c>
      <c r="G187" s="5" t="s">
        <v>200</v>
      </c>
      <c r="H187" s="5" t="s">
        <v>201</v>
      </c>
      <c r="I187" s="5"/>
      <c r="J187" s="5"/>
      <c r="K187" s="5">
        <v>225</v>
      </c>
      <c r="L187" s="5">
        <v>4</v>
      </c>
      <c r="M187" s="5">
        <v>3</v>
      </c>
      <c r="N187" s="5" t="s">
        <v>3</v>
      </c>
      <c r="O187" s="5">
        <v>2</v>
      </c>
      <c r="P187" s="5">
        <f>ROUND(Source!EN182,O187)</f>
        <v>457069.71</v>
      </c>
      <c r="Q187" s="5"/>
      <c r="R187" s="5"/>
      <c r="S187" s="5"/>
      <c r="T187" s="5"/>
      <c r="U187" s="5"/>
      <c r="V187" s="5"/>
      <c r="W187" s="5">
        <v>51012.59</v>
      </c>
      <c r="X187" s="5">
        <v>1</v>
      </c>
      <c r="Y187" s="5">
        <v>51012.59</v>
      </c>
      <c r="Z187" s="5">
        <v>457069.71</v>
      </c>
      <c r="AA187" s="5">
        <v>1</v>
      </c>
      <c r="AB187" s="5">
        <v>457069.71</v>
      </c>
    </row>
    <row r="188" spans="1:255" x14ac:dyDescent="0.3">
      <c r="A188" s="5">
        <v>50</v>
      </c>
      <c r="B188" s="5">
        <v>0</v>
      </c>
      <c r="C188" s="5">
        <v>0</v>
      </c>
      <c r="D188" s="5">
        <v>1</v>
      </c>
      <c r="E188" s="5">
        <v>226</v>
      </c>
      <c r="F188" s="5">
        <f>ROUND(Source!AW182,O188)</f>
        <v>51012.59</v>
      </c>
      <c r="G188" s="5" t="s">
        <v>202</v>
      </c>
      <c r="H188" s="5" t="s">
        <v>203</v>
      </c>
      <c r="I188" s="5"/>
      <c r="J188" s="5"/>
      <c r="K188" s="5">
        <v>226</v>
      </c>
      <c r="L188" s="5">
        <v>5</v>
      </c>
      <c r="M188" s="5">
        <v>3</v>
      </c>
      <c r="N188" s="5" t="s">
        <v>3</v>
      </c>
      <c r="O188" s="5">
        <v>2</v>
      </c>
      <c r="P188" s="5">
        <f>ROUND(Source!EO182,O188)</f>
        <v>457069.71</v>
      </c>
      <c r="Q188" s="5"/>
      <c r="R188" s="5"/>
      <c r="S188" s="5"/>
      <c r="T188" s="5"/>
      <c r="U188" s="5"/>
      <c r="V188" s="5"/>
      <c r="W188" s="5">
        <v>51012.59</v>
      </c>
      <c r="X188" s="5">
        <v>1</v>
      </c>
      <c r="Y188" s="5">
        <v>51012.59</v>
      </c>
      <c r="Z188" s="5">
        <v>457069.71</v>
      </c>
      <c r="AA188" s="5">
        <v>1</v>
      </c>
      <c r="AB188" s="5">
        <v>457069.71</v>
      </c>
    </row>
    <row r="189" spans="1:255" x14ac:dyDescent="0.3">
      <c r="A189" s="5">
        <v>50</v>
      </c>
      <c r="B189" s="5">
        <v>0</v>
      </c>
      <c r="C189" s="5">
        <v>0</v>
      </c>
      <c r="D189" s="5">
        <v>1</v>
      </c>
      <c r="E189" s="5">
        <v>227</v>
      </c>
      <c r="F189" s="5">
        <f>ROUND(Source!AX182,O189)</f>
        <v>0</v>
      </c>
      <c r="G189" s="5" t="s">
        <v>204</v>
      </c>
      <c r="H189" s="5" t="s">
        <v>205</v>
      </c>
      <c r="I189" s="5"/>
      <c r="J189" s="5"/>
      <c r="K189" s="5">
        <v>227</v>
      </c>
      <c r="L189" s="5">
        <v>6</v>
      </c>
      <c r="M189" s="5">
        <v>3</v>
      </c>
      <c r="N189" s="5" t="s">
        <v>3</v>
      </c>
      <c r="O189" s="5">
        <v>2</v>
      </c>
      <c r="P189" s="5">
        <f>ROUND(Source!EP182,O189)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55" x14ac:dyDescent="0.3">
      <c r="A190" s="5">
        <v>50</v>
      </c>
      <c r="B190" s="5">
        <v>0</v>
      </c>
      <c r="C190" s="5">
        <v>0</v>
      </c>
      <c r="D190" s="5">
        <v>1</v>
      </c>
      <c r="E190" s="5">
        <v>228</v>
      </c>
      <c r="F190" s="5">
        <f>ROUND(Source!AY182,O190)</f>
        <v>51012.59</v>
      </c>
      <c r="G190" s="5" t="s">
        <v>206</v>
      </c>
      <c r="H190" s="5" t="s">
        <v>207</v>
      </c>
      <c r="I190" s="5"/>
      <c r="J190" s="5"/>
      <c r="K190" s="5">
        <v>228</v>
      </c>
      <c r="L190" s="5">
        <v>7</v>
      </c>
      <c r="M190" s="5">
        <v>3</v>
      </c>
      <c r="N190" s="5" t="s">
        <v>3</v>
      </c>
      <c r="O190" s="5">
        <v>2</v>
      </c>
      <c r="P190" s="5">
        <f>ROUND(Source!EQ182,O190)</f>
        <v>457069.71</v>
      </c>
      <c r="Q190" s="5"/>
      <c r="R190" s="5"/>
      <c r="S190" s="5"/>
      <c r="T190" s="5"/>
      <c r="U190" s="5"/>
      <c r="V190" s="5"/>
      <c r="W190" s="5">
        <v>51012.59</v>
      </c>
      <c r="X190" s="5">
        <v>1</v>
      </c>
      <c r="Y190" s="5">
        <v>51012.59</v>
      </c>
      <c r="Z190" s="5">
        <v>457069.71</v>
      </c>
      <c r="AA190" s="5">
        <v>1</v>
      </c>
      <c r="AB190" s="5">
        <v>457069.71</v>
      </c>
    </row>
    <row r="191" spans="1:255" x14ac:dyDescent="0.3">
      <c r="A191" s="5">
        <v>50</v>
      </c>
      <c r="B191" s="5">
        <v>0</v>
      </c>
      <c r="C191" s="5">
        <v>0</v>
      </c>
      <c r="D191" s="5">
        <v>1</v>
      </c>
      <c r="E191" s="5">
        <v>216</v>
      </c>
      <c r="F191" s="5">
        <f>ROUND(Source!AP182,O191)</f>
        <v>0</v>
      </c>
      <c r="G191" s="5" t="s">
        <v>208</v>
      </c>
      <c r="H191" s="5" t="s">
        <v>209</v>
      </c>
      <c r="I191" s="5"/>
      <c r="J191" s="5"/>
      <c r="K191" s="5">
        <v>216</v>
      </c>
      <c r="L191" s="5">
        <v>8</v>
      </c>
      <c r="M191" s="5">
        <v>3</v>
      </c>
      <c r="N191" s="5" t="s">
        <v>3</v>
      </c>
      <c r="O191" s="5">
        <v>2</v>
      </c>
      <c r="P191" s="5">
        <f>ROUND(Source!EH182,O191)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55" x14ac:dyDescent="0.3">
      <c r="A192" s="5">
        <v>50</v>
      </c>
      <c r="B192" s="5">
        <v>0</v>
      </c>
      <c r="C192" s="5">
        <v>0</v>
      </c>
      <c r="D192" s="5">
        <v>1</v>
      </c>
      <c r="E192" s="5">
        <v>223</v>
      </c>
      <c r="F192" s="5">
        <f>ROUND(Source!AQ182,O192)</f>
        <v>0</v>
      </c>
      <c r="G192" s="5" t="s">
        <v>210</v>
      </c>
      <c r="H192" s="5" t="s">
        <v>211</v>
      </c>
      <c r="I192" s="5"/>
      <c r="J192" s="5"/>
      <c r="K192" s="5">
        <v>223</v>
      </c>
      <c r="L192" s="5">
        <v>9</v>
      </c>
      <c r="M192" s="5">
        <v>3</v>
      </c>
      <c r="N192" s="5" t="s">
        <v>3</v>
      </c>
      <c r="O192" s="5">
        <v>2</v>
      </c>
      <c r="P192" s="5">
        <f>ROUND(Source!EI182,O192)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8" x14ac:dyDescent="0.3">
      <c r="A193" s="5">
        <v>50</v>
      </c>
      <c r="B193" s="5">
        <v>0</v>
      </c>
      <c r="C193" s="5">
        <v>0</v>
      </c>
      <c r="D193" s="5">
        <v>1</v>
      </c>
      <c r="E193" s="5">
        <v>229</v>
      </c>
      <c r="F193" s="5">
        <f>ROUND(Source!AZ182,O193)</f>
        <v>0</v>
      </c>
      <c r="G193" s="5" t="s">
        <v>212</v>
      </c>
      <c r="H193" s="5" t="s">
        <v>213</v>
      </c>
      <c r="I193" s="5"/>
      <c r="J193" s="5"/>
      <c r="K193" s="5">
        <v>229</v>
      </c>
      <c r="L193" s="5">
        <v>10</v>
      </c>
      <c r="M193" s="5">
        <v>3</v>
      </c>
      <c r="N193" s="5" t="s">
        <v>3</v>
      </c>
      <c r="O193" s="5">
        <v>2</v>
      </c>
      <c r="P193" s="5">
        <f>ROUND(Source!ER182,O193)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8" x14ac:dyDescent="0.3">
      <c r="A194" s="5">
        <v>50</v>
      </c>
      <c r="B194" s="5">
        <v>0</v>
      </c>
      <c r="C194" s="5">
        <v>0</v>
      </c>
      <c r="D194" s="5">
        <v>1</v>
      </c>
      <c r="E194" s="5">
        <v>203</v>
      </c>
      <c r="F194" s="5">
        <f>ROUND(Source!Q182,O194)</f>
        <v>295.81</v>
      </c>
      <c r="G194" s="5" t="s">
        <v>214</v>
      </c>
      <c r="H194" s="5" t="s">
        <v>215</v>
      </c>
      <c r="I194" s="5"/>
      <c r="J194" s="5"/>
      <c r="K194" s="5">
        <v>203</v>
      </c>
      <c r="L194" s="5">
        <v>11</v>
      </c>
      <c r="M194" s="5">
        <v>3</v>
      </c>
      <c r="N194" s="5" t="s">
        <v>3</v>
      </c>
      <c r="O194" s="5">
        <v>2</v>
      </c>
      <c r="P194" s="5">
        <f>ROUND(Source!DI182,O194)</f>
        <v>2617.2399999999998</v>
      </c>
      <c r="Q194" s="5"/>
      <c r="R194" s="5"/>
      <c r="S194" s="5"/>
      <c r="T194" s="5"/>
      <c r="U194" s="5"/>
      <c r="V194" s="5"/>
      <c r="W194" s="5">
        <v>295.81</v>
      </c>
      <c r="X194" s="5">
        <v>1</v>
      </c>
      <c r="Y194" s="5">
        <v>295.81</v>
      </c>
      <c r="Z194" s="5">
        <v>2617.2399999999998</v>
      </c>
      <c r="AA194" s="5">
        <v>1</v>
      </c>
      <c r="AB194" s="5">
        <v>2617.2399999999998</v>
      </c>
    </row>
    <row r="195" spans="1:28" x14ac:dyDescent="0.3">
      <c r="A195" s="5">
        <v>50</v>
      </c>
      <c r="B195" s="5">
        <v>0</v>
      </c>
      <c r="C195" s="5">
        <v>0</v>
      </c>
      <c r="D195" s="5">
        <v>1</v>
      </c>
      <c r="E195" s="5">
        <v>231</v>
      </c>
      <c r="F195" s="5">
        <f>ROUND(Source!BB182,O195)</f>
        <v>0</v>
      </c>
      <c r="G195" s="5" t="s">
        <v>216</v>
      </c>
      <c r="H195" s="5" t="s">
        <v>217</v>
      </c>
      <c r="I195" s="5"/>
      <c r="J195" s="5"/>
      <c r="K195" s="5">
        <v>231</v>
      </c>
      <c r="L195" s="5">
        <v>12</v>
      </c>
      <c r="M195" s="5">
        <v>3</v>
      </c>
      <c r="N195" s="5" t="s">
        <v>3</v>
      </c>
      <c r="O195" s="5">
        <v>2</v>
      </c>
      <c r="P195" s="5">
        <f>ROUND(Source!ET182,O195)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8" x14ac:dyDescent="0.3">
      <c r="A196" s="5">
        <v>50</v>
      </c>
      <c r="B196" s="5">
        <v>0</v>
      </c>
      <c r="C196" s="5">
        <v>0</v>
      </c>
      <c r="D196" s="5">
        <v>1</v>
      </c>
      <c r="E196" s="5">
        <v>204</v>
      </c>
      <c r="F196" s="5">
        <f>ROUND(Source!R182,O196)</f>
        <v>0.44</v>
      </c>
      <c r="G196" s="5" t="s">
        <v>218</v>
      </c>
      <c r="H196" s="5" t="s">
        <v>219</v>
      </c>
      <c r="I196" s="5"/>
      <c r="J196" s="5"/>
      <c r="K196" s="5">
        <v>204</v>
      </c>
      <c r="L196" s="5">
        <v>13</v>
      </c>
      <c r="M196" s="5">
        <v>3</v>
      </c>
      <c r="N196" s="5" t="s">
        <v>3</v>
      </c>
      <c r="O196" s="5">
        <v>2</v>
      </c>
      <c r="P196" s="5">
        <f>ROUND(Source!DJ182,O196)</f>
        <v>24.2</v>
      </c>
      <c r="Q196" s="5"/>
      <c r="R196" s="5"/>
      <c r="S196" s="5"/>
      <c r="T196" s="5"/>
      <c r="U196" s="5"/>
      <c r="V196" s="5"/>
      <c r="W196" s="5">
        <v>0.44</v>
      </c>
      <c r="X196" s="5">
        <v>1</v>
      </c>
      <c r="Y196" s="5">
        <v>0.44</v>
      </c>
      <c r="Z196" s="5">
        <v>24.2</v>
      </c>
      <c r="AA196" s="5">
        <v>1</v>
      </c>
      <c r="AB196" s="5">
        <v>24.2</v>
      </c>
    </row>
    <row r="197" spans="1:28" x14ac:dyDescent="0.3">
      <c r="A197" s="5">
        <v>50</v>
      </c>
      <c r="B197" s="5">
        <v>0</v>
      </c>
      <c r="C197" s="5">
        <v>0</v>
      </c>
      <c r="D197" s="5">
        <v>1</v>
      </c>
      <c r="E197" s="5">
        <v>205</v>
      </c>
      <c r="F197" s="5">
        <f>ROUND(Source!S182,O197)</f>
        <v>21580.77</v>
      </c>
      <c r="G197" s="5" t="s">
        <v>220</v>
      </c>
      <c r="H197" s="5" t="s">
        <v>221</v>
      </c>
      <c r="I197" s="5"/>
      <c r="J197" s="5"/>
      <c r="K197" s="5">
        <v>205</v>
      </c>
      <c r="L197" s="5">
        <v>14</v>
      </c>
      <c r="M197" s="5">
        <v>3</v>
      </c>
      <c r="N197" s="5" t="s">
        <v>3</v>
      </c>
      <c r="O197" s="5">
        <v>2</v>
      </c>
      <c r="P197" s="5">
        <f>ROUND(Source!DK182,O197)</f>
        <v>1186726.55</v>
      </c>
      <c r="Q197" s="5"/>
      <c r="R197" s="5"/>
      <c r="S197" s="5"/>
      <c r="T197" s="5"/>
      <c r="U197" s="5"/>
      <c r="V197" s="5"/>
      <c r="W197" s="5">
        <v>21580.77</v>
      </c>
      <c r="X197" s="5">
        <v>1</v>
      </c>
      <c r="Y197" s="5">
        <v>21580.77</v>
      </c>
      <c r="Z197" s="5">
        <v>1186726.55</v>
      </c>
      <c r="AA197" s="5">
        <v>1</v>
      </c>
      <c r="AB197" s="5">
        <v>1186726.55</v>
      </c>
    </row>
    <row r="198" spans="1:28" x14ac:dyDescent="0.3">
      <c r="A198" s="5">
        <v>50</v>
      </c>
      <c r="B198" s="5">
        <v>0</v>
      </c>
      <c r="C198" s="5">
        <v>0</v>
      </c>
      <c r="D198" s="5">
        <v>1</v>
      </c>
      <c r="E198" s="5">
        <v>232</v>
      </c>
      <c r="F198" s="5">
        <f>ROUND(Source!BC182,O198)</f>
        <v>0</v>
      </c>
      <c r="G198" s="5" t="s">
        <v>222</v>
      </c>
      <c r="H198" s="5" t="s">
        <v>223</v>
      </c>
      <c r="I198" s="5"/>
      <c r="J198" s="5"/>
      <c r="K198" s="5">
        <v>232</v>
      </c>
      <c r="L198" s="5">
        <v>15</v>
      </c>
      <c r="M198" s="5">
        <v>3</v>
      </c>
      <c r="N198" s="5" t="s">
        <v>3</v>
      </c>
      <c r="O198" s="5">
        <v>2</v>
      </c>
      <c r="P198" s="5">
        <f>ROUND(Source!EU182,O198)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8" x14ac:dyDescent="0.3">
      <c r="A199" s="5">
        <v>50</v>
      </c>
      <c r="B199" s="5">
        <v>0</v>
      </c>
      <c r="C199" s="5">
        <v>0</v>
      </c>
      <c r="D199" s="5">
        <v>1</v>
      </c>
      <c r="E199" s="5">
        <v>214</v>
      </c>
      <c r="F199" s="5">
        <f>ROUND(Source!AS182,O199)</f>
        <v>0</v>
      </c>
      <c r="G199" s="5" t="s">
        <v>224</v>
      </c>
      <c r="H199" s="5" t="s">
        <v>225</v>
      </c>
      <c r="I199" s="5"/>
      <c r="J199" s="5"/>
      <c r="K199" s="5">
        <v>214</v>
      </c>
      <c r="L199" s="5">
        <v>16</v>
      </c>
      <c r="M199" s="5">
        <v>3</v>
      </c>
      <c r="N199" s="5" t="s">
        <v>3</v>
      </c>
      <c r="O199" s="5">
        <v>2</v>
      </c>
      <c r="P199" s="5">
        <f>ROUND(Source!EK182,O199)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8" x14ac:dyDescent="0.3">
      <c r="A200" s="5">
        <v>50</v>
      </c>
      <c r="B200" s="5">
        <v>0</v>
      </c>
      <c r="C200" s="5">
        <v>0</v>
      </c>
      <c r="D200" s="5">
        <v>1</v>
      </c>
      <c r="E200" s="5">
        <v>215</v>
      </c>
      <c r="F200" s="5">
        <f>ROUND(Source!AT182,O200)</f>
        <v>102250.23</v>
      </c>
      <c r="G200" s="5" t="s">
        <v>226</v>
      </c>
      <c r="H200" s="5" t="s">
        <v>227</v>
      </c>
      <c r="I200" s="5"/>
      <c r="J200" s="5"/>
      <c r="K200" s="5">
        <v>215</v>
      </c>
      <c r="L200" s="5">
        <v>17</v>
      </c>
      <c r="M200" s="5">
        <v>3</v>
      </c>
      <c r="N200" s="5" t="s">
        <v>3</v>
      </c>
      <c r="O200" s="5">
        <v>2</v>
      </c>
      <c r="P200" s="5">
        <f>ROUND(Source!EL182,O200)</f>
        <v>3260978.84</v>
      </c>
      <c r="Q200" s="5"/>
      <c r="R200" s="5"/>
      <c r="S200" s="5"/>
      <c r="T200" s="5"/>
      <c r="U200" s="5"/>
      <c r="V200" s="5"/>
      <c r="W200" s="5">
        <v>102250.23</v>
      </c>
      <c r="X200" s="5">
        <v>1</v>
      </c>
      <c r="Y200" s="5">
        <v>102250.23</v>
      </c>
      <c r="Z200" s="5">
        <v>3260978.84</v>
      </c>
      <c r="AA200" s="5">
        <v>1</v>
      </c>
      <c r="AB200" s="5">
        <v>3260978.84</v>
      </c>
    </row>
    <row r="201" spans="1:28" x14ac:dyDescent="0.3">
      <c r="A201" s="5">
        <v>50</v>
      </c>
      <c r="B201" s="5">
        <v>0</v>
      </c>
      <c r="C201" s="5">
        <v>0</v>
      </c>
      <c r="D201" s="5">
        <v>1</v>
      </c>
      <c r="E201" s="5">
        <v>217</v>
      </c>
      <c r="F201" s="5">
        <f>ROUND(Source!AU182,O201)</f>
        <v>0</v>
      </c>
      <c r="G201" s="5" t="s">
        <v>228</v>
      </c>
      <c r="H201" s="5" t="s">
        <v>229</v>
      </c>
      <c r="I201" s="5"/>
      <c r="J201" s="5"/>
      <c r="K201" s="5">
        <v>217</v>
      </c>
      <c r="L201" s="5">
        <v>18</v>
      </c>
      <c r="M201" s="5">
        <v>3</v>
      </c>
      <c r="N201" s="5" t="s">
        <v>3</v>
      </c>
      <c r="O201" s="5">
        <v>2</v>
      </c>
      <c r="P201" s="5">
        <f>ROUND(Source!EM182,O201)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8" x14ac:dyDescent="0.3">
      <c r="A202" s="5">
        <v>50</v>
      </c>
      <c r="B202" s="5">
        <v>0</v>
      </c>
      <c r="C202" s="5">
        <v>0</v>
      </c>
      <c r="D202" s="5">
        <v>1</v>
      </c>
      <c r="E202" s="5">
        <v>230</v>
      </c>
      <c r="F202" s="5">
        <f>ROUND(Source!BA182,O202)</f>
        <v>0</v>
      </c>
      <c r="G202" s="5" t="s">
        <v>230</v>
      </c>
      <c r="H202" s="5" t="s">
        <v>231</v>
      </c>
      <c r="I202" s="5"/>
      <c r="J202" s="5"/>
      <c r="K202" s="5">
        <v>230</v>
      </c>
      <c r="L202" s="5">
        <v>19</v>
      </c>
      <c r="M202" s="5">
        <v>3</v>
      </c>
      <c r="N202" s="5" t="s">
        <v>3</v>
      </c>
      <c r="O202" s="5">
        <v>2</v>
      </c>
      <c r="P202" s="5">
        <f>ROUND(Source!ES182,O202)</f>
        <v>0</v>
      </c>
      <c r="Q202" s="5"/>
      <c r="R202" s="5"/>
      <c r="S202" s="5"/>
      <c r="T202" s="5"/>
      <c r="U202" s="5"/>
      <c r="V202" s="5"/>
      <c r="W202" s="5">
        <v>0</v>
      </c>
      <c r="X202" s="5">
        <v>1</v>
      </c>
      <c r="Y202" s="5">
        <v>0</v>
      </c>
      <c r="Z202" s="5">
        <v>0</v>
      </c>
      <c r="AA202" s="5">
        <v>1</v>
      </c>
      <c r="AB202" s="5">
        <v>0</v>
      </c>
    </row>
    <row r="203" spans="1:28" x14ac:dyDescent="0.3">
      <c r="A203" s="5">
        <v>50</v>
      </c>
      <c r="B203" s="5">
        <v>0</v>
      </c>
      <c r="C203" s="5">
        <v>0</v>
      </c>
      <c r="D203" s="5">
        <v>1</v>
      </c>
      <c r="E203" s="5">
        <v>206</v>
      </c>
      <c r="F203" s="5">
        <f>ROUND(Source!T182,O203)</f>
        <v>0</v>
      </c>
      <c r="G203" s="5" t="s">
        <v>232</v>
      </c>
      <c r="H203" s="5" t="s">
        <v>233</v>
      </c>
      <c r="I203" s="5"/>
      <c r="J203" s="5"/>
      <c r="K203" s="5">
        <v>206</v>
      </c>
      <c r="L203" s="5">
        <v>20</v>
      </c>
      <c r="M203" s="5">
        <v>3</v>
      </c>
      <c r="N203" s="5" t="s">
        <v>3</v>
      </c>
      <c r="O203" s="5">
        <v>2</v>
      </c>
      <c r="P203" s="5">
        <f>ROUND(Source!DL182,O203)</f>
        <v>0</v>
      </c>
      <c r="Q203" s="5"/>
      <c r="R203" s="5"/>
      <c r="S203" s="5"/>
      <c r="T203" s="5"/>
      <c r="U203" s="5"/>
      <c r="V203" s="5"/>
      <c r="W203" s="5">
        <v>0</v>
      </c>
      <c r="X203" s="5">
        <v>1</v>
      </c>
      <c r="Y203" s="5">
        <v>0</v>
      </c>
      <c r="Z203" s="5">
        <v>0</v>
      </c>
      <c r="AA203" s="5">
        <v>1</v>
      </c>
      <c r="AB203" s="5">
        <v>0</v>
      </c>
    </row>
    <row r="204" spans="1:28" x14ac:dyDescent="0.3">
      <c r="A204" s="5">
        <v>50</v>
      </c>
      <c r="B204" s="5">
        <v>0</v>
      </c>
      <c r="C204" s="5">
        <v>0</v>
      </c>
      <c r="D204" s="5">
        <v>1</v>
      </c>
      <c r="E204" s="5">
        <v>207</v>
      </c>
      <c r="F204" s="5">
        <f>Source!U182</f>
        <v>1808.2938442800003</v>
      </c>
      <c r="G204" s="5" t="s">
        <v>234</v>
      </c>
      <c r="H204" s="5" t="s">
        <v>235</v>
      </c>
      <c r="I204" s="5"/>
      <c r="J204" s="5"/>
      <c r="K204" s="5">
        <v>207</v>
      </c>
      <c r="L204" s="5">
        <v>21</v>
      </c>
      <c r="M204" s="5">
        <v>3</v>
      </c>
      <c r="N204" s="5" t="s">
        <v>3</v>
      </c>
      <c r="O204" s="5">
        <v>-1</v>
      </c>
      <c r="P204" s="5">
        <f>Source!DM182</f>
        <v>1808.2938442800003</v>
      </c>
      <c r="Q204" s="5"/>
      <c r="R204" s="5"/>
      <c r="S204" s="5"/>
      <c r="T204" s="5"/>
      <c r="U204" s="5"/>
      <c r="V204" s="5"/>
      <c r="W204" s="5">
        <v>1808.29384428</v>
      </c>
      <c r="X204" s="5">
        <v>1</v>
      </c>
      <c r="Y204" s="5">
        <v>1808.29384428</v>
      </c>
      <c r="Z204" s="5">
        <v>1808.29384428</v>
      </c>
      <c r="AA204" s="5">
        <v>1</v>
      </c>
      <c r="AB204" s="5">
        <v>1808.29384428</v>
      </c>
    </row>
    <row r="205" spans="1:28" x14ac:dyDescent="0.3">
      <c r="A205" s="5">
        <v>50</v>
      </c>
      <c r="B205" s="5">
        <v>0</v>
      </c>
      <c r="C205" s="5">
        <v>0</v>
      </c>
      <c r="D205" s="5">
        <v>1</v>
      </c>
      <c r="E205" s="5">
        <v>208</v>
      </c>
      <c r="F205" s="5">
        <f>Source!V182</f>
        <v>0</v>
      </c>
      <c r="G205" s="5" t="s">
        <v>236</v>
      </c>
      <c r="H205" s="5" t="s">
        <v>237</v>
      </c>
      <c r="I205" s="5"/>
      <c r="J205" s="5"/>
      <c r="K205" s="5">
        <v>208</v>
      </c>
      <c r="L205" s="5">
        <v>22</v>
      </c>
      <c r="M205" s="5">
        <v>3</v>
      </c>
      <c r="N205" s="5" t="s">
        <v>3</v>
      </c>
      <c r="O205" s="5">
        <v>-1</v>
      </c>
      <c r="P205" s="5">
        <f>Source!DN182</f>
        <v>0</v>
      </c>
      <c r="Q205" s="5"/>
      <c r="R205" s="5"/>
      <c r="S205" s="5"/>
      <c r="T205" s="5"/>
      <c r="U205" s="5"/>
      <c r="V205" s="5"/>
      <c r="W205" s="5">
        <v>0</v>
      </c>
      <c r="X205" s="5">
        <v>1</v>
      </c>
      <c r="Y205" s="5">
        <v>0</v>
      </c>
      <c r="Z205" s="5">
        <v>0</v>
      </c>
      <c r="AA205" s="5">
        <v>1</v>
      </c>
      <c r="AB205" s="5">
        <v>0</v>
      </c>
    </row>
    <row r="206" spans="1:28" x14ac:dyDescent="0.3">
      <c r="A206" s="5">
        <v>50</v>
      </c>
      <c r="B206" s="5">
        <v>0</v>
      </c>
      <c r="C206" s="5">
        <v>0</v>
      </c>
      <c r="D206" s="5">
        <v>1</v>
      </c>
      <c r="E206" s="5">
        <v>209</v>
      </c>
      <c r="F206" s="5">
        <f>ROUND(Source!W182,O206)</f>
        <v>0</v>
      </c>
      <c r="G206" s="5" t="s">
        <v>238</v>
      </c>
      <c r="H206" s="5" t="s">
        <v>239</v>
      </c>
      <c r="I206" s="5"/>
      <c r="J206" s="5"/>
      <c r="K206" s="5">
        <v>209</v>
      </c>
      <c r="L206" s="5">
        <v>23</v>
      </c>
      <c r="M206" s="5">
        <v>3</v>
      </c>
      <c r="N206" s="5" t="s">
        <v>3</v>
      </c>
      <c r="O206" s="5">
        <v>2</v>
      </c>
      <c r="P206" s="5">
        <f>ROUND(Source!DO182,O206)</f>
        <v>0</v>
      </c>
      <c r="Q206" s="5"/>
      <c r="R206" s="5"/>
      <c r="S206" s="5"/>
      <c r="T206" s="5"/>
      <c r="U206" s="5"/>
      <c r="V206" s="5"/>
      <c r="W206" s="5">
        <v>0</v>
      </c>
      <c r="X206" s="5">
        <v>1</v>
      </c>
      <c r="Y206" s="5">
        <v>0</v>
      </c>
      <c r="Z206" s="5">
        <v>0</v>
      </c>
      <c r="AA206" s="5">
        <v>1</v>
      </c>
      <c r="AB206" s="5">
        <v>0</v>
      </c>
    </row>
    <row r="207" spans="1:28" x14ac:dyDescent="0.3">
      <c r="A207" s="5">
        <v>50</v>
      </c>
      <c r="B207" s="5">
        <v>0</v>
      </c>
      <c r="C207" s="5">
        <v>0</v>
      </c>
      <c r="D207" s="5">
        <v>1</v>
      </c>
      <c r="E207" s="5">
        <v>233</v>
      </c>
      <c r="F207" s="5">
        <f>ROUND(Source!BD182,O207)</f>
        <v>0</v>
      </c>
      <c r="G207" s="5" t="s">
        <v>240</v>
      </c>
      <c r="H207" s="5" t="s">
        <v>241</v>
      </c>
      <c r="I207" s="5"/>
      <c r="J207" s="5"/>
      <c r="K207" s="5">
        <v>233</v>
      </c>
      <c r="L207" s="5">
        <v>24</v>
      </c>
      <c r="M207" s="5">
        <v>3</v>
      </c>
      <c r="N207" s="5" t="s">
        <v>3</v>
      </c>
      <c r="O207" s="5">
        <v>2</v>
      </c>
      <c r="P207" s="5">
        <f>ROUND(Source!EV182,O207)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x14ac:dyDescent="0.3">
      <c r="A208" s="5">
        <v>50</v>
      </c>
      <c r="B208" s="5">
        <v>0</v>
      </c>
      <c r="C208" s="5">
        <v>0</v>
      </c>
      <c r="D208" s="5">
        <v>1</v>
      </c>
      <c r="E208" s="5">
        <v>210</v>
      </c>
      <c r="F208" s="5">
        <f>ROUND(Source!X182,O208)</f>
        <v>19429.28</v>
      </c>
      <c r="G208" s="5" t="s">
        <v>242</v>
      </c>
      <c r="H208" s="5" t="s">
        <v>243</v>
      </c>
      <c r="I208" s="5"/>
      <c r="J208" s="5"/>
      <c r="K208" s="5">
        <v>210</v>
      </c>
      <c r="L208" s="5">
        <v>25</v>
      </c>
      <c r="M208" s="5">
        <v>3</v>
      </c>
      <c r="N208" s="5" t="s">
        <v>3</v>
      </c>
      <c r="O208" s="5">
        <v>2</v>
      </c>
      <c r="P208" s="5">
        <f>ROUND(Source!DP182,O208)</f>
        <v>1068416.53</v>
      </c>
      <c r="Q208" s="5"/>
      <c r="R208" s="5"/>
      <c r="S208" s="5"/>
      <c r="T208" s="5"/>
      <c r="U208" s="5"/>
      <c r="V208" s="5"/>
      <c r="W208" s="5">
        <v>19429.28</v>
      </c>
      <c r="X208" s="5">
        <v>1</v>
      </c>
      <c r="Y208" s="5">
        <v>19429.28</v>
      </c>
      <c r="Z208" s="5">
        <v>1068416.53</v>
      </c>
      <c r="AA208" s="5">
        <v>1</v>
      </c>
      <c r="AB208" s="5">
        <v>1068416.53</v>
      </c>
    </row>
    <row r="209" spans="1:255" x14ac:dyDescent="0.3">
      <c r="A209" s="5">
        <v>50</v>
      </c>
      <c r="B209" s="5">
        <v>0</v>
      </c>
      <c r="C209" s="5">
        <v>0</v>
      </c>
      <c r="D209" s="5">
        <v>1</v>
      </c>
      <c r="E209" s="5">
        <v>211</v>
      </c>
      <c r="F209" s="5">
        <f>ROUND(Source!Y182,O209)</f>
        <v>9931.7800000000007</v>
      </c>
      <c r="G209" s="5" t="s">
        <v>244</v>
      </c>
      <c r="H209" s="5" t="s">
        <v>245</v>
      </c>
      <c r="I209" s="5"/>
      <c r="J209" s="5"/>
      <c r="K209" s="5">
        <v>211</v>
      </c>
      <c r="L209" s="5">
        <v>26</v>
      </c>
      <c r="M209" s="5">
        <v>3</v>
      </c>
      <c r="N209" s="5" t="s">
        <v>3</v>
      </c>
      <c r="O209" s="5">
        <v>2</v>
      </c>
      <c r="P209" s="5">
        <f>ROUND(Source!DQ182,O209)</f>
        <v>546148.81000000006</v>
      </c>
      <c r="Q209" s="5"/>
      <c r="R209" s="5"/>
      <c r="S209" s="5"/>
      <c r="T209" s="5"/>
      <c r="U209" s="5"/>
      <c r="V209" s="5"/>
      <c r="W209" s="5">
        <v>9931.7800000000007</v>
      </c>
      <c r="X209" s="5">
        <v>1</v>
      </c>
      <c r="Y209" s="5">
        <v>9931.7800000000007</v>
      </c>
      <c r="Z209" s="5">
        <v>546148.81000000006</v>
      </c>
      <c r="AA209" s="5">
        <v>1</v>
      </c>
      <c r="AB209" s="5">
        <v>546148.81000000006</v>
      </c>
    </row>
    <row r="210" spans="1:255" x14ac:dyDescent="0.3">
      <c r="A210" s="5">
        <v>50</v>
      </c>
      <c r="B210" s="5">
        <v>0</v>
      </c>
      <c r="C210" s="5">
        <v>0</v>
      </c>
      <c r="D210" s="5">
        <v>1</v>
      </c>
      <c r="E210" s="5">
        <v>224</v>
      </c>
      <c r="F210" s="5">
        <f>ROUND(Source!AR182,O210)</f>
        <v>102250.23</v>
      </c>
      <c r="G210" s="5" t="s">
        <v>246</v>
      </c>
      <c r="H210" s="5" t="s">
        <v>247</v>
      </c>
      <c r="I210" s="5"/>
      <c r="J210" s="5"/>
      <c r="K210" s="5">
        <v>224</v>
      </c>
      <c r="L210" s="5">
        <v>27</v>
      </c>
      <c r="M210" s="5">
        <v>3</v>
      </c>
      <c r="N210" s="5" t="s">
        <v>3</v>
      </c>
      <c r="O210" s="5">
        <v>2</v>
      </c>
      <c r="P210" s="5">
        <f>ROUND(Source!EJ182,O210)</f>
        <v>3260978.84</v>
      </c>
      <c r="Q210" s="5"/>
      <c r="R210" s="5"/>
      <c r="S210" s="5"/>
      <c r="T210" s="5"/>
      <c r="U210" s="5"/>
      <c r="V210" s="5"/>
      <c r="W210" s="5">
        <v>102250.23</v>
      </c>
      <c r="X210" s="5">
        <v>1</v>
      </c>
      <c r="Y210" s="5">
        <v>102250.23</v>
      </c>
      <c r="Z210" s="5">
        <v>3260978.84</v>
      </c>
      <c r="AA210" s="5">
        <v>1</v>
      </c>
      <c r="AB210" s="5">
        <v>3260978.84</v>
      </c>
    </row>
    <row r="212" spans="1:255" x14ac:dyDescent="0.3">
      <c r="A212" s="1">
        <v>4</v>
      </c>
      <c r="B212" s="1">
        <v>1</v>
      </c>
      <c r="C212" s="1"/>
      <c r="D212" s="1">
        <f>ROW(A227)</f>
        <v>227</v>
      </c>
      <c r="E212" s="1"/>
      <c r="F212" s="1" t="s">
        <v>3</v>
      </c>
      <c r="G212" s="1" t="s">
        <v>320</v>
      </c>
      <c r="H212" s="1" t="s">
        <v>3</v>
      </c>
      <c r="I212" s="1">
        <v>0</v>
      </c>
      <c r="J212" s="1"/>
      <c r="K212" s="1">
        <v>-1</v>
      </c>
      <c r="L212" s="1"/>
      <c r="M212" s="1" t="s">
        <v>3</v>
      </c>
      <c r="N212" s="1"/>
      <c r="O212" s="1"/>
      <c r="P212" s="1"/>
      <c r="Q212" s="1"/>
      <c r="R212" s="1"/>
      <c r="S212" s="1">
        <v>0</v>
      </c>
      <c r="T212" s="1">
        <v>0</v>
      </c>
      <c r="U212" s="1" t="s">
        <v>3</v>
      </c>
      <c r="V212" s="1">
        <v>0</v>
      </c>
      <c r="W212" s="1"/>
      <c r="X212" s="1"/>
      <c r="Y212" s="1"/>
      <c r="Z212" s="1"/>
      <c r="AA212" s="1"/>
      <c r="AB212" s="1" t="s">
        <v>3</v>
      </c>
      <c r="AC212" s="1" t="s">
        <v>3</v>
      </c>
      <c r="AD212" s="1" t="s">
        <v>3</v>
      </c>
      <c r="AE212" s="1" t="s">
        <v>3</v>
      </c>
      <c r="AF212" s="1" t="s">
        <v>3</v>
      </c>
      <c r="AG212" s="1" t="s">
        <v>3</v>
      </c>
      <c r="AH212" s="1"/>
      <c r="AI212" s="1"/>
      <c r="AJ212" s="1"/>
      <c r="AK212" s="1"/>
      <c r="AL212" s="1"/>
      <c r="AM212" s="1"/>
      <c r="AN212" s="1"/>
      <c r="AO212" s="1"/>
      <c r="AP212" s="1" t="s">
        <v>3</v>
      </c>
      <c r="AQ212" s="1" t="s">
        <v>3</v>
      </c>
      <c r="AR212" s="1" t="s">
        <v>3</v>
      </c>
      <c r="AS212" s="1"/>
      <c r="AT212" s="1"/>
      <c r="AU212" s="1"/>
      <c r="AV212" s="1"/>
      <c r="AW212" s="1"/>
      <c r="AX212" s="1"/>
      <c r="AY212" s="1"/>
      <c r="AZ212" s="1" t="s">
        <v>3</v>
      </c>
      <c r="BA212" s="1"/>
      <c r="BB212" s="1" t="s">
        <v>3</v>
      </c>
      <c r="BC212" s="1" t="s">
        <v>3</v>
      </c>
      <c r="BD212" s="1" t="s">
        <v>3</v>
      </c>
      <c r="BE212" s="1" t="s">
        <v>3</v>
      </c>
      <c r="BF212" s="1" t="s">
        <v>3</v>
      </c>
      <c r="BG212" s="1" t="s">
        <v>3</v>
      </c>
      <c r="BH212" s="1" t="s">
        <v>3</v>
      </c>
      <c r="BI212" s="1" t="s">
        <v>3</v>
      </c>
      <c r="BJ212" s="1" t="s">
        <v>3</v>
      </c>
      <c r="BK212" s="1" t="s">
        <v>3</v>
      </c>
      <c r="BL212" s="1" t="s">
        <v>3</v>
      </c>
      <c r="BM212" s="1" t="s">
        <v>3</v>
      </c>
      <c r="BN212" s="1" t="s">
        <v>3</v>
      </c>
      <c r="BO212" s="1" t="s">
        <v>3</v>
      </c>
      <c r="BP212" s="1" t="s">
        <v>3</v>
      </c>
      <c r="BQ212" s="1"/>
      <c r="BR212" s="1"/>
      <c r="BS212" s="1"/>
      <c r="BT212" s="1"/>
      <c r="BU212" s="1"/>
      <c r="BV212" s="1"/>
      <c r="BW212" s="1"/>
      <c r="BX212" s="1">
        <v>0</v>
      </c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>
        <v>0</v>
      </c>
    </row>
    <row r="214" spans="1:255" x14ac:dyDescent="0.3">
      <c r="A214" s="3">
        <v>52</v>
      </c>
      <c r="B214" s="3">
        <f t="shared" ref="B214:G214" si="204">B227</f>
        <v>1</v>
      </c>
      <c r="C214" s="3">
        <f t="shared" si="204"/>
        <v>4</v>
      </c>
      <c r="D214" s="3">
        <f t="shared" si="204"/>
        <v>212</v>
      </c>
      <c r="E214" s="3">
        <f t="shared" si="204"/>
        <v>0</v>
      </c>
      <c r="F214" s="3" t="str">
        <f t="shared" si="204"/>
        <v/>
      </c>
      <c r="G214" s="3" t="str">
        <f t="shared" si="204"/>
        <v>АРМ диспетчера</v>
      </c>
      <c r="H214" s="3"/>
      <c r="I214" s="3"/>
      <c r="J214" s="3"/>
      <c r="K214" s="3"/>
      <c r="L214" s="3"/>
      <c r="M214" s="3"/>
      <c r="N214" s="3"/>
      <c r="O214" s="3">
        <f t="shared" ref="O214:AT214" si="205">O227</f>
        <v>20461.78</v>
      </c>
      <c r="P214" s="3">
        <f t="shared" si="205"/>
        <v>20338.21</v>
      </c>
      <c r="Q214" s="3">
        <f t="shared" si="205"/>
        <v>0.02</v>
      </c>
      <c r="R214" s="3">
        <f t="shared" si="205"/>
        <v>0</v>
      </c>
      <c r="S214" s="3">
        <f t="shared" si="205"/>
        <v>123.55</v>
      </c>
      <c r="T214" s="3">
        <f t="shared" si="205"/>
        <v>0</v>
      </c>
      <c r="U214" s="3">
        <f t="shared" si="205"/>
        <v>9.6282120000000013</v>
      </c>
      <c r="V214" s="3">
        <f t="shared" si="205"/>
        <v>0</v>
      </c>
      <c r="W214" s="3">
        <f t="shared" si="205"/>
        <v>0</v>
      </c>
      <c r="X214" s="3">
        <f t="shared" si="205"/>
        <v>116.28</v>
      </c>
      <c r="Y214" s="3">
        <f t="shared" si="205"/>
        <v>63.95</v>
      </c>
      <c r="Z214" s="3">
        <f t="shared" si="205"/>
        <v>0</v>
      </c>
      <c r="AA214" s="3">
        <f t="shared" si="205"/>
        <v>0</v>
      </c>
      <c r="AB214" s="3">
        <f t="shared" si="205"/>
        <v>20461.78</v>
      </c>
      <c r="AC214" s="3">
        <f t="shared" si="205"/>
        <v>20338.21</v>
      </c>
      <c r="AD214" s="3">
        <f t="shared" si="205"/>
        <v>0.02</v>
      </c>
      <c r="AE214" s="3">
        <f t="shared" si="205"/>
        <v>0</v>
      </c>
      <c r="AF214" s="3">
        <f t="shared" si="205"/>
        <v>123.55</v>
      </c>
      <c r="AG214" s="3">
        <f t="shared" si="205"/>
        <v>0</v>
      </c>
      <c r="AH214" s="3">
        <f t="shared" si="205"/>
        <v>9.6282120000000013</v>
      </c>
      <c r="AI214" s="3">
        <f t="shared" si="205"/>
        <v>0</v>
      </c>
      <c r="AJ214" s="3">
        <f t="shared" si="205"/>
        <v>0</v>
      </c>
      <c r="AK214" s="3">
        <f t="shared" si="205"/>
        <v>116.28</v>
      </c>
      <c r="AL214" s="3">
        <f t="shared" si="205"/>
        <v>63.95</v>
      </c>
      <c r="AM214" s="3">
        <f t="shared" si="205"/>
        <v>0</v>
      </c>
      <c r="AN214" s="3">
        <f t="shared" si="205"/>
        <v>0</v>
      </c>
      <c r="AO214" s="3">
        <f t="shared" si="205"/>
        <v>0</v>
      </c>
      <c r="AP214" s="3">
        <f t="shared" si="205"/>
        <v>20301</v>
      </c>
      <c r="AQ214" s="3">
        <f t="shared" si="205"/>
        <v>0</v>
      </c>
      <c r="AR214" s="3">
        <f t="shared" si="205"/>
        <v>20642.009999999998</v>
      </c>
      <c r="AS214" s="3">
        <f t="shared" si="205"/>
        <v>0</v>
      </c>
      <c r="AT214" s="3">
        <f t="shared" si="205"/>
        <v>341.01</v>
      </c>
      <c r="AU214" s="3">
        <f t="shared" ref="AU214:BZ214" si="206">AU227</f>
        <v>0</v>
      </c>
      <c r="AV214" s="3">
        <f t="shared" si="206"/>
        <v>20338.21</v>
      </c>
      <c r="AW214" s="3">
        <f t="shared" si="206"/>
        <v>37.21</v>
      </c>
      <c r="AX214" s="3">
        <f t="shared" si="206"/>
        <v>0</v>
      </c>
      <c r="AY214" s="3">
        <f t="shared" si="206"/>
        <v>37.21</v>
      </c>
      <c r="AZ214" s="3">
        <f t="shared" si="206"/>
        <v>20301</v>
      </c>
      <c r="BA214" s="3">
        <f t="shared" si="206"/>
        <v>0</v>
      </c>
      <c r="BB214" s="3">
        <f t="shared" si="206"/>
        <v>0</v>
      </c>
      <c r="BC214" s="3">
        <f t="shared" si="206"/>
        <v>0</v>
      </c>
      <c r="BD214" s="3">
        <f t="shared" si="206"/>
        <v>0</v>
      </c>
      <c r="BE214" s="3">
        <f t="shared" si="206"/>
        <v>0</v>
      </c>
      <c r="BF214" s="3">
        <f t="shared" si="206"/>
        <v>0</v>
      </c>
      <c r="BG214" s="3">
        <f t="shared" si="206"/>
        <v>0</v>
      </c>
      <c r="BH214" s="3">
        <f t="shared" si="206"/>
        <v>0</v>
      </c>
      <c r="BI214" s="3">
        <f t="shared" si="206"/>
        <v>0</v>
      </c>
      <c r="BJ214" s="3">
        <f t="shared" si="206"/>
        <v>0</v>
      </c>
      <c r="BK214" s="3">
        <f t="shared" si="206"/>
        <v>0</v>
      </c>
      <c r="BL214" s="3">
        <f t="shared" si="206"/>
        <v>0</v>
      </c>
      <c r="BM214" s="3">
        <f t="shared" si="206"/>
        <v>0</v>
      </c>
      <c r="BN214" s="3">
        <f t="shared" si="206"/>
        <v>0</v>
      </c>
      <c r="BO214" s="3">
        <f t="shared" si="206"/>
        <v>0</v>
      </c>
      <c r="BP214" s="3">
        <f t="shared" si="206"/>
        <v>0</v>
      </c>
      <c r="BQ214" s="3">
        <f t="shared" si="206"/>
        <v>0</v>
      </c>
      <c r="BR214" s="3">
        <f t="shared" si="206"/>
        <v>0</v>
      </c>
      <c r="BS214" s="3">
        <f t="shared" si="206"/>
        <v>0</v>
      </c>
      <c r="BT214" s="3">
        <f t="shared" si="206"/>
        <v>0</v>
      </c>
      <c r="BU214" s="3">
        <f t="shared" si="206"/>
        <v>0</v>
      </c>
      <c r="BV214" s="3">
        <f t="shared" si="206"/>
        <v>0</v>
      </c>
      <c r="BW214" s="3">
        <f t="shared" si="206"/>
        <v>0</v>
      </c>
      <c r="BX214" s="3">
        <f t="shared" si="206"/>
        <v>0</v>
      </c>
      <c r="BY214" s="3">
        <f t="shared" si="206"/>
        <v>20301</v>
      </c>
      <c r="BZ214" s="3">
        <f t="shared" si="206"/>
        <v>0</v>
      </c>
      <c r="CA214" s="3">
        <f t="shared" ref="CA214:DF214" si="207">CA227</f>
        <v>20642.009999999998</v>
      </c>
      <c r="CB214" s="3">
        <f t="shared" si="207"/>
        <v>0</v>
      </c>
      <c r="CC214" s="3">
        <f t="shared" si="207"/>
        <v>341.01</v>
      </c>
      <c r="CD214" s="3">
        <f t="shared" si="207"/>
        <v>0</v>
      </c>
      <c r="CE214" s="3">
        <f t="shared" si="207"/>
        <v>20338.21</v>
      </c>
      <c r="CF214" s="3">
        <f t="shared" si="207"/>
        <v>37.209999999999127</v>
      </c>
      <c r="CG214" s="3">
        <f t="shared" si="207"/>
        <v>0</v>
      </c>
      <c r="CH214" s="3">
        <f t="shared" si="207"/>
        <v>37.209999999999127</v>
      </c>
      <c r="CI214" s="3">
        <f t="shared" si="207"/>
        <v>20301</v>
      </c>
      <c r="CJ214" s="3">
        <f t="shared" si="207"/>
        <v>0</v>
      </c>
      <c r="CK214" s="3">
        <f t="shared" si="207"/>
        <v>0</v>
      </c>
      <c r="CL214" s="3">
        <f t="shared" si="207"/>
        <v>0</v>
      </c>
      <c r="CM214" s="3">
        <f t="shared" si="207"/>
        <v>0</v>
      </c>
      <c r="CN214" s="3">
        <f t="shared" si="207"/>
        <v>0</v>
      </c>
      <c r="CO214" s="3">
        <f t="shared" si="207"/>
        <v>0</v>
      </c>
      <c r="CP214" s="3">
        <f t="shared" si="207"/>
        <v>0</v>
      </c>
      <c r="CQ214" s="3">
        <f t="shared" si="207"/>
        <v>0</v>
      </c>
      <c r="CR214" s="3">
        <f t="shared" si="207"/>
        <v>0</v>
      </c>
      <c r="CS214" s="3">
        <f t="shared" si="207"/>
        <v>0</v>
      </c>
      <c r="CT214" s="3">
        <f t="shared" si="207"/>
        <v>0</v>
      </c>
      <c r="CU214" s="3">
        <f t="shared" si="207"/>
        <v>0</v>
      </c>
      <c r="CV214" s="3">
        <f t="shared" si="207"/>
        <v>0</v>
      </c>
      <c r="CW214" s="3">
        <f t="shared" si="207"/>
        <v>0</v>
      </c>
      <c r="CX214" s="3">
        <f t="shared" si="207"/>
        <v>0</v>
      </c>
      <c r="CY214" s="3">
        <f t="shared" si="207"/>
        <v>0</v>
      </c>
      <c r="CZ214" s="3">
        <f t="shared" si="207"/>
        <v>0</v>
      </c>
      <c r="DA214" s="3">
        <f t="shared" si="207"/>
        <v>0</v>
      </c>
      <c r="DB214" s="3">
        <f t="shared" si="207"/>
        <v>0</v>
      </c>
      <c r="DC214" s="3">
        <f t="shared" si="207"/>
        <v>0</v>
      </c>
      <c r="DD214" s="3">
        <f t="shared" si="207"/>
        <v>0</v>
      </c>
      <c r="DE214" s="3">
        <f t="shared" si="207"/>
        <v>0</v>
      </c>
      <c r="DF214" s="3">
        <f t="shared" si="207"/>
        <v>0</v>
      </c>
      <c r="DG214" s="4">
        <f t="shared" ref="DG214:EL214" si="208">DG227</f>
        <v>177310.05</v>
      </c>
      <c r="DH214" s="4">
        <f t="shared" si="208"/>
        <v>170515.84</v>
      </c>
      <c r="DI214" s="4">
        <f t="shared" si="208"/>
        <v>0.2</v>
      </c>
      <c r="DJ214" s="4">
        <f t="shared" si="208"/>
        <v>0</v>
      </c>
      <c r="DK214" s="4">
        <f t="shared" si="208"/>
        <v>6794.01</v>
      </c>
      <c r="DL214" s="4">
        <f t="shared" si="208"/>
        <v>0</v>
      </c>
      <c r="DM214" s="4">
        <f t="shared" si="208"/>
        <v>9.6282120000000013</v>
      </c>
      <c r="DN214" s="4">
        <f t="shared" si="208"/>
        <v>0</v>
      </c>
      <c r="DO214" s="4">
        <f t="shared" si="208"/>
        <v>0</v>
      </c>
      <c r="DP214" s="4">
        <f t="shared" si="208"/>
        <v>6394.35</v>
      </c>
      <c r="DQ214" s="4">
        <f t="shared" si="208"/>
        <v>3516.87</v>
      </c>
      <c r="DR214" s="4">
        <f t="shared" si="208"/>
        <v>0</v>
      </c>
      <c r="DS214" s="4">
        <f t="shared" si="208"/>
        <v>0</v>
      </c>
      <c r="DT214" s="4">
        <f t="shared" si="208"/>
        <v>177310.05</v>
      </c>
      <c r="DU214" s="4">
        <f t="shared" si="208"/>
        <v>170515.84</v>
      </c>
      <c r="DV214" s="4">
        <f t="shared" si="208"/>
        <v>0.2</v>
      </c>
      <c r="DW214" s="4">
        <f t="shared" si="208"/>
        <v>0</v>
      </c>
      <c r="DX214" s="4">
        <f t="shared" si="208"/>
        <v>6794.01</v>
      </c>
      <c r="DY214" s="4">
        <f t="shared" si="208"/>
        <v>0</v>
      </c>
      <c r="DZ214" s="4">
        <f t="shared" si="208"/>
        <v>9.6282120000000013</v>
      </c>
      <c r="EA214" s="4">
        <f t="shared" si="208"/>
        <v>0</v>
      </c>
      <c r="EB214" s="4">
        <f t="shared" si="208"/>
        <v>0</v>
      </c>
      <c r="EC214" s="4">
        <f t="shared" si="208"/>
        <v>6394.35</v>
      </c>
      <c r="ED214" s="4">
        <f t="shared" si="208"/>
        <v>3516.87</v>
      </c>
      <c r="EE214" s="4">
        <f t="shared" si="208"/>
        <v>0</v>
      </c>
      <c r="EF214" s="4">
        <f t="shared" si="208"/>
        <v>0</v>
      </c>
      <c r="EG214" s="4">
        <f t="shared" si="208"/>
        <v>0</v>
      </c>
      <c r="EH214" s="4">
        <f t="shared" si="208"/>
        <v>170096.06</v>
      </c>
      <c r="EI214" s="4">
        <f t="shared" si="208"/>
        <v>0</v>
      </c>
      <c r="EJ214" s="4">
        <f t="shared" si="208"/>
        <v>187221.27</v>
      </c>
      <c r="EK214" s="4">
        <f t="shared" si="208"/>
        <v>0</v>
      </c>
      <c r="EL214" s="4">
        <f t="shared" si="208"/>
        <v>17125.21</v>
      </c>
      <c r="EM214" s="4">
        <f t="shared" ref="EM214:FR214" si="209">EM227</f>
        <v>0</v>
      </c>
      <c r="EN214" s="4">
        <f t="shared" si="209"/>
        <v>170515.84</v>
      </c>
      <c r="EO214" s="4">
        <f t="shared" si="209"/>
        <v>419.78</v>
      </c>
      <c r="EP214" s="4">
        <f t="shared" si="209"/>
        <v>0</v>
      </c>
      <c r="EQ214" s="4">
        <f t="shared" si="209"/>
        <v>419.78</v>
      </c>
      <c r="ER214" s="4">
        <f t="shared" si="209"/>
        <v>170096.06</v>
      </c>
      <c r="ES214" s="4">
        <f t="shared" si="209"/>
        <v>0</v>
      </c>
      <c r="ET214" s="4">
        <f t="shared" si="209"/>
        <v>0</v>
      </c>
      <c r="EU214" s="4">
        <f t="shared" si="209"/>
        <v>0</v>
      </c>
      <c r="EV214" s="4">
        <f t="shared" si="209"/>
        <v>0</v>
      </c>
      <c r="EW214" s="4">
        <f t="shared" si="209"/>
        <v>0</v>
      </c>
      <c r="EX214" s="4">
        <f t="shared" si="209"/>
        <v>0</v>
      </c>
      <c r="EY214" s="4">
        <f t="shared" si="209"/>
        <v>0</v>
      </c>
      <c r="EZ214" s="4">
        <f t="shared" si="209"/>
        <v>0</v>
      </c>
      <c r="FA214" s="4">
        <f t="shared" si="209"/>
        <v>0</v>
      </c>
      <c r="FB214" s="4">
        <f t="shared" si="209"/>
        <v>0</v>
      </c>
      <c r="FC214" s="4">
        <f t="shared" si="209"/>
        <v>0</v>
      </c>
      <c r="FD214" s="4">
        <f t="shared" si="209"/>
        <v>0</v>
      </c>
      <c r="FE214" s="4">
        <f t="shared" si="209"/>
        <v>0</v>
      </c>
      <c r="FF214" s="4">
        <f t="shared" si="209"/>
        <v>0</v>
      </c>
      <c r="FG214" s="4">
        <f t="shared" si="209"/>
        <v>0</v>
      </c>
      <c r="FH214" s="4">
        <f t="shared" si="209"/>
        <v>0</v>
      </c>
      <c r="FI214" s="4">
        <f t="shared" si="209"/>
        <v>0</v>
      </c>
      <c r="FJ214" s="4">
        <f t="shared" si="209"/>
        <v>0</v>
      </c>
      <c r="FK214" s="4">
        <f t="shared" si="209"/>
        <v>0</v>
      </c>
      <c r="FL214" s="4">
        <f t="shared" si="209"/>
        <v>0</v>
      </c>
      <c r="FM214" s="4">
        <f t="shared" si="209"/>
        <v>0</v>
      </c>
      <c r="FN214" s="4">
        <f t="shared" si="209"/>
        <v>0</v>
      </c>
      <c r="FO214" s="4">
        <f t="shared" si="209"/>
        <v>0</v>
      </c>
      <c r="FP214" s="4">
        <f t="shared" si="209"/>
        <v>0</v>
      </c>
      <c r="FQ214" s="4">
        <f t="shared" si="209"/>
        <v>170096.06</v>
      </c>
      <c r="FR214" s="4">
        <f t="shared" si="209"/>
        <v>0</v>
      </c>
      <c r="FS214" s="4">
        <f t="shared" ref="FS214:GX214" si="210">FS227</f>
        <v>187221.27</v>
      </c>
      <c r="FT214" s="4">
        <f t="shared" si="210"/>
        <v>0</v>
      </c>
      <c r="FU214" s="4">
        <f t="shared" si="210"/>
        <v>17125.21</v>
      </c>
      <c r="FV214" s="4">
        <f t="shared" si="210"/>
        <v>0</v>
      </c>
      <c r="FW214" s="4">
        <f t="shared" si="210"/>
        <v>170515.84</v>
      </c>
      <c r="FX214" s="4">
        <f t="shared" si="210"/>
        <v>419.77999999999884</v>
      </c>
      <c r="FY214" s="4">
        <f t="shared" si="210"/>
        <v>0</v>
      </c>
      <c r="FZ214" s="4">
        <f t="shared" si="210"/>
        <v>419.77999999999884</v>
      </c>
      <c r="GA214" s="4">
        <f t="shared" si="210"/>
        <v>170096.06</v>
      </c>
      <c r="GB214" s="4">
        <f t="shared" si="210"/>
        <v>0</v>
      </c>
      <c r="GC214" s="4">
        <f t="shared" si="210"/>
        <v>0</v>
      </c>
      <c r="GD214" s="4">
        <f t="shared" si="210"/>
        <v>0</v>
      </c>
      <c r="GE214" s="4">
        <f t="shared" si="210"/>
        <v>0</v>
      </c>
      <c r="GF214" s="4">
        <f t="shared" si="210"/>
        <v>0</v>
      </c>
      <c r="GG214" s="4">
        <f t="shared" si="210"/>
        <v>0</v>
      </c>
      <c r="GH214" s="4">
        <f t="shared" si="210"/>
        <v>0</v>
      </c>
      <c r="GI214" s="4">
        <f t="shared" si="210"/>
        <v>0</v>
      </c>
      <c r="GJ214" s="4">
        <f t="shared" si="210"/>
        <v>0</v>
      </c>
      <c r="GK214" s="4">
        <f t="shared" si="210"/>
        <v>0</v>
      </c>
      <c r="GL214" s="4">
        <f t="shared" si="210"/>
        <v>0</v>
      </c>
      <c r="GM214" s="4">
        <f t="shared" si="210"/>
        <v>0</v>
      </c>
      <c r="GN214" s="4">
        <f t="shared" si="210"/>
        <v>0</v>
      </c>
      <c r="GO214" s="4">
        <f t="shared" si="210"/>
        <v>0</v>
      </c>
      <c r="GP214" s="4">
        <f t="shared" si="210"/>
        <v>0</v>
      </c>
      <c r="GQ214" s="4">
        <f t="shared" si="210"/>
        <v>0</v>
      </c>
      <c r="GR214" s="4">
        <f t="shared" si="210"/>
        <v>0</v>
      </c>
      <c r="GS214" s="4">
        <f t="shared" si="210"/>
        <v>0</v>
      </c>
      <c r="GT214" s="4">
        <f t="shared" si="210"/>
        <v>0</v>
      </c>
      <c r="GU214" s="4">
        <f t="shared" si="210"/>
        <v>0</v>
      </c>
      <c r="GV214" s="4">
        <f t="shared" si="210"/>
        <v>0</v>
      </c>
      <c r="GW214" s="4">
        <f t="shared" si="210"/>
        <v>0</v>
      </c>
      <c r="GX214" s="4">
        <f t="shared" si="210"/>
        <v>0</v>
      </c>
    </row>
    <row r="216" spans="1:255" x14ac:dyDescent="0.3">
      <c r="A216" s="2">
        <v>17</v>
      </c>
      <c r="B216" s="2">
        <v>1</v>
      </c>
      <c r="C216" s="2"/>
      <c r="D216" s="2">
        <f>ROW(EtalonRes!A167)</f>
        <v>167</v>
      </c>
      <c r="E216" s="2" t="s">
        <v>321</v>
      </c>
      <c r="F216" s="2" t="s">
        <v>322</v>
      </c>
      <c r="G216" s="2" t="s">
        <v>323</v>
      </c>
      <c r="H216" s="2" t="s">
        <v>22</v>
      </c>
      <c r="I216" s="2">
        <v>1</v>
      </c>
      <c r="J216" s="2">
        <v>0</v>
      </c>
      <c r="K216" s="2">
        <v>1</v>
      </c>
      <c r="L216" s="2"/>
      <c r="M216" s="2"/>
      <c r="N216" s="2"/>
      <c r="O216" s="2">
        <f t="shared" ref="O216:O225" si="211">ROUND(CP216,2)</f>
        <v>136.61000000000001</v>
      </c>
      <c r="P216" s="2">
        <f>ROUND((ROUND((AC216*AW216*I216),2)*BC216),2)</f>
        <v>34.869999999999997</v>
      </c>
      <c r="Q216" s="2">
        <f>(ROUND((ROUND((((ET216*1.1))*AV216*I216),2)*BB216),2)+ROUND((ROUND(((AE216-((EU216*1.1)))*AV216*I216),2)*BS216),2))</f>
        <v>0</v>
      </c>
      <c r="R216" s="2">
        <f t="shared" ref="R216:R225" si="212">ROUND((ROUND((AE216*AV216*I216),2)*BS216),2)</f>
        <v>0</v>
      </c>
      <c r="S216" s="2">
        <f t="shared" ref="S216:S225" si="213">ROUND((ROUND((AF216*AV216*I216),2)*BA216),2)</f>
        <v>101.74</v>
      </c>
      <c r="T216" s="2">
        <f t="shared" ref="T216:T225" si="214">ROUND(CU216*I216,2)</f>
        <v>0</v>
      </c>
      <c r="U216" s="2">
        <f t="shared" ref="U216:U225" si="215">CV216*I216</f>
        <v>8.0619000000000014</v>
      </c>
      <c r="V216" s="2">
        <f t="shared" ref="V216:V225" si="216">CW216*I216</f>
        <v>0</v>
      </c>
      <c r="W216" s="2">
        <f t="shared" ref="W216:W225" si="217">ROUND(CX216*I216,2)</f>
        <v>0</v>
      </c>
      <c r="X216" s="2">
        <f t="shared" ref="X216:X225" si="218">ROUND(CY216,2)</f>
        <v>96.65</v>
      </c>
      <c r="Y216" s="2">
        <f t="shared" ref="Y216:Y225" si="219">ROUND(CZ216,2)</f>
        <v>53.92</v>
      </c>
      <c r="Z216" s="2"/>
      <c r="AA216" s="2">
        <v>56498966</v>
      </c>
      <c r="AB216" s="2">
        <f t="shared" ref="AB216:AB225" si="220">ROUND((AC216+AD216+AF216),6)</f>
        <v>132.04400000000001</v>
      </c>
      <c r="AC216" s="2">
        <f t="shared" ref="AC216:AC225" si="221">ROUND((ES216),6)</f>
        <v>34.869999999999997</v>
      </c>
      <c r="AD216" s="2">
        <f>ROUND(((((ET216*1.1))-((EU216*1.1)))+AE216),6)</f>
        <v>0</v>
      </c>
      <c r="AE216" s="2">
        <f>ROUND(((EU216*1.1)),6)</f>
        <v>0</v>
      </c>
      <c r="AF216" s="2">
        <f>ROUND(((EV216*1.1)),6)</f>
        <v>97.174000000000007</v>
      </c>
      <c r="AG216" s="2">
        <f t="shared" ref="AG216:AG225" si="222">ROUND((AP216),6)</f>
        <v>0</v>
      </c>
      <c r="AH216" s="2">
        <f>((EW216*1.1))</f>
        <v>7.7000000000000011</v>
      </c>
      <c r="AI216" s="2">
        <f>((EX216*1.1))</f>
        <v>0</v>
      </c>
      <c r="AJ216" s="2">
        <f t="shared" ref="AJ216:AJ225" si="223">(AS216)</f>
        <v>0</v>
      </c>
      <c r="AK216" s="2">
        <v>123.21</v>
      </c>
      <c r="AL216" s="2">
        <v>34.869999999999997</v>
      </c>
      <c r="AM216" s="2">
        <v>0</v>
      </c>
      <c r="AN216" s="2">
        <v>0</v>
      </c>
      <c r="AO216" s="2">
        <v>88.34</v>
      </c>
      <c r="AP216" s="2">
        <v>0</v>
      </c>
      <c r="AQ216" s="2">
        <v>7</v>
      </c>
      <c r="AR216" s="2">
        <v>0</v>
      </c>
      <c r="AS216" s="2">
        <v>0</v>
      </c>
      <c r="AT216" s="2">
        <v>95</v>
      </c>
      <c r="AU216" s="2">
        <v>53</v>
      </c>
      <c r="AV216" s="2">
        <v>1.0469999999999999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0</v>
      </c>
      <c r="BI216" s="2">
        <v>2</v>
      </c>
      <c r="BJ216" s="2" t="s">
        <v>324</v>
      </c>
      <c r="BK216" s="2"/>
      <c r="BL216" s="2"/>
      <c r="BM216" s="2">
        <v>69</v>
      </c>
      <c r="BN216" s="2">
        <v>0</v>
      </c>
      <c r="BO216" s="2" t="s">
        <v>322</v>
      </c>
      <c r="BP216" s="2">
        <v>1</v>
      </c>
      <c r="BQ216" s="2">
        <v>40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95</v>
      </c>
      <c r="CA216" s="2">
        <v>53</v>
      </c>
      <c r="CB216" s="2" t="s">
        <v>3</v>
      </c>
      <c r="CC216" s="2"/>
      <c r="CD216" s="2"/>
      <c r="CE216" s="2">
        <v>30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ref="CP216:CP225" si="224">(P216+Q216+S216)</f>
        <v>136.60999999999999</v>
      </c>
      <c r="CQ216" s="2">
        <f>ROUND((ROUND((AC216*AW216*1),2)*BC216),2)</f>
        <v>34.869999999999997</v>
      </c>
      <c r="CR216" s="2">
        <f>(ROUND((ROUND((((ET216*1.1))*AV216*1),2)*BB216),2)+ROUND((ROUND(((AE216-((EU216*1.1)))*AV216*1),2)*BS216),2))</f>
        <v>0</v>
      </c>
      <c r="CS216" s="2">
        <f t="shared" ref="CS216:CS225" si="225">ROUND((ROUND((AE216*AV216*1),2)*BS216),2)</f>
        <v>0</v>
      </c>
      <c r="CT216" s="2">
        <f t="shared" ref="CT216:CT225" si="226">ROUND((ROUND((AF216*AV216*1),2)*BA216),2)</f>
        <v>101.74</v>
      </c>
      <c r="CU216" s="2">
        <f t="shared" ref="CU216:CU225" si="227">AG216</f>
        <v>0</v>
      </c>
      <c r="CV216" s="2">
        <f t="shared" ref="CV216:CV225" si="228">(AH216*AV216)</f>
        <v>8.0619000000000014</v>
      </c>
      <c r="CW216" s="2">
        <f t="shared" ref="CW216:CW225" si="229">AI216</f>
        <v>0</v>
      </c>
      <c r="CX216" s="2">
        <f t="shared" ref="CX216:CX225" si="230">AJ216</f>
        <v>0</v>
      </c>
      <c r="CY216" s="2">
        <f t="shared" ref="CY216:CY225" si="231">(((S216+R216)*AT216)/100)</f>
        <v>96.652999999999992</v>
      </c>
      <c r="CZ216" s="2">
        <f t="shared" ref="CZ216:CZ225" si="232">(((S216+R216)*AU216)/100)</f>
        <v>53.922199999999997</v>
      </c>
      <c r="DA216" s="2"/>
      <c r="DB216" s="2"/>
      <c r="DC216" s="2" t="s">
        <v>3</v>
      </c>
      <c r="DD216" s="2" t="s">
        <v>3</v>
      </c>
      <c r="DE216" s="2" t="s">
        <v>24</v>
      </c>
      <c r="DF216" s="2" t="s">
        <v>24</v>
      </c>
      <c r="DG216" s="2" t="s">
        <v>24</v>
      </c>
      <c r="DH216" s="2" t="s">
        <v>3</v>
      </c>
      <c r="DI216" s="2" t="s">
        <v>24</v>
      </c>
      <c r="DJ216" s="2" t="s">
        <v>24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22</v>
      </c>
      <c r="DW216" s="2" t="s">
        <v>22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58162631</v>
      </c>
      <c r="EF216" s="2">
        <v>40</v>
      </c>
      <c r="EG216" s="2" t="s">
        <v>25</v>
      </c>
      <c r="EH216" s="2">
        <v>0</v>
      </c>
      <c r="EI216" s="2" t="s">
        <v>3</v>
      </c>
      <c r="EJ216" s="2">
        <v>2</v>
      </c>
      <c r="EK216" s="2">
        <v>69</v>
      </c>
      <c r="EL216" s="2" t="s">
        <v>86</v>
      </c>
      <c r="EM216" s="2" t="s">
        <v>87</v>
      </c>
      <c r="EN216" s="2"/>
      <c r="EO216" s="2" t="s">
        <v>28</v>
      </c>
      <c r="EP216" s="2"/>
      <c r="EQ216" s="2">
        <v>0</v>
      </c>
      <c r="ER216" s="2">
        <v>123.21</v>
      </c>
      <c r="ES216" s="2">
        <v>34.869999999999997</v>
      </c>
      <c r="ET216" s="2">
        <v>0</v>
      </c>
      <c r="EU216" s="2">
        <v>0</v>
      </c>
      <c r="EV216" s="2">
        <v>88.34</v>
      </c>
      <c r="EW216" s="2">
        <v>7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95</v>
      </c>
      <c r="FY216" s="2">
        <v>53</v>
      </c>
      <c r="FZ216" s="2"/>
      <c r="GA216" s="2" t="s">
        <v>3</v>
      </c>
      <c r="GB216" s="2"/>
      <c r="GC216" s="2"/>
      <c r="GD216" s="2">
        <v>1</v>
      </c>
      <c r="GE216" s="2"/>
      <c r="GF216" s="2">
        <v>1652728637</v>
      </c>
      <c r="GG216" s="2">
        <v>2</v>
      </c>
      <c r="GH216" s="2">
        <v>1</v>
      </c>
      <c r="GI216" s="2">
        <v>2</v>
      </c>
      <c r="GJ216" s="2">
        <v>0</v>
      </c>
      <c r="GK216" s="2">
        <v>0</v>
      </c>
      <c r="GL216" s="2">
        <f t="shared" ref="GL216:GL225" si="233">ROUND(IF(AND(BH216=3,BI216=3,FS216&lt;&gt;0),P216,0),2)</f>
        <v>0</v>
      </c>
      <c r="GM216" s="2">
        <f t="shared" ref="GM216:GM225" si="234">ROUND(O216+X216+Y216,2)+GX216</f>
        <v>287.18</v>
      </c>
      <c r="GN216" s="2">
        <f t="shared" ref="GN216:GN225" si="235">IF(OR(BI216=0,BI216=1),GM216-GX216,0)</f>
        <v>0</v>
      </c>
      <c r="GO216" s="2">
        <f t="shared" ref="GO216:GO225" si="236">IF(BI216=2,GM216-GX216,0)</f>
        <v>287.18</v>
      </c>
      <c r="GP216" s="2">
        <f t="shared" ref="GP216:GP225" si="237">IF(BI216=4,GM216-GX216,0)</f>
        <v>0</v>
      </c>
      <c r="GQ216" s="2"/>
      <c r="GR216" s="2">
        <v>0</v>
      </c>
      <c r="GS216" s="2">
        <v>3</v>
      </c>
      <c r="GT216" s="2">
        <v>0</v>
      </c>
      <c r="GU216" s="2" t="s">
        <v>3</v>
      </c>
      <c r="GV216" s="2">
        <f t="shared" ref="GV216:GV225" si="238">ROUND((GT216),6)</f>
        <v>0</v>
      </c>
      <c r="GW216" s="2">
        <v>1</v>
      </c>
      <c r="GX216" s="2">
        <f t="shared" ref="GX216:GX225" si="239">ROUND(HC216*I216,2)</f>
        <v>0</v>
      </c>
      <c r="GY216" s="2"/>
      <c r="GZ216" s="2"/>
      <c r="HA216" s="2">
        <v>0</v>
      </c>
      <c r="HB216" s="2">
        <v>0</v>
      </c>
      <c r="HC216" s="2">
        <f t="shared" ref="HC216:HC225" si="240">GV216*GW216</f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3">
      <c r="A217">
        <v>17</v>
      </c>
      <c r="B217">
        <v>1</v>
      </c>
      <c r="D217">
        <f>ROW(EtalonRes!A174)</f>
        <v>174</v>
      </c>
      <c r="E217" t="s">
        <v>321</v>
      </c>
      <c r="F217" t="s">
        <v>322</v>
      </c>
      <c r="G217" t="s">
        <v>323</v>
      </c>
      <c r="H217" t="s">
        <v>22</v>
      </c>
      <c r="I217">
        <v>1</v>
      </c>
      <c r="J217">
        <v>0</v>
      </c>
      <c r="K217">
        <v>1</v>
      </c>
      <c r="O217">
        <f t="shared" si="211"/>
        <v>5990.45</v>
      </c>
      <c r="P217">
        <f>ROUND((ROUND((AC217*AW217*I217),2)*BC217),2)</f>
        <v>395.77</v>
      </c>
      <c r="Q217">
        <f>(ROUND((ROUND((((ET217*1.1))*AV217*I217),2)*BB217),2)+ROUND((ROUND(((AE217-((EU217*1.1)))*AV217*I217),2)*BS217),2))</f>
        <v>0</v>
      </c>
      <c r="R217">
        <f t="shared" si="212"/>
        <v>0</v>
      </c>
      <c r="S217">
        <f t="shared" si="213"/>
        <v>5594.68</v>
      </c>
      <c r="T217">
        <f t="shared" si="214"/>
        <v>0</v>
      </c>
      <c r="U217">
        <f t="shared" si="215"/>
        <v>8.0619000000000014</v>
      </c>
      <c r="V217">
        <f t="shared" si="216"/>
        <v>0</v>
      </c>
      <c r="W217">
        <f t="shared" si="217"/>
        <v>0</v>
      </c>
      <c r="X217">
        <f t="shared" si="218"/>
        <v>5314.95</v>
      </c>
      <c r="Y217">
        <f t="shared" si="219"/>
        <v>2965.18</v>
      </c>
      <c r="AA217">
        <v>56498968</v>
      </c>
      <c r="AB217">
        <f t="shared" si="220"/>
        <v>132.04400000000001</v>
      </c>
      <c r="AC217">
        <f t="shared" si="221"/>
        <v>34.869999999999997</v>
      </c>
      <c r="AD217">
        <f>ROUND(((((ET217*1.1))-((EU217*1.1)))+AE217),6)</f>
        <v>0</v>
      </c>
      <c r="AE217">
        <f>ROUND(((EU217*1.1)),6)</f>
        <v>0</v>
      </c>
      <c r="AF217">
        <f>ROUND(((EV217*1.1)),6)</f>
        <v>97.174000000000007</v>
      </c>
      <c r="AG217">
        <f t="shared" si="222"/>
        <v>0</v>
      </c>
      <c r="AH217">
        <f>((EW217*1.1))</f>
        <v>7.7000000000000011</v>
      </c>
      <c r="AI217">
        <f>((EX217*1.1))</f>
        <v>0</v>
      </c>
      <c r="AJ217">
        <f t="shared" si="223"/>
        <v>0</v>
      </c>
      <c r="AK217">
        <v>123.21</v>
      </c>
      <c r="AL217">
        <v>34.869999999999997</v>
      </c>
      <c r="AM217">
        <v>0</v>
      </c>
      <c r="AN217">
        <v>0</v>
      </c>
      <c r="AO217">
        <v>88.34</v>
      </c>
      <c r="AP217">
        <v>0</v>
      </c>
      <c r="AQ217">
        <v>7</v>
      </c>
      <c r="AR217">
        <v>0</v>
      </c>
      <c r="AS217">
        <v>0</v>
      </c>
      <c r="AT217">
        <v>95</v>
      </c>
      <c r="AU217">
        <v>53</v>
      </c>
      <c r="AV217">
        <v>1.0469999999999999</v>
      </c>
      <c r="AW217">
        <v>1</v>
      </c>
      <c r="AZ217">
        <v>1</v>
      </c>
      <c r="BA217">
        <v>54.99</v>
      </c>
      <c r="BB217">
        <v>1</v>
      </c>
      <c r="BC217">
        <v>11.35</v>
      </c>
      <c r="BD217" t="s">
        <v>3</v>
      </c>
      <c r="BE217" t="s">
        <v>3</v>
      </c>
      <c r="BF217" t="s">
        <v>3</v>
      </c>
      <c r="BG217" t="s">
        <v>3</v>
      </c>
      <c r="BH217">
        <v>0</v>
      </c>
      <c r="BI217">
        <v>2</v>
      </c>
      <c r="BJ217" t="s">
        <v>324</v>
      </c>
      <c r="BM217">
        <v>69</v>
      </c>
      <c r="BN217">
        <v>0</v>
      </c>
      <c r="BO217" t="s">
        <v>322</v>
      </c>
      <c r="BP217">
        <v>1</v>
      </c>
      <c r="BQ217">
        <v>40</v>
      </c>
      <c r="BR217">
        <v>0</v>
      </c>
      <c r="BS217">
        <v>54.99</v>
      </c>
      <c r="BT217">
        <v>1</v>
      </c>
      <c r="BU217">
        <v>1</v>
      </c>
      <c r="BV217">
        <v>1</v>
      </c>
      <c r="BW217">
        <v>1</v>
      </c>
      <c r="BX217">
        <v>1</v>
      </c>
      <c r="BY217" t="s">
        <v>3</v>
      </c>
      <c r="BZ217">
        <v>95</v>
      </c>
      <c r="CA217">
        <v>53</v>
      </c>
      <c r="CB217" t="s">
        <v>3</v>
      </c>
      <c r="CE217">
        <v>30</v>
      </c>
      <c r="CF217">
        <v>0</v>
      </c>
      <c r="CG217">
        <v>0</v>
      </c>
      <c r="CM217">
        <v>0</v>
      </c>
      <c r="CN217" t="s">
        <v>3</v>
      </c>
      <c r="CO217">
        <v>0</v>
      </c>
      <c r="CP217">
        <f t="shared" si="224"/>
        <v>5990.4500000000007</v>
      </c>
      <c r="CQ217">
        <f>ROUND((ROUND((AC217*AW217*1),2)*BC217),2)</f>
        <v>395.77</v>
      </c>
      <c r="CR217">
        <f>(ROUND((ROUND((((ET217*1.1))*AV217*1),2)*BB217),2)+ROUND((ROUND(((AE217-((EU217*1.1)))*AV217*1),2)*BS217),2))</f>
        <v>0</v>
      </c>
      <c r="CS217">
        <f t="shared" si="225"/>
        <v>0</v>
      </c>
      <c r="CT217">
        <f t="shared" si="226"/>
        <v>5594.68</v>
      </c>
      <c r="CU217">
        <f t="shared" si="227"/>
        <v>0</v>
      </c>
      <c r="CV217">
        <f t="shared" si="228"/>
        <v>8.0619000000000014</v>
      </c>
      <c r="CW217">
        <f t="shared" si="229"/>
        <v>0</v>
      </c>
      <c r="CX217">
        <f t="shared" si="230"/>
        <v>0</v>
      </c>
      <c r="CY217">
        <f t="shared" si="231"/>
        <v>5314.9459999999999</v>
      </c>
      <c r="CZ217">
        <f t="shared" si="232"/>
        <v>2965.1804000000002</v>
      </c>
      <c r="DC217" t="s">
        <v>3</v>
      </c>
      <c r="DD217" t="s">
        <v>3</v>
      </c>
      <c r="DE217" t="s">
        <v>24</v>
      </c>
      <c r="DF217" t="s">
        <v>24</v>
      </c>
      <c r="DG217" t="s">
        <v>24</v>
      </c>
      <c r="DH217" t="s">
        <v>3</v>
      </c>
      <c r="DI217" t="s">
        <v>24</v>
      </c>
      <c r="DJ217" t="s">
        <v>24</v>
      </c>
      <c r="DK217" t="s">
        <v>3</v>
      </c>
      <c r="DL217" t="s">
        <v>3</v>
      </c>
      <c r="DM217" t="s">
        <v>3</v>
      </c>
      <c r="DN217">
        <v>0</v>
      </c>
      <c r="DO217">
        <v>0</v>
      </c>
      <c r="DP217">
        <v>1</v>
      </c>
      <c r="DQ217">
        <v>1</v>
      </c>
      <c r="DU217">
        <v>1013</v>
      </c>
      <c r="DV217" t="s">
        <v>22</v>
      </c>
      <c r="DW217" t="s">
        <v>22</v>
      </c>
      <c r="DX217">
        <v>1</v>
      </c>
      <c r="DZ217" t="s">
        <v>3</v>
      </c>
      <c r="EA217" t="s">
        <v>3</v>
      </c>
      <c r="EB217" t="s">
        <v>3</v>
      </c>
      <c r="EC217" t="s">
        <v>3</v>
      </c>
      <c r="EE217">
        <v>58162631</v>
      </c>
      <c r="EF217">
        <v>40</v>
      </c>
      <c r="EG217" t="s">
        <v>25</v>
      </c>
      <c r="EH217">
        <v>0</v>
      </c>
      <c r="EI217" t="s">
        <v>3</v>
      </c>
      <c r="EJ217">
        <v>2</v>
      </c>
      <c r="EK217">
        <v>69</v>
      </c>
      <c r="EL217" t="s">
        <v>86</v>
      </c>
      <c r="EM217" t="s">
        <v>87</v>
      </c>
      <c r="EO217" t="s">
        <v>28</v>
      </c>
      <c r="EQ217">
        <v>0</v>
      </c>
      <c r="ER217">
        <v>123.21</v>
      </c>
      <c r="ES217">
        <v>34.869999999999997</v>
      </c>
      <c r="ET217">
        <v>0</v>
      </c>
      <c r="EU217">
        <v>0</v>
      </c>
      <c r="EV217">
        <v>88.34</v>
      </c>
      <c r="EW217">
        <v>7</v>
      </c>
      <c r="EX217">
        <v>0</v>
      </c>
      <c r="EY217">
        <v>0</v>
      </c>
      <c r="FQ217">
        <v>0</v>
      </c>
      <c r="FR217">
        <v>0</v>
      </c>
      <c r="FS217">
        <v>0</v>
      </c>
      <c r="FX217">
        <v>95</v>
      </c>
      <c r="FY217">
        <v>53</v>
      </c>
      <c r="GA217" t="s">
        <v>3</v>
      </c>
      <c r="GD217">
        <v>1</v>
      </c>
      <c r="GF217">
        <v>1652728637</v>
      </c>
      <c r="GG217">
        <v>2</v>
      </c>
      <c r="GH217">
        <v>1</v>
      </c>
      <c r="GI217">
        <v>2</v>
      </c>
      <c r="GJ217">
        <v>0</v>
      </c>
      <c r="GK217">
        <v>0</v>
      </c>
      <c r="GL217">
        <f t="shared" si="233"/>
        <v>0</v>
      </c>
      <c r="GM217">
        <f t="shared" si="234"/>
        <v>14270.58</v>
      </c>
      <c r="GN217">
        <f t="shared" si="235"/>
        <v>0</v>
      </c>
      <c r="GO217">
        <f t="shared" si="236"/>
        <v>14270.58</v>
      </c>
      <c r="GP217">
        <f t="shared" si="237"/>
        <v>0</v>
      </c>
      <c r="GR217">
        <v>0</v>
      </c>
      <c r="GS217">
        <v>3</v>
      </c>
      <c r="GT217">
        <v>0</v>
      </c>
      <c r="GU217" t="s">
        <v>3</v>
      </c>
      <c r="GV217">
        <f t="shared" si="238"/>
        <v>0</v>
      </c>
      <c r="GW217">
        <v>1</v>
      </c>
      <c r="GX217">
        <f t="shared" si="239"/>
        <v>0</v>
      </c>
      <c r="HA217">
        <v>0</v>
      </c>
      <c r="HB217">
        <v>0</v>
      </c>
      <c r="HC217">
        <f t="shared" si="240"/>
        <v>0</v>
      </c>
      <c r="HE217" t="s">
        <v>3</v>
      </c>
      <c r="HF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3</v>
      </c>
      <c r="HS217">
        <v>0</v>
      </c>
      <c r="IK217">
        <v>0</v>
      </c>
    </row>
    <row r="218" spans="1:255" x14ac:dyDescent="0.3">
      <c r="A218" s="2">
        <v>18</v>
      </c>
      <c r="B218" s="2">
        <v>1</v>
      </c>
      <c r="C218" s="2"/>
      <c r="D218" s="2"/>
      <c r="E218" s="2" t="s">
        <v>325</v>
      </c>
      <c r="F218" s="2" t="s">
        <v>326</v>
      </c>
      <c r="G218" s="2" t="s">
        <v>327</v>
      </c>
      <c r="H218" s="2" t="s">
        <v>32</v>
      </c>
      <c r="I218" s="2">
        <f>I216*J218</f>
        <v>1</v>
      </c>
      <c r="J218" s="2">
        <v>1</v>
      </c>
      <c r="K218" s="2">
        <v>1</v>
      </c>
      <c r="L218" s="2"/>
      <c r="M218" s="2"/>
      <c r="N218" s="2"/>
      <c r="O218" s="2">
        <f t="shared" si="211"/>
        <v>15236.68</v>
      </c>
      <c r="P218" s="2">
        <f>ROUND((ROUND((AC218*I218),2)*BC218),2)</f>
        <v>15236.68</v>
      </c>
      <c r="Q218" s="2">
        <f>(ROUND((ROUND(((ET218)*AV218*I218),2)*BB218),2)+ROUND((ROUND(((AE218-(EU218))*AV218*I218),2)*BS218),2))</f>
        <v>0</v>
      </c>
      <c r="R218" s="2">
        <f t="shared" si="212"/>
        <v>0</v>
      </c>
      <c r="S218" s="2">
        <f t="shared" si="213"/>
        <v>0</v>
      </c>
      <c r="T218" s="2">
        <f t="shared" si="214"/>
        <v>0</v>
      </c>
      <c r="U218" s="2">
        <f t="shared" si="215"/>
        <v>0</v>
      </c>
      <c r="V218" s="2">
        <f t="shared" si="216"/>
        <v>0</v>
      </c>
      <c r="W218" s="2">
        <f t="shared" si="217"/>
        <v>0</v>
      </c>
      <c r="X218" s="2">
        <f t="shared" si="218"/>
        <v>0</v>
      </c>
      <c r="Y218" s="2">
        <f t="shared" si="219"/>
        <v>0</v>
      </c>
      <c r="Z218" s="2"/>
      <c r="AA218" s="2">
        <v>56498966</v>
      </c>
      <c r="AB218" s="2">
        <f t="shared" si="220"/>
        <v>15236.68</v>
      </c>
      <c r="AC218" s="2">
        <f t="shared" si="221"/>
        <v>15236.68</v>
      </c>
      <c r="AD218" s="2">
        <f>ROUND((((ET218)-(EU218))+AE218),6)</f>
        <v>0</v>
      </c>
      <c r="AE218" s="2">
        <f t="shared" ref="AE218:AF221" si="241">ROUND((EU218),6)</f>
        <v>0</v>
      </c>
      <c r="AF218" s="2">
        <f t="shared" si="241"/>
        <v>0</v>
      </c>
      <c r="AG218" s="2">
        <f t="shared" si="222"/>
        <v>0</v>
      </c>
      <c r="AH218" s="2">
        <f t="shared" ref="AH218:AI221" si="242">(EW218)</f>
        <v>0</v>
      </c>
      <c r="AI218" s="2">
        <f t="shared" si="242"/>
        <v>0</v>
      </c>
      <c r="AJ218" s="2">
        <f t="shared" si="223"/>
        <v>0</v>
      </c>
      <c r="AK218" s="2">
        <v>15236.68</v>
      </c>
      <c r="AL218" s="2">
        <v>15236.68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3</v>
      </c>
      <c r="BJ218" s="2" t="s">
        <v>3</v>
      </c>
      <c r="BK218" s="2"/>
      <c r="BL218" s="2"/>
      <c r="BM218" s="2">
        <v>746</v>
      </c>
      <c r="BN218" s="2">
        <v>0</v>
      </c>
      <c r="BO218" s="2" t="s">
        <v>3</v>
      </c>
      <c r="BP218" s="2">
        <v>0</v>
      </c>
      <c r="BQ218" s="2">
        <v>130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95</v>
      </c>
      <c r="CA218" s="2">
        <v>53</v>
      </c>
      <c r="CB218" s="2" t="s">
        <v>3</v>
      </c>
      <c r="CC218" s="2"/>
      <c r="CD218" s="2"/>
      <c r="CE218" s="2">
        <v>30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224"/>
        <v>15236.68</v>
      </c>
      <c r="CQ218" s="2">
        <f>ROUND((ROUND((AC218*1),2)*BC218),2)</f>
        <v>15236.68</v>
      </c>
      <c r="CR218" s="2">
        <f>(ROUND((ROUND(((ET218)*AV218*1),2)*BB218),2)+ROUND((ROUND(((AE218-(EU218))*AV218*1),2)*BS218),2))</f>
        <v>0</v>
      </c>
      <c r="CS218" s="2">
        <f t="shared" si="225"/>
        <v>0</v>
      </c>
      <c r="CT218" s="2">
        <f t="shared" si="226"/>
        <v>0</v>
      </c>
      <c r="CU218" s="2">
        <f t="shared" si="227"/>
        <v>0</v>
      </c>
      <c r="CV218" s="2">
        <f t="shared" si="228"/>
        <v>0</v>
      </c>
      <c r="CW218" s="2">
        <f t="shared" si="229"/>
        <v>0</v>
      </c>
      <c r="CX218" s="2">
        <f t="shared" si="230"/>
        <v>0</v>
      </c>
      <c r="CY218" s="2">
        <f t="shared" si="231"/>
        <v>0</v>
      </c>
      <c r="CZ218" s="2">
        <f t="shared" si="232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32</v>
      </c>
      <c r="DW218" s="2" t="s">
        <v>32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58162750</v>
      </c>
      <c r="EF218" s="2">
        <v>130</v>
      </c>
      <c r="EG218" s="2" t="s">
        <v>33</v>
      </c>
      <c r="EH218" s="2">
        <v>0</v>
      </c>
      <c r="EI218" s="2" t="s">
        <v>3</v>
      </c>
      <c r="EJ218" s="2">
        <v>3</v>
      </c>
      <c r="EK218" s="2">
        <v>746</v>
      </c>
      <c r="EL218" s="2" t="s">
        <v>34</v>
      </c>
      <c r="EM218" s="2" t="s">
        <v>35</v>
      </c>
      <c r="EN218" s="2"/>
      <c r="EO218" s="2" t="s">
        <v>3</v>
      </c>
      <c r="EP218" s="2"/>
      <c r="EQ218" s="2">
        <v>0</v>
      </c>
      <c r="ER218" s="2">
        <v>0</v>
      </c>
      <c r="ES218" s="2">
        <v>15236.68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f>P218</f>
        <v>15236.68</v>
      </c>
      <c r="FS218" s="2">
        <v>0</v>
      </c>
      <c r="FT218" s="2"/>
      <c r="FU218" s="2"/>
      <c r="FV218" s="2"/>
      <c r="FW218" s="2"/>
      <c r="FX218" s="2">
        <v>95</v>
      </c>
      <c r="FY218" s="2">
        <v>53</v>
      </c>
      <c r="FZ218" s="2"/>
      <c r="GA218" s="2" t="s">
        <v>328</v>
      </c>
      <c r="GB218" s="2"/>
      <c r="GC218" s="2"/>
      <c r="GD218" s="2">
        <v>1</v>
      </c>
      <c r="GE218" s="2"/>
      <c r="GF218" s="2">
        <v>1923164286</v>
      </c>
      <c r="GG218" s="2">
        <v>2</v>
      </c>
      <c r="GH218" s="2">
        <v>4</v>
      </c>
      <c r="GI218" s="2">
        <v>-2</v>
      </c>
      <c r="GJ218" s="2">
        <v>0</v>
      </c>
      <c r="GK218" s="2">
        <v>0</v>
      </c>
      <c r="GL218" s="2">
        <f t="shared" si="233"/>
        <v>0</v>
      </c>
      <c r="GM218" s="2">
        <f t="shared" si="234"/>
        <v>15236.68</v>
      </c>
      <c r="GN218" s="2">
        <f t="shared" si="235"/>
        <v>0</v>
      </c>
      <c r="GO218" s="2">
        <f t="shared" si="236"/>
        <v>0</v>
      </c>
      <c r="GP218" s="2">
        <f t="shared" si="237"/>
        <v>0</v>
      </c>
      <c r="GQ218" s="2"/>
      <c r="GR218" s="2">
        <v>0</v>
      </c>
      <c r="GS218" s="2">
        <v>2</v>
      </c>
      <c r="GT218" s="2">
        <v>0</v>
      </c>
      <c r="GU218" s="2" t="s">
        <v>3</v>
      </c>
      <c r="GV218" s="2">
        <f t="shared" si="238"/>
        <v>0</v>
      </c>
      <c r="GW218" s="2">
        <v>1</v>
      </c>
      <c r="GX218" s="2">
        <f t="shared" si="239"/>
        <v>0</v>
      </c>
      <c r="GY218" s="2"/>
      <c r="GZ218" s="2"/>
      <c r="HA218" s="2">
        <v>0</v>
      </c>
      <c r="HB218" s="2">
        <v>0</v>
      </c>
      <c r="HC218" s="2">
        <f t="shared" si="240"/>
        <v>0</v>
      </c>
      <c r="HD218" s="2"/>
      <c r="HE218" s="2" t="s">
        <v>37</v>
      </c>
      <c r="HF218" s="2" t="s">
        <v>38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3">
      <c r="A219">
        <v>18</v>
      </c>
      <c r="B219">
        <v>1</v>
      </c>
      <c r="E219" t="s">
        <v>325</v>
      </c>
      <c r="F219" t="s">
        <v>326</v>
      </c>
      <c r="G219" t="s">
        <v>327</v>
      </c>
      <c r="H219" t="s">
        <v>32</v>
      </c>
      <c r="I219">
        <f>I217*J219</f>
        <v>1</v>
      </c>
      <c r="J219">
        <v>1</v>
      </c>
      <c r="K219">
        <v>1</v>
      </c>
      <c r="O219">
        <f t="shared" si="211"/>
        <v>116712.97</v>
      </c>
      <c r="P219">
        <f>ROUND((ROUND((AC219*I219),2)*BC219),2)</f>
        <v>116712.97</v>
      </c>
      <c r="Q219">
        <f>(ROUND((ROUND(((ET219)*AV219*I219),2)*BB219),2)+ROUND((ROUND(((AE219-(EU219))*AV219*I219),2)*BS219),2))</f>
        <v>0</v>
      </c>
      <c r="R219">
        <f t="shared" si="212"/>
        <v>0</v>
      </c>
      <c r="S219">
        <f t="shared" si="213"/>
        <v>0</v>
      </c>
      <c r="T219">
        <f t="shared" si="214"/>
        <v>0</v>
      </c>
      <c r="U219">
        <f t="shared" si="215"/>
        <v>0</v>
      </c>
      <c r="V219">
        <f t="shared" si="216"/>
        <v>0</v>
      </c>
      <c r="W219">
        <f t="shared" si="217"/>
        <v>0</v>
      </c>
      <c r="X219">
        <f t="shared" si="218"/>
        <v>0</v>
      </c>
      <c r="Y219">
        <f t="shared" si="219"/>
        <v>0</v>
      </c>
      <c r="AA219">
        <v>56498968</v>
      </c>
      <c r="AB219">
        <f t="shared" si="220"/>
        <v>15236.68</v>
      </c>
      <c r="AC219">
        <f t="shared" si="221"/>
        <v>15236.68</v>
      </c>
      <c r="AD219">
        <f>ROUND((((ET219)-(EU219))+AE219),6)</f>
        <v>0</v>
      </c>
      <c r="AE219">
        <f t="shared" si="241"/>
        <v>0</v>
      </c>
      <c r="AF219">
        <f t="shared" si="241"/>
        <v>0</v>
      </c>
      <c r="AG219">
        <f t="shared" si="222"/>
        <v>0</v>
      </c>
      <c r="AH219">
        <f t="shared" si="242"/>
        <v>0</v>
      </c>
      <c r="AI219">
        <f t="shared" si="242"/>
        <v>0</v>
      </c>
      <c r="AJ219">
        <f t="shared" si="223"/>
        <v>0</v>
      </c>
      <c r="AK219">
        <v>15236.68</v>
      </c>
      <c r="AL219">
        <v>15236.68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Z219">
        <v>1</v>
      </c>
      <c r="BA219">
        <v>1</v>
      </c>
      <c r="BB219">
        <v>1</v>
      </c>
      <c r="BC219">
        <v>7.66</v>
      </c>
      <c r="BD219" t="s">
        <v>3</v>
      </c>
      <c r="BE219" t="s">
        <v>3</v>
      </c>
      <c r="BF219" t="s">
        <v>3</v>
      </c>
      <c r="BG219" t="s">
        <v>3</v>
      </c>
      <c r="BH219">
        <v>3</v>
      </c>
      <c r="BI219">
        <v>3</v>
      </c>
      <c r="BJ219" t="s">
        <v>3</v>
      </c>
      <c r="BM219">
        <v>746</v>
      </c>
      <c r="BN219">
        <v>0</v>
      </c>
      <c r="BO219" t="s">
        <v>3</v>
      </c>
      <c r="BP219">
        <v>0</v>
      </c>
      <c r="BQ219">
        <v>130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 t="s">
        <v>3</v>
      </c>
      <c r="BZ219">
        <v>95</v>
      </c>
      <c r="CA219">
        <v>53</v>
      </c>
      <c r="CB219" t="s">
        <v>3</v>
      </c>
      <c r="CE219">
        <v>30</v>
      </c>
      <c r="CF219">
        <v>0</v>
      </c>
      <c r="CG219">
        <v>0</v>
      </c>
      <c r="CM219">
        <v>0</v>
      </c>
      <c r="CN219" t="s">
        <v>3</v>
      </c>
      <c r="CO219">
        <v>0</v>
      </c>
      <c r="CP219">
        <f t="shared" si="224"/>
        <v>116712.97</v>
      </c>
      <c r="CQ219">
        <f>ROUND((ROUND((AC219*1),2)*BC219),2)</f>
        <v>116712.97</v>
      </c>
      <c r="CR219">
        <f>(ROUND((ROUND(((ET219)*AV219*1),2)*BB219),2)+ROUND((ROUND(((AE219-(EU219))*AV219*1),2)*BS219),2))</f>
        <v>0</v>
      </c>
      <c r="CS219">
        <f t="shared" si="225"/>
        <v>0</v>
      </c>
      <c r="CT219">
        <f t="shared" si="226"/>
        <v>0</v>
      </c>
      <c r="CU219">
        <f t="shared" si="227"/>
        <v>0</v>
      </c>
      <c r="CV219">
        <f t="shared" si="228"/>
        <v>0</v>
      </c>
      <c r="CW219">
        <f t="shared" si="229"/>
        <v>0</v>
      </c>
      <c r="CX219">
        <f t="shared" si="230"/>
        <v>0</v>
      </c>
      <c r="CY219">
        <f t="shared" si="231"/>
        <v>0</v>
      </c>
      <c r="CZ219">
        <f t="shared" si="232"/>
        <v>0</v>
      </c>
      <c r="DC219" t="s">
        <v>3</v>
      </c>
      <c r="DD219" t="s">
        <v>3</v>
      </c>
      <c r="DE219" t="s">
        <v>3</v>
      </c>
      <c r="DF219" t="s">
        <v>3</v>
      </c>
      <c r="DG219" t="s">
        <v>3</v>
      </c>
      <c r="DH219" t="s">
        <v>3</v>
      </c>
      <c r="DI219" t="s">
        <v>3</v>
      </c>
      <c r="DJ219" t="s">
        <v>3</v>
      </c>
      <c r="DK219" t="s">
        <v>3</v>
      </c>
      <c r="DL219" t="s">
        <v>3</v>
      </c>
      <c r="DM219" t="s">
        <v>3</v>
      </c>
      <c r="DN219">
        <v>0</v>
      </c>
      <c r="DO219">
        <v>0</v>
      </c>
      <c r="DP219">
        <v>1</v>
      </c>
      <c r="DQ219">
        <v>1</v>
      </c>
      <c r="DU219">
        <v>1010</v>
      </c>
      <c r="DV219" t="s">
        <v>32</v>
      </c>
      <c r="DW219" t="s">
        <v>32</v>
      </c>
      <c r="DX219">
        <v>1</v>
      </c>
      <c r="DZ219" t="s">
        <v>3</v>
      </c>
      <c r="EA219" t="s">
        <v>3</v>
      </c>
      <c r="EB219" t="s">
        <v>3</v>
      </c>
      <c r="EC219" t="s">
        <v>3</v>
      </c>
      <c r="EE219">
        <v>58162750</v>
      </c>
      <c r="EF219">
        <v>130</v>
      </c>
      <c r="EG219" t="s">
        <v>33</v>
      </c>
      <c r="EH219">
        <v>0</v>
      </c>
      <c r="EI219" t="s">
        <v>3</v>
      </c>
      <c r="EJ219">
        <v>3</v>
      </c>
      <c r="EK219">
        <v>746</v>
      </c>
      <c r="EL219" t="s">
        <v>34</v>
      </c>
      <c r="EM219" t="s">
        <v>35</v>
      </c>
      <c r="EO219" t="s">
        <v>3</v>
      </c>
      <c r="EQ219">
        <v>0</v>
      </c>
      <c r="ER219">
        <v>15236.68</v>
      </c>
      <c r="ES219">
        <v>15236.68</v>
      </c>
      <c r="ET219">
        <v>0</v>
      </c>
      <c r="EU219">
        <v>0</v>
      </c>
      <c r="EV219">
        <v>0</v>
      </c>
      <c r="EW219">
        <v>0</v>
      </c>
      <c r="EX219">
        <v>0</v>
      </c>
      <c r="EZ219">
        <v>5</v>
      </c>
      <c r="FC219">
        <v>1</v>
      </c>
      <c r="FD219">
        <v>18</v>
      </c>
      <c r="FF219">
        <v>134364</v>
      </c>
      <c r="FQ219">
        <v>0</v>
      </c>
      <c r="FR219">
        <f>P219</f>
        <v>116712.97</v>
      </c>
      <c r="FS219">
        <v>0</v>
      </c>
      <c r="FX219">
        <v>95</v>
      </c>
      <c r="FY219">
        <v>53</v>
      </c>
      <c r="GA219" t="s">
        <v>328</v>
      </c>
      <c r="GD219">
        <v>1</v>
      </c>
      <c r="GF219">
        <v>1923164286</v>
      </c>
      <c r="GG219">
        <v>2</v>
      </c>
      <c r="GH219">
        <v>3</v>
      </c>
      <c r="GI219">
        <v>5</v>
      </c>
      <c r="GJ219">
        <v>0</v>
      </c>
      <c r="GK219">
        <v>0</v>
      </c>
      <c r="GL219">
        <f t="shared" si="233"/>
        <v>0</v>
      </c>
      <c r="GM219">
        <f t="shared" si="234"/>
        <v>116712.97</v>
      </c>
      <c r="GN219">
        <f t="shared" si="235"/>
        <v>0</v>
      </c>
      <c r="GO219">
        <f t="shared" si="236"/>
        <v>0</v>
      </c>
      <c r="GP219">
        <f t="shared" si="237"/>
        <v>0</v>
      </c>
      <c r="GR219">
        <v>1</v>
      </c>
      <c r="GS219">
        <v>1</v>
      </c>
      <c r="GT219">
        <v>0</v>
      </c>
      <c r="GU219" t="s">
        <v>3</v>
      </c>
      <c r="GV219">
        <f t="shared" si="238"/>
        <v>0</v>
      </c>
      <c r="GW219">
        <v>1</v>
      </c>
      <c r="GX219">
        <f t="shared" si="239"/>
        <v>0</v>
      </c>
      <c r="HA219">
        <v>0</v>
      </c>
      <c r="HB219">
        <v>0</v>
      </c>
      <c r="HC219">
        <f t="shared" si="240"/>
        <v>0</v>
      </c>
      <c r="HE219" t="s">
        <v>37</v>
      </c>
      <c r="HF219" t="s">
        <v>38</v>
      </c>
      <c r="HM219" t="s">
        <v>3</v>
      </c>
      <c r="HN219" t="s">
        <v>3</v>
      </c>
      <c r="HO219" t="s">
        <v>3</v>
      </c>
      <c r="HP219" t="s">
        <v>3</v>
      </c>
      <c r="HQ219" t="s">
        <v>3</v>
      </c>
      <c r="HS219">
        <v>0</v>
      </c>
      <c r="IK219">
        <v>0</v>
      </c>
    </row>
    <row r="220" spans="1:255" x14ac:dyDescent="0.3">
      <c r="A220" s="2">
        <v>18</v>
      </c>
      <c r="B220" s="2">
        <v>1</v>
      </c>
      <c r="C220" s="2"/>
      <c r="D220" s="2"/>
      <c r="E220" s="2" t="s">
        <v>329</v>
      </c>
      <c r="F220" s="2" t="s">
        <v>330</v>
      </c>
      <c r="G220" s="2" t="s">
        <v>331</v>
      </c>
      <c r="H220" s="2" t="s">
        <v>32</v>
      </c>
      <c r="I220" s="2">
        <f>I216*J220</f>
        <v>1</v>
      </c>
      <c r="J220" s="2">
        <v>1</v>
      </c>
      <c r="K220" s="2">
        <v>1</v>
      </c>
      <c r="L220" s="2"/>
      <c r="M220" s="2"/>
      <c r="N220" s="2"/>
      <c r="O220" s="2">
        <f t="shared" si="211"/>
        <v>2544.39</v>
      </c>
      <c r="P220" s="2">
        <f>ROUND((ROUND((AC220*I220),2)*BC220),2)</f>
        <v>2544.39</v>
      </c>
      <c r="Q220" s="2">
        <f>(ROUND((ROUND(((ET220)*AV220*I220),2)*BB220),2)+ROUND((ROUND(((AE220-(EU220))*AV220*I220),2)*BS220),2))</f>
        <v>0</v>
      </c>
      <c r="R220" s="2">
        <f t="shared" si="212"/>
        <v>0</v>
      </c>
      <c r="S220" s="2">
        <f t="shared" si="213"/>
        <v>0</v>
      </c>
      <c r="T220" s="2">
        <f t="shared" si="214"/>
        <v>0</v>
      </c>
      <c r="U220" s="2">
        <f t="shared" si="215"/>
        <v>0</v>
      </c>
      <c r="V220" s="2">
        <f t="shared" si="216"/>
        <v>0</v>
      </c>
      <c r="W220" s="2">
        <f t="shared" si="217"/>
        <v>0</v>
      </c>
      <c r="X220" s="2">
        <f t="shared" si="218"/>
        <v>0</v>
      </c>
      <c r="Y220" s="2">
        <f t="shared" si="219"/>
        <v>0</v>
      </c>
      <c r="Z220" s="2"/>
      <c r="AA220" s="2">
        <v>56498966</v>
      </c>
      <c r="AB220" s="2">
        <f t="shared" si="220"/>
        <v>2544.39</v>
      </c>
      <c r="AC220" s="2">
        <f t="shared" si="221"/>
        <v>2544.39</v>
      </c>
      <c r="AD220" s="2">
        <f>ROUND((((ET220)-(EU220))+AE220),6)</f>
        <v>0</v>
      </c>
      <c r="AE220" s="2">
        <f t="shared" si="241"/>
        <v>0</v>
      </c>
      <c r="AF220" s="2">
        <f t="shared" si="241"/>
        <v>0</v>
      </c>
      <c r="AG220" s="2">
        <f t="shared" si="222"/>
        <v>0</v>
      </c>
      <c r="AH220" s="2">
        <f t="shared" si="242"/>
        <v>0</v>
      </c>
      <c r="AI220" s="2">
        <f t="shared" si="242"/>
        <v>0</v>
      </c>
      <c r="AJ220" s="2">
        <f t="shared" si="223"/>
        <v>0</v>
      </c>
      <c r="AK220" s="2">
        <v>2544.39</v>
      </c>
      <c r="AL220" s="2">
        <v>2544.39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3</v>
      </c>
      <c r="BJ220" s="2" t="s">
        <v>3</v>
      </c>
      <c r="BK220" s="2"/>
      <c r="BL220" s="2"/>
      <c r="BM220" s="2">
        <v>746</v>
      </c>
      <c r="BN220" s="2">
        <v>0</v>
      </c>
      <c r="BO220" s="2" t="s">
        <v>3</v>
      </c>
      <c r="BP220" s="2">
        <v>0</v>
      </c>
      <c r="BQ220" s="2">
        <v>130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95</v>
      </c>
      <c r="CA220" s="2">
        <v>53</v>
      </c>
      <c r="CB220" s="2" t="s">
        <v>3</v>
      </c>
      <c r="CC220" s="2"/>
      <c r="CD220" s="2"/>
      <c r="CE220" s="2">
        <v>30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si="224"/>
        <v>2544.39</v>
      </c>
      <c r="CQ220" s="2">
        <f>ROUND((ROUND((AC220*1),2)*BC220),2)</f>
        <v>2544.39</v>
      </c>
      <c r="CR220" s="2">
        <f>(ROUND((ROUND(((ET220)*AV220*1),2)*BB220),2)+ROUND((ROUND(((AE220-(EU220))*AV220*1),2)*BS220),2))</f>
        <v>0</v>
      </c>
      <c r="CS220" s="2">
        <f t="shared" si="225"/>
        <v>0</v>
      </c>
      <c r="CT220" s="2">
        <f t="shared" si="226"/>
        <v>0</v>
      </c>
      <c r="CU220" s="2">
        <f t="shared" si="227"/>
        <v>0</v>
      </c>
      <c r="CV220" s="2">
        <f t="shared" si="228"/>
        <v>0</v>
      </c>
      <c r="CW220" s="2">
        <f t="shared" si="229"/>
        <v>0</v>
      </c>
      <c r="CX220" s="2">
        <f t="shared" si="230"/>
        <v>0</v>
      </c>
      <c r="CY220" s="2">
        <f t="shared" si="231"/>
        <v>0</v>
      </c>
      <c r="CZ220" s="2">
        <f t="shared" si="232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32</v>
      </c>
      <c r="DW220" s="2" t="s">
        <v>32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58162750</v>
      </c>
      <c r="EF220" s="2">
        <v>130</v>
      </c>
      <c r="EG220" s="2" t="s">
        <v>33</v>
      </c>
      <c r="EH220" s="2">
        <v>0</v>
      </c>
      <c r="EI220" s="2" t="s">
        <v>3</v>
      </c>
      <c r="EJ220" s="2">
        <v>3</v>
      </c>
      <c r="EK220" s="2">
        <v>746</v>
      </c>
      <c r="EL220" s="2" t="s">
        <v>34</v>
      </c>
      <c r="EM220" s="2" t="s">
        <v>35</v>
      </c>
      <c r="EN220" s="2"/>
      <c r="EO220" s="2" t="s">
        <v>3</v>
      </c>
      <c r="EP220" s="2"/>
      <c r="EQ220" s="2">
        <v>0</v>
      </c>
      <c r="ER220" s="2">
        <v>0</v>
      </c>
      <c r="ES220" s="2">
        <v>2544.39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f>P220</f>
        <v>2544.39</v>
      </c>
      <c r="FS220" s="2">
        <v>0</v>
      </c>
      <c r="FT220" s="2"/>
      <c r="FU220" s="2"/>
      <c r="FV220" s="2"/>
      <c r="FW220" s="2"/>
      <c r="FX220" s="2">
        <v>95</v>
      </c>
      <c r="FY220" s="2">
        <v>53</v>
      </c>
      <c r="FZ220" s="2"/>
      <c r="GA220" s="2" t="s">
        <v>332</v>
      </c>
      <c r="GB220" s="2"/>
      <c r="GC220" s="2"/>
      <c r="GD220" s="2">
        <v>1</v>
      </c>
      <c r="GE220" s="2"/>
      <c r="GF220" s="2">
        <v>-160728518</v>
      </c>
      <c r="GG220" s="2">
        <v>2</v>
      </c>
      <c r="GH220" s="2">
        <v>4</v>
      </c>
      <c r="GI220" s="2">
        <v>-2</v>
      </c>
      <c r="GJ220" s="2">
        <v>0</v>
      </c>
      <c r="GK220" s="2">
        <v>0</v>
      </c>
      <c r="GL220" s="2">
        <f t="shared" si="233"/>
        <v>0</v>
      </c>
      <c r="GM220" s="2">
        <f t="shared" si="234"/>
        <v>2544.39</v>
      </c>
      <c r="GN220" s="2">
        <f t="shared" si="235"/>
        <v>0</v>
      </c>
      <c r="GO220" s="2">
        <f t="shared" si="236"/>
        <v>0</v>
      </c>
      <c r="GP220" s="2">
        <f t="shared" si="237"/>
        <v>0</v>
      </c>
      <c r="GQ220" s="2"/>
      <c r="GR220" s="2">
        <v>0</v>
      </c>
      <c r="GS220" s="2">
        <v>2</v>
      </c>
      <c r="GT220" s="2">
        <v>0</v>
      </c>
      <c r="GU220" s="2" t="s">
        <v>3</v>
      </c>
      <c r="GV220" s="2">
        <f t="shared" si="238"/>
        <v>0</v>
      </c>
      <c r="GW220" s="2">
        <v>1</v>
      </c>
      <c r="GX220" s="2">
        <f t="shared" si="239"/>
        <v>0</v>
      </c>
      <c r="GY220" s="2"/>
      <c r="GZ220" s="2"/>
      <c r="HA220" s="2">
        <v>0</v>
      </c>
      <c r="HB220" s="2">
        <v>0</v>
      </c>
      <c r="HC220" s="2">
        <f t="shared" si="240"/>
        <v>0</v>
      </c>
      <c r="HD220" s="2"/>
      <c r="HE220" s="2" t="s">
        <v>72</v>
      </c>
      <c r="HF220" s="2" t="s">
        <v>72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3">
      <c r="A221">
        <v>18</v>
      </c>
      <c r="B221">
        <v>1</v>
      </c>
      <c r="E221" t="s">
        <v>329</v>
      </c>
      <c r="F221" t="s">
        <v>330</v>
      </c>
      <c r="G221" t="s">
        <v>331</v>
      </c>
      <c r="H221" t="s">
        <v>32</v>
      </c>
      <c r="I221">
        <f>I217*J221</f>
        <v>1</v>
      </c>
      <c r="J221">
        <v>1</v>
      </c>
      <c r="K221">
        <v>1</v>
      </c>
      <c r="O221">
        <f t="shared" si="211"/>
        <v>19490.03</v>
      </c>
      <c r="P221">
        <f>ROUND((ROUND((AC221*I221),2)*BC221),2)</f>
        <v>19490.03</v>
      </c>
      <c r="Q221">
        <f>(ROUND((ROUND(((ET221)*AV221*I221),2)*BB221),2)+ROUND((ROUND(((AE221-(EU221))*AV221*I221),2)*BS221),2))</f>
        <v>0</v>
      </c>
      <c r="R221">
        <f t="shared" si="212"/>
        <v>0</v>
      </c>
      <c r="S221">
        <f t="shared" si="213"/>
        <v>0</v>
      </c>
      <c r="T221">
        <f t="shared" si="214"/>
        <v>0</v>
      </c>
      <c r="U221">
        <f t="shared" si="215"/>
        <v>0</v>
      </c>
      <c r="V221">
        <f t="shared" si="216"/>
        <v>0</v>
      </c>
      <c r="W221">
        <f t="shared" si="217"/>
        <v>0</v>
      </c>
      <c r="X221">
        <f t="shared" si="218"/>
        <v>0</v>
      </c>
      <c r="Y221">
        <f t="shared" si="219"/>
        <v>0</v>
      </c>
      <c r="AA221">
        <v>56498968</v>
      </c>
      <c r="AB221">
        <f t="shared" si="220"/>
        <v>2544.39</v>
      </c>
      <c r="AC221">
        <f t="shared" si="221"/>
        <v>2544.39</v>
      </c>
      <c r="AD221">
        <f>ROUND((((ET221)-(EU221))+AE221),6)</f>
        <v>0</v>
      </c>
      <c r="AE221">
        <f t="shared" si="241"/>
        <v>0</v>
      </c>
      <c r="AF221">
        <f t="shared" si="241"/>
        <v>0</v>
      </c>
      <c r="AG221">
        <f t="shared" si="222"/>
        <v>0</v>
      </c>
      <c r="AH221">
        <f t="shared" si="242"/>
        <v>0</v>
      </c>
      <c r="AI221">
        <f t="shared" si="242"/>
        <v>0</v>
      </c>
      <c r="AJ221">
        <f t="shared" si="223"/>
        <v>0</v>
      </c>
      <c r="AK221">
        <v>2544.39</v>
      </c>
      <c r="AL221">
        <v>2544.39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Z221">
        <v>1</v>
      </c>
      <c r="BA221">
        <v>1</v>
      </c>
      <c r="BB221">
        <v>1</v>
      </c>
      <c r="BC221">
        <v>7.66</v>
      </c>
      <c r="BD221" t="s">
        <v>3</v>
      </c>
      <c r="BE221" t="s">
        <v>3</v>
      </c>
      <c r="BF221" t="s">
        <v>3</v>
      </c>
      <c r="BG221" t="s">
        <v>3</v>
      </c>
      <c r="BH221">
        <v>3</v>
      </c>
      <c r="BI221">
        <v>3</v>
      </c>
      <c r="BJ221" t="s">
        <v>3</v>
      </c>
      <c r="BM221">
        <v>746</v>
      </c>
      <c r="BN221">
        <v>0</v>
      </c>
      <c r="BO221" t="s">
        <v>3</v>
      </c>
      <c r="BP221">
        <v>0</v>
      </c>
      <c r="BQ221">
        <v>130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 t="s">
        <v>3</v>
      </c>
      <c r="BZ221">
        <v>95</v>
      </c>
      <c r="CA221">
        <v>53</v>
      </c>
      <c r="CB221" t="s">
        <v>3</v>
      </c>
      <c r="CE221">
        <v>30</v>
      </c>
      <c r="CF221">
        <v>0</v>
      </c>
      <c r="CG221">
        <v>0</v>
      </c>
      <c r="CM221">
        <v>0</v>
      </c>
      <c r="CN221" t="s">
        <v>3</v>
      </c>
      <c r="CO221">
        <v>0</v>
      </c>
      <c r="CP221">
        <f t="shared" si="224"/>
        <v>19490.03</v>
      </c>
      <c r="CQ221">
        <f>ROUND((ROUND((AC221*1),2)*BC221),2)</f>
        <v>19490.03</v>
      </c>
      <c r="CR221">
        <f>(ROUND((ROUND(((ET221)*AV221*1),2)*BB221),2)+ROUND((ROUND(((AE221-(EU221))*AV221*1),2)*BS221),2))</f>
        <v>0</v>
      </c>
      <c r="CS221">
        <f t="shared" si="225"/>
        <v>0</v>
      </c>
      <c r="CT221">
        <f t="shared" si="226"/>
        <v>0</v>
      </c>
      <c r="CU221">
        <f t="shared" si="227"/>
        <v>0</v>
      </c>
      <c r="CV221">
        <f t="shared" si="228"/>
        <v>0</v>
      </c>
      <c r="CW221">
        <f t="shared" si="229"/>
        <v>0</v>
      </c>
      <c r="CX221">
        <f t="shared" si="230"/>
        <v>0</v>
      </c>
      <c r="CY221">
        <f t="shared" si="231"/>
        <v>0</v>
      </c>
      <c r="CZ221">
        <f t="shared" si="232"/>
        <v>0</v>
      </c>
      <c r="DC221" t="s">
        <v>3</v>
      </c>
      <c r="DD221" t="s">
        <v>3</v>
      </c>
      <c r="DE221" t="s">
        <v>3</v>
      </c>
      <c r="DF221" t="s">
        <v>3</v>
      </c>
      <c r="DG221" t="s">
        <v>3</v>
      </c>
      <c r="DH221" t="s">
        <v>3</v>
      </c>
      <c r="DI221" t="s">
        <v>3</v>
      </c>
      <c r="DJ221" t="s">
        <v>3</v>
      </c>
      <c r="DK221" t="s">
        <v>3</v>
      </c>
      <c r="DL221" t="s">
        <v>3</v>
      </c>
      <c r="DM221" t="s">
        <v>3</v>
      </c>
      <c r="DN221">
        <v>0</v>
      </c>
      <c r="DO221">
        <v>0</v>
      </c>
      <c r="DP221">
        <v>1</v>
      </c>
      <c r="DQ221">
        <v>1</v>
      </c>
      <c r="DU221">
        <v>1010</v>
      </c>
      <c r="DV221" t="s">
        <v>32</v>
      </c>
      <c r="DW221" t="s">
        <v>32</v>
      </c>
      <c r="DX221">
        <v>1</v>
      </c>
      <c r="DZ221" t="s">
        <v>3</v>
      </c>
      <c r="EA221" t="s">
        <v>3</v>
      </c>
      <c r="EB221" t="s">
        <v>3</v>
      </c>
      <c r="EC221" t="s">
        <v>3</v>
      </c>
      <c r="EE221">
        <v>58162750</v>
      </c>
      <c r="EF221">
        <v>130</v>
      </c>
      <c r="EG221" t="s">
        <v>33</v>
      </c>
      <c r="EH221">
        <v>0</v>
      </c>
      <c r="EI221" t="s">
        <v>3</v>
      </c>
      <c r="EJ221">
        <v>3</v>
      </c>
      <c r="EK221">
        <v>746</v>
      </c>
      <c r="EL221" t="s">
        <v>34</v>
      </c>
      <c r="EM221" t="s">
        <v>35</v>
      </c>
      <c r="EO221" t="s">
        <v>3</v>
      </c>
      <c r="EQ221">
        <v>0</v>
      </c>
      <c r="ER221">
        <v>2544.39</v>
      </c>
      <c r="ES221">
        <v>2544.39</v>
      </c>
      <c r="ET221">
        <v>0</v>
      </c>
      <c r="EU221">
        <v>0</v>
      </c>
      <c r="EV221">
        <v>0</v>
      </c>
      <c r="EW221">
        <v>0</v>
      </c>
      <c r="EX221">
        <v>0</v>
      </c>
      <c r="EZ221">
        <v>5</v>
      </c>
      <c r="FC221">
        <v>1</v>
      </c>
      <c r="FD221">
        <v>18</v>
      </c>
      <c r="FF221">
        <v>23388</v>
      </c>
      <c r="FQ221">
        <v>0</v>
      </c>
      <c r="FR221">
        <f>P221</f>
        <v>19490.03</v>
      </c>
      <c r="FS221">
        <v>0</v>
      </c>
      <c r="FX221">
        <v>95</v>
      </c>
      <c r="FY221">
        <v>53</v>
      </c>
      <c r="GA221" t="s">
        <v>332</v>
      </c>
      <c r="GD221">
        <v>1</v>
      </c>
      <c r="GF221">
        <v>-160728518</v>
      </c>
      <c r="GG221">
        <v>2</v>
      </c>
      <c r="GH221">
        <v>3</v>
      </c>
      <c r="GI221">
        <v>5</v>
      </c>
      <c r="GJ221">
        <v>0</v>
      </c>
      <c r="GK221">
        <v>0</v>
      </c>
      <c r="GL221">
        <f t="shared" si="233"/>
        <v>0</v>
      </c>
      <c r="GM221">
        <f t="shared" si="234"/>
        <v>19490.03</v>
      </c>
      <c r="GN221">
        <f t="shared" si="235"/>
        <v>0</v>
      </c>
      <c r="GO221">
        <f t="shared" si="236"/>
        <v>0</v>
      </c>
      <c r="GP221">
        <f t="shared" si="237"/>
        <v>0</v>
      </c>
      <c r="GR221">
        <v>1</v>
      </c>
      <c r="GS221">
        <v>1</v>
      </c>
      <c r="GT221">
        <v>0</v>
      </c>
      <c r="GU221" t="s">
        <v>3</v>
      </c>
      <c r="GV221">
        <f t="shared" si="238"/>
        <v>0</v>
      </c>
      <c r="GW221">
        <v>1</v>
      </c>
      <c r="GX221">
        <f t="shared" si="239"/>
        <v>0</v>
      </c>
      <c r="HA221">
        <v>0</v>
      </c>
      <c r="HB221">
        <v>0</v>
      </c>
      <c r="HC221">
        <f t="shared" si="240"/>
        <v>0</v>
      </c>
      <c r="HE221" t="s">
        <v>72</v>
      </c>
      <c r="HF221" t="s">
        <v>72</v>
      </c>
      <c r="HM221" t="s">
        <v>3</v>
      </c>
      <c r="HN221" t="s">
        <v>3</v>
      </c>
      <c r="HO221" t="s">
        <v>3</v>
      </c>
      <c r="HP221" t="s">
        <v>3</v>
      </c>
      <c r="HQ221" t="s">
        <v>3</v>
      </c>
      <c r="HS221">
        <v>0</v>
      </c>
      <c r="IK221">
        <v>0</v>
      </c>
    </row>
    <row r="222" spans="1:255" x14ac:dyDescent="0.3">
      <c r="A222" s="2">
        <v>17</v>
      </c>
      <c r="B222" s="2">
        <v>1</v>
      </c>
      <c r="C222" s="2"/>
      <c r="D222" s="2">
        <f>ROW(EtalonRes!A181)</f>
        <v>181</v>
      </c>
      <c r="E222" s="2" t="s">
        <v>333</v>
      </c>
      <c r="F222" s="2" t="s">
        <v>168</v>
      </c>
      <c r="G222" s="2" t="s">
        <v>169</v>
      </c>
      <c r="H222" s="2" t="s">
        <v>22</v>
      </c>
      <c r="I222" s="2">
        <v>1</v>
      </c>
      <c r="J222" s="2">
        <v>0</v>
      </c>
      <c r="K222" s="2">
        <v>1</v>
      </c>
      <c r="L222" s="2"/>
      <c r="M222" s="2"/>
      <c r="N222" s="2"/>
      <c r="O222" s="2">
        <f t="shared" si="211"/>
        <v>24.17</v>
      </c>
      <c r="P222" s="2">
        <f>ROUND((ROUND((AC222*AW222*I222),2)*BC222),2)</f>
        <v>2.34</v>
      </c>
      <c r="Q222" s="2">
        <f>(ROUND((ROUND((((ET222*1.1))*AV222*I222),2)*BB222),2)+ROUND((ROUND(((AE222-((EU222*1.1)))*AV222*I222),2)*BS222),2))</f>
        <v>0.02</v>
      </c>
      <c r="R222" s="2">
        <f t="shared" si="212"/>
        <v>0</v>
      </c>
      <c r="S222" s="2">
        <f t="shared" si="213"/>
        <v>21.81</v>
      </c>
      <c r="T222" s="2">
        <f t="shared" si="214"/>
        <v>0</v>
      </c>
      <c r="U222" s="2">
        <f t="shared" si="215"/>
        <v>1.5663120000000001</v>
      </c>
      <c r="V222" s="2">
        <f t="shared" si="216"/>
        <v>0</v>
      </c>
      <c r="W222" s="2">
        <f t="shared" si="217"/>
        <v>0</v>
      </c>
      <c r="X222" s="2">
        <f t="shared" si="218"/>
        <v>19.63</v>
      </c>
      <c r="Y222" s="2">
        <f t="shared" si="219"/>
        <v>10.029999999999999</v>
      </c>
      <c r="Z222" s="2"/>
      <c r="AA222" s="2">
        <v>56498966</v>
      </c>
      <c r="AB222" s="2">
        <f t="shared" si="220"/>
        <v>23.196000000000002</v>
      </c>
      <c r="AC222" s="2">
        <f t="shared" si="221"/>
        <v>2.34</v>
      </c>
      <c r="AD222" s="2">
        <f>ROUND(((((ET222*1.1))-((EU222*1.1)))+AE222),6)</f>
        <v>2.1999999999999999E-2</v>
      </c>
      <c r="AE222" s="2">
        <f>ROUND(((EU222*1.1)),6)</f>
        <v>0</v>
      </c>
      <c r="AF222" s="2">
        <f>ROUND(((EV222*1.1)),6)</f>
        <v>20.834</v>
      </c>
      <c r="AG222" s="2">
        <f t="shared" si="222"/>
        <v>0</v>
      </c>
      <c r="AH222" s="2">
        <f>((EW222*1.1))</f>
        <v>1.4960000000000002</v>
      </c>
      <c r="AI222" s="2">
        <f>((EX222*1.1))</f>
        <v>0</v>
      </c>
      <c r="AJ222" s="2">
        <f t="shared" si="223"/>
        <v>0</v>
      </c>
      <c r="AK222" s="2">
        <v>21.3</v>
      </c>
      <c r="AL222" s="2">
        <v>2.34</v>
      </c>
      <c r="AM222" s="2">
        <v>0.02</v>
      </c>
      <c r="AN222" s="2">
        <v>0</v>
      </c>
      <c r="AO222" s="2">
        <v>18.940000000000001</v>
      </c>
      <c r="AP222" s="2">
        <v>0</v>
      </c>
      <c r="AQ222" s="2">
        <v>1.36</v>
      </c>
      <c r="AR222" s="2">
        <v>0</v>
      </c>
      <c r="AS222" s="2">
        <v>0</v>
      </c>
      <c r="AT222" s="2">
        <v>90</v>
      </c>
      <c r="AU222" s="2">
        <v>46</v>
      </c>
      <c r="AV222" s="2">
        <v>1.0469999999999999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0</v>
      </c>
      <c r="BI222" s="2">
        <v>2</v>
      </c>
      <c r="BJ222" s="2" t="s">
        <v>170</v>
      </c>
      <c r="BK222" s="2"/>
      <c r="BL222" s="2"/>
      <c r="BM222" s="2">
        <v>68</v>
      </c>
      <c r="BN222" s="2">
        <v>0</v>
      </c>
      <c r="BO222" s="2" t="s">
        <v>168</v>
      </c>
      <c r="BP222" s="2">
        <v>1</v>
      </c>
      <c r="BQ222" s="2">
        <v>40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90</v>
      </c>
      <c r="CA222" s="2">
        <v>46</v>
      </c>
      <c r="CB222" s="2" t="s">
        <v>3</v>
      </c>
      <c r="CC222" s="2"/>
      <c r="CD222" s="2"/>
      <c r="CE222" s="2">
        <v>30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224"/>
        <v>24.169999999999998</v>
      </c>
      <c r="CQ222" s="2">
        <f>ROUND((ROUND((AC222*AW222*1),2)*BC222),2)</f>
        <v>2.34</v>
      </c>
      <c r="CR222" s="2">
        <f>(ROUND((ROUND((((ET222*1.1))*AV222*1),2)*BB222),2)+ROUND((ROUND(((AE222-((EU222*1.1)))*AV222*1),2)*BS222),2))</f>
        <v>0.02</v>
      </c>
      <c r="CS222" s="2">
        <f t="shared" si="225"/>
        <v>0</v>
      </c>
      <c r="CT222" s="2">
        <f t="shared" si="226"/>
        <v>21.81</v>
      </c>
      <c r="CU222" s="2">
        <f t="shared" si="227"/>
        <v>0</v>
      </c>
      <c r="CV222" s="2">
        <f t="shared" si="228"/>
        <v>1.5663120000000001</v>
      </c>
      <c r="CW222" s="2">
        <f t="shared" si="229"/>
        <v>0</v>
      </c>
      <c r="CX222" s="2">
        <f t="shared" si="230"/>
        <v>0</v>
      </c>
      <c r="CY222" s="2">
        <f t="shared" si="231"/>
        <v>19.628999999999998</v>
      </c>
      <c r="CZ222" s="2">
        <f t="shared" si="232"/>
        <v>10.0326</v>
      </c>
      <c r="DA222" s="2"/>
      <c r="DB222" s="2"/>
      <c r="DC222" s="2" t="s">
        <v>3</v>
      </c>
      <c r="DD222" s="2" t="s">
        <v>3</v>
      </c>
      <c r="DE222" s="2" t="s">
        <v>24</v>
      </c>
      <c r="DF222" s="2" t="s">
        <v>24</v>
      </c>
      <c r="DG222" s="2" t="s">
        <v>24</v>
      </c>
      <c r="DH222" s="2" t="s">
        <v>3</v>
      </c>
      <c r="DI222" s="2" t="s">
        <v>24</v>
      </c>
      <c r="DJ222" s="2" t="s">
        <v>24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22</v>
      </c>
      <c r="DW222" s="2" t="s">
        <v>22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58162630</v>
      </c>
      <c r="EF222" s="2">
        <v>40</v>
      </c>
      <c r="EG222" s="2" t="s">
        <v>25</v>
      </c>
      <c r="EH222" s="2">
        <v>0</v>
      </c>
      <c r="EI222" s="2" t="s">
        <v>3</v>
      </c>
      <c r="EJ222" s="2">
        <v>2</v>
      </c>
      <c r="EK222" s="2">
        <v>68</v>
      </c>
      <c r="EL222" s="2" t="s">
        <v>26</v>
      </c>
      <c r="EM222" s="2" t="s">
        <v>27</v>
      </c>
      <c r="EN222" s="2"/>
      <c r="EO222" s="2" t="s">
        <v>28</v>
      </c>
      <c r="EP222" s="2"/>
      <c r="EQ222" s="2">
        <v>0</v>
      </c>
      <c r="ER222" s="2">
        <v>21.3</v>
      </c>
      <c r="ES222" s="2">
        <v>2.34</v>
      </c>
      <c r="ET222" s="2">
        <v>0.02</v>
      </c>
      <c r="EU222" s="2">
        <v>0</v>
      </c>
      <c r="EV222" s="2">
        <v>18.940000000000001</v>
      </c>
      <c r="EW222" s="2">
        <v>1.36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90</v>
      </c>
      <c r="FY222" s="2">
        <v>46</v>
      </c>
      <c r="FZ222" s="2"/>
      <c r="GA222" s="2" t="s">
        <v>3</v>
      </c>
      <c r="GB222" s="2"/>
      <c r="GC222" s="2"/>
      <c r="GD222" s="2">
        <v>1</v>
      </c>
      <c r="GE222" s="2"/>
      <c r="GF222" s="2">
        <v>938017806</v>
      </c>
      <c r="GG222" s="2">
        <v>2</v>
      </c>
      <c r="GH222" s="2">
        <v>1</v>
      </c>
      <c r="GI222" s="2">
        <v>2</v>
      </c>
      <c r="GJ222" s="2">
        <v>0</v>
      </c>
      <c r="GK222" s="2">
        <v>0</v>
      </c>
      <c r="GL222" s="2">
        <f t="shared" si="233"/>
        <v>0</v>
      </c>
      <c r="GM222" s="2">
        <f t="shared" si="234"/>
        <v>53.83</v>
      </c>
      <c r="GN222" s="2">
        <f t="shared" si="235"/>
        <v>0</v>
      </c>
      <c r="GO222" s="2">
        <f t="shared" si="236"/>
        <v>53.83</v>
      </c>
      <c r="GP222" s="2">
        <f t="shared" si="237"/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si="238"/>
        <v>0</v>
      </c>
      <c r="GW222" s="2">
        <v>1</v>
      </c>
      <c r="GX222" s="2">
        <f t="shared" si="239"/>
        <v>0</v>
      </c>
      <c r="GY222" s="2"/>
      <c r="GZ222" s="2"/>
      <c r="HA222" s="2">
        <v>0</v>
      </c>
      <c r="HB222" s="2">
        <v>0</v>
      </c>
      <c r="HC222" s="2">
        <f t="shared" si="240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3">
      <c r="A223">
        <v>17</v>
      </c>
      <c r="B223">
        <v>1</v>
      </c>
      <c r="D223">
        <f>ROW(EtalonRes!A188)</f>
        <v>188</v>
      </c>
      <c r="E223" t="s">
        <v>333</v>
      </c>
      <c r="F223" t="s">
        <v>168</v>
      </c>
      <c r="G223" t="s">
        <v>169</v>
      </c>
      <c r="H223" t="s">
        <v>22</v>
      </c>
      <c r="I223">
        <v>1</v>
      </c>
      <c r="J223">
        <v>0</v>
      </c>
      <c r="K223">
        <v>1</v>
      </c>
      <c r="O223">
        <f t="shared" si="211"/>
        <v>1223.54</v>
      </c>
      <c r="P223">
        <f>ROUND((ROUND((AC223*AW223*I223),2)*BC223),2)</f>
        <v>24.01</v>
      </c>
      <c r="Q223">
        <f>(ROUND((ROUND((((ET223*1.1))*AV223*I223),2)*BB223),2)+ROUND((ROUND(((AE223-((EU223*1.1)))*AV223*I223),2)*BS223),2))</f>
        <v>0.2</v>
      </c>
      <c r="R223">
        <f t="shared" si="212"/>
        <v>0</v>
      </c>
      <c r="S223">
        <f t="shared" si="213"/>
        <v>1199.33</v>
      </c>
      <c r="T223">
        <f t="shared" si="214"/>
        <v>0</v>
      </c>
      <c r="U223">
        <f t="shared" si="215"/>
        <v>1.5663120000000001</v>
      </c>
      <c r="V223">
        <f t="shared" si="216"/>
        <v>0</v>
      </c>
      <c r="W223">
        <f t="shared" si="217"/>
        <v>0</v>
      </c>
      <c r="X223">
        <f t="shared" si="218"/>
        <v>1079.4000000000001</v>
      </c>
      <c r="Y223">
        <f t="shared" si="219"/>
        <v>551.69000000000005</v>
      </c>
      <c r="AA223">
        <v>56498968</v>
      </c>
      <c r="AB223">
        <f t="shared" si="220"/>
        <v>23.196000000000002</v>
      </c>
      <c r="AC223">
        <f t="shared" si="221"/>
        <v>2.34</v>
      </c>
      <c r="AD223">
        <f>ROUND(((((ET223*1.1))-((EU223*1.1)))+AE223),6)</f>
        <v>2.1999999999999999E-2</v>
      </c>
      <c r="AE223">
        <f>ROUND(((EU223*1.1)),6)</f>
        <v>0</v>
      </c>
      <c r="AF223">
        <f>ROUND(((EV223*1.1)),6)</f>
        <v>20.834</v>
      </c>
      <c r="AG223">
        <f t="shared" si="222"/>
        <v>0</v>
      </c>
      <c r="AH223">
        <f>((EW223*1.1))</f>
        <v>1.4960000000000002</v>
      </c>
      <c r="AI223">
        <f>((EX223*1.1))</f>
        <v>0</v>
      </c>
      <c r="AJ223">
        <f t="shared" si="223"/>
        <v>0</v>
      </c>
      <c r="AK223">
        <v>21.3</v>
      </c>
      <c r="AL223">
        <v>2.34</v>
      </c>
      <c r="AM223">
        <v>0.02</v>
      </c>
      <c r="AN223">
        <v>0</v>
      </c>
      <c r="AO223">
        <v>18.940000000000001</v>
      </c>
      <c r="AP223">
        <v>0</v>
      </c>
      <c r="AQ223">
        <v>1.36</v>
      </c>
      <c r="AR223">
        <v>0</v>
      </c>
      <c r="AS223">
        <v>0</v>
      </c>
      <c r="AT223">
        <v>90</v>
      </c>
      <c r="AU223">
        <v>46</v>
      </c>
      <c r="AV223">
        <v>1.0469999999999999</v>
      </c>
      <c r="AW223">
        <v>1</v>
      </c>
      <c r="AZ223">
        <v>1</v>
      </c>
      <c r="BA223">
        <v>54.99</v>
      </c>
      <c r="BB223">
        <v>10</v>
      </c>
      <c r="BC223">
        <v>10.26</v>
      </c>
      <c r="BD223" t="s">
        <v>3</v>
      </c>
      <c r="BE223" t="s">
        <v>3</v>
      </c>
      <c r="BF223" t="s">
        <v>3</v>
      </c>
      <c r="BG223" t="s">
        <v>3</v>
      </c>
      <c r="BH223">
        <v>0</v>
      </c>
      <c r="BI223">
        <v>2</v>
      </c>
      <c r="BJ223" t="s">
        <v>170</v>
      </c>
      <c r="BM223">
        <v>68</v>
      </c>
      <c r="BN223">
        <v>0</v>
      </c>
      <c r="BO223" t="s">
        <v>168</v>
      </c>
      <c r="BP223">
        <v>1</v>
      </c>
      <c r="BQ223">
        <v>40</v>
      </c>
      <c r="BR223">
        <v>0</v>
      </c>
      <c r="BS223">
        <v>54.99</v>
      </c>
      <c r="BT223">
        <v>1</v>
      </c>
      <c r="BU223">
        <v>1</v>
      </c>
      <c r="BV223">
        <v>1</v>
      </c>
      <c r="BW223">
        <v>1</v>
      </c>
      <c r="BX223">
        <v>1</v>
      </c>
      <c r="BY223" t="s">
        <v>3</v>
      </c>
      <c r="BZ223">
        <v>90</v>
      </c>
      <c r="CA223">
        <v>46</v>
      </c>
      <c r="CB223" t="s">
        <v>3</v>
      </c>
      <c r="CE223">
        <v>30</v>
      </c>
      <c r="CF223">
        <v>0</v>
      </c>
      <c r="CG223">
        <v>0</v>
      </c>
      <c r="CM223">
        <v>0</v>
      </c>
      <c r="CN223" t="s">
        <v>3</v>
      </c>
      <c r="CO223">
        <v>0</v>
      </c>
      <c r="CP223">
        <f t="shared" si="224"/>
        <v>1223.54</v>
      </c>
      <c r="CQ223">
        <f>ROUND((ROUND((AC223*AW223*1),2)*BC223),2)</f>
        <v>24.01</v>
      </c>
      <c r="CR223">
        <f>(ROUND((ROUND((((ET223*1.1))*AV223*1),2)*BB223),2)+ROUND((ROUND(((AE223-((EU223*1.1)))*AV223*1),2)*BS223),2))</f>
        <v>0.2</v>
      </c>
      <c r="CS223">
        <f t="shared" si="225"/>
        <v>0</v>
      </c>
      <c r="CT223">
        <f t="shared" si="226"/>
        <v>1199.33</v>
      </c>
      <c r="CU223">
        <f t="shared" si="227"/>
        <v>0</v>
      </c>
      <c r="CV223">
        <f t="shared" si="228"/>
        <v>1.5663120000000001</v>
      </c>
      <c r="CW223">
        <f t="shared" si="229"/>
        <v>0</v>
      </c>
      <c r="CX223">
        <f t="shared" si="230"/>
        <v>0</v>
      </c>
      <c r="CY223">
        <f t="shared" si="231"/>
        <v>1079.3969999999999</v>
      </c>
      <c r="CZ223">
        <f t="shared" si="232"/>
        <v>551.69179999999994</v>
      </c>
      <c r="DC223" t="s">
        <v>3</v>
      </c>
      <c r="DD223" t="s">
        <v>3</v>
      </c>
      <c r="DE223" t="s">
        <v>24</v>
      </c>
      <c r="DF223" t="s">
        <v>24</v>
      </c>
      <c r="DG223" t="s">
        <v>24</v>
      </c>
      <c r="DH223" t="s">
        <v>3</v>
      </c>
      <c r="DI223" t="s">
        <v>24</v>
      </c>
      <c r="DJ223" t="s">
        <v>24</v>
      </c>
      <c r="DK223" t="s">
        <v>3</v>
      </c>
      <c r="DL223" t="s">
        <v>3</v>
      </c>
      <c r="DM223" t="s">
        <v>3</v>
      </c>
      <c r="DN223">
        <v>0</v>
      </c>
      <c r="DO223">
        <v>0</v>
      </c>
      <c r="DP223">
        <v>1</v>
      </c>
      <c r="DQ223">
        <v>1</v>
      </c>
      <c r="DU223">
        <v>1013</v>
      </c>
      <c r="DV223" t="s">
        <v>22</v>
      </c>
      <c r="DW223" t="s">
        <v>22</v>
      </c>
      <c r="DX223">
        <v>1</v>
      </c>
      <c r="DZ223" t="s">
        <v>3</v>
      </c>
      <c r="EA223" t="s">
        <v>3</v>
      </c>
      <c r="EB223" t="s">
        <v>3</v>
      </c>
      <c r="EC223" t="s">
        <v>3</v>
      </c>
      <c r="EE223">
        <v>58162630</v>
      </c>
      <c r="EF223">
        <v>40</v>
      </c>
      <c r="EG223" t="s">
        <v>25</v>
      </c>
      <c r="EH223">
        <v>0</v>
      </c>
      <c r="EI223" t="s">
        <v>3</v>
      </c>
      <c r="EJ223">
        <v>2</v>
      </c>
      <c r="EK223">
        <v>68</v>
      </c>
      <c r="EL223" t="s">
        <v>26</v>
      </c>
      <c r="EM223" t="s">
        <v>27</v>
      </c>
      <c r="EO223" t="s">
        <v>28</v>
      </c>
      <c r="EQ223">
        <v>0</v>
      </c>
      <c r="ER223">
        <v>21.3</v>
      </c>
      <c r="ES223">
        <v>2.34</v>
      </c>
      <c r="ET223">
        <v>0.02</v>
      </c>
      <c r="EU223">
        <v>0</v>
      </c>
      <c r="EV223">
        <v>18.940000000000001</v>
      </c>
      <c r="EW223">
        <v>1.36</v>
      </c>
      <c r="EX223">
        <v>0</v>
      </c>
      <c r="EY223">
        <v>0</v>
      </c>
      <c r="FQ223">
        <v>0</v>
      </c>
      <c r="FR223">
        <v>0</v>
      </c>
      <c r="FS223">
        <v>0</v>
      </c>
      <c r="FX223">
        <v>90</v>
      </c>
      <c r="FY223">
        <v>46</v>
      </c>
      <c r="GA223" t="s">
        <v>3</v>
      </c>
      <c r="GD223">
        <v>1</v>
      </c>
      <c r="GF223">
        <v>938017806</v>
      </c>
      <c r="GG223">
        <v>2</v>
      </c>
      <c r="GH223">
        <v>1</v>
      </c>
      <c r="GI223">
        <v>2</v>
      </c>
      <c r="GJ223">
        <v>0</v>
      </c>
      <c r="GK223">
        <v>0</v>
      </c>
      <c r="GL223">
        <f t="shared" si="233"/>
        <v>0</v>
      </c>
      <c r="GM223">
        <f t="shared" si="234"/>
        <v>2854.63</v>
      </c>
      <c r="GN223">
        <f t="shared" si="235"/>
        <v>0</v>
      </c>
      <c r="GO223">
        <f t="shared" si="236"/>
        <v>2854.63</v>
      </c>
      <c r="GP223">
        <f t="shared" si="237"/>
        <v>0</v>
      </c>
      <c r="GR223">
        <v>0</v>
      </c>
      <c r="GS223">
        <v>3</v>
      </c>
      <c r="GT223">
        <v>0</v>
      </c>
      <c r="GU223" t="s">
        <v>3</v>
      </c>
      <c r="GV223">
        <f t="shared" si="238"/>
        <v>0</v>
      </c>
      <c r="GW223">
        <v>1</v>
      </c>
      <c r="GX223">
        <f t="shared" si="239"/>
        <v>0</v>
      </c>
      <c r="HA223">
        <v>0</v>
      </c>
      <c r="HB223">
        <v>0</v>
      </c>
      <c r="HC223">
        <f t="shared" si="240"/>
        <v>0</v>
      </c>
      <c r="HE223" t="s">
        <v>3</v>
      </c>
      <c r="HF223" t="s">
        <v>3</v>
      </c>
      <c r="HM223" t="s">
        <v>3</v>
      </c>
      <c r="HN223" t="s">
        <v>3</v>
      </c>
      <c r="HO223" t="s">
        <v>3</v>
      </c>
      <c r="HP223" t="s">
        <v>3</v>
      </c>
      <c r="HQ223" t="s">
        <v>3</v>
      </c>
      <c r="HS223">
        <v>0</v>
      </c>
      <c r="IK223">
        <v>0</v>
      </c>
    </row>
    <row r="224" spans="1:255" x14ac:dyDescent="0.3">
      <c r="A224" s="2">
        <v>18</v>
      </c>
      <c r="B224" s="2">
        <v>1</v>
      </c>
      <c r="C224" s="2"/>
      <c r="D224" s="2"/>
      <c r="E224" s="2" t="s">
        <v>334</v>
      </c>
      <c r="F224" s="2" t="s">
        <v>335</v>
      </c>
      <c r="G224" s="2" t="s">
        <v>336</v>
      </c>
      <c r="H224" s="2" t="s">
        <v>32</v>
      </c>
      <c r="I224" s="2">
        <f>I222*J224</f>
        <v>1</v>
      </c>
      <c r="J224" s="2">
        <v>1</v>
      </c>
      <c r="K224" s="2">
        <v>1</v>
      </c>
      <c r="L224" s="2"/>
      <c r="M224" s="2"/>
      <c r="N224" s="2"/>
      <c r="O224" s="2">
        <f t="shared" si="211"/>
        <v>2519.9299999999998</v>
      </c>
      <c r="P224" s="2">
        <f>ROUND((ROUND((AC224*I224),2)*BC224),2)</f>
        <v>2519.9299999999998</v>
      </c>
      <c r="Q224" s="2">
        <f>(ROUND((ROUND(((ET224)*AV224*I224),2)*BB224),2)+ROUND((ROUND(((AE224-(EU224))*AV224*I224),2)*BS224),2))</f>
        <v>0</v>
      </c>
      <c r="R224" s="2">
        <f t="shared" si="212"/>
        <v>0</v>
      </c>
      <c r="S224" s="2">
        <f t="shared" si="213"/>
        <v>0</v>
      </c>
      <c r="T224" s="2">
        <f t="shared" si="214"/>
        <v>0</v>
      </c>
      <c r="U224" s="2">
        <f t="shared" si="215"/>
        <v>0</v>
      </c>
      <c r="V224" s="2">
        <f t="shared" si="216"/>
        <v>0</v>
      </c>
      <c r="W224" s="2">
        <f t="shared" si="217"/>
        <v>0</v>
      </c>
      <c r="X224" s="2">
        <f t="shared" si="218"/>
        <v>0</v>
      </c>
      <c r="Y224" s="2">
        <f t="shared" si="219"/>
        <v>0</v>
      </c>
      <c r="Z224" s="2"/>
      <c r="AA224" s="2">
        <v>56498966</v>
      </c>
      <c r="AB224" s="2">
        <f t="shared" si="220"/>
        <v>2519.9299999999998</v>
      </c>
      <c r="AC224" s="2">
        <f t="shared" si="221"/>
        <v>2519.9299999999998</v>
      </c>
      <c r="AD224" s="2">
        <f>ROUND((((ET224)-(EU224))+AE224),6)</f>
        <v>0</v>
      </c>
      <c r="AE224" s="2">
        <f>ROUND((EU224),6)</f>
        <v>0</v>
      </c>
      <c r="AF224" s="2">
        <f>ROUND((EV224),6)</f>
        <v>0</v>
      </c>
      <c r="AG224" s="2">
        <f t="shared" si="222"/>
        <v>0</v>
      </c>
      <c r="AH224" s="2">
        <f>(EW224)</f>
        <v>0</v>
      </c>
      <c r="AI224" s="2">
        <f>(EX224)</f>
        <v>0</v>
      </c>
      <c r="AJ224" s="2">
        <f t="shared" si="223"/>
        <v>0</v>
      </c>
      <c r="AK224" s="2">
        <v>2519.9299999999998</v>
      </c>
      <c r="AL224" s="2">
        <v>2519.9299999999998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3</v>
      </c>
      <c r="BJ224" s="2" t="s">
        <v>3</v>
      </c>
      <c r="BK224" s="2"/>
      <c r="BL224" s="2"/>
      <c r="BM224" s="2">
        <v>746</v>
      </c>
      <c r="BN224" s="2">
        <v>0</v>
      </c>
      <c r="BO224" s="2" t="s">
        <v>3</v>
      </c>
      <c r="BP224" s="2">
        <v>0</v>
      </c>
      <c r="BQ224" s="2">
        <v>130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90</v>
      </c>
      <c r="CA224" s="2">
        <v>46</v>
      </c>
      <c r="CB224" s="2" t="s">
        <v>3</v>
      </c>
      <c r="CC224" s="2"/>
      <c r="CD224" s="2"/>
      <c r="CE224" s="2">
        <v>30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3</v>
      </c>
      <c r="CO224" s="2">
        <v>0</v>
      </c>
      <c r="CP224" s="2">
        <f t="shared" si="224"/>
        <v>2519.9299999999998</v>
      </c>
      <c r="CQ224" s="2">
        <f>ROUND((ROUND((AC224*1),2)*BC224),2)</f>
        <v>2519.9299999999998</v>
      </c>
      <c r="CR224" s="2">
        <f>(ROUND((ROUND(((ET224)*AV224*1),2)*BB224),2)+ROUND((ROUND(((AE224-(EU224))*AV224*1),2)*BS224),2))</f>
        <v>0</v>
      </c>
      <c r="CS224" s="2">
        <f t="shared" si="225"/>
        <v>0</v>
      </c>
      <c r="CT224" s="2">
        <f t="shared" si="226"/>
        <v>0</v>
      </c>
      <c r="CU224" s="2">
        <f t="shared" si="227"/>
        <v>0</v>
      </c>
      <c r="CV224" s="2">
        <f t="shared" si="228"/>
        <v>0</v>
      </c>
      <c r="CW224" s="2">
        <f t="shared" si="229"/>
        <v>0</v>
      </c>
      <c r="CX224" s="2">
        <f t="shared" si="230"/>
        <v>0</v>
      </c>
      <c r="CY224" s="2">
        <f t="shared" si="231"/>
        <v>0</v>
      </c>
      <c r="CZ224" s="2">
        <f t="shared" si="232"/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1010</v>
      </c>
      <c r="DV224" s="2" t="s">
        <v>32</v>
      </c>
      <c r="DW224" s="2" t="s">
        <v>32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58162750</v>
      </c>
      <c r="EF224" s="2">
        <v>130</v>
      </c>
      <c r="EG224" s="2" t="s">
        <v>33</v>
      </c>
      <c r="EH224" s="2">
        <v>0</v>
      </c>
      <c r="EI224" s="2" t="s">
        <v>3</v>
      </c>
      <c r="EJ224" s="2">
        <v>3</v>
      </c>
      <c r="EK224" s="2">
        <v>746</v>
      </c>
      <c r="EL224" s="2" t="s">
        <v>34</v>
      </c>
      <c r="EM224" s="2" t="s">
        <v>35</v>
      </c>
      <c r="EN224" s="2"/>
      <c r="EO224" s="2" t="s">
        <v>3</v>
      </c>
      <c r="EP224" s="2"/>
      <c r="EQ224" s="2">
        <v>0</v>
      </c>
      <c r="ER224" s="2">
        <v>2519.9299999999998</v>
      </c>
      <c r="ES224" s="2">
        <v>2519.9299999999998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f>P224</f>
        <v>2519.9299999999998</v>
      </c>
      <c r="FS224" s="2">
        <v>0</v>
      </c>
      <c r="FT224" s="2"/>
      <c r="FU224" s="2"/>
      <c r="FV224" s="2"/>
      <c r="FW224" s="2"/>
      <c r="FX224" s="2">
        <v>90</v>
      </c>
      <c r="FY224" s="2">
        <v>46</v>
      </c>
      <c r="FZ224" s="2"/>
      <c r="GA224" s="2" t="s">
        <v>3</v>
      </c>
      <c r="GB224" s="2"/>
      <c r="GC224" s="2"/>
      <c r="GD224" s="2">
        <v>1</v>
      </c>
      <c r="GE224" s="2"/>
      <c r="GF224" s="2">
        <v>-1489050328</v>
      </c>
      <c r="GG224" s="2">
        <v>2</v>
      </c>
      <c r="GH224" s="2">
        <v>1</v>
      </c>
      <c r="GI224" s="2">
        <v>-2</v>
      </c>
      <c r="GJ224" s="2">
        <v>0</v>
      </c>
      <c r="GK224" s="2">
        <v>0</v>
      </c>
      <c r="GL224" s="2">
        <f t="shared" si="233"/>
        <v>0</v>
      </c>
      <c r="GM224" s="2">
        <f t="shared" si="234"/>
        <v>2519.9299999999998</v>
      </c>
      <c r="GN224" s="2">
        <f t="shared" si="235"/>
        <v>0</v>
      </c>
      <c r="GO224" s="2">
        <f t="shared" si="236"/>
        <v>0</v>
      </c>
      <c r="GP224" s="2">
        <f t="shared" si="237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38"/>
        <v>0</v>
      </c>
      <c r="GW224" s="2">
        <v>1</v>
      </c>
      <c r="GX224" s="2">
        <f t="shared" si="239"/>
        <v>0</v>
      </c>
      <c r="GY224" s="2"/>
      <c r="GZ224" s="2"/>
      <c r="HA224" s="2">
        <v>0</v>
      </c>
      <c r="HB224" s="2">
        <v>0</v>
      </c>
      <c r="HC224" s="2">
        <f t="shared" si="240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45" x14ac:dyDescent="0.3">
      <c r="A225">
        <v>18</v>
      </c>
      <c r="B225">
        <v>1</v>
      </c>
      <c r="E225" t="s">
        <v>334</v>
      </c>
      <c r="F225" t="s">
        <v>335</v>
      </c>
      <c r="G225" t="s">
        <v>336</v>
      </c>
      <c r="H225" t="s">
        <v>32</v>
      </c>
      <c r="I225">
        <f>I223*J225</f>
        <v>1</v>
      </c>
      <c r="J225">
        <v>1</v>
      </c>
      <c r="K225">
        <v>1</v>
      </c>
      <c r="O225">
        <f t="shared" si="211"/>
        <v>33893.06</v>
      </c>
      <c r="P225">
        <f>ROUND((ROUND((AC225*I225),2)*BC225),2)</f>
        <v>33893.06</v>
      </c>
      <c r="Q225">
        <f>(ROUND((ROUND(((ET225)*AV225*I225),2)*BB225),2)+ROUND((ROUND(((AE225-(EU225))*AV225*I225),2)*BS225),2))</f>
        <v>0</v>
      </c>
      <c r="R225">
        <f t="shared" si="212"/>
        <v>0</v>
      </c>
      <c r="S225">
        <f t="shared" si="213"/>
        <v>0</v>
      </c>
      <c r="T225">
        <f t="shared" si="214"/>
        <v>0</v>
      </c>
      <c r="U225">
        <f t="shared" si="215"/>
        <v>0</v>
      </c>
      <c r="V225">
        <f t="shared" si="216"/>
        <v>0</v>
      </c>
      <c r="W225">
        <f t="shared" si="217"/>
        <v>0</v>
      </c>
      <c r="X225">
        <f t="shared" si="218"/>
        <v>0</v>
      </c>
      <c r="Y225">
        <f t="shared" si="219"/>
        <v>0</v>
      </c>
      <c r="AA225">
        <v>56498968</v>
      </c>
      <c r="AB225">
        <f t="shared" si="220"/>
        <v>2519.9299999999998</v>
      </c>
      <c r="AC225">
        <f t="shared" si="221"/>
        <v>2519.9299999999998</v>
      </c>
      <c r="AD225">
        <f>ROUND((((ET225)-(EU225))+AE225),6)</f>
        <v>0</v>
      </c>
      <c r="AE225">
        <f>ROUND((EU225),6)</f>
        <v>0</v>
      </c>
      <c r="AF225">
        <f>ROUND((EV225),6)</f>
        <v>0</v>
      </c>
      <c r="AG225">
        <f t="shared" si="222"/>
        <v>0</v>
      </c>
      <c r="AH225">
        <f>(EW225)</f>
        <v>0</v>
      </c>
      <c r="AI225">
        <f>(EX225)</f>
        <v>0</v>
      </c>
      <c r="AJ225">
        <f t="shared" si="223"/>
        <v>0</v>
      </c>
      <c r="AK225">
        <v>2519.9299999999998</v>
      </c>
      <c r="AL225">
        <v>2519.9299999999998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Z225">
        <v>1</v>
      </c>
      <c r="BA225">
        <v>1</v>
      </c>
      <c r="BB225">
        <v>1</v>
      </c>
      <c r="BC225">
        <v>13.45</v>
      </c>
      <c r="BD225" t="s">
        <v>3</v>
      </c>
      <c r="BE225" t="s">
        <v>3</v>
      </c>
      <c r="BF225" t="s">
        <v>3</v>
      </c>
      <c r="BG225" t="s">
        <v>3</v>
      </c>
      <c r="BH225">
        <v>3</v>
      </c>
      <c r="BI225">
        <v>3</v>
      </c>
      <c r="BJ225" t="s">
        <v>3</v>
      </c>
      <c r="BM225">
        <v>746</v>
      </c>
      <c r="BN225">
        <v>0</v>
      </c>
      <c r="BO225" t="s">
        <v>3</v>
      </c>
      <c r="BP225">
        <v>0</v>
      </c>
      <c r="BQ225">
        <v>130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 t="s">
        <v>3</v>
      </c>
      <c r="BZ225">
        <v>90</v>
      </c>
      <c r="CA225">
        <v>46</v>
      </c>
      <c r="CB225" t="s">
        <v>3</v>
      </c>
      <c r="CE225">
        <v>30</v>
      </c>
      <c r="CF225">
        <v>0</v>
      </c>
      <c r="CG225">
        <v>0</v>
      </c>
      <c r="CM225">
        <v>0</v>
      </c>
      <c r="CN225" t="s">
        <v>3</v>
      </c>
      <c r="CO225">
        <v>0</v>
      </c>
      <c r="CP225">
        <f t="shared" si="224"/>
        <v>33893.06</v>
      </c>
      <c r="CQ225">
        <f>ROUND((ROUND((AC225*1),2)*BC225),2)</f>
        <v>33893.06</v>
      </c>
      <c r="CR225">
        <f>(ROUND((ROUND(((ET225)*AV225*1),2)*BB225),2)+ROUND((ROUND(((AE225-(EU225))*AV225*1),2)*BS225),2))</f>
        <v>0</v>
      </c>
      <c r="CS225">
        <f t="shared" si="225"/>
        <v>0</v>
      </c>
      <c r="CT225">
        <f t="shared" si="226"/>
        <v>0</v>
      </c>
      <c r="CU225">
        <f t="shared" si="227"/>
        <v>0</v>
      </c>
      <c r="CV225">
        <f t="shared" si="228"/>
        <v>0</v>
      </c>
      <c r="CW225">
        <f t="shared" si="229"/>
        <v>0</v>
      </c>
      <c r="CX225">
        <f t="shared" si="230"/>
        <v>0</v>
      </c>
      <c r="CY225">
        <f t="shared" si="231"/>
        <v>0</v>
      </c>
      <c r="CZ225">
        <f t="shared" si="232"/>
        <v>0</v>
      </c>
      <c r="DC225" t="s">
        <v>3</v>
      </c>
      <c r="DD225" t="s">
        <v>3</v>
      </c>
      <c r="DE225" t="s">
        <v>3</v>
      </c>
      <c r="DF225" t="s">
        <v>3</v>
      </c>
      <c r="DG225" t="s">
        <v>3</v>
      </c>
      <c r="DH225" t="s">
        <v>3</v>
      </c>
      <c r="DI225" t="s">
        <v>3</v>
      </c>
      <c r="DJ225" t="s">
        <v>3</v>
      </c>
      <c r="DK225" t="s">
        <v>3</v>
      </c>
      <c r="DL225" t="s">
        <v>3</v>
      </c>
      <c r="DM225" t="s">
        <v>3</v>
      </c>
      <c r="DN225">
        <v>0</v>
      </c>
      <c r="DO225">
        <v>0</v>
      </c>
      <c r="DP225">
        <v>1</v>
      </c>
      <c r="DQ225">
        <v>1</v>
      </c>
      <c r="DU225">
        <v>1010</v>
      </c>
      <c r="DV225" t="s">
        <v>32</v>
      </c>
      <c r="DW225" t="s">
        <v>32</v>
      </c>
      <c r="DX225">
        <v>1</v>
      </c>
      <c r="DZ225" t="s">
        <v>3</v>
      </c>
      <c r="EA225" t="s">
        <v>3</v>
      </c>
      <c r="EB225" t="s">
        <v>3</v>
      </c>
      <c r="EC225" t="s">
        <v>3</v>
      </c>
      <c r="EE225">
        <v>58162750</v>
      </c>
      <c r="EF225">
        <v>130</v>
      </c>
      <c r="EG225" t="s">
        <v>33</v>
      </c>
      <c r="EH225">
        <v>0</v>
      </c>
      <c r="EI225" t="s">
        <v>3</v>
      </c>
      <c r="EJ225">
        <v>3</v>
      </c>
      <c r="EK225">
        <v>746</v>
      </c>
      <c r="EL225" t="s">
        <v>34</v>
      </c>
      <c r="EM225" t="s">
        <v>35</v>
      </c>
      <c r="EO225" t="s">
        <v>3</v>
      </c>
      <c r="EQ225">
        <v>0</v>
      </c>
      <c r="ER225">
        <v>2519.9299999999998</v>
      </c>
      <c r="ES225">
        <v>2519.9299999999998</v>
      </c>
      <c r="ET225">
        <v>0</v>
      </c>
      <c r="EU225">
        <v>0</v>
      </c>
      <c r="EV225">
        <v>0</v>
      </c>
      <c r="EW225">
        <v>0</v>
      </c>
      <c r="EX225">
        <v>0</v>
      </c>
      <c r="FQ225">
        <v>0</v>
      </c>
      <c r="FR225">
        <f>P225</f>
        <v>33893.06</v>
      </c>
      <c r="FS225">
        <v>0</v>
      </c>
      <c r="FX225">
        <v>90</v>
      </c>
      <c r="FY225">
        <v>46</v>
      </c>
      <c r="GA225" t="s">
        <v>3</v>
      </c>
      <c r="GD225">
        <v>1</v>
      </c>
      <c r="GF225">
        <v>-1489050328</v>
      </c>
      <c r="GG225">
        <v>2</v>
      </c>
      <c r="GH225">
        <v>1</v>
      </c>
      <c r="GI225">
        <v>2</v>
      </c>
      <c r="GJ225">
        <v>0</v>
      </c>
      <c r="GK225">
        <v>0</v>
      </c>
      <c r="GL225">
        <f t="shared" si="233"/>
        <v>0</v>
      </c>
      <c r="GM225">
        <f t="shared" si="234"/>
        <v>33893.06</v>
      </c>
      <c r="GN225">
        <f t="shared" si="235"/>
        <v>0</v>
      </c>
      <c r="GO225">
        <f t="shared" si="236"/>
        <v>0</v>
      </c>
      <c r="GP225">
        <f t="shared" si="237"/>
        <v>0</v>
      </c>
      <c r="GR225">
        <v>0</v>
      </c>
      <c r="GS225">
        <v>3</v>
      </c>
      <c r="GT225">
        <v>0</v>
      </c>
      <c r="GU225" t="s">
        <v>3</v>
      </c>
      <c r="GV225">
        <f t="shared" si="238"/>
        <v>0</v>
      </c>
      <c r="GW225">
        <v>1</v>
      </c>
      <c r="GX225">
        <f t="shared" si="239"/>
        <v>0</v>
      </c>
      <c r="HA225">
        <v>0</v>
      </c>
      <c r="HB225">
        <v>0</v>
      </c>
      <c r="HC225">
        <f t="shared" si="240"/>
        <v>0</v>
      </c>
      <c r="HE225" t="s">
        <v>3</v>
      </c>
      <c r="HF225" t="s">
        <v>3</v>
      </c>
      <c r="HM225" t="s">
        <v>3</v>
      </c>
      <c r="HN225" t="s">
        <v>3</v>
      </c>
      <c r="HO225" t="s">
        <v>3</v>
      </c>
      <c r="HP225" t="s">
        <v>3</v>
      </c>
      <c r="HQ225" t="s">
        <v>3</v>
      </c>
      <c r="HS225">
        <v>0</v>
      </c>
      <c r="IK225">
        <v>0</v>
      </c>
    </row>
    <row r="227" spans="1:245" x14ac:dyDescent="0.3">
      <c r="A227" s="3">
        <v>51</v>
      </c>
      <c r="B227" s="3">
        <f>B212</f>
        <v>1</v>
      </c>
      <c r="C227" s="3">
        <f>A212</f>
        <v>4</v>
      </c>
      <c r="D227" s="3">
        <f>ROW(A212)</f>
        <v>212</v>
      </c>
      <c r="E227" s="3"/>
      <c r="F227" s="3" t="str">
        <f>IF(F212&lt;&gt;"",F212,"")</f>
        <v/>
      </c>
      <c r="G227" s="3" t="str">
        <f>IF(G212&lt;&gt;"",G212,"")</f>
        <v>АРМ диспетчера</v>
      </c>
      <c r="H227" s="3">
        <v>0</v>
      </c>
      <c r="I227" s="3"/>
      <c r="J227" s="3"/>
      <c r="K227" s="3"/>
      <c r="L227" s="3"/>
      <c r="M227" s="3"/>
      <c r="N227" s="3"/>
      <c r="O227" s="3">
        <f t="shared" ref="O227:T227" si="243">ROUND(AB227,2)</f>
        <v>20461.78</v>
      </c>
      <c r="P227" s="3">
        <f t="shared" si="243"/>
        <v>20338.21</v>
      </c>
      <c r="Q227" s="3">
        <f t="shared" si="243"/>
        <v>0.02</v>
      </c>
      <c r="R227" s="3">
        <f t="shared" si="243"/>
        <v>0</v>
      </c>
      <c r="S227" s="3">
        <f t="shared" si="243"/>
        <v>123.55</v>
      </c>
      <c r="T227" s="3">
        <f t="shared" si="243"/>
        <v>0</v>
      </c>
      <c r="U227" s="3">
        <f>AH227</f>
        <v>9.6282120000000013</v>
      </c>
      <c r="V227" s="3">
        <f>AI227</f>
        <v>0</v>
      </c>
      <c r="W227" s="3">
        <f>ROUND(AJ227,2)</f>
        <v>0</v>
      </c>
      <c r="X227" s="3">
        <f>ROUND(AK227,2)</f>
        <v>116.28</v>
      </c>
      <c r="Y227" s="3">
        <f>ROUND(AL227,2)</f>
        <v>63.95</v>
      </c>
      <c r="Z227" s="3"/>
      <c r="AA227" s="3"/>
      <c r="AB227" s="3">
        <f>ROUND(SUMIF(AA216:AA225,"=56498966",O216:O225),2)</f>
        <v>20461.78</v>
      </c>
      <c r="AC227" s="3">
        <f>ROUND(SUMIF(AA216:AA225,"=56498966",P216:P225),2)</f>
        <v>20338.21</v>
      </c>
      <c r="AD227" s="3">
        <f>ROUND(SUMIF(AA216:AA225,"=56498966",Q216:Q225),2)</f>
        <v>0.02</v>
      </c>
      <c r="AE227" s="3">
        <f>ROUND(SUMIF(AA216:AA225,"=56498966",R216:R225),2)</f>
        <v>0</v>
      </c>
      <c r="AF227" s="3">
        <f>ROUND(SUMIF(AA216:AA225,"=56498966",S216:S225),2)</f>
        <v>123.55</v>
      </c>
      <c r="AG227" s="3">
        <f>ROUND(SUMIF(AA216:AA225,"=56498966",T216:T225),2)</f>
        <v>0</v>
      </c>
      <c r="AH227" s="3">
        <f>SUMIF(AA216:AA225,"=56498966",U216:U225)</f>
        <v>9.6282120000000013</v>
      </c>
      <c r="AI227" s="3">
        <f>SUMIF(AA216:AA225,"=56498966",V216:V225)</f>
        <v>0</v>
      </c>
      <c r="AJ227" s="3">
        <f>ROUND(SUMIF(AA216:AA225,"=56498966",W216:W225),2)</f>
        <v>0</v>
      </c>
      <c r="AK227" s="3">
        <f>ROUND(SUMIF(AA216:AA225,"=56498966",X216:X225),2)</f>
        <v>116.28</v>
      </c>
      <c r="AL227" s="3">
        <f>ROUND(SUMIF(AA216:AA225,"=56498966",Y216:Y225),2)</f>
        <v>63.95</v>
      </c>
      <c r="AM227" s="3"/>
      <c r="AN227" s="3"/>
      <c r="AO227" s="3">
        <f t="shared" ref="AO227:BD227" si="244">ROUND(BX227,2)</f>
        <v>0</v>
      </c>
      <c r="AP227" s="3">
        <f t="shared" si="244"/>
        <v>20301</v>
      </c>
      <c r="AQ227" s="3">
        <f t="shared" si="244"/>
        <v>0</v>
      </c>
      <c r="AR227" s="3">
        <f t="shared" si="244"/>
        <v>20642.009999999998</v>
      </c>
      <c r="AS227" s="3">
        <f t="shared" si="244"/>
        <v>0</v>
      </c>
      <c r="AT227" s="3">
        <f t="shared" si="244"/>
        <v>341.01</v>
      </c>
      <c r="AU227" s="3">
        <f t="shared" si="244"/>
        <v>0</v>
      </c>
      <c r="AV227" s="3">
        <f t="shared" si="244"/>
        <v>20338.21</v>
      </c>
      <c r="AW227" s="3">
        <f t="shared" si="244"/>
        <v>37.21</v>
      </c>
      <c r="AX227" s="3">
        <f t="shared" si="244"/>
        <v>0</v>
      </c>
      <c r="AY227" s="3">
        <f t="shared" si="244"/>
        <v>37.21</v>
      </c>
      <c r="AZ227" s="3">
        <f t="shared" si="244"/>
        <v>20301</v>
      </c>
      <c r="BA227" s="3">
        <f t="shared" si="244"/>
        <v>0</v>
      </c>
      <c r="BB227" s="3">
        <f t="shared" si="244"/>
        <v>0</v>
      </c>
      <c r="BC227" s="3">
        <f t="shared" si="244"/>
        <v>0</v>
      </c>
      <c r="BD227" s="3">
        <f t="shared" si="244"/>
        <v>0</v>
      </c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>
        <f>ROUND(SUMIF(AA216:AA225,"=56498966",FQ216:FQ225),2)</f>
        <v>0</v>
      </c>
      <c r="BY227" s="3">
        <f>ROUND(SUMIF(AA216:AA225,"=56498966",FR216:FR225),2)</f>
        <v>20301</v>
      </c>
      <c r="BZ227" s="3">
        <f>ROUND(SUMIF(AA216:AA225,"=56498966",GL216:GL225),2)</f>
        <v>0</v>
      </c>
      <c r="CA227" s="3">
        <f>ROUND(SUMIF(AA216:AA225,"=56498966",GM216:GM225),2)</f>
        <v>20642.009999999998</v>
      </c>
      <c r="CB227" s="3">
        <f>ROUND(SUMIF(AA216:AA225,"=56498966",GN216:GN225),2)</f>
        <v>0</v>
      </c>
      <c r="CC227" s="3">
        <f>ROUND(SUMIF(AA216:AA225,"=56498966",GO216:GO225),2)</f>
        <v>341.01</v>
      </c>
      <c r="CD227" s="3">
        <f>ROUND(SUMIF(AA216:AA225,"=56498966",GP216:GP225),2)</f>
        <v>0</v>
      </c>
      <c r="CE227" s="3">
        <f>AC227-BX227</f>
        <v>20338.21</v>
      </c>
      <c r="CF227" s="3">
        <f>AC227-BY227</f>
        <v>37.209999999999127</v>
      </c>
      <c r="CG227" s="3">
        <f>BX227-BZ227</f>
        <v>0</v>
      </c>
      <c r="CH227" s="3">
        <f>AC227-BX227-BY227+BZ227</f>
        <v>37.209999999999127</v>
      </c>
      <c r="CI227" s="3">
        <f>BY227-BZ227</f>
        <v>20301</v>
      </c>
      <c r="CJ227" s="3">
        <f>ROUND(SUMIF(AA216:AA225,"=56498966",GX216:GX225),2)</f>
        <v>0</v>
      </c>
      <c r="CK227" s="3">
        <f>ROUND(SUMIF(AA216:AA225,"=56498966",GY216:GY225),2)</f>
        <v>0</v>
      </c>
      <c r="CL227" s="3">
        <f>ROUND(SUMIF(AA216:AA225,"=56498966",GZ216:GZ225),2)</f>
        <v>0</v>
      </c>
      <c r="CM227" s="3">
        <f>ROUND(SUMIF(AA216:AA225,"=56498966",HD216:HD225),2)</f>
        <v>0</v>
      </c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4">
        <f t="shared" ref="DG227:DL227" si="245">ROUND(DT227,2)</f>
        <v>177310.05</v>
      </c>
      <c r="DH227" s="4">
        <f t="shared" si="245"/>
        <v>170515.84</v>
      </c>
      <c r="DI227" s="4">
        <f t="shared" si="245"/>
        <v>0.2</v>
      </c>
      <c r="DJ227" s="4">
        <f t="shared" si="245"/>
        <v>0</v>
      </c>
      <c r="DK227" s="4">
        <f t="shared" si="245"/>
        <v>6794.01</v>
      </c>
      <c r="DL227" s="4">
        <f t="shared" si="245"/>
        <v>0</v>
      </c>
      <c r="DM227" s="4">
        <f>DZ227</f>
        <v>9.6282120000000013</v>
      </c>
      <c r="DN227" s="4">
        <f>EA227</f>
        <v>0</v>
      </c>
      <c r="DO227" s="4">
        <f>ROUND(EB227,2)</f>
        <v>0</v>
      </c>
      <c r="DP227" s="4">
        <f>ROUND(EC227,2)</f>
        <v>6394.35</v>
      </c>
      <c r="DQ227" s="4">
        <f>ROUND(ED227,2)</f>
        <v>3516.87</v>
      </c>
      <c r="DR227" s="4"/>
      <c r="DS227" s="4"/>
      <c r="DT227" s="4">
        <f>ROUND(SUMIF(AA216:AA225,"=56498968",O216:O225),2)</f>
        <v>177310.05</v>
      </c>
      <c r="DU227" s="4">
        <f>ROUND(SUMIF(AA216:AA225,"=56498968",P216:P225),2)</f>
        <v>170515.84</v>
      </c>
      <c r="DV227" s="4">
        <f>ROUND(SUMIF(AA216:AA225,"=56498968",Q216:Q225),2)</f>
        <v>0.2</v>
      </c>
      <c r="DW227" s="4">
        <f>ROUND(SUMIF(AA216:AA225,"=56498968",R216:R225),2)</f>
        <v>0</v>
      </c>
      <c r="DX227" s="4">
        <f>ROUND(SUMIF(AA216:AA225,"=56498968",S216:S225),2)</f>
        <v>6794.01</v>
      </c>
      <c r="DY227" s="4">
        <f>ROUND(SUMIF(AA216:AA225,"=56498968",T216:T225),2)</f>
        <v>0</v>
      </c>
      <c r="DZ227" s="4">
        <f>SUMIF(AA216:AA225,"=56498968",U216:U225)</f>
        <v>9.6282120000000013</v>
      </c>
      <c r="EA227" s="4">
        <f>SUMIF(AA216:AA225,"=56498968",V216:V225)</f>
        <v>0</v>
      </c>
      <c r="EB227" s="4">
        <f>ROUND(SUMIF(AA216:AA225,"=56498968",W216:W225),2)</f>
        <v>0</v>
      </c>
      <c r="EC227" s="4">
        <f>ROUND(SUMIF(AA216:AA225,"=56498968",X216:X225),2)</f>
        <v>6394.35</v>
      </c>
      <c r="ED227" s="4">
        <f>ROUND(SUMIF(AA216:AA225,"=56498968",Y216:Y225),2)</f>
        <v>3516.87</v>
      </c>
      <c r="EE227" s="4"/>
      <c r="EF227" s="4"/>
      <c r="EG227" s="4">
        <f t="shared" ref="EG227:EV227" si="246">ROUND(FP227,2)</f>
        <v>0</v>
      </c>
      <c r="EH227" s="4">
        <f t="shared" si="246"/>
        <v>170096.06</v>
      </c>
      <c r="EI227" s="4">
        <f t="shared" si="246"/>
        <v>0</v>
      </c>
      <c r="EJ227" s="4">
        <f t="shared" si="246"/>
        <v>187221.27</v>
      </c>
      <c r="EK227" s="4">
        <f t="shared" si="246"/>
        <v>0</v>
      </c>
      <c r="EL227" s="4">
        <f t="shared" si="246"/>
        <v>17125.21</v>
      </c>
      <c r="EM227" s="4">
        <f t="shared" si="246"/>
        <v>0</v>
      </c>
      <c r="EN227" s="4">
        <f t="shared" si="246"/>
        <v>170515.84</v>
      </c>
      <c r="EO227" s="4">
        <f t="shared" si="246"/>
        <v>419.78</v>
      </c>
      <c r="EP227" s="4">
        <f t="shared" si="246"/>
        <v>0</v>
      </c>
      <c r="EQ227" s="4">
        <f t="shared" si="246"/>
        <v>419.78</v>
      </c>
      <c r="ER227" s="4">
        <f t="shared" si="246"/>
        <v>170096.06</v>
      </c>
      <c r="ES227" s="4">
        <f t="shared" si="246"/>
        <v>0</v>
      </c>
      <c r="ET227" s="4">
        <f t="shared" si="246"/>
        <v>0</v>
      </c>
      <c r="EU227" s="4">
        <f t="shared" si="246"/>
        <v>0</v>
      </c>
      <c r="EV227" s="4">
        <f t="shared" si="246"/>
        <v>0</v>
      </c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>
        <f>ROUND(SUMIF(AA216:AA225,"=56498968",FQ216:FQ225),2)</f>
        <v>0</v>
      </c>
      <c r="FQ227" s="4">
        <f>ROUND(SUMIF(AA216:AA225,"=56498968",FR216:FR225),2)</f>
        <v>170096.06</v>
      </c>
      <c r="FR227" s="4">
        <f>ROUND(SUMIF(AA216:AA225,"=56498968",GL216:GL225),2)</f>
        <v>0</v>
      </c>
      <c r="FS227" s="4">
        <f>ROUND(SUMIF(AA216:AA225,"=56498968",GM216:GM225),2)</f>
        <v>187221.27</v>
      </c>
      <c r="FT227" s="4">
        <f>ROUND(SUMIF(AA216:AA225,"=56498968",GN216:GN225),2)</f>
        <v>0</v>
      </c>
      <c r="FU227" s="4">
        <f>ROUND(SUMIF(AA216:AA225,"=56498968",GO216:GO225),2)</f>
        <v>17125.21</v>
      </c>
      <c r="FV227" s="4">
        <f>ROUND(SUMIF(AA216:AA225,"=56498968",GP216:GP225),2)</f>
        <v>0</v>
      </c>
      <c r="FW227" s="4">
        <f>DU227-FP227</f>
        <v>170515.84</v>
      </c>
      <c r="FX227" s="4">
        <f>DU227-FQ227</f>
        <v>419.77999999999884</v>
      </c>
      <c r="FY227" s="4">
        <f>FP227-FR227</f>
        <v>0</v>
      </c>
      <c r="FZ227" s="4">
        <f>DU227-FP227-FQ227+FR227</f>
        <v>419.77999999999884</v>
      </c>
      <c r="GA227" s="4">
        <f>FQ227-FR227</f>
        <v>170096.06</v>
      </c>
      <c r="GB227" s="4">
        <f>ROUND(SUMIF(AA216:AA225,"=56498968",GX216:GX225),2)</f>
        <v>0</v>
      </c>
      <c r="GC227" s="4">
        <f>ROUND(SUMIF(AA216:AA225,"=56498968",GY216:GY225),2)</f>
        <v>0</v>
      </c>
      <c r="GD227" s="4">
        <f>ROUND(SUMIF(AA216:AA225,"=56498968",GZ216:GZ225),2)</f>
        <v>0</v>
      </c>
      <c r="GE227" s="4">
        <f>ROUND(SUMIF(AA216:AA225,"=56498968",HD216:HD225),2)</f>
        <v>0</v>
      </c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>
        <v>0</v>
      </c>
    </row>
    <row r="229" spans="1:245" x14ac:dyDescent="0.3">
      <c r="A229" s="5">
        <v>50</v>
      </c>
      <c r="B229" s="5">
        <v>0</v>
      </c>
      <c r="C229" s="5">
        <v>0</v>
      </c>
      <c r="D229" s="5">
        <v>1</v>
      </c>
      <c r="E229" s="5">
        <v>201</v>
      </c>
      <c r="F229" s="5">
        <f>ROUND(Source!O227,O229)</f>
        <v>20461.78</v>
      </c>
      <c r="G229" s="5" t="s">
        <v>194</v>
      </c>
      <c r="H229" s="5" t="s">
        <v>195</v>
      </c>
      <c r="I229" s="5"/>
      <c r="J229" s="5"/>
      <c r="K229" s="5">
        <v>201</v>
      </c>
      <c r="L229" s="5">
        <v>1</v>
      </c>
      <c r="M229" s="5">
        <v>3</v>
      </c>
      <c r="N229" s="5" t="s">
        <v>3</v>
      </c>
      <c r="O229" s="5">
        <v>2</v>
      </c>
      <c r="P229" s="5">
        <f>ROUND(Source!DG227,O229)</f>
        <v>177310.05</v>
      </c>
      <c r="Q229" s="5"/>
      <c r="R229" s="5"/>
      <c r="S229" s="5"/>
      <c r="T229" s="5"/>
      <c r="U229" s="5"/>
      <c r="V229" s="5"/>
      <c r="W229" s="5">
        <v>20461.78</v>
      </c>
      <c r="X229" s="5">
        <v>1</v>
      </c>
      <c r="Y229" s="5">
        <v>20461.78</v>
      </c>
      <c r="Z229" s="5">
        <v>177310.05</v>
      </c>
      <c r="AA229" s="5">
        <v>1</v>
      </c>
      <c r="AB229" s="5">
        <v>177310.05</v>
      </c>
    </row>
    <row r="230" spans="1:245" x14ac:dyDescent="0.3">
      <c r="A230" s="5">
        <v>50</v>
      </c>
      <c r="B230" s="5">
        <v>0</v>
      </c>
      <c r="C230" s="5">
        <v>0</v>
      </c>
      <c r="D230" s="5">
        <v>1</v>
      </c>
      <c r="E230" s="5">
        <v>202</v>
      </c>
      <c r="F230" s="5">
        <f>ROUND(Source!P227,O230)</f>
        <v>20338.21</v>
      </c>
      <c r="G230" s="5" t="s">
        <v>196</v>
      </c>
      <c r="H230" s="5" t="s">
        <v>197</v>
      </c>
      <c r="I230" s="5"/>
      <c r="J230" s="5"/>
      <c r="K230" s="5">
        <v>202</v>
      </c>
      <c r="L230" s="5">
        <v>2</v>
      </c>
      <c r="M230" s="5">
        <v>3</v>
      </c>
      <c r="N230" s="5" t="s">
        <v>3</v>
      </c>
      <c r="O230" s="5">
        <v>2</v>
      </c>
      <c r="P230" s="5">
        <f>ROUND(Source!DH227,O230)</f>
        <v>170515.84</v>
      </c>
      <c r="Q230" s="5"/>
      <c r="R230" s="5"/>
      <c r="S230" s="5"/>
      <c r="T230" s="5"/>
      <c r="U230" s="5"/>
      <c r="V230" s="5"/>
      <c r="W230" s="5">
        <v>20338.21</v>
      </c>
      <c r="X230" s="5">
        <v>1</v>
      </c>
      <c r="Y230" s="5">
        <v>20338.21</v>
      </c>
      <c r="Z230" s="5">
        <v>170515.84</v>
      </c>
      <c r="AA230" s="5">
        <v>1</v>
      </c>
      <c r="AB230" s="5">
        <v>170515.84</v>
      </c>
    </row>
    <row r="231" spans="1:245" x14ac:dyDescent="0.3">
      <c r="A231" s="5">
        <v>50</v>
      </c>
      <c r="B231" s="5">
        <v>0</v>
      </c>
      <c r="C231" s="5">
        <v>0</v>
      </c>
      <c r="D231" s="5">
        <v>1</v>
      </c>
      <c r="E231" s="5">
        <v>222</v>
      </c>
      <c r="F231" s="5">
        <f>ROUND(Source!AO227,O231)</f>
        <v>0</v>
      </c>
      <c r="G231" s="5" t="s">
        <v>198</v>
      </c>
      <c r="H231" s="5" t="s">
        <v>199</v>
      </c>
      <c r="I231" s="5"/>
      <c r="J231" s="5"/>
      <c r="K231" s="5">
        <v>222</v>
      </c>
      <c r="L231" s="5">
        <v>3</v>
      </c>
      <c r="M231" s="5">
        <v>3</v>
      </c>
      <c r="N231" s="5" t="s">
        <v>3</v>
      </c>
      <c r="O231" s="5">
        <v>2</v>
      </c>
      <c r="P231" s="5">
        <f>ROUND(Source!EG227,O231)</f>
        <v>0</v>
      </c>
      <c r="Q231" s="5"/>
      <c r="R231" s="5"/>
      <c r="S231" s="5"/>
      <c r="T231" s="5"/>
      <c r="U231" s="5"/>
      <c r="V231" s="5"/>
      <c r="W231" s="5">
        <v>0</v>
      </c>
      <c r="X231" s="5">
        <v>1</v>
      </c>
      <c r="Y231" s="5">
        <v>0</v>
      </c>
      <c r="Z231" s="5">
        <v>0</v>
      </c>
      <c r="AA231" s="5">
        <v>1</v>
      </c>
      <c r="AB231" s="5">
        <v>0</v>
      </c>
    </row>
    <row r="232" spans="1:245" x14ac:dyDescent="0.3">
      <c r="A232" s="5">
        <v>50</v>
      </c>
      <c r="B232" s="5">
        <v>0</v>
      </c>
      <c r="C232" s="5">
        <v>0</v>
      </c>
      <c r="D232" s="5">
        <v>1</v>
      </c>
      <c r="E232" s="5">
        <v>225</v>
      </c>
      <c r="F232" s="5">
        <f>ROUND(Source!AV227,O232)</f>
        <v>20338.21</v>
      </c>
      <c r="G232" s="5" t="s">
        <v>200</v>
      </c>
      <c r="H232" s="5" t="s">
        <v>201</v>
      </c>
      <c r="I232" s="5"/>
      <c r="J232" s="5"/>
      <c r="K232" s="5">
        <v>225</v>
      </c>
      <c r="L232" s="5">
        <v>4</v>
      </c>
      <c r="M232" s="5">
        <v>3</v>
      </c>
      <c r="N232" s="5" t="s">
        <v>3</v>
      </c>
      <c r="O232" s="5">
        <v>2</v>
      </c>
      <c r="P232" s="5">
        <f>ROUND(Source!EN227,O232)</f>
        <v>170515.84</v>
      </c>
      <c r="Q232" s="5"/>
      <c r="R232" s="5"/>
      <c r="S232" s="5"/>
      <c r="T232" s="5"/>
      <c r="U232" s="5"/>
      <c r="V232" s="5"/>
      <c r="W232" s="5">
        <v>20338.21</v>
      </c>
      <c r="X232" s="5">
        <v>1</v>
      </c>
      <c r="Y232" s="5">
        <v>20338.21</v>
      </c>
      <c r="Z232" s="5">
        <v>170515.84</v>
      </c>
      <c r="AA232" s="5">
        <v>1</v>
      </c>
      <c r="AB232" s="5">
        <v>170515.84</v>
      </c>
    </row>
    <row r="233" spans="1:245" x14ac:dyDescent="0.3">
      <c r="A233" s="5">
        <v>50</v>
      </c>
      <c r="B233" s="5">
        <v>0</v>
      </c>
      <c r="C233" s="5">
        <v>0</v>
      </c>
      <c r="D233" s="5">
        <v>1</v>
      </c>
      <c r="E233" s="5">
        <v>226</v>
      </c>
      <c r="F233" s="5">
        <f>ROUND(Source!AW227,O233)</f>
        <v>37.21</v>
      </c>
      <c r="G233" s="5" t="s">
        <v>202</v>
      </c>
      <c r="H233" s="5" t="s">
        <v>203</v>
      </c>
      <c r="I233" s="5"/>
      <c r="J233" s="5"/>
      <c r="K233" s="5">
        <v>226</v>
      </c>
      <c r="L233" s="5">
        <v>5</v>
      </c>
      <c r="M233" s="5">
        <v>3</v>
      </c>
      <c r="N233" s="5" t="s">
        <v>3</v>
      </c>
      <c r="O233" s="5">
        <v>2</v>
      </c>
      <c r="P233" s="5">
        <f>ROUND(Source!EO227,O233)</f>
        <v>419.78</v>
      </c>
      <c r="Q233" s="5"/>
      <c r="R233" s="5"/>
      <c r="S233" s="5"/>
      <c r="T233" s="5"/>
      <c r="U233" s="5"/>
      <c r="V233" s="5"/>
      <c r="W233" s="5">
        <v>37.21</v>
      </c>
      <c r="X233" s="5">
        <v>1</v>
      </c>
      <c r="Y233" s="5">
        <v>37.21</v>
      </c>
      <c r="Z233" s="5">
        <v>419.78</v>
      </c>
      <c r="AA233" s="5">
        <v>1</v>
      </c>
      <c r="AB233" s="5">
        <v>419.78</v>
      </c>
    </row>
    <row r="234" spans="1:245" x14ac:dyDescent="0.3">
      <c r="A234" s="5">
        <v>50</v>
      </c>
      <c r="B234" s="5">
        <v>0</v>
      </c>
      <c r="C234" s="5">
        <v>0</v>
      </c>
      <c r="D234" s="5">
        <v>1</v>
      </c>
      <c r="E234" s="5">
        <v>227</v>
      </c>
      <c r="F234" s="5">
        <f>ROUND(Source!AX227,O234)</f>
        <v>0</v>
      </c>
      <c r="G234" s="5" t="s">
        <v>204</v>
      </c>
      <c r="H234" s="5" t="s">
        <v>205</v>
      </c>
      <c r="I234" s="5"/>
      <c r="J234" s="5"/>
      <c r="K234" s="5">
        <v>227</v>
      </c>
      <c r="L234" s="5">
        <v>6</v>
      </c>
      <c r="M234" s="5">
        <v>3</v>
      </c>
      <c r="N234" s="5" t="s">
        <v>3</v>
      </c>
      <c r="O234" s="5">
        <v>2</v>
      </c>
      <c r="P234" s="5">
        <f>ROUND(Source!EP227,O234)</f>
        <v>0</v>
      </c>
      <c r="Q234" s="5"/>
      <c r="R234" s="5"/>
      <c r="S234" s="5"/>
      <c r="T234" s="5"/>
      <c r="U234" s="5"/>
      <c r="V234" s="5"/>
      <c r="W234" s="5">
        <v>0</v>
      </c>
      <c r="X234" s="5">
        <v>1</v>
      </c>
      <c r="Y234" s="5">
        <v>0</v>
      </c>
      <c r="Z234" s="5">
        <v>0</v>
      </c>
      <c r="AA234" s="5">
        <v>1</v>
      </c>
      <c r="AB234" s="5">
        <v>0</v>
      </c>
    </row>
    <row r="235" spans="1:245" x14ac:dyDescent="0.3">
      <c r="A235" s="5">
        <v>50</v>
      </c>
      <c r="B235" s="5">
        <v>0</v>
      </c>
      <c r="C235" s="5">
        <v>0</v>
      </c>
      <c r="D235" s="5">
        <v>1</v>
      </c>
      <c r="E235" s="5">
        <v>228</v>
      </c>
      <c r="F235" s="5">
        <f>ROUND(Source!AY227,O235)</f>
        <v>37.21</v>
      </c>
      <c r="G235" s="5" t="s">
        <v>206</v>
      </c>
      <c r="H235" s="5" t="s">
        <v>207</v>
      </c>
      <c r="I235" s="5"/>
      <c r="J235" s="5"/>
      <c r="K235" s="5">
        <v>228</v>
      </c>
      <c r="L235" s="5">
        <v>7</v>
      </c>
      <c r="M235" s="5">
        <v>3</v>
      </c>
      <c r="N235" s="5" t="s">
        <v>3</v>
      </c>
      <c r="O235" s="5">
        <v>2</v>
      </c>
      <c r="P235" s="5">
        <f>ROUND(Source!EQ227,O235)</f>
        <v>419.78</v>
      </c>
      <c r="Q235" s="5"/>
      <c r="R235" s="5"/>
      <c r="S235" s="5"/>
      <c r="T235" s="5"/>
      <c r="U235" s="5"/>
      <c r="V235" s="5"/>
      <c r="W235" s="5">
        <v>37.21</v>
      </c>
      <c r="X235" s="5">
        <v>1</v>
      </c>
      <c r="Y235" s="5">
        <v>37.21</v>
      </c>
      <c r="Z235" s="5">
        <v>419.78</v>
      </c>
      <c r="AA235" s="5">
        <v>1</v>
      </c>
      <c r="AB235" s="5">
        <v>419.78</v>
      </c>
    </row>
    <row r="236" spans="1:245" x14ac:dyDescent="0.3">
      <c r="A236" s="5">
        <v>50</v>
      </c>
      <c r="B236" s="5">
        <v>0</v>
      </c>
      <c r="C236" s="5">
        <v>0</v>
      </c>
      <c r="D236" s="5">
        <v>1</v>
      </c>
      <c r="E236" s="5">
        <v>216</v>
      </c>
      <c r="F236" s="5">
        <f>ROUND(Source!AP227,O236)</f>
        <v>20301</v>
      </c>
      <c r="G236" s="5" t="s">
        <v>208</v>
      </c>
      <c r="H236" s="5" t="s">
        <v>209</v>
      </c>
      <c r="I236" s="5"/>
      <c r="J236" s="5"/>
      <c r="K236" s="5">
        <v>216</v>
      </c>
      <c r="L236" s="5">
        <v>8</v>
      </c>
      <c r="M236" s="5">
        <v>3</v>
      </c>
      <c r="N236" s="5" t="s">
        <v>3</v>
      </c>
      <c r="O236" s="5">
        <v>2</v>
      </c>
      <c r="P236" s="5">
        <f>ROUND(Source!EH227,O236)</f>
        <v>170096.06</v>
      </c>
      <c r="Q236" s="5"/>
      <c r="R236" s="5"/>
      <c r="S236" s="5"/>
      <c r="T236" s="5"/>
      <c r="U236" s="5"/>
      <c r="V236" s="5"/>
      <c r="W236" s="5">
        <v>20301</v>
      </c>
      <c r="X236" s="5">
        <v>1</v>
      </c>
      <c r="Y236" s="5">
        <v>20301</v>
      </c>
      <c r="Z236" s="5">
        <v>170096.06</v>
      </c>
      <c r="AA236" s="5">
        <v>1</v>
      </c>
      <c r="AB236" s="5">
        <v>170096.06</v>
      </c>
    </row>
    <row r="237" spans="1:245" x14ac:dyDescent="0.3">
      <c r="A237" s="5">
        <v>50</v>
      </c>
      <c r="B237" s="5">
        <v>0</v>
      </c>
      <c r="C237" s="5">
        <v>0</v>
      </c>
      <c r="D237" s="5">
        <v>1</v>
      </c>
      <c r="E237" s="5">
        <v>223</v>
      </c>
      <c r="F237" s="5">
        <f>ROUND(Source!AQ227,O237)</f>
        <v>0</v>
      </c>
      <c r="G237" s="5" t="s">
        <v>210</v>
      </c>
      <c r="H237" s="5" t="s">
        <v>211</v>
      </c>
      <c r="I237" s="5"/>
      <c r="J237" s="5"/>
      <c r="K237" s="5">
        <v>223</v>
      </c>
      <c r="L237" s="5">
        <v>9</v>
      </c>
      <c r="M237" s="5">
        <v>3</v>
      </c>
      <c r="N237" s="5" t="s">
        <v>3</v>
      </c>
      <c r="O237" s="5">
        <v>2</v>
      </c>
      <c r="P237" s="5">
        <f>ROUND(Source!EI227,O237)</f>
        <v>0</v>
      </c>
      <c r="Q237" s="5"/>
      <c r="R237" s="5"/>
      <c r="S237" s="5"/>
      <c r="T237" s="5"/>
      <c r="U237" s="5"/>
      <c r="V237" s="5"/>
      <c r="W237" s="5">
        <v>0</v>
      </c>
      <c r="X237" s="5">
        <v>1</v>
      </c>
      <c r="Y237" s="5">
        <v>0</v>
      </c>
      <c r="Z237" s="5">
        <v>0</v>
      </c>
      <c r="AA237" s="5">
        <v>1</v>
      </c>
      <c r="AB237" s="5">
        <v>0</v>
      </c>
    </row>
    <row r="238" spans="1:245" x14ac:dyDescent="0.3">
      <c r="A238" s="5">
        <v>50</v>
      </c>
      <c r="B238" s="5">
        <v>0</v>
      </c>
      <c r="C238" s="5">
        <v>0</v>
      </c>
      <c r="D238" s="5">
        <v>1</v>
      </c>
      <c r="E238" s="5">
        <v>229</v>
      </c>
      <c r="F238" s="5">
        <f>ROUND(Source!AZ227,O238)</f>
        <v>20301</v>
      </c>
      <c r="G238" s="5" t="s">
        <v>212</v>
      </c>
      <c r="H238" s="5" t="s">
        <v>213</v>
      </c>
      <c r="I238" s="5"/>
      <c r="J238" s="5"/>
      <c r="K238" s="5">
        <v>229</v>
      </c>
      <c r="L238" s="5">
        <v>10</v>
      </c>
      <c r="M238" s="5">
        <v>3</v>
      </c>
      <c r="N238" s="5" t="s">
        <v>3</v>
      </c>
      <c r="O238" s="5">
        <v>2</v>
      </c>
      <c r="P238" s="5">
        <f>ROUND(Source!ER227,O238)</f>
        <v>170096.06</v>
      </c>
      <c r="Q238" s="5"/>
      <c r="R238" s="5"/>
      <c r="S238" s="5"/>
      <c r="T238" s="5"/>
      <c r="U238" s="5"/>
      <c r="V238" s="5"/>
      <c r="W238" s="5">
        <v>20301</v>
      </c>
      <c r="X238" s="5">
        <v>1</v>
      </c>
      <c r="Y238" s="5">
        <v>20301</v>
      </c>
      <c r="Z238" s="5">
        <v>170096.06</v>
      </c>
      <c r="AA238" s="5">
        <v>1</v>
      </c>
      <c r="AB238" s="5">
        <v>170096.06</v>
      </c>
    </row>
    <row r="239" spans="1:245" x14ac:dyDescent="0.3">
      <c r="A239" s="5">
        <v>50</v>
      </c>
      <c r="B239" s="5">
        <v>0</v>
      </c>
      <c r="C239" s="5">
        <v>0</v>
      </c>
      <c r="D239" s="5">
        <v>1</v>
      </c>
      <c r="E239" s="5">
        <v>203</v>
      </c>
      <c r="F239" s="5">
        <f>ROUND(Source!Q227,O239)</f>
        <v>0.02</v>
      </c>
      <c r="G239" s="5" t="s">
        <v>214</v>
      </c>
      <c r="H239" s="5" t="s">
        <v>215</v>
      </c>
      <c r="I239" s="5"/>
      <c r="J239" s="5"/>
      <c r="K239" s="5">
        <v>203</v>
      </c>
      <c r="L239" s="5">
        <v>11</v>
      </c>
      <c r="M239" s="5">
        <v>3</v>
      </c>
      <c r="N239" s="5" t="s">
        <v>3</v>
      </c>
      <c r="O239" s="5">
        <v>2</v>
      </c>
      <c r="P239" s="5">
        <f>ROUND(Source!DI227,O239)</f>
        <v>0.2</v>
      </c>
      <c r="Q239" s="5"/>
      <c r="R239" s="5"/>
      <c r="S239" s="5"/>
      <c r="T239" s="5"/>
      <c r="U239" s="5"/>
      <c r="V239" s="5"/>
      <c r="W239" s="5">
        <v>0.02</v>
      </c>
      <c r="X239" s="5">
        <v>1</v>
      </c>
      <c r="Y239" s="5">
        <v>0.02</v>
      </c>
      <c r="Z239" s="5">
        <v>0.2</v>
      </c>
      <c r="AA239" s="5">
        <v>1</v>
      </c>
      <c r="AB239" s="5">
        <v>0.2</v>
      </c>
    </row>
    <row r="240" spans="1:245" x14ac:dyDescent="0.3">
      <c r="A240" s="5">
        <v>50</v>
      </c>
      <c r="B240" s="5">
        <v>0</v>
      </c>
      <c r="C240" s="5">
        <v>0</v>
      </c>
      <c r="D240" s="5">
        <v>1</v>
      </c>
      <c r="E240" s="5">
        <v>231</v>
      </c>
      <c r="F240" s="5">
        <f>ROUND(Source!BB227,O240)</f>
        <v>0</v>
      </c>
      <c r="G240" s="5" t="s">
        <v>216</v>
      </c>
      <c r="H240" s="5" t="s">
        <v>217</v>
      </c>
      <c r="I240" s="5"/>
      <c r="J240" s="5"/>
      <c r="K240" s="5">
        <v>231</v>
      </c>
      <c r="L240" s="5">
        <v>12</v>
      </c>
      <c r="M240" s="5">
        <v>3</v>
      </c>
      <c r="N240" s="5" t="s">
        <v>3</v>
      </c>
      <c r="O240" s="5">
        <v>2</v>
      </c>
      <c r="P240" s="5">
        <f>ROUND(Source!ET227,O240)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28" x14ac:dyDescent="0.3">
      <c r="A241" s="5">
        <v>50</v>
      </c>
      <c r="B241" s="5">
        <v>0</v>
      </c>
      <c r="C241" s="5">
        <v>0</v>
      </c>
      <c r="D241" s="5">
        <v>1</v>
      </c>
      <c r="E241" s="5">
        <v>204</v>
      </c>
      <c r="F241" s="5">
        <f>ROUND(Source!R227,O241)</f>
        <v>0</v>
      </c>
      <c r="G241" s="5" t="s">
        <v>218</v>
      </c>
      <c r="H241" s="5" t="s">
        <v>219</v>
      </c>
      <c r="I241" s="5"/>
      <c r="J241" s="5"/>
      <c r="K241" s="5">
        <v>204</v>
      </c>
      <c r="L241" s="5">
        <v>13</v>
      </c>
      <c r="M241" s="5">
        <v>3</v>
      </c>
      <c r="N241" s="5" t="s">
        <v>3</v>
      </c>
      <c r="O241" s="5">
        <v>2</v>
      </c>
      <c r="P241" s="5">
        <f>ROUND(Source!DJ227,O241)</f>
        <v>0</v>
      </c>
      <c r="Q241" s="5"/>
      <c r="R241" s="5"/>
      <c r="S241" s="5"/>
      <c r="T241" s="5"/>
      <c r="U241" s="5"/>
      <c r="V241" s="5"/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</row>
    <row r="242" spans="1:28" x14ac:dyDescent="0.3">
      <c r="A242" s="5">
        <v>50</v>
      </c>
      <c r="B242" s="5">
        <v>0</v>
      </c>
      <c r="C242" s="5">
        <v>0</v>
      </c>
      <c r="D242" s="5">
        <v>1</v>
      </c>
      <c r="E242" s="5">
        <v>205</v>
      </c>
      <c r="F242" s="5">
        <f>ROUND(Source!S227,O242)</f>
        <v>123.55</v>
      </c>
      <c r="G242" s="5" t="s">
        <v>220</v>
      </c>
      <c r="H242" s="5" t="s">
        <v>221</v>
      </c>
      <c r="I242" s="5"/>
      <c r="J242" s="5"/>
      <c r="K242" s="5">
        <v>205</v>
      </c>
      <c r="L242" s="5">
        <v>14</v>
      </c>
      <c r="M242" s="5">
        <v>3</v>
      </c>
      <c r="N242" s="5" t="s">
        <v>3</v>
      </c>
      <c r="O242" s="5">
        <v>2</v>
      </c>
      <c r="P242" s="5">
        <f>ROUND(Source!DK227,O242)</f>
        <v>6794.01</v>
      </c>
      <c r="Q242" s="5"/>
      <c r="R242" s="5"/>
      <c r="S242" s="5"/>
      <c r="T242" s="5"/>
      <c r="U242" s="5"/>
      <c r="V242" s="5"/>
      <c r="W242" s="5">
        <v>123.55</v>
      </c>
      <c r="X242" s="5">
        <v>1</v>
      </c>
      <c r="Y242" s="5">
        <v>123.55</v>
      </c>
      <c r="Z242" s="5">
        <v>6794.01</v>
      </c>
      <c r="AA242" s="5">
        <v>1</v>
      </c>
      <c r="AB242" s="5">
        <v>6794.01</v>
      </c>
    </row>
    <row r="243" spans="1:28" x14ac:dyDescent="0.3">
      <c r="A243" s="5">
        <v>50</v>
      </c>
      <c r="B243" s="5">
        <v>0</v>
      </c>
      <c r="C243" s="5">
        <v>0</v>
      </c>
      <c r="D243" s="5">
        <v>1</v>
      </c>
      <c r="E243" s="5">
        <v>232</v>
      </c>
      <c r="F243" s="5">
        <f>ROUND(Source!BC227,O243)</f>
        <v>0</v>
      </c>
      <c r="G243" s="5" t="s">
        <v>222</v>
      </c>
      <c r="H243" s="5" t="s">
        <v>223</v>
      </c>
      <c r="I243" s="5"/>
      <c r="J243" s="5"/>
      <c r="K243" s="5">
        <v>232</v>
      </c>
      <c r="L243" s="5">
        <v>15</v>
      </c>
      <c r="M243" s="5">
        <v>3</v>
      </c>
      <c r="N243" s="5" t="s">
        <v>3</v>
      </c>
      <c r="O243" s="5">
        <v>2</v>
      </c>
      <c r="P243" s="5">
        <f>ROUND(Source!EU227,O243)</f>
        <v>0</v>
      </c>
      <c r="Q243" s="5"/>
      <c r="R243" s="5"/>
      <c r="S243" s="5"/>
      <c r="T243" s="5"/>
      <c r="U243" s="5"/>
      <c r="V243" s="5"/>
      <c r="W243" s="5">
        <v>0</v>
      </c>
      <c r="X243" s="5">
        <v>1</v>
      </c>
      <c r="Y243" s="5">
        <v>0</v>
      </c>
      <c r="Z243" s="5">
        <v>0</v>
      </c>
      <c r="AA243" s="5">
        <v>1</v>
      </c>
      <c r="AB243" s="5">
        <v>0</v>
      </c>
    </row>
    <row r="244" spans="1:28" x14ac:dyDescent="0.3">
      <c r="A244" s="5">
        <v>50</v>
      </c>
      <c r="B244" s="5">
        <v>0</v>
      </c>
      <c r="C244" s="5">
        <v>0</v>
      </c>
      <c r="D244" s="5">
        <v>1</v>
      </c>
      <c r="E244" s="5">
        <v>214</v>
      </c>
      <c r="F244" s="5">
        <f>ROUND(Source!AS227,O244)</f>
        <v>0</v>
      </c>
      <c r="G244" s="5" t="s">
        <v>224</v>
      </c>
      <c r="H244" s="5" t="s">
        <v>225</v>
      </c>
      <c r="I244" s="5"/>
      <c r="J244" s="5"/>
      <c r="K244" s="5">
        <v>214</v>
      </c>
      <c r="L244" s="5">
        <v>16</v>
      </c>
      <c r="M244" s="5">
        <v>3</v>
      </c>
      <c r="N244" s="5" t="s">
        <v>3</v>
      </c>
      <c r="O244" s="5">
        <v>2</v>
      </c>
      <c r="P244" s="5">
        <f>ROUND(Source!EK227,O244)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28" x14ac:dyDescent="0.3">
      <c r="A245" s="5">
        <v>50</v>
      </c>
      <c r="B245" s="5">
        <v>0</v>
      </c>
      <c r="C245" s="5">
        <v>0</v>
      </c>
      <c r="D245" s="5">
        <v>1</v>
      </c>
      <c r="E245" s="5">
        <v>215</v>
      </c>
      <c r="F245" s="5">
        <f>ROUND(Source!AT227,O245)</f>
        <v>341.01</v>
      </c>
      <c r="G245" s="5" t="s">
        <v>226</v>
      </c>
      <c r="H245" s="5" t="s">
        <v>227</v>
      </c>
      <c r="I245" s="5"/>
      <c r="J245" s="5"/>
      <c r="K245" s="5">
        <v>215</v>
      </c>
      <c r="L245" s="5">
        <v>17</v>
      </c>
      <c r="M245" s="5">
        <v>3</v>
      </c>
      <c r="N245" s="5" t="s">
        <v>3</v>
      </c>
      <c r="O245" s="5">
        <v>2</v>
      </c>
      <c r="P245" s="5">
        <f>ROUND(Source!EL227,O245)</f>
        <v>17125.21</v>
      </c>
      <c r="Q245" s="5"/>
      <c r="R245" s="5"/>
      <c r="S245" s="5"/>
      <c r="T245" s="5"/>
      <c r="U245" s="5"/>
      <c r="V245" s="5"/>
      <c r="W245" s="5">
        <v>341.01</v>
      </c>
      <c r="X245" s="5">
        <v>1</v>
      </c>
      <c r="Y245" s="5">
        <v>341.01</v>
      </c>
      <c r="Z245" s="5">
        <v>17125.21</v>
      </c>
      <c r="AA245" s="5">
        <v>1</v>
      </c>
      <c r="AB245" s="5">
        <v>17125.21</v>
      </c>
    </row>
    <row r="246" spans="1:28" x14ac:dyDescent="0.3">
      <c r="A246" s="5">
        <v>50</v>
      </c>
      <c r="B246" s="5">
        <v>0</v>
      </c>
      <c r="C246" s="5">
        <v>0</v>
      </c>
      <c r="D246" s="5">
        <v>1</v>
      </c>
      <c r="E246" s="5">
        <v>217</v>
      </c>
      <c r="F246" s="5">
        <f>ROUND(Source!AU227,O246)</f>
        <v>0</v>
      </c>
      <c r="G246" s="5" t="s">
        <v>228</v>
      </c>
      <c r="H246" s="5" t="s">
        <v>229</v>
      </c>
      <c r="I246" s="5"/>
      <c r="J246" s="5"/>
      <c r="K246" s="5">
        <v>217</v>
      </c>
      <c r="L246" s="5">
        <v>18</v>
      </c>
      <c r="M246" s="5">
        <v>3</v>
      </c>
      <c r="N246" s="5" t="s">
        <v>3</v>
      </c>
      <c r="O246" s="5">
        <v>2</v>
      </c>
      <c r="P246" s="5">
        <f>ROUND(Source!EM227,O246)</f>
        <v>0</v>
      </c>
      <c r="Q246" s="5"/>
      <c r="R246" s="5"/>
      <c r="S246" s="5"/>
      <c r="T246" s="5"/>
      <c r="U246" s="5"/>
      <c r="V246" s="5"/>
      <c r="W246" s="5">
        <v>0</v>
      </c>
      <c r="X246" s="5">
        <v>1</v>
      </c>
      <c r="Y246" s="5">
        <v>0</v>
      </c>
      <c r="Z246" s="5">
        <v>0</v>
      </c>
      <c r="AA246" s="5">
        <v>1</v>
      </c>
      <c r="AB246" s="5">
        <v>0</v>
      </c>
    </row>
    <row r="247" spans="1:28" x14ac:dyDescent="0.3">
      <c r="A247" s="5">
        <v>50</v>
      </c>
      <c r="B247" s="5">
        <v>0</v>
      </c>
      <c r="C247" s="5">
        <v>0</v>
      </c>
      <c r="D247" s="5">
        <v>1</v>
      </c>
      <c r="E247" s="5">
        <v>230</v>
      </c>
      <c r="F247" s="5">
        <f>ROUND(Source!BA227,O247)</f>
        <v>0</v>
      </c>
      <c r="G247" s="5" t="s">
        <v>230</v>
      </c>
      <c r="H247" s="5" t="s">
        <v>231</v>
      </c>
      <c r="I247" s="5"/>
      <c r="J247" s="5"/>
      <c r="K247" s="5">
        <v>230</v>
      </c>
      <c r="L247" s="5">
        <v>19</v>
      </c>
      <c r="M247" s="5">
        <v>3</v>
      </c>
      <c r="N247" s="5" t="s">
        <v>3</v>
      </c>
      <c r="O247" s="5">
        <v>2</v>
      </c>
      <c r="P247" s="5">
        <f>ROUND(Source!ES227,O247)</f>
        <v>0</v>
      </c>
      <c r="Q247" s="5"/>
      <c r="R247" s="5"/>
      <c r="S247" s="5"/>
      <c r="T247" s="5"/>
      <c r="U247" s="5"/>
      <c r="V247" s="5"/>
      <c r="W247" s="5">
        <v>0</v>
      </c>
      <c r="X247" s="5">
        <v>1</v>
      </c>
      <c r="Y247" s="5">
        <v>0</v>
      </c>
      <c r="Z247" s="5">
        <v>0</v>
      </c>
      <c r="AA247" s="5">
        <v>1</v>
      </c>
      <c r="AB247" s="5">
        <v>0</v>
      </c>
    </row>
    <row r="248" spans="1:28" x14ac:dyDescent="0.3">
      <c r="A248" s="5">
        <v>50</v>
      </c>
      <c r="B248" s="5">
        <v>0</v>
      </c>
      <c r="C248" s="5">
        <v>0</v>
      </c>
      <c r="D248" s="5">
        <v>1</v>
      </c>
      <c r="E248" s="5">
        <v>206</v>
      </c>
      <c r="F248" s="5">
        <f>ROUND(Source!T227,O248)</f>
        <v>0</v>
      </c>
      <c r="G248" s="5" t="s">
        <v>232</v>
      </c>
      <c r="H248" s="5" t="s">
        <v>233</v>
      </c>
      <c r="I248" s="5"/>
      <c r="J248" s="5"/>
      <c r="K248" s="5">
        <v>206</v>
      </c>
      <c r="L248" s="5">
        <v>20</v>
      </c>
      <c r="M248" s="5">
        <v>3</v>
      </c>
      <c r="N248" s="5" t="s">
        <v>3</v>
      </c>
      <c r="O248" s="5">
        <v>2</v>
      </c>
      <c r="P248" s="5">
        <f>ROUND(Source!DL227,O248)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28" x14ac:dyDescent="0.3">
      <c r="A249" s="5">
        <v>50</v>
      </c>
      <c r="B249" s="5">
        <v>0</v>
      </c>
      <c r="C249" s="5">
        <v>0</v>
      </c>
      <c r="D249" s="5">
        <v>1</v>
      </c>
      <c r="E249" s="5">
        <v>207</v>
      </c>
      <c r="F249" s="5">
        <f>Source!U227</f>
        <v>9.6282120000000013</v>
      </c>
      <c r="G249" s="5" t="s">
        <v>234</v>
      </c>
      <c r="H249" s="5" t="s">
        <v>235</v>
      </c>
      <c r="I249" s="5"/>
      <c r="J249" s="5"/>
      <c r="K249" s="5">
        <v>207</v>
      </c>
      <c r="L249" s="5">
        <v>21</v>
      </c>
      <c r="M249" s="5">
        <v>3</v>
      </c>
      <c r="N249" s="5" t="s">
        <v>3</v>
      </c>
      <c r="O249" s="5">
        <v>-1</v>
      </c>
      <c r="P249" s="5">
        <f>Source!DM227</f>
        <v>9.6282120000000013</v>
      </c>
      <c r="Q249" s="5"/>
      <c r="R249" s="5"/>
      <c r="S249" s="5"/>
      <c r="T249" s="5"/>
      <c r="U249" s="5"/>
      <c r="V249" s="5"/>
      <c r="W249" s="5">
        <v>9.6282119999999995</v>
      </c>
      <c r="X249" s="5">
        <v>1</v>
      </c>
      <c r="Y249" s="5">
        <v>9.6282119999999995</v>
      </c>
      <c r="Z249" s="5">
        <v>9.6282119999999995</v>
      </c>
      <c r="AA249" s="5">
        <v>1</v>
      </c>
      <c r="AB249" s="5">
        <v>9.6282119999999995</v>
      </c>
    </row>
    <row r="250" spans="1:28" x14ac:dyDescent="0.3">
      <c r="A250" s="5">
        <v>50</v>
      </c>
      <c r="B250" s="5">
        <v>0</v>
      </c>
      <c r="C250" s="5">
        <v>0</v>
      </c>
      <c r="D250" s="5">
        <v>1</v>
      </c>
      <c r="E250" s="5">
        <v>208</v>
      </c>
      <c r="F250" s="5">
        <f>Source!V227</f>
        <v>0</v>
      </c>
      <c r="G250" s="5" t="s">
        <v>236</v>
      </c>
      <c r="H250" s="5" t="s">
        <v>237</v>
      </c>
      <c r="I250" s="5"/>
      <c r="J250" s="5"/>
      <c r="K250" s="5">
        <v>208</v>
      </c>
      <c r="L250" s="5">
        <v>22</v>
      </c>
      <c r="M250" s="5">
        <v>3</v>
      </c>
      <c r="N250" s="5" t="s">
        <v>3</v>
      </c>
      <c r="O250" s="5">
        <v>-1</v>
      </c>
      <c r="P250" s="5">
        <f>Source!DN227</f>
        <v>0</v>
      </c>
      <c r="Q250" s="5"/>
      <c r="R250" s="5"/>
      <c r="S250" s="5"/>
      <c r="T250" s="5"/>
      <c r="U250" s="5"/>
      <c r="V250" s="5"/>
      <c r="W250" s="5">
        <v>0</v>
      </c>
      <c r="X250" s="5">
        <v>1</v>
      </c>
      <c r="Y250" s="5">
        <v>0</v>
      </c>
      <c r="Z250" s="5">
        <v>0</v>
      </c>
      <c r="AA250" s="5">
        <v>1</v>
      </c>
      <c r="AB250" s="5">
        <v>0</v>
      </c>
    </row>
    <row r="251" spans="1:28" x14ac:dyDescent="0.3">
      <c r="A251" s="5">
        <v>50</v>
      </c>
      <c r="B251" s="5">
        <v>0</v>
      </c>
      <c r="C251" s="5">
        <v>0</v>
      </c>
      <c r="D251" s="5">
        <v>1</v>
      </c>
      <c r="E251" s="5">
        <v>209</v>
      </c>
      <c r="F251" s="5">
        <f>ROUND(Source!W227,O251)</f>
        <v>0</v>
      </c>
      <c r="G251" s="5" t="s">
        <v>238</v>
      </c>
      <c r="H251" s="5" t="s">
        <v>239</v>
      </c>
      <c r="I251" s="5"/>
      <c r="J251" s="5"/>
      <c r="K251" s="5">
        <v>209</v>
      </c>
      <c r="L251" s="5">
        <v>23</v>
      </c>
      <c r="M251" s="5">
        <v>3</v>
      </c>
      <c r="N251" s="5" t="s">
        <v>3</v>
      </c>
      <c r="O251" s="5">
        <v>2</v>
      </c>
      <c r="P251" s="5">
        <f>ROUND(Source!DO227,O251)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28" x14ac:dyDescent="0.3">
      <c r="A252" s="5">
        <v>50</v>
      </c>
      <c r="B252" s="5">
        <v>0</v>
      </c>
      <c r="C252" s="5">
        <v>0</v>
      </c>
      <c r="D252" s="5">
        <v>1</v>
      </c>
      <c r="E252" s="5">
        <v>233</v>
      </c>
      <c r="F252" s="5">
        <f>ROUND(Source!BD227,O252)</f>
        <v>0</v>
      </c>
      <c r="G252" s="5" t="s">
        <v>240</v>
      </c>
      <c r="H252" s="5" t="s">
        <v>241</v>
      </c>
      <c r="I252" s="5"/>
      <c r="J252" s="5"/>
      <c r="K252" s="5">
        <v>233</v>
      </c>
      <c r="L252" s="5">
        <v>24</v>
      </c>
      <c r="M252" s="5">
        <v>3</v>
      </c>
      <c r="N252" s="5" t="s">
        <v>3</v>
      </c>
      <c r="O252" s="5">
        <v>2</v>
      </c>
      <c r="P252" s="5">
        <f>ROUND(Source!EV227,O252)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28" x14ac:dyDescent="0.3">
      <c r="A253" s="5">
        <v>50</v>
      </c>
      <c r="B253" s="5">
        <v>0</v>
      </c>
      <c r="C253" s="5">
        <v>0</v>
      </c>
      <c r="D253" s="5">
        <v>1</v>
      </c>
      <c r="E253" s="5">
        <v>210</v>
      </c>
      <c r="F253" s="5">
        <f>ROUND(Source!X227,O253)</f>
        <v>116.28</v>
      </c>
      <c r="G253" s="5" t="s">
        <v>242</v>
      </c>
      <c r="H253" s="5" t="s">
        <v>243</v>
      </c>
      <c r="I253" s="5"/>
      <c r="J253" s="5"/>
      <c r="K253" s="5">
        <v>210</v>
      </c>
      <c r="L253" s="5">
        <v>25</v>
      </c>
      <c r="M253" s="5">
        <v>3</v>
      </c>
      <c r="N253" s="5" t="s">
        <v>3</v>
      </c>
      <c r="O253" s="5">
        <v>2</v>
      </c>
      <c r="P253" s="5">
        <f>ROUND(Source!DP227,O253)</f>
        <v>6394.35</v>
      </c>
      <c r="Q253" s="5"/>
      <c r="R253" s="5"/>
      <c r="S253" s="5"/>
      <c r="T253" s="5"/>
      <c r="U253" s="5"/>
      <c r="V253" s="5"/>
      <c r="W253" s="5">
        <v>116.28</v>
      </c>
      <c r="X253" s="5">
        <v>1</v>
      </c>
      <c r="Y253" s="5">
        <v>116.28</v>
      </c>
      <c r="Z253" s="5">
        <v>6394.35</v>
      </c>
      <c r="AA253" s="5">
        <v>1</v>
      </c>
      <c r="AB253" s="5">
        <v>6394.35</v>
      </c>
    </row>
    <row r="254" spans="1:28" x14ac:dyDescent="0.3">
      <c r="A254" s="5">
        <v>50</v>
      </c>
      <c r="B254" s="5">
        <v>0</v>
      </c>
      <c r="C254" s="5">
        <v>0</v>
      </c>
      <c r="D254" s="5">
        <v>1</v>
      </c>
      <c r="E254" s="5">
        <v>211</v>
      </c>
      <c r="F254" s="5">
        <f>ROUND(Source!Y227,O254)</f>
        <v>63.95</v>
      </c>
      <c r="G254" s="5" t="s">
        <v>244</v>
      </c>
      <c r="H254" s="5" t="s">
        <v>245</v>
      </c>
      <c r="I254" s="5"/>
      <c r="J254" s="5"/>
      <c r="K254" s="5">
        <v>211</v>
      </c>
      <c r="L254" s="5">
        <v>26</v>
      </c>
      <c r="M254" s="5">
        <v>3</v>
      </c>
      <c r="N254" s="5" t="s">
        <v>3</v>
      </c>
      <c r="O254" s="5">
        <v>2</v>
      </c>
      <c r="P254" s="5">
        <f>ROUND(Source!DQ227,O254)</f>
        <v>3516.87</v>
      </c>
      <c r="Q254" s="5"/>
      <c r="R254" s="5"/>
      <c r="S254" s="5"/>
      <c r="T254" s="5"/>
      <c r="U254" s="5"/>
      <c r="V254" s="5"/>
      <c r="W254" s="5">
        <v>63.95</v>
      </c>
      <c r="X254" s="5">
        <v>1</v>
      </c>
      <c r="Y254" s="5">
        <v>63.95</v>
      </c>
      <c r="Z254" s="5">
        <v>3516.87</v>
      </c>
      <c r="AA254" s="5">
        <v>1</v>
      </c>
      <c r="AB254" s="5">
        <v>3516.87</v>
      </c>
    </row>
    <row r="255" spans="1:28" x14ac:dyDescent="0.3">
      <c r="A255" s="5">
        <v>50</v>
      </c>
      <c r="B255" s="5">
        <v>0</v>
      </c>
      <c r="C255" s="5">
        <v>0</v>
      </c>
      <c r="D255" s="5">
        <v>1</v>
      </c>
      <c r="E255" s="5">
        <v>224</v>
      </c>
      <c r="F255" s="5">
        <f>ROUND(Source!AR227,O255)</f>
        <v>20642.009999999998</v>
      </c>
      <c r="G255" s="5" t="s">
        <v>246</v>
      </c>
      <c r="H255" s="5" t="s">
        <v>247</v>
      </c>
      <c r="I255" s="5"/>
      <c r="J255" s="5"/>
      <c r="K255" s="5">
        <v>224</v>
      </c>
      <c r="L255" s="5">
        <v>27</v>
      </c>
      <c r="M255" s="5">
        <v>3</v>
      </c>
      <c r="N255" s="5" t="s">
        <v>3</v>
      </c>
      <c r="O255" s="5">
        <v>2</v>
      </c>
      <c r="P255" s="5">
        <f>ROUND(Source!EJ227,O255)</f>
        <v>187221.27</v>
      </c>
      <c r="Q255" s="5"/>
      <c r="R255" s="5"/>
      <c r="S255" s="5"/>
      <c r="T255" s="5"/>
      <c r="U255" s="5"/>
      <c r="V255" s="5"/>
      <c r="W255" s="5">
        <v>20642.009999999998</v>
      </c>
      <c r="X255" s="5">
        <v>1</v>
      </c>
      <c r="Y255" s="5">
        <v>20642.009999999998</v>
      </c>
      <c r="Z255" s="5">
        <v>187221.27</v>
      </c>
      <c r="AA255" s="5">
        <v>1</v>
      </c>
      <c r="AB255" s="5">
        <v>187221.27</v>
      </c>
    </row>
    <row r="257" spans="1:206" x14ac:dyDescent="0.3">
      <c r="A257" s="3">
        <v>51</v>
      </c>
      <c r="B257" s="3">
        <f>B20</f>
        <v>1</v>
      </c>
      <c r="C257" s="3">
        <f>A20</f>
        <v>3</v>
      </c>
      <c r="D257" s="3">
        <f>ROW(A20)</f>
        <v>20</v>
      </c>
      <c r="E257" s="3"/>
      <c r="F257" s="3" t="str">
        <f>IF(F20&lt;&gt;"",F20,"")</f>
        <v>02-01-08</v>
      </c>
      <c r="G257" s="3" t="str">
        <f>IF(G20&lt;&gt;"",G20,"")</f>
        <v>Автоматическая пожарная сигнализация</v>
      </c>
      <c r="H257" s="3">
        <v>0</v>
      </c>
      <c r="I257" s="3"/>
      <c r="J257" s="3"/>
      <c r="K257" s="3"/>
      <c r="L257" s="3"/>
      <c r="M257" s="3"/>
      <c r="N257" s="3"/>
      <c r="O257" s="3">
        <f t="shared" ref="O257:T257" si="247">ROUND(O113+O182+O227+AB257,2)</f>
        <v>362047.07</v>
      </c>
      <c r="P257" s="3">
        <f t="shared" si="247"/>
        <v>311548.58</v>
      </c>
      <c r="Q257" s="3">
        <f t="shared" si="247"/>
        <v>3445.63</v>
      </c>
      <c r="R257" s="3">
        <f t="shared" si="247"/>
        <v>199.62</v>
      </c>
      <c r="S257" s="3">
        <f t="shared" si="247"/>
        <v>47052.86</v>
      </c>
      <c r="T257" s="3">
        <f t="shared" si="247"/>
        <v>0</v>
      </c>
      <c r="U257" s="3">
        <f>U113+U182+U227+AH257</f>
        <v>3826.3564838400002</v>
      </c>
      <c r="V257" s="3">
        <f>V113+V182+V227+AI257</f>
        <v>0</v>
      </c>
      <c r="W257" s="3">
        <f>ROUND(W113+W182+W227+AJ257,2)</f>
        <v>0</v>
      </c>
      <c r="X257" s="3">
        <f>ROUND(X113+X182+X227+AK257,2)</f>
        <v>42777.97</v>
      </c>
      <c r="Y257" s="3">
        <f>ROUND(Y113+Y182+Y227+AL257,2)</f>
        <v>21952.52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>
        <f t="shared" ref="AO257:BD257" si="248">ROUND(AO113+AO182+AO227+BX257,2)</f>
        <v>0</v>
      </c>
      <c r="AP257" s="3">
        <f t="shared" si="248"/>
        <v>241474.38</v>
      </c>
      <c r="AQ257" s="3">
        <f t="shared" si="248"/>
        <v>0</v>
      </c>
      <c r="AR257" s="3">
        <f t="shared" si="248"/>
        <v>426777.56</v>
      </c>
      <c r="AS257" s="3">
        <f t="shared" si="248"/>
        <v>0</v>
      </c>
      <c r="AT257" s="3">
        <f t="shared" si="248"/>
        <v>185303.18</v>
      </c>
      <c r="AU257" s="3">
        <f t="shared" si="248"/>
        <v>0</v>
      </c>
      <c r="AV257" s="3">
        <f t="shared" si="248"/>
        <v>311548.58</v>
      </c>
      <c r="AW257" s="3">
        <f t="shared" si="248"/>
        <v>70074.2</v>
      </c>
      <c r="AX257" s="3">
        <f t="shared" si="248"/>
        <v>0</v>
      </c>
      <c r="AY257" s="3">
        <f t="shared" si="248"/>
        <v>70074.2</v>
      </c>
      <c r="AZ257" s="3">
        <f t="shared" si="248"/>
        <v>241474.38</v>
      </c>
      <c r="BA257" s="3">
        <f t="shared" si="248"/>
        <v>0</v>
      </c>
      <c r="BB257" s="3">
        <f t="shared" si="248"/>
        <v>0</v>
      </c>
      <c r="BC257" s="3">
        <f t="shared" si="248"/>
        <v>0</v>
      </c>
      <c r="BD257" s="3">
        <f t="shared" si="248"/>
        <v>0</v>
      </c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4">
        <f t="shared" ref="DG257:DL257" si="249">ROUND(DG113+DG182+DG227+DT257,2)</f>
        <v>5130754.74</v>
      </c>
      <c r="DH257" s="4">
        <f t="shared" si="249"/>
        <v>2500128.79</v>
      </c>
      <c r="DI257" s="4">
        <f t="shared" si="249"/>
        <v>43189.17</v>
      </c>
      <c r="DJ257" s="4">
        <f t="shared" si="249"/>
        <v>10977.11</v>
      </c>
      <c r="DK257" s="4">
        <f t="shared" si="249"/>
        <v>2587436.7799999998</v>
      </c>
      <c r="DL257" s="4">
        <f t="shared" si="249"/>
        <v>0</v>
      </c>
      <c r="DM257" s="4">
        <f>DM113+DM182+DM227+DZ257</f>
        <v>3826.3564838400002</v>
      </c>
      <c r="DN257" s="4">
        <f>DN113+DN182+DN227+EA257</f>
        <v>0</v>
      </c>
      <c r="DO257" s="4">
        <f>ROUND(DO113+DO182+DO227+EB257,2)</f>
        <v>0</v>
      </c>
      <c r="DP257" s="4">
        <f>ROUND(DP113+DP182+DP227+EC257,2)</f>
        <v>2352359.83</v>
      </c>
      <c r="DQ257" s="4">
        <f>ROUND(DQ113+DQ182+DQ227+ED257,2)</f>
        <v>1207169.1499999999</v>
      </c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>
        <f t="shared" ref="EG257:EV257" si="250">ROUND(EG113+EG182+EG227+FP257,2)</f>
        <v>0</v>
      </c>
      <c r="EH257" s="4">
        <f t="shared" si="250"/>
        <v>1860849.22</v>
      </c>
      <c r="EI257" s="4">
        <f t="shared" si="250"/>
        <v>0</v>
      </c>
      <c r="EJ257" s="4">
        <f t="shared" si="250"/>
        <v>8690283.7200000007</v>
      </c>
      <c r="EK257" s="4">
        <f t="shared" si="250"/>
        <v>0</v>
      </c>
      <c r="EL257" s="4">
        <f t="shared" si="250"/>
        <v>6829434.5</v>
      </c>
      <c r="EM257" s="4">
        <f t="shared" si="250"/>
        <v>0</v>
      </c>
      <c r="EN257" s="4">
        <f t="shared" si="250"/>
        <v>2500128.79</v>
      </c>
      <c r="EO257" s="4">
        <f t="shared" si="250"/>
        <v>639279.56999999995</v>
      </c>
      <c r="EP257" s="4">
        <f t="shared" si="250"/>
        <v>0</v>
      </c>
      <c r="EQ257" s="4">
        <f t="shared" si="250"/>
        <v>639279.56999999995</v>
      </c>
      <c r="ER257" s="4">
        <f t="shared" si="250"/>
        <v>1860849.22</v>
      </c>
      <c r="ES257" s="4">
        <f t="shared" si="250"/>
        <v>0</v>
      </c>
      <c r="ET257" s="4">
        <f t="shared" si="250"/>
        <v>0</v>
      </c>
      <c r="EU257" s="4">
        <f t="shared" si="250"/>
        <v>0</v>
      </c>
      <c r="EV257" s="4">
        <f t="shared" si="250"/>
        <v>0</v>
      </c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>
        <v>0</v>
      </c>
    </row>
    <row r="259" spans="1:206" x14ac:dyDescent="0.3">
      <c r="A259" s="5">
        <v>50</v>
      </c>
      <c r="B259" s="5">
        <v>0</v>
      </c>
      <c r="C259" s="5">
        <v>0</v>
      </c>
      <c r="D259" s="5">
        <v>1</v>
      </c>
      <c r="E259" s="5">
        <v>201</v>
      </c>
      <c r="F259" s="5">
        <f>ROUND(Source!O257,O259)</f>
        <v>362047.07</v>
      </c>
      <c r="G259" s="5" t="s">
        <v>194</v>
      </c>
      <c r="H259" s="5" t="s">
        <v>195</v>
      </c>
      <c r="I259" s="5"/>
      <c r="J259" s="5"/>
      <c r="K259" s="5">
        <v>201</v>
      </c>
      <c r="L259" s="5">
        <v>1</v>
      </c>
      <c r="M259" s="5">
        <v>3</v>
      </c>
      <c r="N259" s="5" t="s">
        <v>3</v>
      </c>
      <c r="O259" s="5">
        <v>2</v>
      </c>
      <c r="P259" s="5">
        <f>ROUND(Source!DG257,O259)</f>
        <v>5130754.74</v>
      </c>
      <c r="Q259" s="5"/>
      <c r="R259" s="5"/>
      <c r="S259" s="5"/>
      <c r="T259" s="5"/>
      <c r="U259" s="5"/>
      <c r="V259" s="5"/>
      <c r="W259" s="5">
        <v>362047.07</v>
      </c>
      <c r="X259" s="5">
        <v>1</v>
      </c>
      <c r="Y259" s="5">
        <v>362047.07</v>
      </c>
      <c r="Z259" s="5">
        <v>5130754.74</v>
      </c>
      <c r="AA259" s="5">
        <v>1</v>
      </c>
      <c r="AB259" s="5">
        <v>5130754.74</v>
      </c>
    </row>
    <row r="260" spans="1:206" x14ac:dyDescent="0.3">
      <c r="A260" s="5">
        <v>50</v>
      </c>
      <c r="B260" s="5">
        <v>0</v>
      </c>
      <c r="C260" s="5">
        <v>0</v>
      </c>
      <c r="D260" s="5">
        <v>1</v>
      </c>
      <c r="E260" s="5">
        <v>202</v>
      </c>
      <c r="F260" s="5">
        <f>ROUND(Source!P257,O260)</f>
        <v>311548.58</v>
      </c>
      <c r="G260" s="5" t="s">
        <v>196</v>
      </c>
      <c r="H260" s="5" t="s">
        <v>197</v>
      </c>
      <c r="I260" s="5"/>
      <c r="J260" s="5"/>
      <c r="K260" s="5">
        <v>202</v>
      </c>
      <c r="L260" s="5">
        <v>2</v>
      </c>
      <c r="M260" s="5">
        <v>3</v>
      </c>
      <c r="N260" s="5" t="s">
        <v>3</v>
      </c>
      <c r="O260" s="5">
        <v>2</v>
      </c>
      <c r="P260" s="5">
        <f>ROUND(Source!DH257,O260)</f>
        <v>2500128.79</v>
      </c>
      <c r="Q260" s="5"/>
      <c r="R260" s="5"/>
      <c r="S260" s="5"/>
      <c r="T260" s="5"/>
      <c r="U260" s="5"/>
      <c r="V260" s="5"/>
      <c r="W260" s="5">
        <v>311548.58</v>
      </c>
      <c r="X260" s="5">
        <v>1</v>
      </c>
      <c r="Y260" s="5">
        <v>311548.58</v>
      </c>
      <c r="Z260" s="5">
        <v>2500128.79</v>
      </c>
      <c r="AA260" s="5">
        <v>1</v>
      </c>
      <c r="AB260" s="5">
        <v>2500128.79</v>
      </c>
    </row>
    <row r="261" spans="1:206" x14ac:dyDescent="0.3">
      <c r="A261" s="5">
        <v>50</v>
      </c>
      <c r="B261" s="5">
        <v>0</v>
      </c>
      <c r="C261" s="5">
        <v>0</v>
      </c>
      <c r="D261" s="5">
        <v>1</v>
      </c>
      <c r="E261" s="5">
        <v>222</v>
      </c>
      <c r="F261" s="5">
        <f>ROUND(Source!AO257,O261)</f>
        <v>0</v>
      </c>
      <c r="G261" s="5" t="s">
        <v>198</v>
      </c>
      <c r="H261" s="5" t="s">
        <v>199</v>
      </c>
      <c r="I261" s="5"/>
      <c r="J261" s="5"/>
      <c r="K261" s="5">
        <v>222</v>
      </c>
      <c r="L261" s="5">
        <v>3</v>
      </c>
      <c r="M261" s="5">
        <v>3</v>
      </c>
      <c r="N261" s="5" t="s">
        <v>3</v>
      </c>
      <c r="O261" s="5">
        <v>2</v>
      </c>
      <c r="P261" s="5">
        <f>ROUND(Source!EG257,O261)</f>
        <v>0</v>
      </c>
      <c r="Q261" s="5"/>
      <c r="R261" s="5"/>
      <c r="S261" s="5"/>
      <c r="T261" s="5"/>
      <c r="U261" s="5"/>
      <c r="V261" s="5"/>
      <c r="W261" s="5">
        <v>0</v>
      </c>
      <c r="X261" s="5">
        <v>1</v>
      </c>
      <c r="Y261" s="5">
        <v>0</v>
      </c>
      <c r="Z261" s="5">
        <v>0</v>
      </c>
      <c r="AA261" s="5">
        <v>1</v>
      </c>
      <c r="AB261" s="5">
        <v>0</v>
      </c>
    </row>
    <row r="262" spans="1:206" x14ac:dyDescent="0.3">
      <c r="A262" s="5">
        <v>50</v>
      </c>
      <c r="B262" s="5">
        <v>0</v>
      </c>
      <c r="C262" s="5">
        <v>0</v>
      </c>
      <c r="D262" s="5">
        <v>1</v>
      </c>
      <c r="E262" s="5">
        <v>225</v>
      </c>
      <c r="F262" s="5">
        <f>ROUND(Source!AV257,O262)</f>
        <v>311548.58</v>
      </c>
      <c r="G262" s="5" t="s">
        <v>200</v>
      </c>
      <c r="H262" s="5" t="s">
        <v>201</v>
      </c>
      <c r="I262" s="5"/>
      <c r="J262" s="5"/>
      <c r="K262" s="5">
        <v>225</v>
      </c>
      <c r="L262" s="5">
        <v>4</v>
      </c>
      <c r="M262" s="5">
        <v>3</v>
      </c>
      <c r="N262" s="5" t="s">
        <v>3</v>
      </c>
      <c r="O262" s="5">
        <v>2</v>
      </c>
      <c r="P262" s="5">
        <f>ROUND(Source!EN257,O262)</f>
        <v>2500128.79</v>
      </c>
      <c r="Q262" s="5"/>
      <c r="R262" s="5"/>
      <c r="S262" s="5"/>
      <c r="T262" s="5"/>
      <c r="U262" s="5"/>
      <c r="V262" s="5"/>
      <c r="W262" s="5">
        <v>311548.58</v>
      </c>
      <c r="X262" s="5">
        <v>1</v>
      </c>
      <c r="Y262" s="5">
        <v>311548.58</v>
      </c>
      <c r="Z262" s="5">
        <v>2500128.79</v>
      </c>
      <c r="AA262" s="5">
        <v>1</v>
      </c>
      <c r="AB262" s="5">
        <v>2500128.79</v>
      </c>
    </row>
    <row r="263" spans="1:206" x14ac:dyDescent="0.3">
      <c r="A263" s="5">
        <v>50</v>
      </c>
      <c r="B263" s="5">
        <v>0</v>
      </c>
      <c r="C263" s="5">
        <v>0</v>
      </c>
      <c r="D263" s="5">
        <v>1</v>
      </c>
      <c r="E263" s="5">
        <v>226</v>
      </c>
      <c r="F263" s="5">
        <f>ROUND(Source!AW257,O263)</f>
        <v>70074.2</v>
      </c>
      <c r="G263" s="5" t="s">
        <v>202</v>
      </c>
      <c r="H263" s="5" t="s">
        <v>203</v>
      </c>
      <c r="I263" s="5"/>
      <c r="J263" s="5"/>
      <c r="K263" s="5">
        <v>226</v>
      </c>
      <c r="L263" s="5">
        <v>5</v>
      </c>
      <c r="M263" s="5">
        <v>3</v>
      </c>
      <c r="N263" s="5" t="s">
        <v>3</v>
      </c>
      <c r="O263" s="5">
        <v>2</v>
      </c>
      <c r="P263" s="5">
        <f>ROUND(Source!EO257,O263)</f>
        <v>639279.56999999995</v>
      </c>
      <c r="Q263" s="5"/>
      <c r="R263" s="5"/>
      <c r="S263" s="5"/>
      <c r="T263" s="5"/>
      <c r="U263" s="5"/>
      <c r="V263" s="5"/>
      <c r="W263" s="5">
        <v>70074.2</v>
      </c>
      <c r="X263" s="5">
        <v>1</v>
      </c>
      <c r="Y263" s="5">
        <v>70074.2</v>
      </c>
      <c r="Z263" s="5">
        <v>639279.56999999995</v>
      </c>
      <c r="AA263" s="5">
        <v>1</v>
      </c>
      <c r="AB263" s="5">
        <v>639279.56999999995</v>
      </c>
    </row>
    <row r="264" spans="1:206" x14ac:dyDescent="0.3">
      <c r="A264" s="5">
        <v>50</v>
      </c>
      <c r="B264" s="5">
        <v>0</v>
      </c>
      <c r="C264" s="5">
        <v>0</v>
      </c>
      <c r="D264" s="5">
        <v>1</v>
      </c>
      <c r="E264" s="5">
        <v>227</v>
      </c>
      <c r="F264" s="5">
        <f>ROUND(Source!AX257,O264)</f>
        <v>0</v>
      </c>
      <c r="G264" s="5" t="s">
        <v>204</v>
      </c>
      <c r="H264" s="5" t="s">
        <v>205</v>
      </c>
      <c r="I264" s="5"/>
      <c r="J264" s="5"/>
      <c r="K264" s="5">
        <v>227</v>
      </c>
      <c r="L264" s="5">
        <v>6</v>
      </c>
      <c r="M264" s="5">
        <v>3</v>
      </c>
      <c r="N264" s="5" t="s">
        <v>3</v>
      </c>
      <c r="O264" s="5">
        <v>2</v>
      </c>
      <c r="P264" s="5">
        <f>ROUND(Source!EP257,O264)</f>
        <v>0</v>
      </c>
      <c r="Q264" s="5"/>
      <c r="R264" s="5"/>
      <c r="S264" s="5"/>
      <c r="T264" s="5"/>
      <c r="U264" s="5"/>
      <c r="V264" s="5"/>
      <c r="W264" s="5">
        <v>0</v>
      </c>
      <c r="X264" s="5">
        <v>1</v>
      </c>
      <c r="Y264" s="5">
        <v>0</v>
      </c>
      <c r="Z264" s="5">
        <v>0</v>
      </c>
      <c r="AA264" s="5">
        <v>1</v>
      </c>
      <c r="AB264" s="5">
        <v>0</v>
      </c>
    </row>
    <row r="265" spans="1:206" x14ac:dyDescent="0.3">
      <c r="A265" s="5">
        <v>50</v>
      </c>
      <c r="B265" s="5">
        <v>0</v>
      </c>
      <c r="C265" s="5">
        <v>0</v>
      </c>
      <c r="D265" s="5">
        <v>1</v>
      </c>
      <c r="E265" s="5">
        <v>228</v>
      </c>
      <c r="F265" s="5">
        <f>ROUND(Source!AY257,O265)</f>
        <v>70074.2</v>
      </c>
      <c r="G265" s="5" t="s">
        <v>206</v>
      </c>
      <c r="H265" s="5" t="s">
        <v>207</v>
      </c>
      <c r="I265" s="5"/>
      <c r="J265" s="5"/>
      <c r="K265" s="5">
        <v>228</v>
      </c>
      <c r="L265" s="5">
        <v>7</v>
      </c>
      <c r="M265" s="5">
        <v>3</v>
      </c>
      <c r="N265" s="5" t="s">
        <v>3</v>
      </c>
      <c r="O265" s="5">
        <v>2</v>
      </c>
      <c r="P265" s="5">
        <f>ROUND(Source!EQ257,O265)</f>
        <v>639279.56999999995</v>
      </c>
      <c r="Q265" s="5"/>
      <c r="R265" s="5"/>
      <c r="S265" s="5"/>
      <c r="T265" s="5"/>
      <c r="U265" s="5"/>
      <c r="V265" s="5"/>
      <c r="W265" s="5">
        <v>70074.2</v>
      </c>
      <c r="X265" s="5">
        <v>1</v>
      </c>
      <c r="Y265" s="5">
        <v>70074.2</v>
      </c>
      <c r="Z265" s="5">
        <v>639279.56999999995</v>
      </c>
      <c r="AA265" s="5">
        <v>1</v>
      </c>
      <c r="AB265" s="5">
        <v>639279.56999999995</v>
      </c>
    </row>
    <row r="266" spans="1:206" x14ac:dyDescent="0.3">
      <c r="A266" s="5">
        <v>50</v>
      </c>
      <c r="B266" s="5">
        <v>0</v>
      </c>
      <c r="C266" s="5">
        <v>0</v>
      </c>
      <c r="D266" s="5">
        <v>1</v>
      </c>
      <c r="E266" s="5">
        <v>216</v>
      </c>
      <c r="F266" s="5">
        <f>ROUND(Source!AP257,O266)</f>
        <v>241474.38</v>
      </c>
      <c r="G266" s="5" t="s">
        <v>208</v>
      </c>
      <c r="H266" s="5" t="s">
        <v>209</v>
      </c>
      <c r="I266" s="5"/>
      <c r="J266" s="5"/>
      <c r="K266" s="5">
        <v>216</v>
      </c>
      <c r="L266" s="5">
        <v>8</v>
      </c>
      <c r="M266" s="5">
        <v>3</v>
      </c>
      <c r="N266" s="5" t="s">
        <v>3</v>
      </c>
      <c r="O266" s="5">
        <v>2</v>
      </c>
      <c r="P266" s="5">
        <f>ROUND(Source!EH257,O266)</f>
        <v>1860849.22</v>
      </c>
      <c r="Q266" s="5"/>
      <c r="R266" s="5"/>
      <c r="S266" s="5"/>
      <c r="T266" s="5"/>
      <c r="U266" s="5"/>
      <c r="V266" s="5"/>
      <c r="W266" s="5">
        <v>241474.38</v>
      </c>
      <c r="X266" s="5">
        <v>1</v>
      </c>
      <c r="Y266" s="5">
        <v>241474.38</v>
      </c>
      <c r="Z266" s="5">
        <v>1860849.22</v>
      </c>
      <c r="AA266" s="5">
        <v>1</v>
      </c>
      <c r="AB266" s="5">
        <v>1860849.22</v>
      </c>
    </row>
    <row r="267" spans="1:206" x14ac:dyDescent="0.3">
      <c r="A267" s="5">
        <v>50</v>
      </c>
      <c r="B267" s="5">
        <v>0</v>
      </c>
      <c r="C267" s="5">
        <v>0</v>
      </c>
      <c r="D267" s="5">
        <v>1</v>
      </c>
      <c r="E267" s="5">
        <v>223</v>
      </c>
      <c r="F267" s="5">
        <f>ROUND(Source!AQ257,O267)</f>
        <v>0</v>
      </c>
      <c r="G267" s="5" t="s">
        <v>210</v>
      </c>
      <c r="H267" s="5" t="s">
        <v>211</v>
      </c>
      <c r="I267" s="5"/>
      <c r="J267" s="5"/>
      <c r="K267" s="5">
        <v>223</v>
      </c>
      <c r="L267" s="5">
        <v>9</v>
      </c>
      <c r="M267" s="5">
        <v>3</v>
      </c>
      <c r="N267" s="5" t="s">
        <v>3</v>
      </c>
      <c r="O267" s="5">
        <v>2</v>
      </c>
      <c r="P267" s="5">
        <f>ROUND(Source!EI257,O267)</f>
        <v>0</v>
      </c>
      <c r="Q267" s="5"/>
      <c r="R267" s="5"/>
      <c r="S267" s="5"/>
      <c r="T267" s="5"/>
      <c r="U267" s="5"/>
      <c r="V267" s="5"/>
      <c r="W267" s="5">
        <v>0</v>
      </c>
      <c r="X267" s="5">
        <v>1</v>
      </c>
      <c r="Y267" s="5">
        <v>0</v>
      </c>
      <c r="Z267" s="5">
        <v>0</v>
      </c>
      <c r="AA267" s="5">
        <v>1</v>
      </c>
      <c r="AB267" s="5">
        <v>0</v>
      </c>
    </row>
    <row r="268" spans="1:206" x14ac:dyDescent="0.3">
      <c r="A268" s="5">
        <v>50</v>
      </c>
      <c r="B268" s="5">
        <v>0</v>
      </c>
      <c r="C268" s="5">
        <v>0</v>
      </c>
      <c r="D268" s="5">
        <v>1</v>
      </c>
      <c r="E268" s="5">
        <v>229</v>
      </c>
      <c r="F268" s="5">
        <f>ROUND(Source!AZ257,O268)</f>
        <v>241474.38</v>
      </c>
      <c r="G268" s="5" t="s">
        <v>212</v>
      </c>
      <c r="H268" s="5" t="s">
        <v>213</v>
      </c>
      <c r="I268" s="5"/>
      <c r="J268" s="5"/>
      <c r="K268" s="5">
        <v>229</v>
      </c>
      <c r="L268" s="5">
        <v>10</v>
      </c>
      <c r="M268" s="5">
        <v>3</v>
      </c>
      <c r="N268" s="5" t="s">
        <v>3</v>
      </c>
      <c r="O268" s="5">
        <v>2</v>
      </c>
      <c r="P268" s="5">
        <f>ROUND(Source!ER257,O268)</f>
        <v>1860849.22</v>
      </c>
      <c r="Q268" s="5"/>
      <c r="R268" s="5"/>
      <c r="S268" s="5"/>
      <c r="T268" s="5"/>
      <c r="U268" s="5"/>
      <c r="V268" s="5"/>
      <c r="W268" s="5">
        <v>241474.38</v>
      </c>
      <c r="X268" s="5">
        <v>1</v>
      </c>
      <c r="Y268" s="5">
        <v>241474.38</v>
      </c>
      <c r="Z268" s="5">
        <v>1860849.22</v>
      </c>
      <c r="AA268" s="5">
        <v>1</v>
      </c>
      <c r="AB268" s="5">
        <v>1860849.22</v>
      </c>
    </row>
    <row r="269" spans="1:206" x14ac:dyDescent="0.3">
      <c r="A269" s="5">
        <v>50</v>
      </c>
      <c r="B269" s="5">
        <v>0</v>
      </c>
      <c r="C269" s="5">
        <v>0</v>
      </c>
      <c r="D269" s="5">
        <v>1</v>
      </c>
      <c r="E269" s="5">
        <v>203</v>
      </c>
      <c r="F269" s="5">
        <f>ROUND(Source!Q257,O269)</f>
        <v>3445.63</v>
      </c>
      <c r="G269" s="5" t="s">
        <v>214</v>
      </c>
      <c r="H269" s="5" t="s">
        <v>215</v>
      </c>
      <c r="I269" s="5"/>
      <c r="J269" s="5"/>
      <c r="K269" s="5">
        <v>203</v>
      </c>
      <c r="L269" s="5">
        <v>11</v>
      </c>
      <c r="M269" s="5">
        <v>3</v>
      </c>
      <c r="N269" s="5" t="s">
        <v>3</v>
      </c>
      <c r="O269" s="5">
        <v>2</v>
      </c>
      <c r="P269" s="5">
        <f>ROUND(Source!DI257,O269)</f>
        <v>43189.17</v>
      </c>
      <c r="Q269" s="5"/>
      <c r="R269" s="5"/>
      <c r="S269" s="5"/>
      <c r="T269" s="5"/>
      <c r="U269" s="5"/>
      <c r="V269" s="5"/>
      <c r="W269" s="5">
        <v>3445.63</v>
      </c>
      <c r="X269" s="5">
        <v>1</v>
      </c>
      <c r="Y269" s="5">
        <v>3445.63</v>
      </c>
      <c r="Z269" s="5">
        <v>43189.17</v>
      </c>
      <c r="AA269" s="5">
        <v>1</v>
      </c>
      <c r="AB269" s="5">
        <v>43189.17</v>
      </c>
    </row>
    <row r="270" spans="1:206" x14ac:dyDescent="0.3">
      <c r="A270" s="5">
        <v>50</v>
      </c>
      <c r="B270" s="5">
        <v>0</v>
      </c>
      <c r="C270" s="5">
        <v>0</v>
      </c>
      <c r="D270" s="5">
        <v>1</v>
      </c>
      <c r="E270" s="5">
        <v>231</v>
      </c>
      <c r="F270" s="5">
        <f>ROUND(Source!BB257,O270)</f>
        <v>0</v>
      </c>
      <c r="G270" s="5" t="s">
        <v>216</v>
      </c>
      <c r="H270" s="5" t="s">
        <v>217</v>
      </c>
      <c r="I270" s="5"/>
      <c r="J270" s="5"/>
      <c r="K270" s="5">
        <v>231</v>
      </c>
      <c r="L270" s="5">
        <v>12</v>
      </c>
      <c r="M270" s="5">
        <v>3</v>
      </c>
      <c r="N270" s="5" t="s">
        <v>3</v>
      </c>
      <c r="O270" s="5">
        <v>2</v>
      </c>
      <c r="P270" s="5">
        <f>ROUND(Source!ET257,O270)</f>
        <v>0</v>
      </c>
      <c r="Q270" s="5"/>
      <c r="R270" s="5"/>
      <c r="S270" s="5"/>
      <c r="T270" s="5"/>
      <c r="U270" s="5"/>
      <c r="V270" s="5"/>
      <c r="W270" s="5">
        <v>0</v>
      </c>
      <c r="X270" s="5">
        <v>1</v>
      </c>
      <c r="Y270" s="5">
        <v>0</v>
      </c>
      <c r="Z270" s="5">
        <v>0</v>
      </c>
      <c r="AA270" s="5">
        <v>1</v>
      </c>
      <c r="AB270" s="5">
        <v>0</v>
      </c>
    </row>
    <row r="271" spans="1:206" x14ac:dyDescent="0.3">
      <c r="A271" s="5">
        <v>50</v>
      </c>
      <c r="B271" s="5">
        <v>0</v>
      </c>
      <c r="C271" s="5">
        <v>0</v>
      </c>
      <c r="D271" s="5">
        <v>1</v>
      </c>
      <c r="E271" s="5">
        <v>204</v>
      </c>
      <c r="F271" s="5">
        <f>ROUND(Source!R257,O271)</f>
        <v>199.62</v>
      </c>
      <c r="G271" s="5" t="s">
        <v>218</v>
      </c>
      <c r="H271" s="5" t="s">
        <v>219</v>
      </c>
      <c r="I271" s="5"/>
      <c r="J271" s="5"/>
      <c r="K271" s="5">
        <v>204</v>
      </c>
      <c r="L271" s="5">
        <v>13</v>
      </c>
      <c r="M271" s="5">
        <v>3</v>
      </c>
      <c r="N271" s="5" t="s">
        <v>3</v>
      </c>
      <c r="O271" s="5">
        <v>2</v>
      </c>
      <c r="P271" s="5">
        <f>ROUND(Source!DJ257,O271)</f>
        <v>10977.11</v>
      </c>
      <c r="Q271" s="5"/>
      <c r="R271" s="5"/>
      <c r="S271" s="5"/>
      <c r="T271" s="5"/>
      <c r="U271" s="5"/>
      <c r="V271" s="5"/>
      <c r="W271" s="5">
        <v>199.62</v>
      </c>
      <c r="X271" s="5">
        <v>1</v>
      </c>
      <c r="Y271" s="5">
        <v>199.62</v>
      </c>
      <c r="Z271" s="5">
        <v>10977.11</v>
      </c>
      <c r="AA271" s="5">
        <v>1</v>
      </c>
      <c r="AB271" s="5">
        <v>10977.11</v>
      </c>
    </row>
    <row r="272" spans="1:206" x14ac:dyDescent="0.3">
      <c r="A272" s="5">
        <v>50</v>
      </c>
      <c r="B272" s="5">
        <v>0</v>
      </c>
      <c r="C272" s="5">
        <v>0</v>
      </c>
      <c r="D272" s="5">
        <v>1</v>
      </c>
      <c r="E272" s="5">
        <v>205</v>
      </c>
      <c r="F272" s="5">
        <f>ROUND(Source!S257,O272)</f>
        <v>47052.86</v>
      </c>
      <c r="G272" s="5" t="s">
        <v>220</v>
      </c>
      <c r="H272" s="5" t="s">
        <v>221</v>
      </c>
      <c r="I272" s="5"/>
      <c r="J272" s="5"/>
      <c r="K272" s="5">
        <v>205</v>
      </c>
      <c r="L272" s="5">
        <v>14</v>
      </c>
      <c r="M272" s="5">
        <v>3</v>
      </c>
      <c r="N272" s="5" t="s">
        <v>3</v>
      </c>
      <c r="O272" s="5">
        <v>2</v>
      </c>
      <c r="P272" s="5">
        <f>ROUND(Source!DK257,O272)</f>
        <v>2587436.7799999998</v>
      </c>
      <c r="Q272" s="5"/>
      <c r="R272" s="5"/>
      <c r="S272" s="5"/>
      <c r="T272" s="5"/>
      <c r="U272" s="5"/>
      <c r="V272" s="5"/>
      <c r="W272" s="5">
        <v>47052.86</v>
      </c>
      <c r="X272" s="5">
        <v>1</v>
      </c>
      <c r="Y272" s="5">
        <v>47052.86</v>
      </c>
      <c r="Z272" s="5">
        <v>2587436.7799999998</v>
      </c>
      <c r="AA272" s="5">
        <v>1</v>
      </c>
      <c r="AB272" s="5">
        <v>2587436.7799999998</v>
      </c>
    </row>
    <row r="273" spans="1:206" x14ac:dyDescent="0.3">
      <c r="A273" s="5">
        <v>50</v>
      </c>
      <c r="B273" s="5">
        <v>0</v>
      </c>
      <c r="C273" s="5">
        <v>0</v>
      </c>
      <c r="D273" s="5">
        <v>1</v>
      </c>
      <c r="E273" s="5">
        <v>232</v>
      </c>
      <c r="F273" s="5">
        <f>ROUND(Source!BC257,O273)</f>
        <v>0</v>
      </c>
      <c r="G273" s="5" t="s">
        <v>222</v>
      </c>
      <c r="H273" s="5" t="s">
        <v>223</v>
      </c>
      <c r="I273" s="5"/>
      <c r="J273" s="5"/>
      <c r="K273" s="5">
        <v>232</v>
      </c>
      <c r="L273" s="5">
        <v>15</v>
      </c>
      <c r="M273" s="5">
        <v>3</v>
      </c>
      <c r="N273" s="5" t="s">
        <v>3</v>
      </c>
      <c r="O273" s="5">
        <v>2</v>
      </c>
      <c r="P273" s="5">
        <f>ROUND(Source!EU257,O273)</f>
        <v>0</v>
      </c>
      <c r="Q273" s="5"/>
      <c r="R273" s="5"/>
      <c r="S273" s="5"/>
      <c r="T273" s="5"/>
      <c r="U273" s="5"/>
      <c r="V273" s="5"/>
      <c r="W273" s="5">
        <v>0</v>
      </c>
      <c r="X273" s="5">
        <v>1</v>
      </c>
      <c r="Y273" s="5">
        <v>0</v>
      </c>
      <c r="Z273" s="5">
        <v>0</v>
      </c>
      <c r="AA273" s="5">
        <v>1</v>
      </c>
      <c r="AB273" s="5">
        <v>0</v>
      </c>
    </row>
    <row r="274" spans="1:206" x14ac:dyDescent="0.3">
      <c r="A274" s="5">
        <v>50</v>
      </c>
      <c r="B274" s="5">
        <v>0</v>
      </c>
      <c r="C274" s="5">
        <v>0</v>
      </c>
      <c r="D274" s="5">
        <v>1</v>
      </c>
      <c r="E274" s="5">
        <v>214</v>
      </c>
      <c r="F274" s="5">
        <f>ROUND(Source!AS257,O274)</f>
        <v>0</v>
      </c>
      <c r="G274" s="5" t="s">
        <v>224</v>
      </c>
      <c r="H274" s="5" t="s">
        <v>225</v>
      </c>
      <c r="I274" s="5"/>
      <c r="J274" s="5"/>
      <c r="K274" s="5">
        <v>214</v>
      </c>
      <c r="L274" s="5">
        <v>16</v>
      </c>
      <c r="M274" s="5">
        <v>3</v>
      </c>
      <c r="N274" s="5" t="s">
        <v>3</v>
      </c>
      <c r="O274" s="5">
        <v>2</v>
      </c>
      <c r="P274" s="5">
        <f>ROUND(Source!EK257,O274)</f>
        <v>0</v>
      </c>
      <c r="Q274" s="5"/>
      <c r="R274" s="5"/>
      <c r="S274" s="5"/>
      <c r="T274" s="5"/>
      <c r="U274" s="5"/>
      <c r="V274" s="5"/>
      <c r="W274" s="5">
        <v>0</v>
      </c>
      <c r="X274" s="5">
        <v>1</v>
      </c>
      <c r="Y274" s="5">
        <v>0</v>
      </c>
      <c r="Z274" s="5">
        <v>0</v>
      </c>
      <c r="AA274" s="5">
        <v>1</v>
      </c>
      <c r="AB274" s="5">
        <v>0</v>
      </c>
    </row>
    <row r="275" spans="1:206" x14ac:dyDescent="0.3">
      <c r="A275" s="5">
        <v>50</v>
      </c>
      <c r="B275" s="5">
        <v>0</v>
      </c>
      <c r="C275" s="5">
        <v>0</v>
      </c>
      <c r="D275" s="5">
        <v>1</v>
      </c>
      <c r="E275" s="5">
        <v>215</v>
      </c>
      <c r="F275" s="5">
        <f>ROUND(Source!AT257,O275)</f>
        <v>185303.18</v>
      </c>
      <c r="G275" s="5" t="s">
        <v>226</v>
      </c>
      <c r="H275" s="5" t="s">
        <v>227</v>
      </c>
      <c r="I275" s="5"/>
      <c r="J275" s="5"/>
      <c r="K275" s="5">
        <v>215</v>
      </c>
      <c r="L275" s="5">
        <v>17</v>
      </c>
      <c r="M275" s="5">
        <v>3</v>
      </c>
      <c r="N275" s="5" t="s">
        <v>3</v>
      </c>
      <c r="O275" s="5">
        <v>2</v>
      </c>
      <c r="P275" s="5">
        <f>ROUND(Source!EL257,O275)</f>
        <v>6829434.5</v>
      </c>
      <c r="Q275" s="5"/>
      <c r="R275" s="5"/>
      <c r="S275" s="5"/>
      <c r="T275" s="5"/>
      <c r="U275" s="5"/>
      <c r="V275" s="5"/>
      <c r="W275" s="5">
        <v>185303.18</v>
      </c>
      <c r="X275" s="5">
        <v>1</v>
      </c>
      <c r="Y275" s="5">
        <v>185303.18</v>
      </c>
      <c r="Z275" s="5">
        <v>6829434.5</v>
      </c>
      <c r="AA275" s="5">
        <v>1</v>
      </c>
      <c r="AB275" s="5">
        <v>6829434.5</v>
      </c>
    </row>
    <row r="276" spans="1:206" x14ac:dyDescent="0.3">
      <c r="A276" s="5">
        <v>50</v>
      </c>
      <c r="B276" s="5">
        <v>0</v>
      </c>
      <c r="C276" s="5">
        <v>0</v>
      </c>
      <c r="D276" s="5">
        <v>1</v>
      </c>
      <c r="E276" s="5">
        <v>217</v>
      </c>
      <c r="F276" s="5">
        <f>ROUND(Source!AU257,O276)</f>
        <v>0</v>
      </c>
      <c r="G276" s="5" t="s">
        <v>228</v>
      </c>
      <c r="H276" s="5" t="s">
        <v>229</v>
      </c>
      <c r="I276" s="5"/>
      <c r="J276" s="5"/>
      <c r="K276" s="5">
        <v>217</v>
      </c>
      <c r="L276" s="5">
        <v>18</v>
      </c>
      <c r="M276" s="5">
        <v>3</v>
      </c>
      <c r="N276" s="5" t="s">
        <v>3</v>
      </c>
      <c r="O276" s="5">
        <v>2</v>
      </c>
      <c r="P276" s="5">
        <f>ROUND(Source!EM257,O276)</f>
        <v>0</v>
      </c>
      <c r="Q276" s="5"/>
      <c r="R276" s="5"/>
      <c r="S276" s="5"/>
      <c r="T276" s="5"/>
      <c r="U276" s="5"/>
      <c r="V276" s="5"/>
      <c r="W276" s="5">
        <v>0</v>
      </c>
      <c r="X276" s="5">
        <v>1</v>
      </c>
      <c r="Y276" s="5">
        <v>0</v>
      </c>
      <c r="Z276" s="5">
        <v>0</v>
      </c>
      <c r="AA276" s="5">
        <v>1</v>
      </c>
      <c r="AB276" s="5">
        <v>0</v>
      </c>
    </row>
    <row r="277" spans="1:206" x14ac:dyDescent="0.3">
      <c r="A277" s="5">
        <v>50</v>
      </c>
      <c r="B277" s="5">
        <v>0</v>
      </c>
      <c r="C277" s="5">
        <v>0</v>
      </c>
      <c r="D277" s="5">
        <v>1</v>
      </c>
      <c r="E277" s="5">
        <v>230</v>
      </c>
      <c r="F277" s="5">
        <f>ROUND(Source!BA257,O277)</f>
        <v>0</v>
      </c>
      <c r="G277" s="5" t="s">
        <v>230</v>
      </c>
      <c r="H277" s="5" t="s">
        <v>231</v>
      </c>
      <c r="I277" s="5"/>
      <c r="J277" s="5"/>
      <c r="K277" s="5">
        <v>230</v>
      </c>
      <c r="L277" s="5">
        <v>19</v>
      </c>
      <c r="M277" s="5">
        <v>3</v>
      </c>
      <c r="N277" s="5" t="s">
        <v>3</v>
      </c>
      <c r="O277" s="5">
        <v>2</v>
      </c>
      <c r="P277" s="5">
        <f>ROUND(Source!ES257,O277)</f>
        <v>0</v>
      </c>
      <c r="Q277" s="5"/>
      <c r="R277" s="5"/>
      <c r="S277" s="5"/>
      <c r="T277" s="5"/>
      <c r="U277" s="5"/>
      <c r="V277" s="5"/>
      <c r="W277" s="5">
        <v>0</v>
      </c>
      <c r="X277" s="5">
        <v>1</v>
      </c>
      <c r="Y277" s="5">
        <v>0</v>
      </c>
      <c r="Z277" s="5">
        <v>0</v>
      </c>
      <c r="AA277" s="5">
        <v>1</v>
      </c>
      <c r="AB277" s="5">
        <v>0</v>
      </c>
    </row>
    <row r="278" spans="1:206" x14ac:dyDescent="0.3">
      <c r="A278" s="5">
        <v>50</v>
      </c>
      <c r="B278" s="5">
        <v>0</v>
      </c>
      <c r="C278" s="5">
        <v>0</v>
      </c>
      <c r="D278" s="5">
        <v>1</v>
      </c>
      <c r="E278" s="5">
        <v>206</v>
      </c>
      <c r="F278" s="5">
        <f>ROUND(Source!T257,O278)</f>
        <v>0</v>
      </c>
      <c r="G278" s="5" t="s">
        <v>232</v>
      </c>
      <c r="H278" s="5" t="s">
        <v>233</v>
      </c>
      <c r="I278" s="5"/>
      <c r="J278" s="5"/>
      <c r="K278" s="5">
        <v>206</v>
      </c>
      <c r="L278" s="5">
        <v>20</v>
      </c>
      <c r="M278" s="5">
        <v>3</v>
      </c>
      <c r="N278" s="5" t="s">
        <v>3</v>
      </c>
      <c r="O278" s="5">
        <v>2</v>
      </c>
      <c r="P278" s="5">
        <f>ROUND(Source!DL257,O278)</f>
        <v>0</v>
      </c>
      <c r="Q278" s="5"/>
      <c r="R278" s="5"/>
      <c r="S278" s="5"/>
      <c r="T278" s="5"/>
      <c r="U278" s="5"/>
      <c r="V278" s="5"/>
      <c r="W278" s="5">
        <v>0</v>
      </c>
      <c r="X278" s="5">
        <v>1</v>
      </c>
      <c r="Y278" s="5">
        <v>0</v>
      </c>
      <c r="Z278" s="5">
        <v>0</v>
      </c>
      <c r="AA278" s="5">
        <v>1</v>
      </c>
      <c r="AB278" s="5">
        <v>0</v>
      </c>
    </row>
    <row r="279" spans="1:206" x14ac:dyDescent="0.3">
      <c r="A279" s="5">
        <v>50</v>
      </c>
      <c r="B279" s="5">
        <v>0</v>
      </c>
      <c r="C279" s="5">
        <v>0</v>
      </c>
      <c r="D279" s="5">
        <v>1</v>
      </c>
      <c r="E279" s="5">
        <v>207</v>
      </c>
      <c r="F279" s="5">
        <f>Source!U257</f>
        <v>3826.3564838400002</v>
      </c>
      <c r="G279" s="5" t="s">
        <v>234</v>
      </c>
      <c r="H279" s="5" t="s">
        <v>235</v>
      </c>
      <c r="I279" s="5"/>
      <c r="J279" s="5"/>
      <c r="K279" s="5">
        <v>207</v>
      </c>
      <c r="L279" s="5">
        <v>21</v>
      </c>
      <c r="M279" s="5">
        <v>3</v>
      </c>
      <c r="N279" s="5" t="s">
        <v>3</v>
      </c>
      <c r="O279" s="5">
        <v>-1</v>
      </c>
      <c r="P279" s="5">
        <f>Source!DM257</f>
        <v>3826.3564838400002</v>
      </c>
      <c r="Q279" s="5"/>
      <c r="R279" s="5"/>
      <c r="S279" s="5"/>
      <c r="T279" s="5"/>
      <c r="U279" s="5"/>
      <c r="V279" s="5"/>
      <c r="W279" s="5">
        <v>3826.3564838399998</v>
      </c>
      <c r="X279" s="5">
        <v>1</v>
      </c>
      <c r="Y279" s="5">
        <v>3826.3564838399998</v>
      </c>
      <c r="Z279" s="5">
        <v>3826.3564838399998</v>
      </c>
      <c r="AA279" s="5">
        <v>1</v>
      </c>
      <c r="AB279" s="5">
        <v>3826.3564838399998</v>
      </c>
    </row>
    <row r="280" spans="1:206" x14ac:dyDescent="0.3">
      <c r="A280" s="5">
        <v>50</v>
      </c>
      <c r="B280" s="5">
        <v>0</v>
      </c>
      <c r="C280" s="5">
        <v>0</v>
      </c>
      <c r="D280" s="5">
        <v>1</v>
      </c>
      <c r="E280" s="5">
        <v>208</v>
      </c>
      <c r="F280" s="5">
        <f>Source!V257</f>
        <v>0</v>
      </c>
      <c r="G280" s="5" t="s">
        <v>236</v>
      </c>
      <c r="H280" s="5" t="s">
        <v>237</v>
      </c>
      <c r="I280" s="5"/>
      <c r="J280" s="5"/>
      <c r="K280" s="5">
        <v>208</v>
      </c>
      <c r="L280" s="5">
        <v>22</v>
      </c>
      <c r="M280" s="5">
        <v>3</v>
      </c>
      <c r="N280" s="5" t="s">
        <v>3</v>
      </c>
      <c r="O280" s="5">
        <v>-1</v>
      </c>
      <c r="P280" s="5">
        <f>Source!DN257</f>
        <v>0</v>
      </c>
      <c r="Q280" s="5"/>
      <c r="R280" s="5"/>
      <c r="S280" s="5"/>
      <c r="T280" s="5"/>
      <c r="U280" s="5"/>
      <c r="V280" s="5"/>
      <c r="W280" s="5">
        <v>0</v>
      </c>
      <c r="X280" s="5">
        <v>1</v>
      </c>
      <c r="Y280" s="5">
        <v>0</v>
      </c>
      <c r="Z280" s="5">
        <v>0</v>
      </c>
      <c r="AA280" s="5">
        <v>1</v>
      </c>
      <c r="AB280" s="5">
        <v>0</v>
      </c>
    </row>
    <row r="281" spans="1:206" x14ac:dyDescent="0.3">
      <c r="A281" s="5">
        <v>50</v>
      </c>
      <c r="B281" s="5">
        <v>0</v>
      </c>
      <c r="C281" s="5">
        <v>0</v>
      </c>
      <c r="D281" s="5">
        <v>1</v>
      </c>
      <c r="E281" s="5">
        <v>209</v>
      </c>
      <c r="F281" s="5">
        <f>ROUND(Source!W257,O281)</f>
        <v>0</v>
      </c>
      <c r="G281" s="5" t="s">
        <v>238</v>
      </c>
      <c r="H281" s="5" t="s">
        <v>239</v>
      </c>
      <c r="I281" s="5"/>
      <c r="J281" s="5"/>
      <c r="K281" s="5">
        <v>209</v>
      </c>
      <c r="L281" s="5">
        <v>23</v>
      </c>
      <c r="M281" s="5">
        <v>3</v>
      </c>
      <c r="N281" s="5" t="s">
        <v>3</v>
      </c>
      <c r="O281" s="5">
        <v>2</v>
      </c>
      <c r="P281" s="5">
        <f>ROUND(Source!DO257,O281)</f>
        <v>0</v>
      </c>
      <c r="Q281" s="5"/>
      <c r="R281" s="5"/>
      <c r="S281" s="5"/>
      <c r="T281" s="5"/>
      <c r="U281" s="5"/>
      <c r="V281" s="5"/>
      <c r="W281" s="5">
        <v>0</v>
      </c>
      <c r="X281" s="5">
        <v>1</v>
      </c>
      <c r="Y281" s="5">
        <v>0</v>
      </c>
      <c r="Z281" s="5">
        <v>0</v>
      </c>
      <c r="AA281" s="5">
        <v>1</v>
      </c>
      <c r="AB281" s="5">
        <v>0</v>
      </c>
    </row>
    <row r="282" spans="1:206" x14ac:dyDescent="0.3">
      <c r="A282" s="5">
        <v>50</v>
      </c>
      <c r="B282" s="5">
        <v>0</v>
      </c>
      <c r="C282" s="5">
        <v>0</v>
      </c>
      <c r="D282" s="5">
        <v>1</v>
      </c>
      <c r="E282" s="5">
        <v>233</v>
      </c>
      <c r="F282" s="5">
        <f>ROUND(Source!BD257,O282)</f>
        <v>0</v>
      </c>
      <c r="G282" s="5" t="s">
        <v>240</v>
      </c>
      <c r="H282" s="5" t="s">
        <v>241</v>
      </c>
      <c r="I282" s="5"/>
      <c r="J282" s="5"/>
      <c r="K282" s="5">
        <v>233</v>
      </c>
      <c r="L282" s="5">
        <v>24</v>
      </c>
      <c r="M282" s="5">
        <v>3</v>
      </c>
      <c r="N282" s="5" t="s">
        <v>3</v>
      </c>
      <c r="O282" s="5">
        <v>2</v>
      </c>
      <c r="P282" s="5">
        <f>ROUND(Source!EV257,O282)</f>
        <v>0</v>
      </c>
      <c r="Q282" s="5"/>
      <c r="R282" s="5"/>
      <c r="S282" s="5"/>
      <c r="T282" s="5"/>
      <c r="U282" s="5"/>
      <c r="V282" s="5"/>
      <c r="W282" s="5">
        <v>0</v>
      </c>
      <c r="X282" s="5">
        <v>1</v>
      </c>
      <c r="Y282" s="5">
        <v>0</v>
      </c>
      <c r="Z282" s="5">
        <v>0</v>
      </c>
      <c r="AA282" s="5">
        <v>1</v>
      </c>
      <c r="AB282" s="5">
        <v>0</v>
      </c>
    </row>
    <row r="283" spans="1:206" x14ac:dyDescent="0.3">
      <c r="A283" s="5">
        <v>50</v>
      </c>
      <c r="B283" s="5">
        <v>0</v>
      </c>
      <c r="C283" s="5">
        <v>0</v>
      </c>
      <c r="D283" s="5">
        <v>1</v>
      </c>
      <c r="E283" s="5">
        <v>210</v>
      </c>
      <c r="F283" s="5">
        <f>ROUND(Source!X257,O283)</f>
        <v>42777.97</v>
      </c>
      <c r="G283" s="5" t="s">
        <v>242</v>
      </c>
      <c r="H283" s="5" t="s">
        <v>243</v>
      </c>
      <c r="I283" s="5"/>
      <c r="J283" s="5"/>
      <c r="K283" s="5">
        <v>210</v>
      </c>
      <c r="L283" s="5">
        <v>25</v>
      </c>
      <c r="M283" s="5">
        <v>3</v>
      </c>
      <c r="N283" s="5" t="s">
        <v>3</v>
      </c>
      <c r="O283" s="5">
        <v>2</v>
      </c>
      <c r="P283" s="5">
        <f>ROUND(Source!DP257,O283)</f>
        <v>2352359.83</v>
      </c>
      <c r="Q283" s="5"/>
      <c r="R283" s="5"/>
      <c r="S283" s="5"/>
      <c r="T283" s="5"/>
      <c r="U283" s="5"/>
      <c r="V283" s="5"/>
      <c r="W283" s="5">
        <v>42777.97</v>
      </c>
      <c r="X283" s="5">
        <v>1</v>
      </c>
      <c r="Y283" s="5">
        <v>42777.97</v>
      </c>
      <c r="Z283" s="5">
        <v>2352359.83</v>
      </c>
      <c r="AA283" s="5">
        <v>1</v>
      </c>
      <c r="AB283" s="5">
        <v>2352359.83</v>
      </c>
    </row>
    <row r="284" spans="1:206" x14ac:dyDescent="0.3">
      <c r="A284" s="5">
        <v>50</v>
      </c>
      <c r="B284" s="5">
        <v>0</v>
      </c>
      <c r="C284" s="5">
        <v>0</v>
      </c>
      <c r="D284" s="5">
        <v>1</v>
      </c>
      <c r="E284" s="5">
        <v>211</v>
      </c>
      <c r="F284" s="5">
        <f>ROUND(Source!Y257,O284)</f>
        <v>21952.52</v>
      </c>
      <c r="G284" s="5" t="s">
        <v>244</v>
      </c>
      <c r="H284" s="5" t="s">
        <v>245</v>
      </c>
      <c r="I284" s="5"/>
      <c r="J284" s="5"/>
      <c r="K284" s="5">
        <v>211</v>
      </c>
      <c r="L284" s="5">
        <v>26</v>
      </c>
      <c r="M284" s="5">
        <v>3</v>
      </c>
      <c r="N284" s="5" t="s">
        <v>3</v>
      </c>
      <c r="O284" s="5">
        <v>2</v>
      </c>
      <c r="P284" s="5">
        <f>ROUND(Source!DQ257,O284)</f>
        <v>1207169.1499999999</v>
      </c>
      <c r="Q284" s="5"/>
      <c r="R284" s="5"/>
      <c r="S284" s="5"/>
      <c r="T284" s="5"/>
      <c r="U284" s="5"/>
      <c r="V284" s="5"/>
      <c r="W284" s="5">
        <v>21952.52</v>
      </c>
      <c r="X284" s="5">
        <v>1</v>
      </c>
      <c r="Y284" s="5">
        <v>21952.52</v>
      </c>
      <c r="Z284" s="5">
        <v>1207169.1499999999</v>
      </c>
      <c r="AA284" s="5">
        <v>1</v>
      </c>
      <c r="AB284" s="5">
        <v>1207169.1499999999</v>
      </c>
    </row>
    <row r="285" spans="1:206" x14ac:dyDescent="0.3">
      <c r="A285" s="5">
        <v>50</v>
      </c>
      <c r="B285" s="5">
        <v>0</v>
      </c>
      <c r="C285" s="5">
        <v>0</v>
      </c>
      <c r="D285" s="5">
        <v>1</v>
      </c>
      <c r="E285" s="5">
        <v>224</v>
      </c>
      <c r="F285" s="5">
        <f>ROUND(Source!AR257,O285)</f>
        <v>426777.56</v>
      </c>
      <c r="G285" s="5" t="s">
        <v>246</v>
      </c>
      <c r="H285" s="5" t="s">
        <v>247</v>
      </c>
      <c r="I285" s="5"/>
      <c r="J285" s="5"/>
      <c r="K285" s="5">
        <v>224</v>
      </c>
      <c r="L285" s="5">
        <v>27</v>
      </c>
      <c r="M285" s="5">
        <v>3</v>
      </c>
      <c r="N285" s="5" t="s">
        <v>3</v>
      </c>
      <c r="O285" s="5">
        <v>2</v>
      </c>
      <c r="P285" s="5">
        <f>ROUND(Source!EJ257,O285)</f>
        <v>8690283.7200000007</v>
      </c>
      <c r="Q285" s="5"/>
      <c r="R285" s="5"/>
      <c r="S285" s="5"/>
      <c r="T285" s="5"/>
      <c r="U285" s="5"/>
      <c r="V285" s="5"/>
      <c r="W285" s="5">
        <v>426777.56</v>
      </c>
      <c r="X285" s="5">
        <v>1</v>
      </c>
      <c r="Y285" s="5">
        <v>426777.56</v>
      </c>
      <c r="Z285" s="5">
        <v>8690283.7200000007</v>
      </c>
      <c r="AA285" s="5">
        <v>1</v>
      </c>
      <c r="AB285" s="5">
        <v>8690283.7200000007</v>
      </c>
    </row>
    <row r="287" spans="1:206" x14ac:dyDescent="0.3">
      <c r="A287" s="3">
        <v>51</v>
      </c>
      <c r="B287" s="3">
        <f>B12</f>
        <v>326</v>
      </c>
      <c r="C287" s="3">
        <f>A12</f>
        <v>1</v>
      </c>
      <c r="D287" s="3">
        <f>ROW(A12)</f>
        <v>12</v>
      </c>
      <c r="E287" s="3"/>
      <c r="F287" s="3" t="str">
        <f>IF(F12&lt;&gt;"",F12,"")</f>
        <v>02-01-08</v>
      </c>
      <c r="G287" s="3" t="str">
        <f>IF(G12&lt;&gt;"",G12,"")</f>
        <v>02-01-08 АПС</v>
      </c>
      <c r="H287" s="3">
        <v>0</v>
      </c>
      <c r="I287" s="3"/>
      <c r="J287" s="3"/>
      <c r="K287" s="3"/>
      <c r="L287" s="3"/>
      <c r="M287" s="3"/>
      <c r="N287" s="3"/>
      <c r="O287" s="3">
        <f t="shared" ref="O287:T287" si="251">ROUND(O257,2)</f>
        <v>362047.07</v>
      </c>
      <c r="P287" s="3">
        <f t="shared" si="251"/>
        <v>311548.58</v>
      </c>
      <c r="Q287" s="3">
        <f t="shared" si="251"/>
        <v>3445.63</v>
      </c>
      <c r="R287" s="3">
        <f t="shared" si="251"/>
        <v>199.62</v>
      </c>
      <c r="S287" s="3">
        <f t="shared" si="251"/>
        <v>47052.86</v>
      </c>
      <c r="T287" s="3">
        <f t="shared" si="251"/>
        <v>0</v>
      </c>
      <c r="U287" s="3">
        <f>U257</f>
        <v>3826.3564838400002</v>
      </c>
      <c r="V287" s="3">
        <f>V257</f>
        <v>0</v>
      </c>
      <c r="W287" s="3">
        <f>ROUND(W257,2)</f>
        <v>0</v>
      </c>
      <c r="X287" s="3">
        <f>ROUND(X257,2)</f>
        <v>42777.97</v>
      </c>
      <c r="Y287" s="3">
        <f>ROUND(Y257,2)</f>
        <v>21952.52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>
        <f t="shared" ref="AO287:BD287" si="252">ROUND(AO257,2)</f>
        <v>0</v>
      </c>
      <c r="AP287" s="3">
        <f t="shared" si="252"/>
        <v>241474.38</v>
      </c>
      <c r="AQ287" s="3">
        <f t="shared" si="252"/>
        <v>0</v>
      </c>
      <c r="AR287" s="3">
        <f t="shared" si="252"/>
        <v>426777.56</v>
      </c>
      <c r="AS287" s="3">
        <f t="shared" si="252"/>
        <v>0</v>
      </c>
      <c r="AT287" s="3">
        <f t="shared" si="252"/>
        <v>185303.18</v>
      </c>
      <c r="AU287" s="3">
        <f t="shared" si="252"/>
        <v>0</v>
      </c>
      <c r="AV287" s="3">
        <f t="shared" si="252"/>
        <v>311548.58</v>
      </c>
      <c r="AW287" s="3">
        <f t="shared" si="252"/>
        <v>70074.2</v>
      </c>
      <c r="AX287" s="3">
        <f t="shared" si="252"/>
        <v>0</v>
      </c>
      <c r="AY287" s="3">
        <f t="shared" si="252"/>
        <v>70074.2</v>
      </c>
      <c r="AZ287" s="3">
        <f t="shared" si="252"/>
        <v>241474.38</v>
      </c>
      <c r="BA287" s="3">
        <f t="shared" si="252"/>
        <v>0</v>
      </c>
      <c r="BB287" s="3">
        <f t="shared" si="252"/>
        <v>0</v>
      </c>
      <c r="BC287" s="3">
        <f t="shared" si="252"/>
        <v>0</v>
      </c>
      <c r="BD287" s="3">
        <f t="shared" si="252"/>
        <v>0</v>
      </c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4">
        <f t="shared" ref="DG287:DL287" si="253">ROUND(DG257,2)</f>
        <v>5130754.74</v>
      </c>
      <c r="DH287" s="4">
        <f t="shared" si="253"/>
        <v>2500128.79</v>
      </c>
      <c r="DI287" s="4">
        <f t="shared" si="253"/>
        <v>43189.17</v>
      </c>
      <c r="DJ287" s="4">
        <f t="shared" si="253"/>
        <v>10977.11</v>
      </c>
      <c r="DK287" s="4">
        <f t="shared" si="253"/>
        <v>2587436.7799999998</v>
      </c>
      <c r="DL287" s="4">
        <f t="shared" si="253"/>
        <v>0</v>
      </c>
      <c r="DM287" s="4">
        <f>DM257</f>
        <v>3826.3564838400002</v>
      </c>
      <c r="DN287" s="4">
        <f>DN257</f>
        <v>0</v>
      </c>
      <c r="DO287" s="4">
        <f>ROUND(DO257,2)</f>
        <v>0</v>
      </c>
      <c r="DP287" s="4">
        <f>ROUND(DP257,2)</f>
        <v>2352359.83</v>
      </c>
      <c r="DQ287" s="4">
        <f>ROUND(DQ257,2)</f>
        <v>1207169.1499999999</v>
      </c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>
        <f t="shared" ref="EG287:EV287" si="254">ROUND(EG257,2)</f>
        <v>0</v>
      </c>
      <c r="EH287" s="4">
        <f t="shared" si="254"/>
        <v>1860849.22</v>
      </c>
      <c r="EI287" s="4">
        <f t="shared" si="254"/>
        <v>0</v>
      </c>
      <c r="EJ287" s="4">
        <f t="shared" si="254"/>
        <v>8690283.7200000007</v>
      </c>
      <c r="EK287" s="4">
        <f t="shared" si="254"/>
        <v>0</v>
      </c>
      <c r="EL287" s="4">
        <f t="shared" si="254"/>
        <v>6829434.5</v>
      </c>
      <c r="EM287" s="4">
        <f t="shared" si="254"/>
        <v>0</v>
      </c>
      <c r="EN287" s="4">
        <f t="shared" si="254"/>
        <v>2500128.79</v>
      </c>
      <c r="EO287" s="4">
        <f t="shared" si="254"/>
        <v>639279.56999999995</v>
      </c>
      <c r="EP287" s="4">
        <f t="shared" si="254"/>
        <v>0</v>
      </c>
      <c r="EQ287" s="4">
        <f t="shared" si="254"/>
        <v>639279.56999999995</v>
      </c>
      <c r="ER287" s="4">
        <f t="shared" si="254"/>
        <v>1860849.22</v>
      </c>
      <c r="ES287" s="4">
        <f t="shared" si="254"/>
        <v>0</v>
      </c>
      <c r="ET287" s="4">
        <f t="shared" si="254"/>
        <v>0</v>
      </c>
      <c r="EU287" s="4">
        <f t="shared" si="254"/>
        <v>0</v>
      </c>
      <c r="EV287" s="4">
        <f t="shared" si="254"/>
        <v>0</v>
      </c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>
        <v>0</v>
      </c>
    </row>
    <row r="289" spans="1:28" x14ac:dyDescent="0.3">
      <c r="A289" s="5">
        <v>50</v>
      </c>
      <c r="B289" s="5">
        <v>0</v>
      </c>
      <c r="C289" s="5">
        <v>0</v>
      </c>
      <c r="D289" s="5">
        <v>1</v>
      </c>
      <c r="E289" s="5">
        <v>201</v>
      </c>
      <c r="F289" s="5">
        <f>ROUND(Source!O287,O289)</f>
        <v>362047.07</v>
      </c>
      <c r="G289" s="5" t="s">
        <v>194</v>
      </c>
      <c r="H289" s="5" t="s">
        <v>195</v>
      </c>
      <c r="I289" s="5"/>
      <c r="J289" s="5"/>
      <c r="K289" s="5">
        <v>201</v>
      </c>
      <c r="L289" s="5">
        <v>1</v>
      </c>
      <c r="M289" s="5">
        <v>3</v>
      </c>
      <c r="N289" s="5" t="s">
        <v>3</v>
      </c>
      <c r="O289" s="5">
        <v>2</v>
      </c>
      <c r="P289" s="5">
        <f>ROUND(Source!DG287,O289)</f>
        <v>5130754.74</v>
      </c>
      <c r="Q289" s="5"/>
      <c r="R289" s="5"/>
      <c r="S289" s="5"/>
      <c r="T289" s="5"/>
      <c r="U289" s="5"/>
      <c r="V289" s="5"/>
      <c r="W289" s="5">
        <v>362047.07</v>
      </c>
      <c r="X289" s="5">
        <v>1</v>
      </c>
      <c r="Y289" s="5">
        <v>362047.07</v>
      </c>
      <c r="Z289" s="5">
        <v>5130754.74</v>
      </c>
      <c r="AA289" s="5">
        <v>1</v>
      </c>
      <c r="AB289" s="5">
        <v>5130754.74</v>
      </c>
    </row>
    <row r="290" spans="1:28" x14ac:dyDescent="0.3">
      <c r="A290" s="5">
        <v>50</v>
      </c>
      <c r="B290" s="5">
        <v>0</v>
      </c>
      <c r="C290" s="5">
        <v>0</v>
      </c>
      <c r="D290" s="5">
        <v>1</v>
      </c>
      <c r="E290" s="5">
        <v>202</v>
      </c>
      <c r="F290" s="5">
        <f>ROUND(Source!P287,O290)</f>
        <v>311548.58</v>
      </c>
      <c r="G290" s="5" t="s">
        <v>196</v>
      </c>
      <c r="H290" s="5" t="s">
        <v>197</v>
      </c>
      <c r="I290" s="5"/>
      <c r="J290" s="5"/>
      <c r="K290" s="5">
        <v>202</v>
      </c>
      <c r="L290" s="5">
        <v>2</v>
      </c>
      <c r="M290" s="5">
        <v>3</v>
      </c>
      <c r="N290" s="5" t="s">
        <v>3</v>
      </c>
      <c r="O290" s="5">
        <v>2</v>
      </c>
      <c r="P290" s="5">
        <f>ROUND(Source!DH287,O290)</f>
        <v>2500128.79</v>
      </c>
      <c r="Q290" s="5"/>
      <c r="R290" s="5"/>
      <c r="S290" s="5"/>
      <c r="T290" s="5"/>
      <c r="U290" s="5"/>
      <c r="V290" s="5"/>
      <c r="W290" s="5">
        <v>311548.58</v>
      </c>
      <c r="X290" s="5">
        <v>1</v>
      </c>
      <c r="Y290" s="5">
        <v>311548.58</v>
      </c>
      <c r="Z290" s="5">
        <v>2500128.79</v>
      </c>
      <c r="AA290" s="5">
        <v>1</v>
      </c>
      <c r="AB290" s="5">
        <v>2500128.79</v>
      </c>
    </row>
    <row r="291" spans="1:28" x14ac:dyDescent="0.3">
      <c r="A291" s="5">
        <v>50</v>
      </c>
      <c r="B291" s="5">
        <v>0</v>
      </c>
      <c r="C291" s="5">
        <v>0</v>
      </c>
      <c r="D291" s="5">
        <v>1</v>
      </c>
      <c r="E291" s="5">
        <v>222</v>
      </c>
      <c r="F291" s="5">
        <f>ROUND(Source!AO287,O291)</f>
        <v>0</v>
      </c>
      <c r="G291" s="5" t="s">
        <v>198</v>
      </c>
      <c r="H291" s="5" t="s">
        <v>199</v>
      </c>
      <c r="I291" s="5"/>
      <c r="J291" s="5"/>
      <c r="K291" s="5">
        <v>222</v>
      </c>
      <c r="L291" s="5">
        <v>3</v>
      </c>
      <c r="M291" s="5">
        <v>3</v>
      </c>
      <c r="N291" s="5" t="s">
        <v>3</v>
      </c>
      <c r="O291" s="5">
        <v>2</v>
      </c>
      <c r="P291" s="5">
        <f>ROUND(Source!EG287,O291)</f>
        <v>0</v>
      </c>
      <c r="Q291" s="5"/>
      <c r="R291" s="5"/>
      <c r="S291" s="5"/>
      <c r="T291" s="5"/>
      <c r="U291" s="5"/>
      <c r="V291" s="5"/>
      <c r="W291" s="5">
        <v>0</v>
      </c>
      <c r="X291" s="5">
        <v>1</v>
      </c>
      <c r="Y291" s="5">
        <v>0</v>
      </c>
      <c r="Z291" s="5">
        <v>0</v>
      </c>
      <c r="AA291" s="5">
        <v>1</v>
      </c>
      <c r="AB291" s="5">
        <v>0</v>
      </c>
    </row>
    <row r="292" spans="1:28" x14ac:dyDescent="0.3">
      <c r="A292" s="5">
        <v>50</v>
      </c>
      <c r="B292" s="5">
        <v>0</v>
      </c>
      <c r="C292" s="5">
        <v>0</v>
      </c>
      <c r="D292" s="5">
        <v>1</v>
      </c>
      <c r="E292" s="5">
        <v>225</v>
      </c>
      <c r="F292" s="5">
        <f>ROUND(Source!AV287,O292)</f>
        <v>311548.58</v>
      </c>
      <c r="G292" s="5" t="s">
        <v>200</v>
      </c>
      <c r="H292" s="5" t="s">
        <v>201</v>
      </c>
      <c r="I292" s="5"/>
      <c r="J292" s="5"/>
      <c r="K292" s="5">
        <v>225</v>
      </c>
      <c r="L292" s="5">
        <v>4</v>
      </c>
      <c r="M292" s="5">
        <v>3</v>
      </c>
      <c r="N292" s="5" t="s">
        <v>3</v>
      </c>
      <c r="O292" s="5">
        <v>2</v>
      </c>
      <c r="P292" s="5">
        <f>ROUND(Source!EN287,O292)</f>
        <v>2500128.79</v>
      </c>
      <c r="Q292" s="5"/>
      <c r="R292" s="5"/>
      <c r="S292" s="5"/>
      <c r="T292" s="5"/>
      <c r="U292" s="5"/>
      <c r="V292" s="5"/>
      <c r="W292" s="5">
        <v>311548.58</v>
      </c>
      <c r="X292" s="5">
        <v>1</v>
      </c>
      <c r="Y292" s="5">
        <v>311548.58</v>
      </c>
      <c r="Z292" s="5">
        <v>2500128.79</v>
      </c>
      <c r="AA292" s="5">
        <v>1</v>
      </c>
      <c r="AB292" s="5">
        <v>2500128.79</v>
      </c>
    </row>
    <row r="293" spans="1:28" x14ac:dyDescent="0.3">
      <c r="A293" s="5">
        <v>50</v>
      </c>
      <c r="B293" s="5">
        <v>0</v>
      </c>
      <c r="C293" s="5">
        <v>0</v>
      </c>
      <c r="D293" s="5">
        <v>1</v>
      </c>
      <c r="E293" s="5">
        <v>226</v>
      </c>
      <c r="F293" s="5">
        <f>ROUND(Source!AW287,O293)</f>
        <v>70074.2</v>
      </c>
      <c r="G293" s="5" t="s">
        <v>202</v>
      </c>
      <c r="H293" s="5" t="s">
        <v>203</v>
      </c>
      <c r="I293" s="5"/>
      <c r="J293" s="5"/>
      <c r="K293" s="5">
        <v>226</v>
      </c>
      <c r="L293" s="5">
        <v>5</v>
      </c>
      <c r="M293" s="5">
        <v>3</v>
      </c>
      <c r="N293" s="5" t="s">
        <v>3</v>
      </c>
      <c r="O293" s="5">
        <v>2</v>
      </c>
      <c r="P293" s="5">
        <f>ROUND(Source!EO287,O293)</f>
        <v>639279.56999999995</v>
      </c>
      <c r="Q293" s="5"/>
      <c r="R293" s="5"/>
      <c r="S293" s="5"/>
      <c r="T293" s="5"/>
      <c r="U293" s="5"/>
      <c r="V293" s="5"/>
      <c r="W293" s="5">
        <v>70074.2</v>
      </c>
      <c r="X293" s="5">
        <v>1</v>
      </c>
      <c r="Y293" s="5">
        <v>70074.2</v>
      </c>
      <c r="Z293" s="5">
        <v>639279.56999999995</v>
      </c>
      <c r="AA293" s="5">
        <v>1</v>
      </c>
      <c r="AB293" s="5">
        <v>639279.56999999995</v>
      </c>
    </row>
    <row r="294" spans="1:28" x14ac:dyDescent="0.3">
      <c r="A294" s="5">
        <v>50</v>
      </c>
      <c r="B294" s="5">
        <v>0</v>
      </c>
      <c r="C294" s="5">
        <v>0</v>
      </c>
      <c r="D294" s="5">
        <v>1</v>
      </c>
      <c r="E294" s="5">
        <v>227</v>
      </c>
      <c r="F294" s="5">
        <f>ROUND(Source!AX287,O294)</f>
        <v>0</v>
      </c>
      <c r="G294" s="5" t="s">
        <v>204</v>
      </c>
      <c r="H294" s="5" t="s">
        <v>205</v>
      </c>
      <c r="I294" s="5"/>
      <c r="J294" s="5"/>
      <c r="K294" s="5">
        <v>227</v>
      </c>
      <c r="L294" s="5">
        <v>6</v>
      </c>
      <c r="M294" s="5">
        <v>3</v>
      </c>
      <c r="N294" s="5" t="s">
        <v>3</v>
      </c>
      <c r="O294" s="5">
        <v>2</v>
      </c>
      <c r="P294" s="5">
        <f>ROUND(Source!EP287,O294)</f>
        <v>0</v>
      </c>
      <c r="Q294" s="5"/>
      <c r="R294" s="5"/>
      <c r="S294" s="5"/>
      <c r="T294" s="5"/>
      <c r="U294" s="5"/>
      <c r="V294" s="5"/>
      <c r="W294" s="5">
        <v>0</v>
      </c>
      <c r="X294" s="5">
        <v>1</v>
      </c>
      <c r="Y294" s="5">
        <v>0</v>
      </c>
      <c r="Z294" s="5">
        <v>0</v>
      </c>
      <c r="AA294" s="5">
        <v>1</v>
      </c>
      <c r="AB294" s="5">
        <v>0</v>
      </c>
    </row>
    <row r="295" spans="1:28" x14ac:dyDescent="0.3">
      <c r="A295" s="5">
        <v>50</v>
      </c>
      <c r="B295" s="5">
        <v>0</v>
      </c>
      <c r="C295" s="5">
        <v>0</v>
      </c>
      <c r="D295" s="5">
        <v>1</v>
      </c>
      <c r="E295" s="5">
        <v>228</v>
      </c>
      <c r="F295" s="5">
        <f>ROUND(Source!AY287,O295)</f>
        <v>70074.2</v>
      </c>
      <c r="G295" s="5" t="s">
        <v>206</v>
      </c>
      <c r="H295" s="5" t="s">
        <v>207</v>
      </c>
      <c r="I295" s="5"/>
      <c r="J295" s="5"/>
      <c r="K295" s="5">
        <v>228</v>
      </c>
      <c r="L295" s="5">
        <v>7</v>
      </c>
      <c r="M295" s="5">
        <v>3</v>
      </c>
      <c r="N295" s="5" t="s">
        <v>3</v>
      </c>
      <c r="O295" s="5">
        <v>2</v>
      </c>
      <c r="P295" s="5">
        <f>ROUND(Source!EQ287,O295)</f>
        <v>639279.56999999995</v>
      </c>
      <c r="Q295" s="5"/>
      <c r="R295" s="5"/>
      <c r="S295" s="5"/>
      <c r="T295" s="5"/>
      <c r="U295" s="5"/>
      <c r="V295" s="5"/>
      <c r="W295" s="5">
        <v>70074.2</v>
      </c>
      <c r="X295" s="5">
        <v>1</v>
      </c>
      <c r="Y295" s="5">
        <v>70074.2</v>
      </c>
      <c r="Z295" s="5">
        <v>639279.56999999995</v>
      </c>
      <c r="AA295" s="5">
        <v>1</v>
      </c>
      <c r="AB295" s="5">
        <v>639279.56999999995</v>
      </c>
    </row>
    <row r="296" spans="1:28" x14ac:dyDescent="0.3">
      <c r="A296" s="5">
        <v>50</v>
      </c>
      <c r="B296" s="5">
        <v>0</v>
      </c>
      <c r="C296" s="5">
        <v>0</v>
      </c>
      <c r="D296" s="5">
        <v>1</v>
      </c>
      <c r="E296" s="5">
        <v>216</v>
      </c>
      <c r="F296" s="5">
        <f>ROUND(Source!AP287,O296)</f>
        <v>241474.38</v>
      </c>
      <c r="G296" s="5" t="s">
        <v>208</v>
      </c>
      <c r="H296" s="5" t="s">
        <v>209</v>
      </c>
      <c r="I296" s="5"/>
      <c r="J296" s="5"/>
      <c r="K296" s="5">
        <v>216</v>
      </c>
      <c r="L296" s="5">
        <v>8</v>
      </c>
      <c r="M296" s="5">
        <v>3</v>
      </c>
      <c r="N296" s="5" t="s">
        <v>3</v>
      </c>
      <c r="O296" s="5">
        <v>2</v>
      </c>
      <c r="P296" s="5">
        <f>ROUND(Source!EH287,O296)</f>
        <v>1860849.22</v>
      </c>
      <c r="Q296" s="5"/>
      <c r="R296" s="5"/>
      <c r="S296" s="5"/>
      <c r="T296" s="5"/>
      <c r="U296" s="5"/>
      <c r="V296" s="5"/>
      <c r="W296" s="5">
        <v>241474.38</v>
      </c>
      <c r="X296" s="5">
        <v>1</v>
      </c>
      <c r="Y296" s="5">
        <v>241474.38</v>
      </c>
      <c r="Z296" s="5">
        <v>1860849.22</v>
      </c>
      <c r="AA296" s="5">
        <v>1</v>
      </c>
      <c r="AB296" s="5">
        <v>1860849.22</v>
      </c>
    </row>
    <row r="297" spans="1:28" x14ac:dyDescent="0.3">
      <c r="A297" s="5">
        <v>50</v>
      </c>
      <c r="B297" s="5">
        <v>0</v>
      </c>
      <c r="C297" s="5">
        <v>0</v>
      </c>
      <c r="D297" s="5">
        <v>1</v>
      </c>
      <c r="E297" s="5">
        <v>223</v>
      </c>
      <c r="F297" s="5">
        <f>ROUND(Source!AQ287,O297)</f>
        <v>0</v>
      </c>
      <c r="G297" s="5" t="s">
        <v>210</v>
      </c>
      <c r="H297" s="5" t="s">
        <v>211</v>
      </c>
      <c r="I297" s="5"/>
      <c r="J297" s="5"/>
      <c r="K297" s="5">
        <v>223</v>
      </c>
      <c r="L297" s="5">
        <v>9</v>
      </c>
      <c r="M297" s="5">
        <v>3</v>
      </c>
      <c r="N297" s="5" t="s">
        <v>3</v>
      </c>
      <c r="O297" s="5">
        <v>2</v>
      </c>
      <c r="P297" s="5">
        <f>ROUND(Source!EI287,O297)</f>
        <v>0</v>
      </c>
      <c r="Q297" s="5"/>
      <c r="R297" s="5"/>
      <c r="S297" s="5"/>
      <c r="T297" s="5"/>
      <c r="U297" s="5"/>
      <c r="V297" s="5"/>
      <c r="W297" s="5">
        <v>0</v>
      </c>
      <c r="X297" s="5">
        <v>1</v>
      </c>
      <c r="Y297" s="5">
        <v>0</v>
      </c>
      <c r="Z297" s="5">
        <v>0</v>
      </c>
      <c r="AA297" s="5">
        <v>1</v>
      </c>
      <c r="AB297" s="5">
        <v>0</v>
      </c>
    </row>
    <row r="298" spans="1:28" x14ac:dyDescent="0.3">
      <c r="A298" s="5">
        <v>50</v>
      </c>
      <c r="B298" s="5">
        <v>0</v>
      </c>
      <c r="C298" s="5">
        <v>0</v>
      </c>
      <c r="D298" s="5">
        <v>1</v>
      </c>
      <c r="E298" s="5">
        <v>229</v>
      </c>
      <c r="F298" s="5">
        <f>ROUND(Source!AZ287,O298)</f>
        <v>241474.38</v>
      </c>
      <c r="G298" s="5" t="s">
        <v>212</v>
      </c>
      <c r="H298" s="5" t="s">
        <v>213</v>
      </c>
      <c r="I298" s="5"/>
      <c r="J298" s="5"/>
      <c r="K298" s="5">
        <v>229</v>
      </c>
      <c r="L298" s="5">
        <v>10</v>
      </c>
      <c r="M298" s="5">
        <v>3</v>
      </c>
      <c r="N298" s="5" t="s">
        <v>3</v>
      </c>
      <c r="O298" s="5">
        <v>2</v>
      </c>
      <c r="P298" s="5">
        <f>ROUND(Source!ER287,O298)</f>
        <v>1860849.22</v>
      </c>
      <c r="Q298" s="5"/>
      <c r="R298" s="5"/>
      <c r="S298" s="5"/>
      <c r="T298" s="5"/>
      <c r="U298" s="5"/>
      <c r="V298" s="5"/>
      <c r="W298" s="5">
        <v>241474.38</v>
      </c>
      <c r="X298" s="5">
        <v>1</v>
      </c>
      <c r="Y298" s="5">
        <v>241474.38</v>
      </c>
      <c r="Z298" s="5">
        <v>1860849.22</v>
      </c>
      <c r="AA298" s="5">
        <v>1</v>
      </c>
      <c r="AB298" s="5">
        <v>1860849.22</v>
      </c>
    </row>
    <row r="299" spans="1:28" x14ac:dyDescent="0.3">
      <c r="A299" s="5">
        <v>50</v>
      </c>
      <c r="B299" s="5">
        <v>0</v>
      </c>
      <c r="C299" s="5">
        <v>0</v>
      </c>
      <c r="D299" s="5">
        <v>1</v>
      </c>
      <c r="E299" s="5">
        <v>203</v>
      </c>
      <c r="F299" s="5">
        <f>ROUND(Source!Q287,O299)</f>
        <v>3445.63</v>
      </c>
      <c r="G299" s="5" t="s">
        <v>214</v>
      </c>
      <c r="H299" s="5" t="s">
        <v>215</v>
      </c>
      <c r="I299" s="5"/>
      <c r="J299" s="5"/>
      <c r="K299" s="5">
        <v>203</v>
      </c>
      <c r="L299" s="5">
        <v>11</v>
      </c>
      <c r="M299" s="5">
        <v>3</v>
      </c>
      <c r="N299" s="5" t="s">
        <v>3</v>
      </c>
      <c r="O299" s="5">
        <v>2</v>
      </c>
      <c r="P299" s="5">
        <f>ROUND(Source!DI287,O299)</f>
        <v>43189.17</v>
      </c>
      <c r="Q299" s="5"/>
      <c r="R299" s="5"/>
      <c r="S299" s="5"/>
      <c r="T299" s="5"/>
      <c r="U299" s="5"/>
      <c r="V299" s="5"/>
      <c r="W299" s="5">
        <v>3445.63</v>
      </c>
      <c r="X299" s="5">
        <v>1</v>
      </c>
      <c r="Y299" s="5">
        <v>3445.63</v>
      </c>
      <c r="Z299" s="5">
        <v>43189.17</v>
      </c>
      <c r="AA299" s="5">
        <v>1</v>
      </c>
      <c r="AB299" s="5">
        <v>43189.17</v>
      </c>
    </row>
    <row r="300" spans="1:28" x14ac:dyDescent="0.3">
      <c r="A300" s="5">
        <v>50</v>
      </c>
      <c r="B300" s="5">
        <v>0</v>
      </c>
      <c r="C300" s="5">
        <v>0</v>
      </c>
      <c r="D300" s="5">
        <v>1</v>
      </c>
      <c r="E300" s="5">
        <v>231</v>
      </c>
      <c r="F300" s="5">
        <f>ROUND(Source!BB287,O300)</f>
        <v>0</v>
      </c>
      <c r="G300" s="5" t="s">
        <v>216</v>
      </c>
      <c r="H300" s="5" t="s">
        <v>217</v>
      </c>
      <c r="I300" s="5"/>
      <c r="J300" s="5"/>
      <c r="K300" s="5">
        <v>231</v>
      </c>
      <c r="L300" s="5">
        <v>12</v>
      </c>
      <c r="M300" s="5">
        <v>3</v>
      </c>
      <c r="N300" s="5" t="s">
        <v>3</v>
      </c>
      <c r="O300" s="5">
        <v>2</v>
      </c>
      <c r="P300" s="5">
        <f>ROUND(Source!ET287,O300)</f>
        <v>0</v>
      </c>
      <c r="Q300" s="5"/>
      <c r="R300" s="5"/>
      <c r="S300" s="5"/>
      <c r="T300" s="5"/>
      <c r="U300" s="5"/>
      <c r="V300" s="5"/>
      <c r="W300" s="5">
        <v>0</v>
      </c>
      <c r="X300" s="5">
        <v>1</v>
      </c>
      <c r="Y300" s="5">
        <v>0</v>
      </c>
      <c r="Z300" s="5">
        <v>0</v>
      </c>
      <c r="AA300" s="5">
        <v>1</v>
      </c>
      <c r="AB300" s="5">
        <v>0</v>
      </c>
    </row>
    <row r="301" spans="1:28" x14ac:dyDescent="0.3">
      <c r="A301" s="5">
        <v>50</v>
      </c>
      <c r="B301" s="5">
        <v>0</v>
      </c>
      <c r="C301" s="5">
        <v>0</v>
      </c>
      <c r="D301" s="5">
        <v>1</v>
      </c>
      <c r="E301" s="5">
        <v>204</v>
      </c>
      <c r="F301" s="5">
        <f>ROUND(Source!R287,O301)</f>
        <v>199.62</v>
      </c>
      <c r="G301" s="5" t="s">
        <v>218</v>
      </c>
      <c r="H301" s="5" t="s">
        <v>219</v>
      </c>
      <c r="I301" s="5"/>
      <c r="J301" s="5"/>
      <c r="K301" s="5">
        <v>204</v>
      </c>
      <c r="L301" s="5">
        <v>13</v>
      </c>
      <c r="M301" s="5">
        <v>3</v>
      </c>
      <c r="N301" s="5" t="s">
        <v>3</v>
      </c>
      <c r="O301" s="5">
        <v>2</v>
      </c>
      <c r="P301" s="5">
        <f>ROUND(Source!DJ287,O301)</f>
        <v>10977.11</v>
      </c>
      <c r="Q301" s="5"/>
      <c r="R301" s="5"/>
      <c r="S301" s="5"/>
      <c r="T301" s="5"/>
      <c r="U301" s="5"/>
      <c r="V301" s="5"/>
      <c r="W301" s="5">
        <v>199.62</v>
      </c>
      <c r="X301" s="5">
        <v>1</v>
      </c>
      <c r="Y301" s="5">
        <v>199.62</v>
      </c>
      <c r="Z301" s="5">
        <v>10977.11</v>
      </c>
      <c r="AA301" s="5">
        <v>1</v>
      </c>
      <c r="AB301" s="5">
        <v>10977.11</v>
      </c>
    </row>
    <row r="302" spans="1:28" x14ac:dyDescent="0.3">
      <c r="A302" s="5">
        <v>50</v>
      </c>
      <c r="B302" s="5">
        <v>0</v>
      </c>
      <c r="C302" s="5">
        <v>0</v>
      </c>
      <c r="D302" s="5">
        <v>1</v>
      </c>
      <c r="E302" s="5">
        <v>205</v>
      </c>
      <c r="F302" s="5">
        <f>ROUND(Source!S287,O302)</f>
        <v>47052.86</v>
      </c>
      <c r="G302" s="5" t="s">
        <v>220</v>
      </c>
      <c r="H302" s="5" t="s">
        <v>221</v>
      </c>
      <c r="I302" s="5"/>
      <c r="J302" s="5"/>
      <c r="K302" s="5">
        <v>205</v>
      </c>
      <c r="L302" s="5">
        <v>14</v>
      </c>
      <c r="M302" s="5">
        <v>3</v>
      </c>
      <c r="N302" s="5" t="s">
        <v>3</v>
      </c>
      <c r="O302" s="5">
        <v>2</v>
      </c>
      <c r="P302" s="5">
        <f>ROUND(Source!DK287,O302)</f>
        <v>2587436.7799999998</v>
      </c>
      <c r="Q302" s="5"/>
      <c r="R302" s="5"/>
      <c r="S302" s="5"/>
      <c r="T302" s="5"/>
      <c r="U302" s="5"/>
      <c r="V302" s="5"/>
      <c r="W302" s="5">
        <v>47052.86</v>
      </c>
      <c r="X302" s="5">
        <v>1</v>
      </c>
      <c r="Y302" s="5">
        <v>47052.86</v>
      </c>
      <c r="Z302" s="5">
        <v>2587436.7799999998</v>
      </c>
      <c r="AA302" s="5">
        <v>1</v>
      </c>
      <c r="AB302" s="5">
        <v>2587436.7799999998</v>
      </c>
    </row>
    <row r="303" spans="1:28" x14ac:dyDescent="0.3">
      <c r="A303" s="5">
        <v>50</v>
      </c>
      <c r="B303" s="5">
        <v>0</v>
      </c>
      <c r="C303" s="5">
        <v>0</v>
      </c>
      <c r="D303" s="5">
        <v>1</v>
      </c>
      <c r="E303" s="5">
        <v>232</v>
      </c>
      <c r="F303" s="5">
        <f>ROUND(Source!BC287,O303)</f>
        <v>0</v>
      </c>
      <c r="G303" s="5" t="s">
        <v>222</v>
      </c>
      <c r="H303" s="5" t="s">
        <v>223</v>
      </c>
      <c r="I303" s="5"/>
      <c r="J303" s="5"/>
      <c r="K303" s="5">
        <v>232</v>
      </c>
      <c r="L303" s="5">
        <v>15</v>
      </c>
      <c r="M303" s="5">
        <v>3</v>
      </c>
      <c r="N303" s="5" t="s">
        <v>3</v>
      </c>
      <c r="O303" s="5">
        <v>2</v>
      </c>
      <c r="P303" s="5">
        <f>ROUND(Source!EU287,O303)</f>
        <v>0</v>
      </c>
      <c r="Q303" s="5"/>
      <c r="R303" s="5"/>
      <c r="S303" s="5"/>
      <c r="T303" s="5"/>
      <c r="U303" s="5"/>
      <c r="V303" s="5"/>
      <c r="W303" s="5">
        <v>0</v>
      </c>
      <c r="X303" s="5">
        <v>1</v>
      </c>
      <c r="Y303" s="5">
        <v>0</v>
      </c>
      <c r="Z303" s="5">
        <v>0</v>
      </c>
      <c r="AA303" s="5">
        <v>1</v>
      </c>
      <c r="AB303" s="5">
        <v>0</v>
      </c>
    </row>
    <row r="304" spans="1:28" x14ac:dyDescent="0.3">
      <c r="A304" s="5">
        <v>50</v>
      </c>
      <c r="B304" s="5">
        <v>0</v>
      </c>
      <c r="C304" s="5">
        <v>0</v>
      </c>
      <c r="D304" s="5">
        <v>1</v>
      </c>
      <c r="E304" s="5">
        <v>214</v>
      </c>
      <c r="F304" s="5">
        <f>ROUND(Source!AS287,O304)</f>
        <v>0</v>
      </c>
      <c r="G304" s="5" t="s">
        <v>224</v>
      </c>
      <c r="H304" s="5" t="s">
        <v>225</v>
      </c>
      <c r="I304" s="5"/>
      <c r="J304" s="5"/>
      <c r="K304" s="5">
        <v>214</v>
      </c>
      <c r="L304" s="5">
        <v>16</v>
      </c>
      <c r="M304" s="5">
        <v>3</v>
      </c>
      <c r="N304" s="5" t="s">
        <v>3</v>
      </c>
      <c r="O304" s="5">
        <v>2</v>
      </c>
      <c r="P304" s="5">
        <f>ROUND(Source!EK287,O304)</f>
        <v>0</v>
      </c>
      <c r="Q304" s="5"/>
      <c r="R304" s="5"/>
      <c r="S304" s="5"/>
      <c r="T304" s="5"/>
      <c r="U304" s="5"/>
      <c r="V304" s="5"/>
      <c r="W304" s="5">
        <v>0</v>
      </c>
      <c r="X304" s="5">
        <v>1</v>
      </c>
      <c r="Y304" s="5">
        <v>0</v>
      </c>
      <c r="Z304" s="5">
        <v>0</v>
      </c>
      <c r="AA304" s="5">
        <v>1</v>
      </c>
      <c r="AB304" s="5">
        <v>0</v>
      </c>
    </row>
    <row r="305" spans="1:28" x14ac:dyDescent="0.3">
      <c r="A305" s="5">
        <v>50</v>
      </c>
      <c r="B305" s="5">
        <v>0</v>
      </c>
      <c r="C305" s="5">
        <v>0</v>
      </c>
      <c r="D305" s="5">
        <v>1</v>
      </c>
      <c r="E305" s="5">
        <v>215</v>
      </c>
      <c r="F305" s="5">
        <f>ROUND(Source!AT287,O305)</f>
        <v>185303.18</v>
      </c>
      <c r="G305" s="5" t="s">
        <v>226</v>
      </c>
      <c r="H305" s="5" t="s">
        <v>227</v>
      </c>
      <c r="I305" s="5"/>
      <c r="J305" s="5"/>
      <c r="K305" s="5">
        <v>215</v>
      </c>
      <c r="L305" s="5">
        <v>17</v>
      </c>
      <c r="M305" s="5">
        <v>3</v>
      </c>
      <c r="N305" s="5" t="s">
        <v>3</v>
      </c>
      <c r="O305" s="5">
        <v>2</v>
      </c>
      <c r="P305" s="5">
        <f>ROUND(Source!EL287,O305)</f>
        <v>6829434.5</v>
      </c>
      <c r="Q305" s="5"/>
      <c r="R305" s="5"/>
      <c r="S305" s="5"/>
      <c r="T305" s="5"/>
      <c r="U305" s="5"/>
      <c r="V305" s="5"/>
      <c r="W305" s="5">
        <v>185303.18</v>
      </c>
      <c r="X305" s="5">
        <v>1</v>
      </c>
      <c r="Y305" s="5">
        <v>185303.18</v>
      </c>
      <c r="Z305" s="5">
        <v>6829434.5</v>
      </c>
      <c r="AA305" s="5">
        <v>1</v>
      </c>
      <c r="AB305" s="5">
        <v>6829434.5</v>
      </c>
    </row>
    <row r="306" spans="1:28" x14ac:dyDescent="0.3">
      <c r="A306" s="5">
        <v>50</v>
      </c>
      <c r="B306" s="5">
        <v>0</v>
      </c>
      <c r="C306" s="5">
        <v>0</v>
      </c>
      <c r="D306" s="5">
        <v>1</v>
      </c>
      <c r="E306" s="5">
        <v>217</v>
      </c>
      <c r="F306" s="5">
        <f>ROUND(Source!AU287,O306)</f>
        <v>0</v>
      </c>
      <c r="G306" s="5" t="s">
        <v>228</v>
      </c>
      <c r="H306" s="5" t="s">
        <v>229</v>
      </c>
      <c r="I306" s="5"/>
      <c r="J306" s="5"/>
      <c r="K306" s="5">
        <v>217</v>
      </c>
      <c r="L306" s="5">
        <v>18</v>
      </c>
      <c r="M306" s="5">
        <v>3</v>
      </c>
      <c r="N306" s="5" t="s">
        <v>3</v>
      </c>
      <c r="O306" s="5">
        <v>2</v>
      </c>
      <c r="P306" s="5">
        <f>ROUND(Source!EM287,O306)</f>
        <v>0</v>
      </c>
      <c r="Q306" s="5"/>
      <c r="R306" s="5"/>
      <c r="S306" s="5"/>
      <c r="T306" s="5"/>
      <c r="U306" s="5"/>
      <c r="V306" s="5"/>
      <c r="W306" s="5">
        <v>0</v>
      </c>
      <c r="X306" s="5">
        <v>1</v>
      </c>
      <c r="Y306" s="5">
        <v>0</v>
      </c>
      <c r="Z306" s="5">
        <v>0</v>
      </c>
      <c r="AA306" s="5">
        <v>1</v>
      </c>
      <c r="AB306" s="5">
        <v>0</v>
      </c>
    </row>
    <row r="307" spans="1:28" x14ac:dyDescent="0.3">
      <c r="A307" s="5">
        <v>50</v>
      </c>
      <c r="B307" s="5">
        <v>0</v>
      </c>
      <c r="C307" s="5">
        <v>0</v>
      </c>
      <c r="D307" s="5">
        <v>1</v>
      </c>
      <c r="E307" s="5">
        <v>230</v>
      </c>
      <c r="F307" s="5">
        <f>ROUND(Source!BA287,O307)</f>
        <v>0</v>
      </c>
      <c r="G307" s="5" t="s">
        <v>230</v>
      </c>
      <c r="H307" s="5" t="s">
        <v>231</v>
      </c>
      <c r="I307" s="5"/>
      <c r="J307" s="5"/>
      <c r="K307" s="5">
        <v>230</v>
      </c>
      <c r="L307" s="5">
        <v>19</v>
      </c>
      <c r="M307" s="5">
        <v>3</v>
      </c>
      <c r="N307" s="5" t="s">
        <v>3</v>
      </c>
      <c r="O307" s="5">
        <v>2</v>
      </c>
      <c r="P307" s="5">
        <f>ROUND(Source!ES287,O307)</f>
        <v>0</v>
      </c>
      <c r="Q307" s="5"/>
      <c r="R307" s="5"/>
      <c r="S307" s="5"/>
      <c r="T307" s="5"/>
      <c r="U307" s="5"/>
      <c r="V307" s="5"/>
      <c r="W307" s="5">
        <v>0</v>
      </c>
      <c r="X307" s="5">
        <v>1</v>
      </c>
      <c r="Y307" s="5">
        <v>0</v>
      </c>
      <c r="Z307" s="5">
        <v>0</v>
      </c>
      <c r="AA307" s="5">
        <v>1</v>
      </c>
      <c r="AB307" s="5">
        <v>0</v>
      </c>
    </row>
    <row r="308" spans="1:28" x14ac:dyDescent="0.3">
      <c r="A308" s="5">
        <v>50</v>
      </c>
      <c r="B308" s="5">
        <v>0</v>
      </c>
      <c r="C308" s="5">
        <v>0</v>
      </c>
      <c r="D308" s="5">
        <v>1</v>
      </c>
      <c r="E308" s="5">
        <v>206</v>
      </c>
      <c r="F308" s="5">
        <f>ROUND(Source!T287,O308)</f>
        <v>0</v>
      </c>
      <c r="G308" s="5" t="s">
        <v>232</v>
      </c>
      <c r="H308" s="5" t="s">
        <v>233</v>
      </c>
      <c r="I308" s="5"/>
      <c r="J308" s="5"/>
      <c r="K308" s="5">
        <v>206</v>
      </c>
      <c r="L308" s="5">
        <v>20</v>
      </c>
      <c r="M308" s="5">
        <v>3</v>
      </c>
      <c r="N308" s="5" t="s">
        <v>3</v>
      </c>
      <c r="O308" s="5">
        <v>2</v>
      </c>
      <c r="P308" s="5">
        <f>ROUND(Source!DL287,O308)</f>
        <v>0</v>
      </c>
      <c r="Q308" s="5"/>
      <c r="R308" s="5"/>
      <c r="S308" s="5"/>
      <c r="T308" s="5"/>
      <c r="U308" s="5"/>
      <c r="V308" s="5"/>
      <c r="W308" s="5">
        <v>0</v>
      </c>
      <c r="X308" s="5">
        <v>1</v>
      </c>
      <c r="Y308" s="5">
        <v>0</v>
      </c>
      <c r="Z308" s="5">
        <v>0</v>
      </c>
      <c r="AA308" s="5">
        <v>1</v>
      </c>
      <c r="AB308" s="5">
        <v>0</v>
      </c>
    </row>
    <row r="309" spans="1:28" x14ac:dyDescent="0.3">
      <c r="A309" s="5">
        <v>50</v>
      </c>
      <c r="B309" s="5">
        <v>0</v>
      </c>
      <c r="C309" s="5">
        <v>0</v>
      </c>
      <c r="D309" s="5">
        <v>1</v>
      </c>
      <c r="E309" s="5">
        <v>207</v>
      </c>
      <c r="F309" s="5">
        <f>Source!U287</f>
        <v>3826.3564838400002</v>
      </c>
      <c r="G309" s="5" t="s">
        <v>234</v>
      </c>
      <c r="H309" s="5" t="s">
        <v>235</v>
      </c>
      <c r="I309" s="5"/>
      <c r="J309" s="5"/>
      <c r="K309" s="5">
        <v>207</v>
      </c>
      <c r="L309" s="5">
        <v>21</v>
      </c>
      <c r="M309" s="5">
        <v>3</v>
      </c>
      <c r="N309" s="5" t="s">
        <v>3</v>
      </c>
      <c r="O309" s="5">
        <v>-1</v>
      </c>
      <c r="P309" s="5">
        <f>Source!DM287</f>
        <v>3826.3564838400002</v>
      </c>
      <c r="Q309" s="5"/>
      <c r="R309" s="5"/>
      <c r="S309" s="5"/>
      <c r="T309" s="5"/>
      <c r="U309" s="5"/>
      <c r="V309" s="5"/>
      <c r="W309" s="5">
        <v>3826.3564838399998</v>
      </c>
      <c r="X309" s="5">
        <v>1</v>
      </c>
      <c r="Y309" s="5">
        <v>3826.3564838399998</v>
      </c>
      <c r="Z309" s="5">
        <v>3826.3564838399998</v>
      </c>
      <c r="AA309" s="5">
        <v>1</v>
      </c>
      <c r="AB309" s="5">
        <v>3826.3564838399998</v>
      </c>
    </row>
    <row r="310" spans="1:28" x14ac:dyDescent="0.3">
      <c r="A310" s="5">
        <v>50</v>
      </c>
      <c r="B310" s="5">
        <v>0</v>
      </c>
      <c r="C310" s="5">
        <v>0</v>
      </c>
      <c r="D310" s="5">
        <v>1</v>
      </c>
      <c r="E310" s="5">
        <v>208</v>
      </c>
      <c r="F310" s="5">
        <f>Source!V287</f>
        <v>0</v>
      </c>
      <c r="G310" s="5" t="s">
        <v>236</v>
      </c>
      <c r="H310" s="5" t="s">
        <v>237</v>
      </c>
      <c r="I310" s="5"/>
      <c r="J310" s="5"/>
      <c r="K310" s="5">
        <v>208</v>
      </c>
      <c r="L310" s="5">
        <v>22</v>
      </c>
      <c r="M310" s="5">
        <v>3</v>
      </c>
      <c r="N310" s="5" t="s">
        <v>3</v>
      </c>
      <c r="O310" s="5">
        <v>-1</v>
      </c>
      <c r="P310" s="5">
        <f>Source!DN287</f>
        <v>0</v>
      </c>
      <c r="Q310" s="5"/>
      <c r="R310" s="5"/>
      <c r="S310" s="5"/>
      <c r="T310" s="5"/>
      <c r="U310" s="5"/>
      <c r="V310" s="5"/>
      <c r="W310" s="5">
        <v>0</v>
      </c>
      <c r="X310" s="5">
        <v>1</v>
      </c>
      <c r="Y310" s="5">
        <v>0</v>
      </c>
      <c r="Z310" s="5">
        <v>0</v>
      </c>
      <c r="AA310" s="5">
        <v>1</v>
      </c>
      <c r="AB310" s="5">
        <v>0</v>
      </c>
    </row>
    <row r="311" spans="1:28" x14ac:dyDescent="0.3">
      <c r="A311" s="5">
        <v>50</v>
      </c>
      <c r="B311" s="5">
        <v>0</v>
      </c>
      <c r="C311" s="5">
        <v>0</v>
      </c>
      <c r="D311" s="5">
        <v>1</v>
      </c>
      <c r="E311" s="5">
        <v>209</v>
      </c>
      <c r="F311" s="5">
        <f>ROUND(Source!W287,O311)</f>
        <v>0</v>
      </c>
      <c r="G311" s="5" t="s">
        <v>238</v>
      </c>
      <c r="H311" s="5" t="s">
        <v>239</v>
      </c>
      <c r="I311" s="5"/>
      <c r="J311" s="5"/>
      <c r="K311" s="5">
        <v>209</v>
      </c>
      <c r="L311" s="5">
        <v>23</v>
      </c>
      <c r="M311" s="5">
        <v>3</v>
      </c>
      <c r="N311" s="5" t="s">
        <v>3</v>
      </c>
      <c r="O311" s="5">
        <v>2</v>
      </c>
      <c r="P311" s="5">
        <f>ROUND(Source!DO287,O311)</f>
        <v>0</v>
      </c>
      <c r="Q311" s="5"/>
      <c r="R311" s="5"/>
      <c r="S311" s="5"/>
      <c r="T311" s="5"/>
      <c r="U311" s="5"/>
      <c r="V311" s="5"/>
      <c r="W311" s="5">
        <v>0</v>
      </c>
      <c r="X311" s="5">
        <v>1</v>
      </c>
      <c r="Y311" s="5">
        <v>0</v>
      </c>
      <c r="Z311" s="5">
        <v>0</v>
      </c>
      <c r="AA311" s="5">
        <v>1</v>
      </c>
      <c r="AB311" s="5">
        <v>0</v>
      </c>
    </row>
    <row r="312" spans="1:28" x14ac:dyDescent="0.3">
      <c r="A312" s="5">
        <v>50</v>
      </c>
      <c r="B312" s="5">
        <v>0</v>
      </c>
      <c r="C312" s="5">
        <v>0</v>
      </c>
      <c r="D312" s="5">
        <v>1</v>
      </c>
      <c r="E312" s="5">
        <v>233</v>
      </c>
      <c r="F312" s="5">
        <f>ROUND(Source!BD287,O312)</f>
        <v>0</v>
      </c>
      <c r="G312" s="5" t="s">
        <v>240</v>
      </c>
      <c r="H312" s="5" t="s">
        <v>241</v>
      </c>
      <c r="I312" s="5"/>
      <c r="J312" s="5"/>
      <c r="K312" s="5">
        <v>233</v>
      </c>
      <c r="L312" s="5">
        <v>24</v>
      </c>
      <c r="M312" s="5">
        <v>3</v>
      </c>
      <c r="N312" s="5" t="s">
        <v>3</v>
      </c>
      <c r="O312" s="5">
        <v>2</v>
      </c>
      <c r="P312" s="5">
        <f>ROUND(Source!EV287,O312)</f>
        <v>0</v>
      </c>
      <c r="Q312" s="5"/>
      <c r="R312" s="5"/>
      <c r="S312" s="5"/>
      <c r="T312" s="5"/>
      <c r="U312" s="5"/>
      <c r="V312" s="5"/>
      <c r="W312" s="5">
        <v>0</v>
      </c>
      <c r="X312" s="5">
        <v>1</v>
      </c>
      <c r="Y312" s="5">
        <v>0</v>
      </c>
      <c r="Z312" s="5">
        <v>0</v>
      </c>
      <c r="AA312" s="5">
        <v>1</v>
      </c>
      <c r="AB312" s="5">
        <v>0</v>
      </c>
    </row>
    <row r="313" spans="1:28" x14ac:dyDescent="0.3">
      <c r="A313" s="5">
        <v>50</v>
      </c>
      <c r="B313" s="5">
        <v>0</v>
      </c>
      <c r="C313" s="5">
        <v>0</v>
      </c>
      <c r="D313" s="5">
        <v>1</v>
      </c>
      <c r="E313" s="5">
        <v>210</v>
      </c>
      <c r="F313" s="5">
        <f>ROUND(Source!X287,O313)</f>
        <v>42777.97</v>
      </c>
      <c r="G313" s="5" t="s">
        <v>242</v>
      </c>
      <c r="H313" s="5" t="s">
        <v>243</v>
      </c>
      <c r="I313" s="5"/>
      <c r="J313" s="5"/>
      <c r="K313" s="5">
        <v>210</v>
      </c>
      <c r="L313" s="5">
        <v>25</v>
      </c>
      <c r="M313" s="5">
        <v>3</v>
      </c>
      <c r="N313" s="5" t="s">
        <v>3</v>
      </c>
      <c r="O313" s="5">
        <v>2</v>
      </c>
      <c r="P313" s="5">
        <f>ROUND(Source!DP287,O313)</f>
        <v>2352359.83</v>
      </c>
      <c r="Q313" s="5"/>
      <c r="R313" s="5"/>
      <c r="S313" s="5"/>
      <c r="T313" s="5"/>
      <c r="U313" s="5"/>
      <c r="V313" s="5"/>
      <c r="W313" s="5">
        <v>42777.97</v>
      </c>
      <c r="X313" s="5">
        <v>1</v>
      </c>
      <c r="Y313" s="5">
        <v>42777.97</v>
      </c>
      <c r="Z313" s="5">
        <v>2352359.83</v>
      </c>
      <c r="AA313" s="5">
        <v>1</v>
      </c>
      <c r="AB313" s="5">
        <v>2352359.83</v>
      </c>
    </row>
    <row r="314" spans="1:28" x14ac:dyDescent="0.3">
      <c r="A314" s="5">
        <v>50</v>
      </c>
      <c r="B314" s="5">
        <v>0</v>
      </c>
      <c r="C314" s="5">
        <v>0</v>
      </c>
      <c r="D314" s="5">
        <v>1</v>
      </c>
      <c r="E314" s="5">
        <v>211</v>
      </c>
      <c r="F314" s="5">
        <f>ROUND(Source!Y287,O314)</f>
        <v>21952.52</v>
      </c>
      <c r="G314" s="5" t="s">
        <v>244</v>
      </c>
      <c r="H314" s="5" t="s">
        <v>245</v>
      </c>
      <c r="I314" s="5"/>
      <c r="J314" s="5"/>
      <c r="K314" s="5">
        <v>211</v>
      </c>
      <c r="L314" s="5">
        <v>26</v>
      </c>
      <c r="M314" s="5">
        <v>3</v>
      </c>
      <c r="N314" s="5" t="s">
        <v>3</v>
      </c>
      <c r="O314" s="5">
        <v>2</v>
      </c>
      <c r="P314" s="5">
        <f>ROUND(Source!DQ287,O314)</f>
        <v>1207169.1499999999</v>
      </c>
      <c r="Q314" s="5"/>
      <c r="R314" s="5"/>
      <c r="S314" s="5"/>
      <c r="T314" s="5"/>
      <c r="U314" s="5"/>
      <c r="V314" s="5"/>
      <c r="W314" s="5">
        <v>21952.52</v>
      </c>
      <c r="X314" s="5">
        <v>1</v>
      </c>
      <c r="Y314" s="5">
        <v>21952.52</v>
      </c>
      <c r="Z314" s="5">
        <v>1207169.1499999999</v>
      </c>
      <c r="AA314" s="5">
        <v>1</v>
      </c>
      <c r="AB314" s="5">
        <v>1207169.1499999999</v>
      </c>
    </row>
    <row r="315" spans="1:28" x14ac:dyDescent="0.3">
      <c r="A315" s="5">
        <v>50</v>
      </c>
      <c r="B315" s="5">
        <v>0</v>
      </c>
      <c r="C315" s="5">
        <v>0</v>
      </c>
      <c r="D315" s="5">
        <v>1</v>
      </c>
      <c r="E315" s="5">
        <v>224</v>
      </c>
      <c r="F315" s="5">
        <f>ROUND(Source!AR287,O315)</f>
        <v>426777.56</v>
      </c>
      <c r="G315" s="5" t="s">
        <v>246</v>
      </c>
      <c r="H315" s="5" t="s">
        <v>247</v>
      </c>
      <c r="I315" s="5"/>
      <c r="J315" s="5"/>
      <c r="K315" s="5">
        <v>224</v>
      </c>
      <c r="L315" s="5">
        <v>27</v>
      </c>
      <c r="M315" s="5">
        <v>3</v>
      </c>
      <c r="N315" s="5" t="s">
        <v>3</v>
      </c>
      <c r="O315" s="5">
        <v>2</v>
      </c>
      <c r="P315" s="5">
        <f>ROUND(Source!EJ287,O315)</f>
        <v>8690283.7200000007</v>
      </c>
      <c r="Q315" s="5"/>
      <c r="R315" s="5"/>
      <c r="S315" s="5"/>
      <c r="T315" s="5"/>
      <c r="U315" s="5"/>
      <c r="V315" s="5"/>
      <c r="W315" s="5">
        <v>426777.56</v>
      </c>
      <c r="X315" s="5">
        <v>1</v>
      </c>
      <c r="Y315" s="5">
        <v>426777.56</v>
      </c>
      <c r="Z315" s="5">
        <v>8690283.7200000007</v>
      </c>
      <c r="AA315" s="5">
        <v>1</v>
      </c>
      <c r="AB315" s="5">
        <v>8690283.7200000007</v>
      </c>
    </row>
    <row r="318" spans="1:28" x14ac:dyDescent="0.3">
      <c r="A318">
        <v>70</v>
      </c>
      <c r="B318">
        <v>1</v>
      </c>
      <c r="D318">
        <v>1</v>
      </c>
      <c r="E318" t="s">
        <v>337</v>
      </c>
      <c r="F318" t="s">
        <v>338</v>
      </c>
      <c r="G318">
        <v>0</v>
      </c>
      <c r="H318">
        <v>0</v>
      </c>
      <c r="I318" t="s">
        <v>3</v>
      </c>
      <c r="J318">
        <v>1</v>
      </c>
      <c r="K318">
        <v>0</v>
      </c>
      <c r="L318" t="s">
        <v>3</v>
      </c>
      <c r="M318" t="s">
        <v>3</v>
      </c>
      <c r="N318">
        <v>0</v>
      </c>
      <c r="O318">
        <v>0</v>
      </c>
      <c r="P318" t="s">
        <v>3</v>
      </c>
    </row>
    <row r="319" spans="1:28" x14ac:dyDescent="0.3">
      <c r="A319">
        <v>70</v>
      </c>
      <c r="B319">
        <v>1</v>
      </c>
      <c r="D319">
        <v>2</v>
      </c>
      <c r="E319" t="s">
        <v>339</v>
      </c>
      <c r="F319" t="s">
        <v>340</v>
      </c>
      <c r="G319">
        <v>1</v>
      </c>
      <c r="H319">
        <v>0</v>
      </c>
      <c r="I319" t="s">
        <v>3</v>
      </c>
      <c r="J319">
        <v>1</v>
      </c>
      <c r="K319">
        <v>0</v>
      </c>
      <c r="L319" t="s">
        <v>3</v>
      </c>
      <c r="M319" t="s">
        <v>3</v>
      </c>
      <c r="N319">
        <v>0</v>
      </c>
      <c r="O319">
        <v>1</v>
      </c>
      <c r="P319" t="s">
        <v>3</v>
      </c>
    </row>
    <row r="320" spans="1:28" x14ac:dyDescent="0.3">
      <c r="A320">
        <v>70</v>
      </c>
      <c r="B320">
        <v>1</v>
      </c>
      <c r="D320">
        <v>3</v>
      </c>
      <c r="E320" t="s">
        <v>341</v>
      </c>
      <c r="F320" t="s">
        <v>342</v>
      </c>
      <c r="G320">
        <v>1</v>
      </c>
      <c r="H320">
        <v>0</v>
      </c>
      <c r="I320" t="s">
        <v>3</v>
      </c>
      <c r="J320">
        <v>0</v>
      </c>
      <c r="K320">
        <v>0</v>
      </c>
      <c r="L320" t="s">
        <v>3</v>
      </c>
      <c r="M320" t="s">
        <v>3</v>
      </c>
      <c r="N320">
        <v>0</v>
      </c>
      <c r="O320">
        <v>1</v>
      </c>
      <c r="P320" t="s">
        <v>3</v>
      </c>
    </row>
    <row r="321" spans="1:50" x14ac:dyDescent="0.3">
      <c r="A321">
        <v>70</v>
      </c>
      <c r="B321">
        <v>1</v>
      </c>
      <c r="D321">
        <v>4</v>
      </c>
      <c r="E321" t="s">
        <v>343</v>
      </c>
      <c r="F321" t="s">
        <v>344</v>
      </c>
      <c r="G321">
        <v>1</v>
      </c>
      <c r="H321">
        <v>0</v>
      </c>
      <c r="I321" t="s">
        <v>3</v>
      </c>
      <c r="J321">
        <v>0</v>
      </c>
      <c r="K321">
        <v>0</v>
      </c>
      <c r="L321" t="s">
        <v>3</v>
      </c>
      <c r="M321" t="s">
        <v>3</v>
      </c>
      <c r="N321">
        <v>0</v>
      </c>
      <c r="O321">
        <v>1</v>
      </c>
      <c r="P321" t="s">
        <v>3</v>
      </c>
    </row>
    <row r="322" spans="1:50" x14ac:dyDescent="0.3">
      <c r="A322">
        <v>70</v>
      </c>
      <c r="B322">
        <v>1</v>
      </c>
      <c r="D322">
        <v>5</v>
      </c>
      <c r="E322" t="s">
        <v>345</v>
      </c>
      <c r="F322" t="s">
        <v>346</v>
      </c>
      <c r="G322">
        <v>0</v>
      </c>
      <c r="H322">
        <v>0</v>
      </c>
      <c r="I322" t="s">
        <v>3</v>
      </c>
      <c r="J322">
        <v>0</v>
      </c>
      <c r="K322">
        <v>0</v>
      </c>
      <c r="L322" t="s">
        <v>3</v>
      </c>
      <c r="M322" t="s">
        <v>3</v>
      </c>
      <c r="N322">
        <v>0</v>
      </c>
      <c r="O322">
        <v>0</v>
      </c>
      <c r="P322" t="s">
        <v>3</v>
      </c>
    </row>
    <row r="324" spans="1:50" x14ac:dyDescent="0.3">
      <c r="A324">
        <v>-1</v>
      </c>
    </row>
    <row r="326" spans="1:50" x14ac:dyDescent="0.3">
      <c r="A326" s="4">
        <v>75</v>
      </c>
      <c r="B326" s="4" t="s">
        <v>347</v>
      </c>
      <c r="C326" s="4">
        <v>2025</v>
      </c>
      <c r="D326" s="4">
        <v>3</v>
      </c>
      <c r="E326" s="4">
        <v>0</v>
      </c>
      <c r="F326" s="4"/>
      <c r="G326" s="4">
        <v>0</v>
      </c>
      <c r="H326" s="4">
        <v>1</v>
      </c>
      <c r="I326" s="4">
        <v>1</v>
      </c>
      <c r="J326" s="4">
        <v>3</v>
      </c>
      <c r="K326" s="4">
        <v>0</v>
      </c>
      <c r="L326" s="4">
        <v>0</v>
      </c>
      <c r="M326" s="4">
        <v>1</v>
      </c>
      <c r="N326" s="4">
        <v>56498968</v>
      </c>
      <c r="O326" s="4">
        <v>1</v>
      </c>
    </row>
    <row r="327" spans="1:50" x14ac:dyDescent="0.3">
      <c r="A327" s="6">
        <v>1</v>
      </c>
      <c r="B327" s="6" t="s">
        <v>348</v>
      </c>
      <c r="C327" s="6" t="s">
        <v>349</v>
      </c>
      <c r="D327" s="6">
        <v>2025</v>
      </c>
      <c r="E327" s="6">
        <v>9</v>
      </c>
      <c r="F327" s="6">
        <v>1</v>
      </c>
      <c r="G327" s="6">
        <v>1</v>
      </c>
      <c r="H327" s="6">
        <v>0</v>
      </c>
      <c r="I327" s="6">
        <v>2</v>
      </c>
      <c r="J327" s="6">
        <v>1</v>
      </c>
      <c r="K327" s="6">
        <v>9.8800000000000008</v>
      </c>
      <c r="L327" s="6">
        <v>7.66</v>
      </c>
      <c r="M327" s="6">
        <v>1</v>
      </c>
      <c r="N327" s="6">
        <v>1</v>
      </c>
      <c r="O327" s="6">
        <v>9.8800000000000008</v>
      </c>
      <c r="P327" s="6">
        <v>7.66</v>
      </c>
      <c r="Q327" s="6">
        <v>1</v>
      </c>
      <c r="R327" s="6" t="s">
        <v>3</v>
      </c>
      <c r="S327" s="6" t="s">
        <v>3</v>
      </c>
      <c r="T327" s="6" t="s">
        <v>3</v>
      </c>
      <c r="U327" s="6" t="s">
        <v>3</v>
      </c>
      <c r="V327" s="6" t="s">
        <v>3</v>
      </c>
      <c r="W327" s="6" t="s">
        <v>3</v>
      </c>
      <c r="X327" s="6" t="s">
        <v>3</v>
      </c>
      <c r="Y327" s="6" t="s">
        <v>3</v>
      </c>
      <c r="Z327" s="6" t="s">
        <v>3</v>
      </c>
      <c r="AA327" s="6" t="s">
        <v>350</v>
      </c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>
        <v>56498969</v>
      </c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x14ac:dyDescent="0.3">
      <c r="A328" s="6">
        <v>1</v>
      </c>
      <c r="B328" s="6" t="s">
        <v>348</v>
      </c>
      <c r="C328" s="6" t="s">
        <v>351</v>
      </c>
      <c r="D328" s="6">
        <v>2025</v>
      </c>
      <c r="E328" s="6">
        <v>7</v>
      </c>
      <c r="F328" s="6">
        <v>1</v>
      </c>
      <c r="G328" s="6">
        <v>1</v>
      </c>
      <c r="H328" s="6">
        <v>0</v>
      </c>
      <c r="I328" s="6">
        <v>2</v>
      </c>
      <c r="J328" s="6">
        <v>1</v>
      </c>
      <c r="K328" s="6">
        <v>1</v>
      </c>
      <c r="L328" s="6">
        <v>1</v>
      </c>
      <c r="M328" s="6">
        <v>1</v>
      </c>
      <c r="N328" s="6">
        <v>1</v>
      </c>
      <c r="O328" s="6">
        <v>1</v>
      </c>
      <c r="P328" s="6">
        <v>1</v>
      </c>
      <c r="Q328" s="6">
        <v>1</v>
      </c>
      <c r="R328" s="6" t="s">
        <v>3</v>
      </c>
      <c r="S328" s="6" t="s">
        <v>3</v>
      </c>
      <c r="T328" s="6" t="s">
        <v>3</v>
      </c>
      <c r="U328" s="6" t="s">
        <v>3</v>
      </c>
      <c r="V328" s="6" t="s">
        <v>3</v>
      </c>
      <c r="W328" s="6" t="s">
        <v>3</v>
      </c>
      <c r="X328" s="6" t="s">
        <v>3</v>
      </c>
      <c r="Y328" s="6" t="s">
        <v>3</v>
      </c>
      <c r="Z328" s="6" t="s">
        <v>3</v>
      </c>
      <c r="AA328" s="6" t="s">
        <v>352</v>
      </c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>
        <v>56498970</v>
      </c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x14ac:dyDescent="0.3">
      <c r="A329" s="4">
        <v>75</v>
      </c>
      <c r="B329" s="4" t="s">
        <v>353</v>
      </c>
      <c r="C329" s="4">
        <v>2000</v>
      </c>
      <c r="D329" s="4">
        <v>0</v>
      </c>
      <c r="E329" s="4">
        <v>1</v>
      </c>
      <c r="F329" s="4">
        <v>0</v>
      </c>
      <c r="G329" s="4">
        <v>0</v>
      </c>
      <c r="H329" s="4">
        <v>1</v>
      </c>
      <c r="I329" s="4">
        <v>1</v>
      </c>
      <c r="J329" s="4">
        <v>3</v>
      </c>
      <c r="K329" s="4">
        <v>0</v>
      </c>
      <c r="L329" s="4">
        <v>0</v>
      </c>
      <c r="M329" s="4">
        <v>0</v>
      </c>
      <c r="N329" s="4">
        <v>56498966</v>
      </c>
      <c r="O329" s="4">
        <v>2</v>
      </c>
    </row>
    <row r="330" spans="1:50" x14ac:dyDescent="0.3">
      <c r="A330" s="6">
        <v>1</v>
      </c>
      <c r="B330" s="6" t="s">
        <v>348</v>
      </c>
      <c r="C330" s="6" t="s">
        <v>349</v>
      </c>
      <c r="D330" s="6">
        <v>2000</v>
      </c>
      <c r="E330" s="6">
        <v>1</v>
      </c>
      <c r="F330" s="6">
        <v>1</v>
      </c>
      <c r="G330" s="6">
        <v>1</v>
      </c>
      <c r="H330" s="6">
        <v>0</v>
      </c>
      <c r="I330" s="6">
        <v>2</v>
      </c>
      <c r="J330" s="6">
        <v>1</v>
      </c>
      <c r="K330" s="6">
        <v>1</v>
      </c>
      <c r="L330" s="6">
        <v>1</v>
      </c>
      <c r="M330" s="6">
        <v>1</v>
      </c>
      <c r="N330" s="6">
        <v>1</v>
      </c>
      <c r="O330" s="6">
        <v>1</v>
      </c>
      <c r="P330" s="6">
        <v>1</v>
      </c>
      <c r="Q330" s="6">
        <v>1</v>
      </c>
      <c r="R330" s="6" t="s">
        <v>3</v>
      </c>
      <c r="S330" s="6" t="s">
        <v>3</v>
      </c>
      <c r="T330" s="6" t="s">
        <v>3</v>
      </c>
      <c r="U330" s="6" t="s">
        <v>3</v>
      </c>
      <c r="V330" s="6" t="s">
        <v>3</v>
      </c>
      <c r="W330" s="6" t="s">
        <v>3</v>
      </c>
      <c r="X330" s="6" t="s">
        <v>3</v>
      </c>
      <c r="Y330" s="6" t="s">
        <v>3</v>
      </c>
      <c r="Z330" s="6" t="s">
        <v>3</v>
      </c>
      <c r="AA330" s="6" t="s">
        <v>72</v>
      </c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>
        <v>58689166</v>
      </c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4" spans="1:50" x14ac:dyDescent="0.3">
      <c r="A334">
        <v>65</v>
      </c>
      <c r="C334">
        <v>1</v>
      </c>
      <c r="D334">
        <v>0</v>
      </c>
      <c r="E334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354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8202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3">
      <c r="A14" s="1">
        <v>22</v>
      </c>
      <c r="B14" s="1">
        <v>1</v>
      </c>
      <c r="C14" s="1">
        <v>0</v>
      </c>
      <c r="D14" s="1">
        <v>56498968</v>
      </c>
      <c r="E14" s="1">
        <v>56498966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3">
      <c r="A16" s="7">
        <v>3</v>
      </c>
      <c r="B16" s="7">
        <v>1</v>
      </c>
      <c r="C16" s="7" t="s">
        <v>5</v>
      </c>
      <c r="D16" s="7" t="s">
        <v>17</v>
      </c>
      <c r="E16" s="8">
        <f>ROUND((Source!P274)/1000,2)</f>
        <v>0</v>
      </c>
      <c r="F16" s="8">
        <f>ROUND((Source!P275)/1000,2)</f>
        <v>6829.43</v>
      </c>
      <c r="G16" s="8">
        <f>ROUND((Source!P266)/1000,2)</f>
        <v>1860.85</v>
      </c>
      <c r="H16" s="8">
        <f>ROUND((Source!P276)/1000+(Source!P277)/1000,2)</f>
        <v>0</v>
      </c>
      <c r="I16" s="8">
        <f>E16+F16+G16+H16</f>
        <v>8690.2800000000007</v>
      </c>
      <c r="J16" s="8">
        <f>ROUND((Source!P272+Source!P271)/1000,2)</f>
        <v>2598.41</v>
      </c>
      <c r="K16" s="8">
        <v>7630.88</v>
      </c>
      <c r="L16" s="8">
        <v>0</v>
      </c>
      <c r="M16" s="8">
        <v>0</v>
      </c>
      <c r="N16" s="8">
        <f>I16+L16+M16</f>
        <v>8690.2800000000007</v>
      </c>
      <c r="T16" s="9">
        <f>ROUND((Source!F274)/1000,2)</f>
        <v>0</v>
      </c>
      <c r="U16" s="9">
        <f>ROUND((Source!F275)/1000,2)</f>
        <v>185.3</v>
      </c>
      <c r="V16" s="9">
        <f>ROUND((Source!F266)/1000,2)</f>
        <v>241.47</v>
      </c>
      <c r="W16" s="9">
        <f>ROUND((Source!F276)/1000+(Source!F277)/1000,2)</f>
        <v>0</v>
      </c>
      <c r="X16" s="9">
        <f>T16+U16+V16+W16</f>
        <v>426.77</v>
      </c>
      <c r="Y16" s="9">
        <f>ROUND((Source!F272+Source!F271)/1000,2)</f>
        <v>47.25</v>
      </c>
      <c r="Z16" s="9">
        <v>673.6</v>
      </c>
      <c r="AA16" s="9">
        <v>0</v>
      </c>
      <c r="AB16" s="9">
        <v>0</v>
      </c>
      <c r="AC16" s="9">
        <f>X16+AA16+AB16</f>
        <v>426.77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5130754.74</v>
      </c>
      <c r="AU16" s="8">
        <v>2500128.79</v>
      </c>
      <c r="AV16" s="8">
        <v>0</v>
      </c>
      <c r="AW16" s="8">
        <v>1860849.22</v>
      </c>
      <c r="AX16" s="8">
        <v>0</v>
      </c>
      <c r="AY16" s="8">
        <v>43189.17</v>
      </c>
      <c r="AZ16" s="8">
        <v>10977.11</v>
      </c>
      <c r="BA16" s="8">
        <v>2587436.7799999998</v>
      </c>
      <c r="BB16" s="8">
        <v>0</v>
      </c>
      <c r="BC16" s="8">
        <v>6829434.5</v>
      </c>
      <c r="BD16" s="8">
        <v>0</v>
      </c>
      <c r="BE16" s="8">
        <v>0</v>
      </c>
      <c r="BF16" s="8">
        <v>3826.3564838399998</v>
      </c>
      <c r="BG16" s="8">
        <v>0</v>
      </c>
      <c r="BH16" s="8">
        <v>0</v>
      </c>
      <c r="BI16" s="8">
        <v>2352359.83</v>
      </c>
      <c r="BJ16" s="8">
        <v>1207169.1499999999</v>
      </c>
      <c r="BK16" s="8">
        <v>8690283.7200000007</v>
      </c>
      <c r="BR16" s="9">
        <v>362047.07</v>
      </c>
      <c r="BS16" s="9">
        <v>311548.58</v>
      </c>
      <c r="BT16" s="9">
        <v>0</v>
      </c>
      <c r="BU16" s="9">
        <v>241474.38</v>
      </c>
      <c r="BV16" s="9">
        <v>0</v>
      </c>
      <c r="BW16" s="9">
        <v>3445.63</v>
      </c>
      <c r="BX16" s="9">
        <v>199.62</v>
      </c>
      <c r="BY16" s="9">
        <v>47052.86</v>
      </c>
      <c r="BZ16" s="9">
        <v>0</v>
      </c>
      <c r="CA16" s="9">
        <v>185303.18</v>
      </c>
      <c r="CB16" s="9">
        <v>0</v>
      </c>
      <c r="CC16" s="9">
        <v>0</v>
      </c>
      <c r="CD16" s="9">
        <v>3826.3564838399998</v>
      </c>
      <c r="CE16" s="9">
        <v>0</v>
      </c>
      <c r="CF16" s="9">
        <v>0</v>
      </c>
      <c r="CG16" s="9">
        <v>42777.97</v>
      </c>
      <c r="CH16" s="9">
        <v>21952.52</v>
      </c>
      <c r="CI16" s="9">
        <v>426777.56</v>
      </c>
    </row>
    <row r="18" spans="1:29" x14ac:dyDescent="0.3">
      <c r="A18">
        <v>51</v>
      </c>
      <c r="E18">
        <v>0</v>
      </c>
      <c r="F18">
        <v>6829.43</v>
      </c>
      <c r="G18">
        <v>1860.85</v>
      </c>
      <c r="H18">
        <v>0</v>
      </c>
      <c r="I18">
        <v>8690.2800000000007</v>
      </c>
      <c r="J18">
        <v>2598.41</v>
      </c>
      <c r="K18">
        <v>7630.88</v>
      </c>
      <c r="L18">
        <v>0</v>
      </c>
      <c r="M18">
        <v>0</v>
      </c>
      <c r="N18">
        <v>8690.2800000000007</v>
      </c>
      <c r="T18">
        <v>0</v>
      </c>
      <c r="U18">
        <v>185.3</v>
      </c>
      <c r="V18">
        <v>241.47</v>
      </c>
      <c r="W18">
        <v>0</v>
      </c>
      <c r="X18">
        <v>426.77</v>
      </c>
      <c r="Y18">
        <v>47.25</v>
      </c>
      <c r="Z18">
        <v>673.6</v>
      </c>
      <c r="AA18">
        <v>0</v>
      </c>
      <c r="AB18">
        <v>0</v>
      </c>
      <c r="AC18">
        <v>426.77</v>
      </c>
    </row>
    <row r="20" spans="1:29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5130754.74</v>
      </c>
      <c r="G20" s="5" t="s">
        <v>194</v>
      </c>
      <c r="H20" s="5" t="s">
        <v>195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362047.07</v>
      </c>
    </row>
    <row r="21" spans="1:29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2500128.79</v>
      </c>
      <c r="G21" s="5" t="s">
        <v>196</v>
      </c>
      <c r="H21" s="5" t="s">
        <v>197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311548.58</v>
      </c>
    </row>
    <row r="22" spans="1:29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198</v>
      </c>
      <c r="H22" s="5" t="s">
        <v>199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2500128.79</v>
      </c>
      <c r="G23" s="5" t="s">
        <v>200</v>
      </c>
      <c r="H23" s="5" t="s">
        <v>201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311548.58</v>
      </c>
    </row>
    <row r="24" spans="1:29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639279.56999999995</v>
      </c>
      <c r="G24" s="5" t="s">
        <v>202</v>
      </c>
      <c r="H24" s="5" t="s">
        <v>203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70074.2</v>
      </c>
    </row>
    <row r="25" spans="1:29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204</v>
      </c>
      <c r="H25" s="5" t="s">
        <v>205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639279.56999999995</v>
      </c>
      <c r="G26" s="5" t="s">
        <v>206</v>
      </c>
      <c r="H26" s="5" t="s">
        <v>207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70074.2</v>
      </c>
    </row>
    <row r="27" spans="1:29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1860849.22</v>
      </c>
      <c r="G27" s="5" t="s">
        <v>208</v>
      </c>
      <c r="H27" s="5" t="s">
        <v>209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241474.38</v>
      </c>
    </row>
    <row r="28" spans="1:29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210</v>
      </c>
      <c r="H28" s="5" t="s">
        <v>211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1860849.22</v>
      </c>
      <c r="G29" s="5" t="s">
        <v>212</v>
      </c>
      <c r="H29" s="5" t="s">
        <v>213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241474.38</v>
      </c>
    </row>
    <row r="30" spans="1:29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43189.17</v>
      </c>
      <c r="G30" s="5" t="s">
        <v>214</v>
      </c>
      <c r="H30" s="5" t="s">
        <v>215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3445.63</v>
      </c>
    </row>
    <row r="31" spans="1:29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216</v>
      </c>
      <c r="H31" s="5" t="s">
        <v>217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10977.11</v>
      </c>
      <c r="G32" s="5" t="s">
        <v>218</v>
      </c>
      <c r="H32" s="5" t="s">
        <v>219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199.62</v>
      </c>
    </row>
    <row r="33" spans="1:16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2587436.7799999998</v>
      </c>
      <c r="G33" s="5" t="s">
        <v>220</v>
      </c>
      <c r="H33" s="5" t="s">
        <v>221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47052.86</v>
      </c>
    </row>
    <row r="34" spans="1:16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222</v>
      </c>
      <c r="H34" s="5" t="s">
        <v>223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224</v>
      </c>
      <c r="H35" s="5" t="s">
        <v>225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6829434.5</v>
      </c>
      <c r="G36" s="5" t="s">
        <v>226</v>
      </c>
      <c r="H36" s="5" t="s">
        <v>227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185303.18</v>
      </c>
    </row>
    <row r="37" spans="1:16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228</v>
      </c>
      <c r="H37" s="5" t="s">
        <v>229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230</v>
      </c>
      <c r="H38" s="5" t="s">
        <v>231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232</v>
      </c>
      <c r="H39" s="5" t="s">
        <v>233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3826.3564838399998</v>
      </c>
      <c r="G40" s="5" t="s">
        <v>234</v>
      </c>
      <c r="H40" s="5" t="s">
        <v>235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3826.3564838399998</v>
      </c>
    </row>
    <row r="41" spans="1:16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236</v>
      </c>
      <c r="H41" s="5" t="s">
        <v>237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238</v>
      </c>
      <c r="H42" s="5" t="s">
        <v>239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240</v>
      </c>
      <c r="H43" s="5" t="s">
        <v>241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2352359.83</v>
      </c>
      <c r="G44" s="5" t="s">
        <v>242</v>
      </c>
      <c r="H44" s="5" t="s">
        <v>243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42777.97</v>
      </c>
    </row>
    <row r="45" spans="1:16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1207169.1499999999</v>
      </c>
      <c r="G45" s="5" t="s">
        <v>244</v>
      </c>
      <c r="H45" s="5" t="s">
        <v>245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21952.52</v>
      </c>
    </row>
    <row r="46" spans="1:16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8690283.7200000007</v>
      </c>
      <c r="G46" s="5" t="s">
        <v>246</v>
      </c>
      <c r="H46" s="5" t="s">
        <v>247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426777.56</v>
      </c>
    </row>
    <row r="48" spans="1:16" x14ac:dyDescent="0.3">
      <c r="A48">
        <v>-1</v>
      </c>
    </row>
    <row r="51" spans="1:50" x14ac:dyDescent="0.3">
      <c r="A51" s="4">
        <v>75</v>
      </c>
      <c r="B51" s="4" t="s">
        <v>347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56498968</v>
      </c>
      <c r="O51" s="4">
        <v>1</v>
      </c>
    </row>
    <row r="52" spans="1:50" x14ac:dyDescent="0.3">
      <c r="A52" s="6">
        <v>1</v>
      </c>
      <c r="B52" s="6" t="s">
        <v>348</v>
      </c>
      <c r="C52" s="6" t="s">
        <v>349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350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56498969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3">
      <c r="A53" s="6">
        <v>1</v>
      </c>
      <c r="B53" s="6" t="s">
        <v>348</v>
      </c>
      <c r="C53" s="6" t="s">
        <v>351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352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56498970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3">
      <c r="A54" s="4">
        <v>75</v>
      </c>
      <c r="B54" s="4" t="s">
        <v>353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56498966</v>
      </c>
      <c r="O54" s="4">
        <v>2</v>
      </c>
    </row>
    <row r="55" spans="1:50" x14ac:dyDescent="0.3">
      <c r="A55" s="6">
        <v>1</v>
      </c>
      <c r="B55" s="6" t="s">
        <v>348</v>
      </c>
      <c r="C55" s="6" t="s">
        <v>349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72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58689166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5234375" defaultRowHeight="12.45" x14ac:dyDescent="0.3"/>
  <cols>
    <col min="1" max="256" width="9.152343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8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44" x14ac:dyDescent="0.3">
      <c r="A1">
        <f>ROW(Source!A28)</f>
        <v>28</v>
      </c>
      <c r="B1">
        <v>58753838</v>
      </c>
      <c r="C1">
        <v>56499282</v>
      </c>
      <c r="D1">
        <v>57621905</v>
      </c>
      <c r="E1">
        <v>1080</v>
      </c>
      <c r="F1">
        <v>1</v>
      </c>
      <c r="G1">
        <v>1080</v>
      </c>
      <c r="H1">
        <v>1</v>
      </c>
      <c r="I1" t="s">
        <v>355</v>
      </c>
      <c r="J1" t="s">
        <v>3</v>
      </c>
      <c r="K1" t="s">
        <v>356</v>
      </c>
      <c r="L1">
        <v>1191</v>
      </c>
      <c r="N1">
        <v>1013</v>
      </c>
      <c r="O1" t="s">
        <v>357</v>
      </c>
      <c r="P1" t="s">
        <v>357</v>
      </c>
      <c r="Q1">
        <v>1</v>
      </c>
      <c r="X1">
        <v>3.3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3.63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3">
      <c r="A2">
        <f>ROW(Source!A29)</f>
        <v>29</v>
      </c>
      <c r="B2">
        <v>58753838</v>
      </c>
      <c r="C2">
        <v>56499282</v>
      </c>
      <c r="D2">
        <v>57621905</v>
      </c>
      <c r="E2">
        <v>1080</v>
      </c>
      <c r="F2">
        <v>1</v>
      </c>
      <c r="G2">
        <v>1080</v>
      </c>
      <c r="H2">
        <v>1</v>
      </c>
      <c r="I2" t="s">
        <v>355</v>
      </c>
      <c r="J2" t="s">
        <v>3</v>
      </c>
      <c r="K2" t="s">
        <v>356</v>
      </c>
      <c r="L2">
        <v>1191</v>
      </c>
      <c r="N2">
        <v>1013</v>
      </c>
      <c r="O2" t="s">
        <v>357</v>
      </c>
      <c r="P2" t="s">
        <v>357</v>
      </c>
      <c r="Q2">
        <v>1</v>
      </c>
      <c r="X2">
        <v>3.3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24</v>
      </c>
      <c r="AG2">
        <v>3.63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>
        <f>ROW(Source!A32)</f>
        <v>32</v>
      </c>
      <c r="B3">
        <v>58753839</v>
      </c>
      <c r="C3">
        <v>56499289</v>
      </c>
      <c r="D3">
        <v>57621905</v>
      </c>
      <c r="E3">
        <v>1080</v>
      </c>
      <c r="F3">
        <v>1</v>
      </c>
      <c r="G3">
        <v>1080</v>
      </c>
      <c r="H3">
        <v>1</v>
      </c>
      <c r="I3" t="s">
        <v>355</v>
      </c>
      <c r="J3" t="s">
        <v>3</v>
      </c>
      <c r="K3" t="s">
        <v>356</v>
      </c>
      <c r="L3">
        <v>1191</v>
      </c>
      <c r="N3">
        <v>1013</v>
      </c>
      <c r="O3" t="s">
        <v>357</v>
      </c>
      <c r="P3" t="s">
        <v>357</v>
      </c>
      <c r="Q3">
        <v>1</v>
      </c>
      <c r="X3">
        <v>2.65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24</v>
      </c>
      <c r="AG3">
        <v>2.915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">
      <c r="A4">
        <f>ROW(Source!A32)</f>
        <v>32</v>
      </c>
      <c r="B4">
        <v>58753840</v>
      </c>
      <c r="C4">
        <v>56499289</v>
      </c>
      <c r="D4">
        <v>57666153</v>
      </c>
      <c r="E4">
        <v>1</v>
      </c>
      <c r="F4">
        <v>1</v>
      </c>
      <c r="G4">
        <v>1080</v>
      </c>
      <c r="H4">
        <v>3</v>
      </c>
      <c r="I4" t="s">
        <v>358</v>
      </c>
      <c r="J4" t="s">
        <v>359</v>
      </c>
      <c r="K4" t="s">
        <v>360</v>
      </c>
      <c r="L4">
        <v>1346</v>
      </c>
      <c r="N4">
        <v>1009</v>
      </c>
      <c r="O4" t="s">
        <v>305</v>
      </c>
      <c r="P4" t="s">
        <v>305</v>
      </c>
      <c r="Q4">
        <v>1</v>
      </c>
      <c r="X4">
        <v>6.2700000000000004E-3</v>
      </c>
      <c r="Y4">
        <v>27.62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6.2700000000000004E-3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">
      <c r="A5">
        <f>ROW(Source!A32)</f>
        <v>32</v>
      </c>
      <c r="B5">
        <v>58753841</v>
      </c>
      <c r="C5">
        <v>56499289</v>
      </c>
      <c r="D5">
        <v>57664872</v>
      </c>
      <c r="E5">
        <v>1</v>
      </c>
      <c r="F5">
        <v>1</v>
      </c>
      <c r="G5">
        <v>1080</v>
      </c>
      <c r="H5">
        <v>3</v>
      </c>
      <c r="I5" t="s">
        <v>361</v>
      </c>
      <c r="J5" t="s">
        <v>362</v>
      </c>
      <c r="K5" t="s">
        <v>363</v>
      </c>
      <c r="L5">
        <v>1348</v>
      </c>
      <c r="N5">
        <v>1009</v>
      </c>
      <c r="O5" t="s">
        <v>364</v>
      </c>
      <c r="P5" t="s">
        <v>364</v>
      </c>
      <c r="Q5">
        <v>1000</v>
      </c>
      <c r="X5">
        <v>1.0000000000000001E-5</v>
      </c>
      <c r="Y5">
        <v>64123.05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1.0000000000000001E-5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">
      <c r="A6">
        <f>ROW(Source!A32)</f>
        <v>32</v>
      </c>
      <c r="B6">
        <v>58753842</v>
      </c>
      <c r="C6">
        <v>56499289</v>
      </c>
      <c r="D6">
        <v>57674764</v>
      </c>
      <c r="E6">
        <v>1</v>
      </c>
      <c r="F6">
        <v>1</v>
      </c>
      <c r="G6">
        <v>1080</v>
      </c>
      <c r="H6">
        <v>3</v>
      </c>
      <c r="I6" t="s">
        <v>365</v>
      </c>
      <c r="J6" t="s">
        <v>366</v>
      </c>
      <c r="K6" t="s">
        <v>367</v>
      </c>
      <c r="L6">
        <v>1354</v>
      </c>
      <c r="N6">
        <v>1010</v>
      </c>
      <c r="O6" t="s">
        <v>32</v>
      </c>
      <c r="P6" t="s">
        <v>32</v>
      </c>
      <c r="Q6">
        <v>1</v>
      </c>
      <c r="X6">
        <v>0.1</v>
      </c>
      <c r="Y6">
        <v>15.25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0.1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">
      <c r="A7">
        <f>ROW(Source!A32)</f>
        <v>32</v>
      </c>
      <c r="B7">
        <v>58753843</v>
      </c>
      <c r="C7">
        <v>56499289</v>
      </c>
      <c r="D7">
        <v>57643952</v>
      </c>
      <c r="E7">
        <v>1080</v>
      </c>
      <c r="F7">
        <v>1</v>
      </c>
      <c r="G7">
        <v>1080</v>
      </c>
      <c r="H7">
        <v>3</v>
      </c>
      <c r="I7" t="s">
        <v>368</v>
      </c>
      <c r="J7" t="s">
        <v>3</v>
      </c>
      <c r="K7" t="s">
        <v>369</v>
      </c>
      <c r="L7">
        <v>1354</v>
      </c>
      <c r="N7">
        <v>1010</v>
      </c>
      <c r="O7" t="s">
        <v>32</v>
      </c>
      <c r="P7" t="s">
        <v>32</v>
      </c>
      <c r="Q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3</v>
      </c>
      <c r="AG7">
        <v>1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">
      <c r="A8">
        <f>ROW(Source!A33)</f>
        <v>33</v>
      </c>
      <c r="B8">
        <v>58753839</v>
      </c>
      <c r="C8">
        <v>56499289</v>
      </c>
      <c r="D8">
        <v>57621905</v>
      </c>
      <c r="E8">
        <v>1080</v>
      </c>
      <c r="F8">
        <v>1</v>
      </c>
      <c r="G8">
        <v>1080</v>
      </c>
      <c r="H8">
        <v>1</v>
      </c>
      <c r="I8" t="s">
        <v>355</v>
      </c>
      <c r="J8" t="s">
        <v>3</v>
      </c>
      <c r="K8" t="s">
        <v>356</v>
      </c>
      <c r="L8">
        <v>1191</v>
      </c>
      <c r="N8">
        <v>1013</v>
      </c>
      <c r="O8" t="s">
        <v>357</v>
      </c>
      <c r="P8" t="s">
        <v>357</v>
      </c>
      <c r="Q8">
        <v>1</v>
      </c>
      <c r="X8">
        <v>2.65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24</v>
      </c>
      <c r="AG8">
        <v>2.915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>
        <f>ROW(Source!A33)</f>
        <v>33</v>
      </c>
      <c r="B9">
        <v>58753840</v>
      </c>
      <c r="C9">
        <v>56499289</v>
      </c>
      <c r="D9">
        <v>57666153</v>
      </c>
      <c r="E9">
        <v>1</v>
      </c>
      <c r="F9">
        <v>1</v>
      </c>
      <c r="G9">
        <v>1080</v>
      </c>
      <c r="H9">
        <v>3</v>
      </c>
      <c r="I9" t="s">
        <v>358</v>
      </c>
      <c r="J9" t="s">
        <v>359</v>
      </c>
      <c r="K9" t="s">
        <v>360</v>
      </c>
      <c r="L9">
        <v>1346</v>
      </c>
      <c r="N9">
        <v>1009</v>
      </c>
      <c r="O9" t="s">
        <v>305</v>
      </c>
      <c r="P9" t="s">
        <v>305</v>
      </c>
      <c r="Q9">
        <v>1</v>
      </c>
      <c r="X9">
        <v>6.2700000000000004E-3</v>
      </c>
      <c r="Y9">
        <v>27.62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6.2700000000000004E-3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">
      <c r="A10">
        <f>ROW(Source!A33)</f>
        <v>33</v>
      </c>
      <c r="B10">
        <v>58753841</v>
      </c>
      <c r="C10">
        <v>56499289</v>
      </c>
      <c r="D10">
        <v>57664872</v>
      </c>
      <c r="E10">
        <v>1</v>
      </c>
      <c r="F10">
        <v>1</v>
      </c>
      <c r="G10">
        <v>1080</v>
      </c>
      <c r="H10">
        <v>3</v>
      </c>
      <c r="I10" t="s">
        <v>361</v>
      </c>
      <c r="J10" t="s">
        <v>362</v>
      </c>
      <c r="K10" t="s">
        <v>363</v>
      </c>
      <c r="L10">
        <v>1348</v>
      </c>
      <c r="N10">
        <v>1009</v>
      </c>
      <c r="O10" t="s">
        <v>364</v>
      </c>
      <c r="P10" t="s">
        <v>364</v>
      </c>
      <c r="Q10">
        <v>1000</v>
      </c>
      <c r="X10">
        <v>1.0000000000000001E-5</v>
      </c>
      <c r="Y10">
        <v>64123.05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1.0000000000000001E-5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">
      <c r="A11">
        <f>ROW(Source!A33)</f>
        <v>33</v>
      </c>
      <c r="B11">
        <v>58753842</v>
      </c>
      <c r="C11">
        <v>56499289</v>
      </c>
      <c r="D11">
        <v>57674764</v>
      </c>
      <c r="E11">
        <v>1</v>
      </c>
      <c r="F11">
        <v>1</v>
      </c>
      <c r="G11">
        <v>1080</v>
      </c>
      <c r="H11">
        <v>3</v>
      </c>
      <c r="I11" t="s">
        <v>365</v>
      </c>
      <c r="J11" t="s">
        <v>366</v>
      </c>
      <c r="K11" t="s">
        <v>367</v>
      </c>
      <c r="L11">
        <v>1354</v>
      </c>
      <c r="N11">
        <v>1010</v>
      </c>
      <c r="O11" t="s">
        <v>32</v>
      </c>
      <c r="P11" t="s">
        <v>32</v>
      </c>
      <c r="Q11">
        <v>1</v>
      </c>
      <c r="X11">
        <v>0.1</v>
      </c>
      <c r="Y11">
        <v>15.25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0.1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">
      <c r="A12">
        <f>ROW(Source!A33)</f>
        <v>33</v>
      </c>
      <c r="B12">
        <v>58753843</v>
      </c>
      <c r="C12">
        <v>56499289</v>
      </c>
      <c r="D12">
        <v>57643952</v>
      </c>
      <c r="E12">
        <v>1080</v>
      </c>
      <c r="F12">
        <v>1</v>
      </c>
      <c r="G12">
        <v>1080</v>
      </c>
      <c r="H12">
        <v>3</v>
      </c>
      <c r="I12" t="s">
        <v>368</v>
      </c>
      <c r="J12" t="s">
        <v>3</v>
      </c>
      <c r="K12" t="s">
        <v>369</v>
      </c>
      <c r="L12">
        <v>1354</v>
      </c>
      <c r="N12">
        <v>1010</v>
      </c>
      <c r="O12" t="s">
        <v>32</v>
      </c>
      <c r="P12" t="s">
        <v>32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</v>
      </c>
      <c r="AG12">
        <v>1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">
      <c r="A13">
        <f>ROW(Source!A36)</f>
        <v>36</v>
      </c>
      <c r="B13">
        <v>58753844</v>
      </c>
      <c r="C13">
        <v>56499306</v>
      </c>
      <c r="D13">
        <v>57621905</v>
      </c>
      <c r="E13">
        <v>1080</v>
      </c>
      <c r="F13">
        <v>1</v>
      </c>
      <c r="G13">
        <v>1080</v>
      </c>
      <c r="H13">
        <v>1</v>
      </c>
      <c r="I13" t="s">
        <v>355</v>
      </c>
      <c r="J13" t="s">
        <v>3</v>
      </c>
      <c r="K13" t="s">
        <v>356</v>
      </c>
      <c r="L13">
        <v>1191</v>
      </c>
      <c r="N13">
        <v>1013</v>
      </c>
      <c r="O13" t="s">
        <v>357</v>
      </c>
      <c r="P13" t="s">
        <v>357</v>
      </c>
      <c r="Q13">
        <v>1</v>
      </c>
      <c r="X13">
        <v>1.03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24</v>
      </c>
      <c r="AG13">
        <v>1.1330000000000002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>
        <f>ROW(Source!A36)</f>
        <v>36</v>
      </c>
      <c r="B14">
        <v>58753845</v>
      </c>
      <c r="C14">
        <v>56499306</v>
      </c>
      <c r="D14">
        <v>57696079</v>
      </c>
      <c r="E14">
        <v>1</v>
      </c>
      <c r="F14">
        <v>1</v>
      </c>
      <c r="G14">
        <v>1080</v>
      </c>
      <c r="H14">
        <v>2</v>
      </c>
      <c r="I14" t="s">
        <v>370</v>
      </c>
      <c r="J14" t="s">
        <v>371</v>
      </c>
      <c r="K14" t="s">
        <v>372</v>
      </c>
      <c r="L14">
        <v>1368</v>
      </c>
      <c r="N14">
        <v>1011</v>
      </c>
      <c r="O14" t="s">
        <v>373</v>
      </c>
      <c r="P14" t="s">
        <v>373</v>
      </c>
      <c r="Q14">
        <v>1</v>
      </c>
      <c r="X14">
        <v>6.0000000000000001E-3</v>
      </c>
      <c r="Y14">
        <v>0</v>
      </c>
      <c r="Z14">
        <v>83.1</v>
      </c>
      <c r="AA14">
        <v>12.62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6.6000000000000008E-3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">
      <c r="A15">
        <f>ROW(Source!A36)</f>
        <v>36</v>
      </c>
      <c r="B15">
        <v>58753846</v>
      </c>
      <c r="C15">
        <v>56499306</v>
      </c>
      <c r="D15">
        <v>57643782</v>
      </c>
      <c r="E15">
        <v>1080</v>
      </c>
      <c r="F15">
        <v>1</v>
      </c>
      <c r="G15">
        <v>1080</v>
      </c>
      <c r="H15">
        <v>3</v>
      </c>
      <c r="I15" t="s">
        <v>374</v>
      </c>
      <c r="J15" t="s">
        <v>3</v>
      </c>
      <c r="K15" t="s">
        <v>375</v>
      </c>
      <c r="L15">
        <v>1354</v>
      </c>
      <c r="N15">
        <v>1010</v>
      </c>
      <c r="O15" t="s">
        <v>32</v>
      </c>
      <c r="P15" t="s">
        <v>32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</v>
      </c>
      <c r="AG15">
        <v>1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3">
      <c r="A16">
        <f>ROW(Source!A37)</f>
        <v>37</v>
      </c>
      <c r="B16">
        <v>58753844</v>
      </c>
      <c r="C16">
        <v>56499306</v>
      </c>
      <c r="D16">
        <v>57621905</v>
      </c>
      <c r="E16">
        <v>1080</v>
      </c>
      <c r="F16">
        <v>1</v>
      </c>
      <c r="G16">
        <v>1080</v>
      </c>
      <c r="H16">
        <v>1</v>
      </c>
      <c r="I16" t="s">
        <v>355</v>
      </c>
      <c r="J16" t="s">
        <v>3</v>
      </c>
      <c r="K16" t="s">
        <v>356</v>
      </c>
      <c r="L16">
        <v>1191</v>
      </c>
      <c r="N16">
        <v>1013</v>
      </c>
      <c r="O16" t="s">
        <v>357</v>
      </c>
      <c r="P16" t="s">
        <v>357</v>
      </c>
      <c r="Q16">
        <v>1</v>
      </c>
      <c r="X16">
        <v>1.03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24</v>
      </c>
      <c r="AG16">
        <v>1.1330000000000002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>
        <f>ROW(Source!A37)</f>
        <v>37</v>
      </c>
      <c r="B17">
        <v>58753845</v>
      </c>
      <c r="C17">
        <v>56499306</v>
      </c>
      <c r="D17">
        <v>57696079</v>
      </c>
      <c r="E17">
        <v>1</v>
      </c>
      <c r="F17">
        <v>1</v>
      </c>
      <c r="G17">
        <v>1080</v>
      </c>
      <c r="H17">
        <v>2</v>
      </c>
      <c r="I17" t="s">
        <v>370</v>
      </c>
      <c r="J17" t="s">
        <v>371</v>
      </c>
      <c r="K17" t="s">
        <v>372</v>
      </c>
      <c r="L17">
        <v>1368</v>
      </c>
      <c r="N17">
        <v>1011</v>
      </c>
      <c r="O17" t="s">
        <v>373</v>
      </c>
      <c r="P17" t="s">
        <v>373</v>
      </c>
      <c r="Q17">
        <v>1</v>
      </c>
      <c r="X17">
        <v>6.0000000000000001E-3</v>
      </c>
      <c r="Y17">
        <v>0</v>
      </c>
      <c r="Z17">
        <v>83.1</v>
      </c>
      <c r="AA17">
        <v>12.62</v>
      </c>
      <c r="AB17">
        <v>0</v>
      </c>
      <c r="AC17">
        <v>0</v>
      </c>
      <c r="AD17">
        <v>1</v>
      </c>
      <c r="AE17">
        <v>0</v>
      </c>
      <c r="AF17" t="s">
        <v>24</v>
      </c>
      <c r="AG17">
        <v>6.6000000000000008E-3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">
      <c r="A18">
        <f>ROW(Source!A37)</f>
        <v>37</v>
      </c>
      <c r="B18">
        <v>58753846</v>
      </c>
      <c r="C18">
        <v>56499306</v>
      </c>
      <c r="D18">
        <v>57643782</v>
      </c>
      <c r="E18">
        <v>1080</v>
      </c>
      <c r="F18">
        <v>1</v>
      </c>
      <c r="G18">
        <v>1080</v>
      </c>
      <c r="H18">
        <v>3</v>
      </c>
      <c r="I18" t="s">
        <v>374</v>
      </c>
      <c r="J18" t="s">
        <v>3</v>
      </c>
      <c r="K18" t="s">
        <v>375</v>
      </c>
      <c r="L18">
        <v>1354</v>
      </c>
      <c r="N18">
        <v>1010</v>
      </c>
      <c r="O18" t="s">
        <v>32</v>
      </c>
      <c r="P18" t="s">
        <v>32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</v>
      </c>
      <c r="AG18">
        <v>1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>
        <f>ROW(Source!A40)</f>
        <v>40</v>
      </c>
      <c r="B19">
        <v>58753847</v>
      </c>
      <c r="C19">
        <v>56499319</v>
      </c>
      <c r="D19">
        <v>57621905</v>
      </c>
      <c r="E19">
        <v>1080</v>
      </c>
      <c r="F19">
        <v>1</v>
      </c>
      <c r="G19">
        <v>1080</v>
      </c>
      <c r="H19">
        <v>1</v>
      </c>
      <c r="I19" t="s">
        <v>355</v>
      </c>
      <c r="J19" t="s">
        <v>3</v>
      </c>
      <c r="K19" t="s">
        <v>356</v>
      </c>
      <c r="L19">
        <v>1191</v>
      </c>
      <c r="N19">
        <v>1013</v>
      </c>
      <c r="O19" t="s">
        <v>357</v>
      </c>
      <c r="P19" t="s">
        <v>357</v>
      </c>
      <c r="Q19">
        <v>1</v>
      </c>
      <c r="X19">
        <v>1.68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24</v>
      </c>
      <c r="AG19">
        <v>1.8480000000000001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">
      <c r="A20">
        <f>ROW(Source!A41)</f>
        <v>41</v>
      </c>
      <c r="B20">
        <v>58753847</v>
      </c>
      <c r="C20">
        <v>56499319</v>
      </c>
      <c r="D20">
        <v>57621905</v>
      </c>
      <c r="E20">
        <v>1080</v>
      </c>
      <c r="F20">
        <v>1</v>
      </c>
      <c r="G20">
        <v>1080</v>
      </c>
      <c r="H20">
        <v>1</v>
      </c>
      <c r="I20" t="s">
        <v>355</v>
      </c>
      <c r="J20" t="s">
        <v>3</v>
      </c>
      <c r="K20" t="s">
        <v>356</v>
      </c>
      <c r="L20">
        <v>1191</v>
      </c>
      <c r="N20">
        <v>1013</v>
      </c>
      <c r="O20" t="s">
        <v>357</v>
      </c>
      <c r="P20" t="s">
        <v>357</v>
      </c>
      <c r="Q20">
        <v>1</v>
      </c>
      <c r="X20">
        <v>1.68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24</v>
      </c>
      <c r="AG20">
        <v>1.8480000000000001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>
        <f>ROW(Source!A44)</f>
        <v>44</v>
      </c>
      <c r="B21">
        <v>58753848</v>
      </c>
      <c r="C21">
        <v>56499336</v>
      </c>
      <c r="D21">
        <v>57621905</v>
      </c>
      <c r="E21">
        <v>1080</v>
      </c>
      <c r="F21">
        <v>1</v>
      </c>
      <c r="G21">
        <v>1080</v>
      </c>
      <c r="H21">
        <v>1</v>
      </c>
      <c r="I21" t="s">
        <v>355</v>
      </c>
      <c r="J21" t="s">
        <v>3</v>
      </c>
      <c r="K21" t="s">
        <v>356</v>
      </c>
      <c r="L21">
        <v>1191</v>
      </c>
      <c r="N21">
        <v>1013</v>
      </c>
      <c r="O21" t="s">
        <v>357</v>
      </c>
      <c r="P21" t="s">
        <v>357</v>
      </c>
      <c r="Q21">
        <v>1</v>
      </c>
      <c r="X21">
        <v>0.35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24</v>
      </c>
      <c r="AG21">
        <v>0.38500000000000001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">
      <c r="A22">
        <f>ROW(Source!A45)</f>
        <v>45</v>
      </c>
      <c r="B22">
        <v>58753848</v>
      </c>
      <c r="C22">
        <v>56499336</v>
      </c>
      <c r="D22">
        <v>57621905</v>
      </c>
      <c r="E22">
        <v>1080</v>
      </c>
      <c r="F22">
        <v>1</v>
      </c>
      <c r="G22">
        <v>1080</v>
      </c>
      <c r="H22">
        <v>1</v>
      </c>
      <c r="I22" t="s">
        <v>355</v>
      </c>
      <c r="J22" t="s">
        <v>3</v>
      </c>
      <c r="K22" t="s">
        <v>356</v>
      </c>
      <c r="L22">
        <v>1191</v>
      </c>
      <c r="N22">
        <v>1013</v>
      </c>
      <c r="O22" t="s">
        <v>357</v>
      </c>
      <c r="P22" t="s">
        <v>357</v>
      </c>
      <c r="Q22">
        <v>1</v>
      </c>
      <c r="X22">
        <v>0.35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24</v>
      </c>
      <c r="AG22">
        <v>0.38500000000000001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">
      <c r="A23">
        <f>ROW(Source!A50)</f>
        <v>50</v>
      </c>
      <c r="B23">
        <v>58753849</v>
      </c>
      <c r="C23">
        <v>56499359</v>
      </c>
      <c r="D23">
        <v>57621905</v>
      </c>
      <c r="E23">
        <v>1080</v>
      </c>
      <c r="F23">
        <v>1</v>
      </c>
      <c r="G23">
        <v>1080</v>
      </c>
      <c r="H23">
        <v>1</v>
      </c>
      <c r="I23" t="s">
        <v>355</v>
      </c>
      <c r="J23" t="s">
        <v>3</v>
      </c>
      <c r="K23" t="s">
        <v>356</v>
      </c>
      <c r="L23">
        <v>1191</v>
      </c>
      <c r="N23">
        <v>1013</v>
      </c>
      <c r="O23" t="s">
        <v>357</v>
      </c>
      <c r="P23" t="s">
        <v>357</v>
      </c>
      <c r="Q23">
        <v>1</v>
      </c>
      <c r="X23">
        <v>1.68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24</v>
      </c>
      <c r="AG23">
        <v>1.8480000000000001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3">
      <c r="A24">
        <f>ROW(Source!A51)</f>
        <v>51</v>
      </c>
      <c r="B24">
        <v>58753849</v>
      </c>
      <c r="C24">
        <v>56499359</v>
      </c>
      <c r="D24">
        <v>57621905</v>
      </c>
      <c r="E24">
        <v>1080</v>
      </c>
      <c r="F24">
        <v>1</v>
      </c>
      <c r="G24">
        <v>1080</v>
      </c>
      <c r="H24">
        <v>1</v>
      </c>
      <c r="I24" t="s">
        <v>355</v>
      </c>
      <c r="J24" t="s">
        <v>3</v>
      </c>
      <c r="K24" t="s">
        <v>356</v>
      </c>
      <c r="L24">
        <v>1191</v>
      </c>
      <c r="N24">
        <v>1013</v>
      </c>
      <c r="O24" t="s">
        <v>357</v>
      </c>
      <c r="P24" t="s">
        <v>357</v>
      </c>
      <c r="Q24">
        <v>1</v>
      </c>
      <c r="X24">
        <v>1.68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 t="s">
        <v>24</v>
      </c>
      <c r="AG24">
        <v>1.8480000000000001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">
      <c r="A25">
        <f>ROW(Source!A54)</f>
        <v>54</v>
      </c>
      <c r="B25">
        <v>58753850</v>
      </c>
      <c r="C25">
        <v>56499363</v>
      </c>
      <c r="D25">
        <v>57621905</v>
      </c>
      <c r="E25">
        <v>1080</v>
      </c>
      <c r="F25">
        <v>1</v>
      </c>
      <c r="G25">
        <v>1080</v>
      </c>
      <c r="H25">
        <v>1</v>
      </c>
      <c r="I25" t="s">
        <v>355</v>
      </c>
      <c r="J25" t="s">
        <v>3</v>
      </c>
      <c r="K25" t="s">
        <v>356</v>
      </c>
      <c r="L25">
        <v>1191</v>
      </c>
      <c r="N25">
        <v>1013</v>
      </c>
      <c r="O25" t="s">
        <v>357</v>
      </c>
      <c r="P25" t="s">
        <v>357</v>
      </c>
      <c r="Q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24</v>
      </c>
      <c r="AG25">
        <v>1.1000000000000001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>
        <f>ROW(Source!A54)</f>
        <v>54</v>
      </c>
      <c r="B26">
        <v>58753851</v>
      </c>
      <c r="C26">
        <v>56499363</v>
      </c>
      <c r="D26">
        <v>57664872</v>
      </c>
      <c r="E26">
        <v>1</v>
      </c>
      <c r="F26">
        <v>1</v>
      </c>
      <c r="G26">
        <v>1080</v>
      </c>
      <c r="H26">
        <v>3</v>
      </c>
      <c r="I26" t="s">
        <v>361</v>
      </c>
      <c r="J26" t="s">
        <v>362</v>
      </c>
      <c r="K26" t="s">
        <v>363</v>
      </c>
      <c r="L26">
        <v>1348</v>
      </c>
      <c r="N26">
        <v>1009</v>
      </c>
      <c r="O26" t="s">
        <v>364</v>
      </c>
      <c r="P26" t="s">
        <v>364</v>
      </c>
      <c r="Q26">
        <v>1000</v>
      </c>
      <c r="X26">
        <v>1.0000000000000001E-5</v>
      </c>
      <c r="Y26">
        <v>64123.05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1.0000000000000001E-5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>
        <f>ROW(Source!A54)</f>
        <v>54</v>
      </c>
      <c r="B27">
        <v>58753852</v>
      </c>
      <c r="C27">
        <v>56499363</v>
      </c>
      <c r="D27">
        <v>57693812</v>
      </c>
      <c r="E27">
        <v>1</v>
      </c>
      <c r="F27">
        <v>1</v>
      </c>
      <c r="G27">
        <v>1080</v>
      </c>
      <c r="H27">
        <v>3</v>
      </c>
      <c r="I27" t="s">
        <v>376</v>
      </c>
      <c r="J27" t="s">
        <v>377</v>
      </c>
      <c r="K27" t="s">
        <v>378</v>
      </c>
      <c r="L27">
        <v>1303</v>
      </c>
      <c r="N27">
        <v>1003</v>
      </c>
      <c r="O27" t="s">
        <v>271</v>
      </c>
      <c r="P27" t="s">
        <v>271</v>
      </c>
      <c r="Q27">
        <v>1000</v>
      </c>
      <c r="X27">
        <v>2E-3</v>
      </c>
      <c r="Y27">
        <v>516.63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</v>
      </c>
      <c r="AG27">
        <v>2E-3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">
      <c r="A28">
        <f>ROW(Source!A54)</f>
        <v>54</v>
      </c>
      <c r="B28">
        <v>58753853</v>
      </c>
      <c r="C28">
        <v>56499363</v>
      </c>
      <c r="D28">
        <v>57634361</v>
      </c>
      <c r="E28">
        <v>1080</v>
      </c>
      <c r="F28">
        <v>1</v>
      </c>
      <c r="G28">
        <v>1080</v>
      </c>
      <c r="H28">
        <v>3</v>
      </c>
      <c r="I28" t="s">
        <v>379</v>
      </c>
      <c r="J28" t="s">
        <v>3</v>
      </c>
      <c r="K28" t="s">
        <v>380</v>
      </c>
      <c r="L28">
        <v>1354</v>
      </c>
      <c r="N28">
        <v>1010</v>
      </c>
      <c r="O28" t="s">
        <v>32</v>
      </c>
      <c r="P28" t="s">
        <v>32</v>
      </c>
      <c r="Q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3</v>
      </c>
      <c r="AG28">
        <v>1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">
      <c r="A29">
        <f>ROW(Source!A55)</f>
        <v>55</v>
      </c>
      <c r="B29">
        <v>58753850</v>
      </c>
      <c r="C29">
        <v>56499363</v>
      </c>
      <c r="D29">
        <v>57621905</v>
      </c>
      <c r="E29">
        <v>1080</v>
      </c>
      <c r="F29">
        <v>1</v>
      </c>
      <c r="G29">
        <v>1080</v>
      </c>
      <c r="H29">
        <v>1</v>
      </c>
      <c r="I29" t="s">
        <v>355</v>
      </c>
      <c r="J29" t="s">
        <v>3</v>
      </c>
      <c r="K29" t="s">
        <v>356</v>
      </c>
      <c r="L29">
        <v>1191</v>
      </c>
      <c r="N29">
        <v>1013</v>
      </c>
      <c r="O29" t="s">
        <v>357</v>
      </c>
      <c r="P29" t="s">
        <v>357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24</v>
      </c>
      <c r="AG29">
        <v>1.1000000000000001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3">
      <c r="A30">
        <f>ROW(Source!A55)</f>
        <v>55</v>
      </c>
      <c r="B30">
        <v>58753851</v>
      </c>
      <c r="C30">
        <v>56499363</v>
      </c>
      <c r="D30">
        <v>57664872</v>
      </c>
      <c r="E30">
        <v>1</v>
      </c>
      <c r="F30">
        <v>1</v>
      </c>
      <c r="G30">
        <v>1080</v>
      </c>
      <c r="H30">
        <v>3</v>
      </c>
      <c r="I30" t="s">
        <v>361</v>
      </c>
      <c r="J30" t="s">
        <v>362</v>
      </c>
      <c r="K30" t="s">
        <v>363</v>
      </c>
      <c r="L30">
        <v>1348</v>
      </c>
      <c r="N30">
        <v>1009</v>
      </c>
      <c r="O30" t="s">
        <v>364</v>
      </c>
      <c r="P30" t="s">
        <v>364</v>
      </c>
      <c r="Q30">
        <v>1000</v>
      </c>
      <c r="X30">
        <v>1.0000000000000001E-5</v>
      </c>
      <c r="Y30">
        <v>64123.05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1.0000000000000001E-5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">
      <c r="A31">
        <f>ROW(Source!A55)</f>
        <v>55</v>
      </c>
      <c r="B31">
        <v>58753852</v>
      </c>
      <c r="C31">
        <v>56499363</v>
      </c>
      <c r="D31">
        <v>57693812</v>
      </c>
      <c r="E31">
        <v>1</v>
      </c>
      <c r="F31">
        <v>1</v>
      </c>
      <c r="G31">
        <v>1080</v>
      </c>
      <c r="H31">
        <v>3</v>
      </c>
      <c r="I31" t="s">
        <v>376</v>
      </c>
      <c r="J31" t="s">
        <v>377</v>
      </c>
      <c r="K31" t="s">
        <v>378</v>
      </c>
      <c r="L31">
        <v>1303</v>
      </c>
      <c r="N31">
        <v>1003</v>
      </c>
      <c r="O31" t="s">
        <v>271</v>
      </c>
      <c r="P31" t="s">
        <v>271</v>
      </c>
      <c r="Q31">
        <v>1000</v>
      </c>
      <c r="X31">
        <v>2E-3</v>
      </c>
      <c r="Y31">
        <v>516.63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2E-3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">
      <c r="A32">
        <f>ROW(Source!A55)</f>
        <v>55</v>
      </c>
      <c r="B32">
        <v>58753853</v>
      </c>
      <c r="C32">
        <v>56499363</v>
      </c>
      <c r="D32">
        <v>57634361</v>
      </c>
      <c r="E32">
        <v>1080</v>
      </c>
      <c r="F32">
        <v>1</v>
      </c>
      <c r="G32">
        <v>1080</v>
      </c>
      <c r="H32">
        <v>3</v>
      </c>
      <c r="I32" t="s">
        <v>379</v>
      </c>
      <c r="J32" t="s">
        <v>3</v>
      </c>
      <c r="K32" t="s">
        <v>380</v>
      </c>
      <c r="L32">
        <v>1354</v>
      </c>
      <c r="N32">
        <v>1010</v>
      </c>
      <c r="O32" t="s">
        <v>32</v>
      </c>
      <c r="P32" t="s">
        <v>32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</v>
      </c>
      <c r="AG32">
        <v>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">
      <c r="A33">
        <f>ROW(Source!A58)</f>
        <v>58</v>
      </c>
      <c r="B33">
        <v>58753854</v>
      </c>
      <c r="C33">
        <v>56499361</v>
      </c>
      <c r="D33">
        <v>57621905</v>
      </c>
      <c r="E33">
        <v>1080</v>
      </c>
      <c r="F33">
        <v>1</v>
      </c>
      <c r="G33">
        <v>1080</v>
      </c>
      <c r="H33">
        <v>1</v>
      </c>
      <c r="I33" t="s">
        <v>355</v>
      </c>
      <c r="J33" t="s">
        <v>3</v>
      </c>
      <c r="K33" t="s">
        <v>356</v>
      </c>
      <c r="L33">
        <v>1191</v>
      </c>
      <c r="N33">
        <v>1013</v>
      </c>
      <c r="O33" t="s">
        <v>357</v>
      </c>
      <c r="P33" t="s">
        <v>357</v>
      </c>
      <c r="Q33">
        <v>1</v>
      </c>
      <c r="X33">
        <v>0.84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24</v>
      </c>
      <c r="AG33">
        <v>0.92400000000000004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">
      <c r="A34">
        <f>ROW(Source!A59)</f>
        <v>59</v>
      </c>
      <c r="B34">
        <v>58753854</v>
      </c>
      <c r="C34">
        <v>56499361</v>
      </c>
      <c r="D34">
        <v>57621905</v>
      </c>
      <c r="E34">
        <v>1080</v>
      </c>
      <c r="F34">
        <v>1</v>
      </c>
      <c r="G34">
        <v>1080</v>
      </c>
      <c r="H34">
        <v>1</v>
      </c>
      <c r="I34" t="s">
        <v>355</v>
      </c>
      <c r="J34" t="s">
        <v>3</v>
      </c>
      <c r="K34" t="s">
        <v>356</v>
      </c>
      <c r="L34">
        <v>1191</v>
      </c>
      <c r="N34">
        <v>1013</v>
      </c>
      <c r="O34" t="s">
        <v>357</v>
      </c>
      <c r="P34" t="s">
        <v>357</v>
      </c>
      <c r="Q34">
        <v>1</v>
      </c>
      <c r="X34">
        <v>0.84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24</v>
      </c>
      <c r="AG34">
        <v>0.92400000000000004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3">
      <c r="A35">
        <f>ROW(Source!A62)</f>
        <v>62</v>
      </c>
      <c r="B35">
        <v>58753855</v>
      </c>
      <c r="C35">
        <v>56499386</v>
      </c>
      <c r="D35">
        <v>57621905</v>
      </c>
      <c r="E35">
        <v>1080</v>
      </c>
      <c r="F35">
        <v>1</v>
      </c>
      <c r="G35">
        <v>1080</v>
      </c>
      <c r="H35">
        <v>1</v>
      </c>
      <c r="I35" t="s">
        <v>355</v>
      </c>
      <c r="J35" t="s">
        <v>3</v>
      </c>
      <c r="K35" t="s">
        <v>356</v>
      </c>
      <c r="L35">
        <v>1191</v>
      </c>
      <c r="N35">
        <v>1013</v>
      </c>
      <c r="O35" t="s">
        <v>357</v>
      </c>
      <c r="P35" t="s">
        <v>357</v>
      </c>
      <c r="Q35">
        <v>1</v>
      </c>
      <c r="X35">
        <v>2.06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24</v>
      </c>
      <c r="AG35">
        <v>2.2660000000000005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">
      <c r="A36">
        <f>ROW(Source!A62)</f>
        <v>62</v>
      </c>
      <c r="B36">
        <v>58753856</v>
      </c>
      <c r="C36">
        <v>56499386</v>
      </c>
      <c r="D36">
        <v>57666158</v>
      </c>
      <c r="E36">
        <v>1</v>
      </c>
      <c r="F36">
        <v>1</v>
      </c>
      <c r="G36">
        <v>1080</v>
      </c>
      <c r="H36">
        <v>3</v>
      </c>
      <c r="I36" t="s">
        <v>381</v>
      </c>
      <c r="J36" t="s">
        <v>382</v>
      </c>
      <c r="K36" t="s">
        <v>383</v>
      </c>
      <c r="L36">
        <v>1346</v>
      </c>
      <c r="N36">
        <v>1009</v>
      </c>
      <c r="O36" t="s">
        <v>305</v>
      </c>
      <c r="P36" t="s">
        <v>305</v>
      </c>
      <c r="Q36">
        <v>1</v>
      </c>
      <c r="X36">
        <v>0.4</v>
      </c>
      <c r="Y36">
        <v>45.62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0.4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">
      <c r="A37">
        <f>ROW(Source!A62)</f>
        <v>62</v>
      </c>
      <c r="B37">
        <v>58753857</v>
      </c>
      <c r="C37">
        <v>56499386</v>
      </c>
      <c r="D37">
        <v>57672077</v>
      </c>
      <c r="E37">
        <v>1</v>
      </c>
      <c r="F37">
        <v>1</v>
      </c>
      <c r="G37">
        <v>1080</v>
      </c>
      <c r="H37">
        <v>3</v>
      </c>
      <c r="I37" t="s">
        <v>384</v>
      </c>
      <c r="J37" t="s">
        <v>385</v>
      </c>
      <c r="K37" t="s">
        <v>386</v>
      </c>
      <c r="L37">
        <v>1348</v>
      </c>
      <c r="N37">
        <v>1009</v>
      </c>
      <c r="O37" t="s">
        <v>364</v>
      </c>
      <c r="P37" t="s">
        <v>364</v>
      </c>
      <c r="Q37">
        <v>1000</v>
      </c>
      <c r="X37">
        <v>2E-3</v>
      </c>
      <c r="Y37">
        <v>5102.09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2E-3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">
      <c r="A38">
        <f>ROW(Source!A62)</f>
        <v>62</v>
      </c>
      <c r="B38">
        <v>58753858</v>
      </c>
      <c r="C38">
        <v>56499386</v>
      </c>
      <c r="D38">
        <v>57619133</v>
      </c>
      <c r="E38">
        <v>1080</v>
      </c>
      <c r="F38">
        <v>1</v>
      </c>
      <c r="G38">
        <v>1080</v>
      </c>
      <c r="H38">
        <v>3</v>
      </c>
      <c r="I38" t="s">
        <v>387</v>
      </c>
      <c r="J38" t="s">
        <v>3</v>
      </c>
      <c r="K38" t="s">
        <v>388</v>
      </c>
      <c r="L38">
        <v>1346</v>
      </c>
      <c r="N38">
        <v>1009</v>
      </c>
      <c r="O38" t="s">
        <v>305</v>
      </c>
      <c r="P38" t="s">
        <v>305</v>
      </c>
      <c r="Q38">
        <v>1</v>
      </c>
      <c r="X38">
        <v>0.11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</v>
      </c>
      <c r="AG38">
        <v>0.11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">
      <c r="A39">
        <f>ROW(Source!A62)</f>
        <v>62</v>
      </c>
      <c r="B39">
        <v>58753859</v>
      </c>
      <c r="C39">
        <v>56499386</v>
      </c>
      <c r="D39">
        <v>57634345</v>
      </c>
      <c r="E39">
        <v>1080</v>
      </c>
      <c r="F39">
        <v>1</v>
      </c>
      <c r="G39">
        <v>1080</v>
      </c>
      <c r="H39">
        <v>3</v>
      </c>
      <c r="I39" t="s">
        <v>389</v>
      </c>
      <c r="J39" t="s">
        <v>3</v>
      </c>
      <c r="K39" t="s">
        <v>390</v>
      </c>
      <c r="L39">
        <v>1354</v>
      </c>
      <c r="N39">
        <v>1010</v>
      </c>
      <c r="O39" t="s">
        <v>32</v>
      </c>
      <c r="P39" t="s">
        <v>32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</v>
      </c>
      <c r="AG39">
        <v>1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">
      <c r="A40">
        <f>ROW(Source!A63)</f>
        <v>63</v>
      </c>
      <c r="B40">
        <v>58753855</v>
      </c>
      <c r="C40">
        <v>56499386</v>
      </c>
      <c r="D40">
        <v>57621905</v>
      </c>
      <c r="E40">
        <v>1080</v>
      </c>
      <c r="F40">
        <v>1</v>
      </c>
      <c r="G40">
        <v>1080</v>
      </c>
      <c r="H40">
        <v>1</v>
      </c>
      <c r="I40" t="s">
        <v>355</v>
      </c>
      <c r="J40" t="s">
        <v>3</v>
      </c>
      <c r="K40" t="s">
        <v>356</v>
      </c>
      <c r="L40">
        <v>1191</v>
      </c>
      <c r="N40">
        <v>1013</v>
      </c>
      <c r="O40" t="s">
        <v>357</v>
      </c>
      <c r="P40" t="s">
        <v>357</v>
      </c>
      <c r="Q40">
        <v>1</v>
      </c>
      <c r="X40">
        <v>2.06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24</v>
      </c>
      <c r="AG40">
        <v>2.2660000000000005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">
      <c r="A41">
        <f>ROW(Source!A63)</f>
        <v>63</v>
      </c>
      <c r="B41">
        <v>58753856</v>
      </c>
      <c r="C41">
        <v>56499386</v>
      </c>
      <c r="D41">
        <v>57666158</v>
      </c>
      <c r="E41">
        <v>1</v>
      </c>
      <c r="F41">
        <v>1</v>
      </c>
      <c r="G41">
        <v>1080</v>
      </c>
      <c r="H41">
        <v>3</v>
      </c>
      <c r="I41" t="s">
        <v>381</v>
      </c>
      <c r="J41" t="s">
        <v>382</v>
      </c>
      <c r="K41" t="s">
        <v>383</v>
      </c>
      <c r="L41">
        <v>1346</v>
      </c>
      <c r="N41">
        <v>1009</v>
      </c>
      <c r="O41" t="s">
        <v>305</v>
      </c>
      <c r="P41" t="s">
        <v>305</v>
      </c>
      <c r="Q41">
        <v>1</v>
      </c>
      <c r="X41">
        <v>0.4</v>
      </c>
      <c r="Y41">
        <v>45.62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</v>
      </c>
      <c r="AG41">
        <v>0.4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3">
      <c r="A42">
        <f>ROW(Source!A63)</f>
        <v>63</v>
      </c>
      <c r="B42">
        <v>58753857</v>
      </c>
      <c r="C42">
        <v>56499386</v>
      </c>
      <c r="D42">
        <v>57672077</v>
      </c>
      <c r="E42">
        <v>1</v>
      </c>
      <c r="F42">
        <v>1</v>
      </c>
      <c r="G42">
        <v>1080</v>
      </c>
      <c r="H42">
        <v>3</v>
      </c>
      <c r="I42" t="s">
        <v>384</v>
      </c>
      <c r="J42" t="s">
        <v>385</v>
      </c>
      <c r="K42" t="s">
        <v>386</v>
      </c>
      <c r="L42">
        <v>1348</v>
      </c>
      <c r="N42">
        <v>1009</v>
      </c>
      <c r="O42" t="s">
        <v>364</v>
      </c>
      <c r="P42" t="s">
        <v>364</v>
      </c>
      <c r="Q42">
        <v>1000</v>
      </c>
      <c r="X42">
        <v>2E-3</v>
      </c>
      <c r="Y42">
        <v>5102.09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</v>
      </c>
      <c r="AG42">
        <v>2E-3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>
        <f>ROW(Source!A63)</f>
        <v>63</v>
      </c>
      <c r="B43">
        <v>58753858</v>
      </c>
      <c r="C43">
        <v>56499386</v>
      </c>
      <c r="D43">
        <v>57619133</v>
      </c>
      <c r="E43">
        <v>1080</v>
      </c>
      <c r="F43">
        <v>1</v>
      </c>
      <c r="G43">
        <v>1080</v>
      </c>
      <c r="H43">
        <v>3</v>
      </c>
      <c r="I43" t="s">
        <v>387</v>
      </c>
      <c r="J43" t="s">
        <v>3</v>
      </c>
      <c r="K43" t="s">
        <v>388</v>
      </c>
      <c r="L43">
        <v>1346</v>
      </c>
      <c r="N43">
        <v>1009</v>
      </c>
      <c r="O43" t="s">
        <v>305</v>
      </c>
      <c r="P43" t="s">
        <v>305</v>
      </c>
      <c r="Q43">
        <v>1</v>
      </c>
      <c r="X43">
        <v>0.11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3</v>
      </c>
      <c r="AG43">
        <v>0.11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3">
      <c r="A44">
        <f>ROW(Source!A63)</f>
        <v>63</v>
      </c>
      <c r="B44">
        <v>58753859</v>
      </c>
      <c r="C44">
        <v>56499386</v>
      </c>
      <c r="D44">
        <v>57634345</v>
      </c>
      <c r="E44">
        <v>1080</v>
      </c>
      <c r="F44">
        <v>1</v>
      </c>
      <c r="G44">
        <v>1080</v>
      </c>
      <c r="H44">
        <v>3</v>
      </c>
      <c r="I44" t="s">
        <v>389</v>
      </c>
      <c r="J44" t="s">
        <v>3</v>
      </c>
      <c r="K44" t="s">
        <v>390</v>
      </c>
      <c r="L44">
        <v>1354</v>
      </c>
      <c r="N44">
        <v>1010</v>
      </c>
      <c r="O44" t="s">
        <v>32</v>
      </c>
      <c r="P44" t="s">
        <v>32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3</v>
      </c>
      <c r="AG44">
        <v>1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>
        <f>ROW(Source!A66)</f>
        <v>66</v>
      </c>
      <c r="B45">
        <v>58753860</v>
      </c>
      <c r="C45">
        <v>56499422</v>
      </c>
      <c r="D45">
        <v>57621905</v>
      </c>
      <c r="E45">
        <v>1080</v>
      </c>
      <c r="F45">
        <v>1</v>
      </c>
      <c r="G45">
        <v>1080</v>
      </c>
      <c r="H45">
        <v>1</v>
      </c>
      <c r="I45" t="s">
        <v>355</v>
      </c>
      <c r="J45" t="s">
        <v>3</v>
      </c>
      <c r="K45" t="s">
        <v>356</v>
      </c>
      <c r="L45">
        <v>1191</v>
      </c>
      <c r="N45">
        <v>1013</v>
      </c>
      <c r="O45" t="s">
        <v>357</v>
      </c>
      <c r="P45" t="s">
        <v>357</v>
      </c>
      <c r="Q45">
        <v>1</v>
      </c>
      <c r="X45">
        <v>1.68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24</v>
      </c>
      <c r="AG45">
        <v>1.8480000000000001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">
      <c r="A46">
        <f>ROW(Source!A67)</f>
        <v>67</v>
      </c>
      <c r="B46">
        <v>58753860</v>
      </c>
      <c r="C46">
        <v>56499422</v>
      </c>
      <c r="D46">
        <v>57621905</v>
      </c>
      <c r="E46">
        <v>1080</v>
      </c>
      <c r="F46">
        <v>1</v>
      </c>
      <c r="G46">
        <v>1080</v>
      </c>
      <c r="H46">
        <v>1</v>
      </c>
      <c r="I46" t="s">
        <v>355</v>
      </c>
      <c r="J46" t="s">
        <v>3</v>
      </c>
      <c r="K46" t="s">
        <v>356</v>
      </c>
      <c r="L46">
        <v>1191</v>
      </c>
      <c r="N46">
        <v>1013</v>
      </c>
      <c r="O46" t="s">
        <v>357</v>
      </c>
      <c r="P46" t="s">
        <v>357</v>
      </c>
      <c r="Q46">
        <v>1</v>
      </c>
      <c r="X46">
        <v>1.68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24</v>
      </c>
      <c r="AG46">
        <v>1.8480000000000001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">
      <c r="A47">
        <f>ROW(Source!A74)</f>
        <v>74</v>
      </c>
      <c r="B47">
        <v>58753861</v>
      </c>
      <c r="C47">
        <v>56499709</v>
      </c>
      <c r="D47">
        <v>57621905</v>
      </c>
      <c r="E47">
        <v>1080</v>
      </c>
      <c r="F47">
        <v>1</v>
      </c>
      <c r="G47">
        <v>1080</v>
      </c>
      <c r="H47">
        <v>1</v>
      </c>
      <c r="I47" t="s">
        <v>355</v>
      </c>
      <c r="J47" t="s">
        <v>3</v>
      </c>
      <c r="K47" t="s">
        <v>356</v>
      </c>
      <c r="L47">
        <v>1191</v>
      </c>
      <c r="N47">
        <v>1013</v>
      </c>
      <c r="O47" t="s">
        <v>357</v>
      </c>
      <c r="P47" t="s">
        <v>357</v>
      </c>
      <c r="Q47">
        <v>1</v>
      </c>
      <c r="X47">
        <v>3.18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24</v>
      </c>
      <c r="AG47">
        <v>3.4980000000000007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">
      <c r="A48">
        <f>ROW(Source!A74)</f>
        <v>74</v>
      </c>
      <c r="B48">
        <v>58753862</v>
      </c>
      <c r="C48">
        <v>56499709</v>
      </c>
      <c r="D48">
        <v>57666153</v>
      </c>
      <c r="E48">
        <v>1</v>
      </c>
      <c r="F48">
        <v>1</v>
      </c>
      <c r="G48">
        <v>1080</v>
      </c>
      <c r="H48">
        <v>3</v>
      </c>
      <c r="I48" t="s">
        <v>358</v>
      </c>
      <c r="J48" t="s">
        <v>359</v>
      </c>
      <c r="K48" t="s">
        <v>360</v>
      </c>
      <c r="L48">
        <v>1346</v>
      </c>
      <c r="N48">
        <v>1009</v>
      </c>
      <c r="O48" t="s">
        <v>305</v>
      </c>
      <c r="P48" t="s">
        <v>305</v>
      </c>
      <c r="Q48">
        <v>1</v>
      </c>
      <c r="X48">
        <v>6.2700000000000004E-3</v>
      </c>
      <c r="Y48">
        <v>27.62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6.2700000000000004E-3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">
      <c r="A49">
        <f>ROW(Source!A74)</f>
        <v>74</v>
      </c>
      <c r="B49">
        <v>58753863</v>
      </c>
      <c r="C49">
        <v>56499709</v>
      </c>
      <c r="D49">
        <v>57664872</v>
      </c>
      <c r="E49">
        <v>1</v>
      </c>
      <c r="F49">
        <v>1</v>
      </c>
      <c r="G49">
        <v>1080</v>
      </c>
      <c r="H49">
        <v>3</v>
      </c>
      <c r="I49" t="s">
        <v>361</v>
      </c>
      <c r="J49" t="s">
        <v>362</v>
      </c>
      <c r="K49" t="s">
        <v>363</v>
      </c>
      <c r="L49">
        <v>1348</v>
      </c>
      <c r="N49">
        <v>1009</v>
      </c>
      <c r="O49" t="s">
        <v>364</v>
      </c>
      <c r="P49" t="s">
        <v>364</v>
      </c>
      <c r="Q49">
        <v>1000</v>
      </c>
      <c r="X49">
        <v>1.0000000000000001E-5</v>
      </c>
      <c r="Y49">
        <v>64123.05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1.0000000000000001E-5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">
      <c r="A50">
        <f>ROW(Source!A74)</f>
        <v>74</v>
      </c>
      <c r="B50">
        <v>58753864</v>
      </c>
      <c r="C50">
        <v>56499709</v>
      </c>
      <c r="D50">
        <v>57674764</v>
      </c>
      <c r="E50">
        <v>1</v>
      </c>
      <c r="F50">
        <v>1</v>
      </c>
      <c r="G50">
        <v>1080</v>
      </c>
      <c r="H50">
        <v>3</v>
      </c>
      <c r="I50" t="s">
        <v>365</v>
      </c>
      <c r="J50" t="s">
        <v>366</v>
      </c>
      <c r="K50" t="s">
        <v>367</v>
      </c>
      <c r="L50">
        <v>1354</v>
      </c>
      <c r="N50">
        <v>1010</v>
      </c>
      <c r="O50" t="s">
        <v>32</v>
      </c>
      <c r="P50" t="s">
        <v>32</v>
      </c>
      <c r="Q50">
        <v>1</v>
      </c>
      <c r="X50">
        <v>0.1</v>
      </c>
      <c r="Y50">
        <v>15.25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0.1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>
        <f>ROW(Source!A74)</f>
        <v>74</v>
      </c>
      <c r="B51">
        <v>58753865</v>
      </c>
      <c r="C51">
        <v>56499709</v>
      </c>
      <c r="D51">
        <v>57643965</v>
      </c>
      <c r="E51">
        <v>1080</v>
      </c>
      <c r="F51">
        <v>1</v>
      </c>
      <c r="G51">
        <v>1080</v>
      </c>
      <c r="H51">
        <v>3</v>
      </c>
      <c r="I51" t="s">
        <v>391</v>
      </c>
      <c r="J51" t="s">
        <v>3</v>
      </c>
      <c r="K51" t="s">
        <v>392</v>
      </c>
      <c r="L51">
        <v>1354</v>
      </c>
      <c r="N51">
        <v>1010</v>
      </c>
      <c r="O51" t="s">
        <v>32</v>
      </c>
      <c r="P51" t="s">
        <v>32</v>
      </c>
      <c r="Q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</v>
      </c>
      <c r="AG51">
        <v>1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">
      <c r="A52">
        <f>ROW(Source!A75)</f>
        <v>75</v>
      </c>
      <c r="B52">
        <v>58753861</v>
      </c>
      <c r="C52">
        <v>56499709</v>
      </c>
      <c r="D52">
        <v>57621905</v>
      </c>
      <c r="E52">
        <v>1080</v>
      </c>
      <c r="F52">
        <v>1</v>
      </c>
      <c r="G52">
        <v>1080</v>
      </c>
      <c r="H52">
        <v>1</v>
      </c>
      <c r="I52" t="s">
        <v>355</v>
      </c>
      <c r="J52" t="s">
        <v>3</v>
      </c>
      <c r="K52" t="s">
        <v>356</v>
      </c>
      <c r="L52">
        <v>1191</v>
      </c>
      <c r="N52">
        <v>1013</v>
      </c>
      <c r="O52" t="s">
        <v>357</v>
      </c>
      <c r="P52" t="s">
        <v>357</v>
      </c>
      <c r="Q52">
        <v>1</v>
      </c>
      <c r="X52">
        <v>3.18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24</v>
      </c>
      <c r="AG52">
        <v>3.4980000000000007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">
      <c r="A53">
        <f>ROW(Source!A75)</f>
        <v>75</v>
      </c>
      <c r="B53">
        <v>58753862</v>
      </c>
      <c r="C53">
        <v>56499709</v>
      </c>
      <c r="D53">
        <v>57666153</v>
      </c>
      <c r="E53">
        <v>1</v>
      </c>
      <c r="F53">
        <v>1</v>
      </c>
      <c r="G53">
        <v>1080</v>
      </c>
      <c r="H53">
        <v>3</v>
      </c>
      <c r="I53" t="s">
        <v>358</v>
      </c>
      <c r="J53" t="s">
        <v>359</v>
      </c>
      <c r="K53" t="s">
        <v>360</v>
      </c>
      <c r="L53">
        <v>1346</v>
      </c>
      <c r="N53">
        <v>1009</v>
      </c>
      <c r="O53" t="s">
        <v>305</v>
      </c>
      <c r="P53" t="s">
        <v>305</v>
      </c>
      <c r="Q53">
        <v>1</v>
      </c>
      <c r="X53">
        <v>6.2700000000000004E-3</v>
      </c>
      <c r="Y53">
        <v>27.62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</v>
      </c>
      <c r="AG53">
        <v>6.2700000000000004E-3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">
      <c r="A54">
        <f>ROW(Source!A75)</f>
        <v>75</v>
      </c>
      <c r="B54">
        <v>58753863</v>
      </c>
      <c r="C54">
        <v>56499709</v>
      </c>
      <c r="D54">
        <v>57664872</v>
      </c>
      <c r="E54">
        <v>1</v>
      </c>
      <c r="F54">
        <v>1</v>
      </c>
      <c r="G54">
        <v>1080</v>
      </c>
      <c r="H54">
        <v>3</v>
      </c>
      <c r="I54" t="s">
        <v>361</v>
      </c>
      <c r="J54" t="s">
        <v>362</v>
      </c>
      <c r="K54" t="s">
        <v>363</v>
      </c>
      <c r="L54">
        <v>1348</v>
      </c>
      <c r="N54">
        <v>1009</v>
      </c>
      <c r="O54" t="s">
        <v>364</v>
      </c>
      <c r="P54" t="s">
        <v>364</v>
      </c>
      <c r="Q54">
        <v>1000</v>
      </c>
      <c r="X54">
        <v>1.0000000000000001E-5</v>
      </c>
      <c r="Y54">
        <v>64123.05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3</v>
      </c>
      <c r="AG54">
        <v>1.0000000000000001E-5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">
      <c r="A55">
        <f>ROW(Source!A75)</f>
        <v>75</v>
      </c>
      <c r="B55">
        <v>58753864</v>
      </c>
      <c r="C55">
        <v>56499709</v>
      </c>
      <c r="D55">
        <v>57674764</v>
      </c>
      <c r="E55">
        <v>1</v>
      </c>
      <c r="F55">
        <v>1</v>
      </c>
      <c r="G55">
        <v>1080</v>
      </c>
      <c r="H55">
        <v>3</v>
      </c>
      <c r="I55" t="s">
        <v>365</v>
      </c>
      <c r="J55" t="s">
        <v>366</v>
      </c>
      <c r="K55" t="s">
        <v>367</v>
      </c>
      <c r="L55">
        <v>1354</v>
      </c>
      <c r="N55">
        <v>1010</v>
      </c>
      <c r="O55" t="s">
        <v>32</v>
      </c>
      <c r="P55" t="s">
        <v>32</v>
      </c>
      <c r="Q55">
        <v>1</v>
      </c>
      <c r="X55">
        <v>0.1</v>
      </c>
      <c r="Y55">
        <v>15.25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0.1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">
      <c r="A56">
        <f>ROW(Source!A75)</f>
        <v>75</v>
      </c>
      <c r="B56">
        <v>58753865</v>
      </c>
      <c r="C56">
        <v>56499709</v>
      </c>
      <c r="D56">
        <v>57643965</v>
      </c>
      <c r="E56">
        <v>1080</v>
      </c>
      <c r="F56">
        <v>1</v>
      </c>
      <c r="G56">
        <v>1080</v>
      </c>
      <c r="H56">
        <v>3</v>
      </c>
      <c r="I56" t="s">
        <v>391</v>
      </c>
      <c r="J56" t="s">
        <v>3</v>
      </c>
      <c r="K56" t="s">
        <v>392</v>
      </c>
      <c r="L56">
        <v>1354</v>
      </c>
      <c r="N56">
        <v>1010</v>
      </c>
      <c r="O56" t="s">
        <v>32</v>
      </c>
      <c r="P56" t="s">
        <v>32</v>
      </c>
      <c r="Q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3</v>
      </c>
      <c r="AG56">
        <v>1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">
      <c r="A57">
        <f>ROW(Source!A88)</f>
        <v>88</v>
      </c>
      <c r="B57">
        <v>58753866</v>
      </c>
      <c r="C57">
        <v>56500520</v>
      </c>
      <c r="D57">
        <v>57621905</v>
      </c>
      <c r="E57">
        <v>1080</v>
      </c>
      <c r="F57">
        <v>1</v>
      </c>
      <c r="G57">
        <v>1080</v>
      </c>
      <c r="H57">
        <v>1</v>
      </c>
      <c r="I57" t="s">
        <v>355</v>
      </c>
      <c r="J57" t="s">
        <v>3</v>
      </c>
      <c r="K57" t="s">
        <v>356</v>
      </c>
      <c r="L57">
        <v>1191</v>
      </c>
      <c r="N57">
        <v>1013</v>
      </c>
      <c r="O57" t="s">
        <v>357</v>
      </c>
      <c r="P57" t="s">
        <v>357</v>
      </c>
      <c r="Q57">
        <v>1</v>
      </c>
      <c r="X57">
        <v>1.2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24</v>
      </c>
      <c r="AG57">
        <v>1.32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">
      <c r="A58">
        <f>ROW(Source!A89)</f>
        <v>89</v>
      </c>
      <c r="B58">
        <v>58753866</v>
      </c>
      <c r="C58">
        <v>56500520</v>
      </c>
      <c r="D58">
        <v>57621905</v>
      </c>
      <c r="E58">
        <v>1080</v>
      </c>
      <c r="F58">
        <v>1</v>
      </c>
      <c r="G58">
        <v>1080</v>
      </c>
      <c r="H58">
        <v>1</v>
      </c>
      <c r="I58" t="s">
        <v>355</v>
      </c>
      <c r="J58" t="s">
        <v>3</v>
      </c>
      <c r="K58" t="s">
        <v>356</v>
      </c>
      <c r="L58">
        <v>1191</v>
      </c>
      <c r="N58">
        <v>1013</v>
      </c>
      <c r="O58" t="s">
        <v>357</v>
      </c>
      <c r="P58" t="s">
        <v>357</v>
      </c>
      <c r="Q58">
        <v>1</v>
      </c>
      <c r="X58">
        <v>1.2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24</v>
      </c>
      <c r="AG58">
        <v>1.32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">
      <c r="A59">
        <f>ROW(Source!A98)</f>
        <v>98</v>
      </c>
      <c r="B59">
        <v>58753867</v>
      </c>
      <c r="C59">
        <v>56500541</v>
      </c>
      <c r="D59">
        <v>57621905</v>
      </c>
      <c r="E59">
        <v>1080</v>
      </c>
      <c r="F59">
        <v>1</v>
      </c>
      <c r="G59">
        <v>1080</v>
      </c>
      <c r="H59">
        <v>1</v>
      </c>
      <c r="I59" t="s">
        <v>355</v>
      </c>
      <c r="J59" t="s">
        <v>3</v>
      </c>
      <c r="K59" t="s">
        <v>356</v>
      </c>
      <c r="L59">
        <v>1191</v>
      </c>
      <c r="N59">
        <v>1013</v>
      </c>
      <c r="O59" t="s">
        <v>357</v>
      </c>
      <c r="P59" t="s">
        <v>357</v>
      </c>
      <c r="Q59">
        <v>1</v>
      </c>
      <c r="X59">
        <v>1.36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24</v>
      </c>
      <c r="AG59">
        <v>1.4960000000000002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">
      <c r="A60">
        <f>ROW(Source!A98)</f>
        <v>98</v>
      </c>
      <c r="B60">
        <v>58753868</v>
      </c>
      <c r="C60">
        <v>56500541</v>
      </c>
      <c r="D60">
        <v>57696198</v>
      </c>
      <c r="E60">
        <v>1</v>
      </c>
      <c r="F60">
        <v>1</v>
      </c>
      <c r="G60">
        <v>1080</v>
      </c>
      <c r="H60">
        <v>2</v>
      </c>
      <c r="I60" t="s">
        <v>393</v>
      </c>
      <c r="J60" t="s">
        <v>394</v>
      </c>
      <c r="K60" t="s">
        <v>395</v>
      </c>
      <c r="L60">
        <v>1368</v>
      </c>
      <c r="N60">
        <v>1011</v>
      </c>
      <c r="O60" t="s">
        <v>373</v>
      </c>
      <c r="P60" t="s">
        <v>373</v>
      </c>
      <c r="Q60">
        <v>1</v>
      </c>
      <c r="X60">
        <v>1.7000000000000001E-2</v>
      </c>
      <c r="Y60">
        <v>0</v>
      </c>
      <c r="Z60">
        <v>0.8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24</v>
      </c>
      <c r="AG60">
        <v>1.8700000000000001E-2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">
      <c r="A61">
        <f>ROW(Source!A98)</f>
        <v>98</v>
      </c>
      <c r="B61">
        <v>58753869</v>
      </c>
      <c r="C61">
        <v>56500541</v>
      </c>
      <c r="D61">
        <v>57696164</v>
      </c>
      <c r="E61">
        <v>1</v>
      </c>
      <c r="F61">
        <v>1</v>
      </c>
      <c r="G61">
        <v>1080</v>
      </c>
      <c r="H61">
        <v>2</v>
      </c>
      <c r="I61" t="s">
        <v>396</v>
      </c>
      <c r="J61" t="s">
        <v>397</v>
      </c>
      <c r="K61" t="s">
        <v>398</v>
      </c>
      <c r="L61">
        <v>1368</v>
      </c>
      <c r="N61">
        <v>1011</v>
      </c>
      <c r="O61" t="s">
        <v>373</v>
      </c>
      <c r="P61" t="s">
        <v>373</v>
      </c>
      <c r="Q61">
        <v>1</v>
      </c>
      <c r="X61">
        <v>0.02</v>
      </c>
      <c r="Y61">
        <v>0</v>
      </c>
      <c r="Z61">
        <v>0.47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24</v>
      </c>
      <c r="AG61">
        <v>2.2000000000000002E-2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">
      <c r="A62">
        <f>ROW(Source!A98)</f>
        <v>98</v>
      </c>
      <c r="B62">
        <v>58753870</v>
      </c>
      <c r="C62">
        <v>56500541</v>
      </c>
      <c r="D62">
        <v>57666153</v>
      </c>
      <c r="E62">
        <v>1</v>
      </c>
      <c r="F62">
        <v>1</v>
      </c>
      <c r="G62">
        <v>1080</v>
      </c>
      <c r="H62">
        <v>3</v>
      </c>
      <c r="I62" t="s">
        <v>358</v>
      </c>
      <c r="J62" t="s">
        <v>359</v>
      </c>
      <c r="K62" t="s">
        <v>360</v>
      </c>
      <c r="L62">
        <v>1346</v>
      </c>
      <c r="N62">
        <v>1009</v>
      </c>
      <c r="O62" t="s">
        <v>305</v>
      </c>
      <c r="P62" t="s">
        <v>305</v>
      </c>
      <c r="Q62">
        <v>1</v>
      </c>
      <c r="X62">
        <v>6.2700000000000004E-3</v>
      </c>
      <c r="Y62">
        <v>27.62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6.2700000000000004E-3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">
      <c r="A63">
        <f>ROW(Source!A98)</f>
        <v>98</v>
      </c>
      <c r="B63">
        <v>58753871</v>
      </c>
      <c r="C63">
        <v>56500541</v>
      </c>
      <c r="D63">
        <v>57664872</v>
      </c>
      <c r="E63">
        <v>1</v>
      </c>
      <c r="F63">
        <v>1</v>
      </c>
      <c r="G63">
        <v>1080</v>
      </c>
      <c r="H63">
        <v>3</v>
      </c>
      <c r="I63" t="s">
        <v>361</v>
      </c>
      <c r="J63" t="s">
        <v>362</v>
      </c>
      <c r="K63" t="s">
        <v>363</v>
      </c>
      <c r="L63">
        <v>1348</v>
      </c>
      <c r="N63">
        <v>1009</v>
      </c>
      <c r="O63" t="s">
        <v>364</v>
      </c>
      <c r="P63" t="s">
        <v>364</v>
      </c>
      <c r="Q63">
        <v>1000</v>
      </c>
      <c r="X63">
        <v>1.0000000000000001E-5</v>
      </c>
      <c r="Y63">
        <v>64123.05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1.0000000000000001E-5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">
      <c r="A64">
        <f>ROW(Source!A98)</f>
        <v>98</v>
      </c>
      <c r="B64">
        <v>58753872</v>
      </c>
      <c r="C64">
        <v>56500541</v>
      </c>
      <c r="D64">
        <v>57674764</v>
      </c>
      <c r="E64">
        <v>1</v>
      </c>
      <c r="F64">
        <v>1</v>
      </c>
      <c r="G64">
        <v>1080</v>
      </c>
      <c r="H64">
        <v>3</v>
      </c>
      <c r="I64" t="s">
        <v>365</v>
      </c>
      <c r="J64" t="s">
        <v>366</v>
      </c>
      <c r="K64" t="s">
        <v>367</v>
      </c>
      <c r="L64">
        <v>1354</v>
      </c>
      <c r="N64">
        <v>1010</v>
      </c>
      <c r="O64" t="s">
        <v>32</v>
      </c>
      <c r="P64" t="s">
        <v>32</v>
      </c>
      <c r="Q64">
        <v>1</v>
      </c>
      <c r="X64">
        <v>0.1</v>
      </c>
      <c r="Y64">
        <v>15.25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</v>
      </c>
      <c r="AG64">
        <v>0.1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">
      <c r="A65">
        <f>ROW(Source!A98)</f>
        <v>98</v>
      </c>
      <c r="B65">
        <v>58753873</v>
      </c>
      <c r="C65">
        <v>56500541</v>
      </c>
      <c r="D65">
        <v>57643958</v>
      </c>
      <c r="E65">
        <v>1080</v>
      </c>
      <c r="F65">
        <v>1</v>
      </c>
      <c r="G65">
        <v>1080</v>
      </c>
      <c r="H65">
        <v>3</v>
      </c>
      <c r="I65" t="s">
        <v>399</v>
      </c>
      <c r="J65" t="s">
        <v>3</v>
      </c>
      <c r="K65" t="s">
        <v>400</v>
      </c>
      <c r="L65">
        <v>1354</v>
      </c>
      <c r="N65">
        <v>1010</v>
      </c>
      <c r="O65" t="s">
        <v>32</v>
      </c>
      <c r="P65" t="s">
        <v>32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</v>
      </c>
      <c r="AG65">
        <v>1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">
      <c r="A66">
        <f>ROW(Source!A99)</f>
        <v>99</v>
      </c>
      <c r="B66">
        <v>58753867</v>
      </c>
      <c r="C66">
        <v>56500541</v>
      </c>
      <c r="D66">
        <v>57621905</v>
      </c>
      <c r="E66">
        <v>1080</v>
      </c>
      <c r="F66">
        <v>1</v>
      </c>
      <c r="G66">
        <v>1080</v>
      </c>
      <c r="H66">
        <v>1</v>
      </c>
      <c r="I66" t="s">
        <v>355</v>
      </c>
      <c r="J66" t="s">
        <v>3</v>
      </c>
      <c r="K66" t="s">
        <v>356</v>
      </c>
      <c r="L66">
        <v>1191</v>
      </c>
      <c r="N66">
        <v>1013</v>
      </c>
      <c r="O66" t="s">
        <v>357</v>
      </c>
      <c r="P66" t="s">
        <v>357</v>
      </c>
      <c r="Q66">
        <v>1</v>
      </c>
      <c r="X66">
        <v>1.36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 t="s">
        <v>24</v>
      </c>
      <c r="AG66">
        <v>1.4960000000000002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">
      <c r="A67">
        <f>ROW(Source!A99)</f>
        <v>99</v>
      </c>
      <c r="B67">
        <v>58753868</v>
      </c>
      <c r="C67">
        <v>56500541</v>
      </c>
      <c r="D67">
        <v>57696198</v>
      </c>
      <c r="E67">
        <v>1</v>
      </c>
      <c r="F67">
        <v>1</v>
      </c>
      <c r="G67">
        <v>1080</v>
      </c>
      <c r="H67">
        <v>2</v>
      </c>
      <c r="I67" t="s">
        <v>393</v>
      </c>
      <c r="J67" t="s">
        <v>394</v>
      </c>
      <c r="K67" t="s">
        <v>395</v>
      </c>
      <c r="L67">
        <v>1368</v>
      </c>
      <c r="N67">
        <v>1011</v>
      </c>
      <c r="O67" t="s">
        <v>373</v>
      </c>
      <c r="P67" t="s">
        <v>373</v>
      </c>
      <c r="Q67">
        <v>1</v>
      </c>
      <c r="X67">
        <v>1.7000000000000001E-2</v>
      </c>
      <c r="Y67">
        <v>0</v>
      </c>
      <c r="Z67">
        <v>0.8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24</v>
      </c>
      <c r="AG67">
        <v>1.8700000000000001E-2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>
        <f>ROW(Source!A99)</f>
        <v>99</v>
      </c>
      <c r="B68">
        <v>58753869</v>
      </c>
      <c r="C68">
        <v>56500541</v>
      </c>
      <c r="D68">
        <v>57696164</v>
      </c>
      <c r="E68">
        <v>1</v>
      </c>
      <c r="F68">
        <v>1</v>
      </c>
      <c r="G68">
        <v>1080</v>
      </c>
      <c r="H68">
        <v>2</v>
      </c>
      <c r="I68" t="s">
        <v>396</v>
      </c>
      <c r="J68" t="s">
        <v>397</v>
      </c>
      <c r="K68" t="s">
        <v>398</v>
      </c>
      <c r="L68">
        <v>1368</v>
      </c>
      <c r="N68">
        <v>1011</v>
      </c>
      <c r="O68" t="s">
        <v>373</v>
      </c>
      <c r="P68" t="s">
        <v>373</v>
      </c>
      <c r="Q68">
        <v>1</v>
      </c>
      <c r="X68">
        <v>0.02</v>
      </c>
      <c r="Y68">
        <v>0</v>
      </c>
      <c r="Z68">
        <v>0.47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24</v>
      </c>
      <c r="AG68">
        <v>2.2000000000000002E-2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">
      <c r="A69">
        <f>ROW(Source!A99)</f>
        <v>99</v>
      </c>
      <c r="B69">
        <v>58753870</v>
      </c>
      <c r="C69">
        <v>56500541</v>
      </c>
      <c r="D69">
        <v>57666153</v>
      </c>
      <c r="E69">
        <v>1</v>
      </c>
      <c r="F69">
        <v>1</v>
      </c>
      <c r="G69">
        <v>1080</v>
      </c>
      <c r="H69">
        <v>3</v>
      </c>
      <c r="I69" t="s">
        <v>358</v>
      </c>
      <c r="J69" t="s">
        <v>359</v>
      </c>
      <c r="K69" t="s">
        <v>360</v>
      </c>
      <c r="L69">
        <v>1346</v>
      </c>
      <c r="N69">
        <v>1009</v>
      </c>
      <c r="O69" t="s">
        <v>305</v>
      </c>
      <c r="P69" t="s">
        <v>305</v>
      </c>
      <c r="Q69">
        <v>1</v>
      </c>
      <c r="X69">
        <v>6.2700000000000004E-3</v>
      </c>
      <c r="Y69">
        <v>27.62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</v>
      </c>
      <c r="AG69">
        <v>6.2700000000000004E-3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">
      <c r="A70">
        <f>ROW(Source!A99)</f>
        <v>99</v>
      </c>
      <c r="B70">
        <v>58753871</v>
      </c>
      <c r="C70">
        <v>56500541</v>
      </c>
      <c r="D70">
        <v>57664872</v>
      </c>
      <c r="E70">
        <v>1</v>
      </c>
      <c r="F70">
        <v>1</v>
      </c>
      <c r="G70">
        <v>1080</v>
      </c>
      <c r="H70">
        <v>3</v>
      </c>
      <c r="I70" t="s">
        <v>361</v>
      </c>
      <c r="J70" t="s">
        <v>362</v>
      </c>
      <c r="K70" t="s">
        <v>363</v>
      </c>
      <c r="L70">
        <v>1348</v>
      </c>
      <c r="N70">
        <v>1009</v>
      </c>
      <c r="O70" t="s">
        <v>364</v>
      </c>
      <c r="P70" t="s">
        <v>364</v>
      </c>
      <c r="Q70">
        <v>1000</v>
      </c>
      <c r="X70">
        <v>1.0000000000000001E-5</v>
      </c>
      <c r="Y70">
        <v>64123.05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1.0000000000000001E-5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">
      <c r="A71">
        <f>ROW(Source!A99)</f>
        <v>99</v>
      </c>
      <c r="B71">
        <v>58753872</v>
      </c>
      <c r="C71">
        <v>56500541</v>
      </c>
      <c r="D71">
        <v>57674764</v>
      </c>
      <c r="E71">
        <v>1</v>
      </c>
      <c r="F71">
        <v>1</v>
      </c>
      <c r="G71">
        <v>1080</v>
      </c>
      <c r="H71">
        <v>3</v>
      </c>
      <c r="I71" t="s">
        <v>365</v>
      </c>
      <c r="J71" t="s">
        <v>366</v>
      </c>
      <c r="K71" t="s">
        <v>367</v>
      </c>
      <c r="L71">
        <v>1354</v>
      </c>
      <c r="N71">
        <v>1010</v>
      </c>
      <c r="O71" t="s">
        <v>32</v>
      </c>
      <c r="P71" t="s">
        <v>32</v>
      </c>
      <c r="Q71">
        <v>1</v>
      </c>
      <c r="X71">
        <v>0.1</v>
      </c>
      <c r="Y71">
        <v>15.25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</v>
      </c>
      <c r="AG71">
        <v>0.1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">
      <c r="A72">
        <f>ROW(Source!A99)</f>
        <v>99</v>
      </c>
      <c r="B72">
        <v>58753873</v>
      </c>
      <c r="C72">
        <v>56500541</v>
      </c>
      <c r="D72">
        <v>57643958</v>
      </c>
      <c r="E72">
        <v>1080</v>
      </c>
      <c r="F72">
        <v>1</v>
      </c>
      <c r="G72">
        <v>1080</v>
      </c>
      <c r="H72">
        <v>3</v>
      </c>
      <c r="I72" t="s">
        <v>399</v>
      </c>
      <c r="J72" t="s">
        <v>3</v>
      </c>
      <c r="K72" t="s">
        <v>400</v>
      </c>
      <c r="L72">
        <v>1354</v>
      </c>
      <c r="N72">
        <v>1010</v>
      </c>
      <c r="O72" t="s">
        <v>32</v>
      </c>
      <c r="P72" t="s">
        <v>32</v>
      </c>
      <c r="Q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3</v>
      </c>
      <c r="AG72">
        <v>1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">
      <c r="A73">
        <f>ROW(Source!A102)</f>
        <v>102</v>
      </c>
      <c r="B73">
        <v>58753874</v>
      </c>
      <c r="C73">
        <v>56500569</v>
      </c>
      <c r="D73">
        <v>57621905</v>
      </c>
      <c r="E73">
        <v>1080</v>
      </c>
      <c r="F73">
        <v>1</v>
      </c>
      <c r="G73">
        <v>1080</v>
      </c>
      <c r="H73">
        <v>1</v>
      </c>
      <c r="I73" t="s">
        <v>355</v>
      </c>
      <c r="J73" t="s">
        <v>3</v>
      </c>
      <c r="K73" t="s">
        <v>356</v>
      </c>
      <c r="L73">
        <v>1191</v>
      </c>
      <c r="N73">
        <v>1013</v>
      </c>
      <c r="O73" t="s">
        <v>357</v>
      </c>
      <c r="P73" t="s">
        <v>357</v>
      </c>
      <c r="Q73">
        <v>1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24</v>
      </c>
      <c r="AG73">
        <v>2.2000000000000002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">
      <c r="A74">
        <f>ROW(Source!A102)</f>
        <v>102</v>
      </c>
      <c r="B74">
        <v>58753875</v>
      </c>
      <c r="C74">
        <v>56500569</v>
      </c>
      <c r="D74">
        <v>57665319</v>
      </c>
      <c r="E74">
        <v>1</v>
      </c>
      <c r="F74">
        <v>1</v>
      </c>
      <c r="G74">
        <v>1080</v>
      </c>
      <c r="H74">
        <v>3</v>
      </c>
      <c r="I74" t="s">
        <v>401</v>
      </c>
      <c r="J74" t="s">
        <v>402</v>
      </c>
      <c r="K74" t="s">
        <v>403</v>
      </c>
      <c r="L74">
        <v>1348</v>
      </c>
      <c r="N74">
        <v>1009</v>
      </c>
      <c r="O74" t="s">
        <v>364</v>
      </c>
      <c r="P74" t="s">
        <v>364</v>
      </c>
      <c r="Q74">
        <v>1000</v>
      </c>
      <c r="X74">
        <v>1.4999999999999999E-4</v>
      </c>
      <c r="Y74">
        <v>17742.23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3</v>
      </c>
      <c r="AG74">
        <v>1.4999999999999999E-4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">
      <c r="A75">
        <f>ROW(Source!A102)</f>
        <v>102</v>
      </c>
      <c r="B75">
        <v>58753876</v>
      </c>
      <c r="C75">
        <v>56500569</v>
      </c>
      <c r="D75">
        <v>57688174</v>
      </c>
      <c r="E75">
        <v>1</v>
      </c>
      <c r="F75">
        <v>1</v>
      </c>
      <c r="G75">
        <v>1080</v>
      </c>
      <c r="H75">
        <v>3</v>
      </c>
      <c r="I75" t="s">
        <v>404</v>
      </c>
      <c r="J75" t="s">
        <v>405</v>
      </c>
      <c r="K75" t="s">
        <v>406</v>
      </c>
      <c r="L75">
        <v>1346</v>
      </c>
      <c r="N75">
        <v>1009</v>
      </c>
      <c r="O75" t="s">
        <v>305</v>
      </c>
      <c r="P75" t="s">
        <v>305</v>
      </c>
      <c r="Q75">
        <v>1</v>
      </c>
      <c r="X75">
        <v>1.4999999999999999E-2</v>
      </c>
      <c r="Y75">
        <v>493.08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</v>
      </c>
      <c r="AG75">
        <v>1.4999999999999999E-2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">
      <c r="A76">
        <f>ROW(Source!A102)</f>
        <v>102</v>
      </c>
      <c r="B76">
        <v>58753877</v>
      </c>
      <c r="C76">
        <v>56500569</v>
      </c>
      <c r="D76">
        <v>57694008</v>
      </c>
      <c r="E76">
        <v>1</v>
      </c>
      <c r="F76">
        <v>1</v>
      </c>
      <c r="G76">
        <v>1080</v>
      </c>
      <c r="H76">
        <v>3</v>
      </c>
      <c r="I76" t="s">
        <v>407</v>
      </c>
      <c r="J76" t="s">
        <v>408</v>
      </c>
      <c r="K76" t="s">
        <v>409</v>
      </c>
      <c r="L76">
        <v>1303</v>
      </c>
      <c r="N76">
        <v>1003</v>
      </c>
      <c r="O76" t="s">
        <v>271</v>
      </c>
      <c r="P76" t="s">
        <v>271</v>
      </c>
      <c r="Q76">
        <v>1000</v>
      </c>
      <c r="X76">
        <v>5.0000000000000001E-3</v>
      </c>
      <c r="Y76">
        <v>2880.4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5.0000000000000001E-3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">
      <c r="A77">
        <f>ROW(Source!A102)</f>
        <v>102</v>
      </c>
      <c r="B77">
        <v>58753878</v>
      </c>
      <c r="C77">
        <v>56500569</v>
      </c>
      <c r="D77">
        <v>57660056</v>
      </c>
      <c r="E77">
        <v>1080</v>
      </c>
      <c r="F77">
        <v>1</v>
      </c>
      <c r="G77">
        <v>1080</v>
      </c>
      <c r="H77">
        <v>3</v>
      </c>
      <c r="I77" t="s">
        <v>410</v>
      </c>
      <c r="J77" t="s">
        <v>3</v>
      </c>
      <c r="K77" t="s">
        <v>411</v>
      </c>
      <c r="L77">
        <v>1354</v>
      </c>
      <c r="N77">
        <v>1010</v>
      </c>
      <c r="O77" t="s">
        <v>32</v>
      </c>
      <c r="P77" t="s">
        <v>32</v>
      </c>
      <c r="Q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3</v>
      </c>
      <c r="AG77">
        <v>1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">
      <c r="A78">
        <f>ROW(Source!A103)</f>
        <v>103</v>
      </c>
      <c r="B78">
        <v>58753874</v>
      </c>
      <c r="C78">
        <v>56500569</v>
      </c>
      <c r="D78">
        <v>57621905</v>
      </c>
      <c r="E78">
        <v>1080</v>
      </c>
      <c r="F78">
        <v>1</v>
      </c>
      <c r="G78">
        <v>1080</v>
      </c>
      <c r="H78">
        <v>1</v>
      </c>
      <c r="I78" t="s">
        <v>355</v>
      </c>
      <c r="J78" t="s">
        <v>3</v>
      </c>
      <c r="K78" t="s">
        <v>356</v>
      </c>
      <c r="L78">
        <v>1191</v>
      </c>
      <c r="N78">
        <v>1013</v>
      </c>
      <c r="O78" t="s">
        <v>357</v>
      </c>
      <c r="P78" t="s">
        <v>357</v>
      </c>
      <c r="Q78">
        <v>1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24</v>
      </c>
      <c r="AG78">
        <v>2.2000000000000002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">
      <c r="A79">
        <f>ROW(Source!A103)</f>
        <v>103</v>
      </c>
      <c r="B79">
        <v>58753875</v>
      </c>
      <c r="C79">
        <v>56500569</v>
      </c>
      <c r="D79">
        <v>57665319</v>
      </c>
      <c r="E79">
        <v>1</v>
      </c>
      <c r="F79">
        <v>1</v>
      </c>
      <c r="G79">
        <v>1080</v>
      </c>
      <c r="H79">
        <v>3</v>
      </c>
      <c r="I79" t="s">
        <v>401</v>
      </c>
      <c r="J79" t="s">
        <v>402</v>
      </c>
      <c r="K79" t="s">
        <v>403</v>
      </c>
      <c r="L79">
        <v>1348</v>
      </c>
      <c r="N79">
        <v>1009</v>
      </c>
      <c r="O79" t="s">
        <v>364</v>
      </c>
      <c r="P79" t="s">
        <v>364</v>
      </c>
      <c r="Q79">
        <v>1000</v>
      </c>
      <c r="X79">
        <v>1.4999999999999999E-4</v>
      </c>
      <c r="Y79">
        <v>17742.23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1.4999999999999999E-4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>
        <f>ROW(Source!A103)</f>
        <v>103</v>
      </c>
      <c r="B80">
        <v>58753876</v>
      </c>
      <c r="C80">
        <v>56500569</v>
      </c>
      <c r="D80">
        <v>57688174</v>
      </c>
      <c r="E80">
        <v>1</v>
      </c>
      <c r="F80">
        <v>1</v>
      </c>
      <c r="G80">
        <v>1080</v>
      </c>
      <c r="H80">
        <v>3</v>
      </c>
      <c r="I80" t="s">
        <v>404</v>
      </c>
      <c r="J80" t="s">
        <v>405</v>
      </c>
      <c r="K80" t="s">
        <v>406</v>
      </c>
      <c r="L80">
        <v>1346</v>
      </c>
      <c r="N80">
        <v>1009</v>
      </c>
      <c r="O80" t="s">
        <v>305</v>
      </c>
      <c r="P80" t="s">
        <v>305</v>
      </c>
      <c r="Q80">
        <v>1</v>
      </c>
      <c r="X80">
        <v>1.4999999999999999E-2</v>
      </c>
      <c r="Y80">
        <v>493.08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1.4999999999999999E-2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">
      <c r="A81">
        <f>ROW(Source!A103)</f>
        <v>103</v>
      </c>
      <c r="B81">
        <v>58753877</v>
      </c>
      <c r="C81">
        <v>56500569</v>
      </c>
      <c r="D81">
        <v>57694008</v>
      </c>
      <c r="E81">
        <v>1</v>
      </c>
      <c r="F81">
        <v>1</v>
      </c>
      <c r="G81">
        <v>1080</v>
      </c>
      <c r="H81">
        <v>3</v>
      </c>
      <c r="I81" t="s">
        <v>407</v>
      </c>
      <c r="J81" t="s">
        <v>408</v>
      </c>
      <c r="K81" t="s">
        <v>409</v>
      </c>
      <c r="L81">
        <v>1303</v>
      </c>
      <c r="N81">
        <v>1003</v>
      </c>
      <c r="O81" t="s">
        <v>271</v>
      </c>
      <c r="P81" t="s">
        <v>271</v>
      </c>
      <c r="Q81">
        <v>1000</v>
      </c>
      <c r="X81">
        <v>5.0000000000000001E-3</v>
      </c>
      <c r="Y81">
        <v>2880.4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5.0000000000000001E-3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">
      <c r="A82">
        <f>ROW(Source!A103)</f>
        <v>103</v>
      </c>
      <c r="B82">
        <v>58753878</v>
      </c>
      <c r="C82">
        <v>56500569</v>
      </c>
      <c r="D82">
        <v>57660056</v>
      </c>
      <c r="E82">
        <v>1080</v>
      </c>
      <c r="F82">
        <v>1</v>
      </c>
      <c r="G82">
        <v>1080</v>
      </c>
      <c r="H82">
        <v>3</v>
      </c>
      <c r="I82" t="s">
        <v>410</v>
      </c>
      <c r="J82" t="s">
        <v>3</v>
      </c>
      <c r="K82" t="s">
        <v>411</v>
      </c>
      <c r="L82">
        <v>1354</v>
      </c>
      <c r="N82">
        <v>1010</v>
      </c>
      <c r="O82" t="s">
        <v>32</v>
      </c>
      <c r="P82" t="s">
        <v>32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</v>
      </c>
      <c r="AG82">
        <v>1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">
      <c r="A83">
        <f>ROW(Source!A106)</f>
        <v>106</v>
      </c>
      <c r="B83">
        <v>58753879</v>
      </c>
      <c r="C83">
        <v>56500794</v>
      </c>
      <c r="D83">
        <v>57621905</v>
      </c>
      <c r="E83">
        <v>1080</v>
      </c>
      <c r="F83">
        <v>1</v>
      </c>
      <c r="G83">
        <v>1080</v>
      </c>
      <c r="H83">
        <v>1</v>
      </c>
      <c r="I83" t="s">
        <v>355</v>
      </c>
      <c r="J83" t="s">
        <v>3</v>
      </c>
      <c r="K83" t="s">
        <v>356</v>
      </c>
      <c r="L83">
        <v>1191</v>
      </c>
      <c r="N83">
        <v>1013</v>
      </c>
      <c r="O83" t="s">
        <v>357</v>
      </c>
      <c r="P83" t="s">
        <v>357</v>
      </c>
      <c r="Q83">
        <v>1</v>
      </c>
      <c r="X83">
        <v>84.67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24</v>
      </c>
      <c r="AG83">
        <v>93.137000000000015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">
      <c r="A84">
        <f>ROW(Source!A106)</f>
        <v>106</v>
      </c>
      <c r="B84">
        <v>58753880</v>
      </c>
      <c r="C84">
        <v>56500794</v>
      </c>
      <c r="D84">
        <v>57696079</v>
      </c>
      <c r="E84">
        <v>1</v>
      </c>
      <c r="F84">
        <v>1</v>
      </c>
      <c r="G84">
        <v>1080</v>
      </c>
      <c r="H84">
        <v>2</v>
      </c>
      <c r="I84" t="s">
        <v>370</v>
      </c>
      <c r="J84" t="s">
        <v>371</v>
      </c>
      <c r="K84" t="s">
        <v>372</v>
      </c>
      <c r="L84">
        <v>1368</v>
      </c>
      <c r="N84">
        <v>1011</v>
      </c>
      <c r="O84" t="s">
        <v>373</v>
      </c>
      <c r="P84" t="s">
        <v>373</v>
      </c>
      <c r="Q84">
        <v>1</v>
      </c>
      <c r="X84">
        <v>1.03</v>
      </c>
      <c r="Y84">
        <v>0</v>
      </c>
      <c r="Z84">
        <v>83.1</v>
      </c>
      <c r="AA84">
        <v>12.62</v>
      </c>
      <c r="AB84">
        <v>0</v>
      </c>
      <c r="AC84">
        <v>0</v>
      </c>
      <c r="AD84">
        <v>1</v>
      </c>
      <c r="AE84">
        <v>0</v>
      </c>
      <c r="AF84" t="s">
        <v>24</v>
      </c>
      <c r="AG84">
        <v>1.1330000000000002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">
      <c r="A85">
        <f>ROW(Source!A106)</f>
        <v>106</v>
      </c>
      <c r="B85">
        <v>58753881</v>
      </c>
      <c r="C85">
        <v>56500794</v>
      </c>
      <c r="D85">
        <v>57696192</v>
      </c>
      <c r="E85">
        <v>1</v>
      </c>
      <c r="F85">
        <v>1</v>
      </c>
      <c r="G85">
        <v>1080</v>
      </c>
      <c r="H85">
        <v>2</v>
      </c>
      <c r="I85" t="s">
        <v>412</v>
      </c>
      <c r="J85" t="s">
        <v>413</v>
      </c>
      <c r="K85" t="s">
        <v>414</v>
      </c>
      <c r="L85">
        <v>1368</v>
      </c>
      <c r="N85">
        <v>1011</v>
      </c>
      <c r="O85" t="s">
        <v>373</v>
      </c>
      <c r="P85" t="s">
        <v>373</v>
      </c>
      <c r="Q85">
        <v>1</v>
      </c>
      <c r="X85">
        <v>22.08</v>
      </c>
      <c r="Y85">
        <v>0</v>
      </c>
      <c r="Z85">
        <v>0.35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24</v>
      </c>
      <c r="AG85">
        <v>24.288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">
      <c r="A86">
        <f>ROW(Source!A106)</f>
        <v>106</v>
      </c>
      <c r="B86">
        <v>58753882</v>
      </c>
      <c r="C86">
        <v>56500794</v>
      </c>
      <c r="D86">
        <v>57665503</v>
      </c>
      <c r="E86">
        <v>1</v>
      </c>
      <c r="F86">
        <v>1</v>
      </c>
      <c r="G86">
        <v>1080</v>
      </c>
      <c r="H86">
        <v>3</v>
      </c>
      <c r="I86" t="s">
        <v>415</v>
      </c>
      <c r="J86" t="s">
        <v>416</v>
      </c>
      <c r="K86" t="s">
        <v>417</v>
      </c>
      <c r="L86">
        <v>1346</v>
      </c>
      <c r="N86">
        <v>1009</v>
      </c>
      <c r="O86" t="s">
        <v>305</v>
      </c>
      <c r="P86" t="s">
        <v>305</v>
      </c>
      <c r="Q86">
        <v>1</v>
      </c>
      <c r="X86">
        <v>0.21</v>
      </c>
      <c r="Y86">
        <v>159.06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</v>
      </c>
      <c r="AG86">
        <v>0.21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">
      <c r="A87">
        <f>ROW(Source!A106)</f>
        <v>106</v>
      </c>
      <c r="B87">
        <v>58753883</v>
      </c>
      <c r="C87">
        <v>56500794</v>
      </c>
      <c r="D87">
        <v>57664418</v>
      </c>
      <c r="E87">
        <v>1</v>
      </c>
      <c r="F87">
        <v>1</v>
      </c>
      <c r="G87">
        <v>1080</v>
      </c>
      <c r="H87">
        <v>3</v>
      </c>
      <c r="I87" t="s">
        <v>418</v>
      </c>
      <c r="J87" t="s">
        <v>419</v>
      </c>
      <c r="K87" t="s">
        <v>420</v>
      </c>
      <c r="L87">
        <v>1354</v>
      </c>
      <c r="N87">
        <v>1010</v>
      </c>
      <c r="O87" t="s">
        <v>32</v>
      </c>
      <c r="P87" t="s">
        <v>32</v>
      </c>
      <c r="Q87">
        <v>1</v>
      </c>
      <c r="X87">
        <v>4.08</v>
      </c>
      <c r="Y87">
        <v>0.89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</v>
      </c>
      <c r="AG87">
        <v>4.08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>
        <f>ROW(Source!A106)</f>
        <v>106</v>
      </c>
      <c r="B88">
        <v>58753884</v>
      </c>
      <c r="C88">
        <v>56500794</v>
      </c>
      <c r="D88">
        <v>57693743</v>
      </c>
      <c r="E88">
        <v>1</v>
      </c>
      <c r="F88">
        <v>1</v>
      </c>
      <c r="G88">
        <v>1080</v>
      </c>
      <c r="H88">
        <v>3</v>
      </c>
      <c r="I88" t="s">
        <v>421</v>
      </c>
      <c r="J88" t="s">
        <v>422</v>
      </c>
      <c r="K88" t="s">
        <v>423</v>
      </c>
      <c r="L88">
        <v>1303</v>
      </c>
      <c r="N88">
        <v>1003</v>
      </c>
      <c r="O88" t="s">
        <v>271</v>
      </c>
      <c r="P88" t="s">
        <v>271</v>
      </c>
      <c r="Q88">
        <v>1000</v>
      </c>
      <c r="X88">
        <v>1.5299999999999999E-2</v>
      </c>
      <c r="Y88">
        <v>2897.31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3</v>
      </c>
      <c r="AG88">
        <v>1.5299999999999999E-2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>
        <f>ROW(Source!A106)</f>
        <v>106</v>
      </c>
      <c r="B89">
        <v>58753885</v>
      </c>
      <c r="C89">
        <v>56500794</v>
      </c>
      <c r="D89">
        <v>57636602</v>
      </c>
      <c r="E89">
        <v>1080</v>
      </c>
      <c r="F89">
        <v>1</v>
      </c>
      <c r="G89">
        <v>1080</v>
      </c>
      <c r="H89">
        <v>3</v>
      </c>
      <c r="I89" t="s">
        <v>424</v>
      </c>
      <c r="J89" t="s">
        <v>3</v>
      </c>
      <c r="K89" t="s">
        <v>425</v>
      </c>
      <c r="L89">
        <v>1354</v>
      </c>
      <c r="N89">
        <v>1010</v>
      </c>
      <c r="O89" t="s">
        <v>32</v>
      </c>
      <c r="P89" t="s">
        <v>32</v>
      </c>
      <c r="Q89">
        <v>1</v>
      </c>
      <c r="X89">
        <v>100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</v>
      </c>
      <c r="AG89">
        <v>100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">
      <c r="A90">
        <f>ROW(Source!A106)</f>
        <v>106</v>
      </c>
      <c r="B90">
        <v>58753886</v>
      </c>
      <c r="C90">
        <v>56500794</v>
      </c>
      <c r="D90">
        <v>57637133</v>
      </c>
      <c r="E90">
        <v>1080</v>
      </c>
      <c r="F90">
        <v>1</v>
      </c>
      <c r="G90">
        <v>1080</v>
      </c>
      <c r="H90">
        <v>3</v>
      </c>
      <c r="I90" t="s">
        <v>426</v>
      </c>
      <c r="J90" t="s">
        <v>3</v>
      </c>
      <c r="K90" t="s">
        <v>427</v>
      </c>
      <c r="L90">
        <v>1358</v>
      </c>
      <c r="N90">
        <v>1010</v>
      </c>
      <c r="O90" t="s">
        <v>428</v>
      </c>
      <c r="P90" t="s">
        <v>428</v>
      </c>
      <c r="Q90">
        <v>10</v>
      </c>
      <c r="X90">
        <v>10.199999999999999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3</v>
      </c>
      <c r="AG90">
        <v>10.199999999999999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">
      <c r="A91">
        <f>ROW(Source!A107)</f>
        <v>107</v>
      </c>
      <c r="B91">
        <v>58753879</v>
      </c>
      <c r="C91">
        <v>56500794</v>
      </c>
      <c r="D91">
        <v>57621905</v>
      </c>
      <c r="E91">
        <v>1080</v>
      </c>
      <c r="F91">
        <v>1</v>
      </c>
      <c r="G91">
        <v>1080</v>
      </c>
      <c r="H91">
        <v>1</v>
      </c>
      <c r="I91" t="s">
        <v>355</v>
      </c>
      <c r="J91" t="s">
        <v>3</v>
      </c>
      <c r="K91" t="s">
        <v>356</v>
      </c>
      <c r="L91">
        <v>1191</v>
      </c>
      <c r="N91">
        <v>1013</v>
      </c>
      <c r="O91" t="s">
        <v>357</v>
      </c>
      <c r="P91" t="s">
        <v>357</v>
      </c>
      <c r="Q91">
        <v>1</v>
      </c>
      <c r="X91">
        <v>84.67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24</v>
      </c>
      <c r="AG91">
        <v>93.137000000000015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">
      <c r="A92">
        <f>ROW(Source!A107)</f>
        <v>107</v>
      </c>
      <c r="B92">
        <v>58753880</v>
      </c>
      <c r="C92">
        <v>56500794</v>
      </c>
      <c r="D92">
        <v>57696079</v>
      </c>
      <c r="E92">
        <v>1</v>
      </c>
      <c r="F92">
        <v>1</v>
      </c>
      <c r="G92">
        <v>1080</v>
      </c>
      <c r="H92">
        <v>2</v>
      </c>
      <c r="I92" t="s">
        <v>370</v>
      </c>
      <c r="J92" t="s">
        <v>371</v>
      </c>
      <c r="K92" t="s">
        <v>372</v>
      </c>
      <c r="L92">
        <v>1368</v>
      </c>
      <c r="N92">
        <v>1011</v>
      </c>
      <c r="O92" t="s">
        <v>373</v>
      </c>
      <c r="P92" t="s">
        <v>373</v>
      </c>
      <c r="Q92">
        <v>1</v>
      </c>
      <c r="X92">
        <v>1.03</v>
      </c>
      <c r="Y92">
        <v>0</v>
      </c>
      <c r="Z92">
        <v>83.1</v>
      </c>
      <c r="AA92">
        <v>12.62</v>
      </c>
      <c r="AB92">
        <v>0</v>
      </c>
      <c r="AC92">
        <v>0</v>
      </c>
      <c r="AD92">
        <v>1</v>
      </c>
      <c r="AE92">
        <v>0</v>
      </c>
      <c r="AF92" t="s">
        <v>24</v>
      </c>
      <c r="AG92">
        <v>1.1330000000000002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">
      <c r="A93">
        <f>ROW(Source!A107)</f>
        <v>107</v>
      </c>
      <c r="B93">
        <v>58753881</v>
      </c>
      <c r="C93">
        <v>56500794</v>
      </c>
      <c r="D93">
        <v>57696192</v>
      </c>
      <c r="E93">
        <v>1</v>
      </c>
      <c r="F93">
        <v>1</v>
      </c>
      <c r="G93">
        <v>1080</v>
      </c>
      <c r="H93">
        <v>2</v>
      </c>
      <c r="I93" t="s">
        <v>412</v>
      </c>
      <c r="J93" t="s">
        <v>413</v>
      </c>
      <c r="K93" t="s">
        <v>414</v>
      </c>
      <c r="L93">
        <v>1368</v>
      </c>
      <c r="N93">
        <v>1011</v>
      </c>
      <c r="O93" t="s">
        <v>373</v>
      </c>
      <c r="P93" t="s">
        <v>373</v>
      </c>
      <c r="Q93">
        <v>1</v>
      </c>
      <c r="X93">
        <v>22.08</v>
      </c>
      <c r="Y93">
        <v>0</v>
      </c>
      <c r="Z93">
        <v>0.35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24</v>
      </c>
      <c r="AG93">
        <v>24.288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3">
      <c r="A94">
        <f>ROW(Source!A107)</f>
        <v>107</v>
      </c>
      <c r="B94">
        <v>58753882</v>
      </c>
      <c r="C94">
        <v>56500794</v>
      </c>
      <c r="D94">
        <v>57665503</v>
      </c>
      <c r="E94">
        <v>1</v>
      </c>
      <c r="F94">
        <v>1</v>
      </c>
      <c r="G94">
        <v>1080</v>
      </c>
      <c r="H94">
        <v>3</v>
      </c>
      <c r="I94" t="s">
        <v>415</v>
      </c>
      <c r="J94" t="s">
        <v>416</v>
      </c>
      <c r="K94" t="s">
        <v>417</v>
      </c>
      <c r="L94">
        <v>1346</v>
      </c>
      <c r="N94">
        <v>1009</v>
      </c>
      <c r="O94" t="s">
        <v>305</v>
      </c>
      <c r="P94" t="s">
        <v>305</v>
      </c>
      <c r="Q94">
        <v>1</v>
      </c>
      <c r="X94">
        <v>0.21</v>
      </c>
      <c r="Y94">
        <v>159.06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0.21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">
      <c r="A95">
        <f>ROW(Source!A107)</f>
        <v>107</v>
      </c>
      <c r="B95">
        <v>58753883</v>
      </c>
      <c r="C95">
        <v>56500794</v>
      </c>
      <c r="D95">
        <v>57664418</v>
      </c>
      <c r="E95">
        <v>1</v>
      </c>
      <c r="F95">
        <v>1</v>
      </c>
      <c r="G95">
        <v>1080</v>
      </c>
      <c r="H95">
        <v>3</v>
      </c>
      <c r="I95" t="s">
        <v>418</v>
      </c>
      <c r="J95" t="s">
        <v>419</v>
      </c>
      <c r="K95" t="s">
        <v>420</v>
      </c>
      <c r="L95">
        <v>1354</v>
      </c>
      <c r="N95">
        <v>1010</v>
      </c>
      <c r="O95" t="s">
        <v>32</v>
      </c>
      <c r="P95" t="s">
        <v>32</v>
      </c>
      <c r="Q95">
        <v>1</v>
      </c>
      <c r="X95">
        <v>4.08</v>
      </c>
      <c r="Y95">
        <v>0.89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4.08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3">
      <c r="A96">
        <f>ROW(Source!A107)</f>
        <v>107</v>
      </c>
      <c r="B96">
        <v>58753884</v>
      </c>
      <c r="C96">
        <v>56500794</v>
      </c>
      <c r="D96">
        <v>57693743</v>
      </c>
      <c r="E96">
        <v>1</v>
      </c>
      <c r="F96">
        <v>1</v>
      </c>
      <c r="G96">
        <v>1080</v>
      </c>
      <c r="H96">
        <v>3</v>
      </c>
      <c r="I96" t="s">
        <v>421</v>
      </c>
      <c r="J96" t="s">
        <v>422</v>
      </c>
      <c r="K96" t="s">
        <v>423</v>
      </c>
      <c r="L96">
        <v>1303</v>
      </c>
      <c r="N96">
        <v>1003</v>
      </c>
      <c r="O96" t="s">
        <v>271</v>
      </c>
      <c r="P96" t="s">
        <v>271</v>
      </c>
      <c r="Q96">
        <v>1000</v>
      </c>
      <c r="X96">
        <v>1.5299999999999999E-2</v>
      </c>
      <c r="Y96">
        <v>2897.31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1.5299999999999999E-2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3">
      <c r="A97">
        <f>ROW(Source!A107)</f>
        <v>107</v>
      </c>
      <c r="B97">
        <v>58753885</v>
      </c>
      <c r="C97">
        <v>56500794</v>
      </c>
      <c r="D97">
        <v>57636602</v>
      </c>
      <c r="E97">
        <v>1080</v>
      </c>
      <c r="F97">
        <v>1</v>
      </c>
      <c r="G97">
        <v>1080</v>
      </c>
      <c r="H97">
        <v>3</v>
      </c>
      <c r="I97" t="s">
        <v>424</v>
      </c>
      <c r="J97" t="s">
        <v>3</v>
      </c>
      <c r="K97" t="s">
        <v>425</v>
      </c>
      <c r="L97">
        <v>1354</v>
      </c>
      <c r="N97">
        <v>1010</v>
      </c>
      <c r="O97" t="s">
        <v>32</v>
      </c>
      <c r="P97" t="s">
        <v>32</v>
      </c>
      <c r="Q97">
        <v>1</v>
      </c>
      <c r="X97">
        <v>100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</v>
      </c>
      <c r="AG97">
        <v>100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>
        <f>ROW(Source!A107)</f>
        <v>107</v>
      </c>
      <c r="B98">
        <v>58753886</v>
      </c>
      <c r="C98">
        <v>56500794</v>
      </c>
      <c r="D98">
        <v>57637133</v>
      </c>
      <c r="E98">
        <v>1080</v>
      </c>
      <c r="F98">
        <v>1</v>
      </c>
      <c r="G98">
        <v>1080</v>
      </c>
      <c r="H98">
        <v>3</v>
      </c>
      <c r="I98" t="s">
        <v>426</v>
      </c>
      <c r="J98" t="s">
        <v>3</v>
      </c>
      <c r="K98" t="s">
        <v>427</v>
      </c>
      <c r="L98">
        <v>1358</v>
      </c>
      <c r="N98">
        <v>1010</v>
      </c>
      <c r="O98" t="s">
        <v>428</v>
      </c>
      <c r="P98" t="s">
        <v>428</v>
      </c>
      <c r="Q98">
        <v>10</v>
      </c>
      <c r="X98">
        <v>10.199999999999999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10.199999999999999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>
        <f>ROW(Source!A147)</f>
        <v>147</v>
      </c>
      <c r="B99">
        <v>58753887</v>
      </c>
      <c r="C99">
        <v>56502578</v>
      </c>
      <c r="D99">
        <v>57621905</v>
      </c>
      <c r="E99">
        <v>1080</v>
      </c>
      <c r="F99">
        <v>1</v>
      </c>
      <c r="G99">
        <v>1080</v>
      </c>
      <c r="H99">
        <v>1</v>
      </c>
      <c r="I99" t="s">
        <v>355</v>
      </c>
      <c r="J99" t="s">
        <v>3</v>
      </c>
      <c r="K99" t="s">
        <v>356</v>
      </c>
      <c r="L99">
        <v>1191</v>
      </c>
      <c r="N99">
        <v>1013</v>
      </c>
      <c r="O99" t="s">
        <v>357</v>
      </c>
      <c r="P99" t="s">
        <v>357</v>
      </c>
      <c r="Q99">
        <v>1</v>
      </c>
      <c r="X99">
        <v>24.76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24</v>
      </c>
      <c r="AG99">
        <v>27.236000000000004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">
      <c r="A100">
        <f>ROW(Source!A147)</f>
        <v>147</v>
      </c>
      <c r="B100">
        <v>58753888</v>
      </c>
      <c r="C100">
        <v>56502578</v>
      </c>
      <c r="D100">
        <v>57696131</v>
      </c>
      <c r="E100">
        <v>1</v>
      </c>
      <c r="F100">
        <v>1</v>
      </c>
      <c r="G100">
        <v>1080</v>
      </c>
      <c r="H100">
        <v>2</v>
      </c>
      <c r="I100" t="s">
        <v>429</v>
      </c>
      <c r="J100" t="s">
        <v>430</v>
      </c>
      <c r="K100" t="s">
        <v>431</v>
      </c>
      <c r="L100">
        <v>1368</v>
      </c>
      <c r="N100">
        <v>1011</v>
      </c>
      <c r="O100" t="s">
        <v>373</v>
      </c>
      <c r="P100" t="s">
        <v>373</v>
      </c>
      <c r="Q100">
        <v>1</v>
      </c>
      <c r="X100">
        <v>2.44</v>
      </c>
      <c r="Y100">
        <v>0</v>
      </c>
      <c r="Z100">
        <v>0.77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24</v>
      </c>
      <c r="AG100">
        <v>2.6840000000000002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">
      <c r="A101">
        <f>ROW(Source!A147)</f>
        <v>147</v>
      </c>
      <c r="B101">
        <v>58753889</v>
      </c>
      <c r="C101">
        <v>56502578</v>
      </c>
      <c r="D101">
        <v>57696164</v>
      </c>
      <c r="E101">
        <v>1</v>
      </c>
      <c r="F101">
        <v>1</v>
      </c>
      <c r="G101">
        <v>1080</v>
      </c>
      <c r="H101">
        <v>2</v>
      </c>
      <c r="I101" t="s">
        <v>396</v>
      </c>
      <c r="J101" t="s">
        <v>397</v>
      </c>
      <c r="K101" t="s">
        <v>398</v>
      </c>
      <c r="L101">
        <v>1368</v>
      </c>
      <c r="N101">
        <v>1011</v>
      </c>
      <c r="O101" t="s">
        <v>373</v>
      </c>
      <c r="P101" t="s">
        <v>373</v>
      </c>
      <c r="Q101">
        <v>1</v>
      </c>
      <c r="X101">
        <v>4.63</v>
      </c>
      <c r="Y101">
        <v>0</v>
      </c>
      <c r="Z101">
        <v>0.47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24</v>
      </c>
      <c r="AG101">
        <v>5.093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">
      <c r="A102">
        <f>ROW(Source!A147)</f>
        <v>147</v>
      </c>
      <c r="B102">
        <v>58753890</v>
      </c>
      <c r="C102">
        <v>56502578</v>
      </c>
      <c r="D102">
        <v>57688144</v>
      </c>
      <c r="E102">
        <v>1</v>
      </c>
      <c r="F102">
        <v>1</v>
      </c>
      <c r="G102">
        <v>1080</v>
      </c>
      <c r="H102">
        <v>3</v>
      </c>
      <c r="I102" t="s">
        <v>432</v>
      </c>
      <c r="J102" t="s">
        <v>433</v>
      </c>
      <c r="K102" t="s">
        <v>434</v>
      </c>
      <c r="L102">
        <v>1356</v>
      </c>
      <c r="N102">
        <v>1010</v>
      </c>
      <c r="O102" t="s">
        <v>266</v>
      </c>
      <c r="P102" t="s">
        <v>266</v>
      </c>
      <c r="Q102">
        <v>1000</v>
      </c>
      <c r="X102">
        <v>3.1E-2</v>
      </c>
      <c r="Y102">
        <v>226.66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3</v>
      </c>
      <c r="AG102">
        <v>3.1E-2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">
      <c r="A103">
        <f>ROW(Source!A147)</f>
        <v>147</v>
      </c>
      <c r="B103">
        <v>58753891</v>
      </c>
      <c r="C103">
        <v>56502578</v>
      </c>
      <c r="D103">
        <v>57687918</v>
      </c>
      <c r="E103">
        <v>1</v>
      </c>
      <c r="F103">
        <v>1</v>
      </c>
      <c r="G103">
        <v>1080</v>
      </c>
      <c r="H103">
        <v>3</v>
      </c>
      <c r="I103" t="s">
        <v>435</v>
      </c>
      <c r="J103" t="s">
        <v>436</v>
      </c>
      <c r="K103" t="s">
        <v>437</v>
      </c>
      <c r="L103">
        <v>1355</v>
      </c>
      <c r="N103">
        <v>1010</v>
      </c>
      <c r="O103" t="s">
        <v>186</v>
      </c>
      <c r="P103" t="s">
        <v>186</v>
      </c>
      <c r="Q103">
        <v>100</v>
      </c>
      <c r="X103">
        <v>0.315</v>
      </c>
      <c r="Y103">
        <v>26.71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3</v>
      </c>
      <c r="AG103">
        <v>0.315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>
        <f>ROW(Source!A147)</f>
        <v>147</v>
      </c>
      <c r="B104">
        <v>58753892</v>
      </c>
      <c r="C104">
        <v>56502578</v>
      </c>
      <c r="D104">
        <v>57674774</v>
      </c>
      <c r="E104">
        <v>1</v>
      </c>
      <c r="F104">
        <v>1</v>
      </c>
      <c r="G104">
        <v>1080</v>
      </c>
      <c r="H104">
        <v>3</v>
      </c>
      <c r="I104" t="s">
        <v>438</v>
      </c>
      <c r="J104" t="s">
        <v>439</v>
      </c>
      <c r="K104" t="s">
        <v>440</v>
      </c>
      <c r="L104">
        <v>1354</v>
      </c>
      <c r="N104">
        <v>1010</v>
      </c>
      <c r="O104" t="s">
        <v>32</v>
      </c>
      <c r="P104" t="s">
        <v>32</v>
      </c>
      <c r="Q104">
        <v>1</v>
      </c>
      <c r="X104">
        <v>0.28000000000000003</v>
      </c>
      <c r="Y104">
        <v>14.22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0.28000000000000003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">
      <c r="A105">
        <f>ROW(Source!A147)</f>
        <v>147</v>
      </c>
      <c r="B105">
        <v>58753893</v>
      </c>
      <c r="C105">
        <v>56502578</v>
      </c>
      <c r="D105">
        <v>57631310</v>
      </c>
      <c r="E105">
        <v>1080</v>
      </c>
      <c r="F105">
        <v>1</v>
      </c>
      <c r="G105">
        <v>1080</v>
      </c>
      <c r="H105">
        <v>3</v>
      </c>
      <c r="I105" t="s">
        <v>441</v>
      </c>
      <c r="J105" t="s">
        <v>3</v>
      </c>
      <c r="K105" t="s">
        <v>442</v>
      </c>
      <c r="L105">
        <v>1301</v>
      </c>
      <c r="N105">
        <v>1003</v>
      </c>
      <c r="O105" t="s">
        <v>296</v>
      </c>
      <c r="P105" t="s">
        <v>296</v>
      </c>
      <c r="Q105">
        <v>1</v>
      </c>
      <c r="X105">
        <v>102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3</v>
      </c>
      <c r="AG105">
        <v>102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">
      <c r="A106">
        <f>ROW(Source!A147)</f>
        <v>147</v>
      </c>
      <c r="B106">
        <v>58753894</v>
      </c>
      <c r="C106">
        <v>56502578</v>
      </c>
      <c r="D106">
        <v>57636388</v>
      </c>
      <c r="E106">
        <v>1080</v>
      </c>
      <c r="F106">
        <v>1</v>
      </c>
      <c r="G106">
        <v>1080</v>
      </c>
      <c r="H106">
        <v>3</v>
      </c>
      <c r="I106" t="s">
        <v>443</v>
      </c>
      <c r="J106" t="s">
        <v>3</v>
      </c>
      <c r="K106" t="s">
        <v>444</v>
      </c>
      <c r="L106">
        <v>1356</v>
      </c>
      <c r="N106">
        <v>1010</v>
      </c>
      <c r="O106" t="s">
        <v>266</v>
      </c>
      <c r="P106" t="s">
        <v>266</v>
      </c>
      <c r="Q106">
        <v>1000</v>
      </c>
      <c r="X106">
        <v>0.23799999999999999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3</v>
      </c>
      <c r="AG106">
        <v>0.23799999999999999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">
      <c r="A107">
        <f>ROW(Source!A147)</f>
        <v>147</v>
      </c>
      <c r="B107">
        <v>58753895</v>
      </c>
      <c r="C107">
        <v>56502578</v>
      </c>
      <c r="D107">
        <v>57641879</v>
      </c>
      <c r="E107">
        <v>1080</v>
      </c>
      <c r="F107">
        <v>1</v>
      </c>
      <c r="G107">
        <v>1080</v>
      </c>
      <c r="H107">
        <v>3</v>
      </c>
      <c r="I107" t="s">
        <v>445</v>
      </c>
      <c r="J107" t="s">
        <v>3</v>
      </c>
      <c r="K107" t="s">
        <v>446</v>
      </c>
      <c r="L107">
        <v>1303</v>
      </c>
      <c r="N107">
        <v>1003</v>
      </c>
      <c r="O107" t="s">
        <v>271</v>
      </c>
      <c r="P107" t="s">
        <v>271</v>
      </c>
      <c r="Q107">
        <v>1000</v>
      </c>
      <c r="X107">
        <v>0.10199999999999999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0.10199999999999999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>
        <f>ROW(Source!A147)</f>
        <v>147</v>
      </c>
      <c r="B108">
        <v>58753896</v>
      </c>
      <c r="C108">
        <v>56502578</v>
      </c>
      <c r="D108">
        <v>57652106</v>
      </c>
      <c r="E108">
        <v>1080</v>
      </c>
      <c r="F108">
        <v>1</v>
      </c>
      <c r="G108">
        <v>1080</v>
      </c>
      <c r="H108">
        <v>3</v>
      </c>
      <c r="I108" t="s">
        <v>447</v>
      </c>
      <c r="J108" t="s">
        <v>3</v>
      </c>
      <c r="K108" t="s">
        <v>448</v>
      </c>
      <c r="L108">
        <v>1355</v>
      </c>
      <c r="N108">
        <v>1010</v>
      </c>
      <c r="O108" t="s">
        <v>186</v>
      </c>
      <c r="P108" t="s">
        <v>186</v>
      </c>
      <c r="Q108">
        <v>100</v>
      </c>
      <c r="X108">
        <v>2.36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2.36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">
      <c r="A109">
        <f>ROW(Source!A148)</f>
        <v>148</v>
      </c>
      <c r="B109">
        <v>58753887</v>
      </c>
      <c r="C109">
        <v>56502578</v>
      </c>
      <c r="D109">
        <v>57621905</v>
      </c>
      <c r="E109">
        <v>1080</v>
      </c>
      <c r="F109">
        <v>1</v>
      </c>
      <c r="G109">
        <v>1080</v>
      </c>
      <c r="H109">
        <v>1</v>
      </c>
      <c r="I109" t="s">
        <v>355</v>
      </c>
      <c r="J109" t="s">
        <v>3</v>
      </c>
      <c r="K109" t="s">
        <v>356</v>
      </c>
      <c r="L109">
        <v>1191</v>
      </c>
      <c r="N109">
        <v>1013</v>
      </c>
      <c r="O109" t="s">
        <v>357</v>
      </c>
      <c r="P109" t="s">
        <v>357</v>
      </c>
      <c r="Q109">
        <v>1</v>
      </c>
      <c r="X109">
        <v>24.76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24</v>
      </c>
      <c r="AG109">
        <v>27.236000000000004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>
        <f>ROW(Source!A148)</f>
        <v>148</v>
      </c>
      <c r="B110">
        <v>58753888</v>
      </c>
      <c r="C110">
        <v>56502578</v>
      </c>
      <c r="D110">
        <v>57696131</v>
      </c>
      <c r="E110">
        <v>1</v>
      </c>
      <c r="F110">
        <v>1</v>
      </c>
      <c r="G110">
        <v>1080</v>
      </c>
      <c r="H110">
        <v>2</v>
      </c>
      <c r="I110" t="s">
        <v>429</v>
      </c>
      <c r="J110" t="s">
        <v>430</v>
      </c>
      <c r="K110" t="s">
        <v>431</v>
      </c>
      <c r="L110">
        <v>1368</v>
      </c>
      <c r="N110">
        <v>1011</v>
      </c>
      <c r="O110" t="s">
        <v>373</v>
      </c>
      <c r="P110" t="s">
        <v>373</v>
      </c>
      <c r="Q110">
        <v>1</v>
      </c>
      <c r="X110">
        <v>2.44</v>
      </c>
      <c r="Y110">
        <v>0</v>
      </c>
      <c r="Z110">
        <v>0.77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24</v>
      </c>
      <c r="AG110">
        <v>2.6840000000000002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>
        <f>ROW(Source!A148)</f>
        <v>148</v>
      </c>
      <c r="B111">
        <v>58753889</v>
      </c>
      <c r="C111">
        <v>56502578</v>
      </c>
      <c r="D111">
        <v>57696164</v>
      </c>
      <c r="E111">
        <v>1</v>
      </c>
      <c r="F111">
        <v>1</v>
      </c>
      <c r="G111">
        <v>1080</v>
      </c>
      <c r="H111">
        <v>2</v>
      </c>
      <c r="I111" t="s">
        <v>396</v>
      </c>
      <c r="J111" t="s">
        <v>397</v>
      </c>
      <c r="K111" t="s">
        <v>398</v>
      </c>
      <c r="L111">
        <v>1368</v>
      </c>
      <c r="N111">
        <v>1011</v>
      </c>
      <c r="O111" t="s">
        <v>373</v>
      </c>
      <c r="P111" t="s">
        <v>373</v>
      </c>
      <c r="Q111">
        <v>1</v>
      </c>
      <c r="X111">
        <v>4.63</v>
      </c>
      <c r="Y111">
        <v>0</v>
      </c>
      <c r="Z111">
        <v>0.47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24</v>
      </c>
      <c r="AG111">
        <v>5.093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>
        <f>ROW(Source!A148)</f>
        <v>148</v>
      </c>
      <c r="B112">
        <v>58753890</v>
      </c>
      <c r="C112">
        <v>56502578</v>
      </c>
      <c r="D112">
        <v>57688144</v>
      </c>
      <c r="E112">
        <v>1</v>
      </c>
      <c r="F112">
        <v>1</v>
      </c>
      <c r="G112">
        <v>1080</v>
      </c>
      <c r="H112">
        <v>3</v>
      </c>
      <c r="I112" t="s">
        <v>432</v>
      </c>
      <c r="J112" t="s">
        <v>433</v>
      </c>
      <c r="K112" t="s">
        <v>434</v>
      </c>
      <c r="L112">
        <v>1356</v>
      </c>
      <c r="N112">
        <v>1010</v>
      </c>
      <c r="O112" t="s">
        <v>266</v>
      </c>
      <c r="P112" t="s">
        <v>266</v>
      </c>
      <c r="Q112">
        <v>1000</v>
      </c>
      <c r="X112">
        <v>3.1E-2</v>
      </c>
      <c r="Y112">
        <v>226.66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</v>
      </c>
      <c r="AG112">
        <v>3.1E-2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">
      <c r="A113">
        <f>ROW(Source!A148)</f>
        <v>148</v>
      </c>
      <c r="B113">
        <v>58753891</v>
      </c>
      <c r="C113">
        <v>56502578</v>
      </c>
      <c r="D113">
        <v>57687918</v>
      </c>
      <c r="E113">
        <v>1</v>
      </c>
      <c r="F113">
        <v>1</v>
      </c>
      <c r="G113">
        <v>1080</v>
      </c>
      <c r="H113">
        <v>3</v>
      </c>
      <c r="I113" t="s">
        <v>435</v>
      </c>
      <c r="J113" t="s">
        <v>436</v>
      </c>
      <c r="K113" t="s">
        <v>437</v>
      </c>
      <c r="L113">
        <v>1355</v>
      </c>
      <c r="N113">
        <v>1010</v>
      </c>
      <c r="O113" t="s">
        <v>186</v>
      </c>
      <c r="P113" t="s">
        <v>186</v>
      </c>
      <c r="Q113">
        <v>100</v>
      </c>
      <c r="X113">
        <v>0.315</v>
      </c>
      <c r="Y113">
        <v>26.71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3</v>
      </c>
      <c r="AG113">
        <v>0.315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">
      <c r="A114">
        <f>ROW(Source!A148)</f>
        <v>148</v>
      </c>
      <c r="B114">
        <v>58753892</v>
      </c>
      <c r="C114">
        <v>56502578</v>
      </c>
      <c r="D114">
        <v>57674774</v>
      </c>
      <c r="E114">
        <v>1</v>
      </c>
      <c r="F114">
        <v>1</v>
      </c>
      <c r="G114">
        <v>1080</v>
      </c>
      <c r="H114">
        <v>3</v>
      </c>
      <c r="I114" t="s">
        <v>438</v>
      </c>
      <c r="J114" t="s">
        <v>439</v>
      </c>
      <c r="K114" t="s">
        <v>440</v>
      </c>
      <c r="L114">
        <v>1354</v>
      </c>
      <c r="N114">
        <v>1010</v>
      </c>
      <c r="O114" t="s">
        <v>32</v>
      </c>
      <c r="P114" t="s">
        <v>32</v>
      </c>
      <c r="Q114">
        <v>1</v>
      </c>
      <c r="X114">
        <v>0.28000000000000003</v>
      </c>
      <c r="Y114">
        <v>14.22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</v>
      </c>
      <c r="AG114">
        <v>0.28000000000000003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">
      <c r="A115">
        <f>ROW(Source!A148)</f>
        <v>148</v>
      </c>
      <c r="B115">
        <v>58753893</v>
      </c>
      <c r="C115">
        <v>56502578</v>
      </c>
      <c r="D115">
        <v>57631310</v>
      </c>
      <c r="E115">
        <v>1080</v>
      </c>
      <c r="F115">
        <v>1</v>
      </c>
      <c r="G115">
        <v>1080</v>
      </c>
      <c r="H115">
        <v>3</v>
      </c>
      <c r="I115" t="s">
        <v>441</v>
      </c>
      <c r="J115" t="s">
        <v>3</v>
      </c>
      <c r="K115" t="s">
        <v>442</v>
      </c>
      <c r="L115">
        <v>1301</v>
      </c>
      <c r="N115">
        <v>1003</v>
      </c>
      <c r="O115" t="s">
        <v>296</v>
      </c>
      <c r="P115" t="s">
        <v>296</v>
      </c>
      <c r="Q115">
        <v>1</v>
      </c>
      <c r="X115">
        <v>102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</v>
      </c>
      <c r="AG115">
        <v>102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">
      <c r="A116">
        <f>ROW(Source!A148)</f>
        <v>148</v>
      </c>
      <c r="B116">
        <v>58753894</v>
      </c>
      <c r="C116">
        <v>56502578</v>
      </c>
      <c r="D116">
        <v>57636388</v>
      </c>
      <c r="E116">
        <v>1080</v>
      </c>
      <c r="F116">
        <v>1</v>
      </c>
      <c r="G116">
        <v>1080</v>
      </c>
      <c r="H116">
        <v>3</v>
      </c>
      <c r="I116" t="s">
        <v>443</v>
      </c>
      <c r="J116" t="s">
        <v>3</v>
      </c>
      <c r="K116" t="s">
        <v>444</v>
      </c>
      <c r="L116">
        <v>1356</v>
      </c>
      <c r="N116">
        <v>1010</v>
      </c>
      <c r="O116" t="s">
        <v>266</v>
      </c>
      <c r="P116" t="s">
        <v>266</v>
      </c>
      <c r="Q116">
        <v>1000</v>
      </c>
      <c r="X116">
        <v>0.23799999999999999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0.23799999999999999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">
      <c r="A117">
        <f>ROW(Source!A148)</f>
        <v>148</v>
      </c>
      <c r="B117">
        <v>58753895</v>
      </c>
      <c r="C117">
        <v>56502578</v>
      </c>
      <c r="D117">
        <v>57641879</v>
      </c>
      <c r="E117">
        <v>1080</v>
      </c>
      <c r="F117">
        <v>1</v>
      </c>
      <c r="G117">
        <v>1080</v>
      </c>
      <c r="H117">
        <v>3</v>
      </c>
      <c r="I117" t="s">
        <v>445</v>
      </c>
      <c r="J117" t="s">
        <v>3</v>
      </c>
      <c r="K117" t="s">
        <v>446</v>
      </c>
      <c r="L117">
        <v>1303</v>
      </c>
      <c r="N117">
        <v>1003</v>
      </c>
      <c r="O117" t="s">
        <v>271</v>
      </c>
      <c r="P117" t="s">
        <v>271</v>
      </c>
      <c r="Q117">
        <v>1000</v>
      </c>
      <c r="X117">
        <v>0.10199999999999999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3</v>
      </c>
      <c r="AG117">
        <v>0.10199999999999999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">
      <c r="A118">
        <f>ROW(Source!A148)</f>
        <v>148</v>
      </c>
      <c r="B118">
        <v>58753896</v>
      </c>
      <c r="C118">
        <v>56502578</v>
      </c>
      <c r="D118">
        <v>57652106</v>
      </c>
      <c r="E118">
        <v>1080</v>
      </c>
      <c r="F118">
        <v>1</v>
      </c>
      <c r="G118">
        <v>1080</v>
      </c>
      <c r="H118">
        <v>3</v>
      </c>
      <c r="I118" t="s">
        <v>447</v>
      </c>
      <c r="J118" t="s">
        <v>3</v>
      </c>
      <c r="K118" t="s">
        <v>448</v>
      </c>
      <c r="L118">
        <v>1355</v>
      </c>
      <c r="N118">
        <v>1010</v>
      </c>
      <c r="O118" t="s">
        <v>186</v>
      </c>
      <c r="P118" t="s">
        <v>186</v>
      </c>
      <c r="Q118">
        <v>100</v>
      </c>
      <c r="X118">
        <v>2.36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3</v>
      </c>
      <c r="AG118">
        <v>2.36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">
      <c r="A119">
        <f>ROW(Source!A165)</f>
        <v>165</v>
      </c>
      <c r="B119">
        <v>58753897</v>
      </c>
      <c r="C119">
        <v>56502745</v>
      </c>
      <c r="D119">
        <v>57621905</v>
      </c>
      <c r="E119">
        <v>1080</v>
      </c>
      <c r="F119">
        <v>1</v>
      </c>
      <c r="G119">
        <v>1080</v>
      </c>
      <c r="H119">
        <v>1</v>
      </c>
      <c r="I119" t="s">
        <v>355</v>
      </c>
      <c r="J119" t="s">
        <v>3</v>
      </c>
      <c r="K119" t="s">
        <v>356</v>
      </c>
      <c r="L119">
        <v>1191</v>
      </c>
      <c r="N119">
        <v>1013</v>
      </c>
      <c r="O119" t="s">
        <v>357</v>
      </c>
      <c r="P119" t="s">
        <v>357</v>
      </c>
      <c r="Q119">
        <v>1</v>
      </c>
      <c r="X119">
        <v>20.7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 t="s">
        <v>24</v>
      </c>
      <c r="AG119">
        <v>22.77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">
      <c r="A120">
        <f>ROW(Source!A165)</f>
        <v>165</v>
      </c>
      <c r="B120">
        <v>58753898</v>
      </c>
      <c r="C120">
        <v>56502745</v>
      </c>
      <c r="D120">
        <v>57695780</v>
      </c>
      <c r="E120">
        <v>1</v>
      </c>
      <c r="F120">
        <v>1</v>
      </c>
      <c r="G120">
        <v>1080</v>
      </c>
      <c r="H120">
        <v>2</v>
      </c>
      <c r="I120" t="s">
        <v>449</v>
      </c>
      <c r="J120" t="s">
        <v>450</v>
      </c>
      <c r="K120" t="s">
        <v>451</v>
      </c>
      <c r="L120">
        <v>1368</v>
      </c>
      <c r="N120">
        <v>1011</v>
      </c>
      <c r="O120" t="s">
        <v>373</v>
      </c>
      <c r="P120" t="s">
        <v>373</v>
      </c>
      <c r="Q120">
        <v>1</v>
      </c>
      <c r="X120">
        <v>2.33</v>
      </c>
      <c r="Y120">
        <v>0</v>
      </c>
      <c r="Z120">
        <v>7.11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24</v>
      </c>
      <c r="AG120">
        <v>2.5630000000000002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">
      <c r="A121">
        <f>ROW(Source!A165)</f>
        <v>165</v>
      </c>
      <c r="B121">
        <v>58753899</v>
      </c>
      <c r="C121">
        <v>56502745</v>
      </c>
      <c r="D121">
        <v>57696079</v>
      </c>
      <c r="E121">
        <v>1</v>
      </c>
      <c r="F121">
        <v>1</v>
      </c>
      <c r="G121">
        <v>1080</v>
      </c>
      <c r="H121">
        <v>2</v>
      </c>
      <c r="I121" t="s">
        <v>370</v>
      </c>
      <c r="J121" t="s">
        <v>371</v>
      </c>
      <c r="K121" t="s">
        <v>372</v>
      </c>
      <c r="L121">
        <v>1368</v>
      </c>
      <c r="N121">
        <v>1011</v>
      </c>
      <c r="O121" t="s">
        <v>373</v>
      </c>
      <c r="P121" t="s">
        <v>373</v>
      </c>
      <c r="Q121">
        <v>1</v>
      </c>
      <c r="X121">
        <v>0.1</v>
      </c>
      <c r="Y121">
        <v>0</v>
      </c>
      <c r="Z121">
        <v>83.1</v>
      </c>
      <c r="AA121">
        <v>12.62</v>
      </c>
      <c r="AB121">
        <v>0</v>
      </c>
      <c r="AC121">
        <v>0</v>
      </c>
      <c r="AD121">
        <v>1</v>
      </c>
      <c r="AE121">
        <v>0</v>
      </c>
      <c r="AF121" t="s">
        <v>24</v>
      </c>
      <c r="AG121">
        <v>0.11000000000000001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>
        <f>ROW(Source!A165)</f>
        <v>165</v>
      </c>
      <c r="B122">
        <v>58753900</v>
      </c>
      <c r="C122">
        <v>56502745</v>
      </c>
      <c r="D122">
        <v>57696131</v>
      </c>
      <c r="E122">
        <v>1</v>
      </c>
      <c r="F122">
        <v>1</v>
      </c>
      <c r="G122">
        <v>1080</v>
      </c>
      <c r="H122">
        <v>2</v>
      </c>
      <c r="I122" t="s">
        <v>429</v>
      </c>
      <c r="J122" t="s">
        <v>430</v>
      </c>
      <c r="K122" t="s">
        <v>431</v>
      </c>
      <c r="L122">
        <v>1368</v>
      </c>
      <c r="N122">
        <v>1011</v>
      </c>
      <c r="O122" t="s">
        <v>373</v>
      </c>
      <c r="P122" t="s">
        <v>373</v>
      </c>
      <c r="Q122">
        <v>1</v>
      </c>
      <c r="X122">
        <v>4.17</v>
      </c>
      <c r="Y122">
        <v>0</v>
      </c>
      <c r="Z122">
        <v>0.77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24</v>
      </c>
      <c r="AG122">
        <v>4.5870000000000006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">
      <c r="A123">
        <f>ROW(Source!A165)</f>
        <v>165</v>
      </c>
      <c r="B123">
        <v>58753901</v>
      </c>
      <c r="C123">
        <v>56502745</v>
      </c>
      <c r="D123">
        <v>57665459</v>
      </c>
      <c r="E123">
        <v>1</v>
      </c>
      <c r="F123">
        <v>1</v>
      </c>
      <c r="G123">
        <v>1080</v>
      </c>
      <c r="H123">
        <v>3</v>
      </c>
      <c r="I123" t="s">
        <v>452</v>
      </c>
      <c r="J123" t="s">
        <v>453</v>
      </c>
      <c r="K123" t="s">
        <v>454</v>
      </c>
      <c r="L123">
        <v>1348</v>
      </c>
      <c r="N123">
        <v>1009</v>
      </c>
      <c r="O123" t="s">
        <v>364</v>
      </c>
      <c r="P123" t="s">
        <v>364</v>
      </c>
      <c r="Q123">
        <v>1000</v>
      </c>
      <c r="X123">
        <v>9.6000000000000002E-4</v>
      </c>
      <c r="Y123">
        <v>8590.86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9.6000000000000002E-4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">
      <c r="A124">
        <f>ROW(Source!A165)</f>
        <v>165</v>
      </c>
      <c r="B124">
        <v>58753902</v>
      </c>
      <c r="C124">
        <v>56502745</v>
      </c>
      <c r="D124">
        <v>57664417</v>
      </c>
      <c r="E124">
        <v>1</v>
      </c>
      <c r="F124">
        <v>1</v>
      </c>
      <c r="G124">
        <v>1080</v>
      </c>
      <c r="H124">
        <v>3</v>
      </c>
      <c r="I124" t="s">
        <v>455</v>
      </c>
      <c r="J124" t="s">
        <v>456</v>
      </c>
      <c r="K124" t="s">
        <v>457</v>
      </c>
      <c r="L124">
        <v>1354</v>
      </c>
      <c r="N124">
        <v>1010</v>
      </c>
      <c r="O124" t="s">
        <v>32</v>
      </c>
      <c r="P124" t="s">
        <v>32</v>
      </c>
      <c r="Q124">
        <v>1</v>
      </c>
      <c r="X124">
        <v>220</v>
      </c>
      <c r="Y124">
        <v>3.86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220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">
      <c r="A125">
        <f>ROW(Source!A165)</f>
        <v>165</v>
      </c>
      <c r="B125">
        <v>58753903</v>
      </c>
      <c r="C125">
        <v>56502745</v>
      </c>
      <c r="D125">
        <v>57666737</v>
      </c>
      <c r="E125">
        <v>1</v>
      </c>
      <c r="F125">
        <v>1</v>
      </c>
      <c r="G125">
        <v>1080</v>
      </c>
      <c r="H125">
        <v>3</v>
      </c>
      <c r="I125" t="s">
        <v>458</v>
      </c>
      <c r="J125" t="s">
        <v>459</v>
      </c>
      <c r="K125" t="s">
        <v>460</v>
      </c>
      <c r="L125">
        <v>1296</v>
      </c>
      <c r="N125">
        <v>1002</v>
      </c>
      <c r="O125" t="s">
        <v>461</v>
      </c>
      <c r="P125" t="s">
        <v>461</v>
      </c>
      <c r="Q125">
        <v>1</v>
      </c>
      <c r="X125">
        <v>0.157</v>
      </c>
      <c r="Y125">
        <v>35.4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0.157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">
      <c r="A126">
        <f>ROW(Source!A165)</f>
        <v>165</v>
      </c>
      <c r="B126">
        <v>58753904</v>
      </c>
      <c r="C126">
        <v>56502745</v>
      </c>
      <c r="D126">
        <v>57664894</v>
      </c>
      <c r="E126">
        <v>1</v>
      </c>
      <c r="F126">
        <v>1</v>
      </c>
      <c r="G126">
        <v>1080</v>
      </c>
      <c r="H126">
        <v>3</v>
      </c>
      <c r="I126" t="s">
        <v>462</v>
      </c>
      <c r="J126" t="s">
        <v>463</v>
      </c>
      <c r="K126" t="s">
        <v>464</v>
      </c>
      <c r="L126">
        <v>1348</v>
      </c>
      <c r="N126">
        <v>1009</v>
      </c>
      <c r="O126" t="s">
        <v>364</v>
      </c>
      <c r="P126" t="s">
        <v>364</v>
      </c>
      <c r="Q126">
        <v>1000</v>
      </c>
      <c r="X126">
        <v>2.0999999999999999E-3</v>
      </c>
      <c r="Y126">
        <v>7973.67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2.0999999999999999E-3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">
      <c r="A127">
        <f>ROW(Source!A165)</f>
        <v>165</v>
      </c>
      <c r="B127">
        <v>58753905</v>
      </c>
      <c r="C127">
        <v>56502745</v>
      </c>
      <c r="D127">
        <v>57688464</v>
      </c>
      <c r="E127">
        <v>1</v>
      </c>
      <c r="F127">
        <v>1</v>
      </c>
      <c r="G127">
        <v>1080</v>
      </c>
      <c r="H127">
        <v>3</v>
      </c>
      <c r="I127" t="s">
        <v>465</v>
      </c>
      <c r="J127" t="s">
        <v>466</v>
      </c>
      <c r="K127" t="s">
        <v>467</v>
      </c>
      <c r="L127">
        <v>1358</v>
      </c>
      <c r="N127">
        <v>1010</v>
      </c>
      <c r="O127" t="s">
        <v>428</v>
      </c>
      <c r="P127" t="s">
        <v>428</v>
      </c>
      <c r="Q127">
        <v>10</v>
      </c>
      <c r="X127">
        <v>0.01</v>
      </c>
      <c r="Y127">
        <v>5.46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0.01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">
      <c r="A128">
        <f>ROW(Source!A165)</f>
        <v>165</v>
      </c>
      <c r="B128">
        <v>58753906</v>
      </c>
      <c r="C128">
        <v>56502745</v>
      </c>
      <c r="D128">
        <v>57687873</v>
      </c>
      <c r="E128">
        <v>1</v>
      </c>
      <c r="F128">
        <v>1</v>
      </c>
      <c r="G128">
        <v>1080</v>
      </c>
      <c r="H128">
        <v>3</v>
      </c>
      <c r="I128" t="s">
        <v>299</v>
      </c>
      <c r="J128" t="s">
        <v>301</v>
      </c>
      <c r="K128" t="s">
        <v>300</v>
      </c>
      <c r="L128">
        <v>1356</v>
      </c>
      <c r="N128">
        <v>1010</v>
      </c>
      <c r="O128" t="s">
        <v>266</v>
      </c>
      <c r="P128" t="s">
        <v>266</v>
      </c>
      <c r="Q128">
        <v>1000</v>
      </c>
      <c r="X128">
        <v>0.11</v>
      </c>
      <c r="Y128">
        <v>919.92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0.11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3">
      <c r="A129">
        <f>ROW(Source!A165)</f>
        <v>165</v>
      </c>
      <c r="B129">
        <v>58753907</v>
      </c>
      <c r="C129">
        <v>56502745</v>
      </c>
      <c r="D129">
        <v>57631403</v>
      </c>
      <c r="E129">
        <v>1080</v>
      </c>
      <c r="F129">
        <v>1</v>
      </c>
      <c r="G129">
        <v>1080</v>
      </c>
      <c r="H129">
        <v>3</v>
      </c>
      <c r="I129" t="s">
        <v>468</v>
      </c>
      <c r="J129" t="s">
        <v>3</v>
      </c>
      <c r="K129" t="s">
        <v>469</v>
      </c>
      <c r="L129">
        <v>1301</v>
      </c>
      <c r="N129">
        <v>1003</v>
      </c>
      <c r="O129" t="s">
        <v>296</v>
      </c>
      <c r="P129" t="s">
        <v>296</v>
      </c>
      <c r="Q129">
        <v>1</v>
      </c>
      <c r="X129">
        <v>102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3</v>
      </c>
      <c r="AG129">
        <v>102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>
        <f>ROW(Source!A165)</f>
        <v>165</v>
      </c>
      <c r="B130">
        <v>58753908</v>
      </c>
      <c r="C130">
        <v>56502745</v>
      </c>
      <c r="D130">
        <v>57635042</v>
      </c>
      <c r="E130">
        <v>1080</v>
      </c>
      <c r="F130">
        <v>1</v>
      </c>
      <c r="G130">
        <v>1080</v>
      </c>
      <c r="H130">
        <v>3</v>
      </c>
      <c r="I130" t="s">
        <v>470</v>
      </c>
      <c r="J130" t="s">
        <v>3</v>
      </c>
      <c r="K130" t="s">
        <v>471</v>
      </c>
      <c r="L130">
        <v>1354</v>
      </c>
      <c r="N130">
        <v>1010</v>
      </c>
      <c r="O130" t="s">
        <v>32</v>
      </c>
      <c r="P130" t="s">
        <v>32</v>
      </c>
      <c r="Q130">
        <v>1</v>
      </c>
      <c r="X130">
        <v>18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</v>
      </c>
      <c r="AG130">
        <v>18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">
      <c r="A131">
        <f>ROW(Source!A165)</f>
        <v>165</v>
      </c>
      <c r="B131">
        <v>58753909</v>
      </c>
      <c r="C131">
        <v>56502745</v>
      </c>
      <c r="D131">
        <v>57635054</v>
      </c>
      <c r="E131">
        <v>1080</v>
      </c>
      <c r="F131">
        <v>1</v>
      </c>
      <c r="G131">
        <v>1080</v>
      </c>
      <c r="H131">
        <v>3</v>
      </c>
      <c r="I131" t="s">
        <v>472</v>
      </c>
      <c r="J131" t="s">
        <v>3</v>
      </c>
      <c r="K131" t="s">
        <v>473</v>
      </c>
      <c r="L131">
        <v>1356</v>
      </c>
      <c r="N131">
        <v>1010</v>
      </c>
      <c r="O131" t="s">
        <v>266</v>
      </c>
      <c r="P131" t="s">
        <v>266</v>
      </c>
      <c r="Q131">
        <v>1000</v>
      </c>
      <c r="X131">
        <v>1.7999999999999999E-2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</v>
      </c>
      <c r="AG131">
        <v>1.7999999999999999E-2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">
      <c r="A132">
        <f>ROW(Source!A165)</f>
        <v>165</v>
      </c>
      <c r="B132">
        <v>58753910</v>
      </c>
      <c r="C132">
        <v>56502745</v>
      </c>
      <c r="D132">
        <v>57637110</v>
      </c>
      <c r="E132">
        <v>1080</v>
      </c>
      <c r="F132">
        <v>1</v>
      </c>
      <c r="G132">
        <v>1080</v>
      </c>
      <c r="H132">
        <v>3</v>
      </c>
      <c r="I132" t="s">
        <v>474</v>
      </c>
      <c r="J132" t="s">
        <v>3</v>
      </c>
      <c r="K132" t="s">
        <v>475</v>
      </c>
      <c r="L132">
        <v>1354</v>
      </c>
      <c r="N132">
        <v>1010</v>
      </c>
      <c r="O132" t="s">
        <v>32</v>
      </c>
      <c r="P132" t="s">
        <v>32</v>
      </c>
      <c r="Q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3</v>
      </c>
      <c r="AG132">
        <v>0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">
      <c r="A133">
        <f>ROW(Source!A166)</f>
        <v>166</v>
      </c>
      <c r="B133">
        <v>58753897</v>
      </c>
      <c r="C133">
        <v>56502745</v>
      </c>
      <c r="D133">
        <v>57621905</v>
      </c>
      <c r="E133">
        <v>1080</v>
      </c>
      <c r="F133">
        <v>1</v>
      </c>
      <c r="G133">
        <v>1080</v>
      </c>
      <c r="H133">
        <v>1</v>
      </c>
      <c r="I133" t="s">
        <v>355</v>
      </c>
      <c r="J133" t="s">
        <v>3</v>
      </c>
      <c r="K133" t="s">
        <v>356</v>
      </c>
      <c r="L133">
        <v>1191</v>
      </c>
      <c r="N133">
        <v>1013</v>
      </c>
      <c r="O133" t="s">
        <v>357</v>
      </c>
      <c r="P133" t="s">
        <v>357</v>
      </c>
      <c r="Q133">
        <v>1</v>
      </c>
      <c r="X133">
        <v>20.7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</v>
      </c>
      <c r="AG133">
        <v>22.77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3">
      <c r="A134">
        <f>ROW(Source!A166)</f>
        <v>166</v>
      </c>
      <c r="B134">
        <v>58753898</v>
      </c>
      <c r="C134">
        <v>56502745</v>
      </c>
      <c r="D134">
        <v>57695780</v>
      </c>
      <c r="E134">
        <v>1</v>
      </c>
      <c r="F134">
        <v>1</v>
      </c>
      <c r="G134">
        <v>1080</v>
      </c>
      <c r="H134">
        <v>2</v>
      </c>
      <c r="I134" t="s">
        <v>449</v>
      </c>
      <c r="J134" t="s">
        <v>450</v>
      </c>
      <c r="K134" t="s">
        <v>451</v>
      </c>
      <c r="L134">
        <v>1368</v>
      </c>
      <c r="N134">
        <v>1011</v>
      </c>
      <c r="O134" t="s">
        <v>373</v>
      </c>
      <c r="P134" t="s">
        <v>373</v>
      </c>
      <c r="Q134">
        <v>1</v>
      </c>
      <c r="X134">
        <v>2.33</v>
      </c>
      <c r="Y134">
        <v>0</v>
      </c>
      <c r="Z134">
        <v>7.11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24</v>
      </c>
      <c r="AG134">
        <v>2.5630000000000002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">
      <c r="A135">
        <f>ROW(Source!A166)</f>
        <v>166</v>
      </c>
      <c r="B135">
        <v>58753899</v>
      </c>
      <c r="C135">
        <v>56502745</v>
      </c>
      <c r="D135">
        <v>57696079</v>
      </c>
      <c r="E135">
        <v>1</v>
      </c>
      <c r="F135">
        <v>1</v>
      </c>
      <c r="G135">
        <v>1080</v>
      </c>
      <c r="H135">
        <v>2</v>
      </c>
      <c r="I135" t="s">
        <v>370</v>
      </c>
      <c r="J135" t="s">
        <v>371</v>
      </c>
      <c r="K135" t="s">
        <v>372</v>
      </c>
      <c r="L135">
        <v>1368</v>
      </c>
      <c r="N135">
        <v>1011</v>
      </c>
      <c r="O135" t="s">
        <v>373</v>
      </c>
      <c r="P135" t="s">
        <v>373</v>
      </c>
      <c r="Q135">
        <v>1</v>
      </c>
      <c r="X135">
        <v>0.1</v>
      </c>
      <c r="Y135">
        <v>0</v>
      </c>
      <c r="Z135">
        <v>83.1</v>
      </c>
      <c r="AA135">
        <v>12.62</v>
      </c>
      <c r="AB135">
        <v>0</v>
      </c>
      <c r="AC135">
        <v>0</v>
      </c>
      <c r="AD135">
        <v>1</v>
      </c>
      <c r="AE135">
        <v>0</v>
      </c>
      <c r="AF135" t="s">
        <v>24</v>
      </c>
      <c r="AG135">
        <v>0.11000000000000001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">
      <c r="A136">
        <f>ROW(Source!A166)</f>
        <v>166</v>
      </c>
      <c r="B136">
        <v>58753900</v>
      </c>
      <c r="C136">
        <v>56502745</v>
      </c>
      <c r="D136">
        <v>57696131</v>
      </c>
      <c r="E136">
        <v>1</v>
      </c>
      <c r="F136">
        <v>1</v>
      </c>
      <c r="G136">
        <v>1080</v>
      </c>
      <c r="H136">
        <v>2</v>
      </c>
      <c r="I136" t="s">
        <v>429</v>
      </c>
      <c r="J136" t="s">
        <v>430</v>
      </c>
      <c r="K136" t="s">
        <v>431</v>
      </c>
      <c r="L136">
        <v>1368</v>
      </c>
      <c r="N136">
        <v>1011</v>
      </c>
      <c r="O136" t="s">
        <v>373</v>
      </c>
      <c r="P136" t="s">
        <v>373</v>
      </c>
      <c r="Q136">
        <v>1</v>
      </c>
      <c r="X136">
        <v>4.17</v>
      </c>
      <c r="Y136">
        <v>0</v>
      </c>
      <c r="Z136">
        <v>0.77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24</v>
      </c>
      <c r="AG136">
        <v>4.5870000000000006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">
      <c r="A137">
        <f>ROW(Source!A166)</f>
        <v>166</v>
      </c>
      <c r="B137">
        <v>58753901</v>
      </c>
      <c r="C137">
        <v>56502745</v>
      </c>
      <c r="D137">
        <v>57665459</v>
      </c>
      <c r="E137">
        <v>1</v>
      </c>
      <c r="F137">
        <v>1</v>
      </c>
      <c r="G137">
        <v>1080</v>
      </c>
      <c r="H137">
        <v>3</v>
      </c>
      <c r="I137" t="s">
        <v>452</v>
      </c>
      <c r="J137" t="s">
        <v>453</v>
      </c>
      <c r="K137" t="s">
        <v>454</v>
      </c>
      <c r="L137">
        <v>1348</v>
      </c>
      <c r="N137">
        <v>1009</v>
      </c>
      <c r="O137" t="s">
        <v>364</v>
      </c>
      <c r="P137" t="s">
        <v>364</v>
      </c>
      <c r="Q137">
        <v>1000</v>
      </c>
      <c r="X137">
        <v>9.6000000000000002E-4</v>
      </c>
      <c r="Y137">
        <v>8590.86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9.6000000000000002E-4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3">
      <c r="A138">
        <f>ROW(Source!A166)</f>
        <v>166</v>
      </c>
      <c r="B138">
        <v>58753902</v>
      </c>
      <c r="C138">
        <v>56502745</v>
      </c>
      <c r="D138">
        <v>57664417</v>
      </c>
      <c r="E138">
        <v>1</v>
      </c>
      <c r="F138">
        <v>1</v>
      </c>
      <c r="G138">
        <v>1080</v>
      </c>
      <c r="H138">
        <v>3</v>
      </c>
      <c r="I138" t="s">
        <v>455</v>
      </c>
      <c r="J138" t="s">
        <v>456</v>
      </c>
      <c r="K138" t="s">
        <v>457</v>
      </c>
      <c r="L138">
        <v>1354</v>
      </c>
      <c r="N138">
        <v>1010</v>
      </c>
      <c r="O138" t="s">
        <v>32</v>
      </c>
      <c r="P138" t="s">
        <v>32</v>
      </c>
      <c r="Q138">
        <v>1</v>
      </c>
      <c r="X138">
        <v>220</v>
      </c>
      <c r="Y138">
        <v>3.86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220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">
      <c r="A139">
        <f>ROW(Source!A166)</f>
        <v>166</v>
      </c>
      <c r="B139">
        <v>58753903</v>
      </c>
      <c r="C139">
        <v>56502745</v>
      </c>
      <c r="D139">
        <v>57666737</v>
      </c>
      <c r="E139">
        <v>1</v>
      </c>
      <c r="F139">
        <v>1</v>
      </c>
      <c r="G139">
        <v>1080</v>
      </c>
      <c r="H139">
        <v>3</v>
      </c>
      <c r="I139" t="s">
        <v>458</v>
      </c>
      <c r="J139" t="s">
        <v>459</v>
      </c>
      <c r="K139" t="s">
        <v>460</v>
      </c>
      <c r="L139">
        <v>1296</v>
      </c>
      <c r="N139">
        <v>1002</v>
      </c>
      <c r="O139" t="s">
        <v>461</v>
      </c>
      <c r="P139" t="s">
        <v>461</v>
      </c>
      <c r="Q139">
        <v>1</v>
      </c>
      <c r="X139">
        <v>0.157</v>
      </c>
      <c r="Y139">
        <v>35.4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0.157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3">
      <c r="A140">
        <f>ROW(Source!A166)</f>
        <v>166</v>
      </c>
      <c r="B140">
        <v>58753904</v>
      </c>
      <c r="C140">
        <v>56502745</v>
      </c>
      <c r="D140">
        <v>57664894</v>
      </c>
      <c r="E140">
        <v>1</v>
      </c>
      <c r="F140">
        <v>1</v>
      </c>
      <c r="G140">
        <v>1080</v>
      </c>
      <c r="H140">
        <v>3</v>
      </c>
      <c r="I140" t="s">
        <v>462</v>
      </c>
      <c r="J140" t="s">
        <v>463</v>
      </c>
      <c r="K140" t="s">
        <v>464</v>
      </c>
      <c r="L140">
        <v>1348</v>
      </c>
      <c r="N140">
        <v>1009</v>
      </c>
      <c r="O140" t="s">
        <v>364</v>
      </c>
      <c r="P140" t="s">
        <v>364</v>
      </c>
      <c r="Q140">
        <v>1000</v>
      </c>
      <c r="X140">
        <v>2.0999999999999999E-3</v>
      </c>
      <c r="Y140">
        <v>7973.67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2.0999999999999999E-3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">
      <c r="A141">
        <f>ROW(Source!A166)</f>
        <v>166</v>
      </c>
      <c r="B141">
        <v>58753905</v>
      </c>
      <c r="C141">
        <v>56502745</v>
      </c>
      <c r="D141">
        <v>57688464</v>
      </c>
      <c r="E141">
        <v>1</v>
      </c>
      <c r="F141">
        <v>1</v>
      </c>
      <c r="G141">
        <v>1080</v>
      </c>
      <c r="H141">
        <v>3</v>
      </c>
      <c r="I141" t="s">
        <v>465</v>
      </c>
      <c r="J141" t="s">
        <v>466</v>
      </c>
      <c r="K141" t="s">
        <v>467</v>
      </c>
      <c r="L141">
        <v>1358</v>
      </c>
      <c r="N141">
        <v>1010</v>
      </c>
      <c r="O141" t="s">
        <v>428</v>
      </c>
      <c r="P141" t="s">
        <v>428</v>
      </c>
      <c r="Q141">
        <v>10</v>
      </c>
      <c r="X141">
        <v>0.01</v>
      </c>
      <c r="Y141">
        <v>5.46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0.01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">
      <c r="A142">
        <f>ROW(Source!A166)</f>
        <v>166</v>
      </c>
      <c r="B142">
        <v>58753906</v>
      </c>
      <c r="C142">
        <v>56502745</v>
      </c>
      <c r="D142">
        <v>57687873</v>
      </c>
      <c r="E142">
        <v>1</v>
      </c>
      <c r="F142">
        <v>1</v>
      </c>
      <c r="G142">
        <v>1080</v>
      </c>
      <c r="H142">
        <v>3</v>
      </c>
      <c r="I142" t="s">
        <v>299</v>
      </c>
      <c r="J142" t="s">
        <v>301</v>
      </c>
      <c r="K142" t="s">
        <v>300</v>
      </c>
      <c r="L142">
        <v>1356</v>
      </c>
      <c r="N142">
        <v>1010</v>
      </c>
      <c r="O142" t="s">
        <v>266</v>
      </c>
      <c r="P142" t="s">
        <v>266</v>
      </c>
      <c r="Q142">
        <v>1000</v>
      </c>
      <c r="X142">
        <v>0.11</v>
      </c>
      <c r="Y142">
        <v>919.92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0.11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">
      <c r="A143">
        <f>ROW(Source!A166)</f>
        <v>166</v>
      </c>
      <c r="B143">
        <v>58753907</v>
      </c>
      <c r="C143">
        <v>56502745</v>
      </c>
      <c r="D143">
        <v>57631403</v>
      </c>
      <c r="E143">
        <v>1080</v>
      </c>
      <c r="F143">
        <v>1</v>
      </c>
      <c r="G143">
        <v>1080</v>
      </c>
      <c r="H143">
        <v>3</v>
      </c>
      <c r="I143" t="s">
        <v>468</v>
      </c>
      <c r="J143" t="s">
        <v>3</v>
      </c>
      <c r="K143" t="s">
        <v>469</v>
      </c>
      <c r="L143">
        <v>1301</v>
      </c>
      <c r="N143">
        <v>1003</v>
      </c>
      <c r="O143" t="s">
        <v>296</v>
      </c>
      <c r="P143" t="s">
        <v>296</v>
      </c>
      <c r="Q143">
        <v>1</v>
      </c>
      <c r="X143">
        <v>102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3</v>
      </c>
      <c r="AG143">
        <v>102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">
      <c r="A144">
        <f>ROW(Source!A166)</f>
        <v>166</v>
      </c>
      <c r="B144">
        <v>58753908</v>
      </c>
      <c r="C144">
        <v>56502745</v>
      </c>
      <c r="D144">
        <v>57635042</v>
      </c>
      <c r="E144">
        <v>1080</v>
      </c>
      <c r="F144">
        <v>1</v>
      </c>
      <c r="G144">
        <v>1080</v>
      </c>
      <c r="H144">
        <v>3</v>
      </c>
      <c r="I144" t="s">
        <v>470</v>
      </c>
      <c r="J144" t="s">
        <v>3</v>
      </c>
      <c r="K144" t="s">
        <v>471</v>
      </c>
      <c r="L144">
        <v>1354</v>
      </c>
      <c r="N144">
        <v>1010</v>
      </c>
      <c r="O144" t="s">
        <v>32</v>
      </c>
      <c r="P144" t="s">
        <v>32</v>
      </c>
      <c r="Q144">
        <v>1</v>
      </c>
      <c r="X144">
        <v>18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</v>
      </c>
      <c r="AG144">
        <v>18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">
      <c r="A145">
        <f>ROW(Source!A166)</f>
        <v>166</v>
      </c>
      <c r="B145">
        <v>58753909</v>
      </c>
      <c r="C145">
        <v>56502745</v>
      </c>
      <c r="D145">
        <v>57635054</v>
      </c>
      <c r="E145">
        <v>1080</v>
      </c>
      <c r="F145">
        <v>1</v>
      </c>
      <c r="G145">
        <v>1080</v>
      </c>
      <c r="H145">
        <v>3</v>
      </c>
      <c r="I145" t="s">
        <v>472</v>
      </c>
      <c r="J145" t="s">
        <v>3</v>
      </c>
      <c r="K145" t="s">
        <v>473</v>
      </c>
      <c r="L145">
        <v>1356</v>
      </c>
      <c r="N145">
        <v>1010</v>
      </c>
      <c r="O145" t="s">
        <v>266</v>
      </c>
      <c r="P145" t="s">
        <v>266</v>
      </c>
      <c r="Q145">
        <v>1000</v>
      </c>
      <c r="X145">
        <v>1.7999999999999999E-2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3</v>
      </c>
      <c r="AG145">
        <v>1.7999999999999999E-2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">
      <c r="A146">
        <f>ROW(Source!A166)</f>
        <v>166</v>
      </c>
      <c r="B146">
        <v>58753910</v>
      </c>
      <c r="C146">
        <v>56502745</v>
      </c>
      <c r="D146">
        <v>57637110</v>
      </c>
      <c r="E146">
        <v>1080</v>
      </c>
      <c r="F146">
        <v>1</v>
      </c>
      <c r="G146">
        <v>1080</v>
      </c>
      <c r="H146">
        <v>3</v>
      </c>
      <c r="I146" t="s">
        <v>474</v>
      </c>
      <c r="J146" t="s">
        <v>3</v>
      </c>
      <c r="K146" t="s">
        <v>475</v>
      </c>
      <c r="L146">
        <v>1354</v>
      </c>
      <c r="N146">
        <v>1010</v>
      </c>
      <c r="O146" t="s">
        <v>32</v>
      </c>
      <c r="P146" t="s">
        <v>32</v>
      </c>
      <c r="Q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3</v>
      </c>
      <c r="AG146">
        <v>0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">
      <c r="A147">
        <f>ROW(Source!A173)</f>
        <v>173</v>
      </c>
      <c r="B147">
        <v>58753911</v>
      </c>
      <c r="C147">
        <v>56502608</v>
      </c>
      <c r="D147">
        <v>57621905</v>
      </c>
      <c r="E147">
        <v>1080</v>
      </c>
      <c r="F147">
        <v>1</v>
      </c>
      <c r="G147">
        <v>1080</v>
      </c>
      <c r="H147">
        <v>1</v>
      </c>
      <c r="I147" t="s">
        <v>355</v>
      </c>
      <c r="J147" t="s">
        <v>3</v>
      </c>
      <c r="K147" t="s">
        <v>356</v>
      </c>
      <c r="L147">
        <v>1191</v>
      </c>
      <c r="N147">
        <v>1013</v>
      </c>
      <c r="O147" t="s">
        <v>357</v>
      </c>
      <c r="P147" t="s">
        <v>357</v>
      </c>
      <c r="Q147">
        <v>1</v>
      </c>
      <c r="X147">
        <v>69.3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24</v>
      </c>
      <c r="AG147">
        <v>76.23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">
      <c r="A148">
        <f>ROW(Source!A173)</f>
        <v>173</v>
      </c>
      <c r="B148">
        <v>58753912</v>
      </c>
      <c r="C148">
        <v>56502608</v>
      </c>
      <c r="D148">
        <v>57696131</v>
      </c>
      <c r="E148">
        <v>1</v>
      </c>
      <c r="F148">
        <v>1</v>
      </c>
      <c r="G148">
        <v>1080</v>
      </c>
      <c r="H148">
        <v>2</v>
      </c>
      <c r="I148" t="s">
        <v>429</v>
      </c>
      <c r="J148" t="s">
        <v>430</v>
      </c>
      <c r="K148" t="s">
        <v>431</v>
      </c>
      <c r="L148">
        <v>1368</v>
      </c>
      <c r="N148">
        <v>1011</v>
      </c>
      <c r="O148" t="s">
        <v>373</v>
      </c>
      <c r="P148" t="s">
        <v>373</v>
      </c>
      <c r="Q148">
        <v>1</v>
      </c>
      <c r="X148">
        <v>2.09</v>
      </c>
      <c r="Y148">
        <v>0</v>
      </c>
      <c r="Z148">
        <v>0.77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24</v>
      </c>
      <c r="AG148">
        <v>2.2989999999999999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">
      <c r="A149">
        <f>ROW(Source!A173)</f>
        <v>173</v>
      </c>
      <c r="B149">
        <v>58753913</v>
      </c>
      <c r="C149">
        <v>56502608</v>
      </c>
      <c r="D149">
        <v>57696164</v>
      </c>
      <c r="E149">
        <v>1</v>
      </c>
      <c r="F149">
        <v>1</v>
      </c>
      <c r="G149">
        <v>1080</v>
      </c>
      <c r="H149">
        <v>2</v>
      </c>
      <c r="I149" t="s">
        <v>396</v>
      </c>
      <c r="J149" t="s">
        <v>397</v>
      </c>
      <c r="K149" t="s">
        <v>398</v>
      </c>
      <c r="L149">
        <v>1368</v>
      </c>
      <c r="N149">
        <v>1011</v>
      </c>
      <c r="O149" t="s">
        <v>373</v>
      </c>
      <c r="P149" t="s">
        <v>373</v>
      </c>
      <c r="Q149">
        <v>1</v>
      </c>
      <c r="X149">
        <v>9.4700000000000006</v>
      </c>
      <c r="Y149">
        <v>0</v>
      </c>
      <c r="Z149">
        <v>0.47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24</v>
      </c>
      <c r="AG149">
        <v>10.417000000000002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">
      <c r="A150">
        <f>ROW(Source!A173)</f>
        <v>173</v>
      </c>
      <c r="B150">
        <v>58753914</v>
      </c>
      <c r="C150">
        <v>56502608</v>
      </c>
      <c r="D150">
        <v>57674774</v>
      </c>
      <c r="E150">
        <v>1</v>
      </c>
      <c r="F150">
        <v>1</v>
      </c>
      <c r="G150">
        <v>1080</v>
      </c>
      <c r="H150">
        <v>3</v>
      </c>
      <c r="I150" t="s">
        <v>438</v>
      </c>
      <c r="J150" t="s">
        <v>439</v>
      </c>
      <c r="K150" t="s">
        <v>440</v>
      </c>
      <c r="L150">
        <v>1354</v>
      </c>
      <c r="N150">
        <v>1010</v>
      </c>
      <c r="O150" t="s">
        <v>32</v>
      </c>
      <c r="P150" t="s">
        <v>32</v>
      </c>
      <c r="Q150">
        <v>1</v>
      </c>
      <c r="X150">
        <v>0.24</v>
      </c>
      <c r="Y150">
        <v>14.22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0.24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">
      <c r="A151">
        <f>ROW(Source!A173)</f>
        <v>173</v>
      </c>
      <c r="B151">
        <v>58753915</v>
      </c>
      <c r="C151">
        <v>56502608</v>
      </c>
      <c r="D151">
        <v>57634472</v>
      </c>
      <c r="E151">
        <v>1080</v>
      </c>
      <c r="F151">
        <v>1</v>
      </c>
      <c r="G151">
        <v>1080</v>
      </c>
      <c r="H151">
        <v>3</v>
      </c>
      <c r="I151" t="s">
        <v>476</v>
      </c>
      <c r="J151" t="s">
        <v>3</v>
      </c>
      <c r="K151" t="s">
        <v>477</v>
      </c>
      <c r="L151">
        <v>1354</v>
      </c>
      <c r="N151">
        <v>1010</v>
      </c>
      <c r="O151" t="s">
        <v>32</v>
      </c>
      <c r="P151" t="s">
        <v>32</v>
      </c>
      <c r="Q151">
        <v>1</v>
      </c>
      <c r="X151">
        <v>102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</v>
      </c>
      <c r="AG151">
        <v>102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">
      <c r="A152">
        <f>ROW(Source!A173)</f>
        <v>173</v>
      </c>
      <c r="B152">
        <v>58753916</v>
      </c>
      <c r="C152">
        <v>56502608</v>
      </c>
      <c r="D152">
        <v>57652106</v>
      </c>
      <c r="E152">
        <v>1080</v>
      </c>
      <c r="F152">
        <v>1</v>
      </c>
      <c r="G152">
        <v>1080</v>
      </c>
      <c r="H152">
        <v>3</v>
      </c>
      <c r="I152" t="s">
        <v>447</v>
      </c>
      <c r="J152" t="s">
        <v>3</v>
      </c>
      <c r="K152" t="s">
        <v>448</v>
      </c>
      <c r="L152">
        <v>1355</v>
      </c>
      <c r="N152">
        <v>1010</v>
      </c>
      <c r="O152" t="s">
        <v>186</v>
      </c>
      <c r="P152" t="s">
        <v>186</v>
      </c>
      <c r="Q152">
        <v>100</v>
      </c>
      <c r="X152">
        <v>2.02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</v>
      </c>
      <c r="AG152">
        <v>2.02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">
      <c r="A153">
        <f>ROW(Source!A174)</f>
        <v>174</v>
      </c>
      <c r="B153">
        <v>58753911</v>
      </c>
      <c r="C153">
        <v>56502608</v>
      </c>
      <c r="D153">
        <v>57621905</v>
      </c>
      <c r="E153">
        <v>1080</v>
      </c>
      <c r="F153">
        <v>1</v>
      </c>
      <c r="G153">
        <v>1080</v>
      </c>
      <c r="H153">
        <v>1</v>
      </c>
      <c r="I153" t="s">
        <v>355</v>
      </c>
      <c r="J153" t="s">
        <v>3</v>
      </c>
      <c r="K153" t="s">
        <v>356</v>
      </c>
      <c r="L153">
        <v>1191</v>
      </c>
      <c r="N153">
        <v>1013</v>
      </c>
      <c r="O153" t="s">
        <v>357</v>
      </c>
      <c r="P153" t="s">
        <v>357</v>
      </c>
      <c r="Q153">
        <v>1</v>
      </c>
      <c r="X153">
        <v>69.3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24</v>
      </c>
      <c r="AG153">
        <v>76.23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">
      <c r="A154">
        <f>ROW(Source!A174)</f>
        <v>174</v>
      </c>
      <c r="B154">
        <v>58753912</v>
      </c>
      <c r="C154">
        <v>56502608</v>
      </c>
      <c r="D154">
        <v>57696131</v>
      </c>
      <c r="E154">
        <v>1</v>
      </c>
      <c r="F154">
        <v>1</v>
      </c>
      <c r="G154">
        <v>1080</v>
      </c>
      <c r="H154">
        <v>2</v>
      </c>
      <c r="I154" t="s">
        <v>429</v>
      </c>
      <c r="J154" t="s">
        <v>430</v>
      </c>
      <c r="K154" t="s">
        <v>431</v>
      </c>
      <c r="L154">
        <v>1368</v>
      </c>
      <c r="N154">
        <v>1011</v>
      </c>
      <c r="O154" t="s">
        <v>373</v>
      </c>
      <c r="P154" t="s">
        <v>373</v>
      </c>
      <c r="Q154">
        <v>1</v>
      </c>
      <c r="X154">
        <v>2.09</v>
      </c>
      <c r="Y154">
        <v>0</v>
      </c>
      <c r="Z154">
        <v>0.77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24</v>
      </c>
      <c r="AG154">
        <v>2.2989999999999999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">
      <c r="A155">
        <f>ROW(Source!A174)</f>
        <v>174</v>
      </c>
      <c r="B155">
        <v>58753913</v>
      </c>
      <c r="C155">
        <v>56502608</v>
      </c>
      <c r="D155">
        <v>57696164</v>
      </c>
      <c r="E155">
        <v>1</v>
      </c>
      <c r="F155">
        <v>1</v>
      </c>
      <c r="G155">
        <v>1080</v>
      </c>
      <c r="H155">
        <v>2</v>
      </c>
      <c r="I155" t="s">
        <v>396</v>
      </c>
      <c r="J155" t="s">
        <v>397</v>
      </c>
      <c r="K155" t="s">
        <v>398</v>
      </c>
      <c r="L155">
        <v>1368</v>
      </c>
      <c r="N155">
        <v>1011</v>
      </c>
      <c r="O155" t="s">
        <v>373</v>
      </c>
      <c r="P155" t="s">
        <v>373</v>
      </c>
      <c r="Q155">
        <v>1</v>
      </c>
      <c r="X155">
        <v>9.4700000000000006</v>
      </c>
      <c r="Y155">
        <v>0</v>
      </c>
      <c r="Z155">
        <v>0.47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24</v>
      </c>
      <c r="AG155">
        <v>10.417000000000002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3">
      <c r="A156">
        <f>ROW(Source!A174)</f>
        <v>174</v>
      </c>
      <c r="B156">
        <v>58753914</v>
      </c>
      <c r="C156">
        <v>56502608</v>
      </c>
      <c r="D156">
        <v>57674774</v>
      </c>
      <c r="E156">
        <v>1</v>
      </c>
      <c r="F156">
        <v>1</v>
      </c>
      <c r="G156">
        <v>1080</v>
      </c>
      <c r="H156">
        <v>3</v>
      </c>
      <c r="I156" t="s">
        <v>438</v>
      </c>
      <c r="J156" t="s">
        <v>439</v>
      </c>
      <c r="K156" t="s">
        <v>440</v>
      </c>
      <c r="L156">
        <v>1354</v>
      </c>
      <c r="N156">
        <v>1010</v>
      </c>
      <c r="O156" t="s">
        <v>32</v>
      </c>
      <c r="P156" t="s">
        <v>32</v>
      </c>
      <c r="Q156">
        <v>1</v>
      </c>
      <c r="X156">
        <v>0.24</v>
      </c>
      <c r="Y156">
        <v>14.22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0.24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">
      <c r="A157">
        <f>ROW(Source!A174)</f>
        <v>174</v>
      </c>
      <c r="B157">
        <v>58753915</v>
      </c>
      <c r="C157">
        <v>56502608</v>
      </c>
      <c r="D157">
        <v>57634472</v>
      </c>
      <c r="E157">
        <v>1080</v>
      </c>
      <c r="F157">
        <v>1</v>
      </c>
      <c r="G157">
        <v>1080</v>
      </c>
      <c r="H157">
        <v>3</v>
      </c>
      <c r="I157" t="s">
        <v>476</v>
      </c>
      <c r="J157" t="s">
        <v>3</v>
      </c>
      <c r="K157" t="s">
        <v>477</v>
      </c>
      <c r="L157">
        <v>1354</v>
      </c>
      <c r="N157">
        <v>1010</v>
      </c>
      <c r="O157" t="s">
        <v>32</v>
      </c>
      <c r="P157" t="s">
        <v>32</v>
      </c>
      <c r="Q157">
        <v>1</v>
      </c>
      <c r="X157">
        <v>102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</v>
      </c>
      <c r="AG157">
        <v>102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">
      <c r="A158">
        <f>ROW(Source!A174)</f>
        <v>174</v>
      </c>
      <c r="B158">
        <v>58753916</v>
      </c>
      <c r="C158">
        <v>56502608</v>
      </c>
      <c r="D158">
        <v>57652106</v>
      </c>
      <c r="E158">
        <v>1080</v>
      </c>
      <c r="F158">
        <v>1</v>
      </c>
      <c r="G158">
        <v>1080</v>
      </c>
      <c r="H158">
        <v>3</v>
      </c>
      <c r="I158" t="s">
        <v>447</v>
      </c>
      <c r="J158" t="s">
        <v>3</v>
      </c>
      <c r="K158" t="s">
        <v>448</v>
      </c>
      <c r="L158">
        <v>1355</v>
      </c>
      <c r="N158">
        <v>1010</v>
      </c>
      <c r="O158" t="s">
        <v>186</v>
      </c>
      <c r="P158" t="s">
        <v>186</v>
      </c>
      <c r="Q158">
        <v>100</v>
      </c>
      <c r="X158">
        <v>2.02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</v>
      </c>
      <c r="AG158">
        <v>2.02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3">
      <c r="A159">
        <f>ROW(Source!A179)</f>
        <v>179</v>
      </c>
      <c r="B159">
        <v>58753917</v>
      </c>
      <c r="C159">
        <v>56502617</v>
      </c>
      <c r="D159">
        <v>57621905</v>
      </c>
      <c r="E159">
        <v>1080</v>
      </c>
      <c r="F159">
        <v>1</v>
      </c>
      <c r="G159">
        <v>1080</v>
      </c>
      <c r="H159">
        <v>1</v>
      </c>
      <c r="I159" t="s">
        <v>355</v>
      </c>
      <c r="J159" t="s">
        <v>3</v>
      </c>
      <c r="K159" t="s">
        <v>356</v>
      </c>
      <c r="L159">
        <v>1191</v>
      </c>
      <c r="N159">
        <v>1013</v>
      </c>
      <c r="O159" t="s">
        <v>357</v>
      </c>
      <c r="P159" t="s">
        <v>357</v>
      </c>
      <c r="Q159">
        <v>1</v>
      </c>
      <c r="X159">
        <v>12.96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24</v>
      </c>
      <c r="AG159">
        <v>14.256000000000002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3">
      <c r="A160">
        <f>ROW(Source!A180)</f>
        <v>180</v>
      </c>
      <c r="B160">
        <v>58753917</v>
      </c>
      <c r="C160">
        <v>56502617</v>
      </c>
      <c r="D160">
        <v>57621905</v>
      </c>
      <c r="E160">
        <v>1080</v>
      </c>
      <c r="F160">
        <v>1</v>
      </c>
      <c r="G160">
        <v>1080</v>
      </c>
      <c r="H160">
        <v>1</v>
      </c>
      <c r="I160" t="s">
        <v>355</v>
      </c>
      <c r="J160" t="s">
        <v>3</v>
      </c>
      <c r="K160" t="s">
        <v>356</v>
      </c>
      <c r="L160">
        <v>1191</v>
      </c>
      <c r="N160">
        <v>1013</v>
      </c>
      <c r="O160" t="s">
        <v>357</v>
      </c>
      <c r="P160" t="s">
        <v>357</v>
      </c>
      <c r="Q160">
        <v>1</v>
      </c>
      <c r="X160">
        <v>12.96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 t="s">
        <v>24</v>
      </c>
      <c r="AG160">
        <v>14.256000000000002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">
      <c r="A161">
        <f>ROW(Source!A216)</f>
        <v>216</v>
      </c>
      <c r="B161">
        <v>58753918</v>
      </c>
      <c r="C161">
        <v>56502794</v>
      </c>
      <c r="D161">
        <v>57621905</v>
      </c>
      <c r="E161">
        <v>1080</v>
      </c>
      <c r="F161">
        <v>1</v>
      </c>
      <c r="G161">
        <v>1080</v>
      </c>
      <c r="H161">
        <v>1</v>
      </c>
      <c r="I161" t="s">
        <v>355</v>
      </c>
      <c r="J161" t="s">
        <v>3</v>
      </c>
      <c r="K161" t="s">
        <v>356</v>
      </c>
      <c r="L161">
        <v>1191</v>
      </c>
      <c r="N161">
        <v>1013</v>
      </c>
      <c r="O161" t="s">
        <v>357</v>
      </c>
      <c r="P161" t="s">
        <v>357</v>
      </c>
      <c r="Q161">
        <v>1</v>
      </c>
      <c r="X161">
        <v>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24</v>
      </c>
      <c r="AG161">
        <v>7.7000000000000011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">
      <c r="A162">
        <f>ROW(Source!A216)</f>
        <v>216</v>
      </c>
      <c r="B162">
        <v>58753919</v>
      </c>
      <c r="C162">
        <v>56502794</v>
      </c>
      <c r="D162">
        <v>57664872</v>
      </c>
      <c r="E162">
        <v>1</v>
      </c>
      <c r="F162">
        <v>1</v>
      </c>
      <c r="G162">
        <v>1080</v>
      </c>
      <c r="H162">
        <v>3</v>
      </c>
      <c r="I162" t="s">
        <v>361</v>
      </c>
      <c r="J162" t="s">
        <v>362</v>
      </c>
      <c r="K162" t="s">
        <v>363</v>
      </c>
      <c r="L162">
        <v>1348</v>
      </c>
      <c r="N162">
        <v>1009</v>
      </c>
      <c r="O162" t="s">
        <v>364</v>
      </c>
      <c r="P162" t="s">
        <v>364</v>
      </c>
      <c r="Q162">
        <v>1000</v>
      </c>
      <c r="X162">
        <v>1.2E-5</v>
      </c>
      <c r="Y162">
        <v>64123.05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1.2E-5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">
      <c r="A163">
        <f>ROW(Source!A216)</f>
        <v>216</v>
      </c>
      <c r="B163">
        <v>58753920</v>
      </c>
      <c r="C163">
        <v>56502794</v>
      </c>
      <c r="D163">
        <v>57671359</v>
      </c>
      <c r="E163">
        <v>1</v>
      </c>
      <c r="F163">
        <v>1</v>
      </c>
      <c r="G163">
        <v>1080</v>
      </c>
      <c r="H163">
        <v>3</v>
      </c>
      <c r="I163" t="s">
        <v>478</v>
      </c>
      <c r="J163" t="s">
        <v>479</v>
      </c>
      <c r="K163" t="s">
        <v>480</v>
      </c>
      <c r="L163">
        <v>1349</v>
      </c>
      <c r="N163">
        <v>1009</v>
      </c>
      <c r="O163" t="s">
        <v>481</v>
      </c>
      <c r="P163" t="s">
        <v>481</v>
      </c>
      <c r="Q163">
        <v>1E-3</v>
      </c>
      <c r="X163">
        <v>2</v>
      </c>
      <c r="Y163">
        <v>7.0000000000000007E-2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2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3">
      <c r="A164">
        <f>ROW(Source!A216)</f>
        <v>216</v>
      </c>
      <c r="B164">
        <v>58753921</v>
      </c>
      <c r="C164">
        <v>56502794</v>
      </c>
      <c r="D164">
        <v>57688174</v>
      </c>
      <c r="E164">
        <v>1</v>
      </c>
      <c r="F164">
        <v>1</v>
      </c>
      <c r="G164">
        <v>1080</v>
      </c>
      <c r="H164">
        <v>3</v>
      </c>
      <c r="I164" t="s">
        <v>404</v>
      </c>
      <c r="J164" t="s">
        <v>405</v>
      </c>
      <c r="K164" t="s">
        <v>406</v>
      </c>
      <c r="L164">
        <v>1346</v>
      </c>
      <c r="N164">
        <v>1009</v>
      </c>
      <c r="O164" t="s">
        <v>305</v>
      </c>
      <c r="P164" t="s">
        <v>305</v>
      </c>
      <c r="Q164">
        <v>1</v>
      </c>
      <c r="X164">
        <v>6.0000000000000001E-3</v>
      </c>
      <c r="Y164">
        <v>493.08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6.0000000000000001E-3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">
      <c r="A165">
        <f>ROW(Source!A216)</f>
        <v>216</v>
      </c>
      <c r="B165">
        <v>58753922</v>
      </c>
      <c r="C165">
        <v>56502794</v>
      </c>
      <c r="D165">
        <v>57693812</v>
      </c>
      <c r="E165">
        <v>1</v>
      </c>
      <c r="F165">
        <v>1</v>
      </c>
      <c r="G165">
        <v>1080</v>
      </c>
      <c r="H165">
        <v>3</v>
      </c>
      <c r="I165" t="s">
        <v>376</v>
      </c>
      <c r="J165" t="s">
        <v>377</v>
      </c>
      <c r="K165" t="s">
        <v>378</v>
      </c>
      <c r="L165">
        <v>1303</v>
      </c>
      <c r="N165">
        <v>1003</v>
      </c>
      <c r="O165" t="s">
        <v>271</v>
      </c>
      <c r="P165" t="s">
        <v>271</v>
      </c>
      <c r="Q165">
        <v>1000</v>
      </c>
      <c r="X165">
        <v>0.06</v>
      </c>
      <c r="Y165">
        <v>516.63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</v>
      </c>
      <c r="AG165">
        <v>0.06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">
      <c r="A166">
        <f>ROW(Source!A216)</f>
        <v>216</v>
      </c>
      <c r="B166">
        <v>58753923</v>
      </c>
      <c r="C166">
        <v>56502794</v>
      </c>
      <c r="D166">
        <v>57652389</v>
      </c>
      <c r="E166">
        <v>1080</v>
      </c>
      <c r="F166">
        <v>1</v>
      </c>
      <c r="G166">
        <v>1080</v>
      </c>
      <c r="H166">
        <v>3</v>
      </c>
      <c r="I166" t="s">
        <v>482</v>
      </c>
      <c r="J166" t="s">
        <v>3</v>
      </c>
      <c r="K166" t="s">
        <v>483</v>
      </c>
      <c r="L166">
        <v>1346</v>
      </c>
      <c r="N166">
        <v>1009</v>
      </c>
      <c r="O166" t="s">
        <v>305</v>
      </c>
      <c r="P166" t="s">
        <v>305</v>
      </c>
      <c r="Q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</v>
      </c>
      <c r="AG166">
        <v>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">
      <c r="A167">
        <f>ROW(Source!A216)</f>
        <v>216</v>
      </c>
      <c r="B167">
        <v>58753924</v>
      </c>
      <c r="C167">
        <v>56502794</v>
      </c>
      <c r="D167">
        <v>57652447</v>
      </c>
      <c r="E167">
        <v>1080</v>
      </c>
      <c r="F167">
        <v>1</v>
      </c>
      <c r="G167">
        <v>1080</v>
      </c>
      <c r="H167">
        <v>3</v>
      </c>
      <c r="I167" t="s">
        <v>484</v>
      </c>
      <c r="J167" t="s">
        <v>3</v>
      </c>
      <c r="K167" t="s">
        <v>485</v>
      </c>
      <c r="L167">
        <v>1354</v>
      </c>
      <c r="N167">
        <v>1010</v>
      </c>
      <c r="O167" t="s">
        <v>32</v>
      </c>
      <c r="P167" t="s">
        <v>32</v>
      </c>
      <c r="Q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</v>
      </c>
      <c r="AG167">
        <v>1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">
      <c r="A168">
        <f>ROW(Source!A217)</f>
        <v>217</v>
      </c>
      <c r="B168">
        <v>58753918</v>
      </c>
      <c r="C168">
        <v>56502794</v>
      </c>
      <c r="D168">
        <v>57621905</v>
      </c>
      <c r="E168">
        <v>1080</v>
      </c>
      <c r="F168">
        <v>1</v>
      </c>
      <c r="G168">
        <v>1080</v>
      </c>
      <c r="H168">
        <v>1</v>
      </c>
      <c r="I168" t="s">
        <v>355</v>
      </c>
      <c r="J168" t="s">
        <v>3</v>
      </c>
      <c r="K168" t="s">
        <v>356</v>
      </c>
      <c r="L168">
        <v>1191</v>
      </c>
      <c r="N168">
        <v>1013</v>
      </c>
      <c r="O168" t="s">
        <v>357</v>
      </c>
      <c r="P168" t="s">
        <v>357</v>
      </c>
      <c r="Q168">
        <v>1</v>
      </c>
      <c r="X168">
        <v>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 t="s">
        <v>24</v>
      </c>
      <c r="AG168">
        <v>7.7000000000000011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">
      <c r="A169">
        <f>ROW(Source!A217)</f>
        <v>217</v>
      </c>
      <c r="B169">
        <v>58753919</v>
      </c>
      <c r="C169">
        <v>56502794</v>
      </c>
      <c r="D169">
        <v>57664872</v>
      </c>
      <c r="E169">
        <v>1</v>
      </c>
      <c r="F169">
        <v>1</v>
      </c>
      <c r="G169">
        <v>1080</v>
      </c>
      <c r="H169">
        <v>3</v>
      </c>
      <c r="I169" t="s">
        <v>361</v>
      </c>
      <c r="J169" t="s">
        <v>362</v>
      </c>
      <c r="K169" t="s">
        <v>363</v>
      </c>
      <c r="L169">
        <v>1348</v>
      </c>
      <c r="N169">
        <v>1009</v>
      </c>
      <c r="O169" t="s">
        <v>364</v>
      </c>
      <c r="P169" t="s">
        <v>364</v>
      </c>
      <c r="Q169">
        <v>1000</v>
      </c>
      <c r="X169">
        <v>1.2E-5</v>
      </c>
      <c r="Y169">
        <v>64123.05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1.2E-5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">
      <c r="A170">
        <f>ROW(Source!A217)</f>
        <v>217</v>
      </c>
      <c r="B170">
        <v>58753920</v>
      </c>
      <c r="C170">
        <v>56502794</v>
      </c>
      <c r="D170">
        <v>57671359</v>
      </c>
      <c r="E170">
        <v>1</v>
      </c>
      <c r="F170">
        <v>1</v>
      </c>
      <c r="G170">
        <v>1080</v>
      </c>
      <c r="H170">
        <v>3</v>
      </c>
      <c r="I170" t="s">
        <v>478</v>
      </c>
      <c r="J170" t="s">
        <v>479</v>
      </c>
      <c r="K170" t="s">
        <v>480</v>
      </c>
      <c r="L170">
        <v>1349</v>
      </c>
      <c r="N170">
        <v>1009</v>
      </c>
      <c r="O170" t="s">
        <v>481</v>
      </c>
      <c r="P170" t="s">
        <v>481</v>
      </c>
      <c r="Q170">
        <v>1E-3</v>
      </c>
      <c r="X170">
        <v>2</v>
      </c>
      <c r="Y170">
        <v>7.0000000000000007E-2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2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">
      <c r="A171">
        <f>ROW(Source!A217)</f>
        <v>217</v>
      </c>
      <c r="B171">
        <v>58753921</v>
      </c>
      <c r="C171">
        <v>56502794</v>
      </c>
      <c r="D171">
        <v>57688174</v>
      </c>
      <c r="E171">
        <v>1</v>
      </c>
      <c r="F171">
        <v>1</v>
      </c>
      <c r="G171">
        <v>1080</v>
      </c>
      <c r="H171">
        <v>3</v>
      </c>
      <c r="I171" t="s">
        <v>404</v>
      </c>
      <c r="J171" t="s">
        <v>405</v>
      </c>
      <c r="K171" t="s">
        <v>406</v>
      </c>
      <c r="L171">
        <v>1346</v>
      </c>
      <c r="N171">
        <v>1009</v>
      </c>
      <c r="O171" t="s">
        <v>305</v>
      </c>
      <c r="P171" t="s">
        <v>305</v>
      </c>
      <c r="Q171">
        <v>1</v>
      </c>
      <c r="X171">
        <v>6.0000000000000001E-3</v>
      </c>
      <c r="Y171">
        <v>493.08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6.0000000000000001E-3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">
      <c r="A172">
        <f>ROW(Source!A217)</f>
        <v>217</v>
      </c>
      <c r="B172">
        <v>58753922</v>
      </c>
      <c r="C172">
        <v>56502794</v>
      </c>
      <c r="D172">
        <v>57693812</v>
      </c>
      <c r="E172">
        <v>1</v>
      </c>
      <c r="F172">
        <v>1</v>
      </c>
      <c r="G172">
        <v>1080</v>
      </c>
      <c r="H172">
        <v>3</v>
      </c>
      <c r="I172" t="s">
        <v>376</v>
      </c>
      <c r="J172" t="s">
        <v>377</v>
      </c>
      <c r="K172" t="s">
        <v>378</v>
      </c>
      <c r="L172">
        <v>1303</v>
      </c>
      <c r="N172">
        <v>1003</v>
      </c>
      <c r="O172" t="s">
        <v>271</v>
      </c>
      <c r="P172" t="s">
        <v>271</v>
      </c>
      <c r="Q172">
        <v>1000</v>
      </c>
      <c r="X172">
        <v>0.06</v>
      </c>
      <c r="Y172">
        <v>516.63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0.06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">
      <c r="A173">
        <f>ROW(Source!A217)</f>
        <v>217</v>
      </c>
      <c r="B173">
        <v>58753923</v>
      </c>
      <c r="C173">
        <v>56502794</v>
      </c>
      <c r="D173">
        <v>57652389</v>
      </c>
      <c r="E173">
        <v>1080</v>
      </c>
      <c r="F173">
        <v>1</v>
      </c>
      <c r="G173">
        <v>1080</v>
      </c>
      <c r="H173">
        <v>3</v>
      </c>
      <c r="I173" t="s">
        <v>482</v>
      </c>
      <c r="J173" t="s">
        <v>3</v>
      </c>
      <c r="K173" t="s">
        <v>483</v>
      </c>
      <c r="L173">
        <v>1346</v>
      </c>
      <c r="N173">
        <v>1009</v>
      </c>
      <c r="O173" t="s">
        <v>305</v>
      </c>
      <c r="P173" t="s">
        <v>305</v>
      </c>
      <c r="Q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</v>
      </c>
      <c r="AG173">
        <v>0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>
        <f>ROW(Source!A217)</f>
        <v>217</v>
      </c>
      <c r="B174">
        <v>58753924</v>
      </c>
      <c r="C174">
        <v>56502794</v>
      </c>
      <c r="D174">
        <v>57652447</v>
      </c>
      <c r="E174">
        <v>1080</v>
      </c>
      <c r="F174">
        <v>1</v>
      </c>
      <c r="G174">
        <v>1080</v>
      </c>
      <c r="H174">
        <v>3</v>
      </c>
      <c r="I174" t="s">
        <v>484</v>
      </c>
      <c r="J174" t="s">
        <v>3</v>
      </c>
      <c r="K174" t="s">
        <v>485</v>
      </c>
      <c r="L174">
        <v>1354</v>
      </c>
      <c r="N174">
        <v>1010</v>
      </c>
      <c r="O174" t="s">
        <v>32</v>
      </c>
      <c r="P174" t="s">
        <v>32</v>
      </c>
      <c r="Q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</v>
      </c>
      <c r="AG174">
        <v>1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">
      <c r="A175">
        <f>ROW(Source!A222)</f>
        <v>222</v>
      </c>
      <c r="B175">
        <v>58753925</v>
      </c>
      <c r="C175">
        <v>56502843</v>
      </c>
      <c r="D175">
        <v>57621905</v>
      </c>
      <c r="E175">
        <v>1080</v>
      </c>
      <c r="F175">
        <v>1</v>
      </c>
      <c r="G175">
        <v>1080</v>
      </c>
      <c r="H175">
        <v>1</v>
      </c>
      <c r="I175" t="s">
        <v>355</v>
      </c>
      <c r="J175" t="s">
        <v>3</v>
      </c>
      <c r="K175" t="s">
        <v>356</v>
      </c>
      <c r="L175">
        <v>1191</v>
      </c>
      <c r="N175">
        <v>1013</v>
      </c>
      <c r="O175" t="s">
        <v>357</v>
      </c>
      <c r="P175" t="s">
        <v>357</v>
      </c>
      <c r="Q175">
        <v>1</v>
      </c>
      <c r="X175">
        <v>1.36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24</v>
      </c>
      <c r="AG175">
        <v>1.4960000000000002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3">
      <c r="A176">
        <f>ROW(Source!A222)</f>
        <v>222</v>
      </c>
      <c r="B176">
        <v>58753926</v>
      </c>
      <c r="C176">
        <v>56502843</v>
      </c>
      <c r="D176">
        <v>57696198</v>
      </c>
      <c r="E176">
        <v>1</v>
      </c>
      <c r="F176">
        <v>1</v>
      </c>
      <c r="G176">
        <v>1080</v>
      </c>
      <c r="H176">
        <v>2</v>
      </c>
      <c r="I176" t="s">
        <v>393</v>
      </c>
      <c r="J176" t="s">
        <v>394</v>
      </c>
      <c r="K176" t="s">
        <v>395</v>
      </c>
      <c r="L176">
        <v>1368</v>
      </c>
      <c r="N176">
        <v>1011</v>
      </c>
      <c r="O176" t="s">
        <v>373</v>
      </c>
      <c r="P176" t="s">
        <v>373</v>
      </c>
      <c r="Q176">
        <v>1</v>
      </c>
      <c r="X176">
        <v>1.7000000000000001E-2</v>
      </c>
      <c r="Y176">
        <v>0</v>
      </c>
      <c r="Z176">
        <v>0.8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24</v>
      </c>
      <c r="AG176">
        <v>1.8700000000000001E-2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">
      <c r="A177">
        <f>ROW(Source!A222)</f>
        <v>222</v>
      </c>
      <c r="B177">
        <v>58753927</v>
      </c>
      <c r="C177">
        <v>56502843</v>
      </c>
      <c r="D177">
        <v>57696164</v>
      </c>
      <c r="E177">
        <v>1</v>
      </c>
      <c r="F177">
        <v>1</v>
      </c>
      <c r="G177">
        <v>1080</v>
      </c>
      <c r="H177">
        <v>2</v>
      </c>
      <c r="I177" t="s">
        <v>396</v>
      </c>
      <c r="J177" t="s">
        <v>397</v>
      </c>
      <c r="K177" t="s">
        <v>398</v>
      </c>
      <c r="L177">
        <v>1368</v>
      </c>
      <c r="N177">
        <v>1011</v>
      </c>
      <c r="O177" t="s">
        <v>373</v>
      </c>
      <c r="P177" t="s">
        <v>373</v>
      </c>
      <c r="Q177">
        <v>1</v>
      </c>
      <c r="X177">
        <v>0.02</v>
      </c>
      <c r="Y177">
        <v>0</v>
      </c>
      <c r="Z177">
        <v>0.47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24</v>
      </c>
      <c r="AG177">
        <v>2.2000000000000002E-2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">
      <c r="A178">
        <f>ROW(Source!A222)</f>
        <v>222</v>
      </c>
      <c r="B178">
        <v>58753928</v>
      </c>
      <c r="C178">
        <v>56502843</v>
      </c>
      <c r="D178">
        <v>57666153</v>
      </c>
      <c r="E178">
        <v>1</v>
      </c>
      <c r="F178">
        <v>1</v>
      </c>
      <c r="G178">
        <v>1080</v>
      </c>
      <c r="H178">
        <v>3</v>
      </c>
      <c r="I178" t="s">
        <v>358</v>
      </c>
      <c r="J178" t="s">
        <v>359</v>
      </c>
      <c r="K178" t="s">
        <v>360</v>
      </c>
      <c r="L178">
        <v>1346</v>
      </c>
      <c r="N178">
        <v>1009</v>
      </c>
      <c r="O178" t="s">
        <v>305</v>
      </c>
      <c r="P178" t="s">
        <v>305</v>
      </c>
      <c r="Q178">
        <v>1</v>
      </c>
      <c r="X178">
        <v>6.2700000000000004E-3</v>
      </c>
      <c r="Y178">
        <v>27.62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</v>
      </c>
      <c r="AG178">
        <v>6.2700000000000004E-3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">
      <c r="A179">
        <f>ROW(Source!A222)</f>
        <v>222</v>
      </c>
      <c r="B179">
        <v>58753929</v>
      </c>
      <c r="C179">
        <v>56502843</v>
      </c>
      <c r="D179">
        <v>57664872</v>
      </c>
      <c r="E179">
        <v>1</v>
      </c>
      <c r="F179">
        <v>1</v>
      </c>
      <c r="G179">
        <v>1080</v>
      </c>
      <c r="H179">
        <v>3</v>
      </c>
      <c r="I179" t="s">
        <v>361</v>
      </c>
      <c r="J179" t="s">
        <v>362</v>
      </c>
      <c r="K179" t="s">
        <v>363</v>
      </c>
      <c r="L179">
        <v>1348</v>
      </c>
      <c r="N179">
        <v>1009</v>
      </c>
      <c r="O179" t="s">
        <v>364</v>
      </c>
      <c r="P179" t="s">
        <v>364</v>
      </c>
      <c r="Q179">
        <v>1000</v>
      </c>
      <c r="X179">
        <v>1.0000000000000001E-5</v>
      </c>
      <c r="Y179">
        <v>64123.05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</v>
      </c>
      <c r="AG179">
        <v>1.0000000000000001E-5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">
      <c r="A180">
        <f>ROW(Source!A222)</f>
        <v>222</v>
      </c>
      <c r="B180">
        <v>58753930</v>
      </c>
      <c r="C180">
        <v>56502843</v>
      </c>
      <c r="D180">
        <v>57674764</v>
      </c>
      <c r="E180">
        <v>1</v>
      </c>
      <c r="F180">
        <v>1</v>
      </c>
      <c r="G180">
        <v>1080</v>
      </c>
      <c r="H180">
        <v>3</v>
      </c>
      <c r="I180" t="s">
        <v>365</v>
      </c>
      <c r="J180" t="s">
        <v>366</v>
      </c>
      <c r="K180" t="s">
        <v>367</v>
      </c>
      <c r="L180">
        <v>1354</v>
      </c>
      <c r="N180">
        <v>1010</v>
      </c>
      <c r="O180" t="s">
        <v>32</v>
      </c>
      <c r="P180" t="s">
        <v>32</v>
      </c>
      <c r="Q180">
        <v>1</v>
      </c>
      <c r="X180">
        <v>0.1</v>
      </c>
      <c r="Y180">
        <v>15.25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0.1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">
      <c r="A181">
        <f>ROW(Source!A222)</f>
        <v>222</v>
      </c>
      <c r="B181">
        <v>58753931</v>
      </c>
      <c r="C181">
        <v>56502843</v>
      </c>
      <c r="D181">
        <v>57643958</v>
      </c>
      <c r="E181">
        <v>1080</v>
      </c>
      <c r="F181">
        <v>1</v>
      </c>
      <c r="G181">
        <v>1080</v>
      </c>
      <c r="H181">
        <v>3</v>
      </c>
      <c r="I181" t="s">
        <v>399</v>
      </c>
      <c r="J181" t="s">
        <v>3</v>
      </c>
      <c r="K181" t="s">
        <v>400</v>
      </c>
      <c r="L181">
        <v>1354</v>
      </c>
      <c r="N181">
        <v>1010</v>
      </c>
      <c r="O181" t="s">
        <v>32</v>
      </c>
      <c r="P181" t="s">
        <v>32</v>
      </c>
      <c r="Q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</v>
      </c>
      <c r="AG181">
        <v>1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">
      <c r="A182">
        <f>ROW(Source!A223)</f>
        <v>223</v>
      </c>
      <c r="B182">
        <v>58753925</v>
      </c>
      <c r="C182">
        <v>56502843</v>
      </c>
      <c r="D182">
        <v>57621905</v>
      </c>
      <c r="E182">
        <v>1080</v>
      </c>
      <c r="F182">
        <v>1</v>
      </c>
      <c r="G182">
        <v>1080</v>
      </c>
      <c r="H182">
        <v>1</v>
      </c>
      <c r="I182" t="s">
        <v>355</v>
      </c>
      <c r="J182" t="s">
        <v>3</v>
      </c>
      <c r="K182" t="s">
        <v>356</v>
      </c>
      <c r="L182">
        <v>1191</v>
      </c>
      <c r="N182">
        <v>1013</v>
      </c>
      <c r="O182" t="s">
        <v>357</v>
      </c>
      <c r="P182" t="s">
        <v>357</v>
      </c>
      <c r="Q182">
        <v>1</v>
      </c>
      <c r="X182">
        <v>1.36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24</v>
      </c>
      <c r="AG182">
        <v>1.4960000000000002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">
      <c r="A183">
        <f>ROW(Source!A223)</f>
        <v>223</v>
      </c>
      <c r="B183">
        <v>58753926</v>
      </c>
      <c r="C183">
        <v>56502843</v>
      </c>
      <c r="D183">
        <v>57696198</v>
      </c>
      <c r="E183">
        <v>1</v>
      </c>
      <c r="F183">
        <v>1</v>
      </c>
      <c r="G183">
        <v>1080</v>
      </c>
      <c r="H183">
        <v>2</v>
      </c>
      <c r="I183" t="s">
        <v>393</v>
      </c>
      <c r="J183" t="s">
        <v>394</v>
      </c>
      <c r="K183" t="s">
        <v>395</v>
      </c>
      <c r="L183">
        <v>1368</v>
      </c>
      <c r="N183">
        <v>1011</v>
      </c>
      <c r="O183" t="s">
        <v>373</v>
      </c>
      <c r="P183" t="s">
        <v>373</v>
      </c>
      <c r="Q183">
        <v>1</v>
      </c>
      <c r="X183">
        <v>1.7000000000000001E-2</v>
      </c>
      <c r="Y183">
        <v>0</v>
      </c>
      <c r="Z183">
        <v>0.8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24</v>
      </c>
      <c r="AG183">
        <v>1.8700000000000001E-2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">
      <c r="A184">
        <f>ROW(Source!A223)</f>
        <v>223</v>
      </c>
      <c r="B184">
        <v>58753927</v>
      </c>
      <c r="C184">
        <v>56502843</v>
      </c>
      <c r="D184">
        <v>57696164</v>
      </c>
      <c r="E184">
        <v>1</v>
      </c>
      <c r="F184">
        <v>1</v>
      </c>
      <c r="G184">
        <v>1080</v>
      </c>
      <c r="H184">
        <v>2</v>
      </c>
      <c r="I184" t="s">
        <v>396</v>
      </c>
      <c r="J184" t="s">
        <v>397</v>
      </c>
      <c r="K184" t="s">
        <v>398</v>
      </c>
      <c r="L184">
        <v>1368</v>
      </c>
      <c r="N184">
        <v>1011</v>
      </c>
      <c r="O184" t="s">
        <v>373</v>
      </c>
      <c r="P184" t="s">
        <v>373</v>
      </c>
      <c r="Q184">
        <v>1</v>
      </c>
      <c r="X184">
        <v>0.02</v>
      </c>
      <c r="Y184">
        <v>0</v>
      </c>
      <c r="Z184">
        <v>0.47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24</v>
      </c>
      <c r="AG184">
        <v>2.2000000000000002E-2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">
      <c r="A185">
        <f>ROW(Source!A223)</f>
        <v>223</v>
      </c>
      <c r="B185">
        <v>58753928</v>
      </c>
      <c r="C185">
        <v>56502843</v>
      </c>
      <c r="D185">
        <v>57666153</v>
      </c>
      <c r="E185">
        <v>1</v>
      </c>
      <c r="F185">
        <v>1</v>
      </c>
      <c r="G185">
        <v>1080</v>
      </c>
      <c r="H185">
        <v>3</v>
      </c>
      <c r="I185" t="s">
        <v>358</v>
      </c>
      <c r="J185" t="s">
        <v>359</v>
      </c>
      <c r="K185" t="s">
        <v>360</v>
      </c>
      <c r="L185">
        <v>1346</v>
      </c>
      <c r="N185">
        <v>1009</v>
      </c>
      <c r="O185" t="s">
        <v>305</v>
      </c>
      <c r="P185" t="s">
        <v>305</v>
      </c>
      <c r="Q185">
        <v>1</v>
      </c>
      <c r="X185">
        <v>6.2700000000000004E-3</v>
      </c>
      <c r="Y185">
        <v>27.62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6.2700000000000004E-3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">
      <c r="A186">
        <f>ROW(Source!A223)</f>
        <v>223</v>
      </c>
      <c r="B186">
        <v>58753929</v>
      </c>
      <c r="C186">
        <v>56502843</v>
      </c>
      <c r="D186">
        <v>57664872</v>
      </c>
      <c r="E186">
        <v>1</v>
      </c>
      <c r="F186">
        <v>1</v>
      </c>
      <c r="G186">
        <v>1080</v>
      </c>
      <c r="H186">
        <v>3</v>
      </c>
      <c r="I186" t="s">
        <v>361</v>
      </c>
      <c r="J186" t="s">
        <v>362</v>
      </c>
      <c r="K186" t="s">
        <v>363</v>
      </c>
      <c r="L186">
        <v>1348</v>
      </c>
      <c r="N186">
        <v>1009</v>
      </c>
      <c r="O186" t="s">
        <v>364</v>
      </c>
      <c r="P186" t="s">
        <v>364</v>
      </c>
      <c r="Q186">
        <v>1000</v>
      </c>
      <c r="X186">
        <v>1.0000000000000001E-5</v>
      </c>
      <c r="Y186">
        <v>64123.05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</v>
      </c>
      <c r="AG186">
        <v>1.0000000000000001E-5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">
      <c r="A187">
        <f>ROW(Source!A223)</f>
        <v>223</v>
      </c>
      <c r="B187">
        <v>58753930</v>
      </c>
      <c r="C187">
        <v>56502843</v>
      </c>
      <c r="D187">
        <v>57674764</v>
      </c>
      <c r="E187">
        <v>1</v>
      </c>
      <c r="F187">
        <v>1</v>
      </c>
      <c r="G187">
        <v>1080</v>
      </c>
      <c r="H187">
        <v>3</v>
      </c>
      <c r="I187" t="s">
        <v>365</v>
      </c>
      <c r="J187" t="s">
        <v>366</v>
      </c>
      <c r="K187" t="s">
        <v>367</v>
      </c>
      <c r="L187">
        <v>1354</v>
      </c>
      <c r="N187">
        <v>1010</v>
      </c>
      <c r="O187" t="s">
        <v>32</v>
      </c>
      <c r="P187" t="s">
        <v>32</v>
      </c>
      <c r="Q187">
        <v>1</v>
      </c>
      <c r="X187">
        <v>0.1</v>
      </c>
      <c r="Y187">
        <v>15.25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</v>
      </c>
      <c r="AG187">
        <v>0.1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3">
      <c r="A188">
        <f>ROW(Source!A223)</f>
        <v>223</v>
      </c>
      <c r="B188">
        <v>58753931</v>
      </c>
      <c r="C188">
        <v>56502843</v>
      </c>
      <c r="D188">
        <v>57643958</v>
      </c>
      <c r="E188">
        <v>1080</v>
      </c>
      <c r="F188">
        <v>1</v>
      </c>
      <c r="G188">
        <v>1080</v>
      </c>
      <c r="H188">
        <v>3</v>
      </c>
      <c r="I188" t="s">
        <v>399</v>
      </c>
      <c r="J188" t="s">
        <v>3</v>
      </c>
      <c r="K188" t="s">
        <v>400</v>
      </c>
      <c r="L188">
        <v>1354</v>
      </c>
      <c r="N188">
        <v>1010</v>
      </c>
      <c r="O188" t="s">
        <v>32</v>
      </c>
      <c r="P188" t="s">
        <v>32</v>
      </c>
      <c r="Q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3</v>
      </c>
      <c r="AG188">
        <v>1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5234375" defaultRowHeight="12.45" x14ac:dyDescent="0.3"/>
  <cols>
    <col min="1" max="256" width="9.152343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0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3">
      <c r="F12" t="str">
        <f>Source!F12</f>
        <v>02-01-08</v>
      </c>
      <c r="G12" t="str">
        <f>Source!G12</f>
        <v>02-01-08 АПС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02-01-08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'02-01-08'!Заголовки_для_печати</vt:lpstr>
      <vt:lpstr>'Ведомость объемов работ'!Заголовки_для_печати</vt:lpstr>
      <vt:lpstr>'02-01-08'!Область_печати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Лукьянова Анна Леонидовна</cp:lastModifiedBy>
  <dcterms:created xsi:type="dcterms:W3CDTF">2026-03-23T08:18:24Z</dcterms:created>
  <dcterms:modified xsi:type="dcterms:W3CDTF">2026-03-23T08:19:19Z</dcterms:modified>
</cp:coreProperties>
</file>