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из смету ру\"/>
    </mc:Choice>
  </mc:AlternateContent>
  <bookViews>
    <workbookView xWindow="0" yWindow="0" windowWidth="13665" windowHeight="7125"/>
  </bookViews>
  <sheets>
    <sheet name="02-01-14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'02-01-14'!$27:$27</definedName>
    <definedName name="_xlnm.Print_Titles" localSheetId="1">'Ведомость объемов работ'!$9:$9</definedName>
    <definedName name="_xlnm.Print_Area" localSheetId="0">'02-01-14'!$A$1:$K$295</definedName>
    <definedName name="_xlnm.Print_Area" localSheetId="1">'Ведомость объемов работ'!$A$1:$H$57</definedName>
  </definedNames>
  <calcPr calcId="162913" iterate="1"/>
</workbook>
</file>

<file path=xl/calcChain.xml><?xml version="1.0" encoding="utf-8"?>
<calcChain xmlns="http://schemas.openxmlformats.org/spreadsheetml/2006/main">
  <c r="D55" i="8" l="1"/>
  <c r="D53" i="8"/>
  <c r="G50" i="8"/>
  <c r="F50" i="8"/>
  <c r="E50" i="8"/>
  <c r="C50" i="8"/>
  <c r="B50" i="8"/>
  <c r="G49" i="8"/>
  <c r="F49" i="8"/>
  <c r="E49" i="8"/>
  <c r="C49" i="8"/>
  <c r="B49" i="8"/>
  <c r="G48" i="8"/>
  <c r="F48" i="8"/>
  <c r="E48" i="8"/>
  <c r="C48" i="8"/>
  <c r="B48" i="8"/>
  <c r="G47" i="8"/>
  <c r="F47" i="8"/>
  <c r="E47" i="8"/>
  <c r="C47" i="8"/>
  <c r="B47" i="8"/>
  <c r="G46" i="8"/>
  <c r="F46" i="8"/>
  <c r="E46" i="8"/>
  <c r="C46" i="8"/>
  <c r="B46" i="8"/>
  <c r="G45" i="8"/>
  <c r="F45" i="8"/>
  <c r="E45" i="8"/>
  <c r="C45" i="8"/>
  <c r="B45" i="8"/>
  <c r="G44" i="8"/>
  <c r="F44" i="8"/>
  <c r="E44" i="8"/>
  <c r="C44" i="8"/>
  <c r="B44" i="8"/>
  <c r="A43" i="8"/>
  <c r="G42" i="8"/>
  <c r="F42" i="8"/>
  <c r="E42" i="8"/>
  <c r="C42" i="8"/>
  <c r="B42" i="8"/>
  <c r="G41" i="8"/>
  <c r="F41" i="8"/>
  <c r="E41" i="8"/>
  <c r="C41" i="8"/>
  <c r="B41" i="8"/>
  <c r="G40" i="8"/>
  <c r="F40" i="8"/>
  <c r="E40" i="8"/>
  <c r="C40" i="8"/>
  <c r="B40" i="8"/>
  <c r="G39" i="8"/>
  <c r="F39" i="8"/>
  <c r="E39" i="8"/>
  <c r="C39" i="8"/>
  <c r="B39" i="8"/>
  <c r="G38" i="8"/>
  <c r="F38" i="8"/>
  <c r="E38" i="8"/>
  <c r="C38" i="8"/>
  <c r="B38" i="8"/>
  <c r="A37" i="8"/>
  <c r="G36" i="8"/>
  <c r="F36" i="8"/>
  <c r="E36" i="8"/>
  <c r="C36" i="8"/>
  <c r="B36" i="8"/>
  <c r="G35" i="8"/>
  <c r="F35" i="8"/>
  <c r="E35" i="8"/>
  <c r="C35" i="8"/>
  <c r="B35" i="8"/>
  <c r="G34" i="8"/>
  <c r="F34" i="8"/>
  <c r="E34" i="8"/>
  <c r="C34" i="8"/>
  <c r="B34" i="8"/>
  <c r="G33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G30" i="8"/>
  <c r="F30" i="8"/>
  <c r="E30" i="8"/>
  <c r="C30" i="8"/>
  <c r="B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G24" i="8"/>
  <c r="F24" i="8"/>
  <c r="E24" i="8"/>
  <c r="C24" i="8"/>
  <c r="B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G19" i="8"/>
  <c r="F19" i="8"/>
  <c r="E19" i="8"/>
  <c r="C19" i="8"/>
  <c r="B19" i="8"/>
  <c r="G18" i="8"/>
  <c r="F18" i="8"/>
  <c r="E18" i="8"/>
  <c r="C18" i="8"/>
  <c r="B18" i="8"/>
  <c r="G17" i="8"/>
  <c r="F17" i="8"/>
  <c r="E17" i="8"/>
  <c r="C17" i="8"/>
  <c r="B17" i="8"/>
  <c r="G16" i="8"/>
  <c r="F16" i="8"/>
  <c r="E16" i="8"/>
  <c r="C16" i="8"/>
  <c r="B16" i="8"/>
  <c r="G15" i="8"/>
  <c r="F15" i="8"/>
  <c r="E15" i="8"/>
  <c r="C15" i="8"/>
  <c r="B15" i="8"/>
  <c r="G14" i="8"/>
  <c r="F14" i="8"/>
  <c r="E14" i="8"/>
  <c r="C14" i="8"/>
  <c r="B14" i="8"/>
  <c r="G13" i="8"/>
  <c r="F13" i="8"/>
  <c r="E13" i="8"/>
  <c r="C13" i="8"/>
  <c r="B13" i="8"/>
  <c r="G12" i="8"/>
  <c r="F12" i="8"/>
  <c r="E12" i="8"/>
  <c r="C12" i="8"/>
  <c r="B12" i="8"/>
  <c r="A11" i="8"/>
  <c r="A10" i="8"/>
  <c r="B5" i="8"/>
  <c r="B4" i="8"/>
  <c r="A1" i="8"/>
  <c r="H293" i="7"/>
  <c r="H290" i="7"/>
  <c r="C293" i="7"/>
  <c r="C290" i="7"/>
  <c r="I287" i="7"/>
  <c r="J287" i="7"/>
  <c r="I286" i="7"/>
  <c r="J286" i="7"/>
  <c r="A285" i="7"/>
  <c r="J22" i="7"/>
  <c r="J19" i="7"/>
  <c r="J18" i="7"/>
  <c r="J17" i="7"/>
  <c r="J16" i="7"/>
  <c r="J14" i="7" s="1"/>
  <c r="J15" i="7"/>
  <c r="I22" i="7"/>
  <c r="I20" i="7"/>
  <c r="I19" i="7"/>
  <c r="I18" i="7"/>
  <c r="I17" i="7"/>
  <c r="I16" i="7"/>
  <c r="I14" i="7" s="1"/>
  <c r="I15" i="7"/>
  <c r="I283" i="7"/>
  <c r="J283" i="7"/>
  <c r="I282" i="7"/>
  <c r="J282" i="7"/>
  <c r="A281" i="7"/>
  <c r="I279" i="7"/>
  <c r="J279" i="7"/>
  <c r="I278" i="7"/>
  <c r="J278" i="7"/>
  <c r="A277" i="7"/>
  <c r="P274" i="7"/>
  <c r="J274" i="7"/>
  <c r="K273" i="7"/>
  <c r="J273" i="7"/>
  <c r="I273" i="7"/>
  <c r="O274" i="7" s="1"/>
  <c r="H273" i="7"/>
  <c r="G273" i="7"/>
  <c r="F273" i="7"/>
  <c r="V273" i="7"/>
  <c r="T273" i="7"/>
  <c r="R273" i="7"/>
  <c r="U273" i="7"/>
  <c r="S273" i="7"/>
  <c r="Q273" i="7"/>
  <c r="E273" i="7"/>
  <c r="D273" i="7"/>
  <c r="B273" i="7"/>
  <c r="O271" i="7"/>
  <c r="H271" i="7"/>
  <c r="K270" i="7"/>
  <c r="P271" i="7" s="1"/>
  <c r="J270" i="7"/>
  <c r="I270" i="7"/>
  <c r="H270" i="7"/>
  <c r="G270" i="7"/>
  <c r="F270" i="7"/>
  <c r="V270" i="7"/>
  <c r="T270" i="7"/>
  <c r="R270" i="7"/>
  <c r="U270" i="7"/>
  <c r="S270" i="7"/>
  <c r="Q270" i="7"/>
  <c r="E270" i="7"/>
  <c r="D270" i="7"/>
  <c r="B270" i="7"/>
  <c r="O268" i="7"/>
  <c r="H268" i="7"/>
  <c r="C267" i="7"/>
  <c r="K266" i="7"/>
  <c r="P268" i="7" s="1"/>
  <c r="J266" i="7"/>
  <c r="I266" i="7"/>
  <c r="H266" i="7"/>
  <c r="G266" i="7"/>
  <c r="F266" i="7"/>
  <c r="V266" i="7"/>
  <c r="T266" i="7"/>
  <c r="R266" i="7"/>
  <c r="U266" i="7"/>
  <c r="S266" i="7"/>
  <c r="Q266" i="7"/>
  <c r="E266" i="7"/>
  <c r="D266" i="7"/>
  <c r="B266" i="7"/>
  <c r="O264" i="7"/>
  <c r="H264" i="7"/>
  <c r="C263" i="7"/>
  <c r="K262" i="7"/>
  <c r="P264" i="7" s="1"/>
  <c r="J262" i="7"/>
  <c r="I262" i="7"/>
  <c r="H262" i="7"/>
  <c r="G262" i="7"/>
  <c r="F262" i="7"/>
  <c r="V262" i="7"/>
  <c r="T262" i="7"/>
  <c r="R262" i="7"/>
  <c r="U262" i="7"/>
  <c r="S262" i="7"/>
  <c r="Q262" i="7"/>
  <c r="E262" i="7"/>
  <c r="D262" i="7"/>
  <c r="B262" i="7"/>
  <c r="H259" i="7"/>
  <c r="J260" i="7"/>
  <c r="J259" i="7"/>
  <c r="I257" i="7"/>
  <c r="H257" i="7"/>
  <c r="G257" i="7"/>
  <c r="E257" i="7"/>
  <c r="K256" i="7"/>
  <c r="J256" i="7"/>
  <c r="E256" i="7"/>
  <c r="K255" i="7"/>
  <c r="J255" i="7"/>
  <c r="E255" i="7"/>
  <c r="K254" i="7"/>
  <c r="J254" i="7"/>
  <c r="I254" i="7"/>
  <c r="H254" i="7"/>
  <c r="G254" i="7"/>
  <c r="F254" i="7"/>
  <c r="K253" i="7"/>
  <c r="J253" i="7"/>
  <c r="I253" i="7"/>
  <c r="H253" i="7"/>
  <c r="G253" i="7"/>
  <c r="F253" i="7"/>
  <c r="K252" i="7"/>
  <c r="P260" i="7" s="1"/>
  <c r="J252" i="7"/>
  <c r="I252" i="7"/>
  <c r="H252" i="7"/>
  <c r="G252" i="7"/>
  <c r="F252" i="7"/>
  <c r="K251" i="7"/>
  <c r="J258" i="7" s="1"/>
  <c r="J251" i="7"/>
  <c r="I251" i="7"/>
  <c r="H258" i="7" s="1"/>
  <c r="H251" i="7"/>
  <c r="G251" i="7"/>
  <c r="F251" i="7"/>
  <c r="C250" i="7"/>
  <c r="V249" i="7"/>
  <c r="T249" i="7"/>
  <c r="R249" i="7"/>
  <c r="U249" i="7"/>
  <c r="S249" i="7"/>
  <c r="I256" i="7" s="1"/>
  <c r="Q249" i="7"/>
  <c r="I255" i="7" s="1"/>
  <c r="H260" i="7" s="1"/>
  <c r="E249" i="7"/>
  <c r="D249" i="7"/>
  <c r="B249" i="7"/>
  <c r="H246" i="7"/>
  <c r="J246" i="7"/>
  <c r="I244" i="7"/>
  <c r="H244" i="7"/>
  <c r="G244" i="7"/>
  <c r="E244" i="7"/>
  <c r="J243" i="7"/>
  <c r="I243" i="7"/>
  <c r="E243" i="7"/>
  <c r="J242" i="7"/>
  <c r="E242" i="7"/>
  <c r="K241" i="7"/>
  <c r="J241" i="7"/>
  <c r="I241" i="7"/>
  <c r="H241" i="7"/>
  <c r="G241" i="7"/>
  <c r="F241" i="7"/>
  <c r="K240" i="7"/>
  <c r="J240" i="7"/>
  <c r="I240" i="7"/>
  <c r="H240" i="7"/>
  <c r="G240" i="7"/>
  <c r="F240" i="7"/>
  <c r="K239" i="7"/>
  <c r="J239" i="7"/>
  <c r="I239" i="7"/>
  <c r="H239" i="7"/>
  <c r="G239" i="7"/>
  <c r="F239" i="7"/>
  <c r="K238" i="7"/>
  <c r="J238" i="7"/>
  <c r="I238" i="7"/>
  <c r="H238" i="7"/>
  <c r="G238" i="7"/>
  <c r="F238" i="7"/>
  <c r="C237" i="7"/>
  <c r="V236" i="7"/>
  <c r="T236" i="7"/>
  <c r="K243" i="7" s="1"/>
  <c r="R236" i="7"/>
  <c r="K242" i="7" s="1"/>
  <c r="J245" i="7" s="1"/>
  <c r="U236" i="7"/>
  <c r="S236" i="7"/>
  <c r="Q236" i="7"/>
  <c r="I242" i="7" s="1"/>
  <c r="H245" i="7" s="1"/>
  <c r="E236" i="7"/>
  <c r="D236" i="7"/>
  <c r="B236" i="7"/>
  <c r="H233" i="7"/>
  <c r="J233" i="7"/>
  <c r="I231" i="7"/>
  <c r="H231" i="7"/>
  <c r="G231" i="7"/>
  <c r="E231" i="7"/>
  <c r="J230" i="7"/>
  <c r="E230" i="7"/>
  <c r="J229" i="7"/>
  <c r="E229" i="7"/>
  <c r="K228" i="7"/>
  <c r="J228" i="7"/>
  <c r="H228" i="7"/>
  <c r="I228" i="7"/>
  <c r="F228" i="7"/>
  <c r="V228" i="7"/>
  <c r="T228" i="7"/>
  <c r="R228" i="7"/>
  <c r="U228" i="7"/>
  <c r="S228" i="7"/>
  <c r="I230" i="7" s="1"/>
  <c r="Q228" i="7"/>
  <c r="E228" i="7"/>
  <c r="D228" i="7"/>
  <c r="B228" i="7"/>
  <c r="K227" i="7"/>
  <c r="J227" i="7"/>
  <c r="I227" i="7"/>
  <c r="H227" i="7"/>
  <c r="G227" i="7"/>
  <c r="F227" i="7"/>
  <c r="K226" i="7"/>
  <c r="J226" i="7"/>
  <c r="I226" i="7"/>
  <c r="H226" i="7"/>
  <c r="G226" i="7"/>
  <c r="F226" i="7"/>
  <c r="K225" i="7"/>
  <c r="J225" i="7"/>
  <c r="I225" i="7"/>
  <c r="H225" i="7"/>
  <c r="G225" i="7"/>
  <c r="F225" i="7"/>
  <c r="K224" i="7"/>
  <c r="J224" i="7"/>
  <c r="I224" i="7"/>
  <c r="H232" i="7" s="1"/>
  <c r="H224" i="7"/>
  <c r="G224" i="7"/>
  <c r="F224" i="7"/>
  <c r="C223" i="7"/>
  <c r="V222" i="7"/>
  <c r="T222" i="7"/>
  <c r="K230" i="7" s="1"/>
  <c r="R222" i="7"/>
  <c r="K229" i="7" s="1"/>
  <c r="J234" i="7" s="1"/>
  <c r="U222" i="7"/>
  <c r="S222" i="7"/>
  <c r="Q222" i="7"/>
  <c r="I229" i="7" s="1"/>
  <c r="E222" i="7"/>
  <c r="D222" i="7"/>
  <c r="B222" i="7"/>
  <c r="A221" i="7"/>
  <c r="I219" i="7"/>
  <c r="J219" i="7"/>
  <c r="I218" i="7"/>
  <c r="J218" i="7"/>
  <c r="A217" i="7"/>
  <c r="H214" i="7"/>
  <c r="P214" i="7"/>
  <c r="K213" i="7"/>
  <c r="J214" i="7" s="1"/>
  <c r="J213" i="7"/>
  <c r="I213" i="7"/>
  <c r="O214" i="7" s="1"/>
  <c r="H213" i="7"/>
  <c r="G213" i="7"/>
  <c r="F213" i="7"/>
  <c r="V213" i="7"/>
  <c r="T213" i="7"/>
  <c r="R213" i="7"/>
  <c r="U213" i="7"/>
  <c r="S213" i="7"/>
  <c r="Q213" i="7"/>
  <c r="E213" i="7"/>
  <c r="D213" i="7"/>
  <c r="B213" i="7"/>
  <c r="P211" i="7"/>
  <c r="J211" i="7"/>
  <c r="K210" i="7"/>
  <c r="J210" i="7"/>
  <c r="I210" i="7"/>
  <c r="O211" i="7" s="1"/>
  <c r="H210" i="7"/>
  <c r="G210" i="7"/>
  <c r="F210" i="7"/>
  <c r="V210" i="7"/>
  <c r="T210" i="7"/>
  <c r="R210" i="7"/>
  <c r="U210" i="7"/>
  <c r="S210" i="7"/>
  <c r="Q210" i="7"/>
  <c r="E210" i="7"/>
  <c r="D210" i="7"/>
  <c r="B210" i="7"/>
  <c r="J208" i="7"/>
  <c r="K207" i="7"/>
  <c r="P208" i="7" s="1"/>
  <c r="J207" i="7"/>
  <c r="I207" i="7"/>
  <c r="O208" i="7" s="1"/>
  <c r="H207" i="7"/>
  <c r="G207" i="7"/>
  <c r="F207" i="7"/>
  <c r="V207" i="7"/>
  <c r="T207" i="7"/>
  <c r="R207" i="7"/>
  <c r="U207" i="7"/>
  <c r="S207" i="7"/>
  <c r="Q207" i="7"/>
  <c r="E207" i="7"/>
  <c r="D207" i="7"/>
  <c r="B207" i="7"/>
  <c r="O205" i="7"/>
  <c r="H205" i="7"/>
  <c r="K204" i="7"/>
  <c r="P205" i="7" s="1"/>
  <c r="J204" i="7"/>
  <c r="I204" i="7"/>
  <c r="H204" i="7"/>
  <c r="G204" i="7"/>
  <c r="F204" i="7"/>
  <c r="V204" i="7"/>
  <c r="T204" i="7"/>
  <c r="R204" i="7"/>
  <c r="U204" i="7"/>
  <c r="S204" i="7"/>
  <c r="Q204" i="7"/>
  <c r="E204" i="7"/>
  <c r="D204" i="7"/>
  <c r="B204" i="7"/>
  <c r="H201" i="7"/>
  <c r="J201" i="7"/>
  <c r="I199" i="7"/>
  <c r="H199" i="7"/>
  <c r="G199" i="7"/>
  <c r="E199" i="7"/>
  <c r="J198" i="7"/>
  <c r="E198" i="7"/>
  <c r="J197" i="7"/>
  <c r="E197" i="7"/>
  <c r="K196" i="7"/>
  <c r="J196" i="7"/>
  <c r="I196" i="7"/>
  <c r="H196" i="7"/>
  <c r="G196" i="7"/>
  <c r="F196" i="7"/>
  <c r="K195" i="7"/>
  <c r="J195" i="7"/>
  <c r="I195" i="7"/>
  <c r="H195" i="7"/>
  <c r="G195" i="7"/>
  <c r="F195" i="7"/>
  <c r="K194" i="7"/>
  <c r="J194" i="7"/>
  <c r="I194" i="7"/>
  <c r="H194" i="7"/>
  <c r="G194" i="7"/>
  <c r="F194" i="7"/>
  <c r="C193" i="7"/>
  <c r="V192" i="7"/>
  <c r="T192" i="7"/>
  <c r="K198" i="7" s="1"/>
  <c r="R192" i="7"/>
  <c r="K197" i="7" s="1"/>
  <c r="U192" i="7"/>
  <c r="S192" i="7"/>
  <c r="I198" i="7" s="1"/>
  <c r="Q192" i="7"/>
  <c r="I197" i="7" s="1"/>
  <c r="H202" i="7" s="1"/>
  <c r="E192" i="7"/>
  <c r="D192" i="7"/>
  <c r="B192" i="7"/>
  <c r="A191" i="7"/>
  <c r="I189" i="7"/>
  <c r="J189" i="7"/>
  <c r="I188" i="7"/>
  <c r="J188" i="7"/>
  <c r="A187" i="7"/>
  <c r="H184" i="7"/>
  <c r="P184" i="7"/>
  <c r="K183" i="7"/>
  <c r="J184" i="7" s="1"/>
  <c r="J183" i="7"/>
  <c r="I183" i="7"/>
  <c r="O184" i="7" s="1"/>
  <c r="H183" i="7"/>
  <c r="G183" i="7"/>
  <c r="F183" i="7"/>
  <c r="V183" i="7"/>
  <c r="T183" i="7"/>
  <c r="R183" i="7"/>
  <c r="U183" i="7"/>
  <c r="S183" i="7"/>
  <c r="Q183" i="7"/>
  <c r="E183" i="7"/>
  <c r="D183" i="7"/>
  <c r="B183" i="7"/>
  <c r="P181" i="7"/>
  <c r="J181" i="7"/>
  <c r="K180" i="7"/>
  <c r="J180" i="7"/>
  <c r="I180" i="7"/>
  <c r="O181" i="7" s="1"/>
  <c r="H180" i="7"/>
  <c r="G180" i="7"/>
  <c r="F180" i="7"/>
  <c r="V180" i="7"/>
  <c r="T180" i="7"/>
  <c r="R180" i="7"/>
  <c r="U180" i="7"/>
  <c r="S180" i="7"/>
  <c r="Q180" i="7"/>
  <c r="E180" i="7"/>
  <c r="D180" i="7"/>
  <c r="B180" i="7"/>
  <c r="H177" i="7"/>
  <c r="J177" i="7"/>
  <c r="I175" i="7"/>
  <c r="H175" i="7"/>
  <c r="G175" i="7"/>
  <c r="E175" i="7"/>
  <c r="J174" i="7"/>
  <c r="E174" i="7"/>
  <c r="J173" i="7"/>
  <c r="E173" i="7"/>
  <c r="K172" i="7"/>
  <c r="J172" i="7"/>
  <c r="I172" i="7"/>
  <c r="H172" i="7"/>
  <c r="G172" i="7"/>
  <c r="F172" i="7"/>
  <c r="K171" i="7"/>
  <c r="P178" i="7" s="1"/>
  <c r="J171" i="7"/>
  <c r="I171" i="7"/>
  <c r="H171" i="7"/>
  <c r="G171" i="7"/>
  <c r="F171" i="7"/>
  <c r="V170" i="7"/>
  <c r="T170" i="7"/>
  <c r="K174" i="7" s="1"/>
  <c r="R170" i="7"/>
  <c r="K173" i="7" s="1"/>
  <c r="J176" i="7" s="1"/>
  <c r="U170" i="7"/>
  <c r="S170" i="7"/>
  <c r="I174" i="7" s="1"/>
  <c r="Q170" i="7"/>
  <c r="I173" i="7" s="1"/>
  <c r="H176" i="7" s="1"/>
  <c r="E170" i="7"/>
  <c r="D170" i="7"/>
  <c r="B170" i="7"/>
  <c r="P168" i="7"/>
  <c r="J168" i="7"/>
  <c r="K167" i="7"/>
  <c r="J167" i="7"/>
  <c r="I167" i="7"/>
  <c r="O168" i="7" s="1"/>
  <c r="H167" i="7"/>
  <c r="G167" i="7"/>
  <c r="F167" i="7"/>
  <c r="V167" i="7"/>
  <c r="T167" i="7"/>
  <c r="R167" i="7"/>
  <c r="U167" i="7"/>
  <c r="S167" i="7"/>
  <c r="Q167" i="7"/>
  <c r="E167" i="7"/>
  <c r="D167" i="7"/>
  <c r="B167" i="7"/>
  <c r="H164" i="7"/>
  <c r="J164" i="7"/>
  <c r="I162" i="7"/>
  <c r="H162" i="7"/>
  <c r="G162" i="7"/>
  <c r="E162" i="7"/>
  <c r="K161" i="7"/>
  <c r="J161" i="7"/>
  <c r="E161" i="7"/>
  <c r="J160" i="7"/>
  <c r="I160" i="7"/>
  <c r="E160" i="7"/>
  <c r="K159" i="7"/>
  <c r="J159" i="7"/>
  <c r="I159" i="7"/>
  <c r="H159" i="7"/>
  <c r="G159" i="7"/>
  <c r="F159" i="7"/>
  <c r="K158" i="7"/>
  <c r="J158" i="7"/>
  <c r="I158" i="7"/>
  <c r="H158" i="7"/>
  <c r="G158" i="7"/>
  <c r="F158" i="7"/>
  <c r="V157" i="7"/>
  <c r="T157" i="7"/>
  <c r="R157" i="7"/>
  <c r="K160" i="7" s="1"/>
  <c r="J163" i="7" s="1"/>
  <c r="U157" i="7"/>
  <c r="S157" i="7"/>
  <c r="I161" i="7" s="1"/>
  <c r="H163" i="7" s="1"/>
  <c r="Q157" i="7"/>
  <c r="E157" i="7"/>
  <c r="D157" i="7"/>
  <c r="B157" i="7"/>
  <c r="P155" i="7"/>
  <c r="J155" i="7"/>
  <c r="K154" i="7"/>
  <c r="J154" i="7"/>
  <c r="I154" i="7"/>
  <c r="O155" i="7" s="1"/>
  <c r="H154" i="7"/>
  <c r="G154" i="7"/>
  <c r="F154" i="7"/>
  <c r="V154" i="7"/>
  <c r="T154" i="7"/>
  <c r="R154" i="7"/>
  <c r="U154" i="7"/>
  <c r="S154" i="7"/>
  <c r="Q154" i="7"/>
  <c r="E154" i="7"/>
  <c r="D154" i="7"/>
  <c r="B154" i="7"/>
  <c r="J152" i="7"/>
  <c r="K151" i="7"/>
  <c r="P152" i="7" s="1"/>
  <c r="J151" i="7"/>
  <c r="I151" i="7"/>
  <c r="O152" i="7" s="1"/>
  <c r="H151" i="7"/>
  <c r="G151" i="7"/>
  <c r="F151" i="7"/>
  <c r="V151" i="7"/>
  <c r="T151" i="7"/>
  <c r="R151" i="7"/>
  <c r="U151" i="7"/>
  <c r="S151" i="7"/>
  <c r="Q151" i="7"/>
  <c r="E151" i="7"/>
  <c r="D151" i="7"/>
  <c r="B151" i="7"/>
  <c r="H148" i="7"/>
  <c r="J148" i="7"/>
  <c r="I146" i="7"/>
  <c r="H146" i="7"/>
  <c r="G146" i="7"/>
  <c r="E146" i="7"/>
  <c r="K145" i="7"/>
  <c r="J145" i="7"/>
  <c r="E145" i="7"/>
  <c r="K144" i="7"/>
  <c r="J144" i="7"/>
  <c r="E144" i="7"/>
  <c r="K143" i="7"/>
  <c r="P149" i="7" s="1"/>
  <c r="J143" i="7"/>
  <c r="I143" i="7"/>
  <c r="H143" i="7"/>
  <c r="G143" i="7"/>
  <c r="F143" i="7"/>
  <c r="K142" i="7"/>
  <c r="J149" i="7" s="1"/>
  <c r="J142" i="7"/>
  <c r="I142" i="7"/>
  <c r="H142" i="7"/>
  <c r="G142" i="7"/>
  <c r="F142" i="7"/>
  <c r="V141" i="7"/>
  <c r="T141" i="7"/>
  <c r="R141" i="7"/>
  <c r="U141" i="7"/>
  <c r="S141" i="7"/>
  <c r="I145" i="7" s="1"/>
  <c r="Q141" i="7"/>
  <c r="I144" i="7" s="1"/>
  <c r="E141" i="7"/>
  <c r="D141" i="7"/>
  <c r="B141" i="7"/>
  <c r="P139" i="7"/>
  <c r="J139" i="7"/>
  <c r="K138" i="7"/>
  <c r="J138" i="7"/>
  <c r="I138" i="7"/>
  <c r="O139" i="7" s="1"/>
  <c r="H138" i="7"/>
  <c r="G138" i="7"/>
  <c r="F138" i="7"/>
  <c r="V138" i="7"/>
  <c r="T138" i="7"/>
  <c r="R138" i="7"/>
  <c r="U138" i="7"/>
  <c r="S138" i="7"/>
  <c r="Q138" i="7"/>
  <c r="E138" i="7"/>
  <c r="D138" i="7"/>
  <c r="B138" i="7"/>
  <c r="H135" i="7"/>
  <c r="J135" i="7"/>
  <c r="I133" i="7"/>
  <c r="H133" i="7"/>
  <c r="G133" i="7"/>
  <c r="E133" i="7"/>
  <c r="K132" i="7"/>
  <c r="J132" i="7"/>
  <c r="E132" i="7"/>
  <c r="J131" i="7"/>
  <c r="E131" i="7"/>
  <c r="K130" i="7"/>
  <c r="J130" i="7"/>
  <c r="I130" i="7"/>
  <c r="H130" i="7"/>
  <c r="G130" i="7"/>
  <c r="F130" i="7"/>
  <c r="K129" i="7"/>
  <c r="J129" i="7"/>
  <c r="I129" i="7"/>
  <c r="O136" i="7" s="1"/>
  <c r="H129" i="7"/>
  <c r="G129" i="7"/>
  <c r="F129" i="7"/>
  <c r="K128" i="7"/>
  <c r="J128" i="7"/>
  <c r="I128" i="7"/>
  <c r="H128" i="7"/>
  <c r="G128" i="7"/>
  <c r="F128" i="7"/>
  <c r="V127" i="7"/>
  <c r="T127" i="7"/>
  <c r="R127" i="7"/>
  <c r="K131" i="7" s="1"/>
  <c r="U127" i="7"/>
  <c r="S127" i="7"/>
  <c r="I132" i="7" s="1"/>
  <c r="Q127" i="7"/>
  <c r="I131" i="7" s="1"/>
  <c r="E127" i="7"/>
  <c r="D127" i="7"/>
  <c r="B127" i="7"/>
  <c r="H125" i="7"/>
  <c r="P125" i="7"/>
  <c r="J125" i="7"/>
  <c r="K124" i="7"/>
  <c r="J124" i="7"/>
  <c r="I124" i="7"/>
  <c r="O125" i="7" s="1"/>
  <c r="H124" i="7"/>
  <c r="G124" i="7"/>
  <c r="F124" i="7"/>
  <c r="V124" i="7"/>
  <c r="T124" i="7"/>
  <c r="R124" i="7"/>
  <c r="U124" i="7"/>
  <c r="S124" i="7"/>
  <c r="Q124" i="7"/>
  <c r="E124" i="7"/>
  <c r="D124" i="7"/>
  <c r="B124" i="7"/>
  <c r="H121" i="7"/>
  <c r="J121" i="7"/>
  <c r="I119" i="7"/>
  <c r="H119" i="7"/>
  <c r="G119" i="7"/>
  <c r="E119" i="7"/>
  <c r="J118" i="7"/>
  <c r="E118" i="7"/>
  <c r="J117" i="7"/>
  <c r="I117" i="7"/>
  <c r="E117" i="7"/>
  <c r="K116" i="7"/>
  <c r="J116" i="7"/>
  <c r="I116" i="7"/>
  <c r="H116" i="7"/>
  <c r="G116" i="7"/>
  <c r="F116" i="7"/>
  <c r="K115" i="7"/>
  <c r="J115" i="7"/>
  <c r="I115" i="7"/>
  <c r="H115" i="7"/>
  <c r="G115" i="7"/>
  <c r="F115" i="7"/>
  <c r="K114" i="7"/>
  <c r="J114" i="7"/>
  <c r="I114" i="7"/>
  <c r="H114" i="7"/>
  <c r="G114" i="7"/>
  <c r="F114" i="7"/>
  <c r="V113" i="7"/>
  <c r="T113" i="7"/>
  <c r="K118" i="7" s="1"/>
  <c r="R113" i="7"/>
  <c r="K117" i="7" s="1"/>
  <c r="U113" i="7"/>
  <c r="S113" i="7"/>
  <c r="I118" i="7" s="1"/>
  <c r="Q113" i="7"/>
  <c r="E113" i="7"/>
  <c r="D113" i="7"/>
  <c r="B113" i="7"/>
  <c r="P111" i="7"/>
  <c r="J111" i="7"/>
  <c r="K110" i="7"/>
  <c r="J110" i="7"/>
  <c r="I110" i="7"/>
  <c r="O111" i="7" s="1"/>
  <c r="H110" i="7"/>
  <c r="G110" i="7"/>
  <c r="F110" i="7"/>
  <c r="V110" i="7"/>
  <c r="T110" i="7"/>
  <c r="R110" i="7"/>
  <c r="U110" i="7"/>
  <c r="S110" i="7"/>
  <c r="Q110" i="7"/>
  <c r="E110" i="7"/>
  <c r="D110" i="7"/>
  <c r="B110" i="7"/>
  <c r="O108" i="7"/>
  <c r="K107" i="7"/>
  <c r="P108" i="7" s="1"/>
  <c r="J107" i="7"/>
  <c r="I107" i="7"/>
  <c r="H108" i="7" s="1"/>
  <c r="H107" i="7"/>
  <c r="G107" i="7"/>
  <c r="F107" i="7"/>
  <c r="V107" i="7"/>
  <c r="T107" i="7"/>
  <c r="R107" i="7"/>
  <c r="U107" i="7"/>
  <c r="S107" i="7"/>
  <c r="Q107" i="7"/>
  <c r="E107" i="7"/>
  <c r="D107" i="7"/>
  <c r="B107" i="7"/>
  <c r="H105" i="7"/>
  <c r="J105" i="7"/>
  <c r="K104" i="7"/>
  <c r="P105" i="7" s="1"/>
  <c r="J104" i="7"/>
  <c r="I104" i="7"/>
  <c r="O105" i="7" s="1"/>
  <c r="H104" i="7"/>
  <c r="G104" i="7"/>
  <c r="F104" i="7"/>
  <c r="V104" i="7"/>
  <c r="T104" i="7"/>
  <c r="R104" i="7"/>
  <c r="U104" i="7"/>
  <c r="S104" i="7"/>
  <c r="Q104" i="7"/>
  <c r="E104" i="7"/>
  <c r="D104" i="7"/>
  <c r="B104" i="7"/>
  <c r="H101" i="7"/>
  <c r="J101" i="7"/>
  <c r="I99" i="7"/>
  <c r="H99" i="7"/>
  <c r="G99" i="7"/>
  <c r="E99" i="7"/>
  <c r="J98" i="7"/>
  <c r="I98" i="7"/>
  <c r="E98" i="7"/>
  <c r="J97" i="7"/>
  <c r="E97" i="7"/>
  <c r="K96" i="7"/>
  <c r="J96" i="7"/>
  <c r="I96" i="7"/>
  <c r="H96" i="7"/>
  <c r="G96" i="7"/>
  <c r="F96" i="7"/>
  <c r="K95" i="7"/>
  <c r="J95" i="7"/>
  <c r="I95" i="7"/>
  <c r="H95" i="7"/>
  <c r="G95" i="7"/>
  <c r="F95" i="7"/>
  <c r="K94" i="7"/>
  <c r="J94" i="7"/>
  <c r="I94" i="7"/>
  <c r="H94" i="7"/>
  <c r="G94" i="7"/>
  <c r="F94" i="7"/>
  <c r="K93" i="7"/>
  <c r="J93" i="7"/>
  <c r="I93" i="7"/>
  <c r="H100" i="7" s="1"/>
  <c r="H93" i="7"/>
  <c r="G93" i="7"/>
  <c r="F93" i="7"/>
  <c r="C92" i="7"/>
  <c r="V91" i="7"/>
  <c r="T91" i="7"/>
  <c r="K98" i="7" s="1"/>
  <c r="R91" i="7"/>
  <c r="K97" i="7" s="1"/>
  <c r="U91" i="7"/>
  <c r="S91" i="7"/>
  <c r="Q91" i="7"/>
  <c r="I97" i="7" s="1"/>
  <c r="E91" i="7"/>
  <c r="D91" i="7"/>
  <c r="B91" i="7"/>
  <c r="O89" i="7"/>
  <c r="K88" i="7"/>
  <c r="P89" i="7" s="1"/>
  <c r="J88" i="7"/>
  <c r="I88" i="7"/>
  <c r="H89" i="7" s="1"/>
  <c r="H88" i="7"/>
  <c r="G88" i="7"/>
  <c r="F88" i="7"/>
  <c r="V88" i="7"/>
  <c r="T88" i="7"/>
  <c r="R88" i="7"/>
  <c r="U88" i="7"/>
  <c r="S88" i="7"/>
  <c r="Q88" i="7"/>
  <c r="E88" i="7"/>
  <c r="D88" i="7"/>
  <c r="B88" i="7"/>
  <c r="H86" i="7"/>
  <c r="J86" i="7"/>
  <c r="K85" i="7"/>
  <c r="P86" i="7" s="1"/>
  <c r="J85" i="7"/>
  <c r="I85" i="7"/>
  <c r="O86" i="7" s="1"/>
  <c r="H85" i="7"/>
  <c r="G85" i="7"/>
  <c r="F85" i="7"/>
  <c r="V85" i="7"/>
  <c r="T85" i="7"/>
  <c r="R85" i="7"/>
  <c r="U85" i="7"/>
  <c r="S85" i="7"/>
  <c r="Q85" i="7"/>
  <c r="E85" i="7"/>
  <c r="D85" i="7"/>
  <c r="B85" i="7"/>
  <c r="H82" i="7"/>
  <c r="J82" i="7"/>
  <c r="I80" i="7"/>
  <c r="H80" i="7"/>
  <c r="G80" i="7"/>
  <c r="E80" i="7"/>
  <c r="K79" i="7"/>
  <c r="J79" i="7"/>
  <c r="I79" i="7"/>
  <c r="E79" i="7"/>
  <c r="J78" i="7"/>
  <c r="I78" i="7"/>
  <c r="E78" i="7"/>
  <c r="K77" i="7"/>
  <c r="J77" i="7"/>
  <c r="I77" i="7"/>
  <c r="H77" i="7"/>
  <c r="G77" i="7"/>
  <c r="F77" i="7"/>
  <c r="K76" i="7"/>
  <c r="J76" i="7"/>
  <c r="I76" i="7"/>
  <c r="H81" i="7" s="1"/>
  <c r="H76" i="7"/>
  <c r="G76" i="7"/>
  <c r="F76" i="7"/>
  <c r="V75" i="7"/>
  <c r="T75" i="7"/>
  <c r="R75" i="7"/>
  <c r="K78" i="7" s="1"/>
  <c r="U75" i="7"/>
  <c r="S75" i="7"/>
  <c r="Q75" i="7"/>
  <c r="E75" i="7"/>
  <c r="D75" i="7"/>
  <c r="B75" i="7"/>
  <c r="H73" i="7"/>
  <c r="P73" i="7"/>
  <c r="J73" i="7"/>
  <c r="K72" i="7"/>
  <c r="J72" i="7"/>
  <c r="I72" i="7"/>
  <c r="O73" i="7" s="1"/>
  <c r="H72" i="7"/>
  <c r="G72" i="7"/>
  <c r="F72" i="7"/>
  <c r="V72" i="7"/>
  <c r="T72" i="7"/>
  <c r="R72" i="7"/>
  <c r="U72" i="7"/>
  <c r="S72" i="7"/>
  <c r="Q72" i="7"/>
  <c r="E72" i="7"/>
  <c r="D72" i="7"/>
  <c r="B72" i="7"/>
  <c r="H69" i="7"/>
  <c r="J69" i="7"/>
  <c r="I67" i="7"/>
  <c r="H67" i="7"/>
  <c r="G67" i="7"/>
  <c r="E67" i="7"/>
  <c r="J66" i="7"/>
  <c r="I66" i="7"/>
  <c r="E66" i="7"/>
  <c r="K65" i="7"/>
  <c r="J65" i="7"/>
  <c r="E65" i="7"/>
  <c r="K64" i="7"/>
  <c r="J64" i="7"/>
  <c r="I64" i="7"/>
  <c r="H64" i="7"/>
  <c r="G64" i="7"/>
  <c r="F64" i="7"/>
  <c r="K63" i="7"/>
  <c r="J63" i="7"/>
  <c r="I63" i="7"/>
  <c r="H63" i="7"/>
  <c r="G63" i="7"/>
  <c r="F63" i="7"/>
  <c r="K62" i="7"/>
  <c r="J62" i="7"/>
  <c r="I62" i="7"/>
  <c r="H62" i="7"/>
  <c r="G62" i="7"/>
  <c r="F62" i="7"/>
  <c r="K61" i="7"/>
  <c r="J61" i="7"/>
  <c r="I61" i="7"/>
  <c r="H61" i="7"/>
  <c r="G61" i="7"/>
  <c r="F61" i="7"/>
  <c r="C60" i="7"/>
  <c r="V59" i="7"/>
  <c r="T59" i="7"/>
  <c r="K66" i="7" s="1"/>
  <c r="R59" i="7"/>
  <c r="U59" i="7"/>
  <c r="S59" i="7"/>
  <c r="Q59" i="7"/>
  <c r="I65" i="7" s="1"/>
  <c r="E59" i="7"/>
  <c r="D59" i="7"/>
  <c r="B59" i="7"/>
  <c r="O57" i="7"/>
  <c r="K56" i="7"/>
  <c r="P57" i="7" s="1"/>
  <c r="J56" i="7"/>
  <c r="I56" i="7"/>
  <c r="H57" i="7" s="1"/>
  <c r="H56" i="7"/>
  <c r="G56" i="7"/>
  <c r="F56" i="7"/>
  <c r="V56" i="7"/>
  <c r="T56" i="7"/>
  <c r="R56" i="7"/>
  <c r="U56" i="7"/>
  <c r="S56" i="7"/>
  <c r="Q56" i="7"/>
  <c r="E56" i="7"/>
  <c r="D56" i="7"/>
  <c r="B56" i="7"/>
  <c r="H53" i="7"/>
  <c r="J53" i="7"/>
  <c r="I51" i="7"/>
  <c r="H51" i="7"/>
  <c r="G51" i="7"/>
  <c r="E51" i="7"/>
  <c r="J50" i="7"/>
  <c r="E50" i="7"/>
  <c r="J49" i="7"/>
  <c r="E49" i="7"/>
  <c r="K48" i="7"/>
  <c r="J48" i="7"/>
  <c r="I48" i="7"/>
  <c r="H48" i="7"/>
  <c r="G48" i="7"/>
  <c r="F48" i="7"/>
  <c r="K47" i="7"/>
  <c r="J47" i="7"/>
  <c r="I47" i="7"/>
  <c r="H47" i="7"/>
  <c r="G47" i="7"/>
  <c r="F47" i="7"/>
  <c r="V46" i="7"/>
  <c r="T46" i="7"/>
  <c r="K50" i="7" s="1"/>
  <c r="R46" i="7"/>
  <c r="K49" i="7" s="1"/>
  <c r="U46" i="7"/>
  <c r="S46" i="7"/>
  <c r="I50" i="7" s="1"/>
  <c r="Q46" i="7"/>
  <c r="I49" i="7" s="1"/>
  <c r="E46" i="7"/>
  <c r="D46" i="7"/>
  <c r="B46" i="7"/>
  <c r="O44" i="7"/>
  <c r="K43" i="7"/>
  <c r="P44" i="7" s="1"/>
  <c r="J43" i="7"/>
  <c r="I43" i="7"/>
  <c r="H44" i="7" s="1"/>
  <c r="H43" i="7"/>
  <c r="G43" i="7"/>
  <c r="F43" i="7"/>
  <c r="V43" i="7"/>
  <c r="T43" i="7"/>
  <c r="R43" i="7"/>
  <c r="U43" i="7"/>
  <c r="S43" i="7"/>
  <c r="Q43" i="7"/>
  <c r="E43" i="7"/>
  <c r="D43" i="7"/>
  <c r="B43" i="7"/>
  <c r="H40" i="7"/>
  <c r="J40" i="7"/>
  <c r="I38" i="7"/>
  <c r="H38" i="7"/>
  <c r="G38" i="7"/>
  <c r="E38" i="7"/>
  <c r="J37" i="7"/>
  <c r="E37" i="7"/>
  <c r="J36" i="7"/>
  <c r="E36" i="7"/>
  <c r="K35" i="7"/>
  <c r="J35" i="7"/>
  <c r="I35" i="7"/>
  <c r="H35" i="7"/>
  <c r="G35" i="7"/>
  <c r="F35" i="7"/>
  <c r="K34" i="7"/>
  <c r="J34" i="7"/>
  <c r="I34" i="7"/>
  <c r="H34" i="7"/>
  <c r="G34" i="7"/>
  <c r="F34" i="7"/>
  <c r="K33" i="7"/>
  <c r="J33" i="7"/>
  <c r="I33" i="7"/>
  <c r="H33" i="7"/>
  <c r="G33" i="7"/>
  <c r="F33" i="7"/>
  <c r="K32" i="7"/>
  <c r="J32" i="7"/>
  <c r="I32" i="7"/>
  <c r="H32" i="7"/>
  <c r="G32" i="7"/>
  <c r="F32" i="7"/>
  <c r="C31" i="7"/>
  <c r="V30" i="7"/>
  <c r="T30" i="7"/>
  <c r="K37" i="7" s="1"/>
  <c r="R30" i="7"/>
  <c r="K36" i="7" s="1"/>
  <c r="J41" i="7" s="1"/>
  <c r="U30" i="7"/>
  <c r="S30" i="7"/>
  <c r="I37" i="7" s="1"/>
  <c r="Q30" i="7"/>
  <c r="I36" i="7" s="1"/>
  <c r="H41" i="7" s="1"/>
  <c r="E30" i="7"/>
  <c r="D30" i="7"/>
  <c r="B30" i="7"/>
  <c r="A29" i="7"/>
  <c r="A11" i="7"/>
  <c r="A8" i="7"/>
  <c r="A6" i="7"/>
  <c r="A1" i="7"/>
  <c r="O165" i="7" l="1"/>
  <c r="J200" i="7"/>
  <c r="P247" i="7"/>
  <c r="J52" i="7"/>
  <c r="J54" i="7"/>
  <c r="J39" i="7"/>
  <c r="H52" i="7"/>
  <c r="H54" i="7"/>
  <c r="H68" i="7"/>
  <c r="H149" i="7"/>
  <c r="P165" i="7"/>
  <c r="O178" i="7"/>
  <c r="H200" i="7"/>
  <c r="P54" i="7"/>
  <c r="J68" i="7"/>
  <c r="J120" i="7"/>
  <c r="J136" i="7"/>
  <c r="O54" i="7"/>
  <c r="H39" i="7"/>
  <c r="J81" i="7"/>
  <c r="J100" i="7"/>
  <c r="H120" i="7"/>
  <c r="H136" i="7"/>
  <c r="J202" i="7"/>
  <c r="H234" i="7"/>
  <c r="J232" i="7"/>
  <c r="O247" i="7"/>
  <c r="P41" i="7"/>
  <c r="O41" i="7"/>
  <c r="J44" i="7"/>
  <c r="J57" i="7"/>
  <c r="J70" i="7"/>
  <c r="H70" i="7"/>
  <c r="J83" i="7"/>
  <c r="H83" i="7"/>
  <c r="J89" i="7"/>
  <c r="J102" i="7"/>
  <c r="H102" i="7"/>
  <c r="J108" i="7"/>
  <c r="J122" i="7"/>
  <c r="H122" i="7"/>
  <c r="J134" i="7"/>
  <c r="H134" i="7"/>
  <c r="J147" i="7"/>
  <c r="H147" i="7"/>
  <c r="H155" i="7"/>
  <c r="H168" i="7"/>
  <c r="H181" i="7"/>
  <c r="P202" i="7"/>
  <c r="J217" i="7" s="1"/>
  <c r="O202" i="7"/>
  <c r="H217" i="7" s="1"/>
  <c r="J205" i="7"/>
  <c r="H211" i="7"/>
  <c r="P234" i="7"/>
  <c r="J277" i="7" s="1"/>
  <c r="O234" i="7"/>
  <c r="H277" i="7" s="1"/>
  <c r="O260" i="7"/>
  <c r="J271" i="7"/>
  <c r="P136" i="7"/>
  <c r="P70" i="7"/>
  <c r="O70" i="7"/>
  <c r="P83" i="7"/>
  <c r="O83" i="7"/>
  <c r="P102" i="7"/>
  <c r="O102" i="7"/>
  <c r="H111" i="7"/>
  <c r="P122" i="7"/>
  <c r="O122" i="7"/>
  <c r="H139" i="7"/>
  <c r="H152" i="7"/>
  <c r="J165" i="7"/>
  <c r="H165" i="7"/>
  <c r="J178" i="7"/>
  <c r="H178" i="7"/>
  <c r="H208" i="7"/>
  <c r="J247" i="7"/>
  <c r="H247" i="7"/>
  <c r="J264" i="7"/>
  <c r="J268" i="7"/>
  <c r="H274" i="7"/>
  <c r="O149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" i="3"/>
  <c r="Y1" i="3"/>
  <c r="CY1" i="3"/>
  <c r="CZ1" i="3"/>
  <c r="DB1" i="3" s="1"/>
  <c r="DA1" i="3"/>
  <c r="DC1" i="3"/>
  <c r="A2" i="3"/>
  <c r="Y2" i="3"/>
  <c r="CY2" i="3"/>
  <c r="CZ2" i="3"/>
  <c r="DA2" i="3"/>
  <c r="DB2" i="3"/>
  <c r="DC2" i="3"/>
  <c r="A3" i="3"/>
  <c r="Y3" i="3"/>
  <c r="CY3" i="3"/>
  <c r="CZ3" i="3"/>
  <c r="DB3" i="3" s="1"/>
  <c r="DA3" i="3"/>
  <c r="DC3" i="3"/>
  <c r="A4" i="3"/>
  <c r="Y4" i="3"/>
  <c r="CY4" i="3"/>
  <c r="CZ4" i="3"/>
  <c r="DA4" i="3"/>
  <c r="DB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A7" i="3"/>
  <c r="DB7" i="3"/>
  <c r="DC7" i="3"/>
  <c r="A8" i="3"/>
  <c r="Y8" i="3"/>
  <c r="CY8" i="3"/>
  <c r="CZ8" i="3"/>
  <c r="DB8" i="3" s="1"/>
  <c r="DA8" i="3"/>
  <c r="DC8" i="3"/>
  <c r="A9" i="3"/>
  <c r="Y9" i="3"/>
  <c r="CY9" i="3"/>
  <c r="CZ9" i="3"/>
  <c r="DA9" i="3"/>
  <c r="DB9" i="3"/>
  <c r="DC9" i="3"/>
  <c r="A10" i="3"/>
  <c r="Y10" i="3"/>
  <c r="CY10" i="3"/>
  <c r="CZ10" i="3"/>
  <c r="DB10" i="3" s="1"/>
  <c r="DA10" i="3"/>
  <c r="DC10" i="3"/>
  <c r="A11" i="3"/>
  <c r="Y11" i="3"/>
  <c r="CY11" i="3"/>
  <c r="CZ11" i="3"/>
  <c r="DA11" i="3"/>
  <c r="DB11" i="3"/>
  <c r="DC11" i="3"/>
  <c r="A12" i="3"/>
  <c r="Y12" i="3"/>
  <c r="CY12" i="3"/>
  <c r="CZ12" i="3"/>
  <c r="DA12" i="3"/>
  <c r="DB12" i="3"/>
  <c r="DC12" i="3"/>
  <c r="A13" i="3"/>
  <c r="Y13" i="3"/>
  <c r="CX13" i="3" s="1"/>
  <c r="CU13" i="3"/>
  <c r="CY13" i="3"/>
  <c r="CZ13" i="3"/>
  <c r="DA13" i="3"/>
  <c r="DB13" i="3"/>
  <c r="DC13" i="3"/>
  <c r="A14" i="3"/>
  <c r="Y14" i="3"/>
  <c r="CV14" i="3" s="1"/>
  <c r="CU14" i="3"/>
  <c r="CY14" i="3"/>
  <c r="CZ14" i="3"/>
  <c r="DB14" i="3" s="1"/>
  <c r="DA14" i="3"/>
  <c r="DC14" i="3"/>
  <c r="A15" i="3"/>
  <c r="Y15" i="3"/>
  <c r="CY15" i="3"/>
  <c r="CZ15" i="3"/>
  <c r="DB15" i="3" s="1"/>
  <c r="DA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B17" i="3" s="1"/>
  <c r="DA17" i="3"/>
  <c r="DC17" i="3"/>
  <c r="A18" i="3"/>
  <c r="Y18" i="3"/>
  <c r="CY18" i="3"/>
  <c r="CZ18" i="3"/>
  <c r="DA18" i="3"/>
  <c r="DB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B20" i="3" s="1"/>
  <c r="DA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A26" i="3"/>
  <c r="DB26" i="3"/>
  <c r="DC26" i="3"/>
  <c r="A27" i="3"/>
  <c r="Y27" i="3"/>
  <c r="CU27" i="3"/>
  <c r="CY27" i="3"/>
  <c r="CZ27" i="3"/>
  <c r="DA27" i="3"/>
  <c r="DB27" i="3"/>
  <c r="DC27" i="3"/>
  <c r="A28" i="3"/>
  <c r="Y28" i="3"/>
  <c r="CX28" i="3"/>
  <c r="CY28" i="3"/>
  <c r="CZ28" i="3"/>
  <c r="DA28" i="3"/>
  <c r="DB28" i="3"/>
  <c r="DC28" i="3"/>
  <c r="DH28" i="3"/>
  <c r="A29" i="3"/>
  <c r="Y29" i="3"/>
  <c r="CX29" i="3" s="1"/>
  <c r="CY29" i="3"/>
  <c r="CZ29" i="3"/>
  <c r="DB29" i="3" s="1"/>
  <c r="DA29" i="3"/>
  <c r="DC29" i="3"/>
  <c r="DG29" i="3"/>
  <c r="A30" i="3"/>
  <c r="Y30" i="3"/>
  <c r="CX30" i="3" s="1"/>
  <c r="CY30" i="3"/>
  <c r="CZ30" i="3"/>
  <c r="DB30" i="3" s="1"/>
  <c r="DA30" i="3"/>
  <c r="DC30" i="3"/>
  <c r="DF30" i="3"/>
  <c r="DJ30" i="3"/>
  <c r="A31" i="3"/>
  <c r="Y31" i="3"/>
  <c r="CX31" i="3"/>
  <c r="DF31" i="3" s="1"/>
  <c r="DJ31" i="3" s="1"/>
  <c r="CY31" i="3"/>
  <c r="CZ31" i="3"/>
  <c r="DA31" i="3"/>
  <c r="DB31" i="3"/>
  <c r="DC31" i="3"/>
  <c r="DH31" i="3"/>
  <c r="DI31" i="3"/>
  <c r="A32" i="3"/>
  <c r="Y32" i="3"/>
  <c r="CV32" i="3" s="1"/>
  <c r="CU32" i="3"/>
  <c r="CY32" i="3"/>
  <c r="CZ32" i="3"/>
  <c r="DB32" i="3" s="1"/>
  <c r="DA32" i="3"/>
  <c r="DC32" i="3"/>
  <c r="A33" i="3"/>
  <c r="Y33" i="3"/>
  <c r="CX33" i="3"/>
  <c r="DF33" i="3" s="1"/>
  <c r="DJ33" i="3" s="1"/>
  <c r="CY33" i="3"/>
  <c r="CZ33" i="3"/>
  <c r="DA33" i="3"/>
  <c r="DB33" i="3"/>
  <c r="DC33" i="3"/>
  <c r="DH33" i="3"/>
  <c r="DI33" i="3"/>
  <c r="A34" i="3"/>
  <c r="Y34" i="3"/>
  <c r="CX34" i="3"/>
  <c r="DH34" i="3" s="1"/>
  <c r="CY34" i="3"/>
  <c r="CZ34" i="3"/>
  <c r="DA34" i="3"/>
  <c r="DB34" i="3"/>
  <c r="DC34" i="3"/>
  <c r="A35" i="3"/>
  <c r="Y35" i="3"/>
  <c r="CX35" i="3" s="1"/>
  <c r="CY35" i="3"/>
  <c r="CZ35" i="3"/>
  <c r="DB35" i="3" s="1"/>
  <c r="DA35" i="3"/>
  <c r="DC35" i="3"/>
  <c r="DG35" i="3"/>
  <c r="A36" i="3"/>
  <c r="Y36" i="3"/>
  <c r="CX36" i="3"/>
  <c r="DG36" i="3" s="1"/>
  <c r="CY36" i="3"/>
  <c r="CZ36" i="3"/>
  <c r="DB36" i="3" s="1"/>
  <c r="DA36" i="3"/>
  <c r="DC36" i="3"/>
  <c r="DF36" i="3"/>
  <c r="DJ36" i="3" s="1"/>
  <c r="DH36" i="3"/>
  <c r="DI36" i="3"/>
  <c r="A37" i="3"/>
  <c r="Y37" i="3"/>
  <c r="CY37" i="3"/>
  <c r="CZ37" i="3"/>
  <c r="DB37" i="3" s="1"/>
  <c r="DA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A44" i="3"/>
  <c r="DB44" i="3"/>
  <c r="DC44" i="3"/>
  <c r="A45" i="3"/>
  <c r="Y45" i="3"/>
  <c r="CV45" i="3" s="1"/>
  <c r="CU45" i="3"/>
  <c r="CY45" i="3"/>
  <c r="CZ45" i="3"/>
  <c r="DB45" i="3" s="1"/>
  <c r="DA45" i="3"/>
  <c r="DC45" i="3"/>
  <c r="A46" i="3"/>
  <c r="Y46" i="3"/>
  <c r="CW46" i="3"/>
  <c r="CX46" i="3"/>
  <c r="DF46" i="3" s="1"/>
  <c r="CY46" i="3"/>
  <c r="CZ46" i="3"/>
  <c r="DA46" i="3"/>
  <c r="DB46" i="3"/>
  <c r="DC46" i="3"/>
  <c r="DH46" i="3"/>
  <c r="DI46" i="3"/>
  <c r="A47" i="3"/>
  <c r="Y47" i="3"/>
  <c r="CV47" i="3" s="1"/>
  <c r="CU47" i="3"/>
  <c r="CY47" i="3"/>
  <c r="CZ47" i="3"/>
  <c r="DB47" i="3" s="1"/>
  <c r="DA47" i="3"/>
  <c r="DC47" i="3"/>
  <c r="A48" i="3"/>
  <c r="Y48" i="3"/>
  <c r="CW48" i="3"/>
  <c r="CX48" i="3"/>
  <c r="CY48" i="3"/>
  <c r="CZ48" i="3"/>
  <c r="DA48" i="3"/>
  <c r="DB48" i="3"/>
  <c r="DC48" i="3"/>
  <c r="DH48" i="3"/>
  <c r="A49" i="3"/>
  <c r="Y49" i="3"/>
  <c r="CU49" i="3"/>
  <c r="CY49" i="3"/>
  <c r="CZ49" i="3"/>
  <c r="DA49" i="3"/>
  <c r="DB49" i="3"/>
  <c r="DC49" i="3"/>
  <c r="A50" i="3"/>
  <c r="Y50" i="3"/>
  <c r="CX50" i="3" s="1"/>
  <c r="CW50" i="3"/>
  <c r="CY50" i="3"/>
  <c r="CZ50" i="3"/>
  <c r="DB50" i="3" s="1"/>
  <c r="DA50" i="3"/>
  <c r="DC50" i="3"/>
  <c r="DG50" i="3"/>
  <c r="DJ50" i="3" s="1"/>
  <c r="A51" i="3"/>
  <c r="Y51" i="3"/>
  <c r="CU51" i="3"/>
  <c r="CV51" i="3"/>
  <c r="CX51" i="3"/>
  <c r="CY51" i="3"/>
  <c r="CZ51" i="3"/>
  <c r="DA51" i="3"/>
  <c r="DB51" i="3"/>
  <c r="DC51" i="3"/>
  <c r="DH51" i="3"/>
  <c r="A52" i="3"/>
  <c r="Y52" i="3"/>
  <c r="CY52" i="3"/>
  <c r="CZ52" i="3"/>
  <c r="DB52" i="3" s="1"/>
  <c r="DA52" i="3"/>
  <c r="DC52" i="3"/>
  <c r="A53" i="3"/>
  <c r="Y53" i="3"/>
  <c r="CX53" i="3" s="1"/>
  <c r="DF53" i="3" s="1"/>
  <c r="CU53" i="3"/>
  <c r="CV53" i="3"/>
  <c r="CY53" i="3"/>
  <c r="CZ53" i="3"/>
  <c r="DB53" i="3" s="1"/>
  <c r="DA53" i="3"/>
  <c r="DC53" i="3"/>
  <c r="DG53" i="3"/>
  <c r="A54" i="3"/>
  <c r="Y54" i="3"/>
  <c r="CX54" i="3"/>
  <c r="DG54" i="3" s="1"/>
  <c r="CY54" i="3"/>
  <c r="CZ54" i="3"/>
  <c r="DB54" i="3" s="1"/>
  <c r="DA54" i="3"/>
  <c r="DC54" i="3"/>
  <c r="DF54" i="3"/>
  <c r="DJ54" i="3" s="1"/>
  <c r="DH54" i="3"/>
  <c r="DI54" i="3"/>
  <c r="A55" i="3"/>
  <c r="Y55" i="3"/>
  <c r="CX55" i="3"/>
  <c r="CY55" i="3"/>
  <c r="CZ55" i="3"/>
  <c r="DA55" i="3"/>
  <c r="DB55" i="3"/>
  <c r="DC55" i="3"/>
  <c r="DH55" i="3"/>
  <c r="DI55" i="3"/>
  <c r="A56" i="3"/>
  <c r="Y56" i="3"/>
  <c r="CX56" i="3"/>
  <c r="DG56" i="3" s="1"/>
  <c r="CY56" i="3"/>
  <c r="CZ56" i="3"/>
  <c r="DA56" i="3"/>
  <c r="DB56" i="3"/>
  <c r="DC56" i="3"/>
  <c r="A57" i="3"/>
  <c r="Y57" i="3"/>
  <c r="CX57" i="3" s="1"/>
  <c r="DF57" i="3" s="1"/>
  <c r="DJ57" i="3" s="1"/>
  <c r="CY57" i="3"/>
  <c r="CZ57" i="3"/>
  <c r="DB57" i="3" s="1"/>
  <c r="DA57" i="3"/>
  <c r="DC57" i="3"/>
  <c r="A58" i="3"/>
  <c r="Y58" i="3"/>
  <c r="CU58" i="3"/>
  <c r="CV58" i="3"/>
  <c r="CX58" i="3"/>
  <c r="CY58" i="3"/>
  <c r="CZ58" i="3"/>
  <c r="DA58" i="3"/>
  <c r="DB58" i="3"/>
  <c r="DC58" i="3"/>
  <c r="DH58" i="3"/>
  <c r="A59" i="3"/>
  <c r="Y59" i="3"/>
  <c r="CX59" i="3" s="1"/>
  <c r="CY59" i="3"/>
  <c r="CZ59" i="3"/>
  <c r="DB59" i="3" s="1"/>
  <c r="DA59" i="3"/>
  <c r="DC59" i="3"/>
  <c r="DF59" i="3"/>
  <c r="DG59" i="3"/>
  <c r="DJ59" i="3"/>
  <c r="A60" i="3"/>
  <c r="Y60" i="3"/>
  <c r="CX60" i="3"/>
  <c r="DG60" i="3" s="1"/>
  <c r="CY60" i="3"/>
  <c r="CZ60" i="3"/>
  <c r="DB60" i="3" s="1"/>
  <c r="DA60" i="3"/>
  <c r="DC60" i="3"/>
  <c r="DF60" i="3"/>
  <c r="DH60" i="3"/>
  <c r="DI60" i="3"/>
  <c r="DJ60" i="3"/>
  <c r="A61" i="3"/>
  <c r="Y61" i="3"/>
  <c r="CX61" i="3"/>
  <c r="DI61" i="3" s="1"/>
  <c r="CY61" i="3"/>
  <c r="CZ61" i="3"/>
  <c r="DA61" i="3"/>
  <c r="DB61" i="3"/>
  <c r="DC61" i="3"/>
  <c r="DH61" i="3"/>
  <c r="A62" i="3"/>
  <c r="Y62" i="3"/>
  <c r="CX62" i="3" s="1"/>
  <c r="CY62" i="3"/>
  <c r="CZ62" i="3"/>
  <c r="DA62" i="3"/>
  <c r="DB62" i="3"/>
  <c r="DC62" i="3"/>
  <c r="A63" i="3"/>
  <c r="Y63" i="3"/>
  <c r="CV63" i="3" s="1"/>
  <c r="CU63" i="3"/>
  <c r="CX63" i="3"/>
  <c r="DH63" i="3" s="1"/>
  <c r="CY63" i="3"/>
  <c r="CZ63" i="3"/>
  <c r="DA63" i="3"/>
  <c r="DB63" i="3"/>
  <c r="DC63" i="3"/>
  <c r="A64" i="3"/>
  <c r="Y64" i="3"/>
  <c r="CX64" i="3" s="1"/>
  <c r="CY64" i="3"/>
  <c r="CZ64" i="3"/>
  <c r="DA64" i="3"/>
  <c r="DB64" i="3"/>
  <c r="DC64" i="3"/>
  <c r="A65" i="3"/>
  <c r="Y65" i="3"/>
  <c r="CX65" i="3" s="1"/>
  <c r="CY65" i="3"/>
  <c r="CZ65" i="3"/>
  <c r="DB65" i="3" s="1"/>
  <c r="DA65" i="3"/>
  <c r="DC65" i="3"/>
  <c r="DF65" i="3"/>
  <c r="DJ65" i="3" s="1"/>
  <c r="DG65" i="3"/>
  <c r="A66" i="3"/>
  <c r="Y66" i="3"/>
  <c r="CX66" i="3"/>
  <c r="DG66" i="3" s="1"/>
  <c r="CY66" i="3"/>
  <c r="CZ66" i="3"/>
  <c r="DB66" i="3" s="1"/>
  <c r="DA66" i="3"/>
  <c r="DC66" i="3"/>
  <c r="DF66" i="3"/>
  <c r="DH66" i="3"/>
  <c r="DI66" i="3"/>
  <c r="DJ66" i="3"/>
  <c r="A67" i="3"/>
  <c r="Y67" i="3"/>
  <c r="CX67" i="3"/>
  <c r="DH67" i="3" s="1"/>
  <c r="CY67" i="3"/>
  <c r="CZ67" i="3"/>
  <c r="DA67" i="3"/>
  <c r="DB67" i="3"/>
  <c r="DC67" i="3"/>
  <c r="A68" i="3"/>
  <c r="Y68" i="3"/>
  <c r="CV68" i="3" s="1"/>
  <c r="CU68" i="3"/>
  <c r="CY68" i="3"/>
  <c r="CZ68" i="3"/>
  <c r="DB68" i="3" s="1"/>
  <c r="DA68" i="3"/>
  <c r="DC68" i="3"/>
  <c r="A69" i="3"/>
  <c r="Y69" i="3"/>
  <c r="CX69" i="3"/>
  <c r="DF69" i="3" s="1"/>
  <c r="DJ69" i="3" s="1"/>
  <c r="CY69" i="3"/>
  <c r="CZ69" i="3"/>
  <c r="DA69" i="3"/>
  <c r="DB69" i="3"/>
  <c r="DC69" i="3"/>
  <c r="DG69" i="3"/>
  <c r="DI69" i="3"/>
  <c r="A70" i="3"/>
  <c r="Y70" i="3"/>
  <c r="CX70" i="3" s="1"/>
  <c r="CY70" i="3"/>
  <c r="CZ70" i="3"/>
  <c r="DB70" i="3" s="1"/>
  <c r="DA70" i="3"/>
  <c r="DC70" i="3"/>
  <c r="A71" i="3"/>
  <c r="Y71" i="3"/>
  <c r="CX71" i="3" s="1"/>
  <c r="DH71" i="3" s="1"/>
  <c r="CY71" i="3"/>
  <c r="CZ71" i="3"/>
  <c r="DB71" i="3" s="1"/>
  <c r="DA71" i="3"/>
  <c r="DC71" i="3"/>
  <c r="DI71" i="3"/>
  <c r="A72" i="3"/>
  <c r="Y72" i="3"/>
  <c r="CX72" i="3"/>
  <c r="DG72" i="3" s="1"/>
  <c r="CY72" i="3"/>
  <c r="CZ72" i="3"/>
  <c r="DA72" i="3"/>
  <c r="DB72" i="3"/>
  <c r="DC72" i="3"/>
  <c r="DI72" i="3"/>
  <c r="A73" i="3"/>
  <c r="Y73" i="3"/>
  <c r="CX73" i="3" s="1"/>
  <c r="DH73" i="3" s="1"/>
  <c r="CU73" i="3"/>
  <c r="CV73" i="3"/>
  <c r="CY73" i="3"/>
  <c r="CZ73" i="3"/>
  <c r="DB73" i="3" s="1"/>
  <c r="DA73" i="3"/>
  <c r="DC73" i="3"/>
  <c r="DG73" i="3"/>
  <c r="DI73" i="3"/>
  <c r="DJ73" i="3" s="1"/>
  <c r="A74" i="3"/>
  <c r="Y74" i="3"/>
  <c r="CX74" i="3"/>
  <c r="DG74" i="3" s="1"/>
  <c r="CY74" i="3"/>
  <c r="CZ74" i="3"/>
  <c r="DA74" i="3"/>
  <c r="DB74" i="3"/>
  <c r="DC74" i="3"/>
  <c r="DI74" i="3"/>
  <c r="A75" i="3"/>
  <c r="Y75" i="3"/>
  <c r="CX75" i="3"/>
  <c r="DF75" i="3" s="1"/>
  <c r="DJ75" i="3" s="1"/>
  <c r="CY75" i="3"/>
  <c r="CZ75" i="3"/>
  <c r="DA75" i="3"/>
  <c r="DB75" i="3"/>
  <c r="DC75" i="3"/>
  <c r="DI75" i="3"/>
  <c r="A76" i="3"/>
  <c r="Y76" i="3"/>
  <c r="CX76" i="3"/>
  <c r="DI76" i="3" s="1"/>
  <c r="CY76" i="3"/>
  <c r="CZ76" i="3"/>
  <c r="DB76" i="3" s="1"/>
  <c r="DA76" i="3"/>
  <c r="DC76" i="3"/>
  <c r="DF76" i="3"/>
  <c r="DH76" i="3"/>
  <c r="DJ76" i="3"/>
  <c r="A77" i="3"/>
  <c r="Y77" i="3"/>
  <c r="CU77" i="3"/>
  <c r="CV77" i="3"/>
  <c r="CX77" i="3"/>
  <c r="DF77" i="3" s="1"/>
  <c r="CY77" i="3"/>
  <c r="CZ77" i="3"/>
  <c r="DA77" i="3"/>
  <c r="DB77" i="3"/>
  <c r="DC77" i="3"/>
  <c r="DH77" i="3"/>
  <c r="DI77" i="3"/>
  <c r="DJ77" i="3" s="1"/>
  <c r="A78" i="3"/>
  <c r="Y78" i="3"/>
  <c r="CX78" i="3"/>
  <c r="DH78" i="3" s="1"/>
  <c r="CY78" i="3"/>
  <c r="CZ78" i="3"/>
  <c r="DA78" i="3"/>
  <c r="DB78" i="3"/>
  <c r="DC78" i="3"/>
  <c r="A79" i="3"/>
  <c r="Y79" i="3"/>
  <c r="CX79" i="3" s="1"/>
  <c r="DH79" i="3" s="1"/>
  <c r="CY79" i="3"/>
  <c r="CZ79" i="3"/>
  <c r="DB79" i="3" s="1"/>
  <c r="DA79" i="3"/>
  <c r="DC79" i="3"/>
  <c r="DF79" i="3"/>
  <c r="DJ79" i="3" s="1"/>
  <c r="DG79" i="3"/>
  <c r="A80" i="3"/>
  <c r="Y80" i="3"/>
  <c r="CX80" i="3"/>
  <c r="DG80" i="3" s="1"/>
  <c r="CY80" i="3"/>
  <c r="CZ80" i="3"/>
  <c r="DB80" i="3" s="1"/>
  <c r="DA80" i="3"/>
  <c r="DC80" i="3"/>
  <c r="DF80" i="3"/>
  <c r="DJ80" i="3" s="1"/>
  <c r="DH80" i="3"/>
  <c r="DI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A98" i="3"/>
  <c r="DB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B109" i="3" s="1"/>
  <c r="DA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A122" i="3"/>
  <c r="DB122" i="3"/>
  <c r="DC12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T28" i="1" s="1"/>
  <c r="K28" i="1"/>
  <c r="S28" i="1"/>
  <c r="X28" i="1"/>
  <c r="AC28" i="1"/>
  <c r="AE28" i="1"/>
  <c r="AF28" i="1"/>
  <c r="AG28" i="1"/>
  <c r="AH28" i="1"/>
  <c r="AI28" i="1"/>
  <c r="CW28" i="1" s="1"/>
  <c r="V28" i="1" s="1"/>
  <c r="AJ28" i="1"/>
  <c r="CQ28" i="1"/>
  <c r="CR28" i="1"/>
  <c r="CT28" i="1"/>
  <c r="CU28" i="1"/>
  <c r="CV28" i="1"/>
  <c r="U28" i="1" s="1"/>
  <c r="CX28" i="1"/>
  <c r="W28" i="1" s="1"/>
  <c r="GL28" i="1"/>
  <c r="GN28" i="1"/>
  <c r="GP28" i="1"/>
  <c r="GV28" i="1"/>
  <c r="HC28" i="1" s="1"/>
  <c r="GX28" i="1" s="1"/>
  <c r="C29" i="1"/>
  <c r="D29" i="1"/>
  <c r="I29" i="1"/>
  <c r="R29" i="1" s="1"/>
  <c r="K29" i="1"/>
  <c r="P29" i="1"/>
  <c r="S29" i="1"/>
  <c r="Y29" i="1" s="1"/>
  <c r="T29" i="1"/>
  <c r="X29" i="1"/>
  <c r="AC29" i="1"/>
  <c r="AD29" i="1"/>
  <c r="AE29" i="1"/>
  <c r="Q29" i="1" s="1"/>
  <c r="AF29" i="1"/>
  <c r="AG29" i="1"/>
  <c r="AH29" i="1"/>
  <c r="CV29" i="1" s="1"/>
  <c r="U29" i="1" s="1"/>
  <c r="AI29" i="1"/>
  <c r="CW29" i="1" s="1"/>
  <c r="V29" i="1" s="1"/>
  <c r="AJ29" i="1"/>
  <c r="CQ29" i="1"/>
  <c r="CR29" i="1"/>
  <c r="CT29" i="1"/>
  <c r="CU29" i="1"/>
  <c r="CX29" i="1"/>
  <c r="W29" i="1" s="1"/>
  <c r="CY29" i="1"/>
  <c r="GL29" i="1"/>
  <c r="GN29" i="1"/>
  <c r="GP29" i="1"/>
  <c r="GV29" i="1"/>
  <c r="HC29" i="1" s="1"/>
  <c r="GX29" i="1" s="1"/>
  <c r="P30" i="1"/>
  <c r="FR30" i="1" s="1"/>
  <c r="U30" i="1"/>
  <c r="AC30" i="1"/>
  <c r="AE30" i="1"/>
  <c r="AF30" i="1"/>
  <c r="S30" i="1" s="1"/>
  <c r="AG30" i="1"/>
  <c r="AH30" i="1"/>
  <c r="AI30" i="1"/>
  <c r="CW30" i="1" s="1"/>
  <c r="V30" i="1" s="1"/>
  <c r="AJ30" i="1"/>
  <c r="CX30" i="1" s="1"/>
  <c r="W30" i="1" s="1"/>
  <c r="CQ30" i="1"/>
  <c r="CR30" i="1"/>
  <c r="CU30" i="1"/>
  <c r="T30" i="1" s="1"/>
  <c r="CV30" i="1"/>
  <c r="GL30" i="1"/>
  <c r="GN30" i="1"/>
  <c r="GO30" i="1"/>
  <c r="GP30" i="1"/>
  <c r="GV30" i="1"/>
  <c r="HC30" i="1" s="1"/>
  <c r="GX30" i="1" s="1"/>
  <c r="P31" i="1"/>
  <c r="FR31" i="1" s="1"/>
  <c r="AC31" i="1"/>
  <c r="AE31" i="1"/>
  <c r="AF31" i="1"/>
  <c r="S31" i="1" s="1"/>
  <c r="Y31" i="1" s="1"/>
  <c r="AG31" i="1"/>
  <c r="AH31" i="1"/>
  <c r="AI31" i="1"/>
  <c r="CW31" i="1" s="1"/>
  <c r="V31" i="1" s="1"/>
  <c r="AJ31" i="1"/>
  <c r="CX31" i="1" s="1"/>
  <c r="W31" i="1" s="1"/>
  <c r="CQ31" i="1"/>
  <c r="CR31" i="1"/>
  <c r="CU31" i="1"/>
  <c r="T31" i="1" s="1"/>
  <c r="CV31" i="1"/>
  <c r="U31" i="1" s="1"/>
  <c r="GL31" i="1"/>
  <c r="GN31" i="1"/>
  <c r="GO31" i="1"/>
  <c r="GP31" i="1"/>
  <c r="GV31" i="1"/>
  <c r="HC31" i="1" s="1"/>
  <c r="GX31" i="1" s="1"/>
  <c r="C32" i="1"/>
  <c r="D32" i="1"/>
  <c r="R32" i="1"/>
  <c r="AC32" i="1"/>
  <c r="AD32" i="1"/>
  <c r="AE32" i="1"/>
  <c r="Q32" i="1" s="1"/>
  <c r="AF32" i="1"/>
  <c r="AB32" i="1" s="1"/>
  <c r="AG32" i="1"/>
  <c r="CU32" i="1" s="1"/>
  <c r="T32" i="1" s="1"/>
  <c r="AH32" i="1"/>
  <c r="AI32" i="1"/>
  <c r="AJ32" i="1"/>
  <c r="CR32" i="1"/>
  <c r="CS32" i="1"/>
  <c r="CT32" i="1"/>
  <c r="CV32" i="1"/>
  <c r="U32" i="1" s="1"/>
  <c r="CW32" i="1"/>
  <c r="V32" i="1" s="1"/>
  <c r="CX32" i="1"/>
  <c r="W32" i="1" s="1"/>
  <c r="GL32" i="1"/>
  <c r="GN32" i="1"/>
  <c r="GP32" i="1"/>
  <c r="GV32" i="1"/>
  <c r="HC32" i="1" s="1"/>
  <c r="GX32" i="1" s="1"/>
  <c r="C33" i="1"/>
  <c r="D33" i="1"/>
  <c r="Q33" i="1"/>
  <c r="R33" i="1"/>
  <c r="AC33" i="1"/>
  <c r="P33" i="1" s="1"/>
  <c r="AE33" i="1"/>
  <c r="AD33" i="1" s="1"/>
  <c r="AF33" i="1"/>
  <c r="AG33" i="1"/>
  <c r="AH33" i="1"/>
  <c r="AI33" i="1"/>
  <c r="AJ33" i="1"/>
  <c r="CX33" i="1" s="1"/>
  <c r="W33" i="1" s="1"/>
  <c r="CQ33" i="1"/>
  <c r="CR33" i="1"/>
  <c r="CS33" i="1"/>
  <c r="CU33" i="1"/>
  <c r="T33" i="1" s="1"/>
  <c r="CV33" i="1"/>
  <c r="U33" i="1" s="1"/>
  <c r="CW33" i="1"/>
  <c r="V33" i="1" s="1"/>
  <c r="GL33" i="1"/>
  <c r="GN33" i="1"/>
  <c r="GP33" i="1"/>
  <c r="GV33" i="1"/>
  <c r="HC33" i="1"/>
  <c r="GX33" i="1" s="1"/>
  <c r="R34" i="1"/>
  <c r="S34" i="1"/>
  <c r="AC34" i="1"/>
  <c r="AE34" i="1"/>
  <c r="AD34" i="1" s="1"/>
  <c r="AF34" i="1"/>
  <c r="AG34" i="1"/>
  <c r="CU34" i="1" s="1"/>
  <c r="T34" i="1" s="1"/>
  <c r="AH34" i="1"/>
  <c r="AI34" i="1"/>
  <c r="AJ34" i="1"/>
  <c r="CR34" i="1"/>
  <c r="CS34" i="1"/>
  <c r="CT34" i="1"/>
  <c r="CV34" i="1"/>
  <c r="U34" i="1" s="1"/>
  <c r="CW34" i="1"/>
  <c r="V34" i="1" s="1"/>
  <c r="CX34" i="1"/>
  <c r="W34" i="1" s="1"/>
  <c r="GL34" i="1"/>
  <c r="GN34" i="1"/>
  <c r="GP34" i="1"/>
  <c r="GV34" i="1"/>
  <c r="HC34" i="1" s="1"/>
  <c r="GX34" i="1" s="1"/>
  <c r="P35" i="1"/>
  <c r="R35" i="1"/>
  <c r="S35" i="1"/>
  <c r="W35" i="1"/>
  <c r="X35" i="1"/>
  <c r="AC35" i="1"/>
  <c r="AB35" i="1" s="1"/>
  <c r="AD35" i="1"/>
  <c r="AE35" i="1"/>
  <c r="Q35" i="1" s="1"/>
  <c r="AF35" i="1"/>
  <c r="AG35" i="1"/>
  <c r="CU35" i="1" s="1"/>
  <c r="T35" i="1" s="1"/>
  <c r="AH35" i="1"/>
  <c r="CV35" i="1" s="1"/>
  <c r="U35" i="1" s="1"/>
  <c r="AI35" i="1"/>
  <c r="AJ35" i="1"/>
  <c r="CR35" i="1"/>
  <c r="CS35" i="1"/>
  <c r="CT35" i="1"/>
  <c r="CW35" i="1"/>
  <c r="V35" i="1" s="1"/>
  <c r="CX35" i="1"/>
  <c r="CY35" i="1"/>
  <c r="GL35" i="1"/>
  <c r="GN35" i="1"/>
  <c r="GP35" i="1"/>
  <c r="GV35" i="1"/>
  <c r="HC35" i="1" s="1"/>
  <c r="GX35" i="1"/>
  <c r="C36" i="1"/>
  <c r="D36" i="1"/>
  <c r="I36" i="1"/>
  <c r="K36" i="1"/>
  <c r="P36" i="1"/>
  <c r="AC36" i="1"/>
  <c r="AD36" i="1"/>
  <c r="AE36" i="1"/>
  <c r="CS36" i="1" s="1"/>
  <c r="AF36" i="1"/>
  <c r="AG36" i="1"/>
  <c r="AH36" i="1"/>
  <c r="CV36" i="1" s="1"/>
  <c r="U36" i="1" s="1"/>
  <c r="AI36" i="1"/>
  <c r="CW36" i="1" s="1"/>
  <c r="V36" i="1" s="1"/>
  <c r="AJ36" i="1"/>
  <c r="CQ36" i="1"/>
  <c r="CR36" i="1"/>
  <c r="CT36" i="1"/>
  <c r="CU36" i="1"/>
  <c r="T36" i="1" s="1"/>
  <c r="CX36" i="1"/>
  <c r="W36" i="1" s="1"/>
  <c r="GL36" i="1"/>
  <c r="GN36" i="1"/>
  <c r="GP36" i="1"/>
  <c r="GV36" i="1"/>
  <c r="GX36" i="1"/>
  <c r="HC36" i="1"/>
  <c r="C37" i="1"/>
  <c r="D37" i="1"/>
  <c r="I37" i="1"/>
  <c r="U37" i="1" s="1"/>
  <c r="K37" i="1"/>
  <c r="AC37" i="1"/>
  <c r="P37" i="1" s="1"/>
  <c r="AE37" i="1"/>
  <c r="AD37" i="1" s="1"/>
  <c r="AB37" i="1" s="1"/>
  <c r="AF37" i="1"/>
  <c r="AG37" i="1"/>
  <c r="AH37" i="1"/>
  <c r="AI37" i="1"/>
  <c r="AJ37" i="1"/>
  <c r="CX37" i="1" s="1"/>
  <c r="CQ37" i="1"/>
  <c r="CR37" i="1"/>
  <c r="CS37" i="1"/>
  <c r="CU37" i="1"/>
  <c r="CV37" i="1"/>
  <c r="CW37" i="1"/>
  <c r="V37" i="1" s="1"/>
  <c r="GL37" i="1"/>
  <c r="GN37" i="1"/>
  <c r="GP37" i="1"/>
  <c r="GV37" i="1"/>
  <c r="HC37" i="1"/>
  <c r="R38" i="1"/>
  <c r="AC38" i="1"/>
  <c r="AE38" i="1"/>
  <c r="AD38" i="1" s="1"/>
  <c r="AF38" i="1"/>
  <c r="AG38" i="1"/>
  <c r="CU38" i="1" s="1"/>
  <c r="T38" i="1" s="1"/>
  <c r="AH38" i="1"/>
  <c r="AI38" i="1"/>
  <c r="AJ38" i="1"/>
  <c r="CX38" i="1" s="1"/>
  <c r="W38" i="1" s="1"/>
  <c r="CR38" i="1"/>
  <c r="CS38" i="1"/>
  <c r="CV38" i="1"/>
  <c r="U38" i="1" s="1"/>
  <c r="CW38" i="1"/>
  <c r="V38" i="1" s="1"/>
  <c r="GL38" i="1"/>
  <c r="GN38" i="1"/>
  <c r="GO38" i="1"/>
  <c r="GP38" i="1"/>
  <c r="GV38" i="1"/>
  <c r="HC38" i="1"/>
  <c r="GX38" i="1" s="1"/>
  <c r="R39" i="1"/>
  <c r="S39" i="1"/>
  <c r="AB39" i="1"/>
  <c r="AC39" i="1"/>
  <c r="AE39" i="1"/>
  <c r="AD39" i="1" s="1"/>
  <c r="AF39" i="1"/>
  <c r="AG39" i="1"/>
  <c r="CU39" i="1" s="1"/>
  <c r="T39" i="1" s="1"/>
  <c r="AH39" i="1"/>
  <c r="AI39" i="1"/>
  <c r="AJ39" i="1"/>
  <c r="CR39" i="1"/>
  <c r="CS39" i="1"/>
  <c r="CT39" i="1"/>
  <c r="CV39" i="1"/>
  <c r="U39" i="1" s="1"/>
  <c r="CW39" i="1"/>
  <c r="V39" i="1" s="1"/>
  <c r="CX39" i="1"/>
  <c r="W39" i="1" s="1"/>
  <c r="GL39" i="1"/>
  <c r="GN39" i="1"/>
  <c r="GO39" i="1"/>
  <c r="GP39" i="1"/>
  <c r="GV39" i="1"/>
  <c r="GX39" i="1"/>
  <c r="HC39" i="1"/>
  <c r="C40" i="1"/>
  <c r="D40" i="1"/>
  <c r="S40" i="1"/>
  <c r="X40" i="1"/>
  <c r="AC40" i="1"/>
  <c r="CQ40" i="1" s="1"/>
  <c r="AE40" i="1"/>
  <c r="AF40" i="1"/>
  <c r="CT40" i="1" s="1"/>
  <c r="AG40" i="1"/>
  <c r="CU40" i="1" s="1"/>
  <c r="T40" i="1" s="1"/>
  <c r="AH40" i="1"/>
  <c r="AI40" i="1"/>
  <c r="CW40" i="1" s="1"/>
  <c r="V40" i="1" s="1"/>
  <c r="AJ40" i="1"/>
  <c r="CX40" i="1" s="1"/>
  <c r="W40" i="1" s="1"/>
  <c r="CR40" i="1"/>
  <c r="CV40" i="1"/>
  <c r="U40" i="1" s="1"/>
  <c r="CZ40" i="1"/>
  <c r="GL40" i="1"/>
  <c r="GN40" i="1"/>
  <c r="GP40" i="1"/>
  <c r="GV40" i="1"/>
  <c r="HC40" i="1"/>
  <c r="GX40" i="1" s="1"/>
  <c r="C41" i="1"/>
  <c r="D41" i="1"/>
  <c r="P41" i="1"/>
  <c r="T41" i="1"/>
  <c r="AC41" i="1"/>
  <c r="AD41" i="1"/>
  <c r="AB41" i="1" s="1"/>
  <c r="AE41" i="1"/>
  <c r="Q41" i="1" s="1"/>
  <c r="AF41" i="1"/>
  <c r="S41" i="1" s="1"/>
  <c r="AG41" i="1"/>
  <c r="AH41" i="1"/>
  <c r="CV41" i="1" s="1"/>
  <c r="U41" i="1" s="1"/>
  <c r="AI41" i="1"/>
  <c r="CW41" i="1" s="1"/>
  <c r="V41" i="1" s="1"/>
  <c r="AJ41" i="1"/>
  <c r="CX41" i="1" s="1"/>
  <c r="W41" i="1" s="1"/>
  <c r="CQ41" i="1"/>
  <c r="CR41" i="1"/>
  <c r="CU41" i="1"/>
  <c r="CY41" i="1"/>
  <c r="GL41" i="1"/>
  <c r="GN41" i="1"/>
  <c r="GP41" i="1"/>
  <c r="GV41" i="1"/>
  <c r="GX41" i="1"/>
  <c r="HC41" i="1"/>
  <c r="Q42" i="1"/>
  <c r="R42" i="1"/>
  <c r="U42" i="1"/>
  <c r="AC42" i="1"/>
  <c r="P42" i="1" s="1"/>
  <c r="AE42" i="1"/>
  <c r="AD42" i="1" s="1"/>
  <c r="AF42" i="1"/>
  <c r="AG42" i="1"/>
  <c r="CU42" i="1" s="1"/>
  <c r="T42" i="1" s="1"/>
  <c r="AH42" i="1"/>
  <c r="AI42" i="1"/>
  <c r="AJ42" i="1"/>
  <c r="CX42" i="1" s="1"/>
  <c r="W42" i="1" s="1"/>
  <c r="CR42" i="1"/>
  <c r="CS42" i="1"/>
  <c r="CV42" i="1"/>
  <c r="CW42" i="1"/>
  <c r="V42" i="1" s="1"/>
  <c r="FR42" i="1"/>
  <c r="GL42" i="1"/>
  <c r="GN42" i="1"/>
  <c r="GO42" i="1"/>
  <c r="GP42" i="1"/>
  <c r="GV42" i="1"/>
  <c r="GX42" i="1"/>
  <c r="HC42" i="1"/>
  <c r="Q43" i="1"/>
  <c r="U43" i="1"/>
  <c r="AC43" i="1"/>
  <c r="P43" i="1" s="1"/>
  <c r="FR43" i="1" s="1"/>
  <c r="AE43" i="1"/>
  <c r="AD43" i="1" s="1"/>
  <c r="AB43" i="1" s="1"/>
  <c r="AF43" i="1"/>
  <c r="AG43" i="1"/>
  <c r="CU43" i="1" s="1"/>
  <c r="T43" i="1" s="1"/>
  <c r="AH43" i="1"/>
  <c r="AI43" i="1"/>
  <c r="AJ43" i="1"/>
  <c r="CX43" i="1" s="1"/>
  <c r="W43" i="1" s="1"/>
  <c r="CS43" i="1"/>
  <c r="CV43" i="1"/>
  <c r="CW43" i="1"/>
  <c r="V43" i="1" s="1"/>
  <c r="GL43" i="1"/>
  <c r="GN43" i="1"/>
  <c r="GO43" i="1"/>
  <c r="GP43" i="1"/>
  <c r="GV43" i="1"/>
  <c r="GX43" i="1"/>
  <c r="HC43" i="1"/>
  <c r="Q44" i="1"/>
  <c r="R44" i="1"/>
  <c r="U44" i="1"/>
  <c r="AC44" i="1"/>
  <c r="P44" i="1" s="1"/>
  <c r="AE44" i="1"/>
  <c r="AD44" i="1" s="1"/>
  <c r="AF44" i="1"/>
  <c r="AG44" i="1"/>
  <c r="CU44" i="1" s="1"/>
  <c r="T44" i="1" s="1"/>
  <c r="AH44" i="1"/>
  <c r="AI44" i="1"/>
  <c r="AJ44" i="1"/>
  <c r="CX44" i="1" s="1"/>
  <c r="W44" i="1" s="1"/>
  <c r="CR44" i="1"/>
  <c r="CS44" i="1"/>
  <c r="CV44" i="1"/>
  <c r="CW44" i="1"/>
  <c r="V44" i="1" s="1"/>
  <c r="FR44" i="1"/>
  <c r="GL44" i="1"/>
  <c r="GN44" i="1"/>
  <c r="GO44" i="1"/>
  <c r="GP44" i="1"/>
  <c r="GV44" i="1"/>
  <c r="GX44" i="1"/>
  <c r="HC44" i="1"/>
  <c r="Q45" i="1"/>
  <c r="U45" i="1"/>
  <c r="AC45" i="1"/>
  <c r="P45" i="1" s="1"/>
  <c r="FR45" i="1" s="1"/>
  <c r="AE45" i="1"/>
  <c r="AD45" i="1" s="1"/>
  <c r="AB45" i="1" s="1"/>
  <c r="AF45" i="1"/>
  <c r="AG45" i="1"/>
  <c r="CU45" i="1" s="1"/>
  <c r="T45" i="1" s="1"/>
  <c r="AH45" i="1"/>
  <c r="AI45" i="1"/>
  <c r="AJ45" i="1"/>
  <c r="CX45" i="1" s="1"/>
  <c r="W45" i="1" s="1"/>
  <c r="CS45" i="1"/>
  <c r="CV45" i="1"/>
  <c r="CW45" i="1"/>
  <c r="V45" i="1" s="1"/>
  <c r="GL45" i="1"/>
  <c r="GN45" i="1"/>
  <c r="GO45" i="1"/>
  <c r="GP45" i="1"/>
  <c r="GV45" i="1"/>
  <c r="GX45" i="1"/>
  <c r="HC45" i="1"/>
  <c r="C46" i="1"/>
  <c r="D46" i="1"/>
  <c r="I46" i="1"/>
  <c r="Q46" i="1" s="1"/>
  <c r="K46" i="1"/>
  <c r="U46" i="1"/>
  <c r="AC46" i="1"/>
  <c r="AE46" i="1"/>
  <c r="AD46" i="1" s="1"/>
  <c r="AF46" i="1"/>
  <c r="AG46" i="1"/>
  <c r="CU46" i="1" s="1"/>
  <c r="AH46" i="1"/>
  <c r="AI46" i="1"/>
  <c r="AJ46" i="1"/>
  <c r="CX46" i="1" s="1"/>
  <c r="W46" i="1" s="1"/>
  <c r="CR46" i="1"/>
  <c r="CS46" i="1"/>
  <c r="CV46" i="1"/>
  <c r="CW46" i="1"/>
  <c r="V46" i="1" s="1"/>
  <c r="GL46" i="1"/>
  <c r="GN46" i="1"/>
  <c r="GP46" i="1"/>
  <c r="GV46" i="1"/>
  <c r="HC46" i="1"/>
  <c r="GX46" i="1" s="1"/>
  <c r="C47" i="1"/>
  <c r="D47" i="1"/>
  <c r="I47" i="1"/>
  <c r="K47" i="1"/>
  <c r="P47" i="1"/>
  <c r="CP47" i="1" s="1"/>
  <c r="O47" i="1" s="1"/>
  <c r="R47" i="1"/>
  <c r="S47" i="1"/>
  <c r="V47" i="1"/>
  <c r="AC47" i="1"/>
  <c r="AD47" i="1"/>
  <c r="AE47" i="1"/>
  <c r="Q47" i="1" s="1"/>
  <c r="AF47" i="1"/>
  <c r="AG47" i="1"/>
  <c r="CU47" i="1" s="1"/>
  <c r="T47" i="1" s="1"/>
  <c r="AH47" i="1"/>
  <c r="CV47" i="1" s="1"/>
  <c r="U47" i="1" s="1"/>
  <c r="AI47" i="1"/>
  <c r="AJ47" i="1"/>
  <c r="CR47" i="1"/>
  <c r="CS47" i="1"/>
  <c r="CT47" i="1"/>
  <c r="CW47" i="1"/>
  <c r="CX47" i="1"/>
  <c r="W47" i="1" s="1"/>
  <c r="GL47" i="1"/>
  <c r="GN47" i="1"/>
  <c r="GP47" i="1"/>
  <c r="GV47" i="1"/>
  <c r="HC47" i="1" s="1"/>
  <c r="GX47" i="1"/>
  <c r="S48" i="1"/>
  <c r="X48" i="1" s="1"/>
  <c r="U48" i="1"/>
  <c r="AC48" i="1"/>
  <c r="P48" i="1" s="1"/>
  <c r="AE48" i="1"/>
  <c r="AF48" i="1"/>
  <c r="AG48" i="1"/>
  <c r="AH48" i="1"/>
  <c r="AI48" i="1"/>
  <c r="CW48" i="1" s="1"/>
  <c r="V48" i="1" s="1"/>
  <c r="AJ48" i="1"/>
  <c r="CR48" i="1"/>
  <c r="CT48" i="1"/>
  <c r="CU48" i="1"/>
  <c r="T48" i="1" s="1"/>
  <c r="CV48" i="1"/>
  <c r="CX48" i="1"/>
  <c r="W48" i="1" s="1"/>
  <c r="CZ48" i="1"/>
  <c r="GL48" i="1"/>
  <c r="GN48" i="1"/>
  <c r="GO48" i="1"/>
  <c r="GP48" i="1"/>
  <c r="GV48" i="1"/>
  <c r="HC48" i="1" s="1"/>
  <c r="GX48" i="1" s="1"/>
  <c r="Q49" i="1"/>
  <c r="S49" i="1"/>
  <c r="CZ49" i="1" s="1"/>
  <c r="T49" i="1"/>
  <c r="W49" i="1"/>
  <c r="Y49" i="1"/>
  <c r="AC49" i="1"/>
  <c r="AD49" i="1"/>
  <c r="AE49" i="1"/>
  <c r="AF49" i="1"/>
  <c r="AG49" i="1"/>
  <c r="AH49" i="1"/>
  <c r="AI49" i="1"/>
  <c r="CW49" i="1" s="1"/>
  <c r="V49" i="1" s="1"/>
  <c r="AJ49" i="1"/>
  <c r="CQ49" i="1"/>
  <c r="CR49" i="1"/>
  <c r="CT49" i="1"/>
  <c r="CU49" i="1"/>
  <c r="CV49" i="1"/>
  <c r="U49" i="1" s="1"/>
  <c r="CX49" i="1"/>
  <c r="CY49" i="1"/>
  <c r="GL49" i="1"/>
  <c r="GN49" i="1"/>
  <c r="GO49" i="1"/>
  <c r="GP49" i="1"/>
  <c r="GV49" i="1"/>
  <c r="HC49" i="1" s="1"/>
  <c r="GX49" i="1"/>
  <c r="S50" i="1"/>
  <c r="U50" i="1"/>
  <c r="AC50" i="1"/>
  <c r="AE50" i="1"/>
  <c r="AF50" i="1"/>
  <c r="AG50" i="1"/>
  <c r="AH50" i="1"/>
  <c r="AI50" i="1"/>
  <c r="CW50" i="1" s="1"/>
  <c r="V50" i="1" s="1"/>
  <c r="AJ50" i="1"/>
  <c r="CT50" i="1"/>
  <c r="CU50" i="1"/>
  <c r="T50" i="1" s="1"/>
  <c r="CV50" i="1"/>
  <c r="CX50" i="1"/>
  <c r="W50" i="1" s="1"/>
  <c r="CZ50" i="1"/>
  <c r="GL50" i="1"/>
  <c r="GN50" i="1"/>
  <c r="GO50" i="1"/>
  <c r="GP50" i="1"/>
  <c r="GV50" i="1"/>
  <c r="HC50" i="1" s="1"/>
  <c r="GX50" i="1" s="1"/>
  <c r="Q51" i="1"/>
  <c r="S51" i="1"/>
  <c r="T51" i="1"/>
  <c r="W51" i="1"/>
  <c r="Y51" i="1"/>
  <c r="AC51" i="1"/>
  <c r="AD51" i="1"/>
  <c r="AE51" i="1"/>
  <c r="AF51" i="1"/>
  <c r="AG51" i="1"/>
  <c r="AH51" i="1"/>
  <c r="AI51" i="1"/>
  <c r="CW51" i="1" s="1"/>
  <c r="V51" i="1" s="1"/>
  <c r="AJ51" i="1"/>
  <c r="CQ51" i="1"/>
  <c r="CR51" i="1"/>
  <c r="CT51" i="1"/>
  <c r="CU51" i="1"/>
  <c r="CV51" i="1"/>
  <c r="U51" i="1" s="1"/>
  <c r="CX51" i="1"/>
  <c r="CY51" i="1"/>
  <c r="CZ51" i="1"/>
  <c r="GL51" i="1"/>
  <c r="GN51" i="1"/>
  <c r="GO51" i="1"/>
  <c r="GP51" i="1"/>
  <c r="GV51" i="1"/>
  <c r="HC51" i="1" s="1"/>
  <c r="GX51" i="1"/>
  <c r="S52" i="1"/>
  <c r="CZ52" i="1" s="1"/>
  <c r="U52" i="1"/>
  <c r="AC52" i="1"/>
  <c r="AE52" i="1"/>
  <c r="AF52" i="1"/>
  <c r="AG52" i="1"/>
  <c r="AH52" i="1"/>
  <c r="AI52" i="1"/>
  <c r="CW52" i="1" s="1"/>
  <c r="V52" i="1" s="1"/>
  <c r="AJ52" i="1"/>
  <c r="CT52" i="1"/>
  <c r="CU52" i="1"/>
  <c r="T52" i="1" s="1"/>
  <c r="CV52" i="1"/>
  <c r="CX52" i="1"/>
  <c r="W52" i="1" s="1"/>
  <c r="GL52" i="1"/>
  <c r="GN52" i="1"/>
  <c r="GO52" i="1"/>
  <c r="GP52" i="1"/>
  <c r="GV52" i="1"/>
  <c r="HC52" i="1" s="1"/>
  <c r="GX52" i="1" s="1"/>
  <c r="Q53" i="1"/>
  <c r="S53" i="1"/>
  <c r="CZ53" i="1" s="1"/>
  <c r="T53" i="1"/>
  <c r="W53" i="1"/>
  <c r="Y53" i="1"/>
  <c r="AC53" i="1"/>
  <c r="AD53" i="1"/>
  <c r="AE53" i="1"/>
  <c r="AF53" i="1"/>
  <c r="AG53" i="1"/>
  <c r="AH53" i="1"/>
  <c r="AI53" i="1"/>
  <c r="CW53" i="1" s="1"/>
  <c r="V53" i="1" s="1"/>
  <c r="AJ53" i="1"/>
  <c r="CQ53" i="1"/>
  <c r="CR53" i="1"/>
  <c r="CT53" i="1"/>
  <c r="CU53" i="1"/>
  <c r="CV53" i="1"/>
  <c r="U53" i="1" s="1"/>
  <c r="CX53" i="1"/>
  <c r="CY53" i="1"/>
  <c r="GL53" i="1"/>
  <c r="FR79" i="1" s="1"/>
  <c r="GN53" i="1"/>
  <c r="GO53" i="1"/>
  <c r="GP53" i="1"/>
  <c r="GV53" i="1"/>
  <c r="HC53" i="1" s="1"/>
  <c r="GX53" i="1"/>
  <c r="C54" i="1"/>
  <c r="D54" i="1"/>
  <c r="Q54" i="1"/>
  <c r="S54" i="1"/>
  <c r="Y54" i="1" s="1"/>
  <c r="AC54" i="1"/>
  <c r="AE54" i="1"/>
  <c r="AD54" i="1" s="1"/>
  <c r="AF54" i="1"/>
  <c r="AG54" i="1"/>
  <c r="CU54" i="1" s="1"/>
  <c r="T54" i="1" s="1"/>
  <c r="AH54" i="1"/>
  <c r="AI54" i="1"/>
  <c r="AJ54" i="1"/>
  <c r="CX54" i="1" s="1"/>
  <c r="W54" i="1" s="1"/>
  <c r="CR54" i="1"/>
  <c r="CS54" i="1"/>
  <c r="CT54" i="1"/>
  <c r="CV54" i="1"/>
  <c r="U54" i="1" s="1"/>
  <c r="CW54" i="1"/>
  <c r="V54" i="1" s="1"/>
  <c r="CZ54" i="1"/>
  <c r="GL54" i="1"/>
  <c r="GN54" i="1"/>
  <c r="GP54" i="1"/>
  <c r="GV54" i="1"/>
  <c r="HC54" i="1" s="1"/>
  <c r="GX54" i="1" s="1"/>
  <c r="C55" i="1"/>
  <c r="D55" i="1"/>
  <c r="P55" i="1"/>
  <c r="R55" i="1"/>
  <c r="T55" i="1"/>
  <c r="AC55" i="1"/>
  <c r="AD55" i="1"/>
  <c r="AB55" i="1" s="1"/>
  <c r="AE55" i="1"/>
  <c r="Q55" i="1" s="1"/>
  <c r="AF55" i="1"/>
  <c r="AG55" i="1"/>
  <c r="AH55" i="1"/>
  <c r="CV55" i="1" s="1"/>
  <c r="U55" i="1" s="1"/>
  <c r="AI55" i="1"/>
  <c r="AJ55" i="1"/>
  <c r="CX55" i="1" s="1"/>
  <c r="W55" i="1" s="1"/>
  <c r="CQ55" i="1"/>
  <c r="CR55" i="1"/>
  <c r="CS55" i="1"/>
  <c r="CU55" i="1"/>
  <c r="CW55" i="1"/>
  <c r="V55" i="1" s="1"/>
  <c r="EA79" i="1" s="1"/>
  <c r="GL55" i="1"/>
  <c r="GN55" i="1"/>
  <c r="GP55" i="1"/>
  <c r="GV55" i="1"/>
  <c r="GX55" i="1"/>
  <c r="HC55" i="1"/>
  <c r="Q56" i="1"/>
  <c r="S56" i="1"/>
  <c r="W56" i="1"/>
  <c r="Y56" i="1"/>
  <c r="AC56" i="1"/>
  <c r="AE56" i="1"/>
  <c r="AF56" i="1"/>
  <c r="AG56" i="1"/>
  <c r="CU56" i="1" s="1"/>
  <c r="T56" i="1" s="1"/>
  <c r="AH56" i="1"/>
  <c r="AI56" i="1"/>
  <c r="CW56" i="1" s="1"/>
  <c r="V56" i="1" s="1"/>
  <c r="AJ56" i="1"/>
  <c r="CR56" i="1"/>
  <c r="CT56" i="1"/>
  <c r="CV56" i="1"/>
  <c r="U56" i="1" s="1"/>
  <c r="CX56" i="1"/>
  <c r="CZ56" i="1"/>
  <c r="GL56" i="1"/>
  <c r="GN56" i="1"/>
  <c r="GO56" i="1"/>
  <c r="GP56" i="1"/>
  <c r="GV56" i="1"/>
  <c r="GX56" i="1"/>
  <c r="HC56" i="1"/>
  <c r="S57" i="1"/>
  <c r="CZ57" i="1" s="1"/>
  <c r="U57" i="1"/>
  <c r="W57" i="1"/>
  <c r="AC57" i="1"/>
  <c r="AE57" i="1"/>
  <c r="Q57" i="1" s="1"/>
  <c r="AF57" i="1"/>
  <c r="AG57" i="1"/>
  <c r="CU57" i="1" s="1"/>
  <c r="T57" i="1" s="1"/>
  <c r="AH57" i="1"/>
  <c r="AI57" i="1"/>
  <c r="CW57" i="1" s="1"/>
  <c r="V57" i="1" s="1"/>
  <c r="AJ57" i="1"/>
  <c r="CR57" i="1"/>
  <c r="CT57" i="1"/>
  <c r="CV57" i="1"/>
  <c r="CX57" i="1"/>
  <c r="GL57" i="1"/>
  <c r="GN57" i="1"/>
  <c r="GO57" i="1"/>
  <c r="GP57" i="1"/>
  <c r="GV57" i="1"/>
  <c r="GX57" i="1"/>
  <c r="HC57" i="1"/>
  <c r="C58" i="1"/>
  <c r="D58" i="1"/>
  <c r="S58" i="1"/>
  <c r="CZ58" i="1" s="1"/>
  <c r="U58" i="1"/>
  <c r="W58" i="1"/>
  <c r="AC58" i="1"/>
  <c r="AE58" i="1"/>
  <c r="Q58" i="1" s="1"/>
  <c r="AF58" i="1"/>
  <c r="AG58" i="1"/>
  <c r="CU58" i="1" s="1"/>
  <c r="T58" i="1" s="1"/>
  <c r="AH58" i="1"/>
  <c r="AI58" i="1"/>
  <c r="CW58" i="1" s="1"/>
  <c r="V58" i="1" s="1"/>
  <c r="AJ58" i="1"/>
  <c r="CR58" i="1"/>
  <c r="CT58" i="1"/>
  <c r="CV58" i="1"/>
  <c r="CX58" i="1"/>
  <c r="GL58" i="1"/>
  <c r="GN58" i="1"/>
  <c r="GP58" i="1"/>
  <c r="GV58" i="1"/>
  <c r="HC58" i="1" s="1"/>
  <c r="GX58" i="1" s="1"/>
  <c r="C59" i="1"/>
  <c r="D59" i="1"/>
  <c r="P59" i="1"/>
  <c r="R59" i="1"/>
  <c r="T59" i="1"/>
  <c r="AC59" i="1"/>
  <c r="AD59" i="1"/>
  <c r="AB59" i="1" s="1"/>
  <c r="AE59" i="1"/>
  <c r="Q59" i="1" s="1"/>
  <c r="AF59" i="1"/>
  <c r="AG59" i="1"/>
  <c r="AH59" i="1"/>
  <c r="CV59" i="1" s="1"/>
  <c r="U59" i="1" s="1"/>
  <c r="AI59" i="1"/>
  <c r="AJ59" i="1"/>
  <c r="CX59" i="1" s="1"/>
  <c r="W59" i="1" s="1"/>
  <c r="CQ59" i="1"/>
  <c r="CR59" i="1"/>
  <c r="CS59" i="1"/>
  <c r="CU59" i="1"/>
  <c r="CW59" i="1"/>
  <c r="V59" i="1" s="1"/>
  <c r="GL59" i="1"/>
  <c r="GN59" i="1"/>
  <c r="GP59" i="1"/>
  <c r="GV59" i="1"/>
  <c r="HC59" i="1" s="1"/>
  <c r="GX59" i="1" s="1"/>
  <c r="Q60" i="1"/>
  <c r="S60" i="1"/>
  <c r="U60" i="1"/>
  <c r="Y60" i="1"/>
  <c r="AC60" i="1"/>
  <c r="AE60" i="1"/>
  <c r="AF60" i="1"/>
  <c r="AG60" i="1"/>
  <c r="CU60" i="1" s="1"/>
  <c r="T60" i="1" s="1"/>
  <c r="AH60" i="1"/>
  <c r="AI60" i="1"/>
  <c r="CW60" i="1" s="1"/>
  <c r="V60" i="1" s="1"/>
  <c r="AJ60" i="1"/>
  <c r="CR60" i="1"/>
  <c r="CT60" i="1"/>
  <c r="CV60" i="1"/>
  <c r="CX60" i="1"/>
  <c r="W60" i="1" s="1"/>
  <c r="CZ60" i="1"/>
  <c r="GL60" i="1"/>
  <c r="GN60" i="1"/>
  <c r="GO60" i="1"/>
  <c r="GP60" i="1"/>
  <c r="GV60" i="1"/>
  <c r="HC60" i="1" s="1"/>
  <c r="GX60" i="1" s="1"/>
  <c r="Q61" i="1"/>
  <c r="S61" i="1"/>
  <c r="W61" i="1"/>
  <c r="Y61" i="1"/>
  <c r="AC61" i="1"/>
  <c r="AE61" i="1"/>
  <c r="AF61" i="1"/>
  <c r="AG61" i="1"/>
  <c r="CU61" i="1" s="1"/>
  <c r="T61" i="1" s="1"/>
  <c r="AH61" i="1"/>
  <c r="AI61" i="1"/>
  <c r="CW61" i="1" s="1"/>
  <c r="V61" i="1" s="1"/>
  <c r="AJ61" i="1"/>
  <c r="CR61" i="1"/>
  <c r="CT61" i="1"/>
  <c r="CV61" i="1"/>
  <c r="U61" i="1" s="1"/>
  <c r="CX61" i="1"/>
  <c r="CZ61" i="1"/>
  <c r="GL61" i="1"/>
  <c r="GN61" i="1"/>
  <c r="GO61" i="1"/>
  <c r="GP61" i="1"/>
  <c r="GV61" i="1"/>
  <c r="HC61" i="1" s="1"/>
  <c r="GX61" i="1"/>
  <c r="C62" i="1"/>
  <c r="D62" i="1"/>
  <c r="Q62" i="1"/>
  <c r="S62" i="1"/>
  <c r="U62" i="1"/>
  <c r="Y62" i="1"/>
  <c r="AC62" i="1"/>
  <c r="AE62" i="1"/>
  <c r="AF62" i="1"/>
  <c r="AG62" i="1"/>
  <c r="CU62" i="1" s="1"/>
  <c r="T62" i="1" s="1"/>
  <c r="AH62" i="1"/>
  <c r="AI62" i="1"/>
  <c r="CW62" i="1" s="1"/>
  <c r="V62" i="1" s="1"/>
  <c r="AJ62" i="1"/>
  <c r="CR62" i="1"/>
  <c r="CT62" i="1"/>
  <c r="CV62" i="1"/>
  <c r="CX62" i="1"/>
  <c r="W62" i="1" s="1"/>
  <c r="CZ62" i="1"/>
  <c r="GL62" i="1"/>
  <c r="GN62" i="1"/>
  <c r="GP62" i="1"/>
  <c r="GV62" i="1"/>
  <c r="HC62" i="1"/>
  <c r="GX62" i="1" s="1"/>
  <c r="C63" i="1"/>
  <c r="D63" i="1"/>
  <c r="P63" i="1"/>
  <c r="R63" i="1"/>
  <c r="AC63" i="1"/>
  <c r="AD63" i="1"/>
  <c r="AE63" i="1"/>
  <c r="Q63" i="1" s="1"/>
  <c r="AF63" i="1"/>
  <c r="AG63" i="1"/>
  <c r="AH63" i="1"/>
  <c r="CV63" i="1" s="1"/>
  <c r="U63" i="1" s="1"/>
  <c r="AI63" i="1"/>
  <c r="AJ63" i="1"/>
  <c r="CX63" i="1" s="1"/>
  <c r="W63" i="1" s="1"/>
  <c r="CQ63" i="1"/>
  <c r="CR63" i="1"/>
  <c r="CS63" i="1"/>
  <c r="CU63" i="1"/>
  <c r="T63" i="1" s="1"/>
  <c r="CW63" i="1"/>
  <c r="V63" i="1" s="1"/>
  <c r="GL63" i="1"/>
  <c r="GN63" i="1"/>
  <c r="GP63" i="1"/>
  <c r="GV63" i="1"/>
  <c r="GX63" i="1"/>
  <c r="HC63" i="1"/>
  <c r="S64" i="1"/>
  <c r="U64" i="1"/>
  <c r="W64" i="1"/>
  <c r="AC64" i="1"/>
  <c r="AE64" i="1"/>
  <c r="AF64" i="1"/>
  <c r="AG64" i="1"/>
  <c r="CU64" i="1" s="1"/>
  <c r="T64" i="1" s="1"/>
  <c r="AH64" i="1"/>
  <c r="AI64" i="1"/>
  <c r="CW64" i="1" s="1"/>
  <c r="V64" i="1" s="1"/>
  <c r="AJ64" i="1"/>
  <c r="CT64" i="1"/>
  <c r="CV64" i="1"/>
  <c r="CX64" i="1"/>
  <c r="GL64" i="1"/>
  <c r="GN64" i="1"/>
  <c r="GP64" i="1"/>
  <c r="GV64" i="1"/>
  <c r="HC64" i="1" s="1"/>
  <c r="GX64" i="1" s="1"/>
  <c r="P65" i="1"/>
  <c r="R65" i="1"/>
  <c r="AC65" i="1"/>
  <c r="AD65" i="1"/>
  <c r="AE65" i="1"/>
  <c r="Q65" i="1" s="1"/>
  <c r="AF65" i="1"/>
  <c r="AG65" i="1"/>
  <c r="AH65" i="1"/>
  <c r="CV65" i="1" s="1"/>
  <c r="U65" i="1" s="1"/>
  <c r="AI65" i="1"/>
  <c r="AJ65" i="1"/>
  <c r="CX65" i="1" s="1"/>
  <c r="W65" i="1" s="1"/>
  <c r="CQ65" i="1"/>
  <c r="CR65" i="1"/>
  <c r="CS65" i="1"/>
  <c r="CU65" i="1"/>
  <c r="T65" i="1" s="1"/>
  <c r="CW65" i="1"/>
  <c r="V65" i="1" s="1"/>
  <c r="GL65" i="1"/>
  <c r="GN65" i="1"/>
  <c r="GP65" i="1"/>
  <c r="GV65" i="1"/>
  <c r="GX65" i="1"/>
  <c r="HC65" i="1"/>
  <c r="S66" i="1"/>
  <c r="U66" i="1"/>
  <c r="W66" i="1"/>
  <c r="AC66" i="1"/>
  <c r="AE66" i="1"/>
  <c r="AF66" i="1"/>
  <c r="AG66" i="1"/>
  <c r="CU66" i="1" s="1"/>
  <c r="T66" i="1" s="1"/>
  <c r="AH66" i="1"/>
  <c r="AI66" i="1"/>
  <c r="CW66" i="1" s="1"/>
  <c r="V66" i="1" s="1"/>
  <c r="AJ66" i="1"/>
  <c r="CT66" i="1"/>
  <c r="CV66" i="1"/>
  <c r="CX66" i="1"/>
  <c r="GL66" i="1"/>
  <c r="GN66" i="1"/>
  <c r="GO66" i="1"/>
  <c r="GP66" i="1"/>
  <c r="GV66" i="1"/>
  <c r="GX66" i="1"/>
  <c r="HC66" i="1"/>
  <c r="Q67" i="1"/>
  <c r="S67" i="1"/>
  <c r="U67" i="1"/>
  <c r="Y67" i="1"/>
  <c r="AC67" i="1"/>
  <c r="AE67" i="1"/>
  <c r="AF67" i="1"/>
  <c r="AG67" i="1"/>
  <c r="CU67" i="1" s="1"/>
  <c r="T67" i="1" s="1"/>
  <c r="AH67" i="1"/>
  <c r="AI67" i="1"/>
  <c r="CW67" i="1" s="1"/>
  <c r="V67" i="1" s="1"/>
  <c r="AJ67" i="1"/>
  <c r="CR67" i="1"/>
  <c r="CT67" i="1"/>
  <c r="CV67" i="1"/>
  <c r="CX67" i="1"/>
  <c r="W67" i="1" s="1"/>
  <c r="CZ67" i="1"/>
  <c r="GL67" i="1"/>
  <c r="GN67" i="1"/>
  <c r="GO67" i="1"/>
  <c r="GP67" i="1"/>
  <c r="GV67" i="1"/>
  <c r="GX67" i="1"/>
  <c r="HC67" i="1"/>
  <c r="C68" i="1"/>
  <c r="D68" i="1"/>
  <c r="Q68" i="1"/>
  <c r="S68" i="1"/>
  <c r="U68" i="1"/>
  <c r="Y68" i="1"/>
  <c r="AC68" i="1"/>
  <c r="AE68" i="1"/>
  <c r="AF68" i="1"/>
  <c r="AG68" i="1"/>
  <c r="CU68" i="1" s="1"/>
  <c r="T68" i="1" s="1"/>
  <c r="AH68" i="1"/>
  <c r="AI68" i="1"/>
  <c r="CW68" i="1" s="1"/>
  <c r="V68" i="1" s="1"/>
  <c r="AJ68" i="1"/>
  <c r="CR68" i="1"/>
  <c r="CT68" i="1"/>
  <c r="CV68" i="1"/>
  <c r="CX68" i="1"/>
  <c r="W68" i="1" s="1"/>
  <c r="CZ68" i="1"/>
  <c r="GL68" i="1"/>
  <c r="GN68" i="1"/>
  <c r="GP68" i="1"/>
  <c r="GV68" i="1"/>
  <c r="HC68" i="1"/>
  <c r="GX68" i="1" s="1"/>
  <c r="C69" i="1"/>
  <c r="D69" i="1"/>
  <c r="P69" i="1"/>
  <c r="R69" i="1"/>
  <c r="AC69" i="1"/>
  <c r="AD69" i="1"/>
  <c r="AE69" i="1"/>
  <c r="Q69" i="1" s="1"/>
  <c r="AF69" i="1"/>
  <c r="AG69" i="1"/>
  <c r="AH69" i="1"/>
  <c r="CV69" i="1" s="1"/>
  <c r="U69" i="1" s="1"/>
  <c r="AI69" i="1"/>
  <c r="AJ69" i="1"/>
  <c r="CX69" i="1" s="1"/>
  <c r="W69" i="1" s="1"/>
  <c r="CQ69" i="1"/>
  <c r="CR69" i="1"/>
  <c r="CS69" i="1"/>
  <c r="CU69" i="1"/>
  <c r="T69" i="1" s="1"/>
  <c r="CW69" i="1"/>
  <c r="V69" i="1" s="1"/>
  <c r="GL69" i="1"/>
  <c r="GN69" i="1"/>
  <c r="GP69" i="1"/>
  <c r="GV69" i="1"/>
  <c r="GX69" i="1"/>
  <c r="HC69" i="1"/>
  <c r="S70" i="1"/>
  <c r="U70" i="1"/>
  <c r="W70" i="1"/>
  <c r="AC70" i="1"/>
  <c r="AE70" i="1"/>
  <c r="AF70" i="1"/>
  <c r="AG70" i="1"/>
  <c r="CU70" i="1" s="1"/>
  <c r="T70" i="1" s="1"/>
  <c r="AH70" i="1"/>
  <c r="AI70" i="1"/>
  <c r="CW70" i="1" s="1"/>
  <c r="V70" i="1" s="1"/>
  <c r="AJ70" i="1"/>
  <c r="CT70" i="1"/>
  <c r="CV70" i="1"/>
  <c r="CX70" i="1"/>
  <c r="GL70" i="1"/>
  <c r="GN70" i="1"/>
  <c r="GO70" i="1"/>
  <c r="GP70" i="1"/>
  <c r="GV70" i="1"/>
  <c r="GX70" i="1"/>
  <c r="HC70" i="1"/>
  <c r="Q71" i="1"/>
  <c r="S71" i="1"/>
  <c r="U71" i="1"/>
  <c r="Y71" i="1"/>
  <c r="AC71" i="1"/>
  <c r="AE71" i="1"/>
  <c r="AF71" i="1"/>
  <c r="AG71" i="1"/>
  <c r="CU71" i="1" s="1"/>
  <c r="T71" i="1" s="1"/>
  <c r="AH71" i="1"/>
  <c r="AI71" i="1"/>
  <c r="CW71" i="1" s="1"/>
  <c r="V71" i="1" s="1"/>
  <c r="AJ71" i="1"/>
  <c r="CR71" i="1"/>
  <c r="CT71" i="1"/>
  <c r="CV71" i="1"/>
  <c r="CX71" i="1"/>
  <c r="W71" i="1" s="1"/>
  <c r="CZ71" i="1"/>
  <c r="GL71" i="1"/>
  <c r="GN71" i="1"/>
  <c r="GO71" i="1"/>
  <c r="GP71" i="1"/>
  <c r="GV71" i="1"/>
  <c r="GX71" i="1"/>
  <c r="HC71" i="1"/>
  <c r="C72" i="1"/>
  <c r="D72" i="1"/>
  <c r="Q72" i="1"/>
  <c r="S72" i="1"/>
  <c r="U72" i="1"/>
  <c r="Y72" i="1"/>
  <c r="AC72" i="1"/>
  <c r="AE72" i="1"/>
  <c r="AF72" i="1"/>
  <c r="AG72" i="1"/>
  <c r="CU72" i="1" s="1"/>
  <c r="T72" i="1" s="1"/>
  <c r="AH72" i="1"/>
  <c r="AI72" i="1"/>
  <c r="CW72" i="1" s="1"/>
  <c r="V72" i="1" s="1"/>
  <c r="AJ72" i="1"/>
  <c r="CR72" i="1"/>
  <c r="CT72" i="1"/>
  <c r="CV72" i="1"/>
  <c r="CX72" i="1"/>
  <c r="W72" i="1" s="1"/>
  <c r="CZ72" i="1"/>
  <c r="GL72" i="1"/>
  <c r="GN72" i="1"/>
  <c r="GP72" i="1"/>
  <c r="GV72" i="1"/>
  <c r="GX72" i="1"/>
  <c r="HC72" i="1"/>
  <c r="C73" i="1"/>
  <c r="D73" i="1"/>
  <c r="S73" i="1"/>
  <c r="AC73" i="1"/>
  <c r="AD73" i="1"/>
  <c r="AE73" i="1"/>
  <c r="Q73" i="1" s="1"/>
  <c r="AF73" i="1"/>
  <c r="AG73" i="1"/>
  <c r="CU73" i="1" s="1"/>
  <c r="T73" i="1" s="1"/>
  <c r="AH73" i="1"/>
  <c r="CV73" i="1" s="1"/>
  <c r="U73" i="1" s="1"/>
  <c r="AI73" i="1"/>
  <c r="CW73" i="1" s="1"/>
  <c r="V73" i="1" s="1"/>
  <c r="AJ73" i="1"/>
  <c r="CR73" i="1"/>
  <c r="CT73" i="1"/>
  <c r="CX73" i="1"/>
  <c r="W73" i="1" s="1"/>
  <c r="GL73" i="1"/>
  <c r="GN73" i="1"/>
  <c r="GP73" i="1"/>
  <c r="GV73" i="1"/>
  <c r="HC73" i="1" s="1"/>
  <c r="GX73" i="1" s="1"/>
  <c r="P74" i="1"/>
  <c r="AC74" i="1"/>
  <c r="AD74" i="1"/>
  <c r="AB74" i="1" s="1"/>
  <c r="AE74" i="1"/>
  <c r="Q74" i="1" s="1"/>
  <c r="AF74" i="1"/>
  <c r="S74" i="1" s="1"/>
  <c r="AG74" i="1"/>
  <c r="AH74" i="1"/>
  <c r="CV74" i="1" s="1"/>
  <c r="U74" i="1" s="1"/>
  <c r="AI74" i="1"/>
  <c r="CW74" i="1" s="1"/>
  <c r="V74" i="1" s="1"/>
  <c r="AJ74" i="1"/>
  <c r="CX74" i="1" s="1"/>
  <c r="W74" i="1" s="1"/>
  <c r="CQ74" i="1"/>
  <c r="CR74" i="1"/>
  <c r="CU74" i="1"/>
  <c r="T74" i="1" s="1"/>
  <c r="CY74" i="1"/>
  <c r="GL74" i="1"/>
  <c r="GN74" i="1"/>
  <c r="GO74" i="1"/>
  <c r="GP74" i="1"/>
  <c r="GV74" i="1"/>
  <c r="HC74" i="1" s="1"/>
  <c r="GX74" i="1" s="1"/>
  <c r="P75" i="1"/>
  <c r="AC75" i="1"/>
  <c r="AD75" i="1"/>
  <c r="AB75" i="1" s="1"/>
  <c r="AE75" i="1"/>
  <c r="Q75" i="1" s="1"/>
  <c r="AF75" i="1"/>
  <c r="S75" i="1" s="1"/>
  <c r="AG75" i="1"/>
  <c r="AH75" i="1"/>
  <c r="CV75" i="1" s="1"/>
  <c r="U75" i="1" s="1"/>
  <c r="AI75" i="1"/>
  <c r="CW75" i="1" s="1"/>
  <c r="V75" i="1" s="1"/>
  <c r="AJ75" i="1"/>
  <c r="CX75" i="1" s="1"/>
  <c r="W75" i="1" s="1"/>
  <c r="CQ75" i="1"/>
  <c r="CR75" i="1"/>
  <c r="CU75" i="1"/>
  <c r="T75" i="1" s="1"/>
  <c r="CY75" i="1"/>
  <c r="GL75" i="1"/>
  <c r="GN75" i="1"/>
  <c r="GO75" i="1"/>
  <c r="GP75" i="1"/>
  <c r="GV75" i="1"/>
  <c r="HC75" i="1" s="1"/>
  <c r="GX75" i="1" s="1"/>
  <c r="P76" i="1"/>
  <c r="AC76" i="1"/>
  <c r="AD76" i="1"/>
  <c r="AB76" i="1" s="1"/>
  <c r="AE76" i="1"/>
  <c r="Q76" i="1" s="1"/>
  <c r="AF76" i="1"/>
  <c r="S76" i="1" s="1"/>
  <c r="AG76" i="1"/>
  <c r="AH76" i="1"/>
  <c r="CV76" i="1" s="1"/>
  <c r="U76" i="1" s="1"/>
  <c r="AI76" i="1"/>
  <c r="CW76" i="1" s="1"/>
  <c r="V76" i="1" s="1"/>
  <c r="AJ76" i="1"/>
  <c r="CX76" i="1" s="1"/>
  <c r="W76" i="1" s="1"/>
  <c r="CQ76" i="1"/>
  <c r="CR76" i="1"/>
  <c r="CU76" i="1"/>
  <c r="T76" i="1" s="1"/>
  <c r="CY76" i="1"/>
  <c r="GL76" i="1"/>
  <c r="GN76" i="1"/>
  <c r="GO76" i="1"/>
  <c r="GP76" i="1"/>
  <c r="GV76" i="1"/>
  <c r="HC76" i="1" s="1"/>
  <c r="GX76" i="1" s="1"/>
  <c r="P77" i="1"/>
  <c r="AC77" i="1"/>
  <c r="AD77" i="1"/>
  <c r="AB77" i="1" s="1"/>
  <c r="AE77" i="1"/>
  <c r="Q77" i="1" s="1"/>
  <c r="AF77" i="1"/>
  <c r="S77" i="1" s="1"/>
  <c r="AG77" i="1"/>
  <c r="AH77" i="1"/>
  <c r="CV77" i="1" s="1"/>
  <c r="U77" i="1" s="1"/>
  <c r="AI77" i="1"/>
  <c r="CW77" i="1" s="1"/>
  <c r="V77" i="1" s="1"/>
  <c r="AJ77" i="1"/>
  <c r="CX77" i="1" s="1"/>
  <c r="W77" i="1" s="1"/>
  <c r="CQ77" i="1"/>
  <c r="CR77" i="1"/>
  <c r="CU77" i="1"/>
  <c r="T77" i="1" s="1"/>
  <c r="CY77" i="1"/>
  <c r="GL77" i="1"/>
  <c r="GN77" i="1"/>
  <c r="GO77" i="1"/>
  <c r="GP77" i="1"/>
  <c r="GV77" i="1"/>
  <c r="HC77" i="1" s="1"/>
  <c r="GX77" i="1" s="1"/>
  <c r="B79" i="1"/>
  <c r="B26" i="1" s="1"/>
  <c r="C79" i="1"/>
  <c r="C26" i="1" s="1"/>
  <c r="D79" i="1"/>
  <c r="D26" i="1" s="1"/>
  <c r="F79" i="1"/>
  <c r="F26" i="1" s="1"/>
  <c r="G79" i="1"/>
  <c r="G26" i="1" s="1"/>
  <c r="AU79" i="1"/>
  <c r="F98" i="1" s="1"/>
  <c r="BX79" i="1"/>
  <c r="BX26" i="1" s="1"/>
  <c r="BZ79" i="1"/>
  <c r="BZ26" i="1" s="1"/>
  <c r="CD79" i="1"/>
  <c r="CD26" i="1" s="1"/>
  <c r="CK79" i="1"/>
  <c r="CK26" i="1" s="1"/>
  <c r="CL79" i="1"/>
  <c r="CL26" i="1" s="1"/>
  <c r="CM79" i="1"/>
  <c r="CM26" i="1" s="1"/>
  <c r="FP79" i="1"/>
  <c r="FT79" i="1"/>
  <c r="FT26" i="1" s="1"/>
  <c r="GC79" i="1"/>
  <c r="GC26" i="1" s="1"/>
  <c r="GD79" i="1"/>
  <c r="GD26" i="1" s="1"/>
  <c r="GE79" i="1"/>
  <c r="GE26" i="1" s="1"/>
  <c r="D109" i="1"/>
  <c r="E111" i="1"/>
  <c r="Z111" i="1"/>
  <c r="AA111" i="1"/>
  <c r="AM111" i="1"/>
  <c r="AN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R111" i="1"/>
  <c r="DS111" i="1"/>
  <c r="EE111" i="1"/>
  <c r="EF111" i="1"/>
  <c r="EW111" i="1"/>
  <c r="EX111" i="1"/>
  <c r="EY111" i="1"/>
  <c r="EZ111" i="1"/>
  <c r="FA111" i="1"/>
  <c r="FB111" i="1"/>
  <c r="FC111" i="1"/>
  <c r="FD111" i="1"/>
  <c r="FE111" i="1"/>
  <c r="FF111" i="1"/>
  <c r="FG111" i="1"/>
  <c r="FH111" i="1"/>
  <c r="FI111" i="1"/>
  <c r="FJ111" i="1"/>
  <c r="FK111" i="1"/>
  <c r="FL111" i="1"/>
  <c r="FM111" i="1"/>
  <c r="FN111" i="1"/>
  <c r="FO111" i="1"/>
  <c r="GF111" i="1"/>
  <c r="GG111" i="1"/>
  <c r="GH111" i="1"/>
  <c r="GI111" i="1"/>
  <c r="GJ111" i="1"/>
  <c r="GK111" i="1"/>
  <c r="GL111" i="1"/>
  <c r="GM111" i="1"/>
  <c r="GN111" i="1"/>
  <c r="GO111" i="1"/>
  <c r="GP111" i="1"/>
  <c r="GQ111" i="1"/>
  <c r="GR111" i="1"/>
  <c r="GS111" i="1"/>
  <c r="GT111" i="1"/>
  <c r="GU111" i="1"/>
  <c r="GV111" i="1"/>
  <c r="GW111" i="1"/>
  <c r="GX111" i="1"/>
  <c r="C113" i="1"/>
  <c r="D113" i="1"/>
  <c r="I113" i="1"/>
  <c r="K113" i="1"/>
  <c r="P113" i="1"/>
  <c r="R113" i="1"/>
  <c r="AE124" i="1" s="1"/>
  <c r="V113" i="1"/>
  <c r="AC113" i="1"/>
  <c r="AD113" i="1"/>
  <c r="AE113" i="1"/>
  <c r="Q113" i="1" s="1"/>
  <c r="AD124" i="1" s="1"/>
  <c r="AF113" i="1"/>
  <c r="AG113" i="1"/>
  <c r="AH113" i="1"/>
  <c r="CV113" i="1" s="1"/>
  <c r="U113" i="1" s="1"/>
  <c r="AI113" i="1"/>
  <c r="AJ113" i="1"/>
  <c r="CX113" i="1" s="1"/>
  <c r="W113" i="1" s="1"/>
  <c r="CQ113" i="1"/>
  <c r="CR113" i="1"/>
  <c r="CS113" i="1"/>
  <c r="CU113" i="1"/>
  <c r="T113" i="1" s="1"/>
  <c r="CW113" i="1"/>
  <c r="GL113" i="1"/>
  <c r="GN113" i="1"/>
  <c r="GP113" i="1"/>
  <c r="GV113" i="1"/>
  <c r="GX113" i="1"/>
  <c r="HC113" i="1"/>
  <c r="C114" i="1"/>
  <c r="D114" i="1"/>
  <c r="I114" i="1"/>
  <c r="R114" i="1" s="1"/>
  <c r="K114" i="1"/>
  <c r="S114" i="1"/>
  <c r="AC114" i="1"/>
  <c r="AE114" i="1"/>
  <c r="AD114" i="1" s="1"/>
  <c r="AF114" i="1"/>
  <c r="AG114" i="1"/>
  <c r="CU114" i="1" s="1"/>
  <c r="T114" i="1" s="1"/>
  <c r="AH114" i="1"/>
  <c r="AI114" i="1"/>
  <c r="CW114" i="1" s="1"/>
  <c r="V114" i="1" s="1"/>
  <c r="AJ114" i="1"/>
  <c r="CR114" i="1"/>
  <c r="CT114" i="1"/>
  <c r="CV114" i="1"/>
  <c r="U114" i="1" s="1"/>
  <c r="CX114" i="1"/>
  <c r="W114" i="1" s="1"/>
  <c r="GL114" i="1"/>
  <c r="GN114" i="1"/>
  <c r="GP114" i="1"/>
  <c r="GV114" i="1"/>
  <c r="HC114" i="1" s="1"/>
  <c r="GX114" i="1" s="1"/>
  <c r="P115" i="1"/>
  <c r="R115" i="1"/>
  <c r="AC115" i="1"/>
  <c r="AD115" i="1"/>
  <c r="AB115" i="1" s="1"/>
  <c r="AE115" i="1"/>
  <c r="Q115" i="1" s="1"/>
  <c r="AF115" i="1"/>
  <c r="S115" i="1" s="1"/>
  <c r="CY115" i="1" s="1"/>
  <c r="AG115" i="1"/>
  <c r="AH115" i="1"/>
  <c r="CV115" i="1" s="1"/>
  <c r="U115" i="1" s="1"/>
  <c r="AI115" i="1"/>
  <c r="AJ115" i="1"/>
  <c r="CX115" i="1" s="1"/>
  <c r="W115" i="1" s="1"/>
  <c r="CQ115" i="1"/>
  <c r="CR115" i="1"/>
  <c r="CS115" i="1"/>
  <c r="CU115" i="1"/>
  <c r="T115" i="1" s="1"/>
  <c r="AG124" i="1" s="1"/>
  <c r="CW115" i="1"/>
  <c r="V115" i="1" s="1"/>
  <c r="GL115" i="1"/>
  <c r="GN115" i="1"/>
  <c r="GO115" i="1"/>
  <c r="GP115" i="1"/>
  <c r="GV115" i="1"/>
  <c r="HC115" i="1" s="1"/>
  <c r="GX115" i="1" s="1"/>
  <c r="P116" i="1"/>
  <c r="R116" i="1"/>
  <c r="AC116" i="1"/>
  <c r="AD116" i="1"/>
  <c r="AB116" i="1" s="1"/>
  <c r="AE116" i="1"/>
  <c r="Q116" i="1" s="1"/>
  <c r="AF116" i="1"/>
  <c r="S116" i="1" s="1"/>
  <c r="AG116" i="1"/>
  <c r="AH116" i="1"/>
  <c r="CV116" i="1" s="1"/>
  <c r="U116" i="1" s="1"/>
  <c r="AI116" i="1"/>
  <c r="AJ116" i="1"/>
  <c r="CX116" i="1" s="1"/>
  <c r="W116" i="1" s="1"/>
  <c r="CQ116" i="1"/>
  <c r="CR116" i="1"/>
  <c r="CS116" i="1"/>
  <c r="CU116" i="1"/>
  <c r="T116" i="1" s="1"/>
  <c r="CW116" i="1"/>
  <c r="V116" i="1" s="1"/>
  <c r="GL116" i="1"/>
  <c r="GN116" i="1"/>
  <c r="GO116" i="1"/>
  <c r="GP116" i="1"/>
  <c r="GV116" i="1"/>
  <c r="HC116" i="1" s="1"/>
  <c r="GX116" i="1" s="1"/>
  <c r="P117" i="1"/>
  <c r="R117" i="1"/>
  <c r="AC117" i="1"/>
  <c r="AD117" i="1"/>
  <c r="AB117" i="1" s="1"/>
  <c r="AE117" i="1"/>
  <c r="Q117" i="1" s="1"/>
  <c r="AF117" i="1"/>
  <c r="S117" i="1" s="1"/>
  <c r="CY117" i="1" s="1"/>
  <c r="AG117" i="1"/>
  <c r="AH117" i="1"/>
  <c r="CV117" i="1" s="1"/>
  <c r="U117" i="1" s="1"/>
  <c r="AI117" i="1"/>
  <c r="AJ117" i="1"/>
  <c r="CX117" i="1" s="1"/>
  <c r="W117" i="1" s="1"/>
  <c r="CQ117" i="1"/>
  <c r="CR117" i="1"/>
  <c r="CS117" i="1"/>
  <c r="CU117" i="1"/>
  <c r="T117" i="1" s="1"/>
  <c r="CW117" i="1"/>
  <c r="V117" i="1" s="1"/>
  <c r="GL117" i="1"/>
  <c r="GN117" i="1"/>
  <c r="GO117" i="1"/>
  <c r="GP117" i="1"/>
  <c r="GV117" i="1"/>
  <c r="HC117" i="1" s="1"/>
  <c r="GX117" i="1" s="1"/>
  <c r="P118" i="1"/>
  <c r="R118" i="1"/>
  <c r="AC118" i="1"/>
  <c r="AD118" i="1"/>
  <c r="AB118" i="1" s="1"/>
  <c r="AE118" i="1"/>
  <c r="Q118" i="1" s="1"/>
  <c r="AF118" i="1"/>
  <c r="S118" i="1" s="1"/>
  <c r="CY118" i="1" s="1"/>
  <c r="AG118" i="1"/>
  <c r="AH118" i="1"/>
  <c r="CV118" i="1" s="1"/>
  <c r="U118" i="1" s="1"/>
  <c r="AI118" i="1"/>
  <c r="AJ118" i="1"/>
  <c r="CX118" i="1" s="1"/>
  <c r="W118" i="1" s="1"/>
  <c r="CQ118" i="1"/>
  <c r="CR118" i="1"/>
  <c r="CS118" i="1"/>
  <c r="CU118" i="1"/>
  <c r="T118" i="1" s="1"/>
  <c r="CW118" i="1"/>
  <c r="V118" i="1" s="1"/>
  <c r="GL118" i="1"/>
  <c r="GN118" i="1"/>
  <c r="GO118" i="1"/>
  <c r="GP118" i="1"/>
  <c r="GV118" i="1"/>
  <c r="HC118" i="1" s="1"/>
  <c r="GX118" i="1" s="1"/>
  <c r="P119" i="1"/>
  <c r="R119" i="1"/>
  <c r="AC119" i="1"/>
  <c r="AD119" i="1"/>
  <c r="AE119" i="1"/>
  <c r="Q119" i="1" s="1"/>
  <c r="AF119" i="1"/>
  <c r="AG119" i="1"/>
  <c r="AH119" i="1"/>
  <c r="CV119" i="1" s="1"/>
  <c r="U119" i="1" s="1"/>
  <c r="AI119" i="1"/>
  <c r="AJ119" i="1"/>
  <c r="CX119" i="1" s="1"/>
  <c r="W119" i="1" s="1"/>
  <c r="CQ119" i="1"/>
  <c r="CR119" i="1"/>
  <c r="CS119" i="1"/>
  <c r="CU119" i="1"/>
  <c r="T119" i="1" s="1"/>
  <c r="CW119" i="1"/>
  <c r="V119" i="1" s="1"/>
  <c r="FR119" i="1"/>
  <c r="GL119" i="1"/>
  <c r="GN119" i="1"/>
  <c r="GO119" i="1"/>
  <c r="GP119" i="1"/>
  <c r="GV119" i="1"/>
  <c r="HC119" i="1" s="1"/>
  <c r="GX119" i="1" s="1"/>
  <c r="P120" i="1"/>
  <c r="R120" i="1"/>
  <c r="AC120" i="1"/>
  <c r="AD120" i="1"/>
  <c r="AE120" i="1"/>
  <c r="Q120" i="1" s="1"/>
  <c r="AF120" i="1"/>
  <c r="AG120" i="1"/>
  <c r="AH120" i="1"/>
  <c r="CV120" i="1" s="1"/>
  <c r="U120" i="1" s="1"/>
  <c r="AI120" i="1"/>
  <c r="AJ120" i="1"/>
  <c r="CX120" i="1" s="1"/>
  <c r="W120" i="1" s="1"/>
  <c r="CQ120" i="1"/>
  <c r="CR120" i="1"/>
  <c r="CS120" i="1"/>
  <c r="CU120" i="1"/>
  <c r="T120" i="1" s="1"/>
  <c r="CW120" i="1"/>
  <c r="V120" i="1" s="1"/>
  <c r="FR120" i="1"/>
  <c r="GL120" i="1"/>
  <c r="GN120" i="1"/>
  <c r="GO120" i="1"/>
  <c r="GP120" i="1"/>
  <c r="GV120" i="1"/>
  <c r="HC120" i="1" s="1"/>
  <c r="GX120" i="1" s="1"/>
  <c r="GB124" i="1" s="1"/>
  <c r="P121" i="1"/>
  <c r="FR121" i="1" s="1"/>
  <c r="R121" i="1"/>
  <c r="X121" i="1"/>
  <c r="AC121" i="1"/>
  <c r="AD121" i="1"/>
  <c r="AB121" i="1" s="1"/>
  <c r="AE121" i="1"/>
  <c r="Q121" i="1" s="1"/>
  <c r="AF121" i="1"/>
  <c r="S121" i="1" s="1"/>
  <c r="AG121" i="1"/>
  <c r="AH121" i="1"/>
  <c r="CV121" i="1" s="1"/>
  <c r="U121" i="1" s="1"/>
  <c r="AH124" i="1" s="1"/>
  <c r="AI121" i="1"/>
  <c r="CW121" i="1" s="1"/>
  <c r="V121" i="1" s="1"/>
  <c r="AJ121" i="1"/>
  <c r="CP121" i="1"/>
  <c r="O121" i="1" s="1"/>
  <c r="CQ121" i="1"/>
  <c r="CR121" i="1"/>
  <c r="CT121" i="1"/>
  <c r="CU121" i="1"/>
  <c r="T121" i="1" s="1"/>
  <c r="CX121" i="1"/>
  <c r="W121" i="1" s="1"/>
  <c r="CY121" i="1"/>
  <c r="CZ121" i="1"/>
  <c r="GL121" i="1"/>
  <c r="GN121" i="1"/>
  <c r="CB124" i="1" s="1"/>
  <c r="GO121" i="1"/>
  <c r="GP121" i="1"/>
  <c r="GV121" i="1"/>
  <c r="HC121" i="1" s="1"/>
  <c r="GX121" i="1" s="1"/>
  <c r="P122" i="1"/>
  <c r="S122" i="1"/>
  <c r="Y122" i="1" s="1"/>
  <c r="T122" i="1"/>
  <c r="X122" i="1"/>
  <c r="AC122" i="1"/>
  <c r="AB122" i="1" s="1"/>
  <c r="AD122" i="1"/>
  <c r="AE122" i="1"/>
  <c r="Q122" i="1" s="1"/>
  <c r="AF122" i="1"/>
  <c r="AG122" i="1"/>
  <c r="AH122" i="1"/>
  <c r="CV122" i="1" s="1"/>
  <c r="U122" i="1" s="1"/>
  <c r="AI122" i="1"/>
  <c r="CW122" i="1" s="1"/>
  <c r="V122" i="1" s="1"/>
  <c r="EA124" i="1" s="1"/>
  <c r="AJ122" i="1"/>
  <c r="CQ122" i="1"/>
  <c r="CR122" i="1"/>
  <c r="CT122" i="1"/>
  <c r="CU122" i="1"/>
  <c r="CX122" i="1"/>
  <c r="W122" i="1" s="1"/>
  <c r="CY122" i="1"/>
  <c r="GL122" i="1"/>
  <c r="FR124" i="1" s="1"/>
  <c r="GN122" i="1"/>
  <c r="GO122" i="1"/>
  <c r="GP122" i="1"/>
  <c r="FV124" i="1" s="1"/>
  <c r="GV122" i="1"/>
  <c r="HC122" i="1" s="1"/>
  <c r="GX122" i="1" s="1"/>
  <c r="B124" i="1"/>
  <c r="B111" i="1" s="1"/>
  <c r="C124" i="1"/>
  <c r="C111" i="1" s="1"/>
  <c r="D124" i="1"/>
  <c r="D111" i="1" s="1"/>
  <c r="F124" i="1"/>
  <c r="F111" i="1" s="1"/>
  <c r="G124" i="1"/>
  <c r="G111" i="1" s="1"/>
  <c r="W124" i="1"/>
  <c r="W111" i="1" s="1"/>
  <c r="AC124" i="1"/>
  <c r="AJ124" i="1"/>
  <c r="AJ111" i="1" s="1"/>
  <c r="AX124" i="1"/>
  <c r="BB124" i="1"/>
  <c r="BX124" i="1"/>
  <c r="BX111" i="1" s="1"/>
  <c r="BZ124" i="1"/>
  <c r="BZ111" i="1" s="1"/>
  <c r="CD124" i="1"/>
  <c r="CD111" i="1" s="1"/>
  <c r="CG124" i="1"/>
  <c r="CG111" i="1" s="1"/>
  <c r="CK124" i="1"/>
  <c r="CK111" i="1" s="1"/>
  <c r="CL124" i="1"/>
  <c r="CL111" i="1" s="1"/>
  <c r="CM124" i="1"/>
  <c r="CM111" i="1" s="1"/>
  <c r="DM124" i="1"/>
  <c r="DZ124" i="1"/>
  <c r="DZ111" i="1" s="1"/>
  <c r="EV124" i="1"/>
  <c r="EV111" i="1" s="1"/>
  <c r="FP124" i="1"/>
  <c r="FT124" i="1"/>
  <c r="FT111" i="1" s="1"/>
  <c r="GC124" i="1"/>
  <c r="GC111" i="1" s="1"/>
  <c r="GD124" i="1"/>
  <c r="GD111" i="1" s="1"/>
  <c r="GE124" i="1"/>
  <c r="GE111" i="1" s="1"/>
  <c r="F148" i="1"/>
  <c r="D154" i="1"/>
  <c r="E156" i="1"/>
  <c r="Z156" i="1"/>
  <c r="AA156" i="1"/>
  <c r="AM156" i="1"/>
  <c r="AN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R156" i="1"/>
  <c r="DS156" i="1"/>
  <c r="EE156" i="1"/>
  <c r="EF156" i="1"/>
  <c r="EW156" i="1"/>
  <c r="EX156" i="1"/>
  <c r="EY156" i="1"/>
  <c r="EZ156" i="1"/>
  <c r="FA156" i="1"/>
  <c r="FB156" i="1"/>
  <c r="FC156" i="1"/>
  <c r="FD156" i="1"/>
  <c r="FE156" i="1"/>
  <c r="FF156" i="1"/>
  <c r="FG156" i="1"/>
  <c r="FH156" i="1"/>
  <c r="FI156" i="1"/>
  <c r="FJ156" i="1"/>
  <c r="FK156" i="1"/>
  <c r="FL156" i="1"/>
  <c r="FM156" i="1"/>
  <c r="FN156" i="1"/>
  <c r="FO156" i="1"/>
  <c r="GF156" i="1"/>
  <c r="GG156" i="1"/>
  <c r="GH156" i="1"/>
  <c r="GI156" i="1"/>
  <c r="GJ156" i="1"/>
  <c r="GK156" i="1"/>
  <c r="GL156" i="1"/>
  <c r="GM156" i="1"/>
  <c r="GN156" i="1"/>
  <c r="GO156" i="1"/>
  <c r="GP156" i="1"/>
  <c r="GQ156" i="1"/>
  <c r="GR156" i="1"/>
  <c r="GS156" i="1"/>
  <c r="GT156" i="1"/>
  <c r="GU156" i="1"/>
  <c r="GV156" i="1"/>
  <c r="GW156" i="1"/>
  <c r="GX156" i="1"/>
  <c r="C158" i="1"/>
  <c r="D158" i="1"/>
  <c r="I158" i="1"/>
  <c r="Q158" i="1" s="1"/>
  <c r="K158" i="1"/>
  <c r="U158" i="1"/>
  <c r="AC158" i="1"/>
  <c r="P158" i="1" s="1"/>
  <c r="AE158" i="1"/>
  <c r="AD158" i="1" s="1"/>
  <c r="AB158" i="1" s="1"/>
  <c r="AF158" i="1"/>
  <c r="AG158" i="1"/>
  <c r="CU158" i="1" s="1"/>
  <c r="AH158" i="1"/>
  <c r="AI158" i="1"/>
  <c r="CW158" i="1" s="1"/>
  <c r="V158" i="1" s="1"/>
  <c r="AJ158" i="1"/>
  <c r="CX158" i="1" s="1"/>
  <c r="CS158" i="1"/>
  <c r="CV158" i="1"/>
  <c r="GL158" i="1"/>
  <c r="GN158" i="1"/>
  <c r="GP158" i="1"/>
  <c r="GV158" i="1"/>
  <c r="HC158" i="1"/>
  <c r="C159" i="1"/>
  <c r="D159" i="1"/>
  <c r="I159" i="1"/>
  <c r="K159" i="1"/>
  <c r="R159" i="1"/>
  <c r="S159" i="1"/>
  <c r="V159" i="1"/>
  <c r="W159" i="1"/>
  <c r="AC159" i="1"/>
  <c r="P159" i="1" s="1"/>
  <c r="AD159" i="1"/>
  <c r="AE159" i="1"/>
  <c r="Q159" i="1" s="1"/>
  <c r="AF159" i="1"/>
  <c r="AG159" i="1"/>
  <c r="CU159" i="1" s="1"/>
  <c r="T159" i="1" s="1"/>
  <c r="AH159" i="1"/>
  <c r="CV159" i="1" s="1"/>
  <c r="U159" i="1" s="1"/>
  <c r="AI159" i="1"/>
  <c r="AJ159" i="1"/>
  <c r="CP159" i="1"/>
  <c r="O159" i="1" s="1"/>
  <c r="CR159" i="1"/>
  <c r="CS159" i="1"/>
  <c r="CT159" i="1"/>
  <c r="CW159" i="1"/>
  <c r="CX159" i="1"/>
  <c r="CY159" i="1"/>
  <c r="GL159" i="1"/>
  <c r="GN159" i="1"/>
  <c r="GP159" i="1"/>
  <c r="GV159" i="1"/>
  <c r="HC159" i="1" s="1"/>
  <c r="GX159" i="1" s="1"/>
  <c r="AC160" i="1"/>
  <c r="AD160" i="1"/>
  <c r="AE160" i="1"/>
  <c r="AF160" i="1"/>
  <c r="AG160" i="1"/>
  <c r="CU160" i="1" s="1"/>
  <c r="AH160" i="1"/>
  <c r="CV160" i="1" s="1"/>
  <c r="AI160" i="1"/>
  <c r="AJ160" i="1"/>
  <c r="CR160" i="1"/>
  <c r="CS160" i="1"/>
  <c r="CW160" i="1"/>
  <c r="CX160" i="1"/>
  <c r="GL160" i="1"/>
  <c r="GN160" i="1"/>
  <c r="GP160" i="1"/>
  <c r="GV160" i="1"/>
  <c r="HC160" i="1" s="1"/>
  <c r="I161" i="1"/>
  <c r="Q161" i="1" s="1"/>
  <c r="S161" i="1"/>
  <c r="CY161" i="1" s="1"/>
  <c r="X161" i="1"/>
  <c r="AC161" i="1"/>
  <c r="CQ161" i="1" s="1"/>
  <c r="AD161" i="1"/>
  <c r="AE161" i="1"/>
  <c r="AF161" i="1"/>
  <c r="AB161" i="1" s="1"/>
  <c r="AG161" i="1"/>
  <c r="CU161" i="1" s="1"/>
  <c r="T161" i="1" s="1"/>
  <c r="AH161" i="1"/>
  <c r="CV161" i="1" s="1"/>
  <c r="AI161" i="1"/>
  <c r="AJ161" i="1"/>
  <c r="CR161" i="1"/>
  <c r="CS161" i="1"/>
  <c r="CW161" i="1"/>
  <c r="V161" i="1" s="1"/>
  <c r="CX161" i="1"/>
  <c r="W161" i="1" s="1"/>
  <c r="GL161" i="1"/>
  <c r="GN161" i="1"/>
  <c r="GP161" i="1"/>
  <c r="GV161" i="1"/>
  <c r="HC161" i="1" s="1"/>
  <c r="GX161" i="1"/>
  <c r="C162" i="1"/>
  <c r="D162" i="1"/>
  <c r="I162" i="1"/>
  <c r="K162" i="1"/>
  <c r="S162" i="1"/>
  <c r="Y162" i="1" s="1"/>
  <c r="T162" i="1"/>
  <c r="U162" i="1"/>
  <c r="AC162" i="1"/>
  <c r="AE162" i="1"/>
  <c r="CS162" i="1" s="1"/>
  <c r="AF162" i="1"/>
  <c r="AG162" i="1"/>
  <c r="AH162" i="1"/>
  <c r="AI162" i="1"/>
  <c r="CW162" i="1" s="1"/>
  <c r="V162" i="1" s="1"/>
  <c r="AJ162" i="1"/>
  <c r="CR162" i="1"/>
  <c r="CT162" i="1"/>
  <c r="CU162" i="1"/>
  <c r="CV162" i="1"/>
  <c r="CX162" i="1"/>
  <c r="W162" i="1" s="1"/>
  <c r="GL162" i="1"/>
  <c r="GN162" i="1"/>
  <c r="GP162" i="1"/>
  <c r="GV162" i="1"/>
  <c r="HC162" i="1" s="1"/>
  <c r="GX162" i="1" s="1"/>
  <c r="C163" i="1"/>
  <c r="D163" i="1"/>
  <c r="I163" i="1"/>
  <c r="T163" i="1" s="1"/>
  <c r="K163" i="1"/>
  <c r="Q163" i="1"/>
  <c r="R163" i="1"/>
  <c r="V163" i="1"/>
  <c r="AC163" i="1"/>
  <c r="AD163" i="1"/>
  <c r="AB163" i="1" s="1"/>
  <c r="AE163" i="1"/>
  <c r="AF163" i="1"/>
  <c r="AG163" i="1"/>
  <c r="AH163" i="1"/>
  <c r="AI163" i="1"/>
  <c r="AJ163" i="1"/>
  <c r="CX163" i="1" s="1"/>
  <c r="CQ163" i="1"/>
  <c r="CR163" i="1"/>
  <c r="CS163" i="1"/>
  <c r="CU163" i="1"/>
  <c r="CV163" i="1"/>
  <c r="U163" i="1" s="1"/>
  <c r="CW163" i="1"/>
  <c r="GL163" i="1"/>
  <c r="GN163" i="1"/>
  <c r="GP163" i="1"/>
  <c r="GV163" i="1"/>
  <c r="GX163" i="1"/>
  <c r="HC163" i="1"/>
  <c r="C164" i="1"/>
  <c r="D164" i="1"/>
  <c r="I164" i="1"/>
  <c r="K164" i="1"/>
  <c r="Q164" i="1"/>
  <c r="AC164" i="1"/>
  <c r="AE164" i="1"/>
  <c r="AD164" i="1" s="1"/>
  <c r="AF164" i="1"/>
  <c r="S164" i="1" s="1"/>
  <c r="AG164" i="1"/>
  <c r="CU164" i="1" s="1"/>
  <c r="AH164" i="1"/>
  <c r="AI164" i="1"/>
  <c r="AJ164" i="1"/>
  <c r="CR164" i="1"/>
  <c r="CS164" i="1"/>
  <c r="CT164" i="1"/>
  <c r="CV164" i="1"/>
  <c r="U164" i="1" s="1"/>
  <c r="CW164" i="1"/>
  <c r="V164" i="1" s="1"/>
  <c r="CX164" i="1"/>
  <c r="W164" i="1" s="1"/>
  <c r="GL164" i="1"/>
  <c r="GN164" i="1"/>
  <c r="GP164" i="1"/>
  <c r="GV164" i="1"/>
  <c r="HC164" i="1" s="1"/>
  <c r="GX164" i="1" s="1"/>
  <c r="C165" i="1"/>
  <c r="D165" i="1"/>
  <c r="I165" i="1"/>
  <c r="R165" i="1" s="1"/>
  <c r="K165" i="1"/>
  <c r="AC165" i="1"/>
  <c r="P165" i="1" s="1"/>
  <c r="AE165" i="1"/>
  <c r="AD165" i="1" s="1"/>
  <c r="AB165" i="1" s="1"/>
  <c r="AF165" i="1"/>
  <c r="S165" i="1" s="1"/>
  <c r="AG165" i="1"/>
  <c r="CU165" i="1" s="1"/>
  <c r="T165" i="1" s="1"/>
  <c r="AH165" i="1"/>
  <c r="AI165" i="1"/>
  <c r="CW165" i="1" s="1"/>
  <c r="V165" i="1" s="1"/>
  <c r="AJ165" i="1"/>
  <c r="CX165" i="1" s="1"/>
  <c r="W165" i="1" s="1"/>
  <c r="CR165" i="1"/>
  <c r="CV165" i="1"/>
  <c r="U165" i="1" s="1"/>
  <c r="GL165" i="1"/>
  <c r="GN165" i="1"/>
  <c r="GP165" i="1"/>
  <c r="GV165" i="1"/>
  <c r="HC165" i="1"/>
  <c r="GX165" i="1" s="1"/>
  <c r="I166" i="1"/>
  <c r="R166" i="1" s="1"/>
  <c r="K166" i="1"/>
  <c r="P166" i="1"/>
  <c r="AC166" i="1"/>
  <c r="AD166" i="1"/>
  <c r="AB166" i="1" s="1"/>
  <c r="AE166" i="1"/>
  <c r="Q166" i="1" s="1"/>
  <c r="AF166" i="1"/>
  <c r="S166" i="1" s="1"/>
  <c r="AG166" i="1"/>
  <c r="AH166" i="1"/>
  <c r="CV166" i="1" s="1"/>
  <c r="U166" i="1" s="1"/>
  <c r="AI166" i="1"/>
  <c r="CW166" i="1" s="1"/>
  <c r="V166" i="1" s="1"/>
  <c r="AJ166" i="1"/>
  <c r="CX166" i="1" s="1"/>
  <c r="W166" i="1" s="1"/>
  <c r="CQ166" i="1"/>
  <c r="CR166" i="1"/>
  <c r="CU166" i="1"/>
  <c r="T166" i="1" s="1"/>
  <c r="GL166" i="1"/>
  <c r="GN166" i="1"/>
  <c r="GP166" i="1"/>
  <c r="GV166" i="1"/>
  <c r="GX166" i="1"/>
  <c r="HC166" i="1"/>
  <c r="I167" i="1"/>
  <c r="R167" i="1" s="1"/>
  <c r="K167" i="1"/>
  <c r="S167" i="1"/>
  <c r="X167" i="1" s="1"/>
  <c r="AC167" i="1"/>
  <c r="AB167" i="1" s="1"/>
  <c r="AD167" i="1"/>
  <c r="AE167" i="1"/>
  <c r="CS167" i="1" s="1"/>
  <c r="AF167" i="1"/>
  <c r="AG167" i="1"/>
  <c r="CU167" i="1" s="1"/>
  <c r="T167" i="1" s="1"/>
  <c r="AH167" i="1"/>
  <c r="CV167" i="1" s="1"/>
  <c r="U167" i="1" s="1"/>
  <c r="AI167" i="1"/>
  <c r="CW167" i="1" s="1"/>
  <c r="V167" i="1" s="1"/>
  <c r="AJ167" i="1"/>
  <c r="CR167" i="1"/>
  <c r="CT167" i="1"/>
  <c r="CX167" i="1"/>
  <c r="W167" i="1" s="1"/>
  <c r="GL167" i="1"/>
  <c r="GN167" i="1"/>
  <c r="GP167" i="1"/>
  <c r="GV167" i="1"/>
  <c r="HC167" i="1" s="1"/>
  <c r="GX167" i="1" s="1"/>
  <c r="I168" i="1"/>
  <c r="K168" i="1"/>
  <c r="R168" i="1"/>
  <c r="AC168" i="1"/>
  <c r="P168" i="1" s="1"/>
  <c r="AD168" i="1"/>
  <c r="AE168" i="1"/>
  <c r="Q168" i="1" s="1"/>
  <c r="AF168" i="1"/>
  <c r="AB168" i="1" s="1"/>
  <c r="AG168" i="1"/>
  <c r="CU168" i="1" s="1"/>
  <c r="T168" i="1" s="1"/>
  <c r="AH168" i="1"/>
  <c r="CV168" i="1" s="1"/>
  <c r="U168" i="1" s="1"/>
  <c r="AI168" i="1"/>
  <c r="AJ168" i="1"/>
  <c r="CX168" i="1" s="1"/>
  <c r="W168" i="1" s="1"/>
  <c r="CR168" i="1"/>
  <c r="CS168" i="1"/>
  <c r="CW168" i="1"/>
  <c r="V168" i="1" s="1"/>
  <c r="GL168" i="1"/>
  <c r="BZ175" i="1" s="1"/>
  <c r="GN168" i="1"/>
  <c r="GP168" i="1"/>
  <c r="CD175" i="1" s="1"/>
  <c r="GV168" i="1"/>
  <c r="HC168" i="1" s="1"/>
  <c r="GX168" i="1" s="1"/>
  <c r="I169" i="1"/>
  <c r="R169" i="1" s="1"/>
  <c r="K169" i="1"/>
  <c r="AC169" i="1"/>
  <c r="P169" i="1" s="1"/>
  <c r="AE169" i="1"/>
  <c r="AD169" i="1" s="1"/>
  <c r="AB169" i="1" s="1"/>
  <c r="AF169" i="1"/>
  <c r="S169" i="1" s="1"/>
  <c r="AG169" i="1"/>
  <c r="CU169" i="1" s="1"/>
  <c r="T169" i="1" s="1"/>
  <c r="AH169" i="1"/>
  <c r="AI169" i="1"/>
  <c r="CW169" i="1" s="1"/>
  <c r="V169" i="1" s="1"/>
  <c r="AJ169" i="1"/>
  <c r="CX169" i="1" s="1"/>
  <c r="W169" i="1" s="1"/>
  <c r="CR169" i="1"/>
  <c r="CV169" i="1"/>
  <c r="U169" i="1" s="1"/>
  <c r="GL169" i="1"/>
  <c r="GN169" i="1"/>
  <c r="GP169" i="1"/>
  <c r="GV169" i="1"/>
  <c r="HC169" i="1"/>
  <c r="GX169" i="1" s="1"/>
  <c r="R170" i="1"/>
  <c r="AC170" i="1"/>
  <c r="P170" i="1" s="1"/>
  <c r="AD170" i="1"/>
  <c r="AE170" i="1"/>
  <c r="Q170" i="1" s="1"/>
  <c r="AF170" i="1"/>
  <c r="AB170" i="1" s="1"/>
  <c r="AG170" i="1"/>
  <c r="CU170" i="1" s="1"/>
  <c r="T170" i="1" s="1"/>
  <c r="AH170" i="1"/>
  <c r="CV170" i="1" s="1"/>
  <c r="U170" i="1" s="1"/>
  <c r="AI170" i="1"/>
  <c r="AJ170" i="1"/>
  <c r="CX170" i="1" s="1"/>
  <c r="W170" i="1" s="1"/>
  <c r="CR170" i="1"/>
  <c r="CS170" i="1"/>
  <c r="CW170" i="1"/>
  <c r="V170" i="1" s="1"/>
  <c r="GL170" i="1"/>
  <c r="GN170" i="1"/>
  <c r="GO170" i="1"/>
  <c r="GP170" i="1"/>
  <c r="GV170" i="1"/>
  <c r="HC170" i="1"/>
  <c r="GX170" i="1" s="1"/>
  <c r="R171" i="1"/>
  <c r="AC171" i="1"/>
  <c r="P171" i="1" s="1"/>
  <c r="AD171" i="1"/>
  <c r="AE171" i="1"/>
  <c r="Q171" i="1" s="1"/>
  <c r="AF171" i="1"/>
  <c r="AB171" i="1" s="1"/>
  <c r="AG171" i="1"/>
  <c r="CU171" i="1" s="1"/>
  <c r="T171" i="1" s="1"/>
  <c r="AH171" i="1"/>
  <c r="CV171" i="1" s="1"/>
  <c r="U171" i="1" s="1"/>
  <c r="AI171" i="1"/>
  <c r="AJ171" i="1"/>
  <c r="CX171" i="1" s="1"/>
  <c r="W171" i="1" s="1"/>
  <c r="CR171" i="1"/>
  <c r="CS171" i="1"/>
  <c r="CW171" i="1"/>
  <c r="V171" i="1" s="1"/>
  <c r="GL171" i="1"/>
  <c r="GN171" i="1"/>
  <c r="GO171" i="1"/>
  <c r="GP171" i="1"/>
  <c r="GV171" i="1"/>
  <c r="HC171" i="1"/>
  <c r="GX171" i="1" s="1"/>
  <c r="R172" i="1"/>
  <c r="AC172" i="1"/>
  <c r="P172" i="1" s="1"/>
  <c r="AD172" i="1"/>
  <c r="AE172" i="1"/>
  <c r="Q172" i="1" s="1"/>
  <c r="AF172" i="1"/>
  <c r="AB172" i="1" s="1"/>
  <c r="AG172" i="1"/>
  <c r="CU172" i="1" s="1"/>
  <c r="T172" i="1" s="1"/>
  <c r="AH172" i="1"/>
  <c r="CV172" i="1" s="1"/>
  <c r="U172" i="1" s="1"/>
  <c r="AI172" i="1"/>
  <c r="AJ172" i="1"/>
  <c r="CX172" i="1" s="1"/>
  <c r="W172" i="1" s="1"/>
  <c r="CR172" i="1"/>
  <c r="CS172" i="1"/>
  <c r="CW172" i="1"/>
  <c r="V172" i="1" s="1"/>
  <c r="GL172" i="1"/>
  <c r="GN172" i="1"/>
  <c r="GO172" i="1"/>
  <c r="GP172" i="1"/>
  <c r="GV172" i="1"/>
  <c r="HC172" i="1"/>
  <c r="GX172" i="1" s="1"/>
  <c r="R173" i="1"/>
  <c r="AC173" i="1"/>
  <c r="P173" i="1" s="1"/>
  <c r="AD173" i="1"/>
  <c r="AE173" i="1"/>
  <c r="Q173" i="1" s="1"/>
  <c r="AF173" i="1"/>
  <c r="AB173" i="1" s="1"/>
  <c r="AG173" i="1"/>
  <c r="CU173" i="1" s="1"/>
  <c r="T173" i="1" s="1"/>
  <c r="AH173" i="1"/>
  <c r="CV173" i="1" s="1"/>
  <c r="U173" i="1" s="1"/>
  <c r="AI173" i="1"/>
  <c r="AJ173" i="1"/>
  <c r="CX173" i="1" s="1"/>
  <c r="W173" i="1" s="1"/>
  <c r="CR173" i="1"/>
  <c r="CS173" i="1"/>
  <c r="CW173" i="1"/>
  <c r="V173" i="1" s="1"/>
  <c r="GL173" i="1"/>
  <c r="GN173" i="1"/>
  <c r="GO173" i="1"/>
  <c r="GP173" i="1"/>
  <c r="GV173" i="1"/>
  <c r="HC173" i="1"/>
  <c r="GX173" i="1" s="1"/>
  <c r="B175" i="1"/>
  <c r="B156" i="1" s="1"/>
  <c r="C175" i="1"/>
  <c r="C156" i="1" s="1"/>
  <c r="D175" i="1"/>
  <c r="D156" i="1" s="1"/>
  <c r="F175" i="1"/>
  <c r="F156" i="1" s="1"/>
  <c r="G175" i="1"/>
  <c r="G156" i="1" s="1"/>
  <c r="BX175" i="1"/>
  <c r="BX156" i="1" s="1"/>
  <c r="CB175" i="1"/>
  <c r="CB156" i="1" s="1"/>
  <c r="CK175" i="1"/>
  <c r="CK156" i="1" s="1"/>
  <c r="CL175" i="1"/>
  <c r="CL156" i="1" s="1"/>
  <c r="CM175" i="1"/>
  <c r="CM156" i="1" s="1"/>
  <c r="FP175" i="1"/>
  <c r="FP156" i="1" s="1"/>
  <c r="FR175" i="1"/>
  <c r="FR156" i="1" s="1"/>
  <c r="FT175" i="1"/>
  <c r="FT156" i="1" s="1"/>
  <c r="FV175" i="1"/>
  <c r="EM175" i="1" s="1"/>
  <c r="GC175" i="1"/>
  <c r="ET175" i="1" s="1"/>
  <c r="GD175" i="1"/>
  <c r="GD156" i="1" s="1"/>
  <c r="GE175" i="1"/>
  <c r="GE156" i="1" s="1"/>
  <c r="B205" i="1"/>
  <c r="B22" i="1" s="1"/>
  <c r="C205" i="1"/>
  <c r="C22" i="1" s="1"/>
  <c r="D205" i="1"/>
  <c r="D22" i="1" s="1"/>
  <c r="F205" i="1"/>
  <c r="F22" i="1" s="1"/>
  <c r="G205" i="1"/>
  <c r="G22" i="1" s="1"/>
  <c r="B235" i="1"/>
  <c r="B18" i="1" s="1"/>
  <c r="C235" i="1"/>
  <c r="C18" i="1" s="1"/>
  <c r="D235" i="1"/>
  <c r="D18" i="1" s="1"/>
  <c r="F235" i="1"/>
  <c r="F18" i="1" s="1"/>
  <c r="G235" i="1"/>
  <c r="G18" i="1" s="1"/>
  <c r="F12" i="6"/>
  <c r="G12" i="6"/>
  <c r="J187" i="7" l="1"/>
  <c r="J285" i="7"/>
  <c r="J281" i="7"/>
  <c r="H285" i="7"/>
  <c r="H281" i="7"/>
  <c r="H187" i="7"/>
  <c r="EM156" i="1"/>
  <c r="P194" i="1"/>
  <c r="BZ156" i="1"/>
  <c r="AQ175" i="1"/>
  <c r="FR173" i="1"/>
  <c r="X164" i="1"/>
  <c r="CY164" i="1"/>
  <c r="Y164" i="1"/>
  <c r="CZ164" i="1"/>
  <c r="EA175" i="1"/>
  <c r="DY175" i="1"/>
  <c r="ET156" i="1"/>
  <c r="P188" i="1"/>
  <c r="CD156" i="1"/>
  <c r="AU175" i="1"/>
  <c r="X166" i="1"/>
  <c r="CY166" i="1"/>
  <c r="Y166" i="1"/>
  <c r="CZ166" i="1"/>
  <c r="CP166" i="1"/>
  <c r="O166" i="1" s="1"/>
  <c r="FR170" i="1"/>
  <c r="BY175" i="1" s="1"/>
  <c r="GB175" i="1"/>
  <c r="GB111" i="1"/>
  <c r="ES124" i="1"/>
  <c r="AG111" i="1"/>
  <c r="T124" i="1"/>
  <c r="FR172" i="1"/>
  <c r="CP168" i="1"/>
  <c r="O168" i="1" s="1"/>
  <c r="X169" i="1"/>
  <c r="CY169" i="1"/>
  <c r="Y169" i="1"/>
  <c r="CZ169" i="1"/>
  <c r="X165" i="1"/>
  <c r="CY165" i="1"/>
  <c r="Y165" i="1"/>
  <c r="CZ165" i="1"/>
  <c r="FR171" i="1"/>
  <c r="EA111" i="1"/>
  <c r="DN124" i="1"/>
  <c r="EU175" i="1"/>
  <c r="AS175" i="1"/>
  <c r="EK175" i="1"/>
  <c r="EG175" i="1"/>
  <c r="BC175" i="1"/>
  <c r="CQ173" i="1"/>
  <c r="CQ172" i="1"/>
  <c r="CQ171" i="1"/>
  <c r="CQ170" i="1"/>
  <c r="CT169" i="1"/>
  <c r="CQ168" i="1"/>
  <c r="CZ167" i="1"/>
  <c r="Y167" i="1"/>
  <c r="Q167" i="1"/>
  <c r="CS166" i="1"/>
  <c r="CT165" i="1"/>
  <c r="CZ162" i="1"/>
  <c r="P162" i="1"/>
  <c r="CT161" i="1"/>
  <c r="P161" i="1"/>
  <c r="CQ160" i="1"/>
  <c r="W158" i="1"/>
  <c r="S158" i="1"/>
  <c r="CT158" i="1"/>
  <c r="FV156" i="1"/>
  <c r="P149" i="1"/>
  <c r="BB111" i="1"/>
  <c r="F137" i="1"/>
  <c r="AQ124" i="1"/>
  <c r="AC111" i="1"/>
  <c r="P124" i="1"/>
  <c r="CE124" i="1"/>
  <c r="CP122" i="1"/>
  <c r="O122" i="1" s="1"/>
  <c r="GM122" i="1" s="1"/>
  <c r="FR122" i="1"/>
  <c r="CB111" i="1"/>
  <c r="AS124" i="1"/>
  <c r="CJ124" i="1"/>
  <c r="EB124" i="1"/>
  <c r="AD111" i="1"/>
  <c r="Q124" i="1"/>
  <c r="AE111" i="1"/>
  <c r="R124" i="1"/>
  <c r="EV175" i="1"/>
  <c r="CG175" i="1"/>
  <c r="BB175" i="1"/>
  <c r="CT173" i="1"/>
  <c r="S173" i="1"/>
  <c r="CT172" i="1"/>
  <c r="S172" i="1"/>
  <c r="CT171" i="1"/>
  <c r="S171" i="1"/>
  <c r="CT170" i="1"/>
  <c r="S170" i="1"/>
  <c r="CS169" i="1"/>
  <c r="CT168" i="1"/>
  <c r="S168" i="1"/>
  <c r="CY167" i="1"/>
  <c r="CQ167" i="1"/>
  <c r="P167" i="1"/>
  <c r="CP167" i="1" s="1"/>
  <c r="O167" i="1" s="1"/>
  <c r="GM167" i="1" s="1"/>
  <c r="GO167" i="1" s="1"/>
  <c r="CS165" i="1"/>
  <c r="R164" i="1"/>
  <c r="CW108" i="3"/>
  <c r="CX110" i="3"/>
  <c r="CX114" i="3"/>
  <c r="CX112" i="3"/>
  <c r="CU107" i="3"/>
  <c r="CX111" i="3"/>
  <c r="CV107" i="3"/>
  <c r="CX108" i="3"/>
  <c r="CU98" i="3"/>
  <c r="CX102" i="3"/>
  <c r="CX106" i="3"/>
  <c r="CX98" i="3"/>
  <c r="CX100" i="3"/>
  <c r="CX103" i="3"/>
  <c r="CV98" i="3"/>
  <c r="CW100" i="3"/>
  <c r="CY162" i="1"/>
  <c r="CT160" i="1"/>
  <c r="CQ159" i="1"/>
  <c r="GX158" i="1"/>
  <c r="GC156" i="1"/>
  <c r="FP111" i="1"/>
  <c r="FY124" i="1"/>
  <c r="EG124" i="1"/>
  <c r="DM111" i="1"/>
  <c r="P146" i="1"/>
  <c r="AH111" i="1"/>
  <c r="U124" i="1"/>
  <c r="EI175" i="1"/>
  <c r="Q169" i="1"/>
  <c r="CP169" i="1" s="1"/>
  <c r="O169" i="1" s="1"/>
  <c r="GM169" i="1" s="1"/>
  <c r="GO169" i="1" s="1"/>
  <c r="Q165" i="1"/>
  <c r="DV175" i="1" s="1"/>
  <c r="CX118" i="3"/>
  <c r="CX119" i="3"/>
  <c r="CX116" i="3"/>
  <c r="CW117" i="3"/>
  <c r="CX122" i="3"/>
  <c r="CW116" i="3"/>
  <c r="CU115" i="3"/>
  <c r="P164" i="1"/>
  <c r="CP164" i="1" s="1"/>
  <c r="O164" i="1" s="1"/>
  <c r="GM164" i="1" s="1"/>
  <c r="GO164" i="1" s="1"/>
  <c r="CQ164" i="1"/>
  <c r="X162" i="1"/>
  <c r="Y161" i="1"/>
  <c r="CZ161" i="1"/>
  <c r="AB160" i="1"/>
  <c r="X159" i="1"/>
  <c r="Y159" i="1"/>
  <c r="CZ159" i="1"/>
  <c r="CP158" i="1"/>
  <c r="O158" i="1" s="1"/>
  <c r="CU85" i="3"/>
  <c r="CX85" i="3"/>
  <c r="CV85" i="3"/>
  <c r="AX111" i="1"/>
  <c r="F131" i="1"/>
  <c r="FV111" i="1"/>
  <c r="EM124" i="1"/>
  <c r="FR111" i="1"/>
  <c r="EI124" i="1"/>
  <c r="EA26" i="1"/>
  <c r="DN79" i="1"/>
  <c r="FR48" i="1"/>
  <c r="AO175" i="1"/>
  <c r="FY175" i="1"/>
  <c r="BD175" i="1"/>
  <c r="CQ169" i="1"/>
  <c r="CT166" i="1"/>
  <c r="CQ165" i="1"/>
  <c r="T164" i="1"/>
  <c r="AB164" i="1"/>
  <c r="W163" i="1"/>
  <c r="EB175" i="1" s="1"/>
  <c r="S163" i="1"/>
  <c r="CT163" i="1"/>
  <c r="P163" i="1"/>
  <c r="CQ162" i="1"/>
  <c r="AD162" i="1"/>
  <c r="AB162" i="1" s="1"/>
  <c r="Q162" i="1"/>
  <c r="CW91" i="3"/>
  <c r="CX94" i="3"/>
  <c r="CU89" i="3"/>
  <c r="CX89" i="3"/>
  <c r="CX91" i="3"/>
  <c r="CX96" i="3"/>
  <c r="CX95" i="3"/>
  <c r="R162" i="1"/>
  <c r="U161" i="1"/>
  <c r="DZ175" i="1" s="1"/>
  <c r="R161" i="1"/>
  <c r="DW175" i="1" s="1"/>
  <c r="I160" i="1"/>
  <c r="GX160" i="1" s="1"/>
  <c r="AB159" i="1"/>
  <c r="CR158" i="1"/>
  <c r="T158" i="1"/>
  <c r="R158" i="1"/>
  <c r="EK124" i="1"/>
  <c r="BC124" i="1"/>
  <c r="AU124" i="1"/>
  <c r="DY124" i="1"/>
  <c r="AI124" i="1"/>
  <c r="CU87" i="3"/>
  <c r="CX87" i="3"/>
  <c r="CQ158" i="1"/>
  <c r="EU124" i="1"/>
  <c r="AO124" i="1"/>
  <c r="CS122" i="1"/>
  <c r="R122" i="1"/>
  <c r="DW124" i="1" s="1"/>
  <c r="CS121" i="1"/>
  <c r="AB119" i="1"/>
  <c r="CY116" i="1"/>
  <c r="X114" i="1"/>
  <c r="CY114" i="1"/>
  <c r="Y114" i="1"/>
  <c r="CZ114" i="1"/>
  <c r="BC79" i="1"/>
  <c r="FR76" i="1"/>
  <c r="CP76" i="1"/>
  <c r="O76" i="1" s="1"/>
  <c r="Y74" i="1"/>
  <c r="CZ74" i="1"/>
  <c r="X74" i="1"/>
  <c r="R64" i="1"/>
  <c r="CS64" i="1"/>
  <c r="AD64" i="1"/>
  <c r="Q64" i="1"/>
  <c r="Y64" i="1"/>
  <c r="CR64" i="1"/>
  <c r="CZ64" i="1"/>
  <c r="S63" i="1"/>
  <c r="CT63" i="1"/>
  <c r="AB63" i="1"/>
  <c r="P58" i="1"/>
  <c r="CP58" i="1" s="1"/>
  <c r="O58" i="1" s="1"/>
  <c r="CQ58" i="1"/>
  <c r="P57" i="1"/>
  <c r="CQ57" i="1"/>
  <c r="Y50" i="1"/>
  <c r="CY50" i="1"/>
  <c r="X50" i="1"/>
  <c r="Y47" i="1"/>
  <c r="CZ47" i="1"/>
  <c r="CY47" i="1"/>
  <c r="X47" i="1"/>
  <c r="AI79" i="1"/>
  <c r="S46" i="1"/>
  <c r="CT46" i="1"/>
  <c r="AB46" i="1"/>
  <c r="AU26" i="1"/>
  <c r="ET124" i="1"/>
  <c r="BD124" i="1"/>
  <c r="CZ122" i="1"/>
  <c r="Y121" i="1"/>
  <c r="GM121" i="1" s="1"/>
  <c r="FR118" i="1"/>
  <c r="CP118" i="1"/>
  <c r="O118" i="1" s="1"/>
  <c r="FR117" i="1"/>
  <c r="CP117" i="1"/>
  <c r="O117" i="1" s="1"/>
  <c r="FR116" i="1"/>
  <c r="FQ124" i="1" s="1"/>
  <c r="CP116" i="1"/>
  <c r="O116" i="1" s="1"/>
  <c r="FR115" i="1"/>
  <c r="BY124" i="1" s="1"/>
  <c r="CF124" i="1" s="1"/>
  <c r="CP115" i="1"/>
  <c r="O115" i="1" s="1"/>
  <c r="S113" i="1"/>
  <c r="CT113" i="1"/>
  <c r="AB113" i="1"/>
  <c r="Y77" i="1"/>
  <c r="CZ77" i="1"/>
  <c r="X77" i="1"/>
  <c r="FR75" i="1"/>
  <c r="CP75" i="1"/>
  <c r="O75" i="1" s="1"/>
  <c r="X73" i="1"/>
  <c r="CY73" i="1"/>
  <c r="Y73" i="1"/>
  <c r="CZ73" i="1"/>
  <c r="R70" i="1"/>
  <c r="CS70" i="1"/>
  <c r="AD70" i="1"/>
  <c r="Q70" i="1"/>
  <c r="Y70" i="1"/>
  <c r="CR70" i="1"/>
  <c r="CZ70" i="1"/>
  <c r="S69" i="1"/>
  <c r="CT69" i="1"/>
  <c r="AB69" i="1"/>
  <c r="AD66" i="1"/>
  <c r="R66" i="1"/>
  <c r="CS66" i="1"/>
  <c r="Q66" i="1"/>
  <c r="Y66" i="1"/>
  <c r="CR66" i="1"/>
  <c r="CZ66" i="1"/>
  <c r="S65" i="1"/>
  <c r="CT65" i="1"/>
  <c r="AB65" i="1"/>
  <c r="P54" i="1"/>
  <c r="CP54" i="1" s="1"/>
  <c r="O54" i="1" s="1"/>
  <c r="CQ54" i="1"/>
  <c r="AB54" i="1"/>
  <c r="R50" i="1"/>
  <c r="CS50" i="1"/>
  <c r="Q50" i="1"/>
  <c r="AD50" i="1"/>
  <c r="CR50" i="1"/>
  <c r="CQ48" i="1"/>
  <c r="DZ79" i="1"/>
  <c r="CJ79" i="1"/>
  <c r="AH79" i="1"/>
  <c r="S120" i="1"/>
  <c r="CT120" i="1"/>
  <c r="AB120" i="1"/>
  <c r="S119" i="1"/>
  <c r="CT119" i="1"/>
  <c r="Y118" i="1"/>
  <c r="CZ118" i="1"/>
  <c r="X118" i="1"/>
  <c r="Y117" i="1"/>
  <c r="CZ117" i="1"/>
  <c r="X117" i="1"/>
  <c r="Y116" i="1"/>
  <c r="CZ116" i="1"/>
  <c r="X116" i="1"/>
  <c r="Y115" i="1"/>
  <c r="CZ115" i="1"/>
  <c r="X115" i="1"/>
  <c r="P114" i="1"/>
  <c r="CQ114" i="1"/>
  <c r="AB114" i="1"/>
  <c r="EK79" i="1"/>
  <c r="Y76" i="1"/>
  <c r="CZ76" i="1"/>
  <c r="X76" i="1"/>
  <c r="FR74" i="1"/>
  <c r="CP74" i="1"/>
  <c r="O74" i="1" s="1"/>
  <c r="GM74" i="1" s="1"/>
  <c r="Y52" i="1"/>
  <c r="CY52" i="1"/>
  <c r="X52" i="1"/>
  <c r="GM47" i="1"/>
  <c r="GO47" i="1" s="1"/>
  <c r="AJ79" i="1"/>
  <c r="CP120" i="1"/>
  <c r="O120" i="1" s="1"/>
  <c r="FP26" i="1"/>
  <c r="FY79" i="1"/>
  <c r="EG79" i="1"/>
  <c r="AQ79" i="1"/>
  <c r="FR77" i="1"/>
  <c r="CP77" i="1"/>
  <c r="O77" i="1" s="1"/>
  <c r="GM77" i="1" s="1"/>
  <c r="Y75" i="1"/>
  <c r="CZ75" i="1"/>
  <c r="X75" i="1"/>
  <c r="P73" i="1"/>
  <c r="CP73" i="1" s="1"/>
  <c r="O73" i="1" s="1"/>
  <c r="GM73" i="1" s="1"/>
  <c r="GO73" i="1" s="1"/>
  <c r="CQ73" i="1"/>
  <c r="AB73" i="1"/>
  <c r="X58" i="1"/>
  <c r="CY58" i="1"/>
  <c r="Y58" i="1"/>
  <c r="X57" i="1"/>
  <c r="CY57" i="1"/>
  <c r="Y57" i="1"/>
  <c r="FR26" i="1"/>
  <c r="EI79" i="1"/>
  <c r="R52" i="1"/>
  <c r="CS52" i="1"/>
  <c r="Q52" i="1"/>
  <c r="AD52" i="1"/>
  <c r="CR52" i="1"/>
  <c r="FV79" i="1"/>
  <c r="CB79" i="1"/>
  <c r="CT118" i="1"/>
  <c r="CT117" i="1"/>
  <c r="CT116" i="1"/>
  <c r="CT115" i="1"/>
  <c r="CS114" i="1"/>
  <c r="CX82" i="3"/>
  <c r="CU81" i="3"/>
  <c r="CW82" i="3"/>
  <c r="EV79" i="1"/>
  <c r="CG79" i="1"/>
  <c r="BB79" i="1"/>
  <c r="CT77" i="1"/>
  <c r="CT76" i="1"/>
  <c r="CT75" i="1"/>
  <c r="CT74" i="1"/>
  <c r="CS73" i="1"/>
  <c r="R73" i="1"/>
  <c r="AB70" i="1"/>
  <c r="P70" i="1"/>
  <c r="CQ70" i="1"/>
  <c r="X70" i="1"/>
  <c r="CY70" i="1"/>
  <c r="CP69" i="1"/>
  <c r="O69" i="1" s="1"/>
  <c r="P66" i="1"/>
  <c r="CQ66" i="1"/>
  <c r="AB66" i="1"/>
  <c r="X66" i="1"/>
  <c r="CY66" i="1"/>
  <c r="CP65" i="1"/>
  <c r="O65" i="1" s="1"/>
  <c r="AB64" i="1"/>
  <c r="P64" i="1"/>
  <c r="CP64" i="1" s="1"/>
  <c r="O64" i="1" s="1"/>
  <c r="GM64" i="1" s="1"/>
  <c r="GO64" i="1" s="1"/>
  <c r="CQ64" i="1"/>
  <c r="X64" i="1"/>
  <c r="CY64" i="1"/>
  <c r="CP63" i="1"/>
  <c r="O63" i="1" s="1"/>
  <c r="AD61" i="1"/>
  <c r="AB61" i="1" s="1"/>
  <c r="R61" i="1"/>
  <c r="CS61" i="1"/>
  <c r="S59" i="1"/>
  <c r="CT59" i="1"/>
  <c r="R56" i="1"/>
  <c r="CS56" i="1"/>
  <c r="AD56" i="1"/>
  <c r="AB56" i="1" s="1"/>
  <c r="S55" i="1"/>
  <c r="CT55" i="1"/>
  <c r="AB52" i="1"/>
  <c r="CQ52" i="1"/>
  <c r="P52" i="1"/>
  <c r="AB50" i="1"/>
  <c r="CQ50" i="1"/>
  <c r="P50" i="1"/>
  <c r="AB47" i="1"/>
  <c r="CQ47" i="1"/>
  <c r="S45" i="1"/>
  <c r="CT45" i="1"/>
  <c r="CP44" i="1"/>
  <c r="O44" i="1" s="1"/>
  <c r="S43" i="1"/>
  <c r="CT43" i="1"/>
  <c r="CP42" i="1"/>
  <c r="O42" i="1" s="1"/>
  <c r="R40" i="1"/>
  <c r="CS40" i="1"/>
  <c r="Q40" i="1"/>
  <c r="AD40" i="1"/>
  <c r="AB38" i="1"/>
  <c r="S38" i="1"/>
  <c r="CT38" i="1"/>
  <c r="S33" i="1"/>
  <c r="CT33" i="1"/>
  <c r="AB33" i="1"/>
  <c r="CX104" i="3"/>
  <c r="Q114" i="1"/>
  <c r="DV124" i="1" s="1"/>
  <c r="CW84" i="3"/>
  <c r="CU83" i="3"/>
  <c r="CX84" i="3"/>
  <c r="EU79" i="1"/>
  <c r="AO79" i="1"/>
  <c r="CS77" i="1"/>
  <c r="R77" i="1"/>
  <c r="CS76" i="1"/>
  <c r="R76" i="1"/>
  <c r="CS75" i="1"/>
  <c r="R75" i="1"/>
  <c r="CS74" i="1"/>
  <c r="R74" i="1"/>
  <c r="AD72" i="1"/>
  <c r="R72" i="1"/>
  <c r="CS72" i="1"/>
  <c r="R71" i="1"/>
  <c r="CS71" i="1"/>
  <c r="AD71" i="1"/>
  <c r="R68" i="1"/>
  <c r="CS68" i="1"/>
  <c r="AD68" i="1"/>
  <c r="AD67" i="1"/>
  <c r="R67" i="1"/>
  <c r="CS67" i="1"/>
  <c r="R62" i="1"/>
  <c r="CS62" i="1"/>
  <c r="AD62" i="1"/>
  <c r="P61" i="1"/>
  <c r="CQ61" i="1"/>
  <c r="X61" i="1"/>
  <c r="CY61" i="1"/>
  <c r="AD60" i="1"/>
  <c r="R60" i="1"/>
  <c r="CS60" i="1"/>
  <c r="CP59" i="1"/>
  <c r="O59" i="1" s="1"/>
  <c r="P56" i="1"/>
  <c r="CQ56" i="1"/>
  <c r="X56" i="1"/>
  <c r="CY56" i="1"/>
  <c r="P46" i="1"/>
  <c r="CP46" i="1" s="1"/>
  <c r="O46" i="1" s="1"/>
  <c r="ET79" i="1"/>
  <c r="BD79" i="1"/>
  <c r="P72" i="1"/>
  <c r="CP72" i="1" s="1"/>
  <c r="O72" i="1" s="1"/>
  <c r="GM72" i="1" s="1"/>
  <c r="GO72" i="1" s="1"/>
  <c r="CQ72" i="1"/>
  <c r="AB72" i="1"/>
  <c r="X72" i="1"/>
  <c r="CY72" i="1"/>
  <c r="AB71" i="1"/>
  <c r="P71" i="1"/>
  <c r="CQ71" i="1"/>
  <c r="X71" i="1"/>
  <c r="CY71" i="1"/>
  <c r="AB68" i="1"/>
  <c r="P68" i="1"/>
  <c r="CP68" i="1" s="1"/>
  <c r="O68" i="1" s="1"/>
  <c r="CQ68" i="1"/>
  <c r="X68" i="1"/>
  <c r="CY68" i="1"/>
  <c r="P67" i="1"/>
  <c r="CQ67" i="1"/>
  <c r="AB67" i="1"/>
  <c r="X67" i="1"/>
  <c r="CY67" i="1"/>
  <c r="AB62" i="1"/>
  <c r="P62" i="1"/>
  <c r="CP62" i="1" s="1"/>
  <c r="O62" i="1" s="1"/>
  <c r="GM62" i="1" s="1"/>
  <c r="GO62" i="1" s="1"/>
  <c r="CQ62" i="1"/>
  <c r="X62" i="1"/>
  <c r="CY62" i="1"/>
  <c r="P60" i="1"/>
  <c r="CQ60" i="1"/>
  <c r="AB60" i="1"/>
  <c r="X60" i="1"/>
  <c r="CY60" i="1"/>
  <c r="AD58" i="1"/>
  <c r="AB58" i="1" s="1"/>
  <c r="R58" i="1"/>
  <c r="CS58" i="1"/>
  <c r="R57" i="1"/>
  <c r="CS57" i="1"/>
  <c r="AD57" i="1"/>
  <c r="AB57" i="1" s="1"/>
  <c r="X54" i="1"/>
  <c r="CY54" i="1"/>
  <c r="R48" i="1"/>
  <c r="CS48" i="1"/>
  <c r="Q48" i="1"/>
  <c r="CP48" i="1" s="1"/>
  <c r="O48" i="1" s="1"/>
  <c r="GM48" i="1" s="1"/>
  <c r="AD48" i="1"/>
  <c r="AB48" i="1" s="1"/>
  <c r="Y48" i="1"/>
  <c r="CY48" i="1"/>
  <c r="CU37" i="3"/>
  <c r="CX38" i="3"/>
  <c r="CW38" i="3"/>
  <c r="CV37" i="3"/>
  <c r="CX39" i="3"/>
  <c r="R46" i="1"/>
  <c r="CP45" i="1"/>
  <c r="O45" i="1" s="1"/>
  <c r="S44" i="1"/>
  <c r="CT44" i="1"/>
  <c r="AB44" i="1"/>
  <c r="CP43" i="1"/>
  <c r="O43" i="1" s="1"/>
  <c r="S42" i="1"/>
  <c r="CT42" i="1"/>
  <c r="AB42" i="1"/>
  <c r="P34" i="1"/>
  <c r="CQ34" i="1"/>
  <c r="AB34" i="1"/>
  <c r="R54" i="1"/>
  <c r="AB53" i="1"/>
  <c r="P53" i="1"/>
  <c r="R51" i="1"/>
  <c r="CS51" i="1"/>
  <c r="X51" i="1"/>
  <c r="AB49" i="1"/>
  <c r="P49" i="1"/>
  <c r="CR45" i="1"/>
  <c r="R45" i="1"/>
  <c r="CR43" i="1"/>
  <c r="R43" i="1"/>
  <c r="CP41" i="1"/>
  <c r="O41" i="1" s="1"/>
  <c r="GM41" i="1" s="1"/>
  <c r="GO41" i="1" s="1"/>
  <c r="Y40" i="1"/>
  <c r="CY40" i="1"/>
  <c r="X34" i="1"/>
  <c r="CY34" i="1"/>
  <c r="Y34" i="1"/>
  <c r="CZ34" i="1"/>
  <c r="CX88" i="3"/>
  <c r="R53" i="1"/>
  <c r="CS53" i="1"/>
  <c r="X53" i="1"/>
  <c r="AB51" i="1"/>
  <c r="P51" i="1"/>
  <c r="R49" i="1"/>
  <c r="CS49" i="1"/>
  <c r="X49" i="1"/>
  <c r="T46" i="1"/>
  <c r="AG79" i="1" s="1"/>
  <c r="Y41" i="1"/>
  <c r="CZ41" i="1"/>
  <c r="X41" i="1"/>
  <c r="CV21" i="3"/>
  <c r="CW23" i="3"/>
  <c r="CX25" i="3"/>
  <c r="CX21" i="3"/>
  <c r="CX23" i="3"/>
  <c r="CX26" i="3"/>
  <c r="CU21" i="3"/>
  <c r="Q37" i="1"/>
  <c r="CP37" i="1" s="1"/>
  <c r="O37" i="1" s="1"/>
  <c r="R37" i="1"/>
  <c r="CP35" i="1"/>
  <c r="O35" i="1" s="1"/>
  <c r="X30" i="1"/>
  <c r="CY30" i="1"/>
  <c r="Y30" i="1"/>
  <c r="CZ30" i="1"/>
  <c r="CX101" i="3"/>
  <c r="CV41" i="3"/>
  <c r="CU41" i="3"/>
  <c r="CX44" i="3"/>
  <c r="CX43" i="3"/>
  <c r="CX41" i="3"/>
  <c r="CQ46" i="1"/>
  <c r="CQ45" i="1"/>
  <c r="CQ44" i="1"/>
  <c r="CQ43" i="1"/>
  <c r="CQ42" i="1"/>
  <c r="CT41" i="1"/>
  <c r="GX37" i="1"/>
  <c r="GB79" i="1" s="1"/>
  <c r="AB36" i="1"/>
  <c r="CU15" i="3"/>
  <c r="CX16" i="3"/>
  <c r="CX18" i="3"/>
  <c r="CV15" i="3"/>
  <c r="CW17" i="3"/>
  <c r="CX19" i="3"/>
  <c r="CX15" i="3"/>
  <c r="R36" i="1"/>
  <c r="S36" i="1"/>
  <c r="CQ35" i="1"/>
  <c r="CZ31" i="1"/>
  <c r="AD30" i="1"/>
  <c r="AB30" i="1" s="1"/>
  <c r="R30" i="1"/>
  <c r="CS30" i="1"/>
  <c r="Q30" i="1"/>
  <c r="AB29" i="1"/>
  <c r="CP29" i="1"/>
  <c r="O29" i="1" s="1"/>
  <c r="Y28" i="1"/>
  <c r="CY28" i="1"/>
  <c r="CZ28" i="1"/>
  <c r="CX120" i="3"/>
  <c r="CV115" i="3"/>
  <c r="CX99" i="3"/>
  <c r="CW99" i="3"/>
  <c r="CX90" i="3"/>
  <c r="CW90" i="3"/>
  <c r="CS41" i="1"/>
  <c r="R41" i="1"/>
  <c r="AB40" i="1"/>
  <c r="P40" i="1"/>
  <c r="CP40" i="1" s="1"/>
  <c r="O40" i="1" s="1"/>
  <c r="GM40" i="1" s="1"/>
  <c r="GO40" i="1" s="1"/>
  <c r="P38" i="1"/>
  <c r="CQ38" i="1"/>
  <c r="T37" i="1"/>
  <c r="DY79" i="1" s="1"/>
  <c r="W37" i="1"/>
  <c r="EB79" i="1" s="1"/>
  <c r="S37" i="1"/>
  <c r="CT37" i="1"/>
  <c r="Q36" i="1"/>
  <c r="CP36" i="1" s="1"/>
  <c r="O36" i="1" s="1"/>
  <c r="Y35" i="1"/>
  <c r="CZ35" i="1"/>
  <c r="CP33" i="1"/>
  <c r="O33" i="1" s="1"/>
  <c r="P32" i="1"/>
  <c r="CP32" i="1" s="1"/>
  <c r="O32" i="1" s="1"/>
  <c r="CQ32" i="1"/>
  <c r="S32" i="1"/>
  <c r="X31" i="1"/>
  <c r="CY31" i="1"/>
  <c r="CS28" i="1"/>
  <c r="Q28" i="1"/>
  <c r="AD28" i="1"/>
  <c r="AB28" i="1" s="1"/>
  <c r="CX113" i="3"/>
  <c r="CX107" i="3"/>
  <c r="CX97" i="3"/>
  <c r="P39" i="1"/>
  <c r="CQ39" i="1"/>
  <c r="X39" i="1"/>
  <c r="CY39" i="1"/>
  <c r="Y39" i="1"/>
  <c r="CZ39" i="1"/>
  <c r="AD31" i="1"/>
  <c r="AB31" i="1" s="1"/>
  <c r="R31" i="1"/>
  <c r="DW79" i="1" s="1"/>
  <c r="CS31" i="1"/>
  <c r="Q31" i="1"/>
  <c r="CW109" i="3"/>
  <c r="CX92" i="3"/>
  <c r="CX86" i="3"/>
  <c r="Q39" i="1"/>
  <c r="Q38" i="1"/>
  <c r="Q34" i="1"/>
  <c r="CT31" i="1"/>
  <c r="CP31" i="1"/>
  <c r="O31" i="1" s="1"/>
  <c r="CT30" i="1"/>
  <c r="CP30" i="1"/>
  <c r="O30" i="1" s="1"/>
  <c r="GM30" i="1" s="1"/>
  <c r="CS29" i="1"/>
  <c r="P28" i="1"/>
  <c r="CX105" i="3"/>
  <c r="CX93" i="3"/>
  <c r="CV89" i="3"/>
  <c r="CV87" i="3"/>
  <c r="DI70" i="3"/>
  <c r="DF70" i="3"/>
  <c r="DJ70" i="3" s="1"/>
  <c r="DG70" i="3"/>
  <c r="DH70" i="3"/>
  <c r="CZ29" i="1"/>
  <c r="CV7" i="3"/>
  <c r="CW9" i="3"/>
  <c r="CX11" i="3"/>
  <c r="CX7" i="3"/>
  <c r="CX9" i="3"/>
  <c r="CX12" i="3"/>
  <c r="CU7" i="3"/>
  <c r="CX121" i="3"/>
  <c r="CX109" i="3"/>
  <c r="CU1" i="3"/>
  <c r="CX2" i="3"/>
  <c r="CX4" i="3"/>
  <c r="CV1" i="3"/>
  <c r="CW3" i="3"/>
  <c r="CX5" i="3"/>
  <c r="CX1" i="3"/>
  <c r="CW2" i="3"/>
  <c r="CW4" i="3"/>
  <c r="R28" i="1"/>
  <c r="CX117" i="3"/>
  <c r="CX115" i="3"/>
  <c r="DI78" i="3"/>
  <c r="DG78" i="3"/>
  <c r="DF78" i="3"/>
  <c r="DJ78" i="3" s="1"/>
  <c r="DI64" i="3"/>
  <c r="DF64" i="3"/>
  <c r="DJ64" i="3" s="1"/>
  <c r="DG64" i="3"/>
  <c r="DH64" i="3"/>
  <c r="DI62" i="3"/>
  <c r="DF62" i="3"/>
  <c r="DJ62" i="3" s="1"/>
  <c r="DG62" i="3"/>
  <c r="DH62" i="3"/>
  <c r="DI79" i="3"/>
  <c r="DG76" i="3"/>
  <c r="DG75" i="3"/>
  <c r="DF74" i="3"/>
  <c r="DJ74" i="3" s="1"/>
  <c r="DF73" i="3"/>
  <c r="DF72" i="3"/>
  <c r="DJ72" i="3" s="1"/>
  <c r="DF71" i="3"/>
  <c r="DJ71" i="3" s="1"/>
  <c r="DH69" i="3"/>
  <c r="DH59" i="3"/>
  <c r="DI59" i="3"/>
  <c r="DF55" i="3"/>
  <c r="DJ55" i="3" s="1"/>
  <c r="DG55" i="3"/>
  <c r="CW52" i="3"/>
  <c r="CX52" i="3"/>
  <c r="DG51" i="3"/>
  <c r="DI51" i="3"/>
  <c r="DJ51" i="3" s="1"/>
  <c r="DF51" i="3"/>
  <c r="CX49" i="3"/>
  <c r="CV49" i="3"/>
  <c r="DG48" i="3"/>
  <c r="DJ48" i="3" s="1"/>
  <c r="DI48" i="3"/>
  <c r="DF48" i="3"/>
  <c r="CV83" i="3"/>
  <c r="CX81" i="3"/>
  <c r="DI58" i="3"/>
  <c r="DJ58" i="3" s="1"/>
  <c r="DF58" i="3"/>
  <c r="DH57" i="3"/>
  <c r="DI57" i="3"/>
  <c r="DF67" i="3"/>
  <c r="DJ67" i="3" s="1"/>
  <c r="DG67" i="3"/>
  <c r="DF63" i="3"/>
  <c r="DG63" i="3"/>
  <c r="DI56" i="3"/>
  <c r="DF56" i="3"/>
  <c r="DJ56" i="3" s="1"/>
  <c r="CX83" i="3"/>
  <c r="CV81" i="3"/>
  <c r="DG77" i="3"/>
  <c r="DH75" i="3"/>
  <c r="DH74" i="3"/>
  <c r="DH72" i="3"/>
  <c r="DG71" i="3"/>
  <c r="CX68" i="3"/>
  <c r="DI67" i="3"/>
  <c r="DH65" i="3"/>
  <c r="DI65" i="3"/>
  <c r="DI63" i="3"/>
  <c r="DJ63" i="3" s="1"/>
  <c r="DF61" i="3"/>
  <c r="DJ61" i="3" s="1"/>
  <c r="DG61" i="3"/>
  <c r="DG58" i="3"/>
  <c r="DG57" i="3"/>
  <c r="DH56" i="3"/>
  <c r="DH53" i="3"/>
  <c r="DI53" i="3"/>
  <c r="DJ53" i="3" s="1"/>
  <c r="DF50" i="3"/>
  <c r="DH50" i="3"/>
  <c r="DI50" i="3"/>
  <c r="CX47" i="3"/>
  <c r="DG46" i="3"/>
  <c r="DJ46" i="3" s="1"/>
  <c r="CX45" i="3"/>
  <c r="CX40" i="3"/>
  <c r="DF29" i="3"/>
  <c r="DJ29" i="3" s="1"/>
  <c r="DH29" i="3"/>
  <c r="DI29" i="3"/>
  <c r="DG28" i="3"/>
  <c r="DI28" i="3"/>
  <c r="DF28" i="3"/>
  <c r="DJ28" i="3" s="1"/>
  <c r="CW22" i="3"/>
  <c r="CW16" i="3"/>
  <c r="CX37" i="3"/>
  <c r="DI30" i="3"/>
  <c r="DG30" i="3"/>
  <c r="DH30" i="3"/>
  <c r="CX20" i="3"/>
  <c r="CX17" i="3"/>
  <c r="DH13" i="3"/>
  <c r="DI13" i="3"/>
  <c r="DJ13" i="3" s="1"/>
  <c r="DF13" i="3"/>
  <c r="DG13" i="3"/>
  <c r="CW10" i="3"/>
  <c r="CX27" i="3"/>
  <c r="CV27" i="3"/>
  <c r="CW8" i="3"/>
  <c r="CW42" i="3"/>
  <c r="CX42" i="3"/>
  <c r="DF35" i="3"/>
  <c r="DJ35" i="3" s="1"/>
  <c r="DH35" i="3"/>
  <c r="DI35" i="3"/>
  <c r="DG34" i="3"/>
  <c r="DI34" i="3"/>
  <c r="DF34" i="3"/>
  <c r="DJ34" i="3" s="1"/>
  <c r="CW24" i="3"/>
  <c r="CW18" i="3"/>
  <c r="CX6" i="3"/>
  <c r="CX3" i="3"/>
  <c r="DG33" i="3"/>
  <c r="CX32" i="3"/>
  <c r="DG31" i="3"/>
  <c r="CX24" i="3"/>
  <c r="CX22" i="3"/>
  <c r="CX14" i="3"/>
  <c r="CV13" i="3"/>
  <c r="CX10" i="3"/>
  <c r="CX8" i="3"/>
  <c r="EB156" i="1" l="1"/>
  <c r="DO175" i="1"/>
  <c r="CF111" i="1"/>
  <c r="AW124" i="1"/>
  <c r="DH115" i="3"/>
  <c r="DG115" i="3"/>
  <c r="DF115" i="3"/>
  <c r="DI115" i="3"/>
  <c r="DJ115" i="3" s="1"/>
  <c r="DI109" i="3"/>
  <c r="DH109" i="3"/>
  <c r="DF109" i="3"/>
  <c r="DG109" i="3"/>
  <c r="DJ109" i="3" s="1"/>
  <c r="DG9" i="3"/>
  <c r="DJ9" i="3" s="1"/>
  <c r="DH9" i="3"/>
  <c r="DI9" i="3"/>
  <c r="DF9" i="3"/>
  <c r="DI93" i="3"/>
  <c r="DH93" i="3"/>
  <c r="DF93" i="3"/>
  <c r="DJ93" i="3" s="1"/>
  <c r="DG93" i="3"/>
  <c r="DI32" i="3"/>
  <c r="DJ32" i="3" s="1"/>
  <c r="DG32" i="3"/>
  <c r="DH32" i="3"/>
  <c r="DF32" i="3"/>
  <c r="DH27" i="3"/>
  <c r="DF27" i="3"/>
  <c r="DG27" i="3"/>
  <c r="DI27" i="3"/>
  <c r="DJ27" i="3" s="1"/>
  <c r="DH117" i="3"/>
  <c r="DI117" i="3"/>
  <c r="DF117" i="3"/>
  <c r="DG117" i="3"/>
  <c r="DJ117" i="3" s="1"/>
  <c r="DH4" i="3"/>
  <c r="DI4" i="3"/>
  <c r="DF4" i="3"/>
  <c r="DG4" i="3"/>
  <c r="DJ4" i="3" s="1"/>
  <c r="DG7" i="3"/>
  <c r="DH7" i="3"/>
  <c r="DI7" i="3"/>
  <c r="DJ7" i="3" s="1"/>
  <c r="DF7" i="3"/>
  <c r="DI105" i="3"/>
  <c r="DH105" i="3"/>
  <c r="DF105" i="3"/>
  <c r="DJ105" i="3" s="1"/>
  <c r="DG105" i="3"/>
  <c r="DF92" i="3"/>
  <c r="DJ92" i="3" s="1"/>
  <c r="DI92" i="3"/>
  <c r="DG92" i="3"/>
  <c r="DH92" i="3"/>
  <c r="DI10" i="3"/>
  <c r="DF10" i="3"/>
  <c r="DG10" i="3"/>
  <c r="DJ10" i="3" s="1"/>
  <c r="DH10" i="3"/>
  <c r="DI24" i="3"/>
  <c r="DF24" i="3"/>
  <c r="DG24" i="3"/>
  <c r="DJ24" i="3" s="1"/>
  <c r="DH24" i="3"/>
  <c r="DF3" i="3"/>
  <c r="DG3" i="3"/>
  <c r="DJ3" i="3" s="1"/>
  <c r="DH3" i="3"/>
  <c r="DI3" i="3"/>
  <c r="DF17" i="3"/>
  <c r="DG17" i="3"/>
  <c r="DJ17" i="3" s="1"/>
  <c r="DH17" i="3"/>
  <c r="DI17" i="3"/>
  <c r="DG68" i="3"/>
  <c r="DI68" i="3"/>
  <c r="DJ68" i="3" s="1"/>
  <c r="DF68" i="3"/>
  <c r="DH68" i="3"/>
  <c r="DH49" i="3"/>
  <c r="DF49" i="3"/>
  <c r="DG49" i="3"/>
  <c r="DI49" i="3"/>
  <c r="DJ49" i="3" s="1"/>
  <c r="DG52" i="3"/>
  <c r="DJ52" i="3" s="1"/>
  <c r="DH52" i="3"/>
  <c r="DF52" i="3"/>
  <c r="DI52" i="3"/>
  <c r="DG12" i="3"/>
  <c r="DH12" i="3"/>
  <c r="DI12" i="3"/>
  <c r="DF12" i="3"/>
  <c r="DJ12" i="3" s="1"/>
  <c r="GM31" i="1"/>
  <c r="DV79" i="1"/>
  <c r="DI107" i="3"/>
  <c r="DJ107" i="3" s="1"/>
  <c r="DH107" i="3"/>
  <c r="DF107" i="3"/>
  <c r="DG107" i="3"/>
  <c r="EB26" i="1"/>
  <c r="DO79" i="1"/>
  <c r="DG19" i="3"/>
  <c r="DH19" i="3"/>
  <c r="DI19" i="3"/>
  <c r="DF19" i="3"/>
  <c r="DJ19" i="3" s="1"/>
  <c r="DH16" i="3"/>
  <c r="DI16" i="3"/>
  <c r="DF16" i="3"/>
  <c r="DG16" i="3"/>
  <c r="DJ16" i="3" s="1"/>
  <c r="DI44" i="3"/>
  <c r="DF44" i="3"/>
  <c r="DJ44" i="3" s="1"/>
  <c r="DG44" i="3"/>
  <c r="DH44" i="3"/>
  <c r="GM35" i="1"/>
  <c r="GO35" i="1" s="1"/>
  <c r="DG26" i="3"/>
  <c r="DI26" i="3"/>
  <c r="DF26" i="3"/>
  <c r="DJ26" i="3" s="1"/>
  <c r="DH26" i="3"/>
  <c r="CP34" i="1"/>
  <c r="O34" i="1" s="1"/>
  <c r="GM34" i="1" s="1"/>
  <c r="GO34" i="1" s="1"/>
  <c r="FR71" i="1"/>
  <c r="CP71" i="1"/>
  <c r="O71" i="1" s="1"/>
  <c r="GM71" i="1" s="1"/>
  <c r="ET26" i="1"/>
  <c r="P92" i="1"/>
  <c r="ET205" i="1"/>
  <c r="X38" i="1"/>
  <c r="CY38" i="1"/>
  <c r="Y38" i="1"/>
  <c r="CZ38" i="1"/>
  <c r="X43" i="1"/>
  <c r="GM43" i="1" s="1"/>
  <c r="CY43" i="1"/>
  <c r="CZ43" i="1"/>
  <c r="Y43" i="1"/>
  <c r="EV26" i="1"/>
  <c r="P104" i="1"/>
  <c r="EV205" i="1"/>
  <c r="EI26" i="1"/>
  <c r="P89" i="1"/>
  <c r="EI205" i="1"/>
  <c r="AQ26" i="1"/>
  <c r="F89" i="1"/>
  <c r="AQ205" i="1"/>
  <c r="Y119" i="1"/>
  <c r="CZ119" i="1"/>
  <c r="X119" i="1"/>
  <c r="CY119" i="1"/>
  <c r="AH26" i="1"/>
  <c r="U79" i="1"/>
  <c r="Y65" i="1"/>
  <c r="CZ65" i="1"/>
  <c r="CY65" i="1"/>
  <c r="X65" i="1"/>
  <c r="GM65" i="1" s="1"/>
  <c r="GO65" i="1" s="1"/>
  <c r="GM116" i="1"/>
  <c r="GM118" i="1"/>
  <c r="FR57" i="1"/>
  <c r="CP57" i="1"/>
  <c r="O57" i="1" s="1"/>
  <c r="GM57" i="1" s="1"/>
  <c r="GM58" i="1"/>
  <c r="GO58" i="1" s="1"/>
  <c r="BC26" i="1"/>
  <c r="F95" i="1"/>
  <c r="BC205" i="1"/>
  <c r="EU111" i="1"/>
  <c r="P140" i="1"/>
  <c r="AI111" i="1"/>
  <c r="V124" i="1"/>
  <c r="EK111" i="1"/>
  <c r="P141" i="1"/>
  <c r="DG89" i="3"/>
  <c r="DF89" i="3"/>
  <c r="DH89" i="3"/>
  <c r="DI89" i="3"/>
  <c r="DJ89" i="3" s="1"/>
  <c r="BD156" i="1"/>
  <c r="F200" i="1"/>
  <c r="EI111" i="1"/>
  <c r="P134" i="1"/>
  <c r="DF119" i="3"/>
  <c r="DJ119" i="3" s="1"/>
  <c r="DI119" i="3"/>
  <c r="DG119" i="3"/>
  <c r="DH119" i="3"/>
  <c r="EI156" i="1"/>
  <c r="P185" i="1"/>
  <c r="DF100" i="3"/>
  <c r="DI100" i="3"/>
  <c r="DG100" i="3"/>
  <c r="DJ100" i="3" s="1"/>
  <c r="DH100" i="3"/>
  <c r="R111" i="1"/>
  <c r="F138" i="1"/>
  <c r="EB111" i="1"/>
  <c r="DO124" i="1"/>
  <c r="P111" i="1"/>
  <c r="F127" i="1"/>
  <c r="X158" i="1"/>
  <c r="CY158" i="1"/>
  <c r="CZ158" i="1"/>
  <c r="Y158" i="1"/>
  <c r="DU175" i="1"/>
  <c r="CP161" i="1"/>
  <c r="O161" i="1" s="1"/>
  <c r="BC156" i="1"/>
  <c r="F191" i="1"/>
  <c r="EU156" i="1"/>
  <c r="P191" i="1"/>
  <c r="FQ175" i="1"/>
  <c r="T111" i="1"/>
  <c r="F145" i="1"/>
  <c r="GM166" i="1"/>
  <c r="GO166" i="1" s="1"/>
  <c r="AQ156" i="1"/>
  <c r="F185" i="1"/>
  <c r="DF6" i="3"/>
  <c r="DJ6" i="3" s="1"/>
  <c r="DG6" i="3"/>
  <c r="DH6" i="3"/>
  <c r="DI6" i="3"/>
  <c r="DI113" i="3"/>
  <c r="DH113" i="3"/>
  <c r="DF113" i="3"/>
  <c r="DJ113" i="3" s="1"/>
  <c r="DG113" i="3"/>
  <c r="DY26" i="1"/>
  <c r="DL79" i="1"/>
  <c r="DI90" i="3"/>
  <c r="DH90" i="3"/>
  <c r="DG90" i="3"/>
  <c r="DJ90" i="3" s="1"/>
  <c r="DF90" i="3"/>
  <c r="DI120" i="3"/>
  <c r="DG120" i="3"/>
  <c r="DH120" i="3"/>
  <c r="DF120" i="3"/>
  <c r="DJ120" i="3" s="1"/>
  <c r="GM29" i="1"/>
  <c r="X36" i="1"/>
  <c r="GM36" i="1" s="1"/>
  <c r="GO36" i="1" s="1"/>
  <c r="CY36" i="1"/>
  <c r="Y36" i="1"/>
  <c r="CZ36" i="1"/>
  <c r="DG23" i="3"/>
  <c r="DJ23" i="3" s="1"/>
  <c r="DH23" i="3"/>
  <c r="DI23" i="3"/>
  <c r="DF23" i="3"/>
  <c r="AG26" i="1"/>
  <c r="T79" i="1"/>
  <c r="FR51" i="1"/>
  <c r="CP51" i="1"/>
  <c r="O51" i="1" s="1"/>
  <c r="GM51" i="1" s="1"/>
  <c r="DH38" i="3"/>
  <c r="DF38" i="3"/>
  <c r="DG38" i="3"/>
  <c r="DJ38" i="3" s="1"/>
  <c r="DI38" i="3"/>
  <c r="FR60" i="1"/>
  <c r="CP60" i="1"/>
  <c r="O60" i="1" s="1"/>
  <c r="GM60" i="1" s="1"/>
  <c r="FR61" i="1"/>
  <c r="CP61" i="1"/>
  <c r="O61" i="1" s="1"/>
  <c r="GM61" i="1" s="1"/>
  <c r="AO26" i="1"/>
  <c r="F83" i="1"/>
  <c r="AO205" i="1"/>
  <c r="FR52" i="1"/>
  <c r="CP52" i="1"/>
  <c r="O52" i="1" s="1"/>
  <c r="GM52" i="1" s="1"/>
  <c r="Y55" i="1"/>
  <c r="CZ55" i="1"/>
  <c r="CY55" i="1"/>
  <c r="X55" i="1"/>
  <c r="FR66" i="1"/>
  <c r="CP66" i="1"/>
  <c r="O66" i="1" s="1"/>
  <c r="GM66" i="1" s="1"/>
  <c r="CB26" i="1"/>
  <c r="AS79" i="1"/>
  <c r="EG26" i="1"/>
  <c r="P83" i="1"/>
  <c r="EG205" i="1"/>
  <c r="AJ26" i="1"/>
  <c r="W79" i="1"/>
  <c r="CJ26" i="1"/>
  <c r="BA79" i="1"/>
  <c r="GM54" i="1"/>
  <c r="GO54" i="1" s="1"/>
  <c r="X113" i="1"/>
  <c r="AK124" i="1" s="1"/>
  <c r="CY113" i="1"/>
  <c r="Y113" i="1"/>
  <c r="AL124" i="1" s="1"/>
  <c r="CZ113" i="1"/>
  <c r="AF124" i="1"/>
  <c r="FQ111" i="1"/>
  <c r="EH124" i="1"/>
  <c r="GA124" i="1"/>
  <c r="BD111" i="1"/>
  <c r="F149" i="1"/>
  <c r="CP113" i="1"/>
  <c r="O113" i="1" s="1"/>
  <c r="DW111" i="1"/>
  <c r="DJ124" i="1"/>
  <c r="DY111" i="1"/>
  <c r="DL124" i="1"/>
  <c r="AE175" i="1"/>
  <c r="Q160" i="1"/>
  <c r="AD175" i="1" s="1"/>
  <c r="V160" i="1"/>
  <c r="AI175" i="1" s="1"/>
  <c r="R160" i="1"/>
  <c r="DG95" i="3"/>
  <c r="DF95" i="3"/>
  <c r="DJ95" i="3" s="1"/>
  <c r="DH95" i="3"/>
  <c r="DI95" i="3"/>
  <c r="CZ163" i="1"/>
  <c r="DX175" i="1"/>
  <c r="X163" i="1"/>
  <c r="EC175" i="1" s="1"/>
  <c r="Y163" i="1"/>
  <c r="CY163" i="1"/>
  <c r="FY156" i="1"/>
  <c r="EP175" i="1"/>
  <c r="DN26" i="1"/>
  <c r="P102" i="1"/>
  <c r="GM158" i="1"/>
  <c r="DG122" i="3"/>
  <c r="DH122" i="3"/>
  <c r="DF122" i="3"/>
  <c r="DJ122" i="3" s="1"/>
  <c r="DI122" i="3"/>
  <c r="DG118" i="3"/>
  <c r="DI118" i="3"/>
  <c r="DF118" i="3"/>
  <c r="DJ118" i="3" s="1"/>
  <c r="DH118" i="3"/>
  <c r="U111" i="1"/>
  <c r="F146" i="1"/>
  <c r="EG111" i="1"/>
  <c r="P128" i="1"/>
  <c r="CJ175" i="1"/>
  <c r="DF98" i="3"/>
  <c r="DI98" i="3"/>
  <c r="DJ98" i="3" s="1"/>
  <c r="DG98" i="3"/>
  <c r="DH98" i="3"/>
  <c r="DG108" i="3"/>
  <c r="DJ108" i="3" s="1"/>
  <c r="DF108" i="3"/>
  <c r="DI108" i="3"/>
  <c r="DH108" i="3"/>
  <c r="DF112" i="3"/>
  <c r="DJ112" i="3" s="1"/>
  <c r="DI112" i="3"/>
  <c r="DG112" i="3"/>
  <c r="DH112" i="3"/>
  <c r="Y170" i="1"/>
  <c r="CZ170" i="1"/>
  <c r="X170" i="1"/>
  <c r="CY170" i="1"/>
  <c r="Y172" i="1"/>
  <c r="CZ172" i="1"/>
  <c r="X172" i="1"/>
  <c r="CY172" i="1"/>
  <c r="BB156" i="1"/>
  <c r="F188" i="1"/>
  <c r="CJ111" i="1"/>
  <c r="BA124" i="1"/>
  <c r="P179" i="1"/>
  <c r="EG156" i="1"/>
  <c r="DN111" i="1"/>
  <c r="P147" i="1"/>
  <c r="GB156" i="1"/>
  <c r="ES175" i="1"/>
  <c r="CP170" i="1"/>
  <c r="O170" i="1" s="1"/>
  <c r="GM170" i="1" s="1"/>
  <c r="P160" i="1"/>
  <c r="AU156" i="1"/>
  <c r="F194" i="1"/>
  <c r="EA156" i="1"/>
  <c r="DN175" i="1"/>
  <c r="DF20" i="3"/>
  <c r="DJ20" i="3" s="1"/>
  <c r="DG20" i="3"/>
  <c r="DH20" i="3"/>
  <c r="DI20" i="3"/>
  <c r="DW26" i="1"/>
  <c r="DJ79" i="1"/>
  <c r="FR39" i="1"/>
  <c r="CP39" i="1"/>
  <c r="O39" i="1" s="1"/>
  <c r="GM39" i="1" s="1"/>
  <c r="DU79" i="1"/>
  <c r="DI41" i="3"/>
  <c r="DJ41" i="3" s="1"/>
  <c r="DF41" i="3"/>
  <c r="DG41" i="3"/>
  <c r="DH41" i="3"/>
  <c r="DG21" i="3"/>
  <c r="DH21" i="3"/>
  <c r="DI21" i="3"/>
  <c r="DJ21" i="3" s="1"/>
  <c r="DF21" i="3"/>
  <c r="DF88" i="3"/>
  <c r="DJ88" i="3" s="1"/>
  <c r="DI88" i="3"/>
  <c r="DG88" i="3"/>
  <c r="DH88" i="3"/>
  <c r="FR49" i="1"/>
  <c r="CP49" i="1"/>
  <c r="O49" i="1" s="1"/>
  <c r="GM49" i="1" s="1"/>
  <c r="DG39" i="3"/>
  <c r="DI39" i="3"/>
  <c r="DF39" i="3"/>
  <c r="DJ39" i="3" s="1"/>
  <c r="DH39" i="3"/>
  <c r="EU26" i="1"/>
  <c r="P95" i="1"/>
  <c r="EU205" i="1"/>
  <c r="DV111" i="1"/>
  <c r="DI124" i="1"/>
  <c r="X33" i="1"/>
  <c r="GM33" i="1" s="1"/>
  <c r="GO33" i="1" s="1"/>
  <c r="CY33" i="1"/>
  <c r="CZ33" i="1"/>
  <c r="Y33" i="1"/>
  <c r="DX79" i="1"/>
  <c r="FR50" i="1"/>
  <c r="CP50" i="1"/>
  <c r="O50" i="1" s="1"/>
  <c r="GM50" i="1" s="1"/>
  <c r="Y59" i="1"/>
  <c r="CZ59" i="1"/>
  <c r="CY59" i="1"/>
  <c r="X59" i="1"/>
  <c r="GM59" i="1" s="1"/>
  <c r="GO59" i="1" s="1"/>
  <c r="FR70" i="1"/>
  <c r="CP70" i="1"/>
  <c r="O70" i="1" s="1"/>
  <c r="GM70" i="1" s="1"/>
  <c r="BB26" i="1"/>
  <c r="F92" i="1"/>
  <c r="BB205" i="1"/>
  <c r="FV26" i="1"/>
  <c r="EM79" i="1"/>
  <c r="FY26" i="1"/>
  <c r="EP79" i="1"/>
  <c r="CP114" i="1"/>
  <c r="O114" i="1" s="1"/>
  <c r="DU124" i="1"/>
  <c r="Y69" i="1"/>
  <c r="CZ69" i="1"/>
  <c r="CY69" i="1"/>
  <c r="X69" i="1"/>
  <c r="GM69" i="1" s="1"/>
  <c r="GO69" i="1" s="1"/>
  <c r="GM75" i="1"/>
  <c r="GM115" i="1"/>
  <c r="GM117" i="1"/>
  <c r="CP119" i="1"/>
  <c r="O119" i="1" s="1"/>
  <c r="GM119" i="1" s="1"/>
  <c r="ET111" i="1"/>
  <c r="P137" i="1"/>
  <c r="X46" i="1"/>
  <c r="CY46" i="1"/>
  <c r="CZ46" i="1"/>
  <c r="Y46" i="1"/>
  <c r="GM46" i="1" s="1"/>
  <c r="GO46" i="1" s="1"/>
  <c r="GM76" i="1"/>
  <c r="DG87" i="3"/>
  <c r="DF87" i="3"/>
  <c r="DH87" i="3"/>
  <c r="DI87" i="3"/>
  <c r="DJ87" i="3" s="1"/>
  <c r="AU111" i="1"/>
  <c r="F143" i="1"/>
  <c r="AU205" i="1"/>
  <c r="AG175" i="1"/>
  <c r="DW156" i="1"/>
  <c r="DJ175" i="1"/>
  <c r="DF96" i="3"/>
  <c r="DJ96" i="3" s="1"/>
  <c r="DI96" i="3"/>
  <c r="DG96" i="3"/>
  <c r="DH96" i="3"/>
  <c r="DH94" i="3"/>
  <c r="DG94" i="3"/>
  <c r="DI94" i="3"/>
  <c r="DF94" i="3"/>
  <c r="DJ94" i="3" s="1"/>
  <c r="AO156" i="1"/>
  <c r="F179" i="1"/>
  <c r="EM111" i="1"/>
  <c r="P143" i="1"/>
  <c r="DV156" i="1"/>
  <c r="DI175" i="1"/>
  <c r="FY111" i="1"/>
  <c r="EP124" i="1"/>
  <c r="DH106" i="3"/>
  <c r="DG106" i="3"/>
  <c r="DI106" i="3"/>
  <c r="DF106" i="3"/>
  <c r="DJ106" i="3" s="1"/>
  <c r="DG114" i="3"/>
  <c r="DH114" i="3"/>
  <c r="DF114" i="3"/>
  <c r="DJ114" i="3" s="1"/>
  <c r="DI114" i="3"/>
  <c r="Y168" i="1"/>
  <c r="CZ168" i="1"/>
  <c r="X168" i="1"/>
  <c r="GM168" i="1" s="1"/>
  <c r="GO168" i="1" s="1"/>
  <c r="CY168" i="1"/>
  <c r="AX175" i="1"/>
  <c r="CG156" i="1"/>
  <c r="Q111" i="1"/>
  <c r="F136" i="1"/>
  <c r="AS111" i="1"/>
  <c r="F141" i="1"/>
  <c r="AQ111" i="1"/>
  <c r="F134" i="1"/>
  <c r="U160" i="1"/>
  <c r="AH175" i="1" s="1"/>
  <c r="CP162" i="1"/>
  <c r="O162" i="1" s="1"/>
  <c r="GM162" i="1" s="1"/>
  <c r="GO162" i="1" s="1"/>
  <c r="P192" i="1"/>
  <c r="EK156" i="1"/>
  <c r="CP172" i="1"/>
  <c r="O172" i="1" s="1"/>
  <c r="GM172" i="1" s="1"/>
  <c r="ES111" i="1"/>
  <c r="P144" i="1"/>
  <c r="S160" i="1"/>
  <c r="CI175" i="1"/>
  <c r="AP175" i="1"/>
  <c r="BY156" i="1"/>
  <c r="T160" i="1"/>
  <c r="DL175" i="1"/>
  <c r="DY156" i="1"/>
  <c r="DF37" i="3"/>
  <c r="DH37" i="3"/>
  <c r="DI37" i="3"/>
  <c r="DJ37" i="3" s="1"/>
  <c r="DG37" i="3"/>
  <c r="DI47" i="3"/>
  <c r="DJ47" i="3" s="1"/>
  <c r="DG47" i="3"/>
  <c r="DH47" i="3"/>
  <c r="DF47" i="3"/>
  <c r="DF86" i="3"/>
  <c r="DJ86" i="3" s="1"/>
  <c r="DI86" i="3"/>
  <c r="DG86" i="3"/>
  <c r="DH86" i="3"/>
  <c r="DI14" i="3"/>
  <c r="DJ14" i="3" s="1"/>
  <c r="DF14" i="3"/>
  <c r="DG14" i="3"/>
  <c r="DH14" i="3"/>
  <c r="DG42" i="3"/>
  <c r="DJ42" i="3" s="1"/>
  <c r="DH42" i="3"/>
  <c r="DF42" i="3"/>
  <c r="DI42" i="3"/>
  <c r="DF40" i="3"/>
  <c r="DJ40" i="3" s="1"/>
  <c r="DH40" i="3"/>
  <c r="DI40" i="3"/>
  <c r="DG40" i="3"/>
  <c r="DH81" i="3"/>
  <c r="DG81" i="3"/>
  <c r="DI81" i="3"/>
  <c r="DJ81" i="3" s="1"/>
  <c r="DF81" i="3"/>
  <c r="DF1" i="3"/>
  <c r="DG1" i="3"/>
  <c r="DH1" i="3"/>
  <c r="DI1" i="3"/>
  <c r="DJ1" i="3" s="1"/>
  <c r="DH121" i="3"/>
  <c r="DG121" i="3"/>
  <c r="DF121" i="3"/>
  <c r="DJ121" i="3" s="1"/>
  <c r="DI121" i="3"/>
  <c r="DI8" i="3"/>
  <c r="DF8" i="3"/>
  <c r="DG8" i="3"/>
  <c r="DJ8" i="3" s="1"/>
  <c r="DH8" i="3"/>
  <c r="DI22" i="3"/>
  <c r="DF22" i="3"/>
  <c r="DG22" i="3"/>
  <c r="DJ22" i="3" s="1"/>
  <c r="DH22" i="3"/>
  <c r="DG45" i="3"/>
  <c r="DH45" i="3"/>
  <c r="DI45" i="3"/>
  <c r="DJ45" i="3" s="1"/>
  <c r="DF45" i="3"/>
  <c r="DG83" i="3"/>
  <c r="DI83" i="3"/>
  <c r="DJ83" i="3" s="1"/>
  <c r="DF83" i="3"/>
  <c r="DH83" i="3"/>
  <c r="AE79" i="1"/>
  <c r="DG5" i="3"/>
  <c r="DH5" i="3"/>
  <c r="DI5" i="3"/>
  <c r="DF5" i="3"/>
  <c r="DJ5" i="3" s="1"/>
  <c r="DH2" i="3"/>
  <c r="DI2" i="3"/>
  <c r="DF2" i="3"/>
  <c r="DG2" i="3"/>
  <c r="DJ2" i="3" s="1"/>
  <c r="DH11" i="3"/>
  <c r="DI11" i="3"/>
  <c r="DF11" i="3"/>
  <c r="DJ11" i="3" s="1"/>
  <c r="DG11" i="3"/>
  <c r="CP28" i="1"/>
  <c r="O28" i="1" s="1"/>
  <c r="AC79" i="1"/>
  <c r="DI97" i="3"/>
  <c r="DH97" i="3"/>
  <c r="DF97" i="3"/>
  <c r="DJ97" i="3" s="1"/>
  <c r="DG97" i="3"/>
  <c r="AD79" i="1"/>
  <c r="X32" i="1"/>
  <c r="CY32" i="1"/>
  <c r="Y32" i="1"/>
  <c r="AL79" i="1" s="1"/>
  <c r="CZ32" i="1"/>
  <c r="AF79" i="1"/>
  <c r="X37" i="1"/>
  <c r="GM37" i="1" s="1"/>
  <c r="GO37" i="1" s="1"/>
  <c r="CY37" i="1"/>
  <c r="CZ37" i="1"/>
  <c r="Y37" i="1"/>
  <c r="CP38" i="1"/>
  <c r="O38" i="1" s="1"/>
  <c r="GM38" i="1" s="1"/>
  <c r="FR38" i="1"/>
  <c r="DH99" i="3"/>
  <c r="DG99" i="3"/>
  <c r="DJ99" i="3" s="1"/>
  <c r="DF99" i="3"/>
  <c r="DI99" i="3"/>
  <c r="DF15" i="3"/>
  <c r="DG15" i="3"/>
  <c r="DH15" i="3"/>
  <c r="DI15" i="3"/>
  <c r="DJ15" i="3" s="1"/>
  <c r="DH18" i="3"/>
  <c r="DI18" i="3"/>
  <c r="DF18" i="3"/>
  <c r="DG18" i="3"/>
  <c r="DJ18" i="3" s="1"/>
  <c r="GB26" i="1"/>
  <c r="ES79" i="1"/>
  <c r="DF43" i="3"/>
  <c r="DJ43" i="3" s="1"/>
  <c r="DG43" i="3"/>
  <c r="DH43" i="3"/>
  <c r="DI43" i="3"/>
  <c r="DI101" i="3"/>
  <c r="DH101" i="3"/>
  <c r="DF101" i="3"/>
  <c r="DJ101" i="3" s="1"/>
  <c r="DG101" i="3"/>
  <c r="AK79" i="1"/>
  <c r="DH25" i="3"/>
  <c r="DI25" i="3"/>
  <c r="DF25" i="3"/>
  <c r="DJ25" i="3" s="1"/>
  <c r="DG25" i="3"/>
  <c r="FR53" i="1"/>
  <c r="CP53" i="1"/>
  <c r="O53" i="1" s="1"/>
  <c r="GM53" i="1" s="1"/>
  <c r="X42" i="1"/>
  <c r="GM42" i="1" s="1"/>
  <c r="CY42" i="1"/>
  <c r="CZ42" i="1"/>
  <c r="Y42" i="1"/>
  <c r="X44" i="1"/>
  <c r="GM44" i="1" s="1"/>
  <c r="CY44" i="1"/>
  <c r="CZ44" i="1"/>
  <c r="Y44" i="1"/>
  <c r="FR67" i="1"/>
  <c r="CP67" i="1"/>
  <c r="O67" i="1" s="1"/>
  <c r="GM67" i="1" s="1"/>
  <c r="GM68" i="1"/>
  <c r="GO68" i="1" s="1"/>
  <c r="BD26" i="1"/>
  <c r="F104" i="1"/>
  <c r="BD205" i="1"/>
  <c r="CP55" i="1"/>
  <c r="O55" i="1" s="1"/>
  <c r="GM55" i="1" s="1"/>
  <c r="GO55" i="1" s="1"/>
  <c r="FR56" i="1"/>
  <c r="CP56" i="1"/>
  <c r="O56" i="1" s="1"/>
  <c r="GM56" i="1" s="1"/>
  <c r="DI84" i="3"/>
  <c r="DG84" i="3"/>
  <c r="DJ84" i="3" s="1"/>
  <c r="DF84" i="3"/>
  <c r="DH84" i="3"/>
  <c r="DF104" i="3"/>
  <c r="DJ104" i="3" s="1"/>
  <c r="DI104" i="3"/>
  <c r="DG104" i="3"/>
  <c r="DH104" i="3"/>
  <c r="X45" i="1"/>
  <c r="GM45" i="1" s="1"/>
  <c r="CY45" i="1"/>
  <c r="CZ45" i="1"/>
  <c r="Y45" i="1"/>
  <c r="CG26" i="1"/>
  <c r="AX79" i="1"/>
  <c r="DF82" i="3"/>
  <c r="DI82" i="3"/>
  <c r="DG82" i="3"/>
  <c r="DJ82" i="3" s="1"/>
  <c r="DH82" i="3"/>
  <c r="EK26" i="1"/>
  <c r="P96" i="1"/>
  <c r="EK205" i="1"/>
  <c r="Y120" i="1"/>
  <c r="CZ120" i="1"/>
  <c r="X120" i="1"/>
  <c r="GM120" i="1" s="1"/>
  <c r="CY120" i="1"/>
  <c r="DZ26" i="1"/>
  <c r="DM79" i="1"/>
  <c r="BY111" i="1"/>
  <c r="AP124" i="1"/>
  <c r="CI124" i="1"/>
  <c r="CH124" i="1"/>
  <c r="AI26" i="1"/>
  <c r="V79" i="1"/>
  <c r="Y63" i="1"/>
  <c r="CZ63" i="1"/>
  <c r="CY63" i="1"/>
  <c r="X63" i="1"/>
  <c r="GM63" i="1" s="1"/>
  <c r="GO63" i="1" s="1"/>
  <c r="ED124" i="1"/>
  <c r="AO111" i="1"/>
  <c r="F128" i="1"/>
  <c r="BC111" i="1"/>
  <c r="F140" i="1"/>
  <c r="DZ156" i="1"/>
  <c r="DM175" i="1"/>
  <c r="DG91" i="3"/>
  <c r="DJ91" i="3" s="1"/>
  <c r="DF91" i="3"/>
  <c r="DH91" i="3"/>
  <c r="DI91" i="3"/>
  <c r="CP163" i="1"/>
  <c r="O163" i="1" s="1"/>
  <c r="GM163" i="1" s="1"/>
  <c r="GO163" i="1" s="1"/>
  <c r="DX124" i="1"/>
  <c r="DF85" i="3"/>
  <c r="DG85" i="3"/>
  <c r="DI85" i="3"/>
  <c r="DJ85" i="3" s="1"/>
  <c r="DH85" i="3"/>
  <c r="ED175" i="1"/>
  <c r="DF116" i="3"/>
  <c r="DG116" i="3"/>
  <c r="DJ116" i="3" s="1"/>
  <c r="DI116" i="3"/>
  <c r="DH116" i="3"/>
  <c r="DG103" i="3"/>
  <c r="DF103" i="3"/>
  <c r="DJ103" i="3" s="1"/>
  <c r="DH103" i="3"/>
  <c r="DI103" i="3"/>
  <c r="DH102" i="3"/>
  <c r="DG102" i="3"/>
  <c r="DI102" i="3"/>
  <c r="DF102" i="3"/>
  <c r="DJ102" i="3" s="1"/>
  <c r="DG111" i="3"/>
  <c r="DF111" i="3"/>
  <c r="DJ111" i="3" s="1"/>
  <c r="DH111" i="3"/>
  <c r="DI111" i="3"/>
  <c r="DH110" i="3"/>
  <c r="DG110" i="3"/>
  <c r="DI110" i="3"/>
  <c r="DF110" i="3"/>
  <c r="DJ110" i="3" s="1"/>
  <c r="Y171" i="1"/>
  <c r="CZ171" i="1"/>
  <c r="X171" i="1"/>
  <c r="CY171" i="1"/>
  <c r="Y173" i="1"/>
  <c r="CZ173" i="1"/>
  <c r="X173" i="1"/>
  <c r="CY173" i="1"/>
  <c r="EV156" i="1"/>
  <c r="P200" i="1"/>
  <c r="CE111" i="1"/>
  <c r="AV124" i="1"/>
  <c r="F192" i="1"/>
  <c r="AS156" i="1"/>
  <c r="CP171" i="1"/>
  <c r="O171" i="1" s="1"/>
  <c r="GM171" i="1" s="1"/>
  <c r="W160" i="1"/>
  <c r="AJ175" i="1" s="1"/>
  <c r="CP165" i="1"/>
  <c r="O165" i="1" s="1"/>
  <c r="GM165" i="1" s="1"/>
  <c r="GO165" i="1" s="1"/>
  <c r="GM159" i="1"/>
  <c r="CP173" i="1"/>
  <c r="O173" i="1" s="1"/>
  <c r="GM173" i="1" s="1"/>
  <c r="AJ156" i="1" l="1"/>
  <c r="W175" i="1"/>
  <c r="AL26" i="1"/>
  <c r="Y79" i="1"/>
  <c r="EC156" i="1"/>
  <c r="DP175" i="1"/>
  <c r="GO159" i="1"/>
  <c r="V26" i="1"/>
  <c r="F102" i="1"/>
  <c r="V205" i="1"/>
  <c r="AP111" i="1"/>
  <c r="F133" i="1"/>
  <c r="DM156" i="1"/>
  <c r="P197" i="1"/>
  <c r="ES26" i="1"/>
  <c r="P99" i="1"/>
  <c r="ES205" i="1"/>
  <c r="AF26" i="1"/>
  <c r="S79" i="1"/>
  <c r="AE26" i="1"/>
  <c r="R79" i="1"/>
  <c r="Y160" i="1"/>
  <c r="CZ160" i="1"/>
  <c r="X160" i="1"/>
  <c r="CY160" i="1"/>
  <c r="EP111" i="1"/>
  <c r="P131" i="1"/>
  <c r="P189" i="1"/>
  <c r="DJ156" i="1"/>
  <c r="EU22" i="1"/>
  <c r="P221" i="1"/>
  <c r="EU235" i="1"/>
  <c r="DU26" i="1"/>
  <c r="FZ79" i="1"/>
  <c r="DH79" i="1"/>
  <c r="FW79" i="1"/>
  <c r="DL111" i="1"/>
  <c r="P145" i="1"/>
  <c r="EC124" i="1"/>
  <c r="GA111" i="1"/>
  <c r="ER124" i="1"/>
  <c r="AS26" i="1"/>
  <c r="F96" i="1"/>
  <c r="AS205" i="1"/>
  <c r="GO29" i="1"/>
  <c r="FU79" i="1" s="1"/>
  <c r="FS79" i="1"/>
  <c r="FQ156" i="1"/>
  <c r="EH175" i="1"/>
  <c r="GA175" i="1"/>
  <c r="AF175" i="1"/>
  <c r="EV22" i="1"/>
  <c r="EV235" i="1"/>
  <c r="P230" i="1"/>
  <c r="ET22" i="1"/>
  <c r="ET235" i="1"/>
  <c r="P218" i="1"/>
  <c r="DV26" i="1"/>
  <c r="DI79" i="1"/>
  <c r="AV111" i="1"/>
  <c r="F129" i="1"/>
  <c r="ED156" i="1"/>
  <c r="DQ175" i="1"/>
  <c r="CH111" i="1"/>
  <c r="AY124" i="1"/>
  <c r="DM26" i="1"/>
  <c r="P101" i="1"/>
  <c r="DM205" i="1"/>
  <c r="AD26" i="1"/>
  <c r="Q79" i="1"/>
  <c r="GM32" i="1"/>
  <c r="GO32" i="1" s="1"/>
  <c r="DU111" i="1"/>
  <c r="FZ124" i="1"/>
  <c r="FW124" i="1"/>
  <c r="FX124" i="1"/>
  <c r="DH124" i="1"/>
  <c r="EM26" i="1"/>
  <c r="P98" i="1"/>
  <c r="EM205" i="1"/>
  <c r="DX26" i="1"/>
  <c r="DK79" i="1"/>
  <c r="DN156" i="1"/>
  <c r="P198" i="1"/>
  <c r="CP160" i="1"/>
  <c r="O160" i="1" s="1"/>
  <c r="AC175" i="1"/>
  <c r="GO158" i="1"/>
  <c r="EP156" i="1"/>
  <c r="P182" i="1"/>
  <c r="AI156" i="1"/>
  <c r="V175" i="1"/>
  <c r="GM113" i="1"/>
  <c r="AB124" i="1"/>
  <c r="EH111" i="1"/>
  <c r="P133" i="1"/>
  <c r="AL111" i="1"/>
  <c r="Y124" i="1"/>
  <c r="BA26" i="1"/>
  <c r="F99" i="1"/>
  <c r="EG22" i="1"/>
  <c r="P209" i="1"/>
  <c r="EG235" i="1"/>
  <c r="T26" i="1"/>
  <c r="F100" i="1"/>
  <c r="T205" i="1"/>
  <c r="DL26" i="1"/>
  <c r="P100" i="1"/>
  <c r="DL205" i="1"/>
  <c r="GM161" i="1"/>
  <c r="GO161" i="1" s="1"/>
  <c r="DT175" i="1"/>
  <c r="EI22" i="1"/>
  <c r="P215" i="1"/>
  <c r="EI235" i="1"/>
  <c r="DO156" i="1"/>
  <c r="P199" i="1"/>
  <c r="DX111" i="1"/>
  <c r="DK124" i="1"/>
  <c r="ED111" i="1"/>
  <c r="DQ124" i="1"/>
  <c r="CI111" i="1"/>
  <c r="AZ124" i="1"/>
  <c r="AX26" i="1"/>
  <c r="F86" i="1"/>
  <c r="AX205" i="1"/>
  <c r="BY79" i="1"/>
  <c r="CF79" i="1" s="1"/>
  <c r="AC26" i="1"/>
  <c r="P79" i="1"/>
  <c r="CE79" i="1"/>
  <c r="F184" i="1"/>
  <c r="AP156" i="1"/>
  <c r="P187" i="1"/>
  <c r="DI156" i="1"/>
  <c r="T175" i="1"/>
  <c r="AG156" i="1"/>
  <c r="GM114" i="1"/>
  <c r="DT124" i="1"/>
  <c r="ED79" i="1"/>
  <c r="DI111" i="1"/>
  <c r="P136" i="1"/>
  <c r="FQ79" i="1"/>
  <c r="DN205" i="1"/>
  <c r="DX156" i="1"/>
  <c r="DK175" i="1"/>
  <c r="Q175" i="1"/>
  <c r="AD156" i="1"/>
  <c r="DJ111" i="1"/>
  <c r="P138" i="1"/>
  <c r="DU156" i="1"/>
  <c r="DH175" i="1"/>
  <c r="FW175" i="1"/>
  <c r="FX175" i="1"/>
  <c r="FZ175" i="1"/>
  <c r="DO111" i="1"/>
  <c r="P148" i="1"/>
  <c r="AQ22" i="1"/>
  <c r="F215" i="1"/>
  <c r="AQ235" i="1"/>
  <c r="DO26" i="1"/>
  <c r="P103" i="1"/>
  <c r="DO205" i="1"/>
  <c r="AW111" i="1"/>
  <c r="F130" i="1"/>
  <c r="EK22" i="1"/>
  <c r="EK235" i="1"/>
  <c r="P222" i="1"/>
  <c r="E16" i="2" s="1"/>
  <c r="BD22" i="1"/>
  <c r="F230" i="1"/>
  <c r="BD235" i="1"/>
  <c r="AK26" i="1"/>
  <c r="X79" i="1"/>
  <c r="GM28" i="1"/>
  <c r="AB79" i="1"/>
  <c r="DL156" i="1"/>
  <c r="P196" i="1"/>
  <c r="CI156" i="1"/>
  <c r="AZ175" i="1"/>
  <c r="U175" i="1"/>
  <c r="AH156" i="1"/>
  <c r="AX156" i="1"/>
  <c r="F182" i="1"/>
  <c r="AU22" i="1"/>
  <c r="AU235" i="1"/>
  <c r="F224" i="1"/>
  <c r="EP26" i="1"/>
  <c r="P86" i="1"/>
  <c r="EP205" i="1"/>
  <c r="BB22" i="1"/>
  <c r="F218" i="1"/>
  <c r="BB235" i="1"/>
  <c r="EC79" i="1"/>
  <c r="DJ26" i="1"/>
  <c r="P93" i="1"/>
  <c r="DJ205" i="1"/>
  <c r="P195" i="1"/>
  <c r="ES156" i="1"/>
  <c r="BA111" i="1"/>
  <c r="F144" i="1"/>
  <c r="CJ156" i="1"/>
  <c r="BA175" i="1"/>
  <c r="AE156" i="1"/>
  <c r="R175" i="1"/>
  <c r="AF111" i="1"/>
  <c r="S124" i="1"/>
  <c r="AK111" i="1"/>
  <c r="X124" i="1"/>
  <c r="W26" i="1"/>
  <c r="F103" i="1"/>
  <c r="W205" i="1"/>
  <c r="AO22" i="1"/>
  <c r="F209" i="1"/>
  <c r="AO235" i="1"/>
  <c r="DT79" i="1"/>
  <c r="AL175" i="1"/>
  <c r="AK175" i="1"/>
  <c r="V111" i="1"/>
  <c r="F147" i="1"/>
  <c r="BC22" i="1"/>
  <c r="F221" i="1"/>
  <c r="BC235" i="1"/>
  <c r="U26" i="1"/>
  <c r="F101" i="1"/>
  <c r="U205" i="1"/>
  <c r="CF26" i="1" l="1"/>
  <c r="AW79" i="1"/>
  <c r="BC18" i="1"/>
  <c r="F251" i="1"/>
  <c r="AO18" i="1"/>
  <c r="F239" i="1"/>
  <c r="BA156" i="1"/>
  <c r="F195" i="1"/>
  <c r="DT26" i="1"/>
  <c r="DG79" i="1"/>
  <c r="W22" i="1"/>
  <c r="F229" i="1"/>
  <c r="W235" i="1"/>
  <c r="AZ156" i="1"/>
  <c r="F186" i="1"/>
  <c r="AB26" i="1"/>
  <c r="O79" i="1"/>
  <c r="BD18" i="1"/>
  <c r="F260" i="1"/>
  <c r="EK18" i="1"/>
  <c r="P252" i="1"/>
  <c r="DO22" i="1"/>
  <c r="P229" i="1"/>
  <c r="DO235" i="1"/>
  <c r="EQ175" i="1"/>
  <c r="FZ156" i="1"/>
  <c r="Q156" i="1"/>
  <c r="F187" i="1"/>
  <c r="FQ26" i="1"/>
  <c r="EH79" i="1"/>
  <c r="GA79" i="1"/>
  <c r="DT111" i="1"/>
  <c r="DG124" i="1"/>
  <c r="CH79" i="1"/>
  <c r="DT156" i="1"/>
  <c r="DG175" i="1"/>
  <c r="EG18" i="1"/>
  <c r="P239" i="1"/>
  <c r="V156" i="1"/>
  <c r="F198" i="1"/>
  <c r="EM22" i="1"/>
  <c r="P224" i="1"/>
  <c r="H16" i="2" s="1"/>
  <c r="EM235" i="1"/>
  <c r="FX111" i="1"/>
  <c r="EO124" i="1"/>
  <c r="DQ156" i="1"/>
  <c r="P202" i="1"/>
  <c r="DI26" i="1"/>
  <c r="P91" i="1"/>
  <c r="DI205" i="1"/>
  <c r="AF156" i="1"/>
  <c r="S175" i="1"/>
  <c r="FS26" i="1"/>
  <c r="EJ79" i="1"/>
  <c r="DH26" i="1"/>
  <c r="P82" i="1"/>
  <c r="DH205" i="1"/>
  <c r="S26" i="1"/>
  <c r="F94" i="1"/>
  <c r="S205" i="1"/>
  <c r="FS175" i="1"/>
  <c r="Y26" i="1"/>
  <c r="F106" i="1"/>
  <c r="GO28" i="1"/>
  <c r="CC79" i="1" s="1"/>
  <c r="CA79" i="1"/>
  <c r="GO114" i="1"/>
  <c r="FU124" i="1" s="1"/>
  <c r="FS124" i="1"/>
  <c r="T22" i="1"/>
  <c r="T235" i="1"/>
  <c r="F226" i="1"/>
  <c r="FU26" i="1"/>
  <c r="EL79" i="1"/>
  <c r="ER111" i="1"/>
  <c r="P135" i="1"/>
  <c r="FZ26" i="1"/>
  <c r="EQ79" i="1"/>
  <c r="V22" i="1"/>
  <c r="F228" i="1"/>
  <c r="V235" i="1"/>
  <c r="FU175" i="1"/>
  <c r="BY26" i="1"/>
  <c r="CI79" i="1"/>
  <c r="AP79" i="1"/>
  <c r="Q26" i="1"/>
  <c r="F91" i="1"/>
  <c r="Q205" i="1"/>
  <c r="AK156" i="1"/>
  <c r="X175" i="1"/>
  <c r="X205" i="1" s="1"/>
  <c r="EC26" i="1"/>
  <c r="DP79" i="1"/>
  <c r="EP22" i="1"/>
  <c r="EP235" i="1"/>
  <c r="P212" i="1"/>
  <c r="AU18" i="1"/>
  <c r="F254" i="1"/>
  <c r="X26" i="1"/>
  <c r="F105" i="1"/>
  <c r="FW156" i="1"/>
  <c r="EN175" i="1"/>
  <c r="CE26" i="1"/>
  <c r="AV79" i="1"/>
  <c r="AX22" i="1"/>
  <c r="F212" i="1"/>
  <c r="AX235" i="1"/>
  <c r="DL22" i="1"/>
  <c r="P226" i="1"/>
  <c r="DL235" i="1"/>
  <c r="Y111" i="1"/>
  <c r="F151" i="1"/>
  <c r="AB111" i="1"/>
  <c r="O124" i="1"/>
  <c r="AC156" i="1"/>
  <c r="P175" i="1"/>
  <c r="CE175" i="1"/>
  <c r="CF175" i="1"/>
  <c r="CH175" i="1"/>
  <c r="DK26" i="1"/>
  <c r="P94" i="1"/>
  <c r="DK205" i="1"/>
  <c r="FZ111" i="1"/>
  <c r="EQ124" i="1"/>
  <c r="AY111" i="1"/>
  <c r="F132" i="1"/>
  <c r="EV18" i="1"/>
  <c r="P260" i="1"/>
  <c r="EH156" i="1"/>
  <c r="P184" i="1"/>
  <c r="AS22" i="1"/>
  <c r="F222" i="1"/>
  <c r="T16" i="2" s="1"/>
  <c r="AS235" i="1"/>
  <c r="FX79" i="1"/>
  <c r="R26" i="1"/>
  <c r="F93" i="1"/>
  <c r="R205" i="1"/>
  <c r="ES22" i="1"/>
  <c r="ES235" i="1"/>
  <c r="P225" i="1"/>
  <c r="DP156" i="1"/>
  <c r="P201" i="1"/>
  <c r="W156" i="1"/>
  <c r="F199" i="1"/>
  <c r="S111" i="1"/>
  <c r="F139" i="1"/>
  <c r="FX156" i="1"/>
  <c r="EO175" i="1"/>
  <c r="DK156" i="1"/>
  <c r="P190" i="1"/>
  <c r="AZ111" i="1"/>
  <c r="F135" i="1"/>
  <c r="DK111" i="1"/>
  <c r="P139" i="1"/>
  <c r="EI18" i="1"/>
  <c r="P245" i="1"/>
  <c r="FW111" i="1"/>
  <c r="EN124" i="1"/>
  <c r="GA156" i="1"/>
  <c r="ER175" i="1"/>
  <c r="U22" i="1"/>
  <c r="F227" i="1"/>
  <c r="U235" i="1"/>
  <c r="AL156" i="1"/>
  <c r="Y175" i="1"/>
  <c r="Y205" i="1" s="1"/>
  <c r="X111" i="1"/>
  <c r="F150" i="1"/>
  <c r="R156" i="1"/>
  <c r="F189" i="1"/>
  <c r="DJ22" i="1"/>
  <c r="DJ235" i="1"/>
  <c r="P219" i="1"/>
  <c r="BB18" i="1"/>
  <c r="F248" i="1"/>
  <c r="U156" i="1"/>
  <c r="F197" i="1"/>
  <c r="AQ18" i="1"/>
  <c r="F245" i="1"/>
  <c r="DH156" i="1"/>
  <c r="P178" i="1"/>
  <c r="DN22" i="1"/>
  <c r="P228" i="1"/>
  <c r="DN235" i="1"/>
  <c r="ED26" i="1"/>
  <c r="DQ79" i="1"/>
  <c r="T156" i="1"/>
  <c r="F196" i="1"/>
  <c r="P26" i="1"/>
  <c r="F82" i="1"/>
  <c r="P205" i="1"/>
  <c r="DQ111" i="1"/>
  <c r="P151" i="1"/>
  <c r="BA205" i="1"/>
  <c r="GO113" i="1"/>
  <c r="CC124" i="1" s="1"/>
  <c r="CA124" i="1"/>
  <c r="GM160" i="1"/>
  <c r="AB175" i="1"/>
  <c r="DH111" i="1"/>
  <c r="P127" i="1"/>
  <c r="DM22" i="1"/>
  <c r="DM235" i="1"/>
  <c r="P227" i="1"/>
  <c r="ET18" i="1"/>
  <c r="P248" i="1"/>
  <c r="EC111" i="1"/>
  <c r="DP124" i="1"/>
  <c r="FW26" i="1"/>
  <c r="EN79" i="1"/>
  <c r="EU18" i="1"/>
  <c r="P251" i="1"/>
  <c r="Y22" i="1" l="1"/>
  <c r="Y235" i="1"/>
  <c r="F232" i="1"/>
  <c r="X22" i="1"/>
  <c r="F231" i="1"/>
  <c r="X235" i="1"/>
  <c r="AB156" i="1"/>
  <c r="O175" i="1"/>
  <c r="DQ26" i="1"/>
  <c r="P106" i="1"/>
  <c r="DQ205" i="1"/>
  <c r="ES18" i="1"/>
  <c r="P255" i="1"/>
  <c r="AX18" i="1"/>
  <c r="F242" i="1"/>
  <c r="T18" i="1"/>
  <c r="F256" i="1"/>
  <c r="EJ26" i="1"/>
  <c r="P107" i="1"/>
  <c r="GA26" i="1"/>
  <c r="ER79" i="1"/>
  <c r="ER156" i="1"/>
  <c r="P186" i="1"/>
  <c r="P181" i="1"/>
  <c r="EO156" i="1"/>
  <c r="FS111" i="1"/>
  <c r="EJ124" i="1"/>
  <c r="S22" i="1"/>
  <c r="F220" i="1"/>
  <c r="S235" i="1"/>
  <c r="S156" i="1"/>
  <c r="F190" i="1"/>
  <c r="DG111" i="1"/>
  <c r="P126" i="1"/>
  <c r="EQ156" i="1"/>
  <c r="P183" i="1"/>
  <c r="O26" i="1"/>
  <c r="F81" i="1"/>
  <c r="O205" i="1"/>
  <c r="W18" i="1"/>
  <c r="F259" i="1"/>
  <c r="DP111" i="1"/>
  <c r="P150" i="1"/>
  <c r="CC111" i="1"/>
  <c r="AT124" i="1"/>
  <c r="P22" i="1"/>
  <c r="P235" i="1"/>
  <c r="F208" i="1"/>
  <c r="DJ18" i="1"/>
  <c r="P249" i="1"/>
  <c r="U18" i="1"/>
  <c r="F257" i="1"/>
  <c r="EQ111" i="1"/>
  <c r="P132" i="1"/>
  <c r="P156" i="1"/>
  <c r="F178" i="1"/>
  <c r="AV26" i="1"/>
  <c r="F84" i="1"/>
  <c r="AV205" i="1"/>
  <c r="DP26" i="1"/>
  <c r="P105" i="1"/>
  <c r="DP205" i="1"/>
  <c r="Q22" i="1"/>
  <c r="F217" i="1"/>
  <c r="Q235" i="1"/>
  <c r="CI26" i="1"/>
  <c r="AZ79" i="1"/>
  <c r="FU111" i="1"/>
  <c r="EL124" i="1"/>
  <c r="EM18" i="1"/>
  <c r="P254" i="1"/>
  <c r="DG156" i="1"/>
  <c r="P177" i="1"/>
  <c r="DO18" i="1"/>
  <c r="P259" i="1"/>
  <c r="BA22" i="1"/>
  <c r="F225" i="1"/>
  <c r="W16" i="2" s="1"/>
  <c r="BA235" i="1"/>
  <c r="CH156" i="1"/>
  <c r="AY175" i="1"/>
  <c r="DI22" i="1"/>
  <c r="DI235" i="1"/>
  <c r="P217" i="1"/>
  <c r="CA26" i="1"/>
  <c r="AR79" i="1"/>
  <c r="EN26" i="1"/>
  <c r="P84" i="1"/>
  <c r="EN205" i="1"/>
  <c r="GO160" i="1"/>
  <c r="CC175" i="1" s="1"/>
  <c r="CA175" i="1"/>
  <c r="F202" i="1"/>
  <c r="Y156" i="1"/>
  <c r="FX26" i="1"/>
  <c r="EO79" i="1"/>
  <c r="DK22" i="1"/>
  <c r="DK235" i="1"/>
  <c r="P220" i="1"/>
  <c r="J16" i="2" s="1"/>
  <c r="CF156" i="1"/>
  <c r="AW175" i="1"/>
  <c r="O111" i="1"/>
  <c r="F126" i="1"/>
  <c r="DL18" i="1"/>
  <c r="P256" i="1"/>
  <c r="EN156" i="1"/>
  <c r="P180" i="1"/>
  <c r="EP18" i="1"/>
  <c r="P242" i="1"/>
  <c r="X156" i="1"/>
  <c r="F201" i="1"/>
  <c r="EL175" i="1"/>
  <c r="FU156" i="1"/>
  <c r="EQ26" i="1"/>
  <c r="P87" i="1"/>
  <c r="EQ205" i="1"/>
  <c r="EL26" i="1"/>
  <c r="P97" i="1"/>
  <c r="EL205" i="1"/>
  <c r="CC26" i="1"/>
  <c r="AT79" i="1"/>
  <c r="FS156" i="1"/>
  <c r="EJ175" i="1"/>
  <c r="DH22" i="1"/>
  <c r="P208" i="1"/>
  <c r="DH235" i="1"/>
  <c r="EO111" i="1"/>
  <c r="P130" i="1"/>
  <c r="CH26" i="1"/>
  <c r="AY79" i="1"/>
  <c r="EH26" i="1"/>
  <c r="P88" i="1"/>
  <c r="EH205" i="1"/>
  <c r="DG26" i="1"/>
  <c r="P81" i="1"/>
  <c r="DG205" i="1"/>
  <c r="AW26" i="1"/>
  <c r="F85" i="1"/>
  <c r="AW205" i="1"/>
  <c r="DM18" i="1"/>
  <c r="P257" i="1"/>
  <c r="EN111" i="1"/>
  <c r="P129" i="1"/>
  <c r="CA111" i="1"/>
  <c r="AR124" i="1"/>
  <c r="DN18" i="1"/>
  <c r="P258" i="1"/>
  <c r="R22" i="1"/>
  <c r="F219" i="1"/>
  <c r="R235" i="1"/>
  <c r="AS18" i="1"/>
  <c r="F252" i="1"/>
  <c r="CE156" i="1"/>
  <c r="AV175" i="1"/>
  <c r="AP26" i="1"/>
  <c r="F88" i="1"/>
  <c r="AP205" i="1"/>
  <c r="V18" i="1"/>
  <c r="F258" i="1"/>
  <c r="AW22" i="1" l="1"/>
  <c r="F211" i="1"/>
  <c r="AW235" i="1"/>
  <c r="EJ156" i="1"/>
  <c r="P203" i="1"/>
  <c r="AP22" i="1"/>
  <c r="F214" i="1"/>
  <c r="V16" i="2" s="1"/>
  <c r="AP235" i="1"/>
  <c r="AR111" i="1"/>
  <c r="F152" i="1"/>
  <c r="EH22" i="1"/>
  <c r="EH235" i="1"/>
  <c r="P214" i="1"/>
  <c r="G16" i="2" s="1"/>
  <c r="AT26" i="1"/>
  <c r="F97" i="1"/>
  <c r="AW156" i="1"/>
  <c r="F181" i="1"/>
  <c r="AZ26" i="1"/>
  <c r="F90" i="1"/>
  <c r="AZ205" i="1"/>
  <c r="AV22" i="1"/>
  <c r="AV235" i="1"/>
  <c r="F210" i="1"/>
  <c r="DG22" i="1"/>
  <c r="DG235" i="1"/>
  <c r="P207" i="1"/>
  <c r="EQ22" i="1"/>
  <c r="P213" i="1"/>
  <c r="EQ235" i="1"/>
  <c r="EL156" i="1"/>
  <c r="P193" i="1"/>
  <c r="EO26" i="1"/>
  <c r="P85" i="1"/>
  <c r="EO205" i="1"/>
  <c r="CA156" i="1"/>
  <c r="AR175" i="1"/>
  <c r="DI18" i="1"/>
  <c r="P247" i="1"/>
  <c r="BA18" i="1"/>
  <c r="F255" i="1"/>
  <c r="DP22" i="1"/>
  <c r="DP235" i="1"/>
  <c r="P231" i="1"/>
  <c r="P18" i="1"/>
  <c r="F238" i="1"/>
  <c r="O22" i="1"/>
  <c r="F207" i="1"/>
  <c r="O235" i="1"/>
  <c r="EJ111" i="1"/>
  <c r="P152" i="1"/>
  <c r="EJ205" i="1"/>
  <c r="O156" i="1"/>
  <c r="F177" i="1"/>
  <c r="CC156" i="1"/>
  <c r="AT175" i="1"/>
  <c r="AR26" i="1"/>
  <c r="F107" i="1"/>
  <c r="EL111" i="1"/>
  <c r="P142" i="1"/>
  <c r="Q18" i="1"/>
  <c r="F247" i="1"/>
  <c r="S18" i="1"/>
  <c r="F250" i="1"/>
  <c r="DQ22" i="1"/>
  <c r="DQ235" i="1"/>
  <c r="P232" i="1"/>
  <c r="AV156" i="1"/>
  <c r="F180" i="1"/>
  <c r="R18" i="1"/>
  <c r="F249" i="1"/>
  <c r="AY26" i="1"/>
  <c r="F87" i="1"/>
  <c r="AY205" i="1"/>
  <c r="DH18" i="1"/>
  <c r="P238" i="1"/>
  <c r="DK18" i="1"/>
  <c r="P250" i="1"/>
  <c r="EN22" i="1"/>
  <c r="EN235" i="1"/>
  <c r="P210" i="1"/>
  <c r="AY156" i="1"/>
  <c r="F183" i="1"/>
  <c r="AT111" i="1"/>
  <c r="F142" i="1"/>
  <c r="Y16" i="2"/>
  <c r="ER26" i="1"/>
  <c r="P90" i="1"/>
  <c r="ER205" i="1"/>
  <c r="X18" i="1"/>
  <c r="F261" i="1"/>
  <c r="Y18" i="1"/>
  <c r="F262" i="1"/>
  <c r="EL22" i="1"/>
  <c r="P223" i="1"/>
  <c r="F16" i="2" s="1"/>
  <c r="EL235" i="1"/>
  <c r="O18" i="1" l="1"/>
  <c r="F237" i="1"/>
  <c r="AR156" i="1"/>
  <c r="F203" i="1"/>
  <c r="AZ22" i="1"/>
  <c r="AZ235" i="1"/>
  <c r="F216" i="1"/>
  <c r="I16" i="2"/>
  <c r="N16" i="2" s="1"/>
  <c r="AT156" i="1"/>
  <c r="F193" i="1"/>
  <c r="EJ22" i="1"/>
  <c r="EJ235" i="1"/>
  <c r="P233" i="1"/>
  <c r="AT205" i="1"/>
  <c r="EH18" i="1"/>
  <c r="P244" i="1"/>
  <c r="AP18" i="1"/>
  <c r="F244" i="1"/>
  <c r="AY22" i="1"/>
  <c r="F213" i="1"/>
  <c r="AY235" i="1"/>
  <c r="DQ18" i="1"/>
  <c r="P262" i="1"/>
  <c r="AR205" i="1"/>
  <c r="DP18" i="1"/>
  <c r="P261" i="1"/>
  <c r="EO22" i="1"/>
  <c r="P211" i="1"/>
  <c r="EO235" i="1"/>
  <c r="AV18" i="1"/>
  <c r="F240" i="1"/>
  <c r="AW18" i="1"/>
  <c r="F241" i="1"/>
  <c r="EN18" i="1"/>
  <c r="P240" i="1"/>
  <c r="ER22" i="1"/>
  <c r="ER235" i="1"/>
  <c r="P216" i="1"/>
  <c r="EQ18" i="1"/>
  <c r="P243" i="1"/>
  <c r="DG18" i="1"/>
  <c r="P237" i="1"/>
  <c r="EL18" i="1"/>
  <c r="P253" i="1"/>
  <c r="ER18" i="1" l="1"/>
  <c r="P246" i="1"/>
  <c r="EO18" i="1"/>
  <c r="P241" i="1"/>
  <c r="AR22" i="1"/>
  <c r="F233" i="1"/>
  <c r="AR235" i="1"/>
  <c r="EJ18" i="1"/>
  <c r="P263" i="1"/>
  <c r="AT22" i="1"/>
  <c r="F223" i="1"/>
  <c r="U16" i="2" s="1"/>
  <c r="X16" i="2" s="1"/>
  <c r="AC16" i="2" s="1"/>
  <c r="AT235" i="1"/>
  <c r="AZ18" i="1"/>
  <c r="F246" i="1"/>
  <c r="AY18" i="1"/>
  <c r="F243" i="1"/>
  <c r="AT18" i="1" l="1"/>
  <c r="F253" i="1"/>
  <c r="AR18" i="1"/>
  <c r="F263" i="1"/>
</calcChain>
</file>

<file path=xl/sharedStrings.xml><?xml version="1.0" encoding="utf-8"?>
<sst xmlns="http://schemas.openxmlformats.org/spreadsheetml/2006/main" count="7350" uniqueCount="456">
  <si>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</si>
  <si>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</si>
  <si>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</si>
  <si>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</si>
  <si>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</t>
  </si>
  <si>
    <t>02-01-14 СОТ</t>
  </si>
  <si>
    <t>2024-00281-00-ИОС5.7</t>
  </si>
  <si>
    <t>Соколова И.Н.</t>
  </si>
  <si>
    <t>Сметные нормы списания</t>
  </si>
  <si>
    <t>Коды ОКП для ТСН-2001 МГЭ Дополнение 80</t>
  </si>
  <si>
    <t>Типовой расчет для ТСН-2001 МГЭ, Дополнение 80, строительство  (1)</t>
  </si>
  <si>
    <t>Территориальные сметные нормативы для Москвы ТСН-2001 (МГЭ), дополнение 80</t>
  </si>
  <si>
    <t>Поправки для ТСН-2001 от 28.11.2025 г. доп.79</t>
  </si>
  <si>
    <t>Территориальные сметные нормативы для Москвы (ТСН-2001)</t>
  </si>
  <si>
    <t>ТЕР</t>
  </si>
  <si>
    <t>02-01-14</t>
  </si>
  <si>
    <t>Система охранного теленаблюдения</t>
  </si>
  <si>
    <t>Оборудование</t>
  </si>
  <si>
    <t>1</t>
  </si>
  <si>
    <t>4.10-174-1</t>
  </si>
  <si>
    <t>Монтаж внутренней камеры видеонаблюдения</t>
  </si>
  <si>
    <t>10 шт.</t>
  </si>
  <si>
    <t>ТСН-2001.4 Доп. 68, Сб. 10, т. 174, поз. 1</t>
  </si>
  <si>
    <t>*1,1</t>
  </si>
  <si>
    <t>Монтаж оборудования</t>
  </si>
  <si>
    <t>ТСН-2001.4-10. Прокладка и монтаж сетей связи</t>
  </si>
  <si>
    <t>ТСН-2001.4-10-1</t>
  </si>
  <si>
    <t>Поправка: О.П. п.3.4.30.в</t>
  </si>
  <si>
    <t>2</t>
  </si>
  <si>
    <t>КА-1</t>
  </si>
  <si>
    <t>ШТ</t>
  </si>
  <si>
    <t>Сметная стоимость оборудования</t>
  </si>
  <si>
    <t>ТСН-2001.13. Сметная стоимость оборудования</t>
  </si>
  <si>
    <t>ТСН-2001.13</t>
  </si>
  <si>
    <t>[8 916 / 1,2 /  7,66] +  3% Трансп +  1,2% Заг.скл</t>
  </si>
  <si>
    <t>3</t>
  </si>
  <si>
    <t>1,2</t>
  </si>
  <si>
    <t>4.10-136-1</t>
  </si>
  <si>
    <t>Разные устройства, монтаж коробки телевизионной (ответвители, разветвители магистральные, домовые, абонентские), УСС, БФТК</t>
  </si>
  <si>
    <t>1  ШТ.</t>
  </si>
  <si>
    <t>ТСН-2001.4. Доп. 1-42. Сб. 10, т. 136, поз. 1</t>
  </si>
  <si>
    <t>ТСН-2001.4-10. Монтаж радиотелевизионного и электронного оборудования</t>
  </si>
  <si>
    <t>ТСН-2001.4-10-2</t>
  </si>
  <si>
    <t>4</t>
  </si>
  <si>
    <t>КА-2</t>
  </si>
  <si>
    <t>Устройство грозозащиты NST NS-LP-1GP/D</t>
  </si>
  <si>
    <t>Материалы</t>
  </si>
  <si>
    <t>Материалы, изделия и конструкции</t>
  </si>
  <si>
    <t>[3 249 / 1,2 /  9,88] +  2% Заг.скл</t>
  </si>
  <si>
    <t>0</t>
  </si>
  <si>
    <t>5</t>
  </si>
  <si>
    <t>4.10-174-2</t>
  </si>
  <si>
    <t>Монтаж наружной камеры видеонаблюдения</t>
  </si>
  <si>
    <t>ТСН-2001.4 Доп. 68, Сб. 10, т. 174, поз. 2</t>
  </si>
  <si>
    <t>6</t>
  </si>
  <si>
    <t>КА-3</t>
  </si>
  <si>
    <t>[11 475 / 1,2 /  7,66] +  3% Трансп +  1,2% Заг.скл</t>
  </si>
  <si>
    <t>7</t>
  </si>
  <si>
    <t>4.10-72-14</t>
  </si>
  <si>
    <t>Монтаж устройства цифровой регистрации</t>
  </si>
  <si>
    <t>1 устройство</t>
  </si>
  <si>
    <t>ТСН-2001.4 Доп. 67, Сб. 10, т. 72, поз. 14</t>
  </si>
  <si>
    <t>8</t>
  </si>
  <si>
    <t>КА-4</t>
  </si>
  <si>
    <t>IP-видеорегистратор UltraStation 24/10 на 256 каналов, 24 HDD на 10 Тбайт UltraStation 24/10 256 v2 с 24 HDD</t>
  </si>
  <si>
    <t>[2 682 924 / 1,2 /  7,66] +  3% Трансп +  1,2% Заг.скл</t>
  </si>
  <si>
    <t>9</t>
  </si>
  <si>
    <t>КА-5</t>
  </si>
  <si>
    <t>Программное обеспечение TRASSIR ЕЦХД</t>
  </si>
  <si>
    <t>[179 000 / 1,2 /  7,66] +  3% Трансп +  1,2% Заг.скл</t>
  </si>
  <si>
    <t>10</t>
  </si>
  <si>
    <t>4.10-34-5</t>
  </si>
  <si>
    <t>Монтаж коммутатора служебной связи</t>
  </si>
  <si>
    <t>ТСН-2001.4 Доп. 80, Сб. 10, т. 34, поз. 5</t>
  </si>
  <si>
    <t>11</t>
  </si>
  <si>
    <t>КА-6</t>
  </si>
  <si>
    <t>Коммутатор агрегации  MES3300-16F</t>
  </si>
  <si>
    <t>[308 578 / 1,2 /  7,66] +  3% Трансп +  1,2% Заг.скл</t>
  </si>
  <si>
    <t>12</t>
  </si>
  <si>
    <t>КА-7</t>
  </si>
  <si>
    <t>Коммутатор доступа 48  PoE MES2420-48P</t>
  </si>
  <si>
    <t>[472 415 / 1,2 /  7,66] +  3% Трансп +  1,2% Заг.скл</t>
  </si>
  <si>
    <t>13</t>
  </si>
  <si>
    <t>КА-8</t>
  </si>
  <si>
    <t>Коммутатор доступа 24  PoE MES2300-24P</t>
  </si>
  <si>
    <t>[123 437 / 1,2 /  7,66] +  3% Трансп +  1,2% Заг.скл</t>
  </si>
  <si>
    <t>14</t>
  </si>
  <si>
    <t>4.10-32-4</t>
  </si>
  <si>
    <t>Монтаж платы дополнительной, устанавливаемой на готовом месте стойки</t>
  </si>
  <si>
    <t>ТСН-2001.4 Доп. 68, Сб. 10, т. 32, поз. 4</t>
  </si>
  <si>
    <t>15</t>
  </si>
  <si>
    <t>КА-9</t>
  </si>
  <si>
    <t>SFP 1,25 GE модуль 550 м, ММ, 2 волокна, 850 пт, LC, DDM FH-S8512CDL05</t>
  </si>
  <si>
    <t>[2 845 / 1,2 /  7,66] +  3% Трансп +  1,2% Заг.скл</t>
  </si>
  <si>
    <t>16</t>
  </si>
  <si>
    <t>17</t>
  </si>
  <si>
    <t>КА-10</t>
  </si>
  <si>
    <t>Грозозащита для локальной вычислительной сети, 16 GE RJ-45 SP-IP16/1000PR</t>
  </si>
  <si>
    <t>[50 355 / 1,2 /  7,66] +  3% Трансп +  1,2% Заг.скл</t>
  </si>
  <si>
    <t>18</t>
  </si>
  <si>
    <t>4.10-75-9</t>
  </si>
  <si>
    <t>Монтаж аппаратуры настенной</t>
  </si>
  <si>
    <t>ТСН-2001.4 Доп. 80, Сб. 10, т. 75, поз. 9</t>
  </si>
  <si>
    <t>19</t>
  </si>
  <si>
    <t>КА-11</t>
  </si>
  <si>
    <t>Кронштейн настенного крепления RDW 2701K</t>
  </si>
  <si>
    <t>[1 400 / 1,2 /  9,88] +  2% Заг.скл</t>
  </si>
  <si>
    <t>20</t>
  </si>
  <si>
    <t>КА-12</t>
  </si>
  <si>
    <t>Монитор RDW 2701K</t>
  </si>
  <si>
    <t>[21 350 / 1,2 /  7,66] +  3% Трансп +  1,2% Заг.скл</t>
  </si>
  <si>
    <t>21</t>
  </si>
  <si>
    <t>4.10-75-6</t>
  </si>
  <si>
    <t>Монтаж аппаратуры настольной массой до 20 кг</t>
  </si>
  <si>
    <t>ТСН-2001.4 Доп. 79, Сб. 10, т. 75, поз. 6</t>
  </si>
  <si>
    <t>22</t>
  </si>
  <si>
    <t>КА-13</t>
  </si>
  <si>
    <t>Рабочая станция DEPO Race VT955</t>
  </si>
  <si>
    <t>[548 650 / 1,2 /  7,66] +  3% Трансп +  1,2% Заг.скл</t>
  </si>
  <si>
    <t>23</t>
  </si>
  <si>
    <t>4.10-173-2</t>
  </si>
  <si>
    <t>Монтаж блока бесперебойного питания (ББП) в диспетчерской</t>
  </si>
  <si>
    <t>ТСН-2001.4 Доп. 67, Сб. 10, т. 173, поз. 2</t>
  </si>
  <si>
    <t>24</t>
  </si>
  <si>
    <t>КА-14</t>
  </si>
  <si>
    <t>Источник бесперебойного питания 3000 ВА/2700 Вт SKAT-UPS 3000-RACK-ON-6x9-E</t>
  </si>
  <si>
    <t>[96 233 / 1,2 /  7,66] +  3% Трансп +  1,2% Заг.скл</t>
  </si>
  <si>
    <t>25</t>
  </si>
  <si>
    <t>КА-15</t>
  </si>
  <si>
    <t>Батарейный блок 18Ач/72В  SKAT BC 72/18S3 RACK</t>
  </si>
  <si>
    <t>[79 969 / 1,2 /  7,66] +  3% Трансп +  1,2% Заг.скл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</si>
  <si>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</si>
  <si>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</si>
  <si>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</si>
  <si>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</si>
  <si>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</si>
  <si>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</si>
  <si>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</si>
  <si>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</si>
  <si>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</si>
  <si>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</si>
  <si>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</si>
  <si>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</si>
  <si>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</si>
  <si>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</si>
  <si>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</si>
  <si>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</si>
  <si>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</si>
  <si>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</si>
  <si>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</si>
  <si>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</si>
  <si>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</si>
  <si>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</si>
  <si>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</si>
  <si>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</si>
  <si>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</si>
  <si>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</si>
  <si>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</si>
  <si>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</si>
  <si>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</si>
  <si>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</si>
  <si>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</si>
  <si>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</si>
  <si>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</si>
  <si>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</si>
  <si>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</si>
  <si>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</si>
  <si>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</si>
  <si>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</si>
  <si>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</si>
  <si>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</si>
  <si>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</si>
  <si>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</si>
  <si>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</si>
  <si>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</si>
  <si>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</si>
  <si>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</si>
  <si>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</si>
  <si>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</si>
  <si>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</si>
  <si>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</si>
  <si>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</si>
  <si>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</si>
  <si>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</si>
  <si>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</si>
  <si>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Материалы и кабельные изделия</t>
  </si>
  <si>
    <t>26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</si>
  <si>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</si>
  <si>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</si>
  <si>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</si>
  <si>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ТСН-2001.4-11. Приборы и средства автоматизации и вычислительной техники</t>
  </si>
  <si>
    <t>ТСН-2001.4-11-1</t>
  </si>
  <si>
    <t>27</t>
  </si>
  <si>
    <t>КА-16</t>
  </si>
  <si>
    <t>Оптический распределительный кросс укомплектованный: LC (Duplex) 24 шт, (ОМЗ) FOBX24-1U-24LCUD03</t>
  </si>
  <si>
    <t>[28 616,07 / 1,2 /  7,66] +  3% Трансп +  1,2% Заг.скл</t>
  </si>
  <si>
    <t>28</t>
  </si>
  <si>
    <t>КА-17</t>
  </si>
  <si>
    <t>Оптический распределительный кросс укомплектованный: LC (Duplex) 8 шт, (ОМЗ) FOBX24-1U-8LCUD03</t>
  </si>
  <si>
    <t>[15 122,34 / 1,2 /  7,66] +  3% Трансп +  1,2% Заг.скл</t>
  </si>
  <si>
    <t>29</t>
  </si>
  <si>
    <t>КА-18</t>
  </si>
  <si>
    <t>1U патч-панель кат.5E UTP 48 портов (DUAL IDC)  высокой плотности  PP48-1UC5EU-D05H</t>
  </si>
  <si>
    <t>[11 835,82 / 1,2 /  7,66] +  3% Трансп +  1,2% Заг.скл</t>
  </si>
  <si>
    <t>30</t>
  </si>
  <si>
    <t>КА-19</t>
  </si>
  <si>
    <t>1U патч-панель кат.5E UTP 24портов (DUAL IDC)  высокой плотности  PP24-1UC5EU-D05-1</t>
  </si>
  <si>
    <t>[4 353,6 / 1,2 /  7,66] +  3% Трансп +  1,2% Заг.скл</t>
  </si>
  <si>
    <t>Кабельные изделия</t>
  </si>
  <si>
    <t>31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</si>
  <si>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</si>
  <si>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</si>
  <si>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100 м</t>
  </si>
  <si>
    <t>ТСН-2001.4 Доп. 54, Сб. 8, т. 288, поз. 2</t>
  </si>
  <si>
    <t>ТСН-2001.4-8. Электротехнические установки</t>
  </si>
  <si>
    <t>ТСН-2001.4-8-1</t>
  </si>
  <si>
    <t>31,1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</si>
  <si>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</si>
  <si>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</si>
  <si>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</si>
  <si>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ТСН-2001.1 Доп. 67, Р. 12, о. 5, поз. 372</t>
  </si>
  <si>
    <t>32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</si>
  <si>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</si>
  <si>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</si>
  <si>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</si>
  <si>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33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</si>
  <si>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</si>
  <si>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t>
  </si>
  <si>
    <t>ТСН-2001.4 Доп. 80, Сб. 8, т. 175, поз. 9</t>
  </si>
  <si>
    <t>34</t>
  </si>
  <si>
    <t>КА-20</t>
  </si>
  <si>
    <t>Волоконно-оптический кабель, 8 волокон, многомод 50/125 мкм ОБР-В-нг(Ф)-HFLTx 8 G/651 400H</t>
  </si>
  <si>
    <t>км</t>
  </si>
  <si>
    <t>[80 136 / 1,2 /  9,88] +  2% Заг.скл</t>
  </si>
  <si>
    <t>35</t>
  </si>
  <si>
    <t>КА-21</t>
  </si>
  <si>
    <t>Кабель витая пара ParLan U/UTP Cat5e PVCLS нг(А)-LSLTx 4x20,52</t>
  </si>
  <si>
    <t>[91 430 / 1,2 /  9,88] +  2% Заг.скл</t>
  </si>
  <si>
    <t>36</t>
  </si>
  <si>
    <t>13.1-2-437</t>
  </si>
  <si>
    <t>Шнур оптический соединительный (патч-корд), тип разъемов LC/UPC-SC/UPC, 9/125 мкм, одномодовый, дуплексный, оболочка LSZH, длина 1 м</t>
  </si>
  <si>
    <t>шт.</t>
  </si>
  <si>
    <t>37</t>
  </si>
  <si>
    <t>13.1-2-432</t>
  </si>
  <si>
    <t>Шнур коммутационный (патч-корд) тип разъемов RJ45 - RJ45, категория 5E, оболочка LSZH, длина 1 м, неэкранированный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</si>
  <si>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</si>
  <si>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</si>
  <si>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</si>
  <si>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</si>
  <si>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</si>
  <si>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</si>
  <si>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</si>
  <si>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</si>
  <si>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</si>
  <si>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</si>
  <si>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</si>
  <si>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</si>
  <si>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</si>
  <si>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</si>
  <si>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</si>
  <si>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</si>
  <si>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</si>
  <si>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</si>
  <si>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</si>
  <si>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</si>
  <si>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</si>
  <si>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</si>
  <si>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</si>
  <si>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</si>
  <si>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</si>
  <si>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</si>
  <si>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</si>
  <si>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</si>
  <si>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</si>
  <si>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</si>
  <si>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</si>
  <si>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</si>
  <si>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1.1-1-238</t>
  </si>
  <si>
    <t>ТСН-2001.1 Доп. 80, Р. 1, о. 1, поз. 238</t>
  </si>
  <si>
    <t>Дюбель пластмассовый</t>
  </si>
  <si>
    <t>1.1-1-3256</t>
  </si>
  <si>
    <t>ТСН-2001.1 Доп. 73, Р. 1, о. 1, поз. 3256</t>
  </si>
  <si>
    <t>Шуруп-саморез с потайной головкой, наконечник сверло, оцинкованный, диаметр 4,2 мм, длина 60 мм</t>
  </si>
  <si>
    <t>100 шт.</t>
  </si>
  <si>
    <t>1.1-1-944</t>
  </si>
  <si>
    <t>ТСН-2001.1 Доп. 79, Р. 1, о. 1, поз. 944</t>
  </si>
  <si>
    <t>Припой оловянно-свинцовый, в прутках, диаметр 8 мм, типа ПОС-30</t>
  </si>
  <si>
    <t>т</t>
  </si>
  <si>
    <t>1.1-2-63</t>
  </si>
  <si>
    <t>ТСН-2001.1. Доп. 1-42. Р. 1, о. 2, поз. 63</t>
  </si>
  <si>
    <t>Нитки суровые</t>
  </si>
  <si>
    <t>г</t>
  </si>
  <si>
    <t>1.21-5-1180</t>
  </si>
  <si>
    <t>ТСН-2001.1 Доп. 79, Р. 21, о. 5, поз. 1180</t>
  </si>
  <si>
    <t>Бирка маркировочная для кабелей и проводов, типа У134 У3,5</t>
  </si>
  <si>
    <t>1000 шт.</t>
  </si>
  <si>
    <t>9999990002</t>
  </si>
  <si>
    <t>Масса оборудования</t>
  </si>
  <si>
    <t>2.1-4-12</t>
  </si>
  <si>
    <t>ТСН-2001.2. Доп. 68. п.1-4-12 (040205)</t>
  </si>
  <si>
    <t>Автопогрузчики вилочные, грузоподъемность до 5 т</t>
  </si>
  <si>
    <t>1.1-1-3607</t>
  </si>
  <si>
    <t>ТСН-2001.1 Доп. 79, Р. 1, о. 1, поз. 3607</t>
  </si>
  <si>
    <t>Шурупы с полукруглой головкой, диаметр 4 мм, длина 40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</si>
  <si>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</si>
  <si>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</si>
  <si>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</si>
  <si>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1.1-1-1502</t>
  </si>
  <si>
    <t>ТСН-2001.1 Доп. 79, Р. 1, о. 1, поз. 1502</t>
  </si>
  <si>
    <t>Шурупы с потайной головкой, черные, диаметр 8 мм, длина 100 мм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</si>
  <si>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</si>
  <si>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</si>
  <si>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</si>
  <si>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кг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</si>
  <si>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</si>
  <si>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</si>
  <si>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</si>
  <si>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</si>
  <si>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</si>
  <si>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</si>
  <si>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</si>
  <si>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</si>
  <si>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</si>
  <si>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</si>
  <si>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</si>
  <si>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</si>
  <si>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</si>
  <si>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</si>
  <si>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</si>
  <si>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1.1-1-1723</t>
  </si>
  <si>
    <t>ТСН-2001.1 Доп. 79, Р. 1, о. 1, поз. 1723</t>
  </si>
  <si>
    <t>Лента изоляционная, прорезиненная, односторонняя</t>
  </si>
  <si>
    <t>1.21-5-1544</t>
  </si>
  <si>
    <t>ТСН-2001.1 Доп. 65, Р. 21, о. 5, поз. 1544</t>
  </si>
  <si>
    <t>Гильзы кабельные медные типа ГМ 6</t>
  </si>
  <si>
    <t>1.21-5-1555</t>
  </si>
  <si>
    <t>ТСН-2001.1 Доп. 79, Р. 21, о. 5, поз. 1555</t>
  </si>
  <si>
    <t>Втулка трубная, полипропиленовая, диаметр 22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</si>
  <si>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</si>
  <si>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</si>
  <si>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</si>
  <si>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1.21-5-758</t>
  </si>
  <si>
    <t>ТСН-2001.1 Доп. 79, Р. 21, о. 5, поз. 758</t>
  </si>
  <si>
    <t>Зажим соединительно-изолирующий, типа СИЗ-3</t>
  </si>
  <si>
    <t>4442400000</t>
  </si>
  <si>
    <t>Камеры видеонаблюдения внутренней установки</t>
  </si>
  <si>
    <t>Камеры видеонаблюдения наружной установки с термокожухом</t>
  </si>
  <si>
    <t>3449820000</t>
  </si>
  <si>
    <t>Наконечники кабельные медные</t>
  </si>
  <si>
    <t>6571100000</t>
  </si>
  <si>
    <t>Устройства цифровой регистрации</t>
  </si>
  <si>
    <t>устройство</t>
  </si>
  <si>
    <t>5295150000</t>
  </si>
  <si>
    <t>Коммутаторы служебной связи</t>
  </si>
  <si>
    <t>4041900000</t>
  </si>
  <si>
    <t>Платы, устанавливаемые на готовом месте стойки</t>
  </si>
  <si>
    <t>5295370000</t>
  </si>
  <si>
    <t>Аппаратура настенная</t>
  </si>
  <si>
    <t>5291000000</t>
  </si>
  <si>
    <t>Крепежные изделия</t>
  </si>
  <si>
    <t>5295300000</t>
  </si>
  <si>
    <t>Столы аппаратные</t>
  </si>
  <si>
    <t>4372910000</t>
  </si>
  <si>
    <t>Блоки бесперебойного питания (ББП)</t>
  </si>
  <si>
    <t>4200000000</t>
  </si>
  <si>
    <t>Съемные и выдвижные блоки, ячейки, модули, типовые элементы замены (4300000000)</t>
  </si>
  <si>
    <t>2248200000</t>
  </si>
  <si>
    <t>Трубы поливинилхлоридные гофрированные</t>
  </si>
  <si>
    <t>3434200000</t>
  </si>
  <si>
    <t>Коробки соединительные</t>
  </si>
  <si>
    <t>3449651000</t>
  </si>
  <si>
    <t>Держатели пластиковые для труб</t>
  </si>
  <si>
    <t>3500000000</t>
  </si>
  <si>
    <t>Провода (марка и сечение по проекту)</t>
  </si>
  <si>
    <t>О.П. п.3.4.30.в</t>
  </si>
  <si>
    <t>Глава 12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</si>
  <si>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</si>
  <si>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</si>
  <si>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Цилиндрическая IP-видеокамера с фиксированным объективом IP 2 Мп; 1/3" КМОП, 1920х1080-25/30к/с; встроенный микрофон; Дальность ИК подсветки 30м; объектив 2.8мм(3.6мм, 6ммопционально) ; режим "день/ночь", H264/ MJPEG ( Доп. поток) ; ; PoE 5 Вт; -40 ~ +60°C, TR-D2121CL3 4.0</t>
  </si>
  <si>
    <t>Купольная IP-видеокамера с фиксированным объективом IP 2 Мп; 1/2.8" КМОП, 1920х1080-25/30к/с; встроенный микрофон; Дальность ИК подсветки 25м; объектив 2.8мм(3.6мм, 6ммопционально) ; режим  "день/ночь", H264/ MJPEG ( Доп. поток) ; ; PoE 5 Вт; TR-D2D2 v2 2.7-13.5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</si>
  <si>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</si>
  <si>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</si>
  <si>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</si>
  <si>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</si>
  <si>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</si>
  <si>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</si>
  <si>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</si>
  <si>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</si>
  <si>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</si>
  <si>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</si>
  <si>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</si>
  <si>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</si>
  <si>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</si>
  <si>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</si>
  <si>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</si>
  <si>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</si>
  <si>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</si>
  <si>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</si>
  <si>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</si>
  <si>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</si>
  <si>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</si>
  <si>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</si>
  <si>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 02-01-14 СОТ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</si>
  <si>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</si>
  <si>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</si>
  <si>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</si>
  <si>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t>ЗП</t>
  </si>
  <si>
    <t>ЭМ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</si>
  <si>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</si>
  <si>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</si>
  <si>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</si>
  <si>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</si>
  <si>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</si>
  <si>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</si>
  <si>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</si>
  <si>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</si>
  <si>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</si>
  <si>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</si>
  <si>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ОБОРУДОВАНИЕ:_x000D_
Цилиндрическая IP-видеокамера с фиксированным объективом IP 2 Мп; 1/3" КМОП, 1920х1080-25/30к/с; встроенный микрофон; Дальность ИК подсветки 30м; объектив 2.8мм(3.6мм, 6ммопционально) ; режим "день/ночь", H264/ MJPEG ( Доп. поток) ; ; PoE 5 Вт; -40 ~ +60°C, TR-D2121CL3 4.0</t>
    </r>
    <r>
      <rPr>
        <i/>
        <sz val="10"/>
        <color rgb="FF821E82"/>
        <rFont val="Arial"/>
        <family val="2"/>
        <charset val="204"/>
      </rPr>
      <t xml:space="preserve">
1 011,06 = [8 916 / 1,2 /  7,66] +  3% Трансп +  1,2% Заг.скл</t>
    </r>
  </si>
  <si>
    <r>
      <t>Устройство грозозащиты NST NS-LP-1GP/D</t>
    </r>
    <r>
      <rPr>
        <i/>
        <sz val="10"/>
        <rFont val="Arial"/>
        <family val="2"/>
        <charset val="204"/>
      </rPr>
      <t xml:space="preserve">
279,52 = [3 249 / 1,2 /  9,88] +  2% Заг.скл</t>
    </r>
  </si>
  <si>
    <r>
      <t>ОБОРУДОВАНИЕ:_x000D_
Купольная IP-видеокамера с фиксированным объективом IP 2 Мп; 1/2.8" КМОП, 1920х1080-25/30к/с; встроенный микрофон; Дальность ИК подсветки 25м; объектив 2.8мм(3.6мм, 6ммопционально) ; режим  "день/ночь", H264/ MJPEG ( Доп. поток) ; ; PoE 5 Вт; TR-D2D2 v2 2.7-13.5</t>
    </r>
    <r>
      <rPr>
        <i/>
        <sz val="10"/>
        <color rgb="FF821E82"/>
        <rFont val="Arial"/>
        <family val="2"/>
        <charset val="204"/>
      </rPr>
      <t xml:space="preserve">
1 301,25 = [11 475 / 1,2 /  7,66] +  3% Трансп +  1,2% Заг.скл</t>
    </r>
  </si>
  <si>
    <r>
      <t>ОБОРУДОВАНИЕ:_x000D_
IP-видеорегистратор UltraStation 24/10 на 256 каналов, 24 HDD на 10 Тбайт UltraStation 24/10 256 v2 с 24 HDD</t>
    </r>
    <r>
      <rPr>
        <i/>
        <sz val="10"/>
        <color rgb="FF821E82"/>
        <rFont val="Arial"/>
        <family val="2"/>
        <charset val="204"/>
      </rPr>
      <t xml:space="preserve">
304 239,85 = [2 682 924 / 1,2 /  7,66] +  3% Трансп +  1,2% Заг.скл</t>
    </r>
  </si>
  <si>
    <r>
      <t>ОБОРУДОВАНИЕ:_x000D_
Программное обеспечение TRASSIR ЕЦХД</t>
    </r>
    <r>
      <rPr>
        <i/>
        <sz val="10"/>
        <color rgb="FF821E82"/>
        <rFont val="Arial"/>
        <family val="2"/>
        <charset val="204"/>
      </rPr>
      <t xml:space="preserve">
20 298,35 = [179 000 / 1,2 /  7,66] +  3% Трансп +  1,2% Заг.скл</t>
    </r>
  </si>
  <si>
    <r>
      <t>ОБОРУДОВАНИЕ:_x000D_
Коммутатор агрегации  MES3300-16F</t>
    </r>
    <r>
      <rPr>
        <i/>
        <sz val="10"/>
        <color rgb="FF821E82"/>
        <rFont val="Arial"/>
        <family val="2"/>
        <charset val="204"/>
      </rPr>
      <t xml:space="preserve">
34 992,32 = [308 578 / 1,2 /  7,66] +  3% Трансп +  1,2% Заг.скл</t>
    </r>
  </si>
  <si>
    <r>
      <t>ОБОРУДОВАНИЕ:_x000D_
Коммутатор доступа 48  PoE MES2420-48P</t>
    </r>
    <r>
      <rPr>
        <i/>
        <sz val="10"/>
        <color rgb="FF821E82"/>
        <rFont val="Arial"/>
        <family val="2"/>
        <charset val="204"/>
      </rPr>
      <t xml:space="preserve">
53 571,20 = [472 415 / 1,2 /  7,66] +  3% Трансп +  1,2% Заг.скл</t>
    </r>
  </si>
  <si>
    <r>
      <t>ОБОРУДОВАНИЕ:_x000D_
Коммутатор доступа 24  PoE MES2300-24P</t>
    </r>
    <r>
      <rPr>
        <i/>
        <sz val="10"/>
        <color rgb="FF821E82"/>
        <rFont val="Arial"/>
        <family val="2"/>
        <charset val="204"/>
      </rPr>
      <t xml:space="preserve">
13 997,58 = [123 437 / 1,2 /  7,66] +  3% Трансп +  1,2% Заг.скл</t>
    </r>
  </si>
  <si>
    <r>
      <t>ОБОРУДОВАНИЕ:_x000D_
SFP 1,25 GE модуль 550 м, ММ, 2 волокна, 850 пт, LC, DDM FH-S8512CDL05</t>
    </r>
    <r>
      <rPr>
        <i/>
        <sz val="10"/>
        <color rgb="FF821E82"/>
        <rFont val="Arial"/>
        <family val="2"/>
        <charset val="204"/>
      </rPr>
      <t xml:space="preserve">
322,63 = [2 845 / 1,2 /  7,66] +  3% Трансп +  1,2% Заг.скл</t>
    </r>
  </si>
  <si>
    <r>
      <t>ОБОРУДОВАНИЕ:_x000D_
Грозозащита для локальной вычислительной сети, 16 GE RJ-45 SP-IP16/1000PR</t>
    </r>
    <r>
      <rPr>
        <i/>
        <sz val="10"/>
        <color rgb="FF821E82"/>
        <rFont val="Arial"/>
        <family val="2"/>
        <charset val="204"/>
      </rPr>
      <t xml:space="preserve">
5 710,18 = [50 355 / 1,2 /  7,66] +  3% Трансп +  1,2% Заг.скл</t>
    </r>
  </si>
  <si>
    <r>
      <t>Кронштейн настенного крепления RDW 2701K</t>
    </r>
    <r>
      <rPr>
        <i/>
        <sz val="10"/>
        <rFont val="Arial"/>
        <family val="2"/>
        <charset val="204"/>
      </rPr>
      <t xml:space="preserve">
120,44 = [1 400 / 1,2 /  9,88] +  2% Заг.скл</t>
    </r>
  </si>
  <si>
    <r>
      <t>ОБОРУДОВАНИЕ:_x000D_
Монитор RDW 2701K</t>
    </r>
    <r>
      <rPr>
        <i/>
        <sz val="10"/>
        <color rgb="FF821E82"/>
        <rFont val="Arial"/>
        <family val="2"/>
        <charset val="204"/>
      </rPr>
      <t xml:space="preserve">
2 421,06 = [21 350 / 1,2 /  7,66] +  3% Трансп +  1,2% Заг.скл</t>
    </r>
  </si>
  <si>
    <r>
      <t>ОБОРУДОВАНИЕ:_x000D_
Рабочая станция DEPO Race VT955</t>
    </r>
    <r>
      <rPr>
        <i/>
        <sz val="10"/>
        <color rgb="FF821E82"/>
        <rFont val="Arial"/>
        <family val="2"/>
        <charset val="204"/>
      </rPr>
      <t xml:space="preserve">
62 216,14 = [548 650 / 1,2 /  7,66] +  3% Трансп +  1,2% Заг.скл</t>
    </r>
  </si>
  <si>
    <r>
      <t>ОБОРУДОВАНИЕ:_x000D_
Источник бесперебойного питания 3000 ВА/2700 Вт SKAT-UPS 3000-RACK-ON-6x9-E</t>
    </r>
    <r>
      <rPr>
        <i/>
        <sz val="10"/>
        <color rgb="FF821E82"/>
        <rFont val="Arial"/>
        <family val="2"/>
        <charset val="204"/>
      </rPr>
      <t xml:space="preserve">
10 912,69 = [96 233 / 1,2 /  7,66] +  3% Трансп +  1,2% Заг.скл</t>
    </r>
  </si>
  <si>
    <r>
      <t>ОБОРУДОВАНИЕ:_x000D_
Батарейный блок 18Ач/72В  SKAT BC 72/18S3 RACK</t>
    </r>
    <r>
      <rPr>
        <i/>
        <sz val="10"/>
        <color rgb="FF821E82"/>
        <rFont val="Arial"/>
        <family val="2"/>
        <charset val="204"/>
      </rPr>
      <t xml:space="preserve">
9 068,38 = [79 969 / 1,2 /  7,66] +  3% Трансп +  1,2% Заг.скл</t>
    </r>
  </si>
  <si>
    <t xml:space="preserve">   Итого по ТСН-2001.16</t>
  </si>
  <si>
    <t xml:space="preserve">   Итого возвратных сумм</t>
  </si>
  <si>
    <r>
      <t>ОБОРУДОВАНИЕ:_x000D_
Оптический распределительный кросс укомплектованный: LC (Duplex) 24 шт, (ОМЗ) FOBX24-1U-24LCUD03</t>
    </r>
    <r>
      <rPr>
        <i/>
        <sz val="10"/>
        <color rgb="FF821E82"/>
        <rFont val="Arial"/>
        <family val="2"/>
        <charset val="204"/>
      </rPr>
      <t xml:space="preserve">
3 245,02 = [28 616,07 / 1,2 /  7,66] +  3% Трансп +  1,2% Заг.скл</t>
    </r>
  </si>
  <si>
    <r>
      <t>ОБОРУДОВАНИЕ:_x000D_
Оптический распределительный кросс укомплектованный: LC (Duplex) 8 шт, (ОМЗ) FOBX24-1U-8LCUD03</t>
    </r>
    <r>
      <rPr>
        <i/>
        <sz val="10"/>
        <color rgb="FF821E82"/>
        <rFont val="Arial"/>
        <family val="2"/>
        <charset val="204"/>
      </rPr>
      <t xml:space="preserve">
1 714,84 = [15 122,34 / 1,2 /  7,66] +  3% Трансп +  1,2% Заг.скл</t>
    </r>
  </si>
  <si>
    <r>
      <t>ОБОРУДОВАНИЕ:_x000D_
1U патч-панель кат.5E UTP 48 портов (DUAL IDC)  высокой плотности  PP48-1UC5EU-D05H</t>
    </r>
    <r>
      <rPr>
        <i/>
        <sz val="10"/>
        <color rgb="FF821E82"/>
        <rFont val="Arial"/>
        <family val="2"/>
        <charset val="204"/>
      </rPr>
      <t xml:space="preserve">
1 342,17 = [11 835,82 / 1,2 /  7,66] +  3% Трансп +  1,2% Заг.скл</t>
    </r>
  </si>
  <si>
    <r>
      <t>ОБОРУДОВАНИЕ:_x000D_
1U патч-панель кат.5E UTP 24портов (DUAL IDC)  высокой плотности  PP24-1UC5EU-D05-1</t>
    </r>
    <r>
      <rPr>
        <i/>
        <sz val="10"/>
        <color rgb="FF821E82"/>
        <rFont val="Arial"/>
        <family val="2"/>
        <charset val="204"/>
      </rPr>
      <t xml:space="preserve">
493,69 = [4 353,6 / 1,2 /  7,66] +  3% Трансп +  1,2% Заг.скл</t>
    </r>
  </si>
  <si>
    <r>
      <t>Волоконно-оптический кабель, 8 волокон, многомод 50/125 мкм ОБР-В-нг(Ф)-HFLTx 8 G/651 400H</t>
    </r>
    <r>
      <rPr>
        <i/>
        <sz val="10"/>
        <rFont val="Arial"/>
        <family val="2"/>
        <charset val="204"/>
      </rPr>
      <t xml:space="preserve">
6 894,29 = [80 136 / 1,2 /  9,88] +  2% Заг.скл</t>
    </r>
  </si>
  <si>
    <r>
      <t>Кабель витая пара ParLan U/UTP Cat5e PVCLS нг(А)-LSLTx 4x20,52</t>
    </r>
    <r>
      <rPr>
        <i/>
        <sz val="10"/>
        <rFont val="Arial"/>
        <family val="2"/>
        <charset val="204"/>
      </rPr>
      <t xml:space="preserve">
7 865,94 = [91 430 / 1,2 /  9,88] +  2% Заг.скл</t>
    </r>
  </si>
  <si>
    <t>ОБОРУДОВАНИЕ:_x000D_
Шнур оптический соединительный (патч-корд), тип разъемов LC/UPC-SC/UPC, 9/125 мкм, одномодовый, дуплексный, оболочка LSZH, длина 1 м</t>
  </si>
  <si>
    <t>ОБОРУДОВАНИЕ:_x000D_
Шнур коммутационный (патч-корд) тип разъемов RJ45 - RJ45, категория 5E, оболочка LSZH, длина 1 м, неэкранированный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</si>
  <si>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</si>
  <si>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</si>
  <si>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</si>
  <si>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</si>
  <si>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</si>
  <si>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</si>
  <si>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</si>
  <si>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</si>
  <si>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</si>
  <si>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</si>
  <si>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</si>
  <si>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</si>
  <si>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 xml:space="preserve"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</si>
</sst>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left" wrapText="1"/>
    </xf>
    <xf numFmtId="0" fontId="12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294"/>
  <sheetViews>
    <sheetView tabSelected="1" view="pageBreakPreview" topLeftCell="A263" zoomScale="60" zoomScaleNormal="100" workbookViewId="0">
      <selection activeCell="M13" sqref="M13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2.7109375" customWidth="1"/>
    <col min="7" max="7" width="8.5703125" bestFit="1" customWidth="1"/>
    <col min="9" max="9" width="12.42578125" customWidth="1"/>
    <col min="10" max="10" width="12.140625" customWidth="1"/>
    <col min="11" max="11" width="14.28515625" customWidth="1"/>
    <col min="15" max="41" width="0" hidden="1" customWidth="1"/>
    <col min="42" max="42" width="129.7109375" hidden="1" customWidth="1"/>
    <col min="43" max="47" width="0" hidden="1" customWidth="1"/>
  </cols>
  <sheetData>
    <row r="1" spans="1:42" x14ac:dyDescent="0.2">
      <c r="A1" s="10" t="str">
        <f>Source!B1</f>
        <v>Smeta.RU  (495) 974-1589</v>
      </c>
    </row>
    <row r="2" spans="1:42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1" t="s">
        <v>401</v>
      </c>
      <c r="K2" s="31"/>
    </row>
    <row r="3" spans="1:42" ht="31.5" x14ac:dyDescent="0.25">
      <c r="A3" s="12" t="s">
        <v>455</v>
      </c>
      <c r="B3" s="12"/>
      <c r="C3" s="12"/>
      <c r="D3" s="12"/>
      <c r="E3" s="12"/>
      <c r="F3" s="12"/>
      <c r="G3" s="12"/>
      <c r="H3" s="12"/>
      <c r="I3" s="12"/>
      <c r="J3" s="12"/>
      <c r="K3" s="12"/>
      <c r="AP3" s="32" t="s">
        <v>402</v>
      </c>
    </row>
    <row r="4" spans="1:42" x14ac:dyDescent="0.2">
      <c r="A4" s="13" t="s">
        <v>380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42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75" x14ac:dyDescent="0.25">
      <c r="A6" s="12" t="str">
        <f>CONCATENATE( "ЛОКАЛЬНАЯ СМЕТА № ",IF(Source!F20&lt;&gt;"Новая локальная смета", Source!F20, ""))</f>
        <v>ЛОКАЛЬНАЯ СМЕТА № 02-01-14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42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8" x14ac:dyDescent="0.25">
      <c r="A8" s="15" t="str">
        <f>IF(Source!G20&lt;&gt;"Новая локальная смета", Source!G20, "")</f>
        <v>Система охранного теленаблюдения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42" x14ac:dyDescent="0.2">
      <c r="A9" s="16" t="s">
        <v>381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25" x14ac:dyDescent="0.2">
      <c r="A11" s="18" t="str">
        <f>CONCATENATE( "Основание: чертежи № ", Source!J20)</f>
        <v>Основание: чертежи № 2024-00281-00-ИОС5.7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42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42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382</v>
      </c>
      <c r="J13" s="20" t="s">
        <v>383</v>
      </c>
      <c r="K13" s="11"/>
    </row>
    <row r="14" spans="1:42" ht="15" x14ac:dyDescent="0.25">
      <c r="A14" s="11"/>
      <c r="B14" s="11"/>
      <c r="C14" s="11"/>
      <c r="D14" s="11"/>
      <c r="E14" s="21" t="s">
        <v>384</v>
      </c>
      <c r="F14" s="21"/>
      <c r="G14" s="21"/>
      <c r="H14" s="21"/>
      <c r="I14" s="22">
        <f>I15+I16+I17+I18</f>
        <v>1045.29</v>
      </c>
      <c r="J14" s="22">
        <f>J15+J16+J17+J18</f>
        <v>10298</v>
      </c>
      <c r="K14" s="23" t="s">
        <v>443</v>
      </c>
    </row>
    <row r="15" spans="1:42" ht="14.25" x14ac:dyDescent="0.2">
      <c r="A15" s="11"/>
      <c r="B15" s="11"/>
      <c r="C15" s="11"/>
      <c r="D15" s="11"/>
      <c r="E15" s="24" t="s">
        <v>385</v>
      </c>
      <c r="F15" s="24"/>
      <c r="G15" s="24"/>
      <c r="H15" s="24"/>
      <c r="I15" s="25">
        <f>ROUND((Source!F222)/1000, 2)</f>
        <v>0</v>
      </c>
      <c r="J15" s="25">
        <f>ROUND((Source!P222)/1000, 2)</f>
        <v>0</v>
      </c>
      <c r="K15" s="11" t="s">
        <v>443</v>
      </c>
    </row>
    <row r="16" spans="1:42" ht="14.25" x14ac:dyDescent="0.2">
      <c r="A16" s="11"/>
      <c r="B16" s="11"/>
      <c r="C16" s="11"/>
      <c r="D16" s="11"/>
      <c r="E16" s="24" t="s">
        <v>386</v>
      </c>
      <c r="F16" s="24"/>
      <c r="G16" s="24"/>
      <c r="H16" s="24"/>
      <c r="I16" s="25">
        <f>ROUND((Source!F223)/1000, 2)</f>
        <v>135.31</v>
      </c>
      <c r="J16" s="25">
        <f>ROUND((Source!P223)/1000, 2)</f>
        <v>3332.58</v>
      </c>
      <c r="K16" s="11" t="s">
        <v>443</v>
      </c>
    </row>
    <row r="17" spans="1:42" ht="14.25" x14ac:dyDescent="0.2">
      <c r="A17" s="11"/>
      <c r="B17" s="11"/>
      <c r="C17" s="11"/>
      <c r="D17" s="11"/>
      <c r="E17" s="24" t="s">
        <v>17</v>
      </c>
      <c r="F17" s="24"/>
      <c r="G17" s="24"/>
      <c r="H17" s="24"/>
      <c r="I17" s="25">
        <f>ROUND((Source!F214)/1000, 2)</f>
        <v>909.98</v>
      </c>
      <c r="J17" s="25">
        <f>ROUND((Source!P214)/1000, 2)</f>
        <v>6965.42</v>
      </c>
      <c r="K17" s="11" t="s">
        <v>443</v>
      </c>
    </row>
    <row r="18" spans="1:42" ht="14.25" x14ac:dyDescent="0.2">
      <c r="A18" s="11"/>
      <c r="B18" s="11"/>
      <c r="C18" s="11"/>
      <c r="D18" s="11"/>
      <c r="E18" s="24" t="s">
        <v>387</v>
      </c>
      <c r="F18" s="24"/>
      <c r="G18" s="24"/>
      <c r="H18" s="24"/>
      <c r="I18" s="25">
        <f>ROUND((Source!F224+Source!F225)/1000, 2)</f>
        <v>0</v>
      </c>
      <c r="J18" s="25">
        <f>ROUND((Source!P224+Source!P225)/1000, 2)</f>
        <v>0</v>
      </c>
      <c r="K18" s="11" t="s">
        <v>443</v>
      </c>
    </row>
    <row r="19" spans="1:42" ht="14.25" x14ac:dyDescent="0.2">
      <c r="A19" s="11"/>
      <c r="B19" s="11"/>
      <c r="C19" s="11"/>
      <c r="D19" s="11"/>
      <c r="E19" s="24" t="s">
        <v>388</v>
      </c>
      <c r="F19" s="24"/>
      <c r="G19" s="24"/>
      <c r="H19" s="24"/>
      <c r="I19" s="25">
        <f>(Source!F220+ Source!F219)/1000</f>
        <v>19.033580000000001</v>
      </c>
      <c r="J19" s="25">
        <f>((Source!P220 + Source!P219)/1000)</f>
        <v>1046.6565599999999</v>
      </c>
      <c r="K19" s="11" t="s">
        <v>443</v>
      </c>
    </row>
    <row r="20" spans="1:42" ht="14.25" x14ac:dyDescent="0.2">
      <c r="A20" s="11"/>
      <c r="B20" s="11"/>
      <c r="C20" s="11"/>
      <c r="D20" s="11"/>
      <c r="E20" s="24" t="s">
        <v>389</v>
      </c>
      <c r="F20" s="24"/>
      <c r="G20" s="24"/>
      <c r="H20" s="24"/>
      <c r="I20" s="25">
        <f>Source!F227</f>
        <v>1399.7194915</v>
      </c>
      <c r="J20" s="25"/>
      <c r="K20" s="11" t="s">
        <v>265</v>
      </c>
    </row>
    <row r="21" spans="1:42" ht="14.25" hidden="1" x14ac:dyDescent="0.2">
      <c r="A21" s="11"/>
      <c r="B21" s="11"/>
      <c r="C21" s="11"/>
      <c r="D21" s="11"/>
      <c r="E21" s="26" t="s">
        <v>390</v>
      </c>
      <c r="F21" s="26"/>
      <c r="G21" s="26"/>
      <c r="H21" s="26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7" t="s">
        <v>170</v>
      </c>
      <c r="F22" s="27"/>
      <c r="G22" s="27"/>
      <c r="H22" s="27"/>
      <c r="I22" s="25">
        <f>SUM(Y28:Y283)/1000</f>
        <v>0</v>
      </c>
      <c r="J22" s="25">
        <f>SUM(Z28:Z283)/1000</f>
        <v>0</v>
      </c>
      <c r="K22" s="11" t="s">
        <v>443</v>
      </c>
    </row>
    <row r="23" spans="1:42" ht="14.25" x14ac:dyDescent="0.2">
      <c r="A23" s="11"/>
      <c r="B23" s="11"/>
      <c r="C23" s="11"/>
      <c r="D23" s="11"/>
      <c r="E23" s="11"/>
      <c r="F23" s="28"/>
      <c r="G23" s="28"/>
      <c r="H23" s="28"/>
      <c r="I23" s="25"/>
      <c r="J23" s="25"/>
      <c r="K23" s="11"/>
    </row>
    <row r="24" spans="1:42" ht="14.25" x14ac:dyDescent="0.2">
      <c r="A24" s="11" t="s">
        <v>403</v>
      </c>
      <c r="B24" s="11"/>
      <c r="C24" s="11"/>
      <c r="D24" s="11"/>
      <c r="E24" s="11"/>
      <c r="F24" s="28"/>
      <c r="G24" s="28"/>
      <c r="H24" s="28"/>
      <c r="I24" s="25"/>
      <c r="J24" s="25"/>
      <c r="K24" s="11"/>
    </row>
    <row r="25" spans="1:42" ht="28.5" x14ac:dyDescent="0.2">
      <c r="A25" s="18" t="s">
        <v>404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3" t="s">
        <v>404</v>
      </c>
    </row>
    <row r="26" spans="1:42" ht="114" x14ac:dyDescent="0.2">
      <c r="A26" s="29" t="s">
        <v>391</v>
      </c>
      <c r="B26" s="29" t="s">
        <v>392</v>
      </c>
      <c r="C26" s="29" t="s">
        <v>393</v>
      </c>
      <c r="D26" s="29" t="s">
        <v>394</v>
      </c>
      <c r="E26" s="29" t="s">
        <v>395</v>
      </c>
      <c r="F26" s="29" t="s">
        <v>396</v>
      </c>
      <c r="G26" s="30" t="s">
        <v>397</v>
      </c>
      <c r="H26" s="30" t="s">
        <v>398</v>
      </c>
      <c r="I26" s="29" t="s">
        <v>405</v>
      </c>
      <c r="J26" s="29" t="s">
        <v>399</v>
      </c>
      <c r="K26" s="29" t="s">
        <v>400</v>
      </c>
    </row>
    <row r="27" spans="1:42" ht="14.25" x14ac:dyDescent="0.2">
      <c r="A27" s="29">
        <v>1</v>
      </c>
      <c r="B27" s="29">
        <v>2</v>
      </c>
      <c r="C27" s="29">
        <v>3</v>
      </c>
      <c r="D27" s="29">
        <v>4</v>
      </c>
      <c r="E27" s="29">
        <v>5</v>
      </c>
      <c r="F27" s="29">
        <v>6</v>
      </c>
      <c r="G27" s="29">
        <v>7</v>
      </c>
      <c r="H27" s="29">
        <v>8</v>
      </c>
      <c r="I27" s="29">
        <v>9</v>
      </c>
      <c r="J27" s="29">
        <v>10</v>
      </c>
      <c r="K27" s="29">
        <v>11</v>
      </c>
    </row>
    <row r="29" spans="1:42" ht="16.5" x14ac:dyDescent="0.2">
      <c r="A29" s="34" t="str">
        <f>CONCATENATE("Раздел: ",IF(Source!G24&lt;&gt;"Новый раздел", Source!G24, ""))</f>
        <v>Раздел: Оборудование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42" ht="28.5" x14ac:dyDescent="0.2">
      <c r="A30" s="35">
        <v>1</v>
      </c>
      <c r="B30" s="35" t="str">
        <f>Source!F28</f>
        <v>4.10-174-1</v>
      </c>
      <c r="C30" s="35" t="s">
        <v>20</v>
      </c>
      <c r="D30" s="37" t="str">
        <f>Source!H28</f>
        <v>10 шт.</v>
      </c>
      <c r="E30" s="36">
        <f>Source!I28</f>
        <v>2.8</v>
      </c>
      <c r="F30" s="39"/>
      <c r="G30" s="38"/>
      <c r="H30" s="36"/>
      <c r="I30" s="39"/>
      <c r="J30" s="36"/>
      <c r="K30" s="39"/>
      <c r="Q30">
        <f>Source!X28</f>
        <v>718.46</v>
      </c>
      <c r="R30">
        <f>Source!X29</f>
        <v>39508.17</v>
      </c>
      <c r="S30">
        <f>Source!Y28</f>
        <v>367.21</v>
      </c>
      <c r="T30">
        <f>Source!Y29</f>
        <v>20193.07</v>
      </c>
      <c r="U30">
        <f>ROUND((175/100)*ROUND(Source!R28, 2), 2)</f>
        <v>0.74</v>
      </c>
      <c r="V30">
        <f>ROUND((0/100)*ROUND(Source!R29, 2), 2)</f>
        <v>0</v>
      </c>
      <c r="AC30">
        <v>0</v>
      </c>
    </row>
    <row r="31" spans="1:42" x14ac:dyDescent="0.2">
      <c r="C31" s="40" t="str">
        <f>"Объем: "&amp;Source!I28&amp;"=28/"&amp;"10"</f>
        <v>Объем: 2,8=28/10</v>
      </c>
    </row>
    <row r="32" spans="1:42" ht="14.25" x14ac:dyDescent="0.2">
      <c r="A32" s="35"/>
      <c r="B32" s="35"/>
      <c r="C32" s="35" t="s">
        <v>406</v>
      </c>
      <c r="D32" s="37"/>
      <c r="E32" s="36"/>
      <c r="F32" s="39">
        <f>Source!AO28</f>
        <v>247.42</v>
      </c>
      <c r="G32" s="38" t="str">
        <f>Source!DG28</f>
        <v>*1,1</v>
      </c>
      <c r="H32" s="36">
        <f>Source!AV29</f>
        <v>1.0469999999999999</v>
      </c>
      <c r="I32" s="39">
        <f>Source!S28</f>
        <v>797.87</v>
      </c>
      <c r="J32" s="36">
        <f>IF(Source!BA29&lt;&gt; 0, Source!BA29, 1)</f>
        <v>54.99</v>
      </c>
      <c r="K32" s="39">
        <f>Source!S29</f>
        <v>43874.87</v>
      </c>
    </row>
    <row r="33" spans="1:29" ht="14.25" x14ac:dyDescent="0.2">
      <c r="A33" s="35"/>
      <c r="B33" s="35"/>
      <c r="C33" s="35" t="s">
        <v>407</v>
      </c>
      <c r="D33" s="37"/>
      <c r="E33" s="36"/>
      <c r="F33" s="39">
        <f>Source!AM28</f>
        <v>2.36</v>
      </c>
      <c r="G33" s="38" t="str">
        <f>Source!DE28</f>
        <v>*1,1</v>
      </c>
      <c r="H33" s="36">
        <f>Source!AV29</f>
        <v>1.0469999999999999</v>
      </c>
      <c r="I33" s="39">
        <f>Source!Q28</f>
        <v>7.61</v>
      </c>
      <c r="J33" s="36">
        <f>IF(Source!BB29&lt;&gt; 0, Source!BB29, 1)</f>
        <v>11.36</v>
      </c>
      <c r="K33" s="39">
        <f>Source!Q29</f>
        <v>86.45</v>
      </c>
    </row>
    <row r="34" spans="1:29" ht="14.25" x14ac:dyDescent="0.2">
      <c r="A34" s="35"/>
      <c r="B34" s="35"/>
      <c r="C34" s="35" t="s">
        <v>408</v>
      </c>
      <c r="D34" s="37"/>
      <c r="E34" s="36"/>
      <c r="F34" s="39">
        <f>Source!AN28</f>
        <v>0.13</v>
      </c>
      <c r="G34" s="38" t="str">
        <f>Source!DF28</f>
        <v>*1,1</v>
      </c>
      <c r="H34" s="36">
        <f>Source!AV29</f>
        <v>1.0469999999999999</v>
      </c>
      <c r="I34" s="41">
        <f>Source!R28</f>
        <v>0.42</v>
      </c>
      <c r="J34" s="36">
        <f>IF(Source!BS29&lt;&gt; 0, Source!BS29, 1)</f>
        <v>54.99</v>
      </c>
      <c r="K34" s="41">
        <f>Source!R29</f>
        <v>23.1</v>
      </c>
    </row>
    <row r="35" spans="1:29" ht="14.25" x14ac:dyDescent="0.2">
      <c r="A35" s="35"/>
      <c r="B35" s="35"/>
      <c r="C35" s="35" t="s">
        <v>409</v>
      </c>
      <c r="D35" s="37"/>
      <c r="E35" s="36"/>
      <c r="F35" s="39">
        <f>Source!AL28</f>
        <v>42.51</v>
      </c>
      <c r="G35" s="38" t="str">
        <f>Source!DD28</f>
        <v/>
      </c>
      <c r="H35" s="36">
        <f>Source!AW29</f>
        <v>1</v>
      </c>
      <c r="I35" s="39">
        <f>Source!P28</f>
        <v>119.03</v>
      </c>
      <c r="J35" s="36">
        <f>IF(Source!BC29&lt;&gt; 0, Source!BC29, 1)</f>
        <v>1.93</v>
      </c>
      <c r="K35" s="39">
        <f>Source!P29</f>
        <v>229.73</v>
      </c>
    </row>
    <row r="36" spans="1:29" ht="14.25" x14ac:dyDescent="0.2">
      <c r="A36" s="35"/>
      <c r="B36" s="35"/>
      <c r="C36" s="35" t="s">
        <v>410</v>
      </c>
      <c r="D36" s="37" t="s">
        <v>411</v>
      </c>
      <c r="E36" s="36">
        <f>Source!BZ29</f>
        <v>90</v>
      </c>
      <c r="F36" s="39"/>
      <c r="G36" s="38"/>
      <c r="H36" s="36"/>
      <c r="I36" s="39">
        <f>SUM(Q30:Q35)</f>
        <v>718.46</v>
      </c>
      <c r="J36" s="36">
        <f>Source!AT29</f>
        <v>90</v>
      </c>
      <c r="K36" s="39">
        <f>SUM(R30:R35)</f>
        <v>39508.17</v>
      </c>
    </row>
    <row r="37" spans="1:29" ht="14.25" x14ac:dyDescent="0.2">
      <c r="A37" s="35"/>
      <c r="B37" s="35"/>
      <c r="C37" s="35" t="s">
        <v>412</v>
      </c>
      <c r="D37" s="37" t="s">
        <v>411</v>
      </c>
      <c r="E37" s="36">
        <f>Source!CA29</f>
        <v>46</v>
      </c>
      <c r="F37" s="39"/>
      <c r="G37" s="38"/>
      <c r="H37" s="36"/>
      <c r="I37" s="39">
        <f>SUM(S30:S36)</f>
        <v>367.21</v>
      </c>
      <c r="J37" s="36">
        <f>Source!AU29</f>
        <v>46</v>
      </c>
      <c r="K37" s="39">
        <f>SUM(T30:T36)</f>
        <v>20193.07</v>
      </c>
    </row>
    <row r="38" spans="1:29" ht="14.25" x14ac:dyDescent="0.2">
      <c r="A38" s="42"/>
      <c r="B38" s="42"/>
      <c r="C38" s="42" t="s">
        <v>413</v>
      </c>
      <c r="D38" s="43" t="s">
        <v>414</v>
      </c>
      <c r="E38" s="44">
        <f>Source!AQ28</f>
        <v>15.54</v>
      </c>
      <c r="F38" s="45"/>
      <c r="G38" s="46" t="str">
        <f>Source!DI28</f>
        <v>*1,1</v>
      </c>
      <c r="H38" s="44">
        <f>Source!AV29</f>
        <v>1.0469999999999999</v>
      </c>
      <c r="I38" s="45">
        <f>Source!U28</f>
        <v>50.112770400000002</v>
      </c>
      <c r="J38" s="44"/>
      <c r="K38" s="45"/>
    </row>
    <row r="39" spans="1:29" ht="15" x14ac:dyDescent="0.2">
      <c r="C39" s="47" t="s">
        <v>415</v>
      </c>
      <c r="H39" s="48">
        <f>I32+I33+I35+I36+I37+0-0-0</f>
        <v>2010.18</v>
      </c>
      <c r="I39" s="48"/>
      <c r="J39" s="48">
        <f>K32+K33+K35+K36+K37+0-0-0</f>
        <v>103892.29000000001</v>
      </c>
      <c r="K39" s="48"/>
    </row>
    <row r="40" spans="1:29" ht="15" hidden="1" x14ac:dyDescent="0.2">
      <c r="C40" s="47" t="s">
        <v>416</v>
      </c>
      <c r="H40" s="50">
        <f>0+0</f>
        <v>0</v>
      </c>
      <c r="I40" s="50"/>
      <c r="J40" s="50">
        <f>0+0</f>
        <v>0</v>
      </c>
      <c r="K40" s="50"/>
    </row>
    <row r="41" spans="1:29" ht="15" x14ac:dyDescent="0.2">
      <c r="C41" s="47" t="s">
        <v>417</v>
      </c>
      <c r="H41" s="50">
        <f>I32+I33+I35+I36+I37+0</f>
        <v>2010.18</v>
      </c>
      <c r="I41" s="50"/>
      <c r="J41" s="50">
        <f>K32+K33+K35+K36+K37+0</f>
        <v>103892.29000000001</v>
      </c>
      <c r="K41" s="50"/>
      <c r="O41" s="51">
        <f>I32+I33+I35+I36+I37+0</f>
        <v>2010.18</v>
      </c>
      <c r="P41" s="51">
        <f>K32+K33+K35+K36+K37+0</f>
        <v>103892.29000000001</v>
      </c>
    </row>
    <row r="43" spans="1:29" ht="153.75" x14ac:dyDescent="0.2">
      <c r="A43" s="52">
        <v>2</v>
      </c>
      <c r="B43" s="52" t="str">
        <f>Source!F30</f>
        <v>КА-1</v>
      </c>
      <c r="C43" s="52" t="s">
        <v>418</v>
      </c>
      <c r="D43" s="53" t="str">
        <f>Source!H30</f>
        <v>ШТ</v>
      </c>
      <c r="E43" s="54">
        <f>Source!I30</f>
        <v>28</v>
      </c>
      <c r="F43" s="55">
        <f>Source!AL30</f>
        <v>1011.0600000000001</v>
      </c>
      <c r="G43" s="56" t="str">
        <f>Source!DD30</f>
        <v/>
      </c>
      <c r="H43" s="54">
        <f>Source!AW31</f>
        <v>1</v>
      </c>
      <c r="I43" s="55">
        <f>Source!P30</f>
        <v>28309.68</v>
      </c>
      <c r="J43" s="54">
        <f>IF(Source!BC31&lt;&gt; 0, Source!BC31, 1)</f>
        <v>7.66</v>
      </c>
      <c r="K43" s="55">
        <f>Source!P31</f>
        <v>216852.15</v>
      </c>
      <c r="Q43">
        <f>Source!X30</f>
        <v>0</v>
      </c>
      <c r="R43">
        <f>Source!X31</f>
        <v>0</v>
      </c>
      <c r="S43">
        <f>Source!Y30</f>
        <v>0</v>
      </c>
      <c r="T43">
        <f>Source!Y31</f>
        <v>0</v>
      </c>
      <c r="U43">
        <f>ROUND((175/100)*ROUND(Source!R30, 2), 2)</f>
        <v>0</v>
      </c>
      <c r="V43">
        <f>ROUND((0/100)*ROUND(Source!R31, 2), 2)</f>
        <v>0</v>
      </c>
      <c r="AC43">
        <v>5</v>
      </c>
    </row>
    <row r="44" spans="1:29" ht="15" x14ac:dyDescent="0.2">
      <c r="A44" s="57"/>
      <c r="B44" s="57"/>
      <c r="C44" s="58" t="s">
        <v>417</v>
      </c>
      <c r="D44" s="57"/>
      <c r="E44" s="57"/>
      <c r="F44" s="57"/>
      <c r="G44" s="57"/>
      <c r="H44" s="59">
        <f>I43+0</f>
        <v>28309.68</v>
      </c>
      <c r="I44" s="59"/>
      <c r="J44" s="59">
        <f>K43+0</f>
        <v>216852.15</v>
      </c>
      <c r="K44" s="59"/>
      <c r="O44" s="51">
        <f>I43+0</f>
        <v>28309.68</v>
      </c>
      <c r="P44" s="51">
        <f>K43+0</f>
        <v>216852.15</v>
      </c>
    </row>
    <row r="46" spans="1:29" ht="57" x14ac:dyDescent="0.2">
      <c r="A46" s="35">
        <v>3</v>
      </c>
      <c r="B46" s="35" t="str">
        <f>Source!F32</f>
        <v>4.10-136-1</v>
      </c>
      <c r="C46" s="35" t="s">
        <v>38</v>
      </c>
      <c r="D46" s="37" t="str">
        <f>Source!H32</f>
        <v>1  ШТ.</v>
      </c>
      <c r="E46" s="36">
        <f>Source!I32</f>
        <v>28</v>
      </c>
      <c r="F46" s="39"/>
      <c r="G46" s="38"/>
      <c r="H46" s="36"/>
      <c r="I46" s="39"/>
      <c r="J46" s="36"/>
      <c r="K46" s="39"/>
      <c r="Q46">
        <f>Source!X32</f>
        <v>350.5</v>
      </c>
      <c r="R46">
        <f>Source!X33</f>
        <v>19274.13</v>
      </c>
      <c r="S46">
        <f>Source!Y32</f>
        <v>195.54</v>
      </c>
      <c r="T46">
        <f>Source!Y33</f>
        <v>10752.94</v>
      </c>
      <c r="U46">
        <f>ROUND((175/100)*ROUND(Source!R32, 2), 2)</f>
        <v>0</v>
      </c>
      <c r="V46">
        <f>ROUND((0/100)*ROUND(Source!R33, 2), 2)</f>
        <v>0</v>
      </c>
      <c r="AC46">
        <v>0</v>
      </c>
    </row>
    <row r="47" spans="1:29" ht="14.25" x14ac:dyDescent="0.2">
      <c r="A47" s="35"/>
      <c r="B47" s="35"/>
      <c r="C47" s="35" t="s">
        <v>406</v>
      </c>
      <c r="D47" s="37"/>
      <c r="E47" s="36"/>
      <c r="F47" s="39">
        <f>Source!AO32</f>
        <v>11.02</v>
      </c>
      <c r="G47" s="38" t="str">
        <f>Source!DG32</f>
        <v>*1,1</v>
      </c>
      <c r="H47" s="36">
        <f>Source!AV33</f>
        <v>1.087</v>
      </c>
      <c r="I47" s="39">
        <f>Source!S32</f>
        <v>368.95</v>
      </c>
      <c r="J47" s="36">
        <f>IF(Source!BA33&lt;&gt; 0, Source!BA33, 1)</f>
        <v>54.99</v>
      </c>
      <c r="K47" s="39">
        <f>Source!S33</f>
        <v>20288.560000000001</v>
      </c>
    </row>
    <row r="48" spans="1:29" ht="14.25" x14ac:dyDescent="0.2">
      <c r="A48" s="35"/>
      <c r="B48" s="35"/>
      <c r="C48" s="35" t="s">
        <v>409</v>
      </c>
      <c r="D48" s="37"/>
      <c r="E48" s="36"/>
      <c r="F48" s="39">
        <f>Source!AL32</f>
        <v>0.28999999999999998</v>
      </c>
      <c r="G48" s="38" t="str">
        <f>Source!DD32</f>
        <v/>
      </c>
      <c r="H48" s="36">
        <f>Source!AW33</f>
        <v>1</v>
      </c>
      <c r="I48" s="39">
        <f>Source!P32</f>
        <v>8.1199999999999992</v>
      </c>
      <c r="J48" s="36">
        <f>IF(Source!BC33&lt;&gt; 0, Source!BC33, 1)</f>
        <v>9.9</v>
      </c>
      <c r="K48" s="39">
        <f>Source!P33</f>
        <v>80.39</v>
      </c>
    </row>
    <row r="49" spans="1:29" ht="14.25" x14ac:dyDescent="0.2">
      <c r="A49" s="35"/>
      <c r="B49" s="35"/>
      <c r="C49" s="35" t="s">
        <v>410</v>
      </c>
      <c r="D49" s="37" t="s">
        <v>411</v>
      </c>
      <c r="E49" s="36">
        <f>Source!BZ33</f>
        <v>95</v>
      </c>
      <c r="F49" s="39"/>
      <c r="G49" s="38"/>
      <c r="H49" s="36"/>
      <c r="I49" s="39">
        <f>SUM(Q46:Q48)</f>
        <v>350.5</v>
      </c>
      <c r="J49" s="36">
        <f>Source!AT33</f>
        <v>95</v>
      </c>
      <c r="K49" s="39">
        <f>SUM(R46:R48)</f>
        <v>19274.13</v>
      </c>
    </row>
    <row r="50" spans="1:29" ht="14.25" x14ac:dyDescent="0.2">
      <c r="A50" s="35"/>
      <c r="B50" s="35"/>
      <c r="C50" s="35" t="s">
        <v>412</v>
      </c>
      <c r="D50" s="37" t="s">
        <v>411</v>
      </c>
      <c r="E50" s="36">
        <f>Source!CA33</f>
        <v>53</v>
      </c>
      <c r="F50" s="39"/>
      <c r="G50" s="38"/>
      <c r="H50" s="36"/>
      <c r="I50" s="39">
        <f>SUM(S46:S49)</f>
        <v>195.54</v>
      </c>
      <c r="J50" s="36">
        <f>Source!AU33</f>
        <v>53</v>
      </c>
      <c r="K50" s="39">
        <f>SUM(T46:T49)</f>
        <v>10752.94</v>
      </c>
    </row>
    <row r="51" spans="1:29" ht="14.25" x14ac:dyDescent="0.2">
      <c r="A51" s="42"/>
      <c r="B51" s="42"/>
      <c r="C51" s="42" t="s">
        <v>413</v>
      </c>
      <c r="D51" s="43" t="s">
        <v>414</v>
      </c>
      <c r="E51" s="44">
        <f>Source!AQ32</f>
        <v>0.8</v>
      </c>
      <c r="F51" s="45"/>
      <c r="G51" s="46" t="str">
        <f>Source!DI32</f>
        <v>*1,1</v>
      </c>
      <c r="H51" s="44">
        <f>Source!AV33</f>
        <v>1.087</v>
      </c>
      <c r="I51" s="45">
        <f>Source!U32</f>
        <v>26.783680000000004</v>
      </c>
      <c r="J51" s="44"/>
      <c r="K51" s="45"/>
    </row>
    <row r="52" spans="1:29" ht="15" x14ac:dyDescent="0.2">
      <c r="C52" s="47" t="s">
        <v>415</v>
      </c>
      <c r="H52" s="48">
        <f>I47+I48+I49+I50+0-0-0</f>
        <v>923.1099999999999</v>
      </c>
      <c r="I52" s="48"/>
      <c r="J52" s="48">
        <f>K47+K48+K49+K50+0-0-0</f>
        <v>50396.020000000004</v>
      </c>
      <c r="K52" s="48"/>
    </row>
    <row r="53" spans="1:29" ht="15" hidden="1" x14ac:dyDescent="0.2">
      <c r="C53" s="47" t="s">
        <v>416</v>
      </c>
      <c r="H53" s="50">
        <f>0+0</f>
        <v>0</v>
      </c>
      <c r="I53" s="50"/>
      <c r="J53" s="50">
        <f>0+0</f>
        <v>0</v>
      </c>
      <c r="K53" s="50"/>
    </row>
    <row r="54" spans="1:29" ht="15" x14ac:dyDescent="0.2">
      <c r="C54" s="47" t="s">
        <v>417</v>
      </c>
      <c r="H54" s="50">
        <f>I47+I48+I49+I50+0</f>
        <v>923.1099999999999</v>
      </c>
      <c r="I54" s="50"/>
      <c r="J54" s="50">
        <f>K47+K48+K49+K50+0</f>
        <v>50396.020000000004</v>
      </c>
      <c r="K54" s="50"/>
      <c r="O54" s="51">
        <f>I47+I48+I49+I50+0</f>
        <v>923.1099999999999</v>
      </c>
      <c r="P54" s="51">
        <f>K47+K48+K49+K50+0</f>
        <v>50396.020000000004</v>
      </c>
    </row>
    <row r="56" spans="1:29" ht="41.25" x14ac:dyDescent="0.2">
      <c r="A56" s="42">
        <v>4</v>
      </c>
      <c r="B56" s="42" t="str">
        <f>Source!F34</f>
        <v>КА-2</v>
      </c>
      <c r="C56" s="42" t="s">
        <v>419</v>
      </c>
      <c r="D56" s="43" t="str">
        <f>Source!H34</f>
        <v>ШТ</v>
      </c>
      <c r="E56" s="44">
        <f>Source!I34</f>
        <v>28</v>
      </c>
      <c r="F56" s="45">
        <f>Source!AL34</f>
        <v>279.52000000000004</v>
      </c>
      <c r="G56" s="46" t="str">
        <f>Source!DD34</f>
        <v/>
      </c>
      <c r="H56" s="44">
        <f>Source!AW35</f>
        <v>1</v>
      </c>
      <c r="I56" s="45">
        <f>Source!P34</f>
        <v>7826.56</v>
      </c>
      <c r="J56" s="44">
        <f>IF(Source!BC35&lt;&gt; 0, Source!BC35, 1)</f>
        <v>9.8800000000000008</v>
      </c>
      <c r="K56" s="45">
        <f>Source!P35</f>
        <v>77326.41</v>
      </c>
      <c r="Q56">
        <f>Source!X34</f>
        <v>0</v>
      </c>
      <c r="R56">
        <f>Source!X35</f>
        <v>0</v>
      </c>
      <c r="S56">
        <f>Source!Y34</f>
        <v>0</v>
      </c>
      <c r="T56">
        <f>Source!Y35</f>
        <v>0</v>
      </c>
      <c r="U56">
        <f>ROUND((175/100)*ROUND(Source!R34, 2), 2)</f>
        <v>0</v>
      </c>
      <c r="V56">
        <f>ROUND((0/100)*ROUND(Source!R35, 2), 2)</f>
        <v>0</v>
      </c>
      <c r="AC56">
        <v>3</v>
      </c>
    </row>
    <row r="57" spans="1:29" ht="15" x14ac:dyDescent="0.2">
      <c r="C57" s="47" t="s">
        <v>417</v>
      </c>
      <c r="H57" s="48">
        <f>I56+0</f>
        <v>7826.56</v>
      </c>
      <c r="I57" s="48"/>
      <c r="J57" s="48">
        <f>K56+0</f>
        <v>77326.41</v>
      </c>
      <c r="K57" s="48"/>
      <c r="O57" s="51">
        <f>I56+0</f>
        <v>7826.56</v>
      </c>
      <c r="P57" s="51">
        <f>K56+0</f>
        <v>77326.41</v>
      </c>
    </row>
    <row r="59" spans="1:29" ht="28.5" x14ac:dyDescent="0.2">
      <c r="A59" s="35">
        <v>5</v>
      </c>
      <c r="B59" s="35" t="str">
        <f>Source!F36</f>
        <v>4.10-174-2</v>
      </c>
      <c r="C59" s="35" t="s">
        <v>52</v>
      </c>
      <c r="D59" s="37" t="str">
        <f>Source!H36</f>
        <v>10 шт.</v>
      </c>
      <c r="E59" s="36">
        <f>Source!I36</f>
        <v>10.9</v>
      </c>
      <c r="F59" s="39"/>
      <c r="G59" s="38"/>
      <c r="H59" s="36"/>
      <c r="I59" s="39"/>
      <c r="J59" s="36"/>
      <c r="K59" s="39"/>
      <c r="Q59">
        <f>Source!X36</f>
        <v>4535.08</v>
      </c>
      <c r="R59">
        <f>Source!X37</f>
        <v>249384.16</v>
      </c>
      <c r="S59">
        <f>Source!Y36</f>
        <v>2317.9299999999998</v>
      </c>
      <c r="T59">
        <f>Source!Y37</f>
        <v>127463.01</v>
      </c>
      <c r="U59">
        <f>ROUND((175/100)*ROUND(Source!R36, 2), 2)</f>
        <v>2.85</v>
      </c>
      <c r="V59">
        <f>ROUND((0/100)*ROUND(Source!R37, 2), 2)</f>
        <v>0</v>
      </c>
      <c r="AC59">
        <v>0</v>
      </c>
    </row>
    <row r="60" spans="1:29" x14ac:dyDescent="0.2">
      <c r="C60" s="40" t="str">
        <f>"Объем: "&amp;Source!I36&amp;"=109/"&amp;"10"</f>
        <v>Объем: 10,9=109/10</v>
      </c>
    </row>
    <row r="61" spans="1:29" ht="14.25" x14ac:dyDescent="0.2">
      <c r="A61" s="35"/>
      <c r="B61" s="35"/>
      <c r="C61" s="35" t="s">
        <v>406</v>
      </c>
      <c r="D61" s="37"/>
      <c r="E61" s="36"/>
      <c r="F61" s="39">
        <f>Source!AO36</f>
        <v>401.27</v>
      </c>
      <c r="G61" s="38" t="str">
        <f>Source!DG36</f>
        <v>*1,1</v>
      </c>
      <c r="H61" s="36">
        <f>Source!AV37</f>
        <v>1.0469999999999999</v>
      </c>
      <c r="I61" s="39">
        <f>Source!S36</f>
        <v>5037.3500000000004</v>
      </c>
      <c r="J61" s="36">
        <f>IF(Source!BA37&lt;&gt; 0, Source!BA37, 1)</f>
        <v>54.99</v>
      </c>
      <c r="K61" s="39">
        <f>Source!S37</f>
        <v>277003.88</v>
      </c>
    </row>
    <row r="62" spans="1:29" ht="14.25" x14ac:dyDescent="0.2">
      <c r="A62" s="35"/>
      <c r="B62" s="35"/>
      <c r="C62" s="35" t="s">
        <v>407</v>
      </c>
      <c r="D62" s="37"/>
      <c r="E62" s="36"/>
      <c r="F62" s="39">
        <f>Source!AM36</f>
        <v>2.36</v>
      </c>
      <c r="G62" s="38" t="str">
        <f>Source!DE36</f>
        <v>*1,1</v>
      </c>
      <c r="H62" s="36">
        <f>Source!AV37</f>
        <v>1.0469999999999999</v>
      </c>
      <c r="I62" s="39">
        <f>Source!Q36</f>
        <v>29.63</v>
      </c>
      <c r="J62" s="36">
        <f>IF(Source!BB37&lt;&gt; 0, Source!BB37, 1)</f>
        <v>11.36</v>
      </c>
      <c r="K62" s="39">
        <f>Source!Q37</f>
        <v>336.6</v>
      </c>
    </row>
    <row r="63" spans="1:29" ht="14.25" x14ac:dyDescent="0.2">
      <c r="A63" s="35"/>
      <c r="B63" s="35"/>
      <c r="C63" s="35" t="s">
        <v>408</v>
      </c>
      <c r="D63" s="37"/>
      <c r="E63" s="36"/>
      <c r="F63" s="39">
        <f>Source!AN36</f>
        <v>0.13</v>
      </c>
      <c r="G63" s="38" t="str">
        <f>Source!DF36</f>
        <v>*1,1</v>
      </c>
      <c r="H63" s="36">
        <f>Source!AV37</f>
        <v>1.0469999999999999</v>
      </c>
      <c r="I63" s="41">
        <f>Source!R36</f>
        <v>1.63</v>
      </c>
      <c r="J63" s="36">
        <f>IF(Source!BS37&lt;&gt; 0, Source!BS37, 1)</f>
        <v>54.99</v>
      </c>
      <c r="K63" s="41">
        <f>Source!R37</f>
        <v>89.63</v>
      </c>
    </row>
    <row r="64" spans="1:29" ht="14.25" x14ac:dyDescent="0.2">
      <c r="A64" s="35"/>
      <c r="B64" s="35"/>
      <c r="C64" s="35" t="s">
        <v>409</v>
      </c>
      <c r="D64" s="37"/>
      <c r="E64" s="36"/>
      <c r="F64" s="39">
        <f>Source!AL36</f>
        <v>42.51</v>
      </c>
      <c r="G64" s="38" t="str">
        <f>Source!DD36</f>
        <v/>
      </c>
      <c r="H64" s="36">
        <f>Source!AW37</f>
        <v>1</v>
      </c>
      <c r="I64" s="39">
        <f>Source!P36</f>
        <v>463.36</v>
      </c>
      <c r="J64" s="36">
        <f>IF(Source!BC37&lt;&gt; 0, Source!BC37, 1)</f>
        <v>1.93</v>
      </c>
      <c r="K64" s="39">
        <f>Source!P37</f>
        <v>894.28</v>
      </c>
    </row>
    <row r="65" spans="1:29" ht="14.25" x14ac:dyDescent="0.2">
      <c r="A65" s="35"/>
      <c r="B65" s="35"/>
      <c r="C65" s="35" t="s">
        <v>410</v>
      </c>
      <c r="D65" s="37" t="s">
        <v>411</v>
      </c>
      <c r="E65" s="36">
        <f>Source!BZ37</f>
        <v>90</v>
      </c>
      <c r="F65" s="39"/>
      <c r="G65" s="38"/>
      <c r="H65" s="36"/>
      <c r="I65" s="39">
        <f>SUM(Q59:Q64)</f>
        <v>4535.08</v>
      </c>
      <c r="J65" s="36">
        <f>Source!AT37</f>
        <v>90</v>
      </c>
      <c r="K65" s="39">
        <f>SUM(R59:R64)</f>
        <v>249384.16</v>
      </c>
    </row>
    <row r="66" spans="1:29" ht="14.25" x14ac:dyDescent="0.2">
      <c r="A66" s="35"/>
      <c r="B66" s="35"/>
      <c r="C66" s="35" t="s">
        <v>412</v>
      </c>
      <c r="D66" s="37" t="s">
        <v>411</v>
      </c>
      <c r="E66" s="36">
        <f>Source!CA37</f>
        <v>46</v>
      </c>
      <c r="F66" s="39"/>
      <c r="G66" s="38"/>
      <c r="H66" s="36"/>
      <c r="I66" s="39">
        <f>SUM(S59:S65)</f>
        <v>2317.9299999999998</v>
      </c>
      <c r="J66" s="36">
        <f>Source!AU37</f>
        <v>46</v>
      </c>
      <c r="K66" s="39">
        <f>SUM(T59:T65)</f>
        <v>127463.01</v>
      </c>
    </row>
    <row r="67" spans="1:29" ht="14.25" x14ac:dyDescent="0.2">
      <c r="A67" s="42"/>
      <c r="B67" s="42"/>
      <c r="C67" s="42" t="s">
        <v>413</v>
      </c>
      <c r="D67" s="43" t="s">
        <v>414</v>
      </c>
      <c r="E67" s="44">
        <f>Source!AQ36</f>
        <v>25.33</v>
      </c>
      <c r="F67" s="45"/>
      <c r="G67" s="46" t="str">
        <f>Source!DI36</f>
        <v>*1,1</v>
      </c>
      <c r="H67" s="44">
        <f>Source!AV37</f>
        <v>1.0469999999999999</v>
      </c>
      <c r="I67" s="45">
        <f>Source!U36</f>
        <v>317.98091490000002</v>
      </c>
      <c r="J67" s="44"/>
      <c r="K67" s="45"/>
    </row>
    <row r="68" spans="1:29" ht="15" x14ac:dyDescent="0.2">
      <c r="C68" s="47" t="s">
        <v>415</v>
      </c>
      <c r="H68" s="48">
        <f>I61+I62+I64+I65+I66+0-0-0</f>
        <v>12383.35</v>
      </c>
      <c r="I68" s="48"/>
      <c r="J68" s="48">
        <f>K61+K62+K64+K65+K66+0-0-0</f>
        <v>655081.93000000005</v>
      </c>
      <c r="K68" s="48"/>
    </row>
    <row r="69" spans="1:29" ht="15" hidden="1" x14ac:dyDescent="0.2">
      <c r="C69" s="47" t="s">
        <v>416</v>
      </c>
      <c r="H69" s="50">
        <f>0+0</f>
        <v>0</v>
      </c>
      <c r="I69" s="50"/>
      <c r="J69" s="50">
        <f>0+0</f>
        <v>0</v>
      </c>
      <c r="K69" s="50"/>
    </row>
    <row r="70" spans="1:29" ht="15" x14ac:dyDescent="0.2">
      <c r="C70" s="47" t="s">
        <v>417</v>
      </c>
      <c r="H70" s="50">
        <f>I61+I62+I64+I65+I66+0</f>
        <v>12383.35</v>
      </c>
      <c r="I70" s="50"/>
      <c r="J70" s="50">
        <f>K61+K62+K64+K65+K66+0</f>
        <v>655081.93000000005</v>
      </c>
      <c r="K70" s="50"/>
      <c r="O70" s="51">
        <f>I61+I62+I64+I65+I66+0</f>
        <v>12383.35</v>
      </c>
      <c r="P70" s="51">
        <f>K61+K62+K64+K65+K66+0</f>
        <v>655081.93000000005</v>
      </c>
    </row>
    <row r="72" spans="1:29" ht="153.75" x14ac:dyDescent="0.2">
      <c r="A72" s="52">
        <v>6</v>
      </c>
      <c r="B72" s="52" t="str">
        <f>Source!F38</f>
        <v>КА-3</v>
      </c>
      <c r="C72" s="52" t="s">
        <v>420</v>
      </c>
      <c r="D72" s="53" t="str">
        <f>Source!H38</f>
        <v>ШТ</v>
      </c>
      <c r="E72" s="54">
        <f>Source!I38</f>
        <v>109</v>
      </c>
      <c r="F72" s="55">
        <f>Source!AL38</f>
        <v>1301.25</v>
      </c>
      <c r="G72" s="56" t="str">
        <f>Source!DD38</f>
        <v/>
      </c>
      <c r="H72" s="54">
        <f>Source!AW39</f>
        <v>1</v>
      </c>
      <c r="I72" s="55">
        <f>Source!P38</f>
        <v>141836.25</v>
      </c>
      <c r="J72" s="54">
        <f>IF(Source!BC39&lt;&gt; 0, Source!BC39, 1)</f>
        <v>7.66</v>
      </c>
      <c r="K72" s="55">
        <f>Source!P39</f>
        <v>1086465.68</v>
      </c>
      <c r="Q72">
        <f>Source!X38</f>
        <v>0</v>
      </c>
      <c r="R72">
        <f>Source!X39</f>
        <v>0</v>
      </c>
      <c r="S72">
        <f>Source!Y38</f>
        <v>0</v>
      </c>
      <c r="T72">
        <f>Source!Y39</f>
        <v>0</v>
      </c>
      <c r="U72">
        <f>ROUND((175/100)*ROUND(Source!R38, 2), 2)</f>
        <v>0</v>
      </c>
      <c r="V72">
        <f>ROUND((0/100)*ROUND(Source!R39, 2), 2)</f>
        <v>0</v>
      </c>
      <c r="AC72">
        <v>5</v>
      </c>
    </row>
    <row r="73" spans="1:29" ht="15" x14ac:dyDescent="0.2">
      <c r="A73" s="57"/>
      <c r="B73" s="57"/>
      <c r="C73" s="58" t="s">
        <v>417</v>
      </c>
      <c r="D73" s="57"/>
      <c r="E73" s="57"/>
      <c r="F73" s="57"/>
      <c r="G73" s="57"/>
      <c r="H73" s="59">
        <f>I72+0</f>
        <v>141836.25</v>
      </c>
      <c r="I73" s="59"/>
      <c r="J73" s="59">
        <f>K72+0</f>
        <v>1086465.68</v>
      </c>
      <c r="K73" s="59"/>
      <c r="O73" s="51">
        <f>I72+0</f>
        <v>141836.25</v>
      </c>
      <c r="P73" s="51">
        <f>K72+0</f>
        <v>1086465.68</v>
      </c>
    </row>
    <row r="75" spans="1:29" ht="42.75" x14ac:dyDescent="0.2">
      <c r="A75" s="35">
        <v>7</v>
      </c>
      <c r="B75" s="35" t="str">
        <f>Source!F40</f>
        <v>4.10-72-14</v>
      </c>
      <c r="C75" s="35" t="s">
        <v>59</v>
      </c>
      <c r="D75" s="37" t="str">
        <f>Source!H40</f>
        <v>1 устройство</v>
      </c>
      <c r="E75" s="36">
        <f>Source!I40</f>
        <v>1</v>
      </c>
      <c r="F75" s="39"/>
      <c r="G75" s="38"/>
      <c r="H75" s="36"/>
      <c r="I75" s="39"/>
      <c r="J75" s="36"/>
      <c r="K75" s="39"/>
      <c r="Q75">
        <f>Source!X40</f>
        <v>104.07</v>
      </c>
      <c r="R75">
        <f>Source!X41</f>
        <v>5722.94</v>
      </c>
      <c r="S75">
        <f>Source!Y40</f>
        <v>58.06</v>
      </c>
      <c r="T75">
        <f>Source!Y41</f>
        <v>3192.8</v>
      </c>
      <c r="U75">
        <f>ROUND((175/100)*ROUND(Source!R40, 2), 2)</f>
        <v>0</v>
      </c>
      <c r="V75">
        <f>ROUND((0/100)*ROUND(Source!R41, 2), 2)</f>
        <v>0</v>
      </c>
      <c r="AC75">
        <v>0</v>
      </c>
    </row>
    <row r="76" spans="1:29" ht="14.25" x14ac:dyDescent="0.2">
      <c r="A76" s="35"/>
      <c r="B76" s="35"/>
      <c r="C76" s="35" t="s">
        <v>406</v>
      </c>
      <c r="D76" s="37"/>
      <c r="E76" s="36"/>
      <c r="F76" s="39">
        <f>Source!AO40</f>
        <v>95.12</v>
      </c>
      <c r="G76" s="38" t="str">
        <f>Source!DG40</f>
        <v>*1,1</v>
      </c>
      <c r="H76" s="36">
        <f>Source!AV41</f>
        <v>1.0469999999999999</v>
      </c>
      <c r="I76" s="39">
        <f>Source!S40</f>
        <v>109.55</v>
      </c>
      <c r="J76" s="36">
        <f>IF(Source!BA41&lt;&gt; 0, Source!BA41, 1)</f>
        <v>54.99</v>
      </c>
      <c r="K76" s="39">
        <f>Source!S41</f>
        <v>6024.15</v>
      </c>
    </row>
    <row r="77" spans="1:29" ht="14.25" x14ac:dyDescent="0.2">
      <c r="A77" s="35"/>
      <c r="B77" s="35"/>
      <c r="C77" s="35" t="s">
        <v>409</v>
      </c>
      <c r="D77" s="37"/>
      <c r="E77" s="36"/>
      <c r="F77" s="39">
        <f>Source!AL40</f>
        <v>1.1000000000000001</v>
      </c>
      <c r="G77" s="38" t="str">
        <f>Source!DD40</f>
        <v/>
      </c>
      <c r="H77" s="36">
        <f>Source!AW41</f>
        <v>1</v>
      </c>
      <c r="I77" s="39">
        <f>Source!P40</f>
        <v>1.1000000000000001</v>
      </c>
      <c r="J77" s="36">
        <f>IF(Source!BC41&lt;&gt; 0, Source!BC41, 1)</f>
        <v>16.72</v>
      </c>
      <c r="K77" s="39">
        <f>Source!P41</f>
        <v>18.39</v>
      </c>
    </row>
    <row r="78" spans="1:29" ht="14.25" x14ac:dyDescent="0.2">
      <c r="A78" s="35"/>
      <c r="B78" s="35"/>
      <c r="C78" s="35" t="s">
        <v>410</v>
      </c>
      <c r="D78" s="37" t="s">
        <v>411</v>
      </c>
      <c r="E78" s="36">
        <f>Source!BZ41</f>
        <v>95</v>
      </c>
      <c r="F78" s="39"/>
      <c r="G78" s="38"/>
      <c r="H78" s="36"/>
      <c r="I78" s="39">
        <f>SUM(Q75:Q77)</f>
        <v>104.07</v>
      </c>
      <c r="J78" s="36">
        <f>Source!AT41</f>
        <v>95</v>
      </c>
      <c r="K78" s="39">
        <f>SUM(R75:R77)</f>
        <v>5722.94</v>
      </c>
    </row>
    <row r="79" spans="1:29" ht="14.25" x14ac:dyDescent="0.2">
      <c r="A79" s="35"/>
      <c r="B79" s="35"/>
      <c r="C79" s="35" t="s">
        <v>412</v>
      </c>
      <c r="D79" s="37" t="s">
        <v>411</v>
      </c>
      <c r="E79" s="36">
        <f>Source!CA41</f>
        <v>53</v>
      </c>
      <c r="F79" s="39"/>
      <c r="G79" s="38"/>
      <c r="H79" s="36"/>
      <c r="I79" s="39">
        <f>SUM(S75:S78)</f>
        <v>58.06</v>
      </c>
      <c r="J79" s="36">
        <f>Source!AU41</f>
        <v>53</v>
      </c>
      <c r="K79" s="39">
        <f>SUM(T75:T78)</f>
        <v>3192.8</v>
      </c>
    </row>
    <row r="80" spans="1:29" ht="14.25" x14ac:dyDescent="0.2">
      <c r="A80" s="42"/>
      <c r="B80" s="42"/>
      <c r="C80" s="42" t="s">
        <v>413</v>
      </c>
      <c r="D80" s="43" t="s">
        <v>414</v>
      </c>
      <c r="E80" s="44">
        <f>Source!AQ40</f>
        <v>8</v>
      </c>
      <c r="F80" s="45"/>
      <c r="G80" s="46" t="str">
        <f>Source!DI40</f>
        <v>*1,1</v>
      </c>
      <c r="H80" s="44">
        <f>Source!AV41</f>
        <v>1.0469999999999999</v>
      </c>
      <c r="I80" s="45">
        <f>Source!U40</f>
        <v>9.2135999999999996</v>
      </c>
      <c r="J80" s="44"/>
      <c r="K80" s="45"/>
    </row>
    <row r="81" spans="1:29" ht="15" x14ac:dyDescent="0.2">
      <c r="C81" s="47" t="s">
        <v>415</v>
      </c>
      <c r="H81" s="48">
        <f>I76+I77+I78+I79+0-0-0</f>
        <v>272.77999999999997</v>
      </c>
      <c r="I81" s="48"/>
      <c r="J81" s="48">
        <f>K76+K77+K78+K79+0-0-0</f>
        <v>14958.279999999999</v>
      </c>
      <c r="K81" s="48"/>
    </row>
    <row r="82" spans="1:29" ht="15" hidden="1" x14ac:dyDescent="0.2">
      <c r="C82" s="47" t="s">
        <v>416</v>
      </c>
      <c r="H82" s="50">
        <f>0+0</f>
        <v>0</v>
      </c>
      <c r="I82" s="50"/>
      <c r="J82" s="50">
        <f>0+0</f>
        <v>0</v>
      </c>
      <c r="K82" s="50"/>
    </row>
    <row r="83" spans="1:29" ht="15" x14ac:dyDescent="0.2">
      <c r="C83" s="47" t="s">
        <v>417</v>
      </c>
      <c r="H83" s="50">
        <f>I76+I77+I78+I79+0</f>
        <v>272.77999999999997</v>
      </c>
      <c r="I83" s="50"/>
      <c r="J83" s="50">
        <f>K76+K77+K78+K79+0</f>
        <v>14958.279999999999</v>
      </c>
      <c r="K83" s="50"/>
      <c r="O83" s="51">
        <f>I76+I77+I78+I79+0</f>
        <v>272.77999999999997</v>
      </c>
      <c r="P83" s="51">
        <f>K76+K77+K78+K79+0</f>
        <v>14958.279999999999</v>
      </c>
    </row>
    <row r="85" spans="1:29" ht="82.5" x14ac:dyDescent="0.2">
      <c r="A85" s="52">
        <v>8</v>
      </c>
      <c r="B85" s="52" t="str">
        <f>Source!F42</f>
        <v>КА-4</v>
      </c>
      <c r="C85" s="52" t="s">
        <v>421</v>
      </c>
      <c r="D85" s="53" t="str">
        <f>Source!H42</f>
        <v>ШТ</v>
      </c>
      <c r="E85" s="54">
        <f>Source!I42</f>
        <v>1</v>
      </c>
      <c r="F85" s="55">
        <f>Source!AL42</f>
        <v>304239.85000000003</v>
      </c>
      <c r="G85" s="56" t="str">
        <f>Source!DD42</f>
        <v/>
      </c>
      <c r="H85" s="54">
        <f>Source!AW43</f>
        <v>1</v>
      </c>
      <c r="I85" s="55">
        <f>Source!P42</f>
        <v>304239.84999999998</v>
      </c>
      <c r="J85" s="54">
        <f>IF(Source!BC43&lt;&gt; 0, Source!BC43, 1)</f>
        <v>7.66</v>
      </c>
      <c r="K85" s="55">
        <f>Source!P43</f>
        <v>2330477.25</v>
      </c>
      <c r="Q85">
        <f>Source!X42</f>
        <v>0</v>
      </c>
      <c r="R85">
        <f>Source!X43</f>
        <v>0</v>
      </c>
      <c r="S85">
        <f>Source!Y42</f>
        <v>0</v>
      </c>
      <c r="T85">
        <f>Source!Y43</f>
        <v>0</v>
      </c>
      <c r="U85">
        <f>ROUND((175/100)*ROUND(Source!R42, 2), 2)</f>
        <v>0</v>
      </c>
      <c r="V85">
        <f>ROUND((0/100)*ROUND(Source!R43, 2), 2)</f>
        <v>0</v>
      </c>
      <c r="AC85">
        <v>5</v>
      </c>
    </row>
    <row r="86" spans="1:29" ht="15" x14ac:dyDescent="0.2">
      <c r="A86" s="57"/>
      <c r="B86" s="57"/>
      <c r="C86" s="58" t="s">
        <v>417</v>
      </c>
      <c r="D86" s="57"/>
      <c r="E86" s="57"/>
      <c r="F86" s="57"/>
      <c r="G86" s="57"/>
      <c r="H86" s="59">
        <f>I85+0</f>
        <v>304239.84999999998</v>
      </c>
      <c r="I86" s="59"/>
      <c r="J86" s="59">
        <f>K85+0</f>
        <v>2330477.25</v>
      </c>
      <c r="K86" s="59"/>
      <c r="O86" s="51">
        <f>I85+0</f>
        <v>304239.84999999998</v>
      </c>
      <c r="P86" s="51">
        <f>K85+0</f>
        <v>2330477.25</v>
      </c>
    </row>
    <row r="88" spans="1:29" ht="68.25" x14ac:dyDescent="0.2">
      <c r="A88" s="52">
        <v>9</v>
      </c>
      <c r="B88" s="52" t="str">
        <f>Source!F44</f>
        <v>КА-5</v>
      </c>
      <c r="C88" s="52" t="s">
        <v>422</v>
      </c>
      <c r="D88" s="53" t="str">
        <f>Source!H44</f>
        <v>ШТ</v>
      </c>
      <c r="E88" s="54">
        <f>Source!I44</f>
        <v>1</v>
      </c>
      <c r="F88" s="55">
        <f>Source!AL44</f>
        <v>20298.349999999999</v>
      </c>
      <c r="G88" s="56" t="str">
        <f>Source!DD44</f>
        <v/>
      </c>
      <c r="H88" s="54">
        <f>Source!AW45</f>
        <v>1</v>
      </c>
      <c r="I88" s="55">
        <f>Source!P44</f>
        <v>20298.349999999999</v>
      </c>
      <c r="J88" s="54">
        <f>IF(Source!BC45&lt;&gt; 0, Source!BC45, 1)</f>
        <v>7.66</v>
      </c>
      <c r="K88" s="55">
        <f>Source!P45</f>
        <v>155485.35999999999</v>
      </c>
      <c r="Q88">
        <f>Source!X44</f>
        <v>0</v>
      </c>
      <c r="R88">
        <f>Source!X45</f>
        <v>0</v>
      </c>
      <c r="S88">
        <f>Source!Y44</f>
        <v>0</v>
      </c>
      <c r="T88">
        <f>Source!Y45</f>
        <v>0</v>
      </c>
      <c r="U88">
        <f>ROUND((175/100)*ROUND(Source!R44, 2), 2)</f>
        <v>0</v>
      </c>
      <c r="V88">
        <f>ROUND((0/100)*ROUND(Source!R45, 2), 2)</f>
        <v>0</v>
      </c>
      <c r="AC88">
        <v>5</v>
      </c>
    </row>
    <row r="89" spans="1:29" ht="15" x14ac:dyDescent="0.2">
      <c r="A89" s="57"/>
      <c r="B89" s="57"/>
      <c r="C89" s="58" t="s">
        <v>417</v>
      </c>
      <c r="D89" s="57"/>
      <c r="E89" s="57"/>
      <c r="F89" s="57"/>
      <c r="G89" s="57"/>
      <c r="H89" s="59">
        <f>I88+0</f>
        <v>20298.349999999999</v>
      </c>
      <c r="I89" s="59"/>
      <c r="J89" s="59">
        <f>K88+0</f>
        <v>155485.35999999999</v>
      </c>
      <c r="K89" s="59"/>
      <c r="O89" s="51">
        <f>I88+0</f>
        <v>20298.349999999999</v>
      </c>
      <c r="P89" s="51">
        <f>K88+0</f>
        <v>155485.35999999999</v>
      </c>
    </row>
    <row r="91" spans="1:29" ht="14.25" x14ac:dyDescent="0.2">
      <c r="A91" s="35">
        <v>10</v>
      </c>
      <c r="B91" s="35" t="str">
        <f>Source!F46</f>
        <v>4.10-34-5</v>
      </c>
      <c r="C91" s="35" t="s">
        <v>72</v>
      </c>
      <c r="D91" s="37" t="str">
        <f>Source!H46</f>
        <v>1  ШТ.</v>
      </c>
      <c r="E91" s="36">
        <f>Source!I46</f>
        <v>9</v>
      </c>
      <c r="F91" s="39"/>
      <c r="G91" s="38"/>
      <c r="H91" s="36"/>
      <c r="I91" s="39"/>
      <c r="J91" s="36"/>
      <c r="K91" s="39"/>
      <c r="Q91">
        <f>Source!X46</f>
        <v>759.36</v>
      </c>
      <c r="R91">
        <f>Source!X47</f>
        <v>41757.040000000001</v>
      </c>
      <c r="S91">
        <f>Source!Y46</f>
        <v>388.12</v>
      </c>
      <c r="T91">
        <f>Source!Y47</f>
        <v>21342.49</v>
      </c>
      <c r="U91">
        <f>ROUND((175/100)*ROUND(Source!R46, 2), 2)</f>
        <v>57.31</v>
      </c>
      <c r="V91">
        <f>ROUND((0/100)*ROUND(Source!R47, 2), 2)</f>
        <v>0</v>
      </c>
      <c r="AC91">
        <v>0</v>
      </c>
    </row>
    <row r="92" spans="1:29" x14ac:dyDescent="0.2">
      <c r="C92" s="40" t="str">
        <f>"Объем: "&amp;Source!I46&amp;"=1+"&amp;"1+"&amp;"7"</f>
        <v>Объем: 9=1+1+7</v>
      </c>
    </row>
    <row r="93" spans="1:29" ht="14.25" x14ac:dyDescent="0.2">
      <c r="A93" s="35"/>
      <c r="B93" s="35"/>
      <c r="C93" s="35" t="s">
        <v>406</v>
      </c>
      <c r="D93" s="37"/>
      <c r="E93" s="36"/>
      <c r="F93" s="39">
        <f>Source!AO46</f>
        <v>78.239999999999995</v>
      </c>
      <c r="G93" s="38" t="str">
        <f>Source!DG46</f>
        <v>*1,1</v>
      </c>
      <c r="H93" s="36">
        <f>Source!AV47</f>
        <v>1.0469999999999999</v>
      </c>
      <c r="I93" s="39">
        <f>Source!S46</f>
        <v>810.98</v>
      </c>
      <c r="J93" s="36">
        <f>IF(Source!BA47&lt;&gt; 0, Source!BA47, 1)</f>
        <v>54.99</v>
      </c>
      <c r="K93" s="39">
        <f>Source!S47</f>
        <v>44595.79</v>
      </c>
    </row>
    <row r="94" spans="1:29" ht="14.25" x14ac:dyDescent="0.2">
      <c r="A94" s="35"/>
      <c r="B94" s="35"/>
      <c r="C94" s="35" t="s">
        <v>407</v>
      </c>
      <c r="D94" s="37"/>
      <c r="E94" s="36"/>
      <c r="F94" s="39">
        <f>Source!AM46</f>
        <v>28.71</v>
      </c>
      <c r="G94" s="38" t="str">
        <f>Source!DE46</f>
        <v>*1,1</v>
      </c>
      <c r="H94" s="36">
        <f>Source!AV47</f>
        <v>1.0469999999999999</v>
      </c>
      <c r="I94" s="39">
        <f>Source!Q46</f>
        <v>297.58999999999997</v>
      </c>
      <c r="J94" s="36">
        <f>IF(Source!BB47&lt;&gt; 0, Source!BB47, 1)</f>
        <v>15.46</v>
      </c>
      <c r="K94" s="39">
        <f>Source!Q47</f>
        <v>4600.74</v>
      </c>
    </row>
    <row r="95" spans="1:29" ht="14.25" x14ac:dyDescent="0.2">
      <c r="A95" s="35"/>
      <c r="B95" s="35"/>
      <c r="C95" s="35" t="s">
        <v>408</v>
      </c>
      <c r="D95" s="37"/>
      <c r="E95" s="36"/>
      <c r="F95" s="39">
        <f>Source!AN46</f>
        <v>3.16</v>
      </c>
      <c r="G95" s="38" t="str">
        <f>Source!DF46</f>
        <v>*1,1</v>
      </c>
      <c r="H95" s="36">
        <f>Source!AV47</f>
        <v>1.0469999999999999</v>
      </c>
      <c r="I95" s="41">
        <f>Source!R46</f>
        <v>32.75</v>
      </c>
      <c r="J95" s="36">
        <f>IF(Source!BS47&lt;&gt; 0, Source!BS47, 1)</f>
        <v>54.99</v>
      </c>
      <c r="K95" s="41">
        <f>Source!R47</f>
        <v>1800.92</v>
      </c>
    </row>
    <row r="96" spans="1:29" ht="14.25" x14ac:dyDescent="0.2">
      <c r="A96" s="35"/>
      <c r="B96" s="35"/>
      <c r="C96" s="35" t="s">
        <v>409</v>
      </c>
      <c r="D96" s="37"/>
      <c r="E96" s="36"/>
      <c r="F96" s="39">
        <f>Source!AL46</f>
        <v>12.35</v>
      </c>
      <c r="G96" s="38" t="str">
        <f>Source!DD46</f>
        <v/>
      </c>
      <c r="H96" s="36">
        <f>Source!AW47</f>
        <v>1</v>
      </c>
      <c r="I96" s="39">
        <f>Source!P46</f>
        <v>111.15</v>
      </c>
      <c r="J96" s="36">
        <f>IF(Source!BC47&lt;&gt; 0, Source!BC47, 1)</f>
        <v>14.7</v>
      </c>
      <c r="K96" s="39">
        <f>Source!P47</f>
        <v>1633.91</v>
      </c>
    </row>
    <row r="97" spans="1:29" ht="14.25" x14ac:dyDescent="0.2">
      <c r="A97" s="35"/>
      <c r="B97" s="35"/>
      <c r="C97" s="35" t="s">
        <v>410</v>
      </c>
      <c r="D97" s="37" t="s">
        <v>411</v>
      </c>
      <c r="E97" s="36">
        <f>Source!BZ47</f>
        <v>90</v>
      </c>
      <c r="F97" s="39"/>
      <c r="G97" s="38"/>
      <c r="H97" s="36"/>
      <c r="I97" s="39">
        <f>SUM(Q91:Q96)</f>
        <v>759.36</v>
      </c>
      <c r="J97" s="36">
        <f>Source!AT47</f>
        <v>90</v>
      </c>
      <c r="K97" s="39">
        <f>SUM(R91:R96)</f>
        <v>41757.040000000001</v>
      </c>
    </row>
    <row r="98" spans="1:29" ht="14.25" x14ac:dyDescent="0.2">
      <c r="A98" s="35"/>
      <c r="B98" s="35"/>
      <c r="C98" s="35" t="s">
        <v>412</v>
      </c>
      <c r="D98" s="37" t="s">
        <v>411</v>
      </c>
      <c r="E98" s="36">
        <f>Source!CA47</f>
        <v>46</v>
      </c>
      <c r="F98" s="39"/>
      <c r="G98" s="38"/>
      <c r="H98" s="36"/>
      <c r="I98" s="39">
        <f>SUM(S91:S97)</f>
        <v>388.12</v>
      </c>
      <c r="J98" s="36">
        <f>Source!AU47</f>
        <v>46</v>
      </c>
      <c r="K98" s="39">
        <f>SUM(T91:T97)</f>
        <v>21342.49</v>
      </c>
    </row>
    <row r="99" spans="1:29" ht="14.25" x14ac:dyDescent="0.2">
      <c r="A99" s="42"/>
      <c r="B99" s="42"/>
      <c r="C99" s="42" t="s">
        <v>413</v>
      </c>
      <c r="D99" s="43" t="s">
        <v>414</v>
      </c>
      <c r="E99" s="44">
        <f>Source!AQ46</f>
        <v>6.2</v>
      </c>
      <c r="F99" s="45"/>
      <c r="G99" s="46" t="str">
        <f>Source!DI46</f>
        <v>*1,1</v>
      </c>
      <c r="H99" s="44">
        <f>Source!AV47</f>
        <v>1.0469999999999999</v>
      </c>
      <c r="I99" s="45">
        <f>Source!U46</f>
        <v>64.264859999999999</v>
      </c>
      <c r="J99" s="44"/>
      <c r="K99" s="45"/>
    </row>
    <row r="100" spans="1:29" ht="15" x14ac:dyDescent="0.2">
      <c r="C100" s="47" t="s">
        <v>415</v>
      </c>
      <c r="H100" s="48">
        <f>I93+I94+I96+I97+I98+0-0-0</f>
        <v>2367.1999999999998</v>
      </c>
      <c r="I100" s="48"/>
      <c r="J100" s="48">
        <f>K93+K94+K96+K97+K98+0-0-0</f>
        <v>113929.97000000002</v>
      </c>
      <c r="K100" s="48"/>
    </row>
    <row r="101" spans="1:29" ht="15" hidden="1" x14ac:dyDescent="0.2">
      <c r="C101" s="47" t="s">
        <v>416</v>
      </c>
      <c r="H101" s="50">
        <f>0+0</f>
        <v>0</v>
      </c>
      <c r="I101" s="50"/>
      <c r="J101" s="50">
        <f>0+0</f>
        <v>0</v>
      </c>
      <c r="K101" s="50"/>
    </row>
    <row r="102" spans="1:29" ht="15" x14ac:dyDescent="0.2">
      <c r="C102" s="47" t="s">
        <v>417</v>
      </c>
      <c r="H102" s="50">
        <f>I93+I94+I96+I97+I98+0</f>
        <v>2367.1999999999998</v>
      </c>
      <c r="I102" s="50"/>
      <c r="J102" s="50">
        <f>K93+K94+K96+K97+K98+0</f>
        <v>113929.97000000002</v>
      </c>
      <c r="K102" s="50"/>
      <c r="O102" s="51">
        <f>I93+I94+I96+I97+I98+0</f>
        <v>2367.1999999999998</v>
      </c>
      <c r="P102" s="51">
        <f>K93+K94+K96+K97+K98+0</f>
        <v>113929.97000000002</v>
      </c>
    </row>
    <row r="104" spans="1:29" ht="54" x14ac:dyDescent="0.2">
      <c r="A104" s="52">
        <v>11</v>
      </c>
      <c r="B104" s="52" t="str">
        <f>Source!F48</f>
        <v>КА-6</v>
      </c>
      <c r="C104" s="52" t="s">
        <v>423</v>
      </c>
      <c r="D104" s="53" t="str">
        <f>Source!H48</f>
        <v>ШТ</v>
      </c>
      <c r="E104" s="54">
        <f>Source!I48</f>
        <v>1</v>
      </c>
      <c r="F104" s="55">
        <f>Source!AL48</f>
        <v>34992.32</v>
      </c>
      <c r="G104" s="56" t="str">
        <f>Source!DD48</f>
        <v/>
      </c>
      <c r="H104" s="54">
        <f>Source!AW49</f>
        <v>1</v>
      </c>
      <c r="I104" s="55">
        <f>Source!P48</f>
        <v>34992.32</v>
      </c>
      <c r="J104" s="54">
        <f>IF(Source!BC49&lt;&gt; 0, Source!BC49, 1)</f>
        <v>7.66</v>
      </c>
      <c r="K104" s="55">
        <f>Source!P49</f>
        <v>268041.17</v>
      </c>
      <c r="Q104">
        <f>Source!X48</f>
        <v>0</v>
      </c>
      <c r="R104">
        <f>Source!X49</f>
        <v>0</v>
      </c>
      <c r="S104">
        <f>Source!Y48</f>
        <v>0</v>
      </c>
      <c r="T104">
        <f>Source!Y49</f>
        <v>0</v>
      </c>
      <c r="U104">
        <f>ROUND((175/100)*ROUND(Source!R48, 2), 2)</f>
        <v>0</v>
      </c>
      <c r="V104">
        <f>ROUND((0/100)*ROUND(Source!R49, 2), 2)</f>
        <v>0</v>
      </c>
      <c r="AC104">
        <v>5</v>
      </c>
    </row>
    <row r="105" spans="1:29" ht="15" x14ac:dyDescent="0.2">
      <c r="A105" s="57"/>
      <c r="B105" s="57"/>
      <c r="C105" s="58" t="s">
        <v>417</v>
      </c>
      <c r="D105" s="57"/>
      <c r="E105" s="57"/>
      <c r="F105" s="57"/>
      <c r="G105" s="57"/>
      <c r="H105" s="59">
        <f>I104+0</f>
        <v>34992.32</v>
      </c>
      <c r="I105" s="59"/>
      <c r="J105" s="59">
        <f>K104+0</f>
        <v>268041.17</v>
      </c>
      <c r="K105" s="59"/>
      <c r="O105" s="51">
        <f>I104+0</f>
        <v>34992.32</v>
      </c>
      <c r="P105" s="51">
        <f>K104+0</f>
        <v>268041.17</v>
      </c>
    </row>
    <row r="107" spans="1:29" ht="68.25" x14ac:dyDescent="0.2">
      <c r="A107" s="52">
        <v>12</v>
      </c>
      <c r="B107" s="52" t="str">
        <f>Source!F50</f>
        <v>КА-7</v>
      </c>
      <c r="C107" s="52" t="s">
        <v>424</v>
      </c>
      <c r="D107" s="53" t="str">
        <f>Source!H50</f>
        <v>ШТ</v>
      </c>
      <c r="E107" s="54">
        <f>Source!I50</f>
        <v>1</v>
      </c>
      <c r="F107" s="55">
        <f>Source!AL50</f>
        <v>53571.200000000004</v>
      </c>
      <c r="G107" s="56" t="str">
        <f>Source!DD50</f>
        <v/>
      </c>
      <c r="H107" s="54">
        <f>Source!AW51</f>
        <v>1</v>
      </c>
      <c r="I107" s="55">
        <f>Source!P50</f>
        <v>53571.199999999997</v>
      </c>
      <c r="J107" s="54">
        <f>IF(Source!BC51&lt;&gt; 0, Source!BC51, 1)</f>
        <v>7.66</v>
      </c>
      <c r="K107" s="55">
        <f>Source!P51</f>
        <v>410355.39</v>
      </c>
      <c r="Q107">
        <f>Source!X50</f>
        <v>0</v>
      </c>
      <c r="R107">
        <f>Source!X51</f>
        <v>0</v>
      </c>
      <c r="S107">
        <f>Source!Y50</f>
        <v>0</v>
      </c>
      <c r="T107">
        <f>Source!Y51</f>
        <v>0</v>
      </c>
      <c r="U107">
        <f>ROUND((175/100)*ROUND(Source!R50, 2), 2)</f>
        <v>0</v>
      </c>
      <c r="V107">
        <f>ROUND((0/100)*ROUND(Source!R51, 2), 2)</f>
        <v>0</v>
      </c>
      <c r="AC107">
        <v>5</v>
      </c>
    </row>
    <row r="108" spans="1:29" ht="15" x14ac:dyDescent="0.2">
      <c r="A108" s="57"/>
      <c r="B108" s="57"/>
      <c r="C108" s="58" t="s">
        <v>417</v>
      </c>
      <c r="D108" s="57"/>
      <c r="E108" s="57"/>
      <c r="F108" s="57"/>
      <c r="G108" s="57"/>
      <c r="H108" s="59">
        <f>I107+0</f>
        <v>53571.199999999997</v>
      </c>
      <c r="I108" s="59"/>
      <c r="J108" s="59">
        <f>K107+0</f>
        <v>410355.39</v>
      </c>
      <c r="K108" s="59"/>
      <c r="O108" s="51">
        <f>I107+0</f>
        <v>53571.199999999997</v>
      </c>
      <c r="P108" s="51">
        <f>K107+0</f>
        <v>410355.39</v>
      </c>
    </row>
    <row r="110" spans="1:29" ht="68.25" x14ac:dyDescent="0.2">
      <c r="A110" s="52">
        <v>13</v>
      </c>
      <c r="B110" s="52" t="str">
        <f>Source!F52</f>
        <v>КА-8</v>
      </c>
      <c r="C110" s="52" t="s">
        <v>425</v>
      </c>
      <c r="D110" s="53" t="str">
        <f>Source!H52</f>
        <v>ШТ</v>
      </c>
      <c r="E110" s="54">
        <f>Source!I52</f>
        <v>7</v>
      </c>
      <c r="F110" s="55">
        <f>Source!AL52</f>
        <v>13997.58</v>
      </c>
      <c r="G110" s="56" t="str">
        <f>Source!DD52</f>
        <v/>
      </c>
      <c r="H110" s="54">
        <f>Source!AW53</f>
        <v>1</v>
      </c>
      <c r="I110" s="55">
        <f>Source!P52</f>
        <v>97983.06</v>
      </c>
      <c r="J110" s="54">
        <f>IF(Source!BC53&lt;&gt; 0, Source!BC53, 1)</f>
        <v>7.66</v>
      </c>
      <c r="K110" s="55">
        <f>Source!P53</f>
        <v>750550.24</v>
      </c>
      <c r="Q110">
        <f>Source!X52</f>
        <v>0</v>
      </c>
      <c r="R110">
        <f>Source!X53</f>
        <v>0</v>
      </c>
      <c r="S110">
        <f>Source!Y52</f>
        <v>0</v>
      </c>
      <c r="T110">
        <f>Source!Y53</f>
        <v>0</v>
      </c>
      <c r="U110">
        <f>ROUND((175/100)*ROUND(Source!R52, 2), 2)</f>
        <v>0</v>
      </c>
      <c r="V110">
        <f>ROUND((0/100)*ROUND(Source!R53, 2), 2)</f>
        <v>0</v>
      </c>
      <c r="AC110">
        <v>5</v>
      </c>
    </row>
    <row r="111" spans="1:29" ht="15" x14ac:dyDescent="0.2">
      <c r="A111" s="57"/>
      <c r="B111" s="57"/>
      <c r="C111" s="58" t="s">
        <v>417</v>
      </c>
      <c r="D111" s="57"/>
      <c r="E111" s="57"/>
      <c r="F111" s="57"/>
      <c r="G111" s="57"/>
      <c r="H111" s="59">
        <f>I110+0</f>
        <v>97983.06</v>
      </c>
      <c r="I111" s="59"/>
      <c r="J111" s="59">
        <f>K110+0</f>
        <v>750550.24</v>
      </c>
      <c r="K111" s="59"/>
      <c r="O111" s="51">
        <f>I110+0</f>
        <v>97983.06</v>
      </c>
      <c r="P111" s="51">
        <f>K110+0</f>
        <v>750550.24</v>
      </c>
    </row>
    <row r="113" spans="1:29" ht="42.75" x14ac:dyDescent="0.2">
      <c r="A113" s="35">
        <v>14</v>
      </c>
      <c r="B113" s="35" t="str">
        <f>Source!F54</f>
        <v>4.10-32-4</v>
      </c>
      <c r="C113" s="35" t="s">
        <v>88</v>
      </c>
      <c r="D113" s="37" t="str">
        <f>Source!H54</f>
        <v>1  ШТ.</v>
      </c>
      <c r="E113" s="36">
        <f>Source!I54</f>
        <v>18</v>
      </c>
      <c r="F113" s="39"/>
      <c r="G113" s="38"/>
      <c r="H113" s="36"/>
      <c r="I113" s="39"/>
      <c r="J113" s="36"/>
      <c r="K113" s="39"/>
      <c r="Q113">
        <f>Source!X54</f>
        <v>456.92</v>
      </c>
      <c r="R113">
        <f>Source!X55</f>
        <v>25126.080000000002</v>
      </c>
      <c r="S113">
        <f>Source!Y54</f>
        <v>233.54</v>
      </c>
      <c r="T113">
        <f>Source!Y55</f>
        <v>12842.22</v>
      </c>
      <c r="U113">
        <f>ROUND((175/100)*ROUND(Source!R54, 2), 2)</f>
        <v>36.65</v>
      </c>
      <c r="V113">
        <f>ROUND((0/100)*ROUND(Source!R55, 2), 2)</f>
        <v>0</v>
      </c>
      <c r="AC113">
        <v>0</v>
      </c>
    </row>
    <row r="114" spans="1:29" ht="14.25" x14ac:dyDescent="0.2">
      <c r="A114" s="35"/>
      <c r="B114" s="35"/>
      <c r="C114" s="35" t="s">
        <v>406</v>
      </c>
      <c r="D114" s="37"/>
      <c r="E114" s="36"/>
      <c r="F114" s="39">
        <f>Source!AO54</f>
        <v>23.48</v>
      </c>
      <c r="G114" s="38" t="str">
        <f>Source!DG54</f>
        <v>*1,1</v>
      </c>
      <c r="H114" s="36">
        <f>Source!AV55</f>
        <v>1.0469999999999999</v>
      </c>
      <c r="I114" s="39">
        <f>Source!S54</f>
        <v>486.75</v>
      </c>
      <c r="J114" s="36">
        <f>IF(Source!BA55&lt;&gt; 0, Source!BA55, 1)</f>
        <v>54.99</v>
      </c>
      <c r="K114" s="39">
        <f>Source!S55</f>
        <v>26766.38</v>
      </c>
    </row>
    <row r="115" spans="1:29" ht="14.25" x14ac:dyDescent="0.2">
      <c r="A115" s="35"/>
      <c r="B115" s="35"/>
      <c r="C115" s="35" t="s">
        <v>407</v>
      </c>
      <c r="D115" s="37"/>
      <c r="E115" s="36"/>
      <c r="F115" s="39">
        <f>Source!AM54</f>
        <v>9.19</v>
      </c>
      <c r="G115" s="38" t="str">
        <f>Source!DE54</f>
        <v>*1,1</v>
      </c>
      <c r="H115" s="36">
        <f>Source!AV55</f>
        <v>1.0469999999999999</v>
      </c>
      <c r="I115" s="39">
        <f>Source!Q54</f>
        <v>190.51</v>
      </c>
      <c r="J115" s="36">
        <f>IF(Source!BB55&lt;&gt; 0, Source!BB55, 1)</f>
        <v>15.45</v>
      </c>
      <c r="K115" s="39">
        <f>Source!Q55</f>
        <v>2943.38</v>
      </c>
    </row>
    <row r="116" spans="1:29" ht="14.25" x14ac:dyDescent="0.2">
      <c r="A116" s="35"/>
      <c r="B116" s="35"/>
      <c r="C116" s="35" t="s">
        <v>408</v>
      </c>
      <c r="D116" s="37"/>
      <c r="E116" s="36"/>
      <c r="F116" s="39">
        <f>Source!AN54</f>
        <v>1.01</v>
      </c>
      <c r="G116" s="38" t="str">
        <f>Source!DF54</f>
        <v>*1,1</v>
      </c>
      <c r="H116" s="36">
        <f>Source!AV55</f>
        <v>1.0469999999999999</v>
      </c>
      <c r="I116" s="41">
        <f>Source!R54</f>
        <v>20.94</v>
      </c>
      <c r="J116" s="36">
        <f>IF(Source!BS55&lt;&gt; 0, Source!BS55, 1)</f>
        <v>54.99</v>
      </c>
      <c r="K116" s="41">
        <f>Source!R55</f>
        <v>1151.49</v>
      </c>
    </row>
    <row r="117" spans="1:29" ht="14.25" x14ac:dyDescent="0.2">
      <c r="A117" s="35"/>
      <c r="B117" s="35"/>
      <c r="C117" s="35" t="s">
        <v>410</v>
      </c>
      <c r="D117" s="37" t="s">
        <v>411</v>
      </c>
      <c r="E117" s="36">
        <f>Source!BZ55</f>
        <v>90</v>
      </c>
      <c r="F117" s="39"/>
      <c r="G117" s="38"/>
      <c r="H117" s="36"/>
      <c r="I117" s="39">
        <f>SUM(Q113:Q116)</f>
        <v>456.92</v>
      </c>
      <c r="J117" s="36">
        <f>Source!AT55</f>
        <v>90</v>
      </c>
      <c r="K117" s="39">
        <f>SUM(R113:R116)</f>
        <v>25126.080000000002</v>
      </c>
    </row>
    <row r="118" spans="1:29" ht="14.25" x14ac:dyDescent="0.2">
      <c r="A118" s="35"/>
      <c r="B118" s="35"/>
      <c r="C118" s="35" t="s">
        <v>412</v>
      </c>
      <c r="D118" s="37" t="s">
        <v>411</v>
      </c>
      <c r="E118" s="36">
        <f>Source!CA55</f>
        <v>46</v>
      </c>
      <c r="F118" s="39"/>
      <c r="G118" s="38"/>
      <c r="H118" s="36"/>
      <c r="I118" s="39">
        <f>SUM(S113:S117)</f>
        <v>233.54</v>
      </c>
      <c r="J118" s="36">
        <f>Source!AU55</f>
        <v>46</v>
      </c>
      <c r="K118" s="39">
        <f>SUM(T113:T117)</f>
        <v>12842.22</v>
      </c>
    </row>
    <row r="119" spans="1:29" ht="14.25" x14ac:dyDescent="0.2">
      <c r="A119" s="42"/>
      <c r="B119" s="42"/>
      <c r="C119" s="42" t="s">
        <v>413</v>
      </c>
      <c r="D119" s="43" t="s">
        <v>414</v>
      </c>
      <c r="E119" s="44">
        <f>Source!AQ54</f>
        <v>2.1</v>
      </c>
      <c r="F119" s="45"/>
      <c r="G119" s="46" t="str">
        <f>Source!DI54</f>
        <v>*1,1</v>
      </c>
      <c r="H119" s="44">
        <f>Source!AV55</f>
        <v>1.0469999999999999</v>
      </c>
      <c r="I119" s="45">
        <f>Source!U54</f>
        <v>43.534260000000003</v>
      </c>
      <c r="J119" s="44"/>
      <c r="K119" s="45"/>
    </row>
    <row r="120" spans="1:29" ht="15" x14ac:dyDescent="0.2">
      <c r="C120" s="47" t="s">
        <v>415</v>
      </c>
      <c r="H120" s="48">
        <f>I114+I115+I117+I118+0-0-0</f>
        <v>1367.72</v>
      </c>
      <c r="I120" s="48"/>
      <c r="J120" s="48">
        <f>K114+K115+K117+K118+0-0-0</f>
        <v>67678.06</v>
      </c>
      <c r="K120" s="48"/>
    </row>
    <row r="121" spans="1:29" ht="15" hidden="1" x14ac:dyDescent="0.2">
      <c r="C121" s="47" t="s">
        <v>416</v>
      </c>
      <c r="H121" s="50">
        <f>0+0</f>
        <v>0</v>
      </c>
      <c r="I121" s="50"/>
      <c r="J121" s="50">
        <f>0+0</f>
        <v>0</v>
      </c>
      <c r="K121" s="50"/>
    </row>
    <row r="122" spans="1:29" ht="15" x14ac:dyDescent="0.2">
      <c r="C122" s="47" t="s">
        <v>417</v>
      </c>
      <c r="H122" s="50">
        <f>I114+I115+I117+I118+0</f>
        <v>1367.72</v>
      </c>
      <c r="I122" s="50"/>
      <c r="J122" s="50">
        <f>K114+K115+K117+K118+0</f>
        <v>67678.06</v>
      </c>
      <c r="K122" s="50"/>
      <c r="O122" s="51">
        <f>I114+I115+I117+I118+0</f>
        <v>1367.72</v>
      </c>
      <c r="P122" s="51">
        <f>K114+K115+K117+K118+0</f>
        <v>67678.06</v>
      </c>
    </row>
    <row r="124" spans="1:29" ht="82.5" x14ac:dyDescent="0.2">
      <c r="A124" s="52">
        <v>15</v>
      </c>
      <c r="B124" s="52" t="str">
        <f>Source!F56</f>
        <v>КА-9</v>
      </c>
      <c r="C124" s="52" t="s">
        <v>426</v>
      </c>
      <c r="D124" s="53" t="str">
        <f>Source!H56</f>
        <v>ШТ</v>
      </c>
      <c r="E124" s="54">
        <f>Source!I56</f>
        <v>18</v>
      </c>
      <c r="F124" s="55">
        <f>Source!AL56</f>
        <v>322.63</v>
      </c>
      <c r="G124" s="56" t="str">
        <f>Source!DD56</f>
        <v/>
      </c>
      <c r="H124" s="54">
        <f>Source!AW57</f>
        <v>1</v>
      </c>
      <c r="I124" s="55">
        <f>Source!P56</f>
        <v>5807.34</v>
      </c>
      <c r="J124" s="54">
        <f>IF(Source!BC57&lt;&gt; 0, Source!BC57, 1)</f>
        <v>7.66</v>
      </c>
      <c r="K124" s="55">
        <f>Source!P57</f>
        <v>44484.22</v>
      </c>
      <c r="Q124">
        <f>Source!X56</f>
        <v>0</v>
      </c>
      <c r="R124">
        <f>Source!X57</f>
        <v>0</v>
      </c>
      <c r="S124">
        <f>Source!Y56</f>
        <v>0</v>
      </c>
      <c r="T124">
        <f>Source!Y57</f>
        <v>0</v>
      </c>
      <c r="U124">
        <f>ROUND((175/100)*ROUND(Source!R56, 2), 2)</f>
        <v>0</v>
      </c>
      <c r="V124">
        <f>ROUND((0/100)*ROUND(Source!R57, 2), 2)</f>
        <v>0</v>
      </c>
      <c r="AC124">
        <v>5</v>
      </c>
    </row>
    <row r="125" spans="1:29" ht="15" x14ac:dyDescent="0.2">
      <c r="A125" s="57"/>
      <c r="B125" s="57"/>
      <c r="C125" s="58" t="s">
        <v>417</v>
      </c>
      <c r="D125" s="57"/>
      <c r="E125" s="57"/>
      <c r="F125" s="57"/>
      <c r="G125" s="57"/>
      <c r="H125" s="59">
        <f>I124+0</f>
        <v>5807.34</v>
      </c>
      <c r="I125" s="59"/>
      <c r="J125" s="59">
        <f>K124+0</f>
        <v>44484.22</v>
      </c>
      <c r="K125" s="59"/>
      <c r="O125" s="51">
        <f>I124+0</f>
        <v>5807.34</v>
      </c>
      <c r="P125" s="51">
        <f>K124+0</f>
        <v>44484.22</v>
      </c>
    </row>
    <row r="127" spans="1:29" ht="42.75" x14ac:dyDescent="0.2">
      <c r="A127" s="35">
        <v>16</v>
      </c>
      <c r="B127" s="35" t="str">
        <f>Source!F58</f>
        <v>4.10-32-4</v>
      </c>
      <c r="C127" s="35" t="s">
        <v>88</v>
      </c>
      <c r="D127" s="37" t="str">
        <f>Source!H58</f>
        <v>1  ШТ.</v>
      </c>
      <c r="E127" s="36">
        <f>Source!I58</f>
        <v>3</v>
      </c>
      <c r="F127" s="39"/>
      <c r="G127" s="38"/>
      <c r="H127" s="36"/>
      <c r="I127" s="39"/>
      <c r="J127" s="36"/>
      <c r="K127" s="39"/>
      <c r="Q127">
        <f>Source!X58</f>
        <v>76.16</v>
      </c>
      <c r="R127">
        <f>Source!X59</f>
        <v>4187.93</v>
      </c>
      <c r="S127">
        <f>Source!Y58</f>
        <v>38.93</v>
      </c>
      <c r="T127">
        <f>Source!Y59</f>
        <v>2140.5</v>
      </c>
      <c r="U127">
        <f>ROUND((175/100)*ROUND(Source!R58, 2), 2)</f>
        <v>6.11</v>
      </c>
      <c r="V127">
        <f>ROUND((0/100)*ROUND(Source!R59, 2), 2)</f>
        <v>0</v>
      </c>
      <c r="AC127">
        <v>0</v>
      </c>
    </row>
    <row r="128" spans="1:29" ht="14.25" x14ac:dyDescent="0.2">
      <c r="A128" s="35"/>
      <c r="B128" s="35"/>
      <c r="C128" s="35" t="s">
        <v>406</v>
      </c>
      <c r="D128" s="37"/>
      <c r="E128" s="36"/>
      <c r="F128" s="39">
        <f>Source!AO58</f>
        <v>23.48</v>
      </c>
      <c r="G128" s="38" t="str">
        <f>Source!DG58</f>
        <v>*1,1</v>
      </c>
      <c r="H128" s="36">
        <f>Source!AV59</f>
        <v>1.0469999999999999</v>
      </c>
      <c r="I128" s="39">
        <f>Source!S58</f>
        <v>81.13</v>
      </c>
      <c r="J128" s="36">
        <f>IF(Source!BA59&lt;&gt; 0, Source!BA59, 1)</f>
        <v>54.99</v>
      </c>
      <c r="K128" s="39">
        <f>Source!S59</f>
        <v>4461.34</v>
      </c>
    </row>
    <row r="129" spans="1:29" ht="14.25" x14ac:dyDescent="0.2">
      <c r="A129" s="35"/>
      <c r="B129" s="35"/>
      <c r="C129" s="35" t="s">
        <v>407</v>
      </c>
      <c r="D129" s="37"/>
      <c r="E129" s="36"/>
      <c r="F129" s="39">
        <f>Source!AM58</f>
        <v>9.19</v>
      </c>
      <c r="G129" s="38" t="str">
        <f>Source!DE58</f>
        <v>*1,1</v>
      </c>
      <c r="H129" s="36">
        <f>Source!AV59</f>
        <v>1.0469999999999999</v>
      </c>
      <c r="I129" s="39">
        <f>Source!Q58</f>
        <v>31.75</v>
      </c>
      <c r="J129" s="36">
        <f>IF(Source!BB59&lt;&gt; 0, Source!BB59, 1)</f>
        <v>15.45</v>
      </c>
      <c r="K129" s="39">
        <f>Source!Q59</f>
        <v>490.54</v>
      </c>
    </row>
    <row r="130" spans="1:29" ht="14.25" x14ac:dyDescent="0.2">
      <c r="A130" s="35"/>
      <c r="B130" s="35"/>
      <c r="C130" s="35" t="s">
        <v>408</v>
      </c>
      <c r="D130" s="37"/>
      <c r="E130" s="36"/>
      <c r="F130" s="39">
        <f>Source!AN58</f>
        <v>1.01</v>
      </c>
      <c r="G130" s="38" t="str">
        <f>Source!DF58</f>
        <v>*1,1</v>
      </c>
      <c r="H130" s="36">
        <f>Source!AV59</f>
        <v>1.0469999999999999</v>
      </c>
      <c r="I130" s="41">
        <f>Source!R58</f>
        <v>3.49</v>
      </c>
      <c r="J130" s="36">
        <f>IF(Source!BS59&lt;&gt; 0, Source!BS59, 1)</f>
        <v>54.99</v>
      </c>
      <c r="K130" s="41">
        <f>Source!R59</f>
        <v>191.92</v>
      </c>
    </row>
    <row r="131" spans="1:29" ht="14.25" x14ac:dyDescent="0.2">
      <c r="A131" s="35"/>
      <c r="B131" s="35"/>
      <c r="C131" s="35" t="s">
        <v>410</v>
      </c>
      <c r="D131" s="37" t="s">
        <v>411</v>
      </c>
      <c r="E131" s="36">
        <f>Source!BZ59</f>
        <v>90</v>
      </c>
      <c r="F131" s="39"/>
      <c r="G131" s="38"/>
      <c r="H131" s="36"/>
      <c r="I131" s="39">
        <f>SUM(Q127:Q130)</f>
        <v>76.16</v>
      </c>
      <c r="J131" s="36">
        <f>Source!AT59</f>
        <v>90</v>
      </c>
      <c r="K131" s="39">
        <f>SUM(R127:R130)</f>
        <v>4187.93</v>
      </c>
    </row>
    <row r="132" spans="1:29" ht="14.25" x14ac:dyDescent="0.2">
      <c r="A132" s="35"/>
      <c r="B132" s="35"/>
      <c r="C132" s="35" t="s">
        <v>412</v>
      </c>
      <c r="D132" s="37" t="s">
        <v>411</v>
      </c>
      <c r="E132" s="36">
        <f>Source!CA59</f>
        <v>46</v>
      </c>
      <c r="F132" s="39"/>
      <c r="G132" s="38"/>
      <c r="H132" s="36"/>
      <c r="I132" s="39">
        <f>SUM(S127:S131)</f>
        <v>38.93</v>
      </c>
      <c r="J132" s="36">
        <f>Source!AU59</f>
        <v>46</v>
      </c>
      <c r="K132" s="39">
        <f>SUM(T127:T131)</f>
        <v>2140.5</v>
      </c>
    </row>
    <row r="133" spans="1:29" ht="14.25" x14ac:dyDescent="0.2">
      <c r="A133" s="42"/>
      <c r="B133" s="42"/>
      <c r="C133" s="42" t="s">
        <v>413</v>
      </c>
      <c r="D133" s="43" t="s">
        <v>414</v>
      </c>
      <c r="E133" s="44">
        <f>Source!AQ58</f>
        <v>2.1</v>
      </c>
      <c r="F133" s="45"/>
      <c r="G133" s="46" t="str">
        <f>Source!DI58</f>
        <v>*1,1</v>
      </c>
      <c r="H133" s="44">
        <f>Source!AV59</f>
        <v>1.0469999999999999</v>
      </c>
      <c r="I133" s="45">
        <f>Source!U58</f>
        <v>7.2557100000000005</v>
      </c>
      <c r="J133" s="44"/>
      <c r="K133" s="45"/>
    </row>
    <row r="134" spans="1:29" ht="15" x14ac:dyDescent="0.2">
      <c r="C134" s="47" t="s">
        <v>415</v>
      </c>
      <c r="H134" s="48">
        <f>I128+I129+I131+I132+0-0-0</f>
        <v>227.97</v>
      </c>
      <c r="I134" s="48"/>
      <c r="J134" s="48">
        <f>K128+K129+K131+K132+0-0-0</f>
        <v>11280.310000000001</v>
      </c>
      <c r="K134" s="48"/>
    </row>
    <row r="135" spans="1:29" ht="15" hidden="1" x14ac:dyDescent="0.2">
      <c r="C135" s="47" t="s">
        <v>416</v>
      </c>
      <c r="H135" s="50">
        <f>0+0</f>
        <v>0</v>
      </c>
      <c r="I135" s="50"/>
      <c r="J135" s="50">
        <f>0+0</f>
        <v>0</v>
      </c>
      <c r="K135" s="50"/>
    </row>
    <row r="136" spans="1:29" ht="15" x14ac:dyDescent="0.2">
      <c r="C136" s="47" t="s">
        <v>417</v>
      </c>
      <c r="H136" s="50">
        <f>I128+I129+I131+I132+0</f>
        <v>227.97</v>
      </c>
      <c r="I136" s="50"/>
      <c r="J136" s="50">
        <f>K128+K129+K131+K132+0</f>
        <v>11280.310000000001</v>
      </c>
      <c r="K136" s="50"/>
      <c r="O136" s="51">
        <f>I128+I129+I131+I132+0</f>
        <v>227.97</v>
      </c>
      <c r="P136" s="51">
        <f>K128+K129+K131+K132+0</f>
        <v>11280.310000000001</v>
      </c>
    </row>
    <row r="138" spans="1:29" ht="82.5" x14ac:dyDescent="0.2">
      <c r="A138" s="52">
        <v>17</v>
      </c>
      <c r="B138" s="52" t="str">
        <f>Source!F60</f>
        <v>КА-10</v>
      </c>
      <c r="C138" s="52" t="s">
        <v>427</v>
      </c>
      <c r="D138" s="53" t="str">
        <f>Source!H60</f>
        <v>ШТ</v>
      </c>
      <c r="E138" s="54">
        <f>Source!I60</f>
        <v>3</v>
      </c>
      <c r="F138" s="55">
        <f>Source!AL60</f>
        <v>5710.18</v>
      </c>
      <c r="G138" s="56" t="str">
        <f>Source!DD60</f>
        <v/>
      </c>
      <c r="H138" s="54">
        <f>Source!AW61</f>
        <v>1</v>
      </c>
      <c r="I138" s="55">
        <f>Source!P60</f>
        <v>17130.54</v>
      </c>
      <c r="J138" s="54">
        <f>IF(Source!BC61&lt;&gt; 0, Source!BC61, 1)</f>
        <v>7.66</v>
      </c>
      <c r="K138" s="55">
        <f>Source!P61</f>
        <v>131219.94</v>
      </c>
      <c r="Q138">
        <f>Source!X60</f>
        <v>0</v>
      </c>
      <c r="R138">
        <f>Source!X61</f>
        <v>0</v>
      </c>
      <c r="S138">
        <f>Source!Y60</f>
        <v>0</v>
      </c>
      <c r="T138">
        <f>Source!Y61</f>
        <v>0</v>
      </c>
      <c r="U138">
        <f>ROUND((175/100)*ROUND(Source!R60, 2), 2)</f>
        <v>0</v>
      </c>
      <c r="V138">
        <f>ROUND((0/100)*ROUND(Source!R61, 2), 2)</f>
        <v>0</v>
      </c>
      <c r="AC138">
        <v>5</v>
      </c>
    </row>
    <row r="139" spans="1:29" ht="15" x14ac:dyDescent="0.2">
      <c r="A139" s="57"/>
      <c r="B139" s="57"/>
      <c r="C139" s="58" t="s">
        <v>417</v>
      </c>
      <c r="D139" s="57"/>
      <c r="E139" s="57"/>
      <c r="F139" s="57"/>
      <c r="G139" s="57"/>
      <c r="H139" s="59">
        <f>I138+0</f>
        <v>17130.54</v>
      </c>
      <c r="I139" s="59"/>
      <c r="J139" s="59">
        <f>K138+0</f>
        <v>131219.94</v>
      </c>
      <c r="K139" s="59"/>
      <c r="O139" s="51">
        <f>I138+0</f>
        <v>17130.54</v>
      </c>
      <c r="P139" s="51">
        <f>K138+0</f>
        <v>131219.94</v>
      </c>
    </row>
    <row r="141" spans="1:29" ht="14.25" x14ac:dyDescent="0.2">
      <c r="A141" s="35">
        <v>18</v>
      </c>
      <c r="B141" s="35" t="str">
        <f>Source!F62</f>
        <v>4.10-75-9</v>
      </c>
      <c r="C141" s="35" t="s">
        <v>101</v>
      </c>
      <c r="D141" s="37" t="str">
        <f>Source!H62</f>
        <v>1  ШТ.</v>
      </c>
      <c r="E141" s="36">
        <f>Source!I62</f>
        <v>4</v>
      </c>
      <c r="F141" s="39"/>
      <c r="G141" s="38"/>
      <c r="H141" s="36"/>
      <c r="I141" s="39"/>
      <c r="J141" s="36"/>
      <c r="K141" s="39"/>
      <c r="Q141">
        <f>Source!X62</f>
        <v>391.43</v>
      </c>
      <c r="R141">
        <f>Source!X63</f>
        <v>21524.65</v>
      </c>
      <c r="S141">
        <f>Source!Y62</f>
        <v>218.38</v>
      </c>
      <c r="T141">
        <f>Source!Y63</f>
        <v>12008.49</v>
      </c>
      <c r="U141">
        <f>ROUND((175/100)*ROUND(Source!R62, 2), 2)</f>
        <v>0</v>
      </c>
      <c r="V141">
        <f>ROUND((0/100)*ROUND(Source!R63, 2), 2)</f>
        <v>0</v>
      </c>
      <c r="AC141">
        <v>0</v>
      </c>
    </row>
    <row r="142" spans="1:29" ht="14.25" x14ac:dyDescent="0.2">
      <c r="A142" s="35"/>
      <c r="B142" s="35"/>
      <c r="C142" s="35" t="s">
        <v>406</v>
      </c>
      <c r="D142" s="37"/>
      <c r="E142" s="36"/>
      <c r="F142" s="39">
        <f>Source!AO62</f>
        <v>89.44</v>
      </c>
      <c r="G142" s="38" t="str">
        <f>Source!DG62</f>
        <v>*1,1</v>
      </c>
      <c r="H142" s="36">
        <f>Source!AV63</f>
        <v>1.0469999999999999</v>
      </c>
      <c r="I142" s="39">
        <f>Source!S62</f>
        <v>412.03</v>
      </c>
      <c r="J142" s="36">
        <f>IF(Source!BA63&lt;&gt; 0, Source!BA63, 1)</f>
        <v>54.99</v>
      </c>
      <c r="K142" s="39">
        <f>Source!S63</f>
        <v>22657.53</v>
      </c>
    </row>
    <row r="143" spans="1:29" ht="14.25" x14ac:dyDescent="0.2">
      <c r="A143" s="35"/>
      <c r="B143" s="35"/>
      <c r="C143" s="35" t="s">
        <v>409</v>
      </c>
      <c r="D143" s="37"/>
      <c r="E143" s="36"/>
      <c r="F143" s="39">
        <f>Source!AL62</f>
        <v>24.1</v>
      </c>
      <c r="G143" s="38" t="str">
        <f>Source!DD62</f>
        <v/>
      </c>
      <c r="H143" s="36">
        <f>Source!AW63</f>
        <v>1</v>
      </c>
      <c r="I143" s="39">
        <f>Source!P62</f>
        <v>96.4</v>
      </c>
      <c r="J143" s="36">
        <f>IF(Source!BC63&lt;&gt; 0, Source!BC63, 1)</f>
        <v>8.06</v>
      </c>
      <c r="K143" s="39">
        <f>Source!P63</f>
        <v>776.98</v>
      </c>
    </row>
    <row r="144" spans="1:29" ht="14.25" x14ac:dyDescent="0.2">
      <c r="A144" s="35"/>
      <c r="B144" s="35"/>
      <c r="C144" s="35" t="s">
        <v>410</v>
      </c>
      <c r="D144" s="37" t="s">
        <v>411</v>
      </c>
      <c r="E144" s="36">
        <f>Source!BZ63</f>
        <v>95</v>
      </c>
      <c r="F144" s="39"/>
      <c r="G144" s="38"/>
      <c r="H144" s="36"/>
      <c r="I144" s="39">
        <f>SUM(Q141:Q143)</f>
        <v>391.43</v>
      </c>
      <c r="J144" s="36">
        <f>Source!AT63</f>
        <v>95</v>
      </c>
      <c r="K144" s="39">
        <f>SUM(R141:R143)</f>
        <v>21524.65</v>
      </c>
    </row>
    <row r="145" spans="1:29" ht="14.25" x14ac:dyDescent="0.2">
      <c r="A145" s="35"/>
      <c r="B145" s="35"/>
      <c r="C145" s="35" t="s">
        <v>412</v>
      </c>
      <c r="D145" s="37" t="s">
        <v>411</v>
      </c>
      <c r="E145" s="36">
        <f>Source!CA63</f>
        <v>53</v>
      </c>
      <c r="F145" s="39"/>
      <c r="G145" s="38"/>
      <c r="H145" s="36"/>
      <c r="I145" s="39">
        <f>SUM(S141:S144)</f>
        <v>218.38</v>
      </c>
      <c r="J145" s="36">
        <f>Source!AU63</f>
        <v>53</v>
      </c>
      <c r="K145" s="39">
        <f>SUM(T141:T144)</f>
        <v>12008.49</v>
      </c>
    </row>
    <row r="146" spans="1:29" ht="14.25" x14ac:dyDescent="0.2">
      <c r="A146" s="42"/>
      <c r="B146" s="42"/>
      <c r="C146" s="42" t="s">
        <v>413</v>
      </c>
      <c r="D146" s="43" t="s">
        <v>414</v>
      </c>
      <c r="E146" s="44">
        <f>Source!AQ62</f>
        <v>8</v>
      </c>
      <c r="F146" s="45"/>
      <c r="G146" s="46" t="str">
        <f>Source!DI62</f>
        <v>*1,1</v>
      </c>
      <c r="H146" s="44">
        <f>Source!AV63</f>
        <v>1.0469999999999999</v>
      </c>
      <c r="I146" s="45">
        <f>Source!U62</f>
        <v>36.854399999999998</v>
      </c>
      <c r="J146" s="44"/>
      <c r="K146" s="45"/>
    </row>
    <row r="147" spans="1:29" ht="15" x14ac:dyDescent="0.2">
      <c r="C147" s="47" t="s">
        <v>415</v>
      </c>
      <c r="H147" s="48">
        <f>I142+I143+I144+I145+0-0-0</f>
        <v>1118.2399999999998</v>
      </c>
      <c r="I147" s="48"/>
      <c r="J147" s="48">
        <f>K142+K143+K144+K145+0-0-0</f>
        <v>56967.65</v>
      </c>
      <c r="K147" s="48"/>
    </row>
    <row r="148" spans="1:29" ht="15" hidden="1" x14ac:dyDescent="0.2">
      <c r="C148" s="47" t="s">
        <v>416</v>
      </c>
      <c r="H148" s="50">
        <f>0+0</f>
        <v>0</v>
      </c>
      <c r="I148" s="50"/>
      <c r="J148" s="50">
        <f>0+0</f>
        <v>0</v>
      </c>
      <c r="K148" s="50"/>
    </row>
    <row r="149" spans="1:29" ht="15" x14ac:dyDescent="0.2">
      <c r="C149" s="47" t="s">
        <v>417</v>
      </c>
      <c r="H149" s="50">
        <f>I142+I143+I144+I145+0</f>
        <v>1118.2399999999998</v>
      </c>
      <c r="I149" s="50"/>
      <c r="J149" s="50">
        <f>K142+K143+K144+K145+0</f>
        <v>56967.65</v>
      </c>
      <c r="K149" s="50"/>
      <c r="O149" s="51">
        <f>I142+I143+I144+I145+0</f>
        <v>1118.2399999999998</v>
      </c>
      <c r="P149" s="51">
        <f>K142+K143+K144+K145+0</f>
        <v>56967.65</v>
      </c>
    </row>
    <row r="151" spans="1:29" ht="41.25" x14ac:dyDescent="0.2">
      <c r="A151" s="42">
        <v>19</v>
      </c>
      <c r="B151" s="42" t="str">
        <f>Source!F64</f>
        <v>КА-11</v>
      </c>
      <c r="C151" s="42" t="s">
        <v>428</v>
      </c>
      <c r="D151" s="43" t="str">
        <f>Source!H64</f>
        <v>ШТ</v>
      </c>
      <c r="E151" s="44">
        <f>Source!I64</f>
        <v>4</v>
      </c>
      <c r="F151" s="45">
        <f>Source!AL64</f>
        <v>120.44</v>
      </c>
      <c r="G151" s="46" t="str">
        <f>Source!DD64</f>
        <v/>
      </c>
      <c r="H151" s="44">
        <f>Source!AW65</f>
        <v>1</v>
      </c>
      <c r="I151" s="45">
        <f>Source!P64</f>
        <v>481.76</v>
      </c>
      <c r="J151" s="44">
        <f>IF(Source!BC65&lt;&gt; 0, Source!BC65, 1)</f>
        <v>9.8800000000000008</v>
      </c>
      <c r="K151" s="45">
        <f>Source!P65</f>
        <v>4759.79</v>
      </c>
      <c r="Q151">
        <f>Source!X64</f>
        <v>0</v>
      </c>
      <c r="R151">
        <f>Source!X65</f>
        <v>0</v>
      </c>
      <c r="S151">
        <f>Source!Y64</f>
        <v>0</v>
      </c>
      <c r="T151">
        <f>Source!Y65</f>
        <v>0</v>
      </c>
      <c r="U151">
        <f>ROUND((175/100)*ROUND(Source!R64, 2), 2)</f>
        <v>0</v>
      </c>
      <c r="V151">
        <f>ROUND((0/100)*ROUND(Source!R65, 2), 2)</f>
        <v>0</v>
      </c>
      <c r="AC151">
        <v>3</v>
      </c>
    </row>
    <row r="152" spans="1:29" ht="15" x14ac:dyDescent="0.2">
      <c r="C152" s="47" t="s">
        <v>417</v>
      </c>
      <c r="H152" s="48">
        <f>I151+0</f>
        <v>481.76</v>
      </c>
      <c r="I152" s="48"/>
      <c r="J152" s="48">
        <f>K151+0</f>
        <v>4759.79</v>
      </c>
      <c r="K152" s="48"/>
      <c r="O152" s="51">
        <f>I151+0</f>
        <v>481.76</v>
      </c>
      <c r="P152" s="51">
        <f>K151+0</f>
        <v>4759.79</v>
      </c>
    </row>
    <row r="154" spans="1:29" ht="54" x14ac:dyDescent="0.2">
      <c r="A154" s="52">
        <v>20</v>
      </c>
      <c r="B154" s="52" t="str">
        <f>Source!F66</f>
        <v>КА-12</v>
      </c>
      <c r="C154" s="52" t="s">
        <v>429</v>
      </c>
      <c r="D154" s="53" t="str">
        <f>Source!H66</f>
        <v>ШТ</v>
      </c>
      <c r="E154" s="54">
        <f>Source!I66</f>
        <v>4</v>
      </c>
      <c r="F154" s="55">
        <f>Source!AL66</f>
        <v>2421.06</v>
      </c>
      <c r="G154" s="56" t="str">
        <f>Source!DD66</f>
        <v/>
      </c>
      <c r="H154" s="54">
        <f>Source!AW67</f>
        <v>1</v>
      </c>
      <c r="I154" s="55">
        <f>Source!P66</f>
        <v>9684.24</v>
      </c>
      <c r="J154" s="54">
        <f>IF(Source!BC67&lt;&gt; 0, Source!BC67, 1)</f>
        <v>7.66</v>
      </c>
      <c r="K154" s="55">
        <f>Source!P67</f>
        <v>74181.279999999999</v>
      </c>
      <c r="Q154">
        <f>Source!X66</f>
        <v>0</v>
      </c>
      <c r="R154">
        <f>Source!X67</f>
        <v>0</v>
      </c>
      <c r="S154">
        <f>Source!Y66</f>
        <v>0</v>
      </c>
      <c r="T154">
        <f>Source!Y67</f>
        <v>0</v>
      </c>
      <c r="U154">
        <f>ROUND((175/100)*ROUND(Source!R66, 2), 2)</f>
        <v>0</v>
      </c>
      <c r="V154">
        <f>ROUND((0/100)*ROUND(Source!R67, 2), 2)</f>
        <v>0</v>
      </c>
      <c r="AC154">
        <v>5</v>
      </c>
    </row>
    <row r="155" spans="1:29" ht="15" x14ac:dyDescent="0.2">
      <c r="A155" s="57"/>
      <c r="B155" s="57"/>
      <c r="C155" s="58" t="s">
        <v>417</v>
      </c>
      <c r="D155" s="57"/>
      <c r="E155" s="57"/>
      <c r="F155" s="57"/>
      <c r="G155" s="57"/>
      <c r="H155" s="59">
        <f>I154+0</f>
        <v>9684.24</v>
      </c>
      <c r="I155" s="59"/>
      <c r="J155" s="59">
        <f>K154+0</f>
        <v>74181.279999999999</v>
      </c>
      <c r="K155" s="59"/>
      <c r="O155" s="51">
        <f>I154+0</f>
        <v>9684.24</v>
      </c>
      <c r="P155" s="51">
        <f>K154+0</f>
        <v>74181.279999999999</v>
      </c>
    </row>
    <row r="157" spans="1:29" ht="28.5" x14ac:dyDescent="0.2">
      <c r="A157" s="35">
        <v>21</v>
      </c>
      <c r="B157" s="35" t="str">
        <f>Source!F68</f>
        <v>4.10-75-6</v>
      </c>
      <c r="C157" s="35" t="s">
        <v>113</v>
      </c>
      <c r="D157" s="37" t="str">
        <f>Source!H68</f>
        <v>1  ШТ.</v>
      </c>
      <c r="E157" s="36">
        <f>Source!I68</f>
        <v>1</v>
      </c>
      <c r="F157" s="39"/>
      <c r="G157" s="38"/>
      <c r="H157" s="36"/>
      <c r="I157" s="39"/>
      <c r="J157" s="36"/>
      <c r="K157" s="39"/>
      <c r="Q157">
        <f>Source!X68</f>
        <v>96.65</v>
      </c>
      <c r="R157">
        <f>Source!X69</f>
        <v>5314.95</v>
      </c>
      <c r="S157">
        <f>Source!Y68</f>
        <v>53.92</v>
      </c>
      <c r="T157">
        <f>Source!Y69</f>
        <v>2965.18</v>
      </c>
      <c r="U157">
        <f>ROUND((175/100)*ROUND(Source!R68, 2), 2)</f>
        <v>0</v>
      </c>
      <c r="V157">
        <f>ROUND((0/100)*ROUND(Source!R69, 2), 2)</f>
        <v>0</v>
      </c>
      <c r="AC157">
        <v>0</v>
      </c>
    </row>
    <row r="158" spans="1:29" ht="14.25" x14ac:dyDescent="0.2">
      <c r="A158" s="35"/>
      <c r="B158" s="35"/>
      <c r="C158" s="35" t="s">
        <v>406</v>
      </c>
      <c r="D158" s="37"/>
      <c r="E158" s="36"/>
      <c r="F158" s="39">
        <f>Source!AO68</f>
        <v>88.34</v>
      </c>
      <c r="G158" s="38" t="str">
        <f>Source!DG68</f>
        <v>*1,1</v>
      </c>
      <c r="H158" s="36">
        <f>Source!AV69</f>
        <v>1.0469999999999999</v>
      </c>
      <c r="I158" s="39">
        <f>Source!S68</f>
        <v>101.74</v>
      </c>
      <c r="J158" s="36">
        <f>IF(Source!BA69&lt;&gt; 0, Source!BA69, 1)</f>
        <v>54.99</v>
      </c>
      <c r="K158" s="39">
        <f>Source!S69</f>
        <v>5594.68</v>
      </c>
    </row>
    <row r="159" spans="1:29" ht="14.25" x14ac:dyDescent="0.2">
      <c r="A159" s="35"/>
      <c r="B159" s="35"/>
      <c r="C159" s="35" t="s">
        <v>409</v>
      </c>
      <c r="D159" s="37"/>
      <c r="E159" s="36"/>
      <c r="F159" s="39">
        <f>Source!AL68</f>
        <v>34.869999999999997</v>
      </c>
      <c r="G159" s="38" t="str">
        <f>Source!DD68</f>
        <v/>
      </c>
      <c r="H159" s="36">
        <f>Source!AW69</f>
        <v>1</v>
      </c>
      <c r="I159" s="39">
        <f>Source!P68</f>
        <v>34.869999999999997</v>
      </c>
      <c r="J159" s="36">
        <f>IF(Source!BC69&lt;&gt; 0, Source!BC69, 1)</f>
        <v>11.35</v>
      </c>
      <c r="K159" s="39">
        <f>Source!P69</f>
        <v>395.77</v>
      </c>
    </row>
    <row r="160" spans="1:29" ht="14.25" x14ac:dyDescent="0.2">
      <c r="A160" s="35"/>
      <c r="B160" s="35"/>
      <c r="C160" s="35" t="s">
        <v>410</v>
      </c>
      <c r="D160" s="37" t="s">
        <v>411</v>
      </c>
      <c r="E160" s="36">
        <f>Source!BZ69</f>
        <v>95</v>
      </c>
      <c r="F160" s="39"/>
      <c r="G160" s="38"/>
      <c r="H160" s="36"/>
      <c r="I160" s="39">
        <f>SUM(Q157:Q159)</f>
        <v>96.65</v>
      </c>
      <c r="J160" s="36">
        <f>Source!AT69</f>
        <v>95</v>
      </c>
      <c r="K160" s="39">
        <f>SUM(R157:R159)</f>
        <v>5314.95</v>
      </c>
    </row>
    <row r="161" spans="1:29" ht="14.25" x14ac:dyDescent="0.2">
      <c r="A161" s="35"/>
      <c r="B161" s="35"/>
      <c r="C161" s="35" t="s">
        <v>412</v>
      </c>
      <c r="D161" s="37" t="s">
        <v>411</v>
      </c>
      <c r="E161" s="36">
        <f>Source!CA69</f>
        <v>53</v>
      </c>
      <c r="F161" s="39"/>
      <c r="G161" s="38"/>
      <c r="H161" s="36"/>
      <c r="I161" s="39">
        <f>SUM(S157:S160)</f>
        <v>53.92</v>
      </c>
      <c r="J161" s="36">
        <f>Source!AU69</f>
        <v>53</v>
      </c>
      <c r="K161" s="39">
        <f>SUM(T157:T160)</f>
        <v>2965.18</v>
      </c>
    </row>
    <row r="162" spans="1:29" ht="14.25" x14ac:dyDescent="0.2">
      <c r="A162" s="42"/>
      <c r="B162" s="42"/>
      <c r="C162" s="42" t="s">
        <v>413</v>
      </c>
      <c r="D162" s="43" t="s">
        <v>414</v>
      </c>
      <c r="E162" s="44">
        <f>Source!AQ68</f>
        <v>7</v>
      </c>
      <c r="F162" s="45"/>
      <c r="G162" s="46" t="str">
        <f>Source!DI68</f>
        <v>*1,1</v>
      </c>
      <c r="H162" s="44">
        <f>Source!AV69</f>
        <v>1.0469999999999999</v>
      </c>
      <c r="I162" s="45">
        <f>Source!U68</f>
        <v>8.0619000000000014</v>
      </c>
      <c r="J162" s="44"/>
      <c r="K162" s="45"/>
    </row>
    <row r="163" spans="1:29" ht="15" x14ac:dyDescent="0.2">
      <c r="C163" s="47" t="s">
        <v>415</v>
      </c>
      <c r="H163" s="48">
        <f>I158+I159+I160+I161+0-0-0</f>
        <v>287.18</v>
      </c>
      <c r="I163" s="48"/>
      <c r="J163" s="48">
        <f>K158+K159+K160+K161+0-0-0</f>
        <v>14270.580000000002</v>
      </c>
      <c r="K163" s="48"/>
    </row>
    <row r="164" spans="1:29" ht="15" hidden="1" x14ac:dyDescent="0.2">
      <c r="C164" s="47" t="s">
        <v>416</v>
      </c>
      <c r="H164" s="50">
        <f>0+0</f>
        <v>0</v>
      </c>
      <c r="I164" s="50"/>
      <c r="J164" s="50">
        <f>0+0</f>
        <v>0</v>
      </c>
      <c r="K164" s="50"/>
    </row>
    <row r="165" spans="1:29" ht="15" x14ac:dyDescent="0.2">
      <c r="C165" s="47" t="s">
        <v>417</v>
      </c>
      <c r="H165" s="50">
        <f>I158+I159+I160+I161+0</f>
        <v>287.18</v>
      </c>
      <c r="I165" s="50"/>
      <c r="J165" s="50">
        <f>K158+K159+K160+K161+0</f>
        <v>14270.580000000002</v>
      </c>
      <c r="K165" s="50"/>
      <c r="O165" s="51">
        <f>I158+I159+I160+I161+0</f>
        <v>287.18</v>
      </c>
      <c r="P165" s="51">
        <f>K158+K159+K160+K161+0</f>
        <v>14270.580000000002</v>
      </c>
    </row>
    <row r="167" spans="1:29" ht="54" x14ac:dyDescent="0.2">
      <c r="A167" s="52">
        <v>22</v>
      </c>
      <c r="B167" s="52" t="str">
        <f>Source!F70</f>
        <v>КА-13</v>
      </c>
      <c r="C167" s="52" t="s">
        <v>430</v>
      </c>
      <c r="D167" s="53" t="str">
        <f>Source!H70</f>
        <v>ШТ</v>
      </c>
      <c r="E167" s="54">
        <f>Source!I70</f>
        <v>1</v>
      </c>
      <c r="F167" s="55">
        <f>Source!AL70</f>
        <v>62216.139999999992</v>
      </c>
      <c r="G167" s="56" t="str">
        <f>Source!DD70</f>
        <v/>
      </c>
      <c r="H167" s="54">
        <f>Source!AW71</f>
        <v>1</v>
      </c>
      <c r="I167" s="55">
        <f>Source!P70</f>
        <v>62216.14</v>
      </c>
      <c r="J167" s="54">
        <f>IF(Source!BC71&lt;&gt; 0, Source!BC71, 1)</f>
        <v>7.66</v>
      </c>
      <c r="K167" s="55">
        <f>Source!P71</f>
        <v>476575.63</v>
      </c>
      <c r="Q167">
        <f>Source!X70</f>
        <v>0</v>
      </c>
      <c r="R167">
        <f>Source!X71</f>
        <v>0</v>
      </c>
      <c r="S167">
        <f>Source!Y70</f>
        <v>0</v>
      </c>
      <c r="T167">
        <f>Source!Y71</f>
        <v>0</v>
      </c>
      <c r="U167">
        <f>ROUND((175/100)*ROUND(Source!R70, 2), 2)</f>
        <v>0</v>
      </c>
      <c r="V167">
        <f>ROUND((0/100)*ROUND(Source!R71, 2), 2)</f>
        <v>0</v>
      </c>
      <c r="AC167">
        <v>5</v>
      </c>
    </row>
    <row r="168" spans="1:29" ht="15" x14ac:dyDescent="0.2">
      <c r="A168" s="57"/>
      <c r="B168" s="57"/>
      <c r="C168" s="58" t="s">
        <v>417</v>
      </c>
      <c r="D168" s="57"/>
      <c r="E168" s="57"/>
      <c r="F168" s="57"/>
      <c r="G168" s="57"/>
      <c r="H168" s="59">
        <f>I167+0</f>
        <v>62216.14</v>
      </c>
      <c r="I168" s="59"/>
      <c r="J168" s="59">
        <f>K167+0</f>
        <v>476575.63</v>
      </c>
      <c r="K168" s="59"/>
      <c r="O168" s="51">
        <f>I167+0</f>
        <v>62216.14</v>
      </c>
      <c r="P168" s="51">
        <f>K167+0</f>
        <v>476575.63</v>
      </c>
    </row>
    <row r="170" spans="1:29" ht="28.5" x14ac:dyDescent="0.2">
      <c r="A170" s="35">
        <v>23</v>
      </c>
      <c r="B170" s="35" t="str">
        <f>Source!F72</f>
        <v>4.10-173-2</v>
      </c>
      <c r="C170" s="35" t="s">
        <v>121</v>
      </c>
      <c r="D170" s="37" t="str">
        <f>Source!H72</f>
        <v>1  ШТ.</v>
      </c>
      <c r="E170" s="36">
        <f>Source!I72</f>
        <v>8</v>
      </c>
      <c r="F170" s="39"/>
      <c r="G170" s="38"/>
      <c r="H170" s="36"/>
      <c r="I170" s="39"/>
      <c r="J170" s="36"/>
      <c r="K170" s="39"/>
      <c r="Q170">
        <f>Source!X72</f>
        <v>333.1</v>
      </c>
      <c r="R170">
        <f>Source!X73</f>
        <v>18317.12</v>
      </c>
      <c r="S170">
        <f>Source!Y72</f>
        <v>170.25</v>
      </c>
      <c r="T170">
        <f>Source!Y73</f>
        <v>9362.08</v>
      </c>
      <c r="U170">
        <f>ROUND((175/100)*ROUND(Source!R72, 2), 2)</f>
        <v>0</v>
      </c>
      <c r="V170">
        <f>ROUND((0/100)*ROUND(Source!R73, 2), 2)</f>
        <v>0</v>
      </c>
      <c r="AC170">
        <v>0</v>
      </c>
    </row>
    <row r="171" spans="1:29" ht="14.25" x14ac:dyDescent="0.2">
      <c r="A171" s="35"/>
      <c r="B171" s="35"/>
      <c r="C171" s="35" t="s">
        <v>406</v>
      </c>
      <c r="D171" s="37"/>
      <c r="E171" s="36"/>
      <c r="F171" s="39">
        <f>Source!AO72</f>
        <v>40.17</v>
      </c>
      <c r="G171" s="38" t="str">
        <f>Source!DG72</f>
        <v>*1,1</v>
      </c>
      <c r="H171" s="36">
        <f>Source!AV73</f>
        <v>1.0469999999999999</v>
      </c>
      <c r="I171" s="39">
        <f>Source!S72</f>
        <v>370.11</v>
      </c>
      <c r="J171" s="36">
        <f>IF(Source!BA73&lt;&gt; 0, Source!BA73, 1)</f>
        <v>54.99</v>
      </c>
      <c r="K171" s="39">
        <f>Source!S73</f>
        <v>20352.349999999999</v>
      </c>
    </row>
    <row r="172" spans="1:29" ht="14.25" x14ac:dyDescent="0.2">
      <c r="A172" s="35"/>
      <c r="B172" s="35"/>
      <c r="C172" s="35" t="s">
        <v>409</v>
      </c>
      <c r="D172" s="37"/>
      <c r="E172" s="36"/>
      <c r="F172" s="39">
        <f>Source!AL72</f>
        <v>2.34</v>
      </c>
      <c r="G172" s="38" t="str">
        <f>Source!DD72</f>
        <v/>
      </c>
      <c r="H172" s="36">
        <f>Source!AW73</f>
        <v>1</v>
      </c>
      <c r="I172" s="39">
        <f>Source!P72</f>
        <v>18.72</v>
      </c>
      <c r="J172" s="36">
        <f>IF(Source!BC73&lt;&gt; 0, Source!BC73, 1)</f>
        <v>10.26</v>
      </c>
      <c r="K172" s="39">
        <f>Source!P73</f>
        <v>192.07</v>
      </c>
    </row>
    <row r="173" spans="1:29" ht="14.25" x14ac:dyDescent="0.2">
      <c r="A173" s="35"/>
      <c r="B173" s="35"/>
      <c r="C173" s="35" t="s">
        <v>410</v>
      </c>
      <c r="D173" s="37" t="s">
        <v>411</v>
      </c>
      <c r="E173" s="36">
        <f>Source!BZ73</f>
        <v>90</v>
      </c>
      <c r="F173" s="39"/>
      <c r="G173" s="38"/>
      <c r="H173" s="36"/>
      <c r="I173" s="39">
        <f>SUM(Q170:Q172)</f>
        <v>333.1</v>
      </c>
      <c r="J173" s="36">
        <f>Source!AT73</f>
        <v>90</v>
      </c>
      <c r="K173" s="39">
        <f>SUM(R170:R172)</f>
        <v>18317.12</v>
      </c>
    </row>
    <row r="174" spans="1:29" ht="14.25" x14ac:dyDescent="0.2">
      <c r="A174" s="35"/>
      <c r="B174" s="35"/>
      <c r="C174" s="35" t="s">
        <v>412</v>
      </c>
      <c r="D174" s="37" t="s">
        <v>411</v>
      </c>
      <c r="E174" s="36">
        <f>Source!CA73</f>
        <v>46</v>
      </c>
      <c r="F174" s="39"/>
      <c r="G174" s="38"/>
      <c r="H174" s="36"/>
      <c r="I174" s="39">
        <f>SUM(S170:S173)</f>
        <v>170.25</v>
      </c>
      <c r="J174" s="36">
        <f>Source!AU73</f>
        <v>46</v>
      </c>
      <c r="K174" s="39">
        <f>SUM(T170:T173)</f>
        <v>9362.08</v>
      </c>
    </row>
    <row r="175" spans="1:29" ht="14.25" x14ac:dyDescent="0.2">
      <c r="A175" s="42"/>
      <c r="B175" s="42"/>
      <c r="C175" s="42" t="s">
        <v>413</v>
      </c>
      <c r="D175" s="43" t="s">
        <v>414</v>
      </c>
      <c r="E175" s="44">
        <f>Source!AQ72</f>
        <v>3.18</v>
      </c>
      <c r="F175" s="45"/>
      <c r="G175" s="46" t="str">
        <f>Source!DI72</f>
        <v>*1,1</v>
      </c>
      <c r="H175" s="44">
        <f>Source!AV73</f>
        <v>1.0469999999999999</v>
      </c>
      <c r="I175" s="45">
        <f>Source!U72</f>
        <v>29.299248000000002</v>
      </c>
      <c r="J175" s="44"/>
      <c r="K175" s="45"/>
    </row>
    <row r="176" spans="1:29" ht="15" x14ac:dyDescent="0.2">
      <c r="C176" s="47" t="s">
        <v>415</v>
      </c>
      <c r="H176" s="48">
        <f>I171+I172+I173+I174+0-0-0</f>
        <v>892.18000000000006</v>
      </c>
      <c r="I176" s="48"/>
      <c r="J176" s="48">
        <f>K171+K172+K173+K174+0-0-0</f>
        <v>48223.619999999995</v>
      </c>
      <c r="K176" s="48"/>
    </row>
    <row r="177" spans="1:29" ht="15" hidden="1" x14ac:dyDescent="0.2">
      <c r="C177" s="47" t="s">
        <v>416</v>
      </c>
      <c r="H177" s="50">
        <f>0+0</f>
        <v>0</v>
      </c>
      <c r="I177" s="50"/>
      <c r="J177" s="50">
        <f>0+0</f>
        <v>0</v>
      </c>
      <c r="K177" s="50"/>
    </row>
    <row r="178" spans="1:29" ht="15" x14ac:dyDescent="0.2">
      <c r="C178" s="47" t="s">
        <v>417</v>
      </c>
      <c r="H178" s="50">
        <f>I171+I172+I173+I174+0</f>
        <v>892.18000000000006</v>
      </c>
      <c r="I178" s="50"/>
      <c r="J178" s="50">
        <f>K171+K172+K173+K174+0</f>
        <v>48223.619999999995</v>
      </c>
      <c r="K178" s="50"/>
      <c r="O178" s="51">
        <f>I171+I172+I173+I174+0</f>
        <v>892.18000000000006</v>
      </c>
      <c r="P178" s="51">
        <f>K171+K172+K173+K174+0</f>
        <v>48223.619999999995</v>
      </c>
    </row>
    <row r="180" spans="1:29" ht="82.5" x14ac:dyDescent="0.2">
      <c r="A180" s="52">
        <v>24</v>
      </c>
      <c r="B180" s="52" t="str">
        <f>Source!F74</f>
        <v>КА-14</v>
      </c>
      <c r="C180" s="52" t="s">
        <v>431</v>
      </c>
      <c r="D180" s="53" t="str">
        <f>Source!H74</f>
        <v>ШТ</v>
      </c>
      <c r="E180" s="54">
        <f>Source!I74</f>
        <v>8</v>
      </c>
      <c r="F180" s="55">
        <f>Source!AL74</f>
        <v>10912.689999999999</v>
      </c>
      <c r="G180" s="56" t="str">
        <f>Source!DD74</f>
        <v/>
      </c>
      <c r="H180" s="54">
        <f>Source!AW75</f>
        <v>1</v>
      </c>
      <c r="I180" s="55">
        <f>Source!P74</f>
        <v>87301.52</v>
      </c>
      <c r="J180" s="54">
        <f>IF(Source!BC75&lt;&gt; 0, Source!BC75, 1)</f>
        <v>7.66</v>
      </c>
      <c r="K180" s="55">
        <f>Source!P75</f>
        <v>668729.64</v>
      </c>
      <c r="Q180">
        <f>Source!X74</f>
        <v>0</v>
      </c>
      <c r="R180">
        <f>Source!X75</f>
        <v>0</v>
      </c>
      <c r="S180">
        <f>Source!Y74</f>
        <v>0</v>
      </c>
      <c r="T180">
        <f>Source!Y75</f>
        <v>0</v>
      </c>
      <c r="U180">
        <f>ROUND((175/100)*ROUND(Source!R74, 2), 2)</f>
        <v>0</v>
      </c>
      <c r="V180">
        <f>ROUND((0/100)*ROUND(Source!R75, 2), 2)</f>
        <v>0</v>
      </c>
      <c r="AC180">
        <v>5</v>
      </c>
    </row>
    <row r="181" spans="1:29" ht="15" x14ac:dyDescent="0.2">
      <c r="A181" s="57"/>
      <c r="B181" s="57"/>
      <c r="C181" s="58" t="s">
        <v>417</v>
      </c>
      <c r="D181" s="57"/>
      <c r="E181" s="57"/>
      <c r="F181" s="57"/>
      <c r="G181" s="57"/>
      <c r="H181" s="59">
        <f>I180+0</f>
        <v>87301.52</v>
      </c>
      <c r="I181" s="59"/>
      <c r="J181" s="59">
        <f>K180+0</f>
        <v>668729.64</v>
      </c>
      <c r="K181" s="59"/>
      <c r="O181" s="51">
        <f>I180+0</f>
        <v>87301.52</v>
      </c>
      <c r="P181" s="51">
        <f>K180+0</f>
        <v>668729.64</v>
      </c>
    </row>
    <row r="183" spans="1:29" ht="68.25" x14ac:dyDescent="0.2">
      <c r="A183" s="52">
        <v>25</v>
      </c>
      <c r="B183" s="52" t="str">
        <f>Source!F76</f>
        <v>КА-15</v>
      </c>
      <c r="C183" s="52" t="s">
        <v>432</v>
      </c>
      <c r="D183" s="53" t="str">
        <f>Source!H76</f>
        <v>ШТ</v>
      </c>
      <c r="E183" s="54">
        <f>Source!I76</f>
        <v>2</v>
      </c>
      <c r="F183" s="55">
        <f>Source!AL76</f>
        <v>9068.380000000001</v>
      </c>
      <c r="G183" s="56" t="str">
        <f>Source!DD76</f>
        <v/>
      </c>
      <c r="H183" s="54">
        <f>Source!AW77</f>
        <v>1</v>
      </c>
      <c r="I183" s="55">
        <f>Source!P76</f>
        <v>18136.759999999998</v>
      </c>
      <c r="J183" s="54">
        <f>IF(Source!BC77&lt;&gt; 0, Source!BC77, 1)</f>
        <v>7.66</v>
      </c>
      <c r="K183" s="55">
        <f>Source!P77</f>
        <v>138927.57999999999</v>
      </c>
      <c r="Q183">
        <f>Source!X76</f>
        <v>0</v>
      </c>
      <c r="R183">
        <f>Source!X77</f>
        <v>0</v>
      </c>
      <c r="S183">
        <f>Source!Y76</f>
        <v>0</v>
      </c>
      <c r="T183">
        <f>Source!Y77</f>
        <v>0</v>
      </c>
      <c r="U183">
        <f>ROUND((175/100)*ROUND(Source!R76, 2), 2)</f>
        <v>0</v>
      </c>
      <c r="V183">
        <f>ROUND((0/100)*ROUND(Source!R77, 2), 2)</f>
        <v>0</v>
      </c>
      <c r="AC183">
        <v>5</v>
      </c>
    </row>
    <row r="184" spans="1:29" ht="15" x14ac:dyDescent="0.2">
      <c r="A184" s="57"/>
      <c r="B184" s="57"/>
      <c r="C184" s="58" t="s">
        <v>417</v>
      </c>
      <c r="D184" s="57"/>
      <c r="E184" s="57"/>
      <c r="F184" s="57"/>
      <c r="G184" s="57"/>
      <c r="H184" s="59">
        <f>I183+0</f>
        <v>18136.759999999998</v>
      </c>
      <c r="I184" s="59"/>
      <c r="J184" s="59">
        <f>K183+0</f>
        <v>138927.57999999999</v>
      </c>
      <c r="K184" s="59"/>
      <c r="O184" s="51">
        <f>I183+0</f>
        <v>18136.759999999998</v>
      </c>
      <c r="P184" s="51">
        <f>K183+0</f>
        <v>138927.57999999999</v>
      </c>
    </row>
    <row r="187" spans="1:29" ht="15" x14ac:dyDescent="0.25">
      <c r="A187" s="60" t="str">
        <f>CONCATENATE("Итого по разделу: ",IF(Source!G79&lt;&gt;"Новый раздел", Source!G79, ""))</f>
        <v>Итого по разделу: Оборудование</v>
      </c>
      <c r="B187" s="60"/>
      <c r="C187" s="60"/>
      <c r="D187" s="60"/>
      <c r="E187" s="60"/>
      <c r="F187" s="60"/>
      <c r="G187" s="60"/>
      <c r="H187" s="50">
        <f>SUM(O29:O186)</f>
        <v>911665.48</v>
      </c>
      <c r="I187" s="49"/>
      <c r="J187" s="50">
        <f>SUM(P29:P186)</f>
        <v>7971110.4399999995</v>
      </c>
      <c r="K187" s="49"/>
    </row>
    <row r="188" spans="1:29" hidden="1" x14ac:dyDescent="0.2">
      <c r="A188" t="s">
        <v>433</v>
      </c>
      <c r="I188">
        <f>SUM(W29:W187)</f>
        <v>0</v>
      </c>
      <c r="J188">
        <f>SUM(X29:X187)</f>
        <v>0</v>
      </c>
    </row>
    <row r="189" spans="1:29" hidden="1" x14ac:dyDescent="0.2">
      <c r="A189" t="s">
        <v>434</v>
      </c>
      <c r="I189">
        <f>SUM(Y29:Y188)</f>
        <v>0</v>
      </c>
      <c r="J189">
        <f>SUM(Z29:Z188)</f>
        <v>0</v>
      </c>
    </row>
    <row r="191" spans="1:29" ht="16.5" x14ac:dyDescent="0.2">
      <c r="A191" s="34" t="str">
        <f>CONCATENATE("Раздел: ",IF(Source!G109&lt;&gt;"Новый раздел", Source!G109, ""))</f>
        <v>Раздел: Материалы и кабельные изделия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</row>
    <row r="192" spans="1:29" ht="42.75" x14ac:dyDescent="0.2">
      <c r="A192" s="35">
        <v>26</v>
      </c>
      <c r="B192" s="35" t="str">
        <f>Source!F113</f>
        <v>4.11-12-1</v>
      </c>
      <c r="C192" s="35" t="s">
        <v>188</v>
      </c>
      <c r="D192" s="37" t="str">
        <f>Source!H113</f>
        <v>1  ШТ.</v>
      </c>
      <c r="E192" s="36">
        <f>Source!I113</f>
        <v>18</v>
      </c>
      <c r="F192" s="39"/>
      <c r="G192" s="38"/>
      <c r="H192" s="36"/>
      <c r="I192" s="39"/>
      <c r="J192" s="36"/>
      <c r="K192" s="39"/>
      <c r="Q192">
        <f>Source!X113</f>
        <v>218.85</v>
      </c>
      <c r="R192">
        <f>Source!X114</f>
        <v>12034.72</v>
      </c>
      <c r="S192">
        <f>Source!Y113</f>
        <v>111.86</v>
      </c>
      <c r="T192">
        <f>Source!Y114</f>
        <v>6151.08</v>
      </c>
      <c r="U192">
        <f>ROUND((175/100)*ROUND(Source!R113, 2), 2)</f>
        <v>2.91</v>
      </c>
      <c r="V192">
        <f>ROUND((0/100)*ROUND(Source!R114, 2), 2)</f>
        <v>0</v>
      </c>
      <c r="AC192">
        <v>0</v>
      </c>
    </row>
    <row r="193" spans="1:29" x14ac:dyDescent="0.2">
      <c r="C193" s="40" t="str">
        <f>"Объем: "&amp;Source!I113&amp;"=2+"&amp;"8+"&amp;"1+"&amp;"7"</f>
        <v>Объем: 18=2+8+1+7</v>
      </c>
    </row>
    <row r="194" spans="1:29" ht="14.25" x14ac:dyDescent="0.2">
      <c r="A194" s="35"/>
      <c r="B194" s="35"/>
      <c r="C194" s="35" t="s">
        <v>406</v>
      </c>
      <c r="D194" s="37"/>
      <c r="E194" s="36"/>
      <c r="F194" s="39">
        <f>Source!AO113</f>
        <v>11.65</v>
      </c>
      <c r="G194" s="38" t="str">
        <f>Source!DG113</f>
        <v>*1,1</v>
      </c>
      <c r="H194" s="36">
        <f>Source!AV114</f>
        <v>1.0469999999999999</v>
      </c>
      <c r="I194" s="39">
        <f>Source!S113</f>
        <v>241.51</v>
      </c>
      <c r="J194" s="36">
        <f>IF(Source!BA114&lt;&gt; 0, Source!BA114, 1)</f>
        <v>54.99</v>
      </c>
      <c r="K194" s="39">
        <f>Source!S114</f>
        <v>13280.63</v>
      </c>
    </row>
    <row r="195" spans="1:29" ht="14.25" x14ac:dyDescent="0.2">
      <c r="A195" s="35"/>
      <c r="B195" s="35"/>
      <c r="C195" s="35" t="s">
        <v>407</v>
      </c>
      <c r="D195" s="37"/>
      <c r="E195" s="36"/>
      <c r="F195" s="39">
        <f>Source!AM113</f>
        <v>0.5</v>
      </c>
      <c r="G195" s="38" t="str">
        <f>Source!DE113</f>
        <v>*1,1</v>
      </c>
      <c r="H195" s="36">
        <f>Source!AV114</f>
        <v>1.0469999999999999</v>
      </c>
      <c r="I195" s="39">
        <f>Source!Q113</f>
        <v>10.37</v>
      </c>
      <c r="J195" s="36">
        <f>IF(Source!BB114&lt;&gt; 0, Source!BB114, 1)</f>
        <v>16.260000000000002</v>
      </c>
      <c r="K195" s="39">
        <f>Source!Q114</f>
        <v>168.62</v>
      </c>
    </row>
    <row r="196" spans="1:29" ht="14.25" x14ac:dyDescent="0.2">
      <c r="A196" s="35"/>
      <c r="B196" s="35"/>
      <c r="C196" s="35" t="s">
        <v>408</v>
      </c>
      <c r="D196" s="37"/>
      <c r="E196" s="36"/>
      <c r="F196" s="39">
        <f>Source!AN113</f>
        <v>0.08</v>
      </c>
      <c r="G196" s="38" t="str">
        <f>Source!DF113</f>
        <v>*1,1</v>
      </c>
      <c r="H196" s="36">
        <f>Source!AV114</f>
        <v>1.0469999999999999</v>
      </c>
      <c r="I196" s="41">
        <f>Source!R113</f>
        <v>1.66</v>
      </c>
      <c r="J196" s="36">
        <f>IF(Source!BS114&lt;&gt; 0, Source!BS114, 1)</f>
        <v>54.99</v>
      </c>
      <c r="K196" s="41">
        <f>Source!R114</f>
        <v>91.28</v>
      </c>
    </row>
    <row r="197" spans="1:29" ht="14.25" x14ac:dyDescent="0.2">
      <c r="A197" s="35"/>
      <c r="B197" s="35"/>
      <c r="C197" s="35" t="s">
        <v>410</v>
      </c>
      <c r="D197" s="37" t="s">
        <v>411</v>
      </c>
      <c r="E197" s="36">
        <f>Source!BZ114</f>
        <v>90</v>
      </c>
      <c r="F197" s="39"/>
      <c r="G197" s="38"/>
      <c r="H197" s="36"/>
      <c r="I197" s="39">
        <f>SUM(Q192:Q196)</f>
        <v>218.85</v>
      </c>
      <c r="J197" s="36">
        <f>Source!AT114</f>
        <v>90</v>
      </c>
      <c r="K197" s="39">
        <f>SUM(R192:R196)</f>
        <v>12034.72</v>
      </c>
    </row>
    <row r="198" spans="1:29" ht="14.25" x14ac:dyDescent="0.2">
      <c r="A198" s="35"/>
      <c r="B198" s="35"/>
      <c r="C198" s="35" t="s">
        <v>412</v>
      </c>
      <c r="D198" s="37" t="s">
        <v>411</v>
      </c>
      <c r="E198" s="36">
        <f>Source!CA114</f>
        <v>46</v>
      </c>
      <c r="F198" s="39"/>
      <c r="G198" s="38"/>
      <c r="H198" s="36"/>
      <c r="I198" s="39">
        <f>SUM(S192:S197)</f>
        <v>111.86</v>
      </c>
      <c r="J198" s="36">
        <f>Source!AU114</f>
        <v>46</v>
      </c>
      <c r="K198" s="39">
        <f>SUM(T192:T197)</f>
        <v>6151.08</v>
      </c>
    </row>
    <row r="199" spans="1:29" ht="14.25" x14ac:dyDescent="0.2">
      <c r="A199" s="42"/>
      <c r="B199" s="42"/>
      <c r="C199" s="42" t="s">
        <v>413</v>
      </c>
      <c r="D199" s="43" t="s">
        <v>414</v>
      </c>
      <c r="E199" s="44">
        <f>Source!AQ113</f>
        <v>1.03</v>
      </c>
      <c r="F199" s="45"/>
      <c r="G199" s="46" t="str">
        <f>Source!DI113</f>
        <v>*1,1</v>
      </c>
      <c r="H199" s="44">
        <f>Source!AV114</f>
        <v>1.0469999999999999</v>
      </c>
      <c r="I199" s="45">
        <f>Source!U113</f>
        <v>21.352518000000003</v>
      </c>
      <c r="J199" s="44"/>
      <c r="K199" s="45"/>
    </row>
    <row r="200" spans="1:29" ht="15" x14ac:dyDescent="0.2">
      <c r="C200" s="47" t="s">
        <v>415</v>
      </c>
      <c r="H200" s="48">
        <f>I194+I195+I197+I198+0-0-0</f>
        <v>582.59</v>
      </c>
      <c r="I200" s="48"/>
      <c r="J200" s="48">
        <f>K194+K195+K197+K198+0-0-0</f>
        <v>31635.050000000003</v>
      </c>
      <c r="K200" s="48"/>
    </row>
    <row r="201" spans="1:29" ht="15" hidden="1" x14ac:dyDescent="0.2">
      <c r="C201" s="47" t="s">
        <v>416</v>
      </c>
      <c r="H201" s="50">
        <f>0+0</f>
        <v>0</v>
      </c>
      <c r="I201" s="50"/>
      <c r="J201" s="50">
        <f>0+0</f>
        <v>0</v>
      </c>
      <c r="K201" s="50"/>
    </row>
    <row r="202" spans="1:29" ht="15" x14ac:dyDescent="0.2">
      <c r="C202" s="47" t="s">
        <v>417</v>
      </c>
      <c r="H202" s="50">
        <f>I194+I195+I197+I198+0</f>
        <v>582.59</v>
      </c>
      <c r="I202" s="50"/>
      <c r="J202" s="50">
        <f>K194+K195+K197+K198+0</f>
        <v>31635.050000000003</v>
      </c>
      <c r="K202" s="50"/>
      <c r="O202" s="51">
        <f>I194+I195+I197+I198+0</f>
        <v>582.59</v>
      </c>
      <c r="P202" s="51">
        <f>K194+K195+K197+K198+0</f>
        <v>31635.050000000003</v>
      </c>
    </row>
    <row r="204" spans="1:29" ht="82.5" x14ac:dyDescent="0.2">
      <c r="A204" s="52">
        <v>27</v>
      </c>
      <c r="B204" s="52" t="str">
        <f>Source!F115</f>
        <v>КА-16</v>
      </c>
      <c r="C204" s="52" t="s">
        <v>435</v>
      </c>
      <c r="D204" s="53" t="str">
        <f>Source!H115</f>
        <v>ШТ</v>
      </c>
      <c r="E204" s="54">
        <f>Source!I115</f>
        <v>2</v>
      </c>
      <c r="F204" s="55">
        <f>Source!AL115</f>
        <v>3245.02</v>
      </c>
      <c r="G204" s="56" t="str">
        <f>Source!DD115</f>
        <v/>
      </c>
      <c r="H204" s="54">
        <f>Source!AW116</f>
        <v>1</v>
      </c>
      <c r="I204" s="55">
        <f>Source!P115</f>
        <v>6490.04</v>
      </c>
      <c r="J204" s="54">
        <f>IF(Source!BC116&lt;&gt; 0, Source!BC116, 1)</f>
        <v>7.66</v>
      </c>
      <c r="K204" s="55">
        <f>Source!P116</f>
        <v>49713.71</v>
      </c>
      <c r="Q204">
        <f>Source!X115</f>
        <v>0</v>
      </c>
      <c r="R204">
        <f>Source!X116</f>
        <v>0</v>
      </c>
      <c r="S204">
        <f>Source!Y115</f>
        <v>0</v>
      </c>
      <c r="T204">
        <f>Source!Y116</f>
        <v>0</v>
      </c>
      <c r="U204">
        <f>ROUND((175/100)*ROUND(Source!R115, 2), 2)</f>
        <v>0</v>
      </c>
      <c r="V204">
        <f>ROUND((0/100)*ROUND(Source!R116, 2), 2)</f>
        <v>0</v>
      </c>
      <c r="AC204">
        <v>5</v>
      </c>
    </row>
    <row r="205" spans="1:29" ht="15" x14ac:dyDescent="0.2">
      <c r="A205" s="57"/>
      <c r="B205" s="57"/>
      <c r="C205" s="58" t="s">
        <v>417</v>
      </c>
      <c r="D205" s="57"/>
      <c r="E205" s="57"/>
      <c r="F205" s="57"/>
      <c r="G205" s="57"/>
      <c r="H205" s="59">
        <f>I204+0</f>
        <v>6490.04</v>
      </c>
      <c r="I205" s="59"/>
      <c r="J205" s="59">
        <f>K204+0</f>
        <v>49713.71</v>
      </c>
      <c r="K205" s="59"/>
      <c r="O205" s="51">
        <f>I204+0</f>
        <v>6490.04</v>
      </c>
      <c r="P205" s="51">
        <f>K204+0</f>
        <v>49713.71</v>
      </c>
    </row>
    <row r="207" spans="1:29" ht="82.5" x14ac:dyDescent="0.2">
      <c r="A207" s="52">
        <v>28</v>
      </c>
      <c r="B207" s="52" t="str">
        <f>Source!F117</f>
        <v>КА-17</v>
      </c>
      <c r="C207" s="52" t="s">
        <v>436</v>
      </c>
      <c r="D207" s="53" t="str">
        <f>Source!H117</f>
        <v>ШТ</v>
      </c>
      <c r="E207" s="54">
        <f>Source!I117</f>
        <v>8</v>
      </c>
      <c r="F207" s="55">
        <f>Source!AL117</f>
        <v>1714.84</v>
      </c>
      <c r="G207" s="56" t="str">
        <f>Source!DD117</f>
        <v/>
      </c>
      <c r="H207" s="54">
        <f>Source!AW118</f>
        <v>1</v>
      </c>
      <c r="I207" s="55">
        <f>Source!P117</f>
        <v>13718.72</v>
      </c>
      <c r="J207" s="54">
        <f>IF(Source!BC118&lt;&gt; 0, Source!BC118, 1)</f>
        <v>7.66</v>
      </c>
      <c r="K207" s="55">
        <f>Source!P118</f>
        <v>105085.4</v>
      </c>
      <c r="Q207">
        <f>Source!X117</f>
        <v>0</v>
      </c>
      <c r="R207">
        <f>Source!X118</f>
        <v>0</v>
      </c>
      <c r="S207">
        <f>Source!Y117</f>
        <v>0</v>
      </c>
      <c r="T207">
        <f>Source!Y118</f>
        <v>0</v>
      </c>
      <c r="U207">
        <f>ROUND((175/100)*ROUND(Source!R117, 2), 2)</f>
        <v>0</v>
      </c>
      <c r="V207">
        <f>ROUND((0/100)*ROUND(Source!R118, 2), 2)</f>
        <v>0</v>
      </c>
      <c r="AC207">
        <v>5</v>
      </c>
    </row>
    <row r="208" spans="1:29" ht="15" x14ac:dyDescent="0.2">
      <c r="A208" s="57"/>
      <c r="B208" s="57"/>
      <c r="C208" s="58" t="s">
        <v>417</v>
      </c>
      <c r="D208" s="57"/>
      <c r="E208" s="57"/>
      <c r="F208" s="57"/>
      <c r="G208" s="57"/>
      <c r="H208" s="59">
        <f>I207+0</f>
        <v>13718.72</v>
      </c>
      <c r="I208" s="59"/>
      <c r="J208" s="59">
        <f>K207+0</f>
        <v>105085.4</v>
      </c>
      <c r="K208" s="59"/>
      <c r="O208" s="51">
        <f>I207+0</f>
        <v>13718.72</v>
      </c>
      <c r="P208" s="51">
        <f>K207+0</f>
        <v>105085.4</v>
      </c>
    </row>
    <row r="210" spans="1:29" ht="82.5" x14ac:dyDescent="0.2">
      <c r="A210" s="52">
        <v>29</v>
      </c>
      <c r="B210" s="52" t="str">
        <f>Source!F119</f>
        <v>КА-18</v>
      </c>
      <c r="C210" s="52" t="s">
        <v>437</v>
      </c>
      <c r="D210" s="53" t="str">
        <f>Source!H119</f>
        <v>ШТ</v>
      </c>
      <c r="E210" s="54">
        <f>Source!I119</f>
        <v>1</v>
      </c>
      <c r="F210" s="55">
        <f>Source!AL119</f>
        <v>1342.17</v>
      </c>
      <c r="G210" s="56" t="str">
        <f>Source!DD119</f>
        <v/>
      </c>
      <c r="H210" s="54">
        <f>Source!AW120</f>
        <v>1</v>
      </c>
      <c r="I210" s="55">
        <f>Source!P119</f>
        <v>1342.17</v>
      </c>
      <c r="J210" s="54">
        <f>IF(Source!BC120&lt;&gt; 0, Source!BC120, 1)</f>
        <v>7.66</v>
      </c>
      <c r="K210" s="55">
        <f>Source!P120</f>
        <v>10281.02</v>
      </c>
      <c r="Q210">
        <f>Source!X119</f>
        <v>0</v>
      </c>
      <c r="R210">
        <f>Source!X120</f>
        <v>0</v>
      </c>
      <c r="S210">
        <f>Source!Y119</f>
        <v>0</v>
      </c>
      <c r="T210">
        <f>Source!Y120</f>
        <v>0</v>
      </c>
      <c r="U210">
        <f>ROUND((175/100)*ROUND(Source!R119, 2), 2)</f>
        <v>0</v>
      </c>
      <c r="V210">
        <f>ROUND((0/100)*ROUND(Source!R120, 2), 2)</f>
        <v>0</v>
      </c>
      <c r="AC210">
        <v>5</v>
      </c>
    </row>
    <row r="211" spans="1:29" ht="15" x14ac:dyDescent="0.2">
      <c r="A211" s="57"/>
      <c r="B211" s="57"/>
      <c r="C211" s="58" t="s">
        <v>417</v>
      </c>
      <c r="D211" s="57"/>
      <c r="E211" s="57"/>
      <c r="F211" s="57"/>
      <c r="G211" s="57"/>
      <c r="H211" s="59">
        <f>I210+0</f>
        <v>1342.17</v>
      </c>
      <c r="I211" s="59"/>
      <c r="J211" s="59">
        <f>K210+0</f>
        <v>10281.02</v>
      </c>
      <c r="K211" s="59"/>
      <c r="O211" s="51">
        <f>I210+0</f>
        <v>1342.17</v>
      </c>
      <c r="P211" s="51">
        <f>K210+0</f>
        <v>10281.02</v>
      </c>
    </row>
    <row r="213" spans="1:29" ht="82.5" x14ac:dyDescent="0.2">
      <c r="A213" s="52">
        <v>30</v>
      </c>
      <c r="B213" s="52" t="str">
        <f>Source!F121</f>
        <v>КА-19</v>
      </c>
      <c r="C213" s="52" t="s">
        <v>438</v>
      </c>
      <c r="D213" s="53" t="str">
        <f>Source!H121</f>
        <v>ШТ</v>
      </c>
      <c r="E213" s="54">
        <f>Source!I121</f>
        <v>7</v>
      </c>
      <c r="F213" s="55">
        <f>Source!AL121</f>
        <v>493.69</v>
      </c>
      <c r="G213" s="56" t="str">
        <f>Source!DD121</f>
        <v/>
      </c>
      <c r="H213" s="54">
        <f>Source!AW122</f>
        <v>1</v>
      </c>
      <c r="I213" s="55">
        <f>Source!P121</f>
        <v>3455.83</v>
      </c>
      <c r="J213" s="54">
        <f>IF(Source!BC122&lt;&gt; 0, Source!BC122, 1)</f>
        <v>7.66</v>
      </c>
      <c r="K213" s="55">
        <f>Source!P122</f>
        <v>26471.66</v>
      </c>
      <c r="Q213">
        <f>Source!X121</f>
        <v>0</v>
      </c>
      <c r="R213">
        <f>Source!X122</f>
        <v>0</v>
      </c>
      <c r="S213">
        <f>Source!Y121</f>
        <v>0</v>
      </c>
      <c r="T213">
        <f>Source!Y122</f>
        <v>0</v>
      </c>
      <c r="U213">
        <f>ROUND((175/100)*ROUND(Source!R121, 2), 2)</f>
        <v>0</v>
      </c>
      <c r="V213">
        <f>ROUND((0/100)*ROUND(Source!R122, 2), 2)</f>
        <v>0</v>
      </c>
      <c r="AC213">
        <v>5</v>
      </c>
    </row>
    <row r="214" spans="1:29" ht="15" x14ac:dyDescent="0.2">
      <c r="A214" s="57"/>
      <c r="B214" s="57"/>
      <c r="C214" s="58" t="s">
        <v>417</v>
      </c>
      <c r="D214" s="57"/>
      <c r="E214" s="57"/>
      <c r="F214" s="57"/>
      <c r="G214" s="57"/>
      <c r="H214" s="59">
        <f>I213+0</f>
        <v>3455.83</v>
      </c>
      <c r="I214" s="59"/>
      <c r="J214" s="59">
        <f>K213+0</f>
        <v>26471.66</v>
      </c>
      <c r="K214" s="59"/>
      <c r="O214" s="51">
        <f>I213+0</f>
        <v>3455.83</v>
      </c>
      <c r="P214" s="51">
        <f>K213+0</f>
        <v>26471.66</v>
      </c>
    </row>
    <row r="217" spans="1:29" ht="15" x14ac:dyDescent="0.25">
      <c r="A217" s="60" t="str">
        <f>CONCATENATE("Итого по разделу: ",IF(Source!G124&lt;&gt;"Новый раздел", Source!G124, ""))</f>
        <v>Итого по разделу: Материалы и кабельные изделия</v>
      </c>
      <c r="B217" s="60"/>
      <c r="C217" s="60"/>
      <c r="D217" s="60"/>
      <c r="E217" s="60"/>
      <c r="F217" s="60"/>
      <c r="G217" s="60"/>
      <c r="H217" s="50">
        <f>SUM(O191:O216)</f>
        <v>25589.35</v>
      </c>
      <c r="I217" s="49"/>
      <c r="J217" s="50">
        <f>SUM(P191:P216)</f>
        <v>223186.84</v>
      </c>
      <c r="K217" s="49"/>
    </row>
    <row r="218" spans="1:29" hidden="1" x14ac:dyDescent="0.2">
      <c r="A218" t="s">
        <v>433</v>
      </c>
      <c r="I218">
        <f>SUM(W191:W217)</f>
        <v>0</v>
      </c>
      <c r="J218">
        <f>SUM(X191:X217)</f>
        <v>0</v>
      </c>
    </row>
    <row r="219" spans="1:29" hidden="1" x14ac:dyDescent="0.2">
      <c r="A219" t="s">
        <v>434</v>
      </c>
      <c r="I219">
        <f>SUM(Y191:Y218)</f>
        <v>0</v>
      </c>
      <c r="J219">
        <f>SUM(Z191:Z218)</f>
        <v>0</v>
      </c>
    </row>
    <row r="221" spans="1:29" ht="16.5" x14ac:dyDescent="0.2">
      <c r="A221" s="34" t="str">
        <f>CONCATENATE("Раздел: ",IF(Source!G154&lt;&gt;"Новый раздел", Source!G154, ""))</f>
        <v>Раздел: Кабельные изделия</v>
      </c>
      <c r="B221" s="34"/>
      <c r="C221" s="34"/>
      <c r="D221" s="34"/>
      <c r="E221" s="34"/>
      <c r="F221" s="34"/>
      <c r="G221" s="34"/>
      <c r="H221" s="34"/>
      <c r="I221" s="34"/>
      <c r="J221" s="34"/>
      <c r="K221" s="34"/>
    </row>
    <row r="222" spans="1:29" ht="71.25" x14ac:dyDescent="0.2">
      <c r="A222" s="35">
        <v>31</v>
      </c>
      <c r="B222" s="35" t="str">
        <f>Source!F158</f>
        <v>4.8-288-2</v>
      </c>
      <c r="C222" s="35" t="s">
        <v>211</v>
      </c>
      <c r="D222" s="37" t="str">
        <f>Source!H158</f>
        <v>100 м</v>
      </c>
      <c r="E222" s="36">
        <f>Source!I158</f>
        <v>30</v>
      </c>
      <c r="F222" s="39"/>
      <c r="G222" s="38"/>
      <c r="H222" s="36"/>
      <c r="I222" s="39"/>
      <c r="J222" s="36"/>
      <c r="K222" s="39"/>
      <c r="Q222">
        <f>Source!X158</f>
        <v>6634.87</v>
      </c>
      <c r="R222">
        <f>Source!X159</f>
        <v>364851.39</v>
      </c>
      <c r="S222">
        <f>Source!Y158</f>
        <v>3488.44</v>
      </c>
      <c r="T222">
        <f>Source!Y159</f>
        <v>191829.08</v>
      </c>
      <c r="U222">
        <f>ROUND((175/100)*ROUND(Source!R158, 2), 2)</f>
        <v>345.26</v>
      </c>
      <c r="V222">
        <f>ROUND((0/100)*ROUND(Source!R159, 2), 2)</f>
        <v>0</v>
      </c>
      <c r="AC222">
        <v>0</v>
      </c>
    </row>
    <row r="223" spans="1:29" x14ac:dyDescent="0.2">
      <c r="C223" s="40" t="str">
        <f>"Объем: "&amp;Source!I158&amp;"=3000/"&amp;"100"</f>
        <v>Объем: 30=3000/100</v>
      </c>
    </row>
    <row r="224" spans="1:29" ht="14.25" x14ac:dyDescent="0.2">
      <c r="A224" s="35"/>
      <c r="B224" s="35"/>
      <c r="C224" s="35" t="s">
        <v>406</v>
      </c>
      <c r="D224" s="37"/>
      <c r="E224" s="36"/>
      <c r="F224" s="39">
        <f>Source!AO158</f>
        <v>192.26</v>
      </c>
      <c r="G224" s="38" t="str">
        <f>Source!DG158</f>
        <v>*1,1</v>
      </c>
      <c r="H224" s="36">
        <f>Source!AV159</f>
        <v>1.0469999999999999</v>
      </c>
      <c r="I224" s="39">
        <f>Source!S158</f>
        <v>6642.78</v>
      </c>
      <c r="J224" s="36">
        <f>IF(Source!BA159&lt;&gt; 0, Source!BA159, 1)</f>
        <v>54.99</v>
      </c>
      <c r="K224" s="39">
        <f>Source!S159</f>
        <v>365286.47</v>
      </c>
    </row>
    <row r="225" spans="1:29" ht="14.25" x14ac:dyDescent="0.2">
      <c r="A225" s="35"/>
      <c r="B225" s="35"/>
      <c r="C225" s="35" t="s">
        <v>407</v>
      </c>
      <c r="D225" s="37"/>
      <c r="E225" s="36"/>
      <c r="F225" s="39">
        <f>Source!AM158</f>
        <v>32.869999999999997</v>
      </c>
      <c r="G225" s="38" t="str">
        <f>Source!DE158</f>
        <v>*1,1</v>
      </c>
      <c r="H225" s="36">
        <f>Source!AV159</f>
        <v>1.0469999999999999</v>
      </c>
      <c r="I225" s="39">
        <f>Source!Q158</f>
        <v>1135.69</v>
      </c>
      <c r="J225" s="36">
        <f>IF(Source!BB159&lt;&gt; 0, Source!BB159, 1)</f>
        <v>17.850000000000001</v>
      </c>
      <c r="K225" s="39">
        <f>Source!Q159</f>
        <v>20272.07</v>
      </c>
    </row>
    <row r="226" spans="1:29" ht="14.25" x14ac:dyDescent="0.2">
      <c r="A226" s="35"/>
      <c r="B226" s="35"/>
      <c r="C226" s="35" t="s">
        <v>408</v>
      </c>
      <c r="D226" s="37"/>
      <c r="E226" s="36"/>
      <c r="F226" s="39">
        <f>Source!AN158</f>
        <v>5.71</v>
      </c>
      <c r="G226" s="38" t="str">
        <f>Source!DF158</f>
        <v>*1,1</v>
      </c>
      <c r="H226" s="36">
        <f>Source!AV159</f>
        <v>1.0469999999999999</v>
      </c>
      <c r="I226" s="41">
        <f>Source!R158</f>
        <v>197.29</v>
      </c>
      <c r="J226" s="36">
        <f>IF(Source!BS159&lt;&gt; 0, Source!BS159, 1)</f>
        <v>54.99</v>
      </c>
      <c r="K226" s="41">
        <f>Source!R159</f>
        <v>10848.98</v>
      </c>
    </row>
    <row r="227" spans="1:29" ht="14.25" x14ac:dyDescent="0.2">
      <c r="A227" s="35"/>
      <c r="B227" s="35"/>
      <c r="C227" s="35" t="s">
        <v>409</v>
      </c>
      <c r="D227" s="37"/>
      <c r="E227" s="36"/>
      <c r="F227" s="39">
        <f>Source!AL158</f>
        <v>314.29000000000002</v>
      </c>
      <c r="G227" s="38" t="str">
        <f>Source!DD158</f>
        <v/>
      </c>
      <c r="H227" s="36">
        <f>Source!AW159</f>
        <v>1</v>
      </c>
      <c r="I227" s="39">
        <f>Source!P158</f>
        <v>9428.7000000000007</v>
      </c>
      <c r="J227" s="36">
        <f>IF(Source!BC159&lt;&gt; 0, Source!BC159, 1)</f>
        <v>9.89</v>
      </c>
      <c r="K227" s="39">
        <f>Source!P159</f>
        <v>93249.84</v>
      </c>
    </row>
    <row r="228" spans="1:29" ht="42.75" x14ac:dyDescent="0.2">
      <c r="A228" s="35" t="s">
        <v>216</v>
      </c>
      <c r="B228" s="35" t="str">
        <f>Source!F160</f>
        <v>1.12-5-372</v>
      </c>
      <c r="C228" s="35" t="s">
        <v>218</v>
      </c>
      <c r="D228" s="37" t="str">
        <f>Source!H160</f>
        <v>м</v>
      </c>
      <c r="E228" s="36">
        <f>Source!I160</f>
        <v>3060</v>
      </c>
      <c r="F228" s="39">
        <f>Source!AK160</f>
        <v>3.45</v>
      </c>
      <c r="G228" s="61" t="s">
        <v>3</v>
      </c>
      <c r="H228" s="36">
        <f>Source!AW161</f>
        <v>1</v>
      </c>
      <c r="I228" s="39">
        <f>Source!O160</f>
        <v>10557</v>
      </c>
      <c r="J228" s="36">
        <f>IF(Source!BC161&lt;&gt; 0, Source!BC161, 1)</f>
        <v>3.93</v>
      </c>
      <c r="K228" s="39">
        <f>Source!O161</f>
        <v>41489.01</v>
      </c>
      <c r="Q228">
        <f>Source!X160</f>
        <v>0</v>
      </c>
      <c r="R228">
        <f>Source!X161</f>
        <v>0</v>
      </c>
      <c r="S228">
        <f>Source!Y160</f>
        <v>0</v>
      </c>
      <c r="T228">
        <f>Source!Y161</f>
        <v>0</v>
      </c>
      <c r="U228">
        <f>ROUND((175/100)*ROUND(Source!R160, 2), 2)</f>
        <v>0</v>
      </c>
      <c r="V228">
        <f>ROUND((0/100)*ROUND(Source!R161, 2), 2)</f>
        <v>0</v>
      </c>
      <c r="AC228">
        <v>3</v>
      </c>
    </row>
    <row r="229" spans="1:29" ht="14.25" x14ac:dyDescent="0.2">
      <c r="A229" s="35"/>
      <c r="B229" s="35"/>
      <c r="C229" s="35" t="s">
        <v>410</v>
      </c>
      <c r="D229" s="37" t="s">
        <v>411</v>
      </c>
      <c r="E229" s="36">
        <f>Source!BZ159</f>
        <v>97</v>
      </c>
      <c r="F229" s="39"/>
      <c r="G229" s="38"/>
      <c r="H229" s="36"/>
      <c r="I229" s="39">
        <f>SUM(Q222:Q228)</f>
        <v>6634.87</v>
      </c>
      <c r="J229" s="36">
        <f>Source!AT159</f>
        <v>97</v>
      </c>
      <c r="K229" s="39">
        <f>SUM(R222:R228)</f>
        <v>364851.39</v>
      </c>
    </row>
    <row r="230" spans="1:29" ht="14.25" x14ac:dyDescent="0.2">
      <c r="A230" s="35"/>
      <c r="B230" s="35"/>
      <c r="C230" s="35" t="s">
        <v>412</v>
      </c>
      <c r="D230" s="37" t="s">
        <v>411</v>
      </c>
      <c r="E230" s="36">
        <f>Source!CA159</f>
        <v>51</v>
      </c>
      <c r="F230" s="39"/>
      <c r="G230" s="38"/>
      <c r="H230" s="36"/>
      <c r="I230" s="39">
        <f>SUM(S222:S229)</f>
        <v>3488.44</v>
      </c>
      <c r="J230" s="36">
        <f>Source!AU159</f>
        <v>51</v>
      </c>
      <c r="K230" s="39">
        <f>SUM(T222:T229)</f>
        <v>191829.08</v>
      </c>
    </row>
    <row r="231" spans="1:29" ht="14.25" x14ac:dyDescent="0.2">
      <c r="A231" s="42"/>
      <c r="B231" s="42"/>
      <c r="C231" s="42" t="s">
        <v>413</v>
      </c>
      <c r="D231" s="43" t="s">
        <v>414</v>
      </c>
      <c r="E231" s="44">
        <f>Source!AQ158</f>
        <v>15</v>
      </c>
      <c r="F231" s="45"/>
      <c r="G231" s="46" t="str">
        <f>Source!DI158</f>
        <v>*1,1</v>
      </c>
      <c r="H231" s="44">
        <f>Source!AV159</f>
        <v>1.0469999999999999</v>
      </c>
      <c r="I231" s="45">
        <f>Source!U158</f>
        <v>518.26499999999987</v>
      </c>
      <c r="J231" s="44"/>
      <c r="K231" s="45"/>
    </row>
    <row r="232" spans="1:29" ht="15" x14ac:dyDescent="0.2">
      <c r="C232" s="47" t="s">
        <v>415</v>
      </c>
      <c r="H232" s="48">
        <f>I224+I225+I227+I229+I230+SUM(I228:I228)-SUMIF(AC228:AC228, 5, I228:I228)-SUMIF(AC228:AC228, 6, I228:I228)</f>
        <v>37887.479999999996</v>
      </c>
      <c r="I232" s="48"/>
      <c r="J232" s="48">
        <f>K224+K225+K227+K229+K230+SUM(K228:K228)-SUMIF(AC228:AC228, 5, K228:K228)-SUMIF(AC228:AC228, 6, K228:K228)</f>
        <v>1076977.8599999999</v>
      </c>
      <c r="K232" s="48"/>
    </row>
    <row r="233" spans="1:29" ht="15" hidden="1" x14ac:dyDescent="0.2">
      <c r="C233" s="47" t="s">
        <v>416</v>
      </c>
      <c r="H233" s="50">
        <f>SUMIF(AC228:AC228, 5, I228:I228)+SUMIF(AC228:AC228, 6, I228:I228)</f>
        <v>0</v>
      </c>
      <c r="I233" s="50"/>
      <c r="J233" s="50">
        <f>SUMIF(AC228:AC228, 5, K228:K228)+SUMIF(AC228:AC228, 6, K228:K228)</f>
        <v>0</v>
      </c>
      <c r="K233" s="50"/>
    </row>
    <row r="234" spans="1:29" ht="15" x14ac:dyDescent="0.2">
      <c r="C234" s="47" t="s">
        <v>417</v>
      </c>
      <c r="H234" s="50">
        <f>I224+I225+I227+I229+I230+SUM(I228:I228)</f>
        <v>37887.479999999996</v>
      </c>
      <c r="I234" s="50"/>
      <c r="J234" s="50">
        <f>K224+K225+K227+K229+K230+SUM(K228:K228)</f>
        <v>1076977.8599999999</v>
      </c>
      <c r="K234" s="50"/>
      <c r="O234" s="51">
        <f>I224+I225+I227+I229+I230+SUM(I228:I228)</f>
        <v>37887.479999999996</v>
      </c>
      <c r="P234" s="51">
        <f>K224+K225+K227+K229+K230+SUM(K228:K228)</f>
        <v>1076977.8599999999</v>
      </c>
    </row>
    <row r="236" spans="1:29" ht="71.25" x14ac:dyDescent="0.2">
      <c r="A236" s="35">
        <v>32</v>
      </c>
      <c r="B236" s="35" t="str">
        <f>Source!F162</f>
        <v>4.8-175-2</v>
      </c>
      <c r="C236" s="35" t="s">
        <v>223</v>
      </c>
      <c r="D236" s="37" t="str">
        <f>Source!H162</f>
        <v>100 м</v>
      </c>
      <c r="E236" s="36">
        <f>Source!I162</f>
        <v>30</v>
      </c>
      <c r="F236" s="39"/>
      <c r="G236" s="38"/>
      <c r="H236" s="36"/>
      <c r="I236" s="39"/>
      <c r="J236" s="36"/>
      <c r="K236" s="39"/>
      <c r="Q236">
        <f>Source!X162</f>
        <v>2241.79</v>
      </c>
      <c r="R236">
        <f>Source!X163</f>
        <v>123275.84</v>
      </c>
      <c r="S236">
        <f>Source!Y162</f>
        <v>1178.67</v>
      </c>
      <c r="T236">
        <f>Source!Y163</f>
        <v>64815.13</v>
      </c>
      <c r="U236">
        <f>ROUND((175/100)*ROUND(Source!R162, 2), 2)</f>
        <v>35.68</v>
      </c>
      <c r="V236">
        <f>ROUND((0/100)*ROUND(Source!R163, 2), 2)</f>
        <v>0</v>
      </c>
      <c r="AC236">
        <v>0</v>
      </c>
    </row>
    <row r="237" spans="1:29" x14ac:dyDescent="0.2">
      <c r="C237" s="40" t="str">
        <f>"Объем: "&amp;Source!I162&amp;"=3000/"&amp;"100"</f>
        <v>Объем: 30=3000/100</v>
      </c>
    </row>
    <row r="238" spans="1:29" ht="14.25" x14ac:dyDescent="0.2">
      <c r="A238" s="35"/>
      <c r="B238" s="35"/>
      <c r="C238" s="35" t="s">
        <v>406</v>
      </c>
      <c r="D238" s="37"/>
      <c r="E238" s="36"/>
      <c r="F238" s="39">
        <f>Source!AO162</f>
        <v>66.3</v>
      </c>
      <c r="G238" s="38" t="str">
        <f>Source!DG162</f>
        <v>*1,1</v>
      </c>
      <c r="H238" s="36">
        <f>Source!AV163</f>
        <v>1.0469999999999999</v>
      </c>
      <c r="I238" s="39">
        <f>Source!S162</f>
        <v>2290.73</v>
      </c>
      <c r="J238" s="36">
        <f>IF(Source!BA163&lt;&gt; 0, Source!BA163, 1)</f>
        <v>54.99</v>
      </c>
      <c r="K238" s="39">
        <f>Source!S163</f>
        <v>125967.24</v>
      </c>
    </row>
    <row r="239" spans="1:29" ht="14.25" x14ac:dyDescent="0.2">
      <c r="A239" s="35"/>
      <c r="B239" s="35"/>
      <c r="C239" s="35" t="s">
        <v>407</v>
      </c>
      <c r="D239" s="37"/>
      <c r="E239" s="36"/>
      <c r="F239" s="39">
        <f>Source!AM162</f>
        <v>5.25</v>
      </c>
      <c r="G239" s="38" t="str">
        <f>Source!DE162</f>
        <v>*1,1</v>
      </c>
      <c r="H239" s="36">
        <f>Source!AV163</f>
        <v>1.0469999999999999</v>
      </c>
      <c r="I239" s="39">
        <f>Source!Q162</f>
        <v>181.39</v>
      </c>
      <c r="J239" s="36">
        <f>IF(Source!BB163&lt;&gt; 0, Source!BB163, 1)</f>
        <v>14.54</v>
      </c>
      <c r="K239" s="39">
        <f>Source!Q163</f>
        <v>2637.41</v>
      </c>
    </row>
    <row r="240" spans="1:29" ht="14.25" x14ac:dyDescent="0.2">
      <c r="A240" s="35"/>
      <c r="B240" s="35"/>
      <c r="C240" s="35" t="s">
        <v>408</v>
      </c>
      <c r="D240" s="37"/>
      <c r="E240" s="36"/>
      <c r="F240" s="39">
        <f>Source!AN162</f>
        <v>0.59</v>
      </c>
      <c r="G240" s="38" t="str">
        <f>Source!DF162</f>
        <v>*1,1</v>
      </c>
      <c r="H240" s="36">
        <f>Source!AV163</f>
        <v>1.0469999999999999</v>
      </c>
      <c r="I240" s="41">
        <f>Source!R162</f>
        <v>20.39</v>
      </c>
      <c r="J240" s="36">
        <f>IF(Source!BS163&lt;&gt; 0, Source!BS163, 1)</f>
        <v>54.99</v>
      </c>
      <c r="K240" s="41">
        <f>Source!R163</f>
        <v>1121.25</v>
      </c>
    </row>
    <row r="241" spans="1:29" ht="14.25" x14ac:dyDescent="0.2">
      <c r="A241" s="35"/>
      <c r="B241" s="35"/>
      <c r="C241" s="35" t="s">
        <v>409</v>
      </c>
      <c r="D241" s="37"/>
      <c r="E241" s="36"/>
      <c r="F241" s="39">
        <f>Source!AL162</f>
        <v>61.98</v>
      </c>
      <c r="G241" s="38" t="str">
        <f>Source!DD162</f>
        <v/>
      </c>
      <c r="H241" s="36">
        <f>Source!AW163</f>
        <v>1</v>
      </c>
      <c r="I241" s="39">
        <f>Source!P162</f>
        <v>1859.4</v>
      </c>
      <c r="J241" s="36">
        <f>IF(Source!BC163&lt;&gt; 0, Source!BC163, 1)</f>
        <v>4.53</v>
      </c>
      <c r="K241" s="39">
        <f>Source!P163</f>
        <v>8423.08</v>
      </c>
    </row>
    <row r="242" spans="1:29" ht="14.25" x14ac:dyDescent="0.2">
      <c r="A242" s="35"/>
      <c r="B242" s="35"/>
      <c r="C242" s="35" t="s">
        <v>410</v>
      </c>
      <c r="D242" s="37" t="s">
        <v>411</v>
      </c>
      <c r="E242" s="36">
        <f>Source!BZ163</f>
        <v>97</v>
      </c>
      <c r="F242" s="39"/>
      <c r="G242" s="38"/>
      <c r="H242" s="36"/>
      <c r="I242" s="39">
        <f>SUM(Q236:Q241)</f>
        <v>2241.79</v>
      </c>
      <c r="J242" s="36">
        <f>Source!AT163</f>
        <v>97</v>
      </c>
      <c r="K242" s="39">
        <f>SUM(R236:R241)</f>
        <v>123275.84</v>
      </c>
    </row>
    <row r="243" spans="1:29" ht="14.25" x14ac:dyDescent="0.2">
      <c r="A243" s="35"/>
      <c r="B243" s="35"/>
      <c r="C243" s="35" t="s">
        <v>412</v>
      </c>
      <c r="D243" s="37" t="s">
        <v>411</v>
      </c>
      <c r="E243" s="36">
        <f>Source!CA163</f>
        <v>51</v>
      </c>
      <c r="F243" s="39"/>
      <c r="G243" s="38"/>
      <c r="H243" s="36"/>
      <c r="I243" s="39">
        <f>SUM(S236:S242)</f>
        <v>1178.67</v>
      </c>
      <c r="J243" s="36">
        <f>Source!AU163</f>
        <v>51</v>
      </c>
      <c r="K243" s="39">
        <f>SUM(T236:T242)</f>
        <v>64815.13</v>
      </c>
    </row>
    <row r="244" spans="1:29" ht="14.25" x14ac:dyDescent="0.2">
      <c r="A244" s="42"/>
      <c r="B244" s="42"/>
      <c r="C244" s="42" t="s">
        <v>413</v>
      </c>
      <c r="D244" s="43" t="s">
        <v>414</v>
      </c>
      <c r="E244" s="44">
        <f>Source!AQ162</f>
        <v>5.39</v>
      </c>
      <c r="F244" s="45"/>
      <c r="G244" s="46" t="str">
        <f>Source!DI162</f>
        <v>*1,1</v>
      </c>
      <c r="H244" s="44">
        <f>Source!AV163</f>
        <v>1.0469999999999999</v>
      </c>
      <c r="I244" s="45">
        <f>Source!U162</f>
        <v>186.22989000000001</v>
      </c>
      <c r="J244" s="44"/>
      <c r="K244" s="45"/>
    </row>
    <row r="245" spans="1:29" ht="15" x14ac:dyDescent="0.2">
      <c r="C245" s="47" t="s">
        <v>415</v>
      </c>
      <c r="H245" s="48">
        <f>I238+I239+I241+I242+I243+0-0-0</f>
        <v>7751.9800000000005</v>
      </c>
      <c r="I245" s="48"/>
      <c r="J245" s="48">
        <f>K238+K239+K241+K242+K243+0-0-0</f>
        <v>325118.7</v>
      </c>
      <c r="K245" s="48"/>
    </row>
    <row r="246" spans="1:29" ht="15" hidden="1" x14ac:dyDescent="0.2">
      <c r="C246" s="47" t="s">
        <v>416</v>
      </c>
      <c r="H246" s="50">
        <f>0+0</f>
        <v>0</v>
      </c>
      <c r="I246" s="50"/>
      <c r="J246" s="50">
        <f>0+0</f>
        <v>0</v>
      </c>
      <c r="K246" s="50"/>
    </row>
    <row r="247" spans="1:29" ht="15" x14ac:dyDescent="0.2">
      <c r="C247" s="47" t="s">
        <v>417</v>
      </c>
      <c r="H247" s="50">
        <f>I238+I239+I241+I242+I243+0</f>
        <v>7751.9800000000005</v>
      </c>
      <c r="I247" s="50"/>
      <c r="J247" s="50">
        <f>K238+K239+K241+K242+K243+0</f>
        <v>325118.7</v>
      </c>
      <c r="K247" s="50"/>
      <c r="O247" s="51">
        <f>I238+I239+I241+I242+I243+0</f>
        <v>7751.9800000000005</v>
      </c>
      <c r="P247" s="51">
        <f>K238+K239+K241+K242+K243+0</f>
        <v>325118.7</v>
      </c>
    </row>
    <row r="249" spans="1:29" ht="99.75" x14ac:dyDescent="0.2">
      <c r="A249" s="35">
        <v>33</v>
      </c>
      <c r="B249" s="35" t="str">
        <f>Source!F164</f>
        <v>4.8-175-9</v>
      </c>
      <c r="C249" s="35" t="s">
        <v>227</v>
      </c>
      <c r="D249" s="37" t="str">
        <f>Source!H164</f>
        <v>100 м</v>
      </c>
      <c r="E249" s="36">
        <f>Source!I164</f>
        <v>38.200000000000003</v>
      </c>
      <c r="F249" s="39"/>
      <c r="G249" s="38"/>
      <c r="H249" s="36"/>
      <c r="I249" s="39"/>
      <c r="J249" s="36"/>
      <c r="K249" s="39"/>
      <c r="Q249">
        <f>Source!X164</f>
        <v>973.42</v>
      </c>
      <c r="R249">
        <f>Source!X165</f>
        <v>53528.6</v>
      </c>
      <c r="S249">
        <f>Source!Y164</f>
        <v>511.8</v>
      </c>
      <c r="T249">
        <f>Source!Y165</f>
        <v>28143.9</v>
      </c>
      <c r="U249">
        <f>ROUND((175/100)*ROUND(Source!R164, 2), 2)</f>
        <v>23.1</v>
      </c>
      <c r="V249">
        <f>ROUND((0/100)*ROUND(Source!R165, 2), 2)</f>
        <v>0</v>
      </c>
      <c r="AC249">
        <v>0</v>
      </c>
    </row>
    <row r="250" spans="1:29" x14ac:dyDescent="0.2">
      <c r="C250" s="40" t="str">
        <f>"Объем: "&amp;Source!I164&amp;"=((500+"&amp;"6320)-"&amp;"3000)/"&amp;"100"</f>
        <v>Объем: 38,2=((500+6320)-3000)/100</v>
      </c>
    </row>
    <row r="251" spans="1:29" ht="14.25" x14ac:dyDescent="0.2">
      <c r="A251" s="35"/>
      <c r="B251" s="35"/>
      <c r="C251" s="35" t="s">
        <v>406</v>
      </c>
      <c r="D251" s="37"/>
      <c r="E251" s="36"/>
      <c r="F251" s="39">
        <f>Source!AO164</f>
        <v>22.51</v>
      </c>
      <c r="G251" s="38" t="str">
        <f>Source!DG164</f>
        <v>*1,1</v>
      </c>
      <c r="H251" s="36">
        <f>Source!AV165</f>
        <v>1.0469999999999999</v>
      </c>
      <c r="I251" s="39">
        <f>Source!S164</f>
        <v>990.33</v>
      </c>
      <c r="J251" s="36">
        <f>IF(Source!BA165&lt;&gt; 0, Source!BA165, 1)</f>
        <v>54.99</v>
      </c>
      <c r="K251" s="39">
        <f>Source!S165</f>
        <v>54458.25</v>
      </c>
    </row>
    <row r="252" spans="1:29" ht="14.25" x14ac:dyDescent="0.2">
      <c r="A252" s="35"/>
      <c r="B252" s="35"/>
      <c r="C252" s="35" t="s">
        <v>407</v>
      </c>
      <c r="D252" s="37"/>
      <c r="E252" s="36"/>
      <c r="F252" s="39">
        <f>Source!AM164</f>
        <v>2.62</v>
      </c>
      <c r="G252" s="38" t="str">
        <f>Source!DE164</f>
        <v>*1,1</v>
      </c>
      <c r="H252" s="36">
        <f>Source!AV165</f>
        <v>1.0469999999999999</v>
      </c>
      <c r="I252" s="39">
        <f>Source!Q164</f>
        <v>115.27</v>
      </c>
      <c r="J252" s="36">
        <f>IF(Source!BB165&lt;&gt; 0, Source!BB165, 1)</f>
        <v>14.57</v>
      </c>
      <c r="K252" s="39">
        <f>Source!Q165</f>
        <v>1679.48</v>
      </c>
    </row>
    <row r="253" spans="1:29" ht="14.25" x14ac:dyDescent="0.2">
      <c r="A253" s="35"/>
      <c r="B253" s="35"/>
      <c r="C253" s="35" t="s">
        <v>408</v>
      </c>
      <c r="D253" s="37"/>
      <c r="E253" s="36"/>
      <c r="F253" s="39">
        <f>Source!AN164</f>
        <v>0.3</v>
      </c>
      <c r="G253" s="38" t="str">
        <f>Source!DF164</f>
        <v>*1,1</v>
      </c>
      <c r="H253" s="36">
        <f>Source!AV165</f>
        <v>1.0469999999999999</v>
      </c>
      <c r="I253" s="41">
        <f>Source!R164</f>
        <v>13.2</v>
      </c>
      <c r="J253" s="36">
        <f>IF(Source!BS165&lt;&gt; 0, Source!BS165, 1)</f>
        <v>54.99</v>
      </c>
      <c r="K253" s="41">
        <f>Source!R165</f>
        <v>725.87</v>
      </c>
    </row>
    <row r="254" spans="1:29" ht="14.25" x14ac:dyDescent="0.2">
      <c r="A254" s="35"/>
      <c r="B254" s="35"/>
      <c r="C254" s="35" t="s">
        <v>409</v>
      </c>
      <c r="D254" s="37"/>
      <c r="E254" s="36"/>
      <c r="F254" s="39">
        <f>Source!AL164</f>
        <v>55.47</v>
      </c>
      <c r="G254" s="38" t="str">
        <f>Source!DD164</f>
        <v/>
      </c>
      <c r="H254" s="36">
        <f>Source!AW165</f>
        <v>1</v>
      </c>
      <c r="I254" s="39">
        <f>Source!P164</f>
        <v>2118.9499999999998</v>
      </c>
      <c r="J254" s="36">
        <f>IF(Source!BC165&lt;&gt; 0, Source!BC165, 1)</f>
        <v>3.09</v>
      </c>
      <c r="K254" s="39">
        <f>Source!P165</f>
        <v>6547.56</v>
      </c>
    </row>
    <row r="255" spans="1:29" ht="14.25" x14ac:dyDescent="0.2">
      <c r="A255" s="35"/>
      <c r="B255" s="35"/>
      <c r="C255" s="35" t="s">
        <v>410</v>
      </c>
      <c r="D255" s="37" t="s">
        <v>411</v>
      </c>
      <c r="E255" s="36">
        <f>Source!BZ165</f>
        <v>97</v>
      </c>
      <c r="F255" s="39"/>
      <c r="G255" s="38"/>
      <c r="H255" s="36"/>
      <c r="I255" s="39">
        <f>SUM(Q249:Q254)</f>
        <v>973.42</v>
      </c>
      <c r="J255" s="36">
        <f>Source!AT165</f>
        <v>97</v>
      </c>
      <c r="K255" s="39">
        <f>SUM(R249:R254)</f>
        <v>53528.6</v>
      </c>
    </row>
    <row r="256" spans="1:29" ht="14.25" x14ac:dyDescent="0.2">
      <c r="A256" s="35"/>
      <c r="B256" s="35"/>
      <c r="C256" s="35" t="s">
        <v>412</v>
      </c>
      <c r="D256" s="37" t="s">
        <v>411</v>
      </c>
      <c r="E256" s="36">
        <f>Source!CA165</f>
        <v>51</v>
      </c>
      <c r="F256" s="39"/>
      <c r="G256" s="38"/>
      <c r="H256" s="36"/>
      <c r="I256" s="39">
        <f>SUM(S249:S255)</f>
        <v>511.8</v>
      </c>
      <c r="J256" s="36">
        <f>Source!AU165</f>
        <v>51</v>
      </c>
      <c r="K256" s="39">
        <f>SUM(T249:T255)</f>
        <v>28143.9</v>
      </c>
    </row>
    <row r="257" spans="1:29" ht="14.25" x14ac:dyDescent="0.2">
      <c r="A257" s="42"/>
      <c r="B257" s="42"/>
      <c r="C257" s="42" t="s">
        <v>413</v>
      </c>
      <c r="D257" s="43" t="s">
        <v>414</v>
      </c>
      <c r="E257" s="44">
        <f>Source!AQ164</f>
        <v>1.83</v>
      </c>
      <c r="F257" s="45"/>
      <c r="G257" s="46" t="str">
        <f>Source!DI164</f>
        <v>*1,1</v>
      </c>
      <c r="H257" s="44">
        <f>Source!AV165</f>
        <v>1.0469999999999999</v>
      </c>
      <c r="I257" s="45">
        <f>Source!U164</f>
        <v>80.510740200000015</v>
      </c>
      <c r="J257" s="44"/>
      <c r="K257" s="45"/>
    </row>
    <row r="258" spans="1:29" ht="15" x14ac:dyDescent="0.2">
      <c r="C258" s="47" t="s">
        <v>415</v>
      </c>
      <c r="H258" s="48">
        <f>I251+I252+I254+I255+I256+0-0-0</f>
        <v>4709.7700000000004</v>
      </c>
      <c r="I258" s="48"/>
      <c r="J258" s="48">
        <f>K251+K252+K254+K255+K256+0-0-0</f>
        <v>144357.79</v>
      </c>
      <c r="K258" s="48"/>
    </row>
    <row r="259" spans="1:29" ht="15" hidden="1" x14ac:dyDescent="0.2">
      <c r="C259" s="47" t="s">
        <v>416</v>
      </c>
      <c r="H259" s="50">
        <f>0+0</f>
        <v>0</v>
      </c>
      <c r="I259" s="50"/>
      <c r="J259" s="50">
        <f>0+0</f>
        <v>0</v>
      </c>
      <c r="K259" s="50"/>
    </row>
    <row r="260" spans="1:29" ht="15" x14ac:dyDescent="0.2">
      <c r="C260" s="47" t="s">
        <v>417</v>
      </c>
      <c r="H260" s="50">
        <f>I251+I252+I254+I255+I256+0</f>
        <v>4709.7700000000004</v>
      </c>
      <c r="I260" s="50"/>
      <c r="J260" s="50">
        <f>K251+K252+K254+K255+K256+0</f>
        <v>144357.79</v>
      </c>
      <c r="K260" s="50"/>
      <c r="O260" s="51">
        <f>I251+I252+I254+I255+I256+0</f>
        <v>4709.7700000000004</v>
      </c>
      <c r="P260" s="51">
        <f>K251+K252+K254+K255+K256+0</f>
        <v>144357.79</v>
      </c>
    </row>
    <row r="262" spans="1:29" ht="68.25" x14ac:dyDescent="0.2">
      <c r="A262" s="35">
        <v>34</v>
      </c>
      <c r="B262" s="35" t="str">
        <f>Source!F166</f>
        <v>КА-20</v>
      </c>
      <c r="C262" s="35" t="s">
        <v>439</v>
      </c>
      <c r="D262" s="37" t="str">
        <f>Source!H166</f>
        <v>км</v>
      </c>
      <c r="E262" s="36">
        <f>Source!I166</f>
        <v>0.51</v>
      </c>
      <c r="F262" s="39">
        <f>Source!AL166</f>
        <v>6894.29</v>
      </c>
      <c r="G262" s="38" t="str">
        <f>Source!DD166</f>
        <v/>
      </c>
      <c r="H262" s="36">
        <f>Source!AW167</f>
        <v>1</v>
      </c>
      <c r="I262" s="39">
        <f>Source!P166</f>
        <v>3516.09</v>
      </c>
      <c r="J262" s="36">
        <f>IF(Source!BC167&lt;&gt; 0, Source!BC167, 1)</f>
        <v>9.8800000000000008</v>
      </c>
      <c r="K262" s="39">
        <f>Source!P167</f>
        <v>34738.97</v>
      </c>
      <c r="Q262">
        <f>Source!X166</f>
        <v>0</v>
      </c>
      <c r="R262">
        <f>Source!X167</f>
        <v>0</v>
      </c>
      <c r="S262">
        <f>Source!Y166</f>
        <v>0</v>
      </c>
      <c r="T262">
        <f>Source!Y167</f>
        <v>0</v>
      </c>
      <c r="U262">
        <f>ROUND((175/100)*ROUND(Source!R166, 2), 2)</f>
        <v>0</v>
      </c>
      <c r="V262">
        <f>ROUND((0/100)*ROUND(Source!R167, 2), 2)</f>
        <v>0</v>
      </c>
      <c r="AC262">
        <v>3</v>
      </c>
    </row>
    <row r="263" spans="1:29" x14ac:dyDescent="0.2">
      <c r="A263" s="62"/>
      <c r="B263" s="62"/>
      <c r="C263" s="63" t="str">
        <f>"Объем: "&amp;Source!I166&amp;"=(500*"&amp;"1,02)/"&amp;"1000"</f>
        <v>Объем: 0,51=(500*1,02)/1000</v>
      </c>
      <c r="D263" s="62"/>
      <c r="E263" s="62"/>
      <c r="F263" s="62"/>
      <c r="G263" s="62"/>
      <c r="H263" s="62"/>
      <c r="I263" s="62"/>
      <c r="J263" s="62"/>
      <c r="K263" s="62"/>
    </row>
    <row r="264" spans="1:29" ht="15" x14ac:dyDescent="0.2">
      <c r="C264" s="47" t="s">
        <v>417</v>
      </c>
      <c r="H264" s="48">
        <f>I262+0</f>
        <v>3516.09</v>
      </c>
      <c r="I264" s="48"/>
      <c r="J264" s="48">
        <f>K262+0</f>
        <v>34738.97</v>
      </c>
      <c r="K264" s="48"/>
      <c r="O264" s="51">
        <f>I262+0</f>
        <v>3516.09</v>
      </c>
      <c r="P264" s="51">
        <f>K262+0</f>
        <v>34738.97</v>
      </c>
    </row>
    <row r="266" spans="1:29" ht="54" x14ac:dyDescent="0.2">
      <c r="A266" s="35">
        <v>35</v>
      </c>
      <c r="B266" s="35" t="str">
        <f>Source!F168</f>
        <v>КА-21</v>
      </c>
      <c r="C266" s="35" t="s">
        <v>440</v>
      </c>
      <c r="D266" s="37" t="str">
        <f>Source!H168</f>
        <v>км</v>
      </c>
      <c r="E266" s="36">
        <f>Source!I168</f>
        <v>6.4463999999999997</v>
      </c>
      <c r="F266" s="39">
        <f>Source!AL168</f>
        <v>7865.94</v>
      </c>
      <c r="G266" s="38" t="str">
        <f>Source!DD168</f>
        <v/>
      </c>
      <c r="H266" s="36">
        <f>Source!AW169</f>
        <v>1</v>
      </c>
      <c r="I266" s="39">
        <f>Source!P168</f>
        <v>50707</v>
      </c>
      <c r="J266" s="36">
        <f>IF(Source!BC169&lt;&gt; 0, Source!BC169, 1)</f>
        <v>9.8800000000000008</v>
      </c>
      <c r="K266" s="39">
        <f>Source!P169</f>
        <v>500985.16</v>
      </c>
      <c r="Q266">
        <f>Source!X168</f>
        <v>0</v>
      </c>
      <c r="R266">
        <f>Source!X169</f>
        <v>0</v>
      </c>
      <c r="S266">
        <f>Source!Y168</f>
        <v>0</v>
      </c>
      <c r="T266">
        <f>Source!Y169</f>
        <v>0</v>
      </c>
      <c r="U266">
        <f>ROUND((175/100)*ROUND(Source!R168, 2), 2)</f>
        <v>0</v>
      </c>
      <c r="V266">
        <f>ROUND((0/100)*ROUND(Source!R169, 2), 2)</f>
        <v>0</v>
      </c>
      <c r="AC266">
        <v>3</v>
      </c>
    </row>
    <row r="267" spans="1:29" x14ac:dyDescent="0.2">
      <c r="A267" s="62"/>
      <c r="B267" s="62"/>
      <c r="C267" s="63" t="str">
        <f>"Объем: "&amp;Source!I168&amp;"=(6320*"&amp;"1,02)/"&amp;"1000"</f>
        <v>Объем: 6,4464=(6320*1,02)/1000</v>
      </c>
      <c r="D267" s="62"/>
      <c r="E267" s="62"/>
      <c r="F267" s="62"/>
      <c r="G267" s="62"/>
      <c r="H267" s="62"/>
      <c r="I267" s="62"/>
      <c r="J267" s="62"/>
      <c r="K267" s="62"/>
    </row>
    <row r="268" spans="1:29" ht="15" x14ac:dyDescent="0.2">
      <c r="C268" s="47" t="s">
        <v>417</v>
      </c>
      <c r="H268" s="48">
        <f>I266+0</f>
        <v>50707</v>
      </c>
      <c r="I268" s="48"/>
      <c r="J268" s="48">
        <f>K266+0</f>
        <v>500985.16</v>
      </c>
      <c r="K268" s="48"/>
      <c r="O268" s="51">
        <f>I266+0</f>
        <v>50707</v>
      </c>
      <c r="P268" s="51">
        <f>K266+0</f>
        <v>500985.16</v>
      </c>
    </row>
    <row r="270" spans="1:29" ht="85.5" x14ac:dyDescent="0.2">
      <c r="A270" s="52">
        <v>36</v>
      </c>
      <c r="B270" s="52" t="str">
        <f>Source!F170</f>
        <v>13.1-2-437</v>
      </c>
      <c r="C270" s="52" t="s">
        <v>441</v>
      </c>
      <c r="D270" s="53" t="str">
        <f>Source!H170</f>
        <v>шт.</v>
      </c>
      <c r="E270" s="54">
        <f>Source!I170</f>
        <v>20</v>
      </c>
      <c r="F270" s="55">
        <f>Source!AL170</f>
        <v>54.7</v>
      </c>
      <c r="G270" s="56" t="str">
        <f>Source!DD170</f>
        <v/>
      </c>
      <c r="H270" s="54">
        <f>Source!AW171</f>
        <v>1</v>
      </c>
      <c r="I270" s="55">
        <f>Source!P170</f>
        <v>1094</v>
      </c>
      <c r="J270" s="54">
        <f>IF(Source!BC171&lt;&gt; 0, Source!BC171, 1)</f>
        <v>4.8899999999999997</v>
      </c>
      <c r="K270" s="55">
        <f>Source!P171</f>
        <v>5349.66</v>
      </c>
      <c r="Q270">
        <f>Source!X170</f>
        <v>0</v>
      </c>
      <c r="R270">
        <f>Source!X171</f>
        <v>0</v>
      </c>
      <c r="S270">
        <f>Source!Y170</f>
        <v>0</v>
      </c>
      <c r="T270">
        <f>Source!Y171</f>
        <v>0</v>
      </c>
      <c r="U270">
        <f>ROUND((175/100)*ROUND(Source!R170, 2), 2)</f>
        <v>0</v>
      </c>
      <c r="V270">
        <f>ROUND((0/100)*ROUND(Source!R171, 2), 2)</f>
        <v>0</v>
      </c>
      <c r="AC270">
        <v>5</v>
      </c>
    </row>
    <row r="271" spans="1:29" ht="15" x14ac:dyDescent="0.2">
      <c r="A271" s="57"/>
      <c r="B271" s="57"/>
      <c r="C271" s="58" t="s">
        <v>417</v>
      </c>
      <c r="D271" s="57"/>
      <c r="E271" s="57"/>
      <c r="F271" s="57"/>
      <c r="G271" s="57"/>
      <c r="H271" s="59">
        <f>I270+0</f>
        <v>1094</v>
      </c>
      <c r="I271" s="59"/>
      <c r="J271" s="59">
        <f>K270+0</f>
        <v>5349.66</v>
      </c>
      <c r="K271" s="59"/>
      <c r="O271" s="51">
        <f>I270+0</f>
        <v>1094</v>
      </c>
      <c r="P271" s="51">
        <f>K270+0</f>
        <v>5349.66</v>
      </c>
    </row>
    <row r="273" spans="1:29" ht="71.25" x14ac:dyDescent="0.2">
      <c r="A273" s="52">
        <v>37</v>
      </c>
      <c r="B273" s="52" t="str">
        <f>Source!F172</f>
        <v>13.1-2-432</v>
      </c>
      <c r="C273" s="52" t="s">
        <v>442</v>
      </c>
      <c r="D273" s="53" t="str">
        <f>Source!H172</f>
        <v>шт.</v>
      </c>
      <c r="E273" s="54">
        <f>Source!I172</f>
        <v>150</v>
      </c>
      <c r="F273" s="55">
        <f>Source!AL172</f>
        <v>15.79</v>
      </c>
      <c r="G273" s="56" t="str">
        <f>Source!DD172</f>
        <v/>
      </c>
      <c r="H273" s="54">
        <f>Source!AW173</f>
        <v>1</v>
      </c>
      <c r="I273" s="55">
        <f>Source!P172</f>
        <v>2368.5</v>
      </c>
      <c r="J273" s="54">
        <f>IF(Source!BC173&lt;&gt; 0, Source!BC173, 1)</f>
        <v>6.83</v>
      </c>
      <c r="K273" s="55">
        <f>Source!P173</f>
        <v>16176.86</v>
      </c>
      <c r="Q273">
        <f>Source!X172</f>
        <v>0</v>
      </c>
      <c r="R273">
        <f>Source!X173</f>
        <v>0</v>
      </c>
      <c r="S273">
        <f>Source!Y172</f>
        <v>0</v>
      </c>
      <c r="T273">
        <f>Source!Y173</f>
        <v>0</v>
      </c>
      <c r="U273">
        <f>ROUND((175/100)*ROUND(Source!R172, 2), 2)</f>
        <v>0</v>
      </c>
      <c r="V273">
        <f>ROUND((0/100)*ROUND(Source!R173, 2), 2)</f>
        <v>0</v>
      </c>
      <c r="AC273">
        <v>5</v>
      </c>
    </row>
    <row r="274" spans="1:29" ht="15" x14ac:dyDescent="0.2">
      <c r="A274" s="57"/>
      <c r="B274" s="57"/>
      <c r="C274" s="58" t="s">
        <v>417</v>
      </c>
      <c r="D274" s="57"/>
      <c r="E274" s="57"/>
      <c r="F274" s="57"/>
      <c r="G274" s="57"/>
      <c r="H274" s="59">
        <f>I273+0</f>
        <v>2368.5</v>
      </c>
      <c r="I274" s="59"/>
      <c r="J274" s="59">
        <f>K273+0</f>
        <v>16176.86</v>
      </c>
      <c r="K274" s="59"/>
      <c r="O274" s="51">
        <f>I273+0</f>
        <v>2368.5</v>
      </c>
      <c r="P274" s="51">
        <f>K273+0</f>
        <v>16176.86</v>
      </c>
    </row>
    <row r="277" spans="1:29" ht="15" x14ac:dyDescent="0.25">
      <c r="A277" s="60" t="str">
        <f>CONCATENATE("Итого по разделу: ",IF(Source!G175&lt;&gt;"Новый раздел", Source!G175, ""))</f>
        <v>Итого по разделу: Кабельные изделия</v>
      </c>
      <c r="B277" s="60"/>
      <c r="C277" s="60"/>
      <c r="D277" s="60"/>
      <c r="E277" s="60"/>
      <c r="F277" s="60"/>
      <c r="G277" s="60"/>
      <c r="H277" s="50">
        <f>SUM(O221:O276)</f>
        <v>108034.81999999999</v>
      </c>
      <c r="I277" s="49"/>
      <c r="J277" s="50">
        <f>SUM(P221:P276)</f>
        <v>2103704.9999999995</v>
      </c>
      <c r="K277" s="49"/>
    </row>
    <row r="278" spans="1:29" hidden="1" x14ac:dyDescent="0.2">
      <c r="A278" t="s">
        <v>433</v>
      </c>
      <c r="I278">
        <f>SUM(W221:W277)</f>
        <v>0</v>
      </c>
      <c r="J278">
        <f>SUM(X221:X277)</f>
        <v>0</v>
      </c>
    </row>
    <row r="279" spans="1:29" hidden="1" x14ac:dyDescent="0.2">
      <c r="A279" t="s">
        <v>434</v>
      </c>
      <c r="I279">
        <f>SUM(Y221:Y278)</f>
        <v>0</v>
      </c>
      <c r="J279">
        <f>SUM(Z221:Z278)</f>
        <v>0</v>
      </c>
    </row>
    <row r="281" spans="1:29" ht="15" x14ac:dyDescent="0.25">
      <c r="A281" s="60" t="str">
        <f>CONCATENATE("Итого по локальной смете: ",IF(Source!G205&lt;&gt;"Новая локальная смета", Source!G205, ""))</f>
        <v>Итого по локальной смете: Система охранного теленаблюдения</v>
      </c>
      <c r="B281" s="60"/>
      <c r="C281" s="60"/>
      <c r="D281" s="60"/>
      <c r="E281" s="60"/>
      <c r="F281" s="60"/>
      <c r="G281" s="60"/>
      <c r="H281" s="50">
        <f>SUM(O28:O280)</f>
        <v>1045289.6499999999</v>
      </c>
      <c r="I281" s="49"/>
      <c r="J281" s="50">
        <f>SUM(P28:P280)</f>
        <v>10298002.279999997</v>
      </c>
      <c r="K281" s="49"/>
    </row>
    <row r="282" spans="1:29" hidden="1" x14ac:dyDescent="0.2">
      <c r="A282" t="s">
        <v>433</v>
      </c>
      <c r="I282">
        <f>SUM(W28:W281)</f>
        <v>0</v>
      </c>
      <c r="J282">
        <f>SUM(X28:X281)</f>
        <v>0</v>
      </c>
    </row>
    <row r="283" spans="1:29" hidden="1" x14ac:dyDescent="0.2">
      <c r="A283" t="s">
        <v>434</v>
      </c>
      <c r="I283">
        <f>SUM(Y28:Y282)</f>
        <v>0</v>
      </c>
      <c r="J283">
        <f>SUM(Z28:Z282)</f>
        <v>0</v>
      </c>
    </row>
    <row r="285" spans="1:29" ht="15" x14ac:dyDescent="0.25">
      <c r="A285" s="60" t="str">
        <f>CONCATENATE("Итого по смете: ",IF(Source!G235&lt;&gt;"Новый объект", Source!G235, ""))</f>
        <v>Итого по смете: 02-01-14 СОТ</v>
      </c>
      <c r="B285" s="60"/>
      <c r="C285" s="60"/>
      <c r="D285" s="60"/>
      <c r="E285" s="60"/>
      <c r="F285" s="60"/>
      <c r="G285" s="60"/>
      <c r="H285" s="50">
        <f>SUM(O1:O284)</f>
        <v>1045289.6499999999</v>
      </c>
      <c r="I285" s="49"/>
      <c r="J285" s="50">
        <f>SUM(P1:P284)</f>
        <v>10298002.279999997</v>
      </c>
      <c r="K285" s="49"/>
    </row>
    <row r="286" spans="1:29" hidden="1" x14ac:dyDescent="0.2">
      <c r="A286" t="s">
        <v>433</v>
      </c>
      <c r="I286">
        <f>SUM(W1:W285)</f>
        <v>0</v>
      </c>
      <c r="J286">
        <f>SUM(X1:X285)</f>
        <v>0</v>
      </c>
    </row>
    <row r="287" spans="1:29" hidden="1" x14ac:dyDescent="0.2">
      <c r="A287" t="s">
        <v>434</v>
      </c>
      <c r="I287">
        <f>SUM(Y1:Y286)</f>
        <v>0</v>
      </c>
      <c r="J287">
        <f>SUM(Z1:Z286)</f>
        <v>0</v>
      </c>
    </row>
    <row r="290" spans="1:11" ht="14.25" x14ac:dyDescent="0.2">
      <c r="A290" s="64" t="s">
        <v>444</v>
      </c>
      <c r="B290" s="64"/>
      <c r="C290" s="65" t="str">
        <f>IF(Source!AC12&lt;&gt;"", Source!AC12," ")</f>
        <v xml:space="preserve"> </v>
      </c>
      <c r="D290" s="65"/>
      <c r="E290" s="65"/>
      <c r="F290" s="65"/>
      <c r="G290" s="65"/>
      <c r="H290" s="24" t="str">
        <f>IF(Source!AB12&lt;&gt;"", Source!AB12," ")</f>
        <v>Соколова И.Н.</v>
      </c>
      <c r="I290" s="24"/>
      <c r="J290" s="24"/>
      <c r="K290" s="24"/>
    </row>
    <row r="291" spans="1:11" ht="14.25" x14ac:dyDescent="0.2">
      <c r="A291" s="11"/>
      <c r="B291" s="11"/>
      <c r="C291" s="13" t="s">
        <v>445</v>
      </c>
      <c r="D291" s="13"/>
      <c r="E291" s="13"/>
      <c r="F291" s="13"/>
      <c r="G291" s="13"/>
      <c r="H291" s="11"/>
      <c r="I291" s="11"/>
      <c r="J291" s="11"/>
      <c r="K291" s="11"/>
    </row>
    <row r="292" spans="1:11" ht="14.25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 spans="1:11" ht="14.25" x14ac:dyDescent="0.2">
      <c r="A293" s="64" t="s">
        <v>446</v>
      </c>
      <c r="B293" s="64"/>
      <c r="C293" s="65" t="str">
        <f>IF(Source!AE12&lt;&gt;"", Source!AE12," ")</f>
        <v xml:space="preserve"> </v>
      </c>
      <c r="D293" s="65"/>
      <c r="E293" s="65"/>
      <c r="F293" s="65"/>
      <c r="G293" s="65"/>
      <c r="H293" s="24" t="str">
        <f>IF(Source!AD12&lt;&gt;"", Source!AD12," ")</f>
        <v xml:space="preserve"> </v>
      </c>
      <c r="I293" s="24"/>
      <c r="J293" s="24"/>
      <c r="K293" s="24"/>
    </row>
    <row r="294" spans="1:11" ht="14.25" x14ac:dyDescent="0.2">
      <c r="A294" s="11"/>
      <c r="B294" s="11"/>
      <c r="C294" s="13" t="s">
        <v>445</v>
      </c>
      <c r="D294" s="13"/>
      <c r="E294" s="13"/>
      <c r="F294" s="13"/>
      <c r="G294" s="13"/>
      <c r="H294" s="11"/>
      <c r="I294" s="11"/>
      <c r="J294" s="11"/>
      <c r="K294" s="11"/>
    </row>
  </sheetData>
  <mergeCells count="171">
    <mergeCell ref="A293:B293"/>
    <mergeCell ref="H293:K293"/>
    <mergeCell ref="C294:G294"/>
    <mergeCell ref="J285:K285"/>
    <mergeCell ref="H285:I285"/>
    <mergeCell ref="A285:G285"/>
    <mergeCell ref="A290:B290"/>
    <mergeCell ref="H290:K290"/>
    <mergeCell ref="C291:G291"/>
    <mergeCell ref="J277:K277"/>
    <mergeCell ref="H277:I277"/>
    <mergeCell ref="A277:G277"/>
    <mergeCell ref="J281:K281"/>
    <mergeCell ref="H281:I281"/>
    <mergeCell ref="A281:G281"/>
    <mergeCell ref="H268:I268"/>
    <mergeCell ref="J268:K268"/>
    <mergeCell ref="H271:I271"/>
    <mergeCell ref="J271:K271"/>
    <mergeCell ref="H274:I274"/>
    <mergeCell ref="J274:K274"/>
    <mergeCell ref="H259:I259"/>
    <mergeCell ref="J259:K259"/>
    <mergeCell ref="H260:I260"/>
    <mergeCell ref="J260:K260"/>
    <mergeCell ref="H264:I264"/>
    <mergeCell ref="J264:K264"/>
    <mergeCell ref="H246:I246"/>
    <mergeCell ref="J246:K246"/>
    <mergeCell ref="H247:I247"/>
    <mergeCell ref="J247:K247"/>
    <mergeCell ref="H258:I258"/>
    <mergeCell ref="J258:K258"/>
    <mergeCell ref="H233:I233"/>
    <mergeCell ref="J233:K233"/>
    <mergeCell ref="H234:I234"/>
    <mergeCell ref="J234:K234"/>
    <mergeCell ref="H245:I245"/>
    <mergeCell ref="J245:K245"/>
    <mergeCell ref="J217:K217"/>
    <mergeCell ref="H217:I217"/>
    <mergeCell ref="A217:G217"/>
    <mergeCell ref="A221:K221"/>
    <mergeCell ref="H232:I232"/>
    <mergeCell ref="J232:K232"/>
    <mergeCell ref="H208:I208"/>
    <mergeCell ref="J208:K208"/>
    <mergeCell ref="H211:I211"/>
    <mergeCell ref="J211:K211"/>
    <mergeCell ref="H214:I214"/>
    <mergeCell ref="J214:K214"/>
    <mergeCell ref="H201:I201"/>
    <mergeCell ref="J201:K201"/>
    <mergeCell ref="H202:I202"/>
    <mergeCell ref="J202:K202"/>
    <mergeCell ref="H205:I205"/>
    <mergeCell ref="J205:K205"/>
    <mergeCell ref="J187:K187"/>
    <mergeCell ref="H187:I187"/>
    <mergeCell ref="A187:G187"/>
    <mergeCell ref="A191:K191"/>
    <mergeCell ref="H200:I200"/>
    <mergeCell ref="J200:K200"/>
    <mergeCell ref="H178:I178"/>
    <mergeCell ref="J178:K178"/>
    <mergeCell ref="H181:I181"/>
    <mergeCell ref="J181:K181"/>
    <mergeCell ref="H184:I184"/>
    <mergeCell ref="J184:K184"/>
    <mergeCell ref="H168:I168"/>
    <mergeCell ref="J168:K168"/>
    <mergeCell ref="H176:I176"/>
    <mergeCell ref="J176:K176"/>
    <mergeCell ref="H177:I177"/>
    <mergeCell ref="J177:K177"/>
    <mergeCell ref="H163:I163"/>
    <mergeCell ref="J163:K163"/>
    <mergeCell ref="H164:I164"/>
    <mergeCell ref="J164:K164"/>
    <mergeCell ref="H165:I165"/>
    <mergeCell ref="J165:K165"/>
    <mergeCell ref="H149:I149"/>
    <mergeCell ref="J149:K149"/>
    <mergeCell ref="H152:I152"/>
    <mergeCell ref="J152:K152"/>
    <mergeCell ref="H155:I155"/>
    <mergeCell ref="J155:K155"/>
    <mergeCell ref="H139:I139"/>
    <mergeCell ref="J139:K139"/>
    <mergeCell ref="H147:I147"/>
    <mergeCell ref="J147:K147"/>
    <mergeCell ref="H148:I148"/>
    <mergeCell ref="J148:K148"/>
    <mergeCell ref="H134:I134"/>
    <mergeCell ref="J134:K134"/>
    <mergeCell ref="H135:I135"/>
    <mergeCell ref="J135:K135"/>
    <mergeCell ref="H136:I136"/>
    <mergeCell ref="J136:K136"/>
    <mergeCell ref="H121:I121"/>
    <mergeCell ref="J121:K121"/>
    <mergeCell ref="H122:I122"/>
    <mergeCell ref="J122:K122"/>
    <mergeCell ref="H125:I125"/>
    <mergeCell ref="J125:K125"/>
    <mergeCell ref="H108:I108"/>
    <mergeCell ref="J108:K108"/>
    <mergeCell ref="H111:I111"/>
    <mergeCell ref="J111:K111"/>
    <mergeCell ref="H120:I120"/>
    <mergeCell ref="J120:K120"/>
    <mergeCell ref="H101:I101"/>
    <mergeCell ref="J101:K101"/>
    <mergeCell ref="H102:I102"/>
    <mergeCell ref="J102:K102"/>
    <mergeCell ref="H105:I105"/>
    <mergeCell ref="J105:K105"/>
    <mergeCell ref="H86:I86"/>
    <mergeCell ref="J86:K86"/>
    <mergeCell ref="H89:I89"/>
    <mergeCell ref="J89:K89"/>
    <mergeCell ref="H100:I100"/>
    <mergeCell ref="J100:K100"/>
    <mergeCell ref="H81:I81"/>
    <mergeCell ref="J81:K81"/>
    <mergeCell ref="H82:I82"/>
    <mergeCell ref="J82:K82"/>
    <mergeCell ref="H83:I83"/>
    <mergeCell ref="J83:K83"/>
    <mergeCell ref="H69:I69"/>
    <mergeCell ref="J69:K69"/>
    <mergeCell ref="H70:I70"/>
    <mergeCell ref="J70:K70"/>
    <mergeCell ref="H73:I73"/>
    <mergeCell ref="J73:K73"/>
    <mergeCell ref="H54:I54"/>
    <mergeCell ref="J54:K54"/>
    <mergeCell ref="H57:I57"/>
    <mergeCell ref="J57:K57"/>
    <mergeCell ref="H68:I68"/>
    <mergeCell ref="J68:K68"/>
    <mergeCell ref="H44:I44"/>
    <mergeCell ref="J44:K44"/>
    <mergeCell ref="H52:I52"/>
    <mergeCell ref="J52:K52"/>
    <mergeCell ref="H53:I53"/>
    <mergeCell ref="J53:K53"/>
    <mergeCell ref="H39:I39"/>
    <mergeCell ref="J39:K39"/>
    <mergeCell ref="H40:I40"/>
    <mergeCell ref="J40:K40"/>
    <mergeCell ref="H41:I41"/>
    <mergeCell ref="J41:K41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7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0" t="str">
        <f>Source!B1</f>
        <v>Smeta.RU  (495) 974-1589</v>
      </c>
    </row>
    <row r="4" spans="1:8" ht="15.75" x14ac:dyDescent="0.2">
      <c r="B4" s="66" t="str">
        <f>CONCATENATE("Ведомость объемов работ ", IF(Source!AN15&lt;&gt;"", Source!AN15," "))</f>
        <v xml:space="preserve">Ведомость объемов работ  </v>
      </c>
      <c r="C4" s="66"/>
      <c r="D4" s="66"/>
      <c r="E4" s="66"/>
    </row>
    <row r="5" spans="1:8" ht="15" x14ac:dyDescent="0.2">
      <c r="B5" s="67" t="str">
        <f>CONCATENATE(Source!F12, " ", Source!G12)</f>
        <v xml:space="preserve"> 02-01-14 СОТ</v>
      </c>
      <c r="C5" s="67"/>
      <c r="D5" s="67"/>
      <c r="E5" s="67"/>
    </row>
    <row r="6" spans="1:8" hidden="1" x14ac:dyDescent="0.2"/>
    <row r="8" spans="1:8" ht="99.75" x14ac:dyDescent="0.2">
      <c r="A8" s="30" t="s">
        <v>391</v>
      </c>
      <c r="B8" s="30" t="s">
        <v>447</v>
      </c>
      <c r="C8" s="30" t="s">
        <v>393</v>
      </c>
      <c r="D8" s="30" t="s">
        <v>448</v>
      </c>
      <c r="E8" s="30" t="s">
        <v>449</v>
      </c>
      <c r="F8" s="30" t="s">
        <v>450</v>
      </c>
      <c r="G8" s="30" t="s">
        <v>451</v>
      </c>
      <c r="H8" s="30" t="s">
        <v>452</v>
      </c>
    </row>
    <row r="9" spans="1:8" ht="14.25" x14ac:dyDescent="0.2">
      <c r="A9" s="30">
        <v>1</v>
      </c>
      <c r="B9" s="30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</row>
    <row r="10" spans="1:8" ht="16.5" x14ac:dyDescent="0.25">
      <c r="A10" s="68" t="str">
        <f>CONCATENATE("Локальная смета: ", Source!G20)</f>
        <v>Локальная смета: Система охранного теленаблюдения</v>
      </c>
      <c r="B10" s="68"/>
      <c r="C10" s="68"/>
      <c r="D10" s="68"/>
      <c r="E10" s="68"/>
      <c r="F10" s="68"/>
      <c r="G10" s="68"/>
      <c r="H10" s="68"/>
    </row>
    <row r="11" spans="1:8" ht="16.5" x14ac:dyDescent="0.25">
      <c r="A11" s="68" t="str">
        <f>CONCATENATE("Раздел: ", Source!G24)</f>
        <v>Раздел: Оборудование</v>
      </c>
      <c r="B11" s="68"/>
      <c r="C11" s="68"/>
      <c r="D11" s="68"/>
      <c r="E11" s="68"/>
      <c r="F11" s="68"/>
      <c r="G11" s="68"/>
      <c r="H11" s="68"/>
    </row>
    <row r="12" spans="1:8" ht="14.25" x14ac:dyDescent="0.2">
      <c r="A12" s="30">
        <v>1</v>
      </c>
      <c r="B12" s="30" t="str">
        <f>Source!E28</f>
        <v>1</v>
      </c>
      <c r="C12" s="71" t="str">
        <f>Source!G28</f>
        <v>Монтаж внутренней камеры видеонаблюдения</v>
      </c>
      <c r="D12" s="30" t="s">
        <v>21</v>
      </c>
      <c r="E12" s="72">
        <f>Source!I28</f>
        <v>2.8</v>
      </c>
      <c r="F12" s="30" t="str">
        <f>Source!U24</f>
        <v/>
      </c>
      <c r="G12" s="30" t="str">
        <f>"=28/"&amp;"10"</f>
        <v>=28/10</v>
      </c>
      <c r="H12" s="71"/>
    </row>
    <row r="13" spans="1:8" ht="71.25" x14ac:dyDescent="0.2">
      <c r="A13" s="30">
        <v>2</v>
      </c>
      <c r="B13" s="30" t="str">
        <f>Source!E30</f>
        <v>2</v>
      </c>
      <c r="C13" s="71" t="str">
        <f>Source!G30</f>
        <v>Цилиндрическая IP-видеокамера с фиксированным объективом IP 2 Мп; 1/3" КМОП, 1920х1080-25/30к/с; встроенный микрофон; Дальность ИК подсветки 30м; объектив 2.8мм(3.6мм, 6ммопционально) ; режим "день/ночь", H264/ MJPEG ( Доп. поток) ; ; PoE 5 Вт; -40 ~ +60°C, TR-D2121CL3 4.0</v>
      </c>
      <c r="D13" s="30" t="s">
        <v>30</v>
      </c>
      <c r="E13" s="72">
        <f>Source!I30</f>
        <v>28</v>
      </c>
      <c r="F13" s="30" t="str">
        <f>Source!U24</f>
        <v/>
      </c>
      <c r="G13" s="30">
        <f>Source!I30</f>
        <v>28</v>
      </c>
      <c r="H13" s="71"/>
    </row>
    <row r="14" spans="1:8" ht="28.5" x14ac:dyDescent="0.2">
      <c r="A14" s="30">
        <v>3</v>
      </c>
      <c r="B14" s="30" t="str">
        <f>Source!E32</f>
        <v>3</v>
      </c>
      <c r="C14" s="71" t="str">
        <f>Source!G32</f>
        <v>Разные устройства, монтаж коробки телевизионной (ответвители, разветвители магистральные, домовые, абонентские), УСС, БФТК</v>
      </c>
      <c r="D14" s="30" t="s">
        <v>39</v>
      </c>
      <c r="E14" s="72">
        <f>Source!I32</f>
        <v>28</v>
      </c>
      <c r="F14" s="30" t="str">
        <f>Source!U24</f>
        <v/>
      </c>
      <c r="G14" s="30">
        <f>Source!I32</f>
        <v>28</v>
      </c>
      <c r="H14" s="71"/>
    </row>
    <row r="15" spans="1:8" ht="14.25" x14ac:dyDescent="0.2">
      <c r="A15" s="30">
        <v>4</v>
      </c>
      <c r="B15" s="30" t="str">
        <f>Source!E34</f>
        <v>4</v>
      </c>
      <c r="C15" s="71" t="str">
        <f>Source!G34</f>
        <v>Устройство грозозащиты NST NS-LP-1GP/D</v>
      </c>
      <c r="D15" s="30" t="s">
        <v>30</v>
      </c>
      <c r="E15" s="72">
        <f>Source!I34</f>
        <v>28</v>
      </c>
      <c r="F15" s="30" t="str">
        <f>Source!U24</f>
        <v/>
      </c>
      <c r="G15" s="30">
        <f>Source!I34</f>
        <v>28</v>
      </c>
      <c r="H15" s="71"/>
    </row>
    <row r="16" spans="1:8" ht="14.25" x14ac:dyDescent="0.2">
      <c r="A16" s="30">
        <v>5</v>
      </c>
      <c r="B16" s="30" t="str">
        <f>Source!E36</f>
        <v>5</v>
      </c>
      <c r="C16" s="71" t="str">
        <f>Source!G36</f>
        <v>Монтаж наружной камеры видеонаблюдения</v>
      </c>
      <c r="D16" s="30" t="s">
        <v>21</v>
      </c>
      <c r="E16" s="72">
        <f>Source!I36</f>
        <v>10.9</v>
      </c>
      <c r="F16" s="30" t="str">
        <f>Source!U24</f>
        <v/>
      </c>
      <c r="G16" s="30" t="str">
        <f>"=109/"&amp;"10"</f>
        <v>=109/10</v>
      </c>
      <c r="H16" s="71"/>
    </row>
    <row r="17" spans="1:8" ht="57" x14ac:dyDescent="0.2">
      <c r="A17" s="30">
        <v>6</v>
      </c>
      <c r="B17" s="30" t="str">
        <f>Source!E38</f>
        <v>6</v>
      </c>
      <c r="C17" s="71" t="str">
        <f>Source!G38</f>
        <v>Купольная IP-видеокамера с фиксированным объективом IP 2 Мп; 1/2.8" КМОП, 1920х1080-25/30к/с; встроенный микрофон; Дальность ИК подсветки 25м; объектив 2.8мм(3.6мм, 6ммопционально) ; режим  "день/ночь", H264/ MJPEG ( Доп. поток) ; ; PoE 5 Вт; TR-D2D2 v2 2.7-13.5</v>
      </c>
      <c r="D17" s="30" t="s">
        <v>30</v>
      </c>
      <c r="E17" s="72">
        <f>Source!I38</f>
        <v>109</v>
      </c>
      <c r="F17" s="30" t="str">
        <f>Source!U24</f>
        <v/>
      </c>
      <c r="G17" s="30">
        <f>Source!I38</f>
        <v>109</v>
      </c>
      <c r="H17" s="71"/>
    </row>
    <row r="18" spans="1:8" ht="14.25" x14ac:dyDescent="0.2">
      <c r="A18" s="30">
        <v>7</v>
      </c>
      <c r="B18" s="30" t="str">
        <f>Source!E40</f>
        <v>7</v>
      </c>
      <c r="C18" s="71" t="str">
        <f>Source!G40</f>
        <v>Монтаж устройства цифровой регистрации</v>
      </c>
      <c r="D18" s="30" t="s">
        <v>60</v>
      </c>
      <c r="E18" s="72">
        <f>Source!I40</f>
        <v>1</v>
      </c>
      <c r="F18" s="30" t="str">
        <f>Source!U24</f>
        <v/>
      </c>
      <c r="G18" s="30">
        <f>Source!I40</f>
        <v>1</v>
      </c>
      <c r="H18" s="71"/>
    </row>
    <row r="19" spans="1:8" ht="28.5" x14ac:dyDescent="0.2">
      <c r="A19" s="30">
        <v>8</v>
      </c>
      <c r="B19" s="30" t="str">
        <f>Source!E42</f>
        <v>8</v>
      </c>
      <c r="C19" s="71" t="str">
        <f>Source!G42</f>
        <v>IP-видеорегистратор UltraStation 24/10 на 256 каналов, 24 HDD на 10 Тбайт UltraStation 24/10 256 v2 с 24 HDD</v>
      </c>
      <c r="D19" s="30" t="s">
        <v>30</v>
      </c>
      <c r="E19" s="72">
        <f>Source!I42</f>
        <v>1</v>
      </c>
      <c r="F19" s="30" t="str">
        <f>Source!U24</f>
        <v/>
      </c>
      <c r="G19" s="30">
        <f>Source!I42</f>
        <v>1</v>
      </c>
      <c r="H19" s="71"/>
    </row>
    <row r="20" spans="1:8" ht="14.25" x14ac:dyDescent="0.2">
      <c r="A20" s="30">
        <v>9</v>
      </c>
      <c r="B20" s="30" t="str">
        <f>Source!E44</f>
        <v>9</v>
      </c>
      <c r="C20" s="71" t="str">
        <f>Source!G44</f>
        <v>Программное обеспечение TRASSIR ЕЦХД</v>
      </c>
      <c r="D20" s="30" t="s">
        <v>30</v>
      </c>
      <c r="E20" s="72">
        <f>Source!I44</f>
        <v>1</v>
      </c>
      <c r="F20" s="30" t="str">
        <f>Source!U24</f>
        <v/>
      </c>
      <c r="G20" s="30">
        <f>Source!I44</f>
        <v>1</v>
      </c>
      <c r="H20" s="71"/>
    </row>
    <row r="21" spans="1:8" ht="14.25" x14ac:dyDescent="0.2">
      <c r="A21" s="30">
        <v>10</v>
      </c>
      <c r="B21" s="30" t="str">
        <f>Source!E46</f>
        <v>10</v>
      </c>
      <c r="C21" s="71" t="str">
        <f>Source!G46</f>
        <v>Монтаж коммутатора служебной связи</v>
      </c>
      <c r="D21" s="30" t="s">
        <v>39</v>
      </c>
      <c r="E21" s="72">
        <f>Source!I46</f>
        <v>9</v>
      </c>
      <c r="F21" s="30" t="str">
        <f>Source!U24</f>
        <v/>
      </c>
      <c r="G21" s="30" t="str">
        <f>"=1+"&amp;"1+"&amp;"7"</f>
        <v>=1+1+7</v>
      </c>
      <c r="H21" s="71"/>
    </row>
    <row r="22" spans="1:8" ht="14.25" x14ac:dyDescent="0.2">
      <c r="A22" s="30">
        <v>11</v>
      </c>
      <c r="B22" s="30" t="str">
        <f>Source!E48</f>
        <v>11</v>
      </c>
      <c r="C22" s="71" t="str">
        <f>Source!G48</f>
        <v>Коммутатор агрегации  MES3300-16F</v>
      </c>
      <c r="D22" s="30" t="s">
        <v>30</v>
      </c>
      <c r="E22" s="72">
        <f>Source!I48</f>
        <v>1</v>
      </c>
      <c r="F22" s="30" t="str">
        <f>Source!U24</f>
        <v/>
      </c>
      <c r="G22" s="30">
        <f>Source!I48</f>
        <v>1</v>
      </c>
      <c r="H22" s="71"/>
    </row>
    <row r="23" spans="1:8" ht="14.25" x14ac:dyDescent="0.2">
      <c r="A23" s="30">
        <v>12</v>
      </c>
      <c r="B23" s="30" t="str">
        <f>Source!E50</f>
        <v>12</v>
      </c>
      <c r="C23" s="71" t="str">
        <f>Source!G50</f>
        <v>Коммутатор доступа 48  PoE MES2420-48P</v>
      </c>
      <c r="D23" s="30" t="s">
        <v>30</v>
      </c>
      <c r="E23" s="72">
        <f>Source!I50</f>
        <v>1</v>
      </c>
      <c r="F23" s="30" t="str">
        <f>Source!U24</f>
        <v/>
      </c>
      <c r="G23" s="30">
        <f>Source!I50</f>
        <v>1</v>
      </c>
      <c r="H23" s="71"/>
    </row>
    <row r="24" spans="1:8" ht="14.25" x14ac:dyDescent="0.2">
      <c r="A24" s="30">
        <v>13</v>
      </c>
      <c r="B24" s="30" t="str">
        <f>Source!E52</f>
        <v>13</v>
      </c>
      <c r="C24" s="71" t="str">
        <f>Source!G52</f>
        <v>Коммутатор доступа 24  PoE MES2300-24P</v>
      </c>
      <c r="D24" s="30" t="s">
        <v>30</v>
      </c>
      <c r="E24" s="72">
        <f>Source!I52</f>
        <v>7</v>
      </c>
      <c r="F24" s="30" t="str">
        <f>Source!U24</f>
        <v/>
      </c>
      <c r="G24" s="30">
        <f>Source!I52</f>
        <v>7</v>
      </c>
      <c r="H24" s="71"/>
    </row>
    <row r="25" spans="1:8" ht="28.5" x14ac:dyDescent="0.2">
      <c r="A25" s="30">
        <v>14</v>
      </c>
      <c r="B25" s="30" t="str">
        <f>Source!E54</f>
        <v>14</v>
      </c>
      <c r="C25" s="71" t="str">
        <f>Source!G54</f>
        <v>Монтаж платы дополнительной, устанавливаемой на готовом месте стойки</v>
      </c>
      <c r="D25" s="30" t="s">
        <v>39</v>
      </c>
      <c r="E25" s="72">
        <f>Source!I54</f>
        <v>18</v>
      </c>
      <c r="F25" s="30" t="str">
        <f>Source!U24</f>
        <v/>
      </c>
      <c r="G25" s="30">
        <f>Source!I54</f>
        <v>18</v>
      </c>
      <c r="H25" s="71"/>
    </row>
    <row r="26" spans="1:8" ht="28.5" x14ac:dyDescent="0.2">
      <c r="A26" s="30">
        <v>15</v>
      </c>
      <c r="B26" s="30" t="str">
        <f>Source!E56</f>
        <v>15</v>
      </c>
      <c r="C26" s="71" t="str">
        <f>Source!G56</f>
        <v>SFP 1,25 GE модуль 550 м, ММ, 2 волокна, 850 пт, LC, DDM FH-S8512CDL05</v>
      </c>
      <c r="D26" s="30" t="s">
        <v>30</v>
      </c>
      <c r="E26" s="72">
        <f>Source!I56</f>
        <v>18</v>
      </c>
      <c r="F26" s="30" t="str">
        <f>Source!U24</f>
        <v/>
      </c>
      <c r="G26" s="30">
        <f>Source!I56</f>
        <v>18</v>
      </c>
      <c r="H26" s="71"/>
    </row>
    <row r="27" spans="1:8" ht="28.5" x14ac:dyDescent="0.2">
      <c r="A27" s="30">
        <v>16</v>
      </c>
      <c r="B27" s="30" t="str">
        <f>Source!E58</f>
        <v>16</v>
      </c>
      <c r="C27" s="71" t="str">
        <f>Source!G58</f>
        <v>Монтаж платы дополнительной, устанавливаемой на готовом месте стойки</v>
      </c>
      <c r="D27" s="30" t="s">
        <v>39</v>
      </c>
      <c r="E27" s="72">
        <f>Source!I58</f>
        <v>3</v>
      </c>
      <c r="F27" s="30" t="str">
        <f>Source!U24</f>
        <v/>
      </c>
      <c r="G27" s="30">
        <f>Source!I58</f>
        <v>3</v>
      </c>
      <c r="H27" s="71"/>
    </row>
    <row r="28" spans="1:8" ht="28.5" x14ac:dyDescent="0.2">
      <c r="A28" s="30">
        <v>17</v>
      </c>
      <c r="B28" s="30" t="str">
        <f>Source!E60</f>
        <v>17</v>
      </c>
      <c r="C28" s="71" t="str">
        <f>Source!G60</f>
        <v>Грозозащита для локальной вычислительной сети, 16 GE RJ-45 SP-IP16/1000PR</v>
      </c>
      <c r="D28" s="30" t="s">
        <v>30</v>
      </c>
      <c r="E28" s="72">
        <f>Source!I60</f>
        <v>3</v>
      </c>
      <c r="F28" s="30" t="str">
        <f>Source!U24</f>
        <v/>
      </c>
      <c r="G28" s="30">
        <f>Source!I60</f>
        <v>3</v>
      </c>
      <c r="H28" s="71"/>
    </row>
    <row r="29" spans="1:8" ht="14.25" x14ac:dyDescent="0.2">
      <c r="A29" s="30">
        <v>18</v>
      </c>
      <c r="B29" s="30" t="str">
        <f>Source!E62</f>
        <v>18</v>
      </c>
      <c r="C29" s="71" t="str">
        <f>Source!G62</f>
        <v>Монтаж аппаратуры настенной</v>
      </c>
      <c r="D29" s="30" t="s">
        <v>39</v>
      </c>
      <c r="E29" s="72">
        <f>Source!I62</f>
        <v>4</v>
      </c>
      <c r="F29" s="30" t="str">
        <f>Source!U24</f>
        <v/>
      </c>
      <c r="G29" s="30">
        <f>Source!I62</f>
        <v>4</v>
      </c>
      <c r="H29" s="71"/>
    </row>
    <row r="30" spans="1:8" ht="14.25" x14ac:dyDescent="0.2">
      <c r="A30" s="30">
        <v>19</v>
      </c>
      <c r="B30" s="30" t="str">
        <f>Source!E64</f>
        <v>19</v>
      </c>
      <c r="C30" s="71" t="str">
        <f>Source!G64</f>
        <v>Кронштейн настенного крепления RDW 2701K</v>
      </c>
      <c r="D30" s="30" t="s">
        <v>30</v>
      </c>
      <c r="E30" s="72">
        <f>Source!I64</f>
        <v>4</v>
      </c>
      <c r="F30" s="30" t="str">
        <f>Source!U24</f>
        <v/>
      </c>
      <c r="G30" s="30">
        <f>Source!I64</f>
        <v>4</v>
      </c>
      <c r="H30" s="71"/>
    </row>
    <row r="31" spans="1:8" ht="14.25" x14ac:dyDescent="0.2">
      <c r="A31" s="30">
        <v>20</v>
      </c>
      <c r="B31" s="30" t="str">
        <f>Source!E66</f>
        <v>20</v>
      </c>
      <c r="C31" s="71" t="str">
        <f>Source!G66</f>
        <v>Монитор RDW 2701K</v>
      </c>
      <c r="D31" s="30" t="s">
        <v>30</v>
      </c>
      <c r="E31" s="72">
        <f>Source!I66</f>
        <v>4</v>
      </c>
      <c r="F31" s="30" t="str">
        <f>Source!U24</f>
        <v/>
      </c>
      <c r="G31" s="30">
        <f>Source!I66</f>
        <v>4</v>
      </c>
      <c r="H31" s="71"/>
    </row>
    <row r="32" spans="1:8" ht="14.25" x14ac:dyDescent="0.2">
      <c r="A32" s="30">
        <v>21</v>
      </c>
      <c r="B32" s="30" t="str">
        <f>Source!E68</f>
        <v>21</v>
      </c>
      <c r="C32" s="71" t="str">
        <f>Source!G68</f>
        <v>Монтаж аппаратуры настольной массой до 20 кг</v>
      </c>
      <c r="D32" s="30" t="s">
        <v>39</v>
      </c>
      <c r="E32" s="72">
        <f>Source!I68</f>
        <v>1</v>
      </c>
      <c r="F32" s="30" t="str">
        <f>Source!U24</f>
        <v/>
      </c>
      <c r="G32" s="30">
        <f>Source!I68</f>
        <v>1</v>
      </c>
      <c r="H32" s="71"/>
    </row>
    <row r="33" spans="1:8" ht="14.25" x14ac:dyDescent="0.2">
      <c r="A33" s="30">
        <v>22</v>
      </c>
      <c r="B33" s="30" t="str">
        <f>Source!E70</f>
        <v>22</v>
      </c>
      <c r="C33" s="71" t="str">
        <f>Source!G70</f>
        <v>Рабочая станция DEPO Race VT955</v>
      </c>
      <c r="D33" s="30" t="s">
        <v>30</v>
      </c>
      <c r="E33" s="72">
        <f>Source!I70</f>
        <v>1</v>
      </c>
      <c r="F33" s="30" t="str">
        <f>Source!U24</f>
        <v/>
      </c>
      <c r="G33" s="30">
        <f>Source!I70</f>
        <v>1</v>
      </c>
      <c r="H33" s="71"/>
    </row>
    <row r="34" spans="1:8" ht="14.25" x14ac:dyDescent="0.2">
      <c r="A34" s="30">
        <v>23</v>
      </c>
      <c r="B34" s="30" t="str">
        <f>Source!E72</f>
        <v>23</v>
      </c>
      <c r="C34" s="71" t="str">
        <f>Source!G72</f>
        <v>Монтаж блока бесперебойного питания (ББП) в диспетчерской</v>
      </c>
      <c r="D34" s="30" t="s">
        <v>39</v>
      </c>
      <c r="E34" s="72">
        <f>Source!I72</f>
        <v>8</v>
      </c>
      <c r="F34" s="30" t="str">
        <f>Source!U24</f>
        <v/>
      </c>
      <c r="G34" s="30">
        <f>Source!I72</f>
        <v>8</v>
      </c>
      <c r="H34" s="71"/>
    </row>
    <row r="35" spans="1:8" ht="28.5" x14ac:dyDescent="0.2">
      <c r="A35" s="30">
        <v>24</v>
      </c>
      <c r="B35" s="30" t="str">
        <f>Source!E74</f>
        <v>24</v>
      </c>
      <c r="C35" s="71" t="str">
        <f>Source!G74</f>
        <v>Источник бесперебойного питания 3000 ВА/2700 Вт SKAT-UPS 3000-RACK-ON-6x9-E</v>
      </c>
      <c r="D35" s="30" t="s">
        <v>30</v>
      </c>
      <c r="E35" s="72">
        <f>Source!I74</f>
        <v>8</v>
      </c>
      <c r="F35" s="30" t="str">
        <f>Source!U24</f>
        <v/>
      </c>
      <c r="G35" s="30">
        <f>Source!I74</f>
        <v>8</v>
      </c>
      <c r="H35" s="71"/>
    </row>
    <row r="36" spans="1:8" ht="14.25" x14ac:dyDescent="0.2">
      <c r="A36" s="30">
        <v>25</v>
      </c>
      <c r="B36" s="30" t="str">
        <f>Source!E76</f>
        <v>25</v>
      </c>
      <c r="C36" s="71" t="str">
        <f>Source!G76</f>
        <v>Батарейный блок 18Ач/72В  SKAT BC 72/18S3 RACK</v>
      </c>
      <c r="D36" s="30" t="s">
        <v>30</v>
      </c>
      <c r="E36" s="72">
        <f>Source!I76</f>
        <v>2</v>
      </c>
      <c r="F36" s="30" t="str">
        <f>Source!U24</f>
        <v/>
      </c>
      <c r="G36" s="30">
        <f>Source!I76</f>
        <v>2</v>
      </c>
      <c r="H36" s="71"/>
    </row>
    <row r="37" spans="1:8" ht="16.5" x14ac:dyDescent="0.25">
      <c r="A37" s="68" t="str">
        <f>CONCATENATE("Раздел: ", Source!G109)</f>
        <v>Раздел: Материалы и кабельные изделия</v>
      </c>
      <c r="B37" s="68"/>
      <c r="C37" s="68"/>
      <c r="D37" s="68"/>
      <c r="E37" s="68"/>
      <c r="F37" s="68"/>
      <c r="G37" s="68"/>
      <c r="H37" s="68"/>
    </row>
    <row r="38" spans="1:8" ht="28.5" x14ac:dyDescent="0.2">
      <c r="A38" s="30">
        <v>26</v>
      </c>
      <c r="B38" s="30" t="str">
        <f>Source!E113</f>
        <v>26</v>
      </c>
      <c r="C38" s="71" t="str">
        <f>Source!G113</f>
        <v>Установка съемных и выдвижных блоков (модулей, ячеек, ТЭЗ) массой до 5 кг</v>
      </c>
      <c r="D38" s="30" t="s">
        <v>39</v>
      </c>
      <c r="E38" s="72">
        <f>Source!I113</f>
        <v>18</v>
      </c>
      <c r="F38" s="30" t="str">
        <f>Source!U109</f>
        <v/>
      </c>
      <c r="G38" s="30" t="str">
        <f>"=2+"&amp;"8+"&amp;"1+"&amp;"7"</f>
        <v>=2+8+1+7</v>
      </c>
      <c r="H38" s="71"/>
    </row>
    <row r="39" spans="1:8" ht="28.5" x14ac:dyDescent="0.2">
      <c r="A39" s="30">
        <v>27</v>
      </c>
      <c r="B39" s="30" t="str">
        <f>Source!E115</f>
        <v>27</v>
      </c>
      <c r="C39" s="71" t="str">
        <f>Source!G115</f>
        <v>Оптический распределительный кросс укомплектованный: LC (Duplex) 24 шт, (ОМЗ) FOBX24-1U-24LCUD03</v>
      </c>
      <c r="D39" s="30" t="s">
        <v>30</v>
      </c>
      <c r="E39" s="72">
        <f>Source!I115</f>
        <v>2</v>
      </c>
      <c r="F39" s="30" t="str">
        <f>Source!U109</f>
        <v/>
      </c>
      <c r="G39" s="30">
        <f>Source!I115</f>
        <v>2</v>
      </c>
      <c r="H39" s="71"/>
    </row>
    <row r="40" spans="1:8" ht="28.5" x14ac:dyDescent="0.2">
      <c r="A40" s="30">
        <v>28</v>
      </c>
      <c r="B40" s="30" t="str">
        <f>Source!E117</f>
        <v>28</v>
      </c>
      <c r="C40" s="71" t="str">
        <f>Source!G117</f>
        <v>Оптический распределительный кросс укомплектованный: LC (Duplex) 8 шт, (ОМЗ) FOBX24-1U-8LCUD03</v>
      </c>
      <c r="D40" s="30" t="s">
        <v>30</v>
      </c>
      <c r="E40" s="72">
        <f>Source!I117</f>
        <v>8</v>
      </c>
      <c r="F40" s="30" t="str">
        <f>Source!U109</f>
        <v/>
      </c>
      <c r="G40" s="30">
        <f>Source!I117</f>
        <v>8</v>
      </c>
      <c r="H40" s="71"/>
    </row>
    <row r="41" spans="1:8" ht="28.5" x14ac:dyDescent="0.2">
      <c r="A41" s="30">
        <v>29</v>
      </c>
      <c r="B41" s="30" t="str">
        <f>Source!E119</f>
        <v>29</v>
      </c>
      <c r="C41" s="71" t="str">
        <f>Source!G119</f>
        <v>1U патч-панель кат.5E UTP 48 портов (DUAL IDC)  высокой плотности  PP48-1UC5EU-D05H</v>
      </c>
      <c r="D41" s="30" t="s">
        <v>30</v>
      </c>
      <c r="E41" s="72">
        <f>Source!I119</f>
        <v>1</v>
      </c>
      <c r="F41" s="30" t="str">
        <f>Source!U109</f>
        <v/>
      </c>
      <c r="G41" s="30">
        <f>Source!I119</f>
        <v>1</v>
      </c>
      <c r="H41" s="71"/>
    </row>
    <row r="42" spans="1:8" ht="28.5" x14ac:dyDescent="0.2">
      <c r="A42" s="30">
        <v>30</v>
      </c>
      <c r="B42" s="30" t="str">
        <f>Source!E121</f>
        <v>30</v>
      </c>
      <c r="C42" s="71" t="str">
        <f>Source!G121</f>
        <v>1U патч-панель кат.5E UTP 24портов (DUAL IDC)  высокой плотности  PP24-1UC5EU-D05-1</v>
      </c>
      <c r="D42" s="30" t="s">
        <v>30</v>
      </c>
      <c r="E42" s="72">
        <f>Source!I121</f>
        <v>7</v>
      </c>
      <c r="F42" s="30" t="str">
        <f>Source!U109</f>
        <v/>
      </c>
      <c r="G42" s="30">
        <f>Source!I121</f>
        <v>7</v>
      </c>
      <c r="H42" s="71"/>
    </row>
    <row r="43" spans="1:8" ht="16.5" x14ac:dyDescent="0.25">
      <c r="A43" s="68" t="str">
        <f>CONCATENATE("Раздел: ", Source!G154)</f>
        <v>Раздел: Кабельные изделия</v>
      </c>
      <c r="B43" s="68"/>
      <c r="C43" s="68"/>
      <c r="D43" s="68"/>
      <c r="E43" s="68"/>
      <c r="F43" s="68"/>
      <c r="G43" s="68"/>
      <c r="H43" s="68"/>
    </row>
    <row r="44" spans="1:8" ht="28.5" x14ac:dyDescent="0.2">
      <c r="A44" s="30">
        <v>31</v>
      </c>
      <c r="B44" s="30" t="str">
        <f>Source!E158</f>
        <v>31</v>
      </c>
      <c r="C44" s="71" t="str">
        <f>Source!G158</f>
        <v>Трубы гофрированные поливинилхлоридные наружным диаметром 20 мм открыто по стенам и потолкам с установкой соединительных коробок</v>
      </c>
      <c r="D44" s="30" t="s">
        <v>212</v>
      </c>
      <c r="E44" s="72">
        <f>Source!I158</f>
        <v>30</v>
      </c>
      <c r="F44" s="30" t="str">
        <f>Source!U154</f>
        <v/>
      </c>
      <c r="G44" s="30" t="str">
        <f>"=3000/"&amp;"100"</f>
        <v>=3000/100</v>
      </c>
      <c r="H44" s="71"/>
    </row>
    <row r="45" spans="1:8" ht="42.75" x14ac:dyDescent="0.2">
      <c r="A45" s="30">
        <v>32</v>
      </c>
      <c r="B45" s="30" t="str">
        <f>Source!E162</f>
        <v>32</v>
      </c>
      <c r="C45" s="71" t="str">
        <f>Source!G162</f>
        <v>Затягивание провода в проложенные трубы и металлические рукава, первого одножильного или многожильного в общей оплетке, суммарное сечение до 6 мм2</v>
      </c>
      <c r="D45" s="30" t="s">
        <v>212</v>
      </c>
      <c r="E45" s="72">
        <f>Source!I162</f>
        <v>30</v>
      </c>
      <c r="F45" s="30" t="str">
        <f>Source!U154</f>
        <v/>
      </c>
      <c r="G45" s="30" t="str">
        <f>"=3000/"&amp;"100"</f>
        <v>=3000/100</v>
      </c>
      <c r="H45" s="71"/>
    </row>
    <row r="46" spans="1:8" ht="57" x14ac:dyDescent="0.2">
      <c r="A46" s="30">
        <v>33</v>
      </c>
      <c r="B46" s="30" t="str">
        <f>Source!E164</f>
        <v>33</v>
      </c>
      <c r="C46" s="71" t="str">
        <f>Source!G164</f>
        <v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v>
      </c>
      <c r="D46" s="30" t="s">
        <v>212</v>
      </c>
      <c r="E46" s="72">
        <f>Source!I164</f>
        <v>38.200000000000003</v>
      </c>
      <c r="F46" s="30" t="str">
        <f>Source!U154</f>
        <v/>
      </c>
      <c r="G46" s="30" t="str">
        <f>"=((500+"&amp;"6320)-"&amp;"3000)/"&amp;"100"</f>
        <v>=((500+6320)-3000)/100</v>
      </c>
      <c r="H46" s="71"/>
    </row>
    <row r="47" spans="1:8" ht="28.5" x14ac:dyDescent="0.2">
      <c r="A47" s="30">
        <v>34</v>
      </c>
      <c r="B47" s="30" t="str">
        <f>Source!E166</f>
        <v>34</v>
      </c>
      <c r="C47" s="71" t="str">
        <f>Source!G166</f>
        <v>Волоконно-оптический кабель, 8 волокон, многомод 50/125 мкм ОБР-В-нг(Ф)-HFLTx 8 G/651 400H</v>
      </c>
      <c r="D47" s="30" t="s">
        <v>232</v>
      </c>
      <c r="E47" s="72">
        <f>Source!I166</f>
        <v>0.51</v>
      </c>
      <c r="F47" s="30" t="str">
        <f>Source!U154</f>
        <v/>
      </c>
      <c r="G47" s="30" t="str">
        <f>"=(500*"&amp;"1,02)/"&amp;"1000"</f>
        <v>=(500*1,02)/1000</v>
      </c>
      <c r="H47" s="71"/>
    </row>
    <row r="48" spans="1:8" ht="28.5" x14ac:dyDescent="0.2">
      <c r="A48" s="30">
        <v>35</v>
      </c>
      <c r="B48" s="30" t="str">
        <f>Source!E168</f>
        <v>35</v>
      </c>
      <c r="C48" s="71" t="str">
        <f>Source!G168</f>
        <v>Кабель витая пара ParLan U/UTP Cat5e PVCLS нг(А)-LSLTx 4x20,52</v>
      </c>
      <c r="D48" s="30" t="s">
        <v>232</v>
      </c>
      <c r="E48" s="72">
        <f>Source!I168</f>
        <v>6.4463999999999997</v>
      </c>
      <c r="F48" s="30" t="str">
        <f>Source!U154</f>
        <v/>
      </c>
      <c r="G48" s="30" t="str">
        <f>"=(6320*"&amp;"1,02)/"&amp;"1000"</f>
        <v>=(6320*1,02)/1000</v>
      </c>
      <c r="H48" s="71"/>
    </row>
    <row r="49" spans="1:8" ht="42.75" x14ac:dyDescent="0.2">
      <c r="A49" s="30">
        <v>36</v>
      </c>
      <c r="B49" s="30" t="str">
        <f>Source!E170</f>
        <v>36</v>
      </c>
      <c r="C49" s="71" t="str">
        <f>Source!G170</f>
        <v>Шнур оптический соединительный (патч-корд), тип разъемов LC/UPC-SC/UPC, 9/125 мкм, одномодовый, дуплексный, оболочка LSZH, длина 1 м</v>
      </c>
      <c r="D49" s="30" t="s">
        <v>241</v>
      </c>
      <c r="E49" s="72">
        <f>Source!I170</f>
        <v>20</v>
      </c>
      <c r="F49" s="30" t="str">
        <f>Source!U154</f>
        <v/>
      </c>
      <c r="G49" s="30">
        <f>Source!I170</f>
        <v>20</v>
      </c>
      <c r="H49" s="71"/>
    </row>
    <row r="50" spans="1:8" ht="28.5" x14ac:dyDescent="0.2">
      <c r="A50" s="29">
        <v>37</v>
      </c>
      <c r="B50" s="29" t="str">
        <f>Source!E172</f>
        <v>37</v>
      </c>
      <c r="C50" s="69" t="str">
        <f>Source!G172</f>
        <v>Шнур коммутационный (патч-корд) тип разъемов RJ45 - RJ45, категория 5E, оболочка LSZH, длина 1 м, неэкранированный</v>
      </c>
      <c r="D50" s="29" t="s">
        <v>241</v>
      </c>
      <c r="E50" s="70">
        <f>Source!I172</f>
        <v>150</v>
      </c>
      <c r="F50" s="29" t="str">
        <f>Source!U154</f>
        <v/>
      </c>
      <c r="G50" s="29">
        <f>Source!I172</f>
        <v>150</v>
      </c>
      <c r="H50" s="69"/>
    </row>
    <row r="53" spans="1:8" ht="15" x14ac:dyDescent="0.25">
      <c r="C53" s="73" t="s">
        <v>453</v>
      </c>
      <c r="D53" s="73" t="str">
        <f>IF(Source!X12&lt;&gt;"", Source!X12," ")</f>
        <v xml:space="preserve"> </v>
      </c>
      <c r="E53" s="74"/>
    </row>
    <row r="54" spans="1:8" ht="15" x14ac:dyDescent="0.25">
      <c r="C54" s="11"/>
      <c r="D54" s="74"/>
      <c r="E54" s="74"/>
    </row>
    <row r="55" spans="1:8" ht="15" x14ac:dyDescent="0.25">
      <c r="C55" s="75" t="s">
        <v>454</v>
      </c>
      <c r="D55" s="75" t="str">
        <f>IF(Source!AB12&lt;&gt;"", Source!AB12," ")</f>
        <v>Соколова И.Н.</v>
      </c>
      <c r="E55" s="74"/>
    </row>
  </sheetData>
  <mergeCells count="6">
    <mergeCell ref="B4:E4"/>
    <mergeCell ref="B5:E5"/>
    <mergeCell ref="A10:H10"/>
    <mergeCell ref="A11:H11"/>
    <mergeCell ref="A37:H37"/>
    <mergeCell ref="A43:H43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282"/>
  <sheetViews>
    <sheetView workbookViewId="0">
      <selection activeCell="A278" sqref="A278:AX278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274</v>
      </c>
      <c r="C12" s="1">
        <v>0</v>
      </c>
      <c r="D12" s="1">
        <f>ROW(A235)</f>
        <v>235</v>
      </c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B235</f>
        <v>274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/>
      </c>
      <c r="G18" s="3" t="str">
        <f t="shared" si="0"/>
        <v>02-01-14 СОТ</v>
      </c>
      <c r="H18" s="3"/>
      <c r="I18" s="3"/>
      <c r="J18" s="3"/>
      <c r="K18" s="3"/>
      <c r="L18" s="3"/>
      <c r="M18" s="3"/>
      <c r="N18" s="3"/>
      <c r="O18" s="3">
        <f t="shared" ref="O18:AT18" si="1">O235</f>
        <v>1018066.34</v>
      </c>
      <c r="P18" s="3">
        <f t="shared" si="1"/>
        <v>997324.72</v>
      </c>
      <c r="Q18" s="3">
        <f t="shared" si="1"/>
        <v>1999.81</v>
      </c>
      <c r="R18" s="3">
        <f t="shared" si="1"/>
        <v>291.77</v>
      </c>
      <c r="S18" s="3">
        <f t="shared" si="1"/>
        <v>18741.810000000001</v>
      </c>
      <c r="T18" s="3">
        <f t="shared" si="1"/>
        <v>0</v>
      </c>
      <c r="U18" s="3">
        <f t="shared" si="1"/>
        <v>1399.7194915</v>
      </c>
      <c r="V18" s="3">
        <f t="shared" si="1"/>
        <v>0</v>
      </c>
      <c r="W18" s="3">
        <f t="shared" si="1"/>
        <v>0</v>
      </c>
      <c r="X18" s="3">
        <f t="shared" si="1"/>
        <v>17890.66</v>
      </c>
      <c r="Y18" s="3">
        <f t="shared" si="1"/>
        <v>9332.65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909976.51</v>
      </c>
      <c r="AQ18" s="3">
        <f t="shared" si="1"/>
        <v>0</v>
      </c>
      <c r="AR18" s="3">
        <f t="shared" si="1"/>
        <v>1045289.65</v>
      </c>
      <c r="AS18" s="3">
        <f t="shared" si="1"/>
        <v>0</v>
      </c>
      <c r="AT18" s="3">
        <f t="shared" si="1"/>
        <v>135313.14000000001</v>
      </c>
      <c r="AU18" s="3">
        <f t="shared" ref="AU18:BZ18" si="2">AU235</f>
        <v>0</v>
      </c>
      <c r="AV18" s="3">
        <f t="shared" si="2"/>
        <v>997324.72</v>
      </c>
      <c r="AW18" s="3">
        <f t="shared" si="2"/>
        <v>87348.21</v>
      </c>
      <c r="AX18" s="3">
        <f t="shared" si="2"/>
        <v>0</v>
      </c>
      <c r="AY18" s="3">
        <f t="shared" si="2"/>
        <v>87348.21</v>
      </c>
      <c r="AZ18" s="3">
        <f t="shared" si="2"/>
        <v>909976.51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CA235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DG235</f>
        <v>8800992.5899999999</v>
      </c>
      <c r="DH18" s="4">
        <f t="shared" si="4"/>
        <v>7737165.1799999997</v>
      </c>
      <c r="DI18" s="4">
        <f t="shared" si="4"/>
        <v>33215.29</v>
      </c>
      <c r="DJ18" s="4">
        <f t="shared" si="4"/>
        <v>16044.44</v>
      </c>
      <c r="DK18" s="4">
        <f t="shared" si="4"/>
        <v>1030612.12</v>
      </c>
      <c r="DL18" s="4">
        <f t="shared" si="4"/>
        <v>0</v>
      </c>
      <c r="DM18" s="4">
        <f t="shared" si="4"/>
        <v>1399.7194915</v>
      </c>
      <c r="DN18" s="4">
        <f t="shared" si="4"/>
        <v>0</v>
      </c>
      <c r="DO18" s="4">
        <f t="shared" si="4"/>
        <v>0</v>
      </c>
      <c r="DP18" s="4">
        <f t="shared" si="4"/>
        <v>983807.72</v>
      </c>
      <c r="DQ18" s="4">
        <f t="shared" si="4"/>
        <v>513201.97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6965423.8399999999</v>
      </c>
      <c r="EI18" s="4">
        <f t="shared" si="4"/>
        <v>0</v>
      </c>
      <c r="EJ18" s="4">
        <f t="shared" si="4"/>
        <v>10298002.279999999</v>
      </c>
      <c r="EK18" s="4">
        <f t="shared" si="4"/>
        <v>0</v>
      </c>
      <c r="EL18" s="4">
        <f t="shared" si="4"/>
        <v>3332578.44</v>
      </c>
      <c r="EM18" s="4">
        <f t="shared" ref="EM18:FR18" si="5">EM235</f>
        <v>0</v>
      </c>
      <c r="EN18" s="4">
        <f t="shared" si="5"/>
        <v>7737165.1799999997</v>
      </c>
      <c r="EO18" s="4">
        <f t="shared" si="5"/>
        <v>771741.34</v>
      </c>
      <c r="EP18" s="4">
        <f t="shared" si="5"/>
        <v>0</v>
      </c>
      <c r="EQ18" s="4">
        <f t="shared" si="5"/>
        <v>771741.34</v>
      </c>
      <c r="ER18" s="4">
        <f t="shared" si="5"/>
        <v>6965423.8399999999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FS235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ROW(A205)</f>
        <v>205</v>
      </c>
      <c r="E20" s="1"/>
      <c r="F20" s="1" t="s">
        <v>15</v>
      </c>
      <c r="G20" s="1" t="s">
        <v>16</v>
      </c>
      <c r="H20" s="1" t="s">
        <v>3</v>
      </c>
      <c r="I20" s="1">
        <v>0</v>
      </c>
      <c r="J20" s="1" t="s">
        <v>6</v>
      </c>
      <c r="K20" s="1">
        <v>-1</v>
      </c>
      <c r="L20" s="1" t="s">
        <v>15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2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B205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02-01-14</v>
      </c>
      <c r="G22" s="3" t="str">
        <f t="shared" si="7"/>
        <v>Система охранного теленаблюдения</v>
      </c>
      <c r="H22" s="3"/>
      <c r="I22" s="3"/>
      <c r="J22" s="3"/>
      <c r="K22" s="3"/>
      <c r="L22" s="3"/>
      <c r="M22" s="3"/>
      <c r="N22" s="3"/>
      <c r="O22" s="3">
        <f t="shared" ref="O22:AT22" si="8">O205</f>
        <v>1018066.34</v>
      </c>
      <c r="P22" s="3">
        <f t="shared" si="8"/>
        <v>997324.72</v>
      </c>
      <c r="Q22" s="3">
        <f t="shared" si="8"/>
        <v>1999.81</v>
      </c>
      <c r="R22" s="3">
        <f t="shared" si="8"/>
        <v>291.77</v>
      </c>
      <c r="S22" s="3">
        <f t="shared" si="8"/>
        <v>18741.810000000001</v>
      </c>
      <c r="T22" s="3">
        <f t="shared" si="8"/>
        <v>0</v>
      </c>
      <c r="U22" s="3">
        <f t="shared" si="8"/>
        <v>1399.7194915</v>
      </c>
      <c r="V22" s="3">
        <f t="shared" si="8"/>
        <v>0</v>
      </c>
      <c r="W22" s="3">
        <f t="shared" si="8"/>
        <v>0</v>
      </c>
      <c r="X22" s="3">
        <f t="shared" si="8"/>
        <v>17890.66</v>
      </c>
      <c r="Y22" s="3">
        <f t="shared" si="8"/>
        <v>9332.65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909976.51</v>
      </c>
      <c r="AQ22" s="3">
        <f t="shared" si="8"/>
        <v>0</v>
      </c>
      <c r="AR22" s="3">
        <f t="shared" si="8"/>
        <v>1045289.65</v>
      </c>
      <c r="AS22" s="3">
        <f t="shared" si="8"/>
        <v>0</v>
      </c>
      <c r="AT22" s="3">
        <f t="shared" si="8"/>
        <v>135313.14000000001</v>
      </c>
      <c r="AU22" s="3">
        <f t="shared" ref="AU22:BZ22" si="9">AU205</f>
        <v>0</v>
      </c>
      <c r="AV22" s="3">
        <f t="shared" si="9"/>
        <v>997324.72</v>
      </c>
      <c r="AW22" s="3">
        <f t="shared" si="9"/>
        <v>87348.21</v>
      </c>
      <c r="AX22" s="3">
        <f t="shared" si="9"/>
        <v>0</v>
      </c>
      <c r="AY22" s="3">
        <f t="shared" si="9"/>
        <v>87348.21</v>
      </c>
      <c r="AZ22" s="3">
        <f t="shared" si="9"/>
        <v>909976.51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CA205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DG205</f>
        <v>8800992.5899999999</v>
      </c>
      <c r="DH22" s="4">
        <f t="shared" si="11"/>
        <v>7737165.1799999997</v>
      </c>
      <c r="DI22" s="4">
        <f t="shared" si="11"/>
        <v>33215.29</v>
      </c>
      <c r="DJ22" s="4">
        <f t="shared" si="11"/>
        <v>16044.44</v>
      </c>
      <c r="DK22" s="4">
        <f t="shared" si="11"/>
        <v>1030612.12</v>
      </c>
      <c r="DL22" s="4">
        <f t="shared" si="11"/>
        <v>0</v>
      </c>
      <c r="DM22" s="4">
        <f t="shared" si="11"/>
        <v>1399.7194915</v>
      </c>
      <c r="DN22" s="4">
        <f t="shared" si="11"/>
        <v>0</v>
      </c>
      <c r="DO22" s="4">
        <f t="shared" si="11"/>
        <v>0</v>
      </c>
      <c r="DP22" s="4">
        <f t="shared" si="11"/>
        <v>983807.72</v>
      </c>
      <c r="DQ22" s="4">
        <f t="shared" si="11"/>
        <v>513201.97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6965423.8399999999</v>
      </c>
      <c r="EI22" s="4">
        <f t="shared" si="11"/>
        <v>0</v>
      </c>
      <c r="EJ22" s="4">
        <f t="shared" si="11"/>
        <v>10298002.279999999</v>
      </c>
      <c r="EK22" s="4">
        <f t="shared" si="11"/>
        <v>0</v>
      </c>
      <c r="EL22" s="4">
        <f t="shared" si="11"/>
        <v>3332578.44</v>
      </c>
      <c r="EM22" s="4">
        <f t="shared" ref="EM22:FR22" si="12">EM205</f>
        <v>0</v>
      </c>
      <c r="EN22" s="4">
        <f t="shared" si="12"/>
        <v>7737165.1799999997</v>
      </c>
      <c r="EO22" s="4">
        <f t="shared" si="12"/>
        <v>771741.34</v>
      </c>
      <c r="EP22" s="4">
        <f t="shared" si="12"/>
        <v>0</v>
      </c>
      <c r="EQ22" s="4">
        <f t="shared" si="12"/>
        <v>771741.34</v>
      </c>
      <c r="ER22" s="4">
        <f t="shared" si="12"/>
        <v>6965423.8399999999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FS205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ROW(A79)</f>
        <v>79</v>
      </c>
      <c r="E24" s="1"/>
      <c r="F24" s="1" t="s">
        <v>3</v>
      </c>
      <c r="G24" s="1" t="s">
        <v>17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2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B79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Оборудование</v>
      </c>
      <c r="H26" s="3"/>
      <c r="I26" s="3"/>
      <c r="J26" s="3"/>
      <c r="K26" s="3"/>
      <c r="L26" s="3"/>
      <c r="M26" s="3"/>
      <c r="N26" s="3"/>
      <c r="O26" s="3">
        <f t="shared" ref="O26:AT26" si="15">O79</f>
        <v>899801.87</v>
      </c>
      <c r="P26" s="3">
        <f t="shared" si="15"/>
        <v>890668.32</v>
      </c>
      <c r="Q26" s="3">
        <f t="shared" si="15"/>
        <v>557.09</v>
      </c>
      <c r="R26" s="3">
        <f t="shared" si="15"/>
        <v>59.23</v>
      </c>
      <c r="S26" s="3">
        <f t="shared" si="15"/>
        <v>8576.4599999999991</v>
      </c>
      <c r="T26" s="3">
        <f t="shared" si="15"/>
        <v>0</v>
      </c>
      <c r="U26" s="3">
        <f t="shared" si="15"/>
        <v>593.36134330000016</v>
      </c>
      <c r="V26" s="3">
        <f t="shared" si="15"/>
        <v>0</v>
      </c>
      <c r="W26" s="3">
        <f t="shared" si="15"/>
        <v>0</v>
      </c>
      <c r="X26" s="3">
        <f t="shared" si="15"/>
        <v>7821.73</v>
      </c>
      <c r="Y26" s="3">
        <f t="shared" si="15"/>
        <v>4041.88</v>
      </c>
      <c r="Z26" s="3">
        <f t="shared" si="15"/>
        <v>0</v>
      </c>
      <c r="AA26" s="3">
        <f t="shared" si="15"/>
        <v>0</v>
      </c>
      <c r="AB26" s="3">
        <f t="shared" si="15"/>
        <v>899801.87</v>
      </c>
      <c r="AC26" s="3">
        <f t="shared" si="15"/>
        <v>890668.32</v>
      </c>
      <c r="AD26" s="3">
        <f t="shared" si="15"/>
        <v>557.09</v>
      </c>
      <c r="AE26" s="3">
        <f t="shared" si="15"/>
        <v>59.23</v>
      </c>
      <c r="AF26" s="3">
        <f t="shared" si="15"/>
        <v>8576.4599999999991</v>
      </c>
      <c r="AG26" s="3">
        <f t="shared" si="15"/>
        <v>0</v>
      </c>
      <c r="AH26" s="3">
        <f t="shared" si="15"/>
        <v>593.36134330000016</v>
      </c>
      <c r="AI26" s="3">
        <f t="shared" si="15"/>
        <v>0</v>
      </c>
      <c r="AJ26" s="3">
        <f t="shared" si="15"/>
        <v>0</v>
      </c>
      <c r="AK26" s="3">
        <f t="shared" si="15"/>
        <v>7821.73</v>
      </c>
      <c r="AL26" s="3">
        <f t="shared" si="15"/>
        <v>4041.88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881507.25</v>
      </c>
      <c r="AQ26" s="3">
        <f t="shared" si="15"/>
        <v>0</v>
      </c>
      <c r="AR26" s="3">
        <f t="shared" si="15"/>
        <v>911665.48</v>
      </c>
      <c r="AS26" s="3">
        <f t="shared" si="15"/>
        <v>0</v>
      </c>
      <c r="AT26" s="3">
        <f t="shared" si="15"/>
        <v>30158.23</v>
      </c>
      <c r="AU26" s="3">
        <f t="shared" ref="AU26:BZ26" si="16">AU79</f>
        <v>0</v>
      </c>
      <c r="AV26" s="3">
        <f t="shared" si="16"/>
        <v>890668.32</v>
      </c>
      <c r="AW26" s="3">
        <f t="shared" si="16"/>
        <v>9161.07</v>
      </c>
      <c r="AX26" s="3">
        <f t="shared" si="16"/>
        <v>0</v>
      </c>
      <c r="AY26" s="3">
        <f t="shared" si="16"/>
        <v>9161.07</v>
      </c>
      <c r="AZ26" s="3">
        <f t="shared" si="16"/>
        <v>881507.25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881507.25</v>
      </c>
      <c r="BZ26" s="3">
        <f t="shared" si="16"/>
        <v>0</v>
      </c>
      <c r="CA26" s="3">
        <f t="shared" ref="CA26:DF26" si="17">CA79</f>
        <v>911665.48</v>
      </c>
      <c r="CB26" s="3">
        <f t="shared" si="17"/>
        <v>0</v>
      </c>
      <c r="CC26" s="3">
        <f t="shared" si="17"/>
        <v>30158.23</v>
      </c>
      <c r="CD26" s="3">
        <f t="shared" si="17"/>
        <v>0</v>
      </c>
      <c r="CE26" s="3">
        <f t="shared" si="17"/>
        <v>890668.32</v>
      </c>
      <c r="CF26" s="3">
        <f t="shared" si="17"/>
        <v>9161.0699999999488</v>
      </c>
      <c r="CG26" s="3">
        <f t="shared" si="17"/>
        <v>0</v>
      </c>
      <c r="CH26" s="3">
        <f t="shared" si="17"/>
        <v>9161.0699999999488</v>
      </c>
      <c r="CI26" s="3">
        <f t="shared" si="17"/>
        <v>881507.25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DG79</f>
        <v>7318730.4900000002</v>
      </c>
      <c r="DH26" s="4">
        <f t="shared" si="18"/>
        <v>6838653.25</v>
      </c>
      <c r="DI26" s="4">
        <f t="shared" si="18"/>
        <v>8457.7099999999991</v>
      </c>
      <c r="DJ26" s="4">
        <f t="shared" si="18"/>
        <v>3257.06</v>
      </c>
      <c r="DK26" s="4">
        <f t="shared" si="18"/>
        <v>471619.53</v>
      </c>
      <c r="DL26" s="4">
        <f t="shared" si="18"/>
        <v>0</v>
      </c>
      <c r="DM26" s="4">
        <f t="shared" si="18"/>
        <v>593.36134330000016</v>
      </c>
      <c r="DN26" s="4">
        <f t="shared" si="18"/>
        <v>0</v>
      </c>
      <c r="DO26" s="4">
        <f t="shared" si="18"/>
        <v>0</v>
      </c>
      <c r="DP26" s="4">
        <f t="shared" si="18"/>
        <v>430117.17</v>
      </c>
      <c r="DQ26" s="4">
        <f t="shared" si="18"/>
        <v>222262.78</v>
      </c>
      <c r="DR26" s="4">
        <f t="shared" si="18"/>
        <v>0</v>
      </c>
      <c r="DS26" s="4">
        <f t="shared" si="18"/>
        <v>0</v>
      </c>
      <c r="DT26" s="4">
        <f t="shared" si="18"/>
        <v>7318730.4900000002</v>
      </c>
      <c r="DU26" s="4">
        <f t="shared" si="18"/>
        <v>6838653.25</v>
      </c>
      <c r="DV26" s="4">
        <f t="shared" si="18"/>
        <v>8457.7099999999991</v>
      </c>
      <c r="DW26" s="4">
        <f t="shared" si="18"/>
        <v>3257.06</v>
      </c>
      <c r="DX26" s="4">
        <f t="shared" si="18"/>
        <v>471619.53</v>
      </c>
      <c r="DY26" s="4">
        <f t="shared" si="18"/>
        <v>0</v>
      </c>
      <c r="DZ26" s="4">
        <f t="shared" si="18"/>
        <v>593.36134330000016</v>
      </c>
      <c r="EA26" s="4">
        <f t="shared" si="18"/>
        <v>0</v>
      </c>
      <c r="EB26" s="4">
        <f t="shared" si="18"/>
        <v>0</v>
      </c>
      <c r="EC26" s="4">
        <f t="shared" si="18"/>
        <v>430117.17</v>
      </c>
      <c r="ED26" s="4">
        <f t="shared" si="18"/>
        <v>222262.78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6752345.5300000003</v>
      </c>
      <c r="EI26" s="4">
        <f t="shared" si="18"/>
        <v>0</v>
      </c>
      <c r="EJ26" s="4">
        <f t="shared" si="18"/>
        <v>7971110.4400000004</v>
      </c>
      <c r="EK26" s="4">
        <f t="shared" si="18"/>
        <v>0</v>
      </c>
      <c r="EL26" s="4">
        <f t="shared" si="18"/>
        <v>1218764.9099999999</v>
      </c>
      <c r="EM26" s="4">
        <f t="shared" ref="EM26:FR26" si="19">EM79</f>
        <v>0</v>
      </c>
      <c r="EN26" s="4">
        <f t="shared" si="19"/>
        <v>6838653.25</v>
      </c>
      <c r="EO26" s="4">
        <f t="shared" si="19"/>
        <v>86307.72</v>
      </c>
      <c r="EP26" s="4">
        <f t="shared" si="19"/>
        <v>0</v>
      </c>
      <c r="EQ26" s="4">
        <f t="shared" si="19"/>
        <v>86307.72</v>
      </c>
      <c r="ER26" s="4">
        <f t="shared" si="19"/>
        <v>6752345.5300000003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6752345.5300000003</v>
      </c>
      <c r="FR26" s="4">
        <f t="shared" si="19"/>
        <v>0</v>
      </c>
      <c r="FS26" s="4">
        <f t="shared" ref="FS26:GX26" si="20">FS79</f>
        <v>7971110.4400000004</v>
      </c>
      <c r="FT26" s="4">
        <f t="shared" si="20"/>
        <v>0</v>
      </c>
      <c r="FU26" s="4">
        <f t="shared" si="20"/>
        <v>1218764.9099999999</v>
      </c>
      <c r="FV26" s="4">
        <f t="shared" si="20"/>
        <v>0</v>
      </c>
      <c r="FW26" s="4">
        <f t="shared" si="20"/>
        <v>6838653.25</v>
      </c>
      <c r="FX26" s="4">
        <f t="shared" si="20"/>
        <v>86307.719999999739</v>
      </c>
      <c r="FY26" s="4">
        <f t="shared" si="20"/>
        <v>0</v>
      </c>
      <c r="FZ26" s="4">
        <f t="shared" si="20"/>
        <v>86307.719999999739</v>
      </c>
      <c r="GA26" s="4">
        <f t="shared" si="20"/>
        <v>6752345.5300000003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ROW(SmtRes!A6)</f>
        <v>6</v>
      </c>
      <c r="D28" s="2">
        <f>ROW(EtalonRes!A7)</f>
        <v>7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f>ROUND(28/10,9)</f>
        <v>2.8</v>
      </c>
      <c r="J28" s="2">
        <v>0</v>
      </c>
      <c r="K28" s="2">
        <f>ROUND(28/10,9)</f>
        <v>2.8</v>
      </c>
      <c r="L28" s="2"/>
      <c r="M28" s="2"/>
      <c r="N28" s="2"/>
      <c r="O28" s="2">
        <f t="shared" ref="O28:O59" si="21">ROUND(CP28,2)</f>
        <v>924.51</v>
      </c>
      <c r="P28" s="2">
        <f>ROUND((ROUND((AC28*AW28*I28),2)*BC28),2)</f>
        <v>119.03</v>
      </c>
      <c r="Q28" s="2">
        <f>(ROUND((ROUND((((ET28*1.1))*AV28*I28),2)*BB28),2)+ROUND((ROUND(((AE28-((EU28*1.1)))*AV28*I28),2)*BS28),2))</f>
        <v>7.61</v>
      </c>
      <c r="R28" s="2">
        <f>(ROUND((ROUND((((EU28*1.1))*AV28*I28),2)*BS28),2)+ROUND((ROUND(((AE28-((EU28*1.1)))*AV28*I28),2)*BS28),2))</f>
        <v>0.42</v>
      </c>
      <c r="S28" s="2">
        <f t="shared" ref="S28:S59" si="22">ROUND((ROUND((AF28*AV28*I28),2)*BA28),2)</f>
        <v>797.87</v>
      </c>
      <c r="T28" s="2">
        <f t="shared" ref="T28:T59" si="23">ROUND(CU28*I28,2)</f>
        <v>0</v>
      </c>
      <c r="U28" s="2">
        <f t="shared" ref="U28:U59" si="24">CV28*I28</f>
        <v>50.112770400000002</v>
      </c>
      <c r="V28" s="2">
        <f t="shared" ref="V28:V59" si="25">CW28*I28</f>
        <v>0</v>
      </c>
      <c r="W28" s="2">
        <f t="shared" ref="W28:W59" si="26">ROUND(CX28*I28,2)</f>
        <v>0</v>
      </c>
      <c r="X28" s="2">
        <f>(ROUND((((S28+ROUND((ROUND((((EU28*1.1))*AV28*I28),2)*BS28),2))*AT28)/100),2)+ROUND(((ROUND((ROUND(((AE28-((EU28*1.1)))*AV28*I28),2)*BS28),2)*AT28)/100),2))</f>
        <v>718.46</v>
      </c>
      <c r="Y28" s="2">
        <f>(ROUND((((S28+ROUND((ROUND((((EU28*1.1))*AV28*I28),2)*BS28),2))*AU28)/100),2)+ROUND(((ROUND((ROUND(((AE28-((EU28*1.1)))*AV28*I28),2)*BS28),2)*AU28)/100),2))</f>
        <v>367.21</v>
      </c>
      <c r="Z28" s="2"/>
      <c r="AA28" s="2">
        <v>60258064</v>
      </c>
      <c r="AB28" s="2">
        <f t="shared" ref="AB28:AB59" si="27">ROUND((AC28+AD28+AF28),6)</f>
        <v>317.26799999999997</v>
      </c>
      <c r="AC28" s="2">
        <f t="shared" ref="AC28:AC59" si="28">ROUND((ES28),6)</f>
        <v>42.51</v>
      </c>
      <c r="AD28" s="2">
        <f>ROUND(((((ET28*1.1))-((EU28*1.1)))+AE28),6)</f>
        <v>2.5960000000000001</v>
      </c>
      <c r="AE28" s="2">
        <f>ROUND(((EU28*1.1)),6)</f>
        <v>0.14299999999999999</v>
      </c>
      <c r="AF28" s="2">
        <f>ROUND(((EV28*1.1)),6)</f>
        <v>272.16199999999998</v>
      </c>
      <c r="AG28" s="2">
        <f t="shared" ref="AG28:AG59" si="29">ROUND((AP28),6)</f>
        <v>0</v>
      </c>
      <c r="AH28" s="2">
        <f>((EW28*1.1))</f>
        <v>17.094000000000001</v>
      </c>
      <c r="AI28" s="2">
        <f>((EX28*1.1))</f>
        <v>0</v>
      </c>
      <c r="AJ28" s="2">
        <f t="shared" ref="AJ28:AJ59" si="30">(AS28)</f>
        <v>0</v>
      </c>
      <c r="AK28" s="2">
        <v>292.29000000000002</v>
      </c>
      <c r="AL28" s="2">
        <v>42.51</v>
      </c>
      <c r="AM28" s="2">
        <v>2.36</v>
      </c>
      <c r="AN28" s="2">
        <v>0.13</v>
      </c>
      <c r="AO28" s="2">
        <v>247.42</v>
      </c>
      <c r="AP28" s="2">
        <v>0</v>
      </c>
      <c r="AQ28" s="2">
        <v>15.54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22</v>
      </c>
      <c r="BK28" s="2"/>
      <c r="BL28" s="2"/>
      <c r="BM28" s="2">
        <v>68</v>
      </c>
      <c r="BN28" s="2">
        <v>58973116</v>
      </c>
      <c r="BO28" s="2" t="s">
        <v>19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377</v>
      </c>
      <c r="CO28" s="2">
        <v>0</v>
      </c>
      <c r="CP28" s="2">
        <f t="shared" ref="CP28:CP59" si="31">(P28+Q28+S28)</f>
        <v>924.51</v>
      </c>
      <c r="CQ28" s="2">
        <f>ROUND((ROUND((AC28*AW28*1),2)*BC28),2)</f>
        <v>42.51</v>
      </c>
      <c r="CR28" s="2">
        <f>(ROUND((ROUND((((ET28*1.1))*AV28*1),2)*BB28),2)+ROUND((ROUND(((AE28-((EU28*1.1)))*AV28*1),2)*BS28),2))</f>
        <v>2.72</v>
      </c>
      <c r="CS28" s="2">
        <f>(ROUND((ROUND((((EU28*1.1))*AV28*1),2)*BS28),2)+ROUND((ROUND(((AE28-((EU28*1.1)))*AV28*1),2)*BS28),2))</f>
        <v>0.15</v>
      </c>
      <c r="CT28" s="2">
        <f t="shared" ref="CT28:CT59" si="32">ROUND((ROUND((AF28*AV28*1),2)*BA28),2)</f>
        <v>284.95</v>
      </c>
      <c r="CU28" s="2">
        <f t="shared" ref="CU28:CU59" si="33">AG28</f>
        <v>0</v>
      </c>
      <c r="CV28" s="2">
        <f t="shared" ref="CV28:CV59" si="34">(AH28*AV28)</f>
        <v>17.897418000000002</v>
      </c>
      <c r="CW28" s="2">
        <f t="shared" ref="CW28:CW59" si="35">AI28</f>
        <v>0</v>
      </c>
      <c r="CX28" s="2">
        <f t="shared" ref="CX28:CX59" si="36">AJ28</f>
        <v>0</v>
      </c>
      <c r="CY28" s="2">
        <f>(ROUND((((S28+ROUND((ROUND((((EU28*1.1))*AV28*1),2)*BS28),2))*AT28)/100),2)+ROUND(((ROUND((ROUND(((AE28-((EU28*1.1)))*AV28*1),2)*BS28),2)*AT28)/100),2))</f>
        <v>718.22</v>
      </c>
      <c r="CZ28" s="2">
        <f>(ROUND((((S28+ROUND((ROUND((((EU28*1.1))*AV28*1),2)*BS28),2))*AU28)/100),2)+ROUND(((ROUND((ROUND(((AE28-((EU28*1.1)))*AV28*1),2)*BS28),2)*AU28)/100),2))</f>
        <v>367.09</v>
      </c>
      <c r="DA28" s="2"/>
      <c r="DB28" s="2">
        <v>1</v>
      </c>
      <c r="DC28" s="2" t="s">
        <v>3</v>
      </c>
      <c r="DD28" s="2" t="s">
        <v>3</v>
      </c>
      <c r="DE28" s="2" t="s">
        <v>23</v>
      </c>
      <c r="DF28" s="2" t="s">
        <v>23</v>
      </c>
      <c r="DG28" s="2" t="s">
        <v>23</v>
      </c>
      <c r="DH28" s="2" t="s">
        <v>3</v>
      </c>
      <c r="DI28" s="2" t="s">
        <v>23</v>
      </c>
      <c r="DJ28" s="2" t="s">
        <v>23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1010</v>
      </c>
      <c r="DV28" s="2" t="s">
        <v>21</v>
      </c>
      <c r="DW28" s="2" t="s">
        <v>21</v>
      </c>
      <c r="DX28" s="2">
        <v>10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60088532</v>
      </c>
      <c r="EF28" s="2">
        <v>40</v>
      </c>
      <c r="EG28" s="2" t="s">
        <v>24</v>
      </c>
      <c r="EH28" s="2">
        <v>0</v>
      </c>
      <c r="EI28" s="2" t="s">
        <v>3</v>
      </c>
      <c r="EJ28" s="2">
        <v>2</v>
      </c>
      <c r="EK28" s="2">
        <v>68</v>
      </c>
      <c r="EL28" s="2" t="s">
        <v>25</v>
      </c>
      <c r="EM28" s="2" t="s">
        <v>26</v>
      </c>
      <c r="EN28" s="2"/>
      <c r="EO28" s="2" t="s">
        <v>27</v>
      </c>
      <c r="EP28" s="2"/>
      <c r="EQ28" s="2">
        <v>0</v>
      </c>
      <c r="ER28" s="2">
        <v>292.29000000000002</v>
      </c>
      <c r="ES28" s="2">
        <v>42.51</v>
      </c>
      <c r="ET28" s="2">
        <v>2.36</v>
      </c>
      <c r="EU28" s="2">
        <v>0.13</v>
      </c>
      <c r="EV28" s="2">
        <v>247.42</v>
      </c>
      <c r="EW28" s="2">
        <v>15.54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-1957665847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9" si="37">ROUND(IF(AND(BH28=3,BI28=3,FS28&lt;&gt;0),P28,0),2)</f>
        <v>0</v>
      </c>
      <c r="GM28" s="2">
        <f t="shared" ref="GM28:GM59" si="38">ROUND(O28+X28+Y28,2)+GX28</f>
        <v>2010.18</v>
      </c>
      <c r="GN28" s="2">
        <f t="shared" ref="GN28:GN59" si="39">IF(OR(BI28=0,BI28=1),GM28-GX28,0)</f>
        <v>0</v>
      </c>
      <c r="GO28" s="2">
        <f t="shared" ref="GO28:GO59" si="40">IF(BI28=2,GM28-GX28,0)</f>
        <v>2010.18</v>
      </c>
      <c r="GP28" s="2">
        <f t="shared" ref="GP28:GP59" si="41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9" si="42">ROUND((GT28),6)</f>
        <v>0</v>
      </c>
      <c r="GW28" s="2">
        <v>1</v>
      </c>
      <c r="GX28" s="2">
        <f t="shared" ref="GX28:GX59" si="43">ROUND(HC28*I28,2)</f>
        <v>0</v>
      </c>
      <c r="GY28" s="2"/>
      <c r="GZ28" s="2"/>
      <c r="HA28" s="2">
        <v>0</v>
      </c>
      <c r="HB28" s="2">
        <v>0</v>
      </c>
      <c r="HC28" s="2">
        <f t="shared" ref="HC28:HC59" si="44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ROW(SmtRes!A12)</f>
        <v>12</v>
      </c>
      <c r="D29">
        <f>ROW(EtalonRes!A14)</f>
        <v>14</v>
      </c>
      <c r="E29" t="s">
        <v>18</v>
      </c>
      <c r="F29" t="s">
        <v>19</v>
      </c>
      <c r="G29" t="s">
        <v>20</v>
      </c>
      <c r="H29" t="s">
        <v>21</v>
      </c>
      <c r="I29">
        <f>ROUND(28/10,9)</f>
        <v>2.8</v>
      </c>
      <c r="J29">
        <v>0</v>
      </c>
      <c r="K29">
        <f>ROUND(28/10,9)</f>
        <v>2.8</v>
      </c>
      <c r="O29">
        <f t="shared" si="21"/>
        <v>44191.05</v>
      </c>
      <c r="P29">
        <f>ROUND((ROUND((AC29*AW29*I29),2)*BC29),2)</f>
        <v>229.73</v>
      </c>
      <c r="Q29">
        <f>(ROUND((ROUND((((ET29*1.1))*AV29*I29),2)*BB29),2)+ROUND((ROUND(((AE29-((EU29*1.1)))*AV29*I29),2)*BS29),2))</f>
        <v>86.45</v>
      </c>
      <c r="R29">
        <f>(ROUND((ROUND((((EU29*1.1))*AV29*I29),2)*BS29),2)+ROUND((ROUND(((AE29-((EU29*1.1)))*AV29*I29),2)*BS29),2))</f>
        <v>23.1</v>
      </c>
      <c r="S29">
        <f t="shared" si="22"/>
        <v>43874.87</v>
      </c>
      <c r="T29">
        <f t="shared" si="23"/>
        <v>0</v>
      </c>
      <c r="U29">
        <f t="shared" si="24"/>
        <v>50.112770400000002</v>
      </c>
      <c r="V29">
        <f t="shared" si="25"/>
        <v>0</v>
      </c>
      <c r="W29">
        <f t="shared" si="26"/>
        <v>0</v>
      </c>
      <c r="X29">
        <f>(ROUND((((S29+ROUND((ROUND((((EU29*1.1))*AV29*I29),2)*BS29),2))*AT29)/100),2)+ROUND(((ROUND((ROUND(((AE29-((EU29*1.1)))*AV29*I29),2)*BS29),2)*AT29)/100),2))</f>
        <v>39508.17</v>
      </c>
      <c r="Y29">
        <f>(ROUND((((S29+ROUND((ROUND((((EU29*1.1))*AV29*I29),2)*BS29),2))*AU29)/100),2)+ROUND(((ROUND((ROUND(((AE29-((EU29*1.1)))*AV29*I29),2)*BS29),2)*AU29)/100),2))</f>
        <v>20193.07</v>
      </c>
      <c r="AA29">
        <v>60258061</v>
      </c>
      <c r="AB29">
        <f t="shared" si="27"/>
        <v>317.26799999999997</v>
      </c>
      <c r="AC29">
        <f t="shared" si="28"/>
        <v>42.51</v>
      </c>
      <c r="AD29">
        <f>ROUND(((((ET29*1.1))-((EU29*1.1)))+AE29),6)</f>
        <v>2.5960000000000001</v>
      </c>
      <c r="AE29">
        <f>ROUND(((EU29*1.1)),6)</f>
        <v>0.14299999999999999</v>
      </c>
      <c r="AF29">
        <f>ROUND(((EV29*1.1)),6)</f>
        <v>272.16199999999998</v>
      </c>
      <c r="AG29">
        <f t="shared" si="29"/>
        <v>0</v>
      </c>
      <c r="AH29">
        <f>((EW29*1.1))</f>
        <v>17.094000000000001</v>
      </c>
      <c r="AI29">
        <f>((EX29*1.1))</f>
        <v>0</v>
      </c>
      <c r="AJ29">
        <f t="shared" si="30"/>
        <v>0</v>
      </c>
      <c r="AK29">
        <v>292.29000000000002</v>
      </c>
      <c r="AL29">
        <v>42.51</v>
      </c>
      <c r="AM29">
        <v>2.36</v>
      </c>
      <c r="AN29">
        <v>0.13</v>
      </c>
      <c r="AO29">
        <v>247.42</v>
      </c>
      <c r="AP29">
        <v>0</v>
      </c>
      <c r="AQ29">
        <v>15.54</v>
      </c>
      <c r="AR29">
        <v>0</v>
      </c>
      <c r="AS29">
        <v>0</v>
      </c>
      <c r="AT29">
        <v>90</v>
      </c>
      <c r="AU29">
        <v>46</v>
      </c>
      <c r="AV29">
        <v>1.0469999999999999</v>
      </c>
      <c r="AW29">
        <v>1</v>
      </c>
      <c r="AZ29">
        <v>1</v>
      </c>
      <c r="BA29">
        <v>54.99</v>
      </c>
      <c r="BB29">
        <v>11.36</v>
      </c>
      <c r="BC29">
        <v>1.93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2</v>
      </c>
      <c r="BJ29" t="s">
        <v>22</v>
      </c>
      <c r="BM29">
        <v>68</v>
      </c>
      <c r="BN29">
        <v>58973116</v>
      </c>
      <c r="BO29" t="s">
        <v>19</v>
      </c>
      <c r="BP29">
        <v>1</v>
      </c>
      <c r="BQ29">
        <v>40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90</v>
      </c>
      <c r="CA29">
        <v>46</v>
      </c>
      <c r="CB29" t="s">
        <v>3</v>
      </c>
      <c r="CE29">
        <v>1566</v>
      </c>
      <c r="CF29">
        <v>0</v>
      </c>
      <c r="CG29">
        <v>0</v>
      </c>
      <c r="CM29">
        <v>0</v>
      </c>
      <c r="CN29" t="s">
        <v>377</v>
      </c>
      <c r="CO29">
        <v>0</v>
      </c>
      <c r="CP29">
        <f t="shared" si="31"/>
        <v>44191.05</v>
      </c>
      <c r="CQ29">
        <f>ROUND((ROUND((AC29*AW29*1),2)*BC29),2)</f>
        <v>82.04</v>
      </c>
      <c r="CR29">
        <f>(ROUND((ROUND((((ET29*1.1))*AV29*1),2)*BB29),2)+ROUND((ROUND(((AE29-((EU29*1.1)))*AV29*1),2)*BS29),2))</f>
        <v>30.9</v>
      </c>
      <c r="CS29">
        <f>(ROUND((ROUND((((EU29*1.1))*AV29*1),2)*BS29),2)+ROUND((ROUND(((AE29-((EU29*1.1)))*AV29*1),2)*BS29),2))</f>
        <v>8.25</v>
      </c>
      <c r="CT29">
        <f t="shared" si="32"/>
        <v>15669.4</v>
      </c>
      <c r="CU29">
        <f t="shared" si="33"/>
        <v>0</v>
      </c>
      <c r="CV29">
        <f t="shared" si="34"/>
        <v>17.897418000000002</v>
      </c>
      <c r="CW29">
        <f t="shared" si="35"/>
        <v>0</v>
      </c>
      <c r="CX29">
        <f t="shared" si="36"/>
        <v>0</v>
      </c>
      <c r="CY29">
        <f>(ROUND((((S29+ROUND((ROUND((((EU29*1.1))*AV29*1),2)*BS29),2))*AT29)/100),2)+ROUND(((ROUND((ROUND(((AE29-((EU29*1.1)))*AV29*1),2)*BS29),2)*AT29)/100),2))</f>
        <v>39494.81</v>
      </c>
      <c r="CZ29">
        <f>(ROUND((((S29+ROUND((ROUND((((EU29*1.1))*AV29*1),2)*BS29),2))*AU29)/100),2)+ROUND(((ROUND((ROUND(((AE29-((EU29*1.1)))*AV29*1),2)*BS29),2)*AU29)/100),2))</f>
        <v>20186.240000000002</v>
      </c>
      <c r="DB29">
        <v>2</v>
      </c>
      <c r="DC29" t="s">
        <v>3</v>
      </c>
      <c r="DD29" t="s">
        <v>3</v>
      </c>
      <c r="DE29" t="s">
        <v>23</v>
      </c>
      <c r="DF29" t="s">
        <v>23</v>
      </c>
      <c r="DG29" t="s">
        <v>23</v>
      </c>
      <c r="DH29" t="s">
        <v>3</v>
      </c>
      <c r="DI29" t="s">
        <v>23</v>
      </c>
      <c r="DJ29" t="s">
        <v>23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1010</v>
      </c>
      <c r="DV29" t="s">
        <v>21</v>
      </c>
      <c r="DW29" t="s">
        <v>21</v>
      </c>
      <c r="DX29">
        <v>10</v>
      </c>
      <c r="DZ29" t="s">
        <v>3</v>
      </c>
      <c r="EA29" t="s">
        <v>3</v>
      </c>
      <c r="EB29" t="s">
        <v>3</v>
      </c>
      <c r="EC29" t="s">
        <v>3</v>
      </c>
      <c r="EE29">
        <v>60088532</v>
      </c>
      <c r="EF29">
        <v>40</v>
      </c>
      <c r="EG29" t="s">
        <v>24</v>
      </c>
      <c r="EH29">
        <v>0</v>
      </c>
      <c r="EI29" t="s">
        <v>3</v>
      </c>
      <c r="EJ29">
        <v>2</v>
      </c>
      <c r="EK29">
        <v>68</v>
      </c>
      <c r="EL29" t="s">
        <v>25</v>
      </c>
      <c r="EM29" t="s">
        <v>26</v>
      </c>
      <c r="EO29" t="s">
        <v>27</v>
      </c>
      <c r="EQ29">
        <v>0</v>
      </c>
      <c r="ER29">
        <v>292.29000000000002</v>
      </c>
      <c r="ES29">
        <v>42.51</v>
      </c>
      <c r="ET29">
        <v>2.36</v>
      </c>
      <c r="EU29">
        <v>0.13</v>
      </c>
      <c r="EV29">
        <v>247.42</v>
      </c>
      <c r="EW29">
        <v>15.54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90</v>
      </c>
      <c r="FY29">
        <v>46</v>
      </c>
      <c r="GA29" t="s">
        <v>3</v>
      </c>
      <c r="GD29">
        <v>1</v>
      </c>
      <c r="GF29">
        <v>-1957665847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37"/>
        <v>0</v>
      </c>
      <c r="GM29">
        <f t="shared" si="38"/>
        <v>103892.29</v>
      </c>
      <c r="GN29">
        <f t="shared" si="39"/>
        <v>0</v>
      </c>
      <c r="GO29">
        <f t="shared" si="40"/>
        <v>103892.29</v>
      </c>
      <c r="GP29">
        <f t="shared" si="41"/>
        <v>0</v>
      </c>
      <c r="GR29">
        <v>0</v>
      </c>
      <c r="GS29">
        <v>3</v>
      </c>
      <c r="GT29">
        <v>0</v>
      </c>
      <c r="GU29" t="s">
        <v>3</v>
      </c>
      <c r="GV29">
        <f t="shared" si="42"/>
        <v>0</v>
      </c>
      <c r="GW29">
        <v>1</v>
      </c>
      <c r="GX29">
        <f t="shared" si="43"/>
        <v>0</v>
      </c>
      <c r="HA29">
        <v>0</v>
      </c>
      <c r="HB29">
        <v>0</v>
      </c>
      <c r="HC29">
        <f t="shared" si="44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28</v>
      </c>
      <c r="F30" s="2" t="s">
        <v>29</v>
      </c>
      <c r="G30" s="2" t="s">
        <v>378</v>
      </c>
      <c r="H30" s="2" t="s">
        <v>30</v>
      </c>
      <c r="I30" s="2">
        <v>28</v>
      </c>
      <c r="J30" s="2">
        <v>0</v>
      </c>
      <c r="K30" s="2">
        <v>28</v>
      </c>
      <c r="L30" s="2"/>
      <c r="M30" s="2"/>
      <c r="N30" s="2"/>
      <c r="O30" s="2">
        <f t="shared" si="21"/>
        <v>28309.68</v>
      </c>
      <c r="P30" s="2">
        <f>ROUND((ROUND((AC30*I30),2)*BC30),2)</f>
        <v>28309.68</v>
      </c>
      <c r="Q30" s="2">
        <f>(ROUND((ROUND(((ET30)*AV30*I30),2)*BB30),2)+ROUND((ROUND(((AE30-(EU30))*AV30*I30),2)*BS30),2))</f>
        <v>0</v>
      </c>
      <c r="R30" s="2">
        <f>(ROUND((ROUND(((EU30)*AV30*I30),2)*BS30),2)+ROUND((ROUND(((AE30-(EU30))*AV30*I30),2)*BS30),2))</f>
        <v>0</v>
      </c>
      <c r="S30" s="2">
        <f t="shared" si="22"/>
        <v>0</v>
      </c>
      <c r="T30" s="2">
        <f t="shared" si="23"/>
        <v>0</v>
      </c>
      <c r="U30" s="2">
        <f t="shared" si="24"/>
        <v>0</v>
      </c>
      <c r="V30" s="2">
        <f t="shared" si="25"/>
        <v>0</v>
      </c>
      <c r="W30" s="2">
        <f t="shared" si="26"/>
        <v>0</v>
      </c>
      <c r="X30" s="2">
        <f>(ROUND((((S30+ROUND((ROUND(((EU30)*AV30*I30),2)*BS30),2))*AT30)/100),2)+ROUND(((ROUND((ROUND(((AE30-(EU30))*AV30*I30),2)*BS30),2)*AT30)/100),2))</f>
        <v>0</v>
      </c>
      <c r="Y30" s="2">
        <f>(ROUND((((S30+ROUND((ROUND(((EU30)*AV30*I30),2)*BS30),2))*AU30)/100),2)+ROUND(((ROUND((ROUND(((AE30-(EU30))*AV30*I30),2)*BS30),2)*AU30)/100),2))</f>
        <v>0</v>
      </c>
      <c r="Z30" s="2"/>
      <c r="AA30" s="2">
        <v>60258064</v>
      </c>
      <c r="AB30" s="2">
        <f t="shared" si="27"/>
        <v>1011.06</v>
      </c>
      <c r="AC30" s="2">
        <f t="shared" si="28"/>
        <v>1011.06</v>
      </c>
      <c r="AD30" s="2">
        <f>ROUND((((ET30)-(EU30))+AE30),6)</f>
        <v>0</v>
      </c>
      <c r="AE30" s="2">
        <f>ROUND((EU30),6)</f>
        <v>0</v>
      </c>
      <c r="AF30" s="2">
        <f>ROUND((EV30),6)</f>
        <v>0</v>
      </c>
      <c r="AG30" s="2">
        <f t="shared" si="29"/>
        <v>0</v>
      </c>
      <c r="AH30" s="2">
        <f>(EW30)</f>
        <v>0</v>
      </c>
      <c r="AI30" s="2">
        <f>(EX30)</f>
        <v>0</v>
      </c>
      <c r="AJ30" s="2">
        <f t="shared" si="30"/>
        <v>0</v>
      </c>
      <c r="AK30" s="2">
        <v>1011.0600000000001</v>
      </c>
      <c r="AL30" s="2">
        <v>1011.0600000000001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0</v>
      </c>
      <c r="CA30" s="2">
        <v>0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1"/>
        <v>28309.68</v>
      </c>
      <c r="CQ30" s="2">
        <f>ROUND((ROUND((AC30*1),2)*BC30),2)</f>
        <v>1011.06</v>
      </c>
      <c r="CR30" s="2">
        <f>(ROUND((ROUND(((ET30)*AV30*1),2)*BB30),2)+ROUND((ROUND(((AE30-(EU30))*AV30*1),2)*BS30),2))</f>
        <v>0</v>
      </c>
      <c r="CS30" s="2">
        <f>(ROUND((ROUND(((EU30)*AV30*1),2)*BS30),2)+ROUND((ROUND(((AE30-(EU30))*AV30*1),2)*BS30),2))</f>
        <v>0</v>
      </c>
      <c r="CT30" s="2">
        <f t="shared" si="32"/>
        <v>0</v>
      </c>
      <c r="CU30" s="2">
        <f t="shared" si="33"/>
        <v>0</v>
      </c>
      <c r="CV30" s="2">
        <f t="shared" si="34"/>
        <v>0</v>
      </c>
      <c r="CW30" s="2">
        <f t="shared" si="35"/>
        <v>0</v>
      </c>
      <c r="CX30" s="2">
        <f t="shared" si="36"/>
        <v>0</v>
      </c>
      <c r="CY30" s="2">
        <f>(ROUND((((S30+ROUND((ROUND(((EU30)*AV30*1),2)*BS30),2))*AT30)/100),2)+ROUND(((ROUND((ROUND(((AE30-(EU30))*AV30*1),2)*BS30),2)*AT30)/100),2))</f>
        <v>0</v>
      </c>
      <c r="CZ30" s="2">
        <f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30</v>
      </c>
      <c r="DW30" s="2" t="s">
        <v>30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60088638</v>
      </c>
      <c r="EF30" s="2">
        <v>130</v>
      </c>
      <c r="EG30" s="2" t="s">
        <v>31</v>
      </c>
      <c r="EH30" s="2">
        <v>0</v>
      </c>
      <c r="EI30" s="2" t="s">
        <v>3</v>
      </c>
      <c r="EJ30" s="2">
        <v>3</v>
      </c>
      <c r="EK30" s="2">
        <v>746</v>
      </c>
      <c r="EL30" s="2" t="s">
        <v>32</v>
      </c>
      <c r="EM30" s="2" t="s">
        <v>33</v>
      </c>
      <c r="EN30" s="2"/>
      <c r="EO30" s="2" t="s">
        <v>3</v>
      </c>
      <c r="EP30" s="2"/>
      <c r="EQ30" s="2">
        <v>0</v>
      </c>
      <c r="ER30" s="2">
        <v>0</v>
      </c>
      <c r="ES30" s="2">
        <v>1011.0600000000001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28309.68</v>
      </c>
      <c r="FS30" s="2">
        <v>0</v>
      </c>
      <c r="FT30" s="2"/>
      <c r="FU30" s="2"/>
      <c r="FV30" s="2"/>
      <c r="FW30" s="2"/>
      <c r="FX30" s="2">
        <v>0</v>
      </c>
      <c r="FY30" s="2">
        <v>0</v>
      </c>
      <c r="FZ30" s="2"/>
      <c r="GA30" s="2" t="s">
        <v>34</v>
      </c>
      <c r="GB30" s="2"/>
      <c r="GC30" s="2"/>
      <c r="GD30" s="2">
        <v>1</v>
      </c>
      <c r="GE30" s="2"/>
      <c r="GF30" s="2">
        <v>-1132090366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37"/>
        <v>0</v>
      </c>
      <c r="GM30" s="2">
        <f t="shared" si="38"/>
        <v>28309.68</v>
      </c>
      <c r="GN30" s="2">
        <f t="shared" si="39"/>
        <v>0</v>
      </c>
      <c r="GO30" s="2">
        <f t="shared" si="40"/>
        <v>0</v>
      </c>
      <c r="GP30" s="2">
        <f t="shared" si="41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2"/>
        <v>0</v>
      </c>
      <c r="GW30" s="2">
        <v>1</v>
      </c>
      <c r="GX30" s="2">
        <f t="shared" si="43"/>
        <v>0</v>
      </c>
      <c r="GY30" s="2"/>
      <c r="GZ30" s="2"/>
      <c r="HA30" s="2">
        <v>0</v>
      </c>
      <c r="HB30" s="2">
        <v>0</v>
      </c>
      <c r="HC30" s="2">
        <f t="shared" si="44"/>
        <v>0</v>
      </c>
      <c r="HD30" s="2"/>
      <c r="HE30" s="2" t="s">
        <v>35</v>
      </c>
      <c r="HF30" s="2" t="s">
        <v>36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E31" t="s">
        <v>28</v>
      </c>
      <c r="F31" t="s">
        <v>29</v>
      </c>
      <c r="G31" t="s">
        <v>378</v>
      </c>
      <c r="H31" t="s">
        <v>30</v>
      </c>
      <c r="I31">
        <v>28</v>
      </c>
      <c r="J31">
        <v>0</v>
      </c>
      <c r="K31">
        <v>28</v>
      </c>
      <c r="O31">
        <f t="shared" si="21"/>
        <v>216852.15</v>
      </c>
      <c r="P31">
        <f>ROUND((ROUND((AC31*I31),2)*BC31),2)</f>
        <v>216852.15</v>
      </c>
      <c r="Q31">
        <f>(ROUND((ROUND(((ET31)*AV31*I31),2)*BB31),2)+ROUND((ROUND(((AE31-(EU31))*AV31*I31),2)*BS31),2))</f>
        <v>0</v>
      </c>
      <c r="R31">
        <f>(ROUND((ROUND(((EU31)*AV31*I31),2)*BS31),2)+ROUND((ROUND(((AE31-(EU31))*AV31*I31),2)*BS31),2))</f>
        <v>0</v>
      </c>
      <c r="S31">
        <f t="shared" si="22"/>
        <v>0</v>
      </c>
      <c r="T31">
        <f t="shared" si="23"/>
        <v>0</v>
      </c>
      <c r="U31">
        <f t="shared" si="24"/>
        <v>0</v>
      </c>
      <c r="V31">
        <f t="shared" si="25"/>
        <v>0</v>
      </c>
      <c r="W31">
        <f t="shared" si="26"/>
        <v>0</v>
      </c>
      <c r="X31">
        <f>(ROUND((((S31+ROUND((ROUND(((EU31)*AV31*I31),2)*BS31),2))*AT31)/100),2)+ROUND(((ROUND((ROUND(((AE31-(EU31))*AV31*I31),2)*BS31),2)*AT31)/100),2))</f>
        <v>0</v>
      </c>
      <c r="Y31">
        <f>(ROUND((((S31+ROUND((ROUND(((EU31)*AV31*I31),2)*BS31),2))*AU31)/100),2)+ROUND(((ROUND((ROUND(((AE31-(EU31))*AV31*I31),2)*BS31),2)*AU31)/100),2))</f>
        <v>0</v>
      </c>
      <c r="AA31">
        <v>60258061</v>
      </c>
      <c r="AB31">
        <f t="shared" si="27"/>
        <v>1011.06</v>
      </c>
      <c r="AC31">
        <f t="shared" si="28"/>
        <v>1011.06</v>
      </c>
      <c r="AD31">
        <f>ROUND((((ET31)-(EU31))+AE31),6)</f>
        <v>0</v>
      </c>
      <c r="AE31">
        <f>ROUND((EU31),6)</f>
        <v>0</v>
      </c>
      <c r="AF31">
        <f>ROUND((EV31),6)</f>
        <v>0</v>
      </c>
      <c r="AG31">
        <f t="shared" si="29"/>
        <v>0</v>
      </c>
      <c r="AH31">
        <f>(EW31)</f>
        <v>0</v>
      </c>
      <c r="AI31">
        <f>(EX31)</f>
        <v>0</v>
      </c>
      <c r="AJ31">
        <f t="shared" si="30"/>
        <v>0</v>
      </c>
      <c r="AK31">
        <v>1011.0600000000001</v>
      </c>
      <c r="AL31">
        <v>1011.0600000000001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7.66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3</v>
      </c>
      <c r="BJ31" t="s">
        <v>3</v>
      </c>
      <c r="BM31">
        <v>746</v>
      </c>
      <c r="BN31">
        <v>0</v>
      </c>
      <c r="BO31" t="s">
        <v>3</v>
      </c>
      <c r="BP31">
        <v>0</v>
      </c>
      <c r="BQ31">
        <v>130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0</v>
      </c>
      <c r="CA31">
        <v>0</v>
      </c>
      <c r="CB31" t="s">
        <v>3</v>
      </c>
      <c r="CE31">
        <v>1566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1"/>
        <v>216852.15</v>
      </c>
      <c r="CQ31">
        <f>ROUND((ROUND((AC31*1),2)*BC31),2)</f>
        <v>7744.72</v>
      </c>
      <c r="CR31">
        <f>(ROUND((ROUND(((ET31)*AV31*1),2)*BB31),2)+ROUND((ROUND(((AE31-(EU31))*AV31*1),2)*BS31),2))</f>
        <v>0</v>
      </c>
      <c r="CS31">
        <f>(ROUND((ROUND(((EU31)*AV31*1),2)*BS31),2)+ROUND((ROUND(((AE31-(EU31))*AV31*1),2)*BS31),2))</f>
        <v>0</v>
      </c>
      <c r="CT31">
        <f t="shared" si="32"/>
        <v>0</v>
      </c>
      <c r="CU31">
        <f t="shared" si="33"/>
        <v>0</v>
      </c>
      <c r="CV31">
        <f t="shared" si="34"/>
        <v>0</v>
      </c>
      <c r="CW31">
        <f t="shared" si="35"/>
        <v>0</v>
      </c>
      <c r="CX31">
        <f t="shared" si="36"/>
        <v>0</v>
      </c>
      <c r="CY31">
        <f>(ROUND((((S31+ROUND((ROUND(((EU31)*AV31*1),2)*BS31),2))*AT31)/100),2)+ROUND(((ROUND((ROUND(((AE31-(EU31))*AV31*1),2)*BS31),2)*AT31)/100),2))</f>
        <v>0</v>
      </c>
      <c r="CZ31">
        <f>(ROUND((((S31+ROUND((ROUND(((EU31)*AV31*1),2)*BS31),2))*AU31)/100),2)+ROUND(((ROUND((ROUND(((AE31-(EU31))*AV31*1),2)*BS31),2)*AU31)/100),2))</f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1013</v>
      </c>
      <c r="DV31" t="s">
        <v>30</v>
      </c>
      <c r="DW31" t="s">
        <v>30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60088638</v>
      </c>
      <c r="EF31">
        <v>130</v>
      </c>
      <c r="EG31" t="s">
        <v>31</v>
      </c>
      <c r="EH31">
        <v>0</v>
      </c>
      <c r="EI31" t="s">
        <v>3</v>
      </c>
      <c r="EJ31">
        <v>3</v>
      </c>
      <c r="EK31">
        <v>746</v>
      </c>
      <c r="EL31" t="s">
        <v>32</v>
      </c>
      <c r="EM31" t="s">
        <v>33</v>
      </c>
      <c r="EO31" t="s">
        <v>3</v>
      </c>
      <c r="EQ31">
        <v>0</v>
      </c>
      <c r="ER31">
        <v>0</v>
      </c>
      <c r="ES31">
        <v>1011.0600000000001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5</v>
      </c>
      <c r="FC31">
        <v>1</v>
      </c>
      <c r="FD31">
        <v>18</v>
      </c>
      <c r="FF31">
        <v>8916</v>
      </c>
      <c r="FQ31">
        <v>0</v>
      </c>
      <c r="FR31">
        <f>P31</f>
        <v>216852.15</v>
      </c>
      <c r="FS31">
        <v>0</v>
      </c>
      <c r="FX31">
        <v>0</v>
      </c>
      <c r="FY31">
        <v>0</v>
      </c>
      <c r="GA31" t="s">
        <v>34</v>
      </c>
      <c r="GD31">
        <v>1</v>
      </c>
      <c r="GF31">
        <v>-1132090366</v>
      </c>
      <c r="GG31">
        <v>2</v>
      </c>
      <c r="GH31">
        <v>3</v>
      </c>
      <c r="GI31">
        <v>5</v>
      </c>
      <c r="GJ31">
        <v>0</v>
      </c>
      <c r="GK31">
        <v>0</v>
      </c>
      <c r="GL31">
        <f t="shared" si="37"/>
        <v>0</v>
      </c>
      <c r="GM31">
        <f t="shared" si="38"/>
        <v>216852.15</v>
      </c>
      <c r="GN31">
        <f t="shared" si="39"/>
        <v>0</v>
      </c>
      <c r="GO31">
        <f t="shared" si="40"/>
        <v>0</v>
      </c>
      <c r="GP31">
        <f t="shared" si="41"/>
        <v>0</v>
      </c>
      <c r="GR31">
        <v>1</v>
      </c>
      <c r="GS31">
        <v>1</v>
      </c>
      <c r="GT31">
        <v>0</v>
      </c>
      <c r="GU31" t="s">
        <v>3</v>
      </c>
      <c r="GV31">
        <f t="shared" si="42"/>
        <v>0</v>
      </c>
      <c r="GW31">
        <v>1</v>
      </c>
      <c r="GX31">
        <f t="shared" si="43"/>
        <v>0</v>
      </c>
      <c r="HA31">
        <v>0</v>
      </c>
      <c r="HB31">
        <v>0</v>
      </c>
      <c r="HC31">
        <f t="shared" si="44"/>
        <v>0</v>
      </c>
      <c r="HE31" t="s">
        <v>35</v>
      </c>
      <c r="HF31" t="s">
        <v>36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>
        <f>ROW(SmtRes!A13)</f>
        <v>13</v>
      </c>
      <c r="D32" s="2">
        <f>ROW(EtalonRes!A15)</f>
        <v>15</v>
      </c>
      <c r="E32" s="2" t="s">
        <v>35</v>
      </c>
      <c r="F32" s="2" t="s">
        <v>37</v>
      </c>
      <c r="G32" s="2" t="s">
        <v>38</v>
      </c>
      <c r="H32" s="2" t="s">
        <v>39</v>
      </c>
      <c r="I32" s="2">
        <v>28</v>
      </c>
      <c r="J32" s="2">
        <v>0</v>
      </c>
      <c r="K32" s="2">
        <v>28</v>
      </c>
      <c r="L32" s="2"/>
      <c r="M32" s="2"/>
      <c r="N32" s="2"/>
      <c r="O32" s="2">
        <f t="shared" si="21"/>
        <v>377.07</v>
      </c>
      <c r="P32" s="2">
        <f t="shared" ref="P32:P37" si="45">ROUND((ROUND((AC32*AW32*I32),2)*BC32),2)</f>
        <v>8.1199999999999992</v>
      </c>
      <c r="Q32" s="2">
        <f>(ROUND((ROUND((((ET32*1.1))*AV32*I32),2)*BB32),2)+ROUND((ROUND(((AE32-((EU32*1.1)))*AV32*I32),2)*BS32),2))</f>
        <v>0</v>
      </c>
      <c r="R32" s="2">
        <f>(ROUND((ROUND((((EU32*1.1))*AV32*I32),2)*BS32),2)+ROUND((ROUND(((AE32-((EU32*1.1)))*AV32*I32),2)*BS32),2))</f>
        <v>0</v>
      </c>
      <c r="S32" s="2">
        <f t="shared" si="22"/>
        <v>368.95</v>
      </c>
      <c r="T32" s="2">
        <f t="shared" si="23"/>
        <v>0</v>
      </c>
      <c r="U32" s="2">
        <f t="shared" si="24"/>
        <v>26.783680000000004</v>
      </c>
      <c r="V32" s="2">
        <f t="shared" si="25"/>
        <v>0</v>
      </c>
      <c r="W32" s="2">
        <f t="shared" si="26"/>
        <v>0</v>
      </c>
      <c r="X32" s="2">
        <f>(ROUND((((S32+ROUND((ROUND((((EU32*1.1))*AV32*I32),2)*BS32),2))*AT32)/100),2)+ROUND(((ROUND((ROUND(((AE32-((EU32*1.1)))*AV32*I32),2)*BS32),2)*AT32)/100),2))</f>
        <v>350.5</v>
      </c>
      <c r="Y32" s="2">
        <f>(ROUND((((S32+ROUND((ROUND((((EU32*1.1))*AV32*I32),2)*BS32),2))*AU32)/100),2)+ROUND(((ROUND((ROUND(((AE32-((EU32*1.1)))*AV32*I32),2)*BS32),2)*AU32)/100),2))</f>
        <v>195.54</v>
      </c>
      <c r="Z32" s="2"/>
      <c r="AA32" s="2">
        <v>60258064</v>
      </c>
      <c r="AB32" s="2">
        <f t="shared" si="27"/>
        <v>12.412000000000001</v>
      </c>
      <c r="AC32" s="2">
        <f t="shared" si="28"/>
        <v>0.28999999999999998</v>
      </c>
      <c r="AD32" s="2">
        <f>ROUND(((((ET32*1.1))-((EU32*1.1)))+AE32),6)</f>
        <v>0</v>
      </c>
      <c r="AE32" s="2">
        <f>ROUND(((EU32*1.1)),6)</f>
        <v>0</v>
      </c>
      <c r="AF32" s="2">
        <f>ROUND(((EV32*1.1)),6)</f>
        <v>12.122</v>
      </c>
      <c r="AG32" s="2">
        <f t="shared" si="29"/>
        <v>0</v>
      </c>
      <c r="AH32" s="2">
        <f>((EW32*1.1))</f>
        <v>0.88000000000000012</v>
      </c>
      <c r="AI32" s="2">
        <f>((EX32*1.1))</f>
        <v>0</v>
      </c>
      <c r="AJ32" s="2">
        <f t="shared" si="30"/>
        <v>0</v>
      </c>
      <c r="AK32" s="2">
        <v>11.31</v>
      </c>
      <c r="AL32" s="2">
        <v>0.28999999999999998</v>
      </c>
      <c r="AM32" s="2">
        <v>0</v>
      </c>
      <c r="AN32" s="2">
        <v>0</v>
      </c>
      <c r="AO32" s="2">
        <v>11.02</v>
      </c>
      <c r="AP32" s="2">
        <v>0</v>
      </c>
      <c r="AQ32" s="2">
        <v>0.8</v>
      </c>
      <c r="AR32" s="2">
        <v>0</v>
      </c>
      <c r="AS32" s="2">
        <v>0</v>
      </c>
      <c r="AT32" s="2">
        <v>95</v>
      </c>
      <c r="AU32" s="2">
        <v>53</v>
      </c>
      <c r="AV32" s="2">
        <v>1.087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40</v>
      </c>
      <c r="BK32" s="2"/>
      <c r="BL32" s="2"/>
      <c r="BM32" s="2">
        <v>69</v>
      </c>
      <c r="BN32" s="2">
        <v>58973116</v>
      </c>
      <c r="BO32" s="2" t="s">
        <v>37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95</v>
      </c>
      <c r="CA32" s="2">
        <v>53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377</v>
      </c>
      <c r="CO32" s="2">
        <v>0</v>
      </c>
      <c r="CP32" s="2">
        <f t="shared" si="31"/>
        <v>377.07</v>
      </c>
      <c r="CQ32" s="2">
        <f t="shared" ref="CQ32:CQ37" si="46">ROUND((ROUND((AC32*AW32*1),2)*BC32),2)</f>
        <v>0.28999999999999998</v>
      </c>
      <c r="CR32" s="2">
        <f>(ROUND((ROUND((((ET32*1.1))*AV32*1),2)*BB32),2)+ROUND((ROUND(((AE32-((EU32*1.1)))*AV32*1),2)*BS32),2))</f>
        <v>0</v>
      </c>
      <c r="CS32" s="2">
        <f>(ROUND((ROUND((((EU32*1.1))*AV32*1),2)*BS32),2)+ROUND((ROUND(((AE32-((EU32*1.1)))*AV32*1),2)*BS32),2))</f>
        <v>0</v>
      </c>
      <c r="CT32" s="2">
        <f t="shared" si="32"/>
        <v>13.18</v>
      </c>
      <c r="CU32" s="2">
        <f t="shared" si="33"/>
        <v>0</v>
      </c>
      <c r="CV32" s="2">
        <f t="shared" si="34"/>
        <v>0.95656000000000008</v>
      </c>
      <c r="CW32" s="2">
        <f t="shared" si="35"/>
        <v>0</v>
      </c>
      <c r="CX32" s="2">
        <f t="shared" si="36"/>
        <v>0</v>
      </c>
      <c r="CY32" s="2">
        <f>(ROUND((((S32+ROUND((ROUND((((EU32*1.1))*AV32*1),2)*BS32),2))*AT32)/100),2)+ROUND(((ROUND((ROUND(((AE32-((EU32*1.1)))*AV32*1),2)*BS32),2)*AT32)/100),2))</f>
        <v>350.5</v>
      </c>
      <c r="CZ32" s="2">
        <f>(ROUND((((S32+ROUND((ROUND((((EU32*1.1))*AV32*1),2)*BS32),2))*AU32)/100),2)+ROUND(((ROUND((ROUND(((AE32-((EU32*1.1)))*AV32*1),2)*BS32),2)*AU32)/100),2))</f>
        <v>195.54</v>
      </c>
      <c r="DA32" s="2"/>
      <c r="DB32" s="2">
        <v>3</v>
      </c>
      <c r="DC32" s="2" t="s">
        <v>3</v>
      </c>
      <c r="DD32" s="2" t="s">
        <v>3</v>
      </c>
      <c r="DE32" s="2" t="s">
        <v>23</v>
      </c>
      <c r="DF32" s="2" t="s">
        <v>23</v>
      </c>
      <c r="DG32" s="2" t="s">
        <v>23</v>
      </c>
      <c r="DH32" s="2" t="s">
        <v>3</v>
      </c>
      <c r="DI32" s="2" t="s">
        <v>23</v>
      </c>
      <c r="DJ32" s="2" t="s">
        <v>23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39</v>
      </c>
      <c r="DW32" s="2" t="s">
        <v>39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60088533</v>
      </c>
      <c r="EF32" s="2">
        <v>40</v>
      </c>
      <c r="EG32" s="2" t="s">
        <v>24</v>
      </c>
      <c r="EH32" s="2">
        <v>0</v>
      </c>
      <c r="EI32" s="2" t="s">
        <v>3</v>
      </c>
      <c r="EJ32" s="2">
        <v>2</v>
      </c>
      <c r="EK32" s="2">
        <v>69</v>
      </c>
      <c r="EL32" s="2" t="s">
        <v>41</v>
      </c>
      <c r="EM32" s="2" t="s">
        <v>42</v>
      </c>
      <c r="EN32" s="2"/>
      <c r="EO32" s="2" t="s">
        <v>27</v>
      </c>
      <c r="EP32" s="2"/>
      <c r="EQ32" s="2">
        <v>0</v>
      </c>
      <c r="ER32" s="2">
        <v>11.31</v>
      </c>
      <c r="ES32" s="2">
        <v>0.28999999999999998</v>
      </c>
      <c r="ET32" s="2">
        <v>0</v>
      </c>
      <c r="EU32" s="2">
        <v>0</v>
      </c>
      <c r="EV32" s="2">
        <v>11.02</v>
      </c>
      <c r="EW32" s="2">
        <v>0.8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95</v>
      </c>
      <c r="FY32" s="2">
        <v>53</v>
      </c>
      <c r="FZ32" s="2"/>
      <c r="GA32" s="2" t="s">
        <v>3</v>
      </c>
      <c r="GB32" s="2"/>
      <c r="GC32" s="2"/>
      <c r="GD32" s="2">
        <v>1</v>
      </c>
      <c r="GE32" s="2"/>
      <c r="GF32" s="2">
        <v>105814318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7"/>
        <v>0</v>
      </c>
      <c r="GM32" s="2">
        <f t="shared" si="38"/>
        <v>923.11</v>
      </c>
      <c r="GN32" s="2">
        <f t="shared" si="39"/>
        <v>0</v>
      </c>
      <c r="GO32" s="2">
        <f t="shared" si="40"/>
        <v>923.11</v>
      </c>
      <c r="GP32" s="2">
        <f t="shared" si="41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2"/>
        <v>0</v>
      </c>
      <c r="GW32" s="2">
        <v>1</v>
      </c>
      <c r="GX32" s="2">
        <f t="shared" si="43"/>
        <v>0</v>
      </c>
      <c r="GY32" s="2"/>
      <c r="GZ32" s="2"/>
      <c r="HA32" s="2">
        <v>0</v>
      </c>
      <c r="HB32" s="2">
        <v>0</v>
      </c>
      <c r="HC32" s="2">
        <f t="shared" si="44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C33">
        <f>ROW(SmtRes!A14)</f>
        <v>14</v>
      </c>
      <c r="D33">
        <f>ROW(EtalonRes!A16)</f>
        <v>16</v>
      </c>
      <c r="E33" t="s">
        <v>35</v>
      </c>
      <c r="F33" t="s">
        <v>37</v>
      </c>
      <c r="G33" t="s">
        <v>38</v>
      </c>
      <c r="H33" t="s">
        <v>39</v>
      </c>
      <c r="I33">
        <v>28</v>
      </c>
      <c r="J33">
        <v>0</v>
      </c>
      <c r="K33">
        <v>28</v>
      </c>
      <c r="O33">
        <f t="shared" si="21"/>
        <v>20368.95</v>
      </c>
      <c r="P33">
        <f t="shared" si="45"/>
        <v>80.39</v>
      </c>
      <c r="Q33">
        <f>(ROUND((ROUND((((ET33*1.1))*AV33*I33),2)*BB33),2)+ROUND((ROUND(((AE33-((EU33*1.1)))*AV33*I33),2)*BS33),2))</f>
        <v>0</v>
      </c>
      <c r="R33">
        <f>(ROUND((ROUND((((EU33*1.1))*AV33*I33),2)*BS33),2)+ROUND((ROUND(((AE33-((EU33*1.1)))*AV33*I33),2)*BS33),2))</f>
        <v>0</v>
      </c>
      <c r="S33">
        <f t="shared" si="22"/>
        <v>20288.560000000001</v>
      </c>
      <c r="T33">
        <f t="shared" si="23"/>
        <v>0</v>
      </c>
      <c r="U33">
        <f t="shared" si="24"/>
        <v>26.783680000000004</v>
      </c>
      <c r="V33">
        <f t="shared" si="25"/>
        <v>0</v>
      </c>
      <c r="W33">
        <f t="shared" si="26"/>
        <v>0</v>
      </c>
      <c r="X33">
        <f>(ROUND((((S33+ROUND((ROUND((((EU33*1.1))*AV33*I33),2)*BS33),2))*AT33)/100),2)+ROUND(((ROUND((ROUND(((AE33-((EU33*1.1)))*AV33*I33),2)*BS33),2)*AT33)/100),2))</f>
        <v>19274.13</v>
      </c>
      <c r="Y33">
        <f>(ROUND((((S33+ROUND((ROUND((((EU33*1.1))*AV33*I33),2)*BS33),2))*AU33)/100),2)+ROUND(((ROUND((ROUND(((AE33-((EU33*1.1)))*AV33*I33),2)*BS33),2)*AU33)/100),2))</f>
        <v>10752.94</v>
      </c>
      <c r="AA33">
        <v>60258061</v>
      </c>
      <c r="AB33">
        <f t="shared" si="27"/>
        <v>12.412000000000001</v>
      </c>
      <c r="AC33">
        <f t="shared" si="28"/>
        <v>0.28999999999999998</v>
      </c>
      <c r="AD33">
        <f>ROUND(((((ET33*1.1))-((EU33*1.1)))+AE33),6)</f>
        <v>0</v>
      </c>
      <c r="AE33">
        <f>ROUND(((EU33*1.1)),6)</f>
        <v>0</v>
      </c>
      <c r="AF33">
        <f>ROUND(((EV33*1.1)),6)</f>
        <v>12.122</v>
      </c>
      <c r="AG33">
        <f t="shared" si="29"/>
        <v>0</v>
      </c>
      <c r="AH33">
        <f>((EW33*1.1))</f>
        <v>0.88000000000000012</v>
      </c>
      <c r="AI33">
        <f>((EX33*1.1))</f>
        <v>0</v>
      </c>
      <c r="AJ33">
        <f t="shared" si="30"/>
        <v>0</v>
      </c>
      <c r="AK33">
        <v>11.31</v>
      </c>
      <c r="AL33">
        <v>0.28999999999999998</v>
      </c>
      <c r="AM33">
        <v>0</v>
      </c>
      <c r="AN33">
        <v>0</v>
      </c>
      <c r="AO33">
        <v>11.02</v>
      </c>
      <c r="AP33">
        <v>0</v>
      </c>
      <c r="AQ33">
        <v>0.8</v>
      </c>
      <c r="AR33">
        <v>0</v>
      </c>
      <c r="AS33">
        <v>0</v>
      </c>
      <c r="AT33">
        <v>95</v>
      </c>
      <c r="AU33">
        <v>53</v>
      </c>
      <c r="AV33">
        <v>1.087</v>
      </c>
      <c r="AW33">
        <v>1</v>
      </c>
      <c r="AZ33">
        <v>1</v>
      </c>
      <c r="BA33">
        <v>54.99</v>
      </c>
      <c r="BB33">
        <v>1</v>
      </c>
      <c r="BC33">
        <v>9.9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2</v>
      </c>
      <c r="BJ33" t="s">
        <v>40</v>
      </c>
      <c r="BM33">
        <v>69</v>
      </c>
      <c r="BN33">
        <v>58973116</v>
      </c>
      <c r="BO33" t="s">
        <v>37</v>
      </c>
      <c r="BP33">
        <v>1</v>
      </c>
      <c r="BQ33">
        <v>40</v>
      </c>
      <c r="BR33">
        <v>0</v>
      </c>
      <c r="BS33">
        <v>54.99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95</v>
      </c>
      <c r="CA33">
        <v>53</v>
      </c>
      <c r="CB33" t="s">
        <v>3</v>
      </c>
      <c r="CE33">
        <v>1566</v>
      </c>
      <c r="CF33">
        <v>0</v>
      </c>
      <c r="CG33">
        <v>0</v>
      </c>
      <c r="CM33">
        <v>0</v>
      </c>
      <c r="CN33" t="s">
        <v>377</v>
      </c>
      <c r="CO33">
        <v>0</v>
      </c>
      <c r="CP33">
        <f t="shared" si="31"/>
        <v>20368.95</v>
      </c>
      <c r="CQ33">
        <f t="shared" si="46"/>
        <v>2.87</v>
      </c>
      <c r="CR33">
        <f>(ROUND((ROUND((((ET33*1.1))*AV33*1),2)*BB33),2)+ROUND((ROUND(((AE33-((EU33*1.1)))*AV33*1),2)*BS33),2))</f>
        <v>0</v>
      </c>
      <c r="CS33">
        <f>(ROUND((ROUND((((EU33*1.1))*AV33*1),2)*BS33),2)+ROUND((ROUND(((AE33-((EU33*1.1)))*AV33*1),2)*BS33),2))</f>
        <v>0</v>
      </c>
      <c r="CT33">
        <f t="shared" si="32"/>
        <v>724.77</v>
      </c>
      <c r="CU33">
        <f t="shared" si="33"/>
        <v>0</v>
      </c>
      <c r="CV33">
        <f t="shared" si="34"/>
        <v>0.95656000000000008</v>
      </c>
      <c r="CW33">
        <f t="shared" si="35"/>
        <v>0</v>
      </c>
      <c r="CX33">
        <f t="shared" si="36"/>
        <v>0</v>
      </c>
      <c r="CY33">
        <f>(ROUND((((S33+ROUND((ROUND((((EU33*1.1))*AV33*1),2)*BS33),2))*AT33)/100),2)+ROUND(((ROUND((ROUND(((AE33-((EU33*1.1)))*AV33*1),2)*BS33),2)*AT33)/100),2))</f>
        <v>19274.13</v>
      </c>
      <c r="CZ33">
        <f>(ROUND((((S33+ROUND((ROUND((((EU33*1.1))*AV33*1),2)*BS33),2))*AU33)/100),2)+ROUND(((ROUND((ROUND(((AE33-((EU33*1.1)))*AV33*1),2)*BS33),2)*AU33)/100),2))</f>
        <v>10752.94</v>
      </c>
      <c r="DB33">
        <v>4</v>
      </c>
      <c r="DC33" t="s">
        <v>3</v>
      </c>
      <c r="DD33" t="s">
        <v>3</v>
      </c>
      <c r="DE33" t="s">
        <v>23</v>
      </c>
      <c r="DF33" t="s">
        <v>23</v>
      </c>
      <c r="DG33" t="s">
        <v>23</v>
      </c>
      <c r="DH33" t="s">
        <v>3</v>
      </c>
      <c r="DI33" t="s">
        <v>23</v>
      </c>
      <c r="DJ33" t="s">
        <v>23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39</v>
      </c>
      <c r="DW33" t="s">
        <v>39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60088533</v>
      </c>
      <c r="EF33">
        <v>40</v>
      </c>
      <c r="EG33" t="s">
        <v>24</v>
      </c>
      <c r="EH33">
        <v>0</v>
      </c>
      <c r="EI33" t="s">
        <v>3</v>
      </c>
      <c r="EJ33">
        <v>2</v>
      </c>
      <c r="EK33">
        <v>69</v>
      </c>
      <c r="EL33" t="s">
        <v>41</v>
      </c>
      <c r="EM33" t="s">
        <v>42</v>
      </c>
      <c r="EO33" t="s">
        <v>27</v>
      </c>
      <c r="EQ33">
        <v>0</v>
      </c>
      <c r="ER33">
        <v>11.31</v>
      </c>
      <c r="ES33">
        <v>0.28999999999999998</v>
      </c>
      <c r="ET33">
        <v>0</v>
      </c>
      <c r="EU33">
        <v>0</v>
      </c>
      <c r="EV33">
        <v>11.02</v>
      </c>
      <c r="EW33">
        <v>0.8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95</v>
      </c>
      <c r="FY33">
        <v>53</v>
      </c>
      <c r="GA33" t="s">
        <v>3</v>
      </c>
      <c r="GD33">
        <v>1</v>
      </c>
      <c r="GF33">
        <v>105814318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37"/>
        <v>0</v>
      </c>
      <c r="GM33">
        <f t="shared" si="38"/>
        <v>50396.02</v>
      </c>
      <c r="GN33">
        <f t="shared" si="39"/>
        <v>0</v>
      </c>
      <c r="GO33">
        <f t="shared" si="40"/>
        <v>50396.02</v>
      </c>
      <c r="GP33">
        <f t="shared" si="41"/>
        <v>0</v>
      </c>
      <c r="GR33">
        <v>0</v>
      </c>
      <c r="GS33">
        <v>3</v>
      </c>
      <c r="GT33">
        <v>0</v>
      </c>
      <c r="GU33" t="s">
        <v>3</v>
      </c>
      <c r="GV33">
        <f t="shared" si="42"/>
        <v>0</v>
      </c>
      <c r="GW33">
        <v>1</v>
      </c>
      <c r="GX33">
        <f t="shared" si="43"/>
        <v>0</v>
      </c>
      <c r="HA33">
        <v>0</v>
      </c>
      <c r="HB33">
        <v>0</v>
      </c>
      <c r="HC33">
        <f t="shared" si="44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/>
      <c r="D34" s="2"/>
      <c r="E34" s="2" t="s">
        <v>43</v>
      </c>
      <c r="F34" s="2" t="s">
        <v>44</v>
      </c>
      <c r="G34" s="2" t="s">
        <v>45</v>
      </c>
      <c r="H34" s="2" t="s">
        <v>30</v>
      </c>
      <c r="I34" s="2">
        <v>28</v>
      </c>
      <c r="J34" s="2">
        <v>0</v>
      </c>
      <c r="K34" s="2">
        <v>28</v>
      </c>
      <c r="L34" s="2"/>
      <c r="M34" s="2"/>
      <c r="N34" s="2"/>
      <c r="O34" s="2">
        <f t="shared" si="21"/>
        <v>7826.56</v>
      </c>
      <c r="P34" s="2">
        <f t="shared" si="45"/>
        <v>7826.56</v>
      </c>
      <c r="Q34" s="2">
        <f>(ROUND((ROUND(((ET34)*AV34*I34),2)*BB34),2)+ROUND((ROUND(((AE34-(EU34))*AV34*I34),2)*BS34),2))</f>
        <v>0</v>
      </c>
      <c r="R34" s="2">
        <f>(ROUND((ROUND(((EU34)*AV34*I34),2)*BS34),2)+ROUND((ROUND(((AE34-(EU34))*AV34*I34),2)*BS34),2))</f>
        <v>0</v>
      </c>
      <c r="S34" s="2">
        <f t="shared" si="22"/>
        <v>0</v>
      </c>
      <c r="T34" s="2">
        <f t="shared" si="23"/>
        <v>0</v>
      </c>
      <c r="U34" s="2">
        <f t="shared" si="24"/>
        <v>0</v>
      </c>
      <c r="V34" s="2">
        <f t="shared" si="25"/>
        <v>0</v>
      </c>
      <c r="W34" s="2">
        <f t="shared" si="26"/>
        <v>0</v>
      </c>
      <c r="X34" s="2">
        <f>(ROUND((((S34+ROUND((ROUND(((EU34)*AV34*I34),2)*BS34),2))*AT34)/100),2)+ROUND(((ROUND((ROUND(((AE34-(EU34))*AV34*I34),2)*BS34),2)*AT34)/100),2))</f>
        <v>0</v>
      </c>
      <c r="Y34" s="2">
        <f>(ROUND((((S34+ROUND((ROUND(((EU34)*AV34*I34),2)*BS34),2))*AU34)/100),2)+ROUND(((ROUND((ROUND(((AE34-(EU34))*AV34*I34),2)*BS34),2)*AU34)/100),2))</f>
        <v>0</v>
      </c>
      <c r="Z34" s="2"/>
      <c r="AA34" s="2">
        <v>60258064</v>
      </c>
      <c r="AB34" s="2">
        <f t="shared" si="27"/>
        <v>279.52</v>
      </c>
      <c r="AC34" s="2">
        <f t="shared" si="28"/>
        <v>279.52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29"/>
        <v>0</v>
      </c>
      <c r="AH34" s="2">
        <f>(EW34)</f>
        <v>0</v>
      </c>
      <c r="AI34" s="2">
        <f>(EX34)</f>
        <v>0</v>
      </c>
      <c r="AJ34" s="2">
        <f t="shared" si="30"/>
        <v>0</v>
      </c>
      <c r="AK34" s="2">
        <v>279.52000000000004</v>
      </c>
      <c r="AL34" s="2">
        <v>279.52000000000004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2</v>
      </c>
      <c r="BJ34" s="2" t="s">
        <v>3</v>
      </c>
      <c r="BK34" s="2"/>
      <c r="BL34" s="2"/>
      <c r="BM34" s="2">
        <v>400002</v>
      </c>
      <c r="BN34" s="2">
        <v>0</v>
      </c>
      <c r="BO34" s="2" t="s">
        <v>3</v>
      </c>
      <c r="BP34" s="2">
        <v>0</v>
      </c>
      <c r="BQ34" s="2">
        <v>202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0</v>
      </c>
      <c r="CA34" s="2">
        <v>0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1"/>
        <v>7826.56</v>
      </c>
      <c r="CQ34" s="2">
        <f t="shared" si="46"/>
        <v>279.52</v>
      </c>
      <c r="CR34" s="2">
        <f>(ROUND((ROUND(((ET34)*AV34*1),2)*BB34),2)+ROUND((ROUND(((AE34-(EU34))*AV34*1),2)*BS34),2))</f>
        <v>0</v>
      </c>
      <c r="CS34" s="2">
        <f>(ROUND((ROUND(((EU34)*AV34*1),2)*BS34),2)+ROUND((ROUND(((AE34-(EU34))*AV34*1),2)*BS34),2))</f>
        <v>0</v>
      </c>
      <c r="CT34" s="2">
        <f t="shared" si="32"/>
        <v>0</v>
      </c>
      <c r="CU34" s="2">
        <f t="shared" si="33"/>
        <v>0</v>
      </c>
      <c r="CV34" s="2">
        <f t="shared" si="34"/>
        <v>0</v>
      </c>
      <c r="CW34" s="2">
        <f t="shared" si="35"/>
        <v>0</v>
      </c>
      <c r="CX34" s="2">
        <f t="shared" si="36"/>
        <v>0</v>
      </c>
      <c r="CY34" s="2">
        <f>(ROUND((((S34+ROUND((ROUND(((EU34)*AV34*1),2)*BS34),2))*AT34)/100),2)+ROUND(((ROUND((ROUND(((AE34-(EU34))*AV34*1),2)*BS34),2)*AT34)/100),2))</f>
        <v>0</v>
      </c>
      <c r="CZ34" s="2">
        <f>(ROUND((((S34+ROUND((ROUND(((EU34)*AV34*1),2)*BS34),2))*AU34)/100),2)+ROUND(((ROUND((ROUND(((AE34-(EU34))*AV34*1),2)*BS34),2)*AU34)/100),2))</f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30</v>
      </c>
      <c r="DW34" s="2" t="s">
        <v>30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60088644</v>
      </c>
      <c r="EF34" s="2">
        <v>202</v>
      </c>
      <c r="EG34" s="2" t="s">
        <v>46</v>
      </c>
      <c r="EH34" s="2">
        <v>0</v>
      </c>
      <c r="EI34" s="2" t="s">
        <v>3</v>
      </c>
      <c r="EJ34" s="2">
        <v>1</v>
      </c>
      <c r="EK34" s="2">
        <v>400002</v>
      </c>
      <c r="EL34" s="2" t="s">
        <v>47</v>
      </c>
      <c r="EM34" s="2" t="s">
        <v>46</v>
      </c>
      <c r="EN34" s="2"/>
      <c r="EO34" s="2" t="s">
        <v>3</v>
      </c>
      <c r="EP34" s="2"/>
      <c r="EQ34" s="2">
        <v>0</v>
      </c>
      <c r="ER34" s="2">
        <v>0</v>
      </c>
      <c r="ES34" s="2">
        <v>279.52000000000004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0</v>
      </c>
      <c r="FY34" s="2">
        <v>0</v>
      </c>
      <c r="FZ34" s="2"/>
      <c r="GA34" s="2" t="s">
        <v>48</v>
      </c>
      <c r="GB34" s="2"/>
      <c r="GC34" s="2"/>
      <c r="GD34" s="2">
        <v>1</v>
      </c>
      <c r="GE34" s="2"/>
      <c r="GF34" s="2">
        <v>1071266394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37"/>
        <v>0</v>
      </c>
      <c r="GM34" s="2">
        <f t="shared" si="38"/>
        <v>7826.56</v>
      </c>
      <c r="GN34" s="2">
        <f t="shared" si="39"/>
        <v>0</v>
      </c>
      <c r="GO34" s="2">
        <f t="shared" si="40"/>
        <v>7826.56</v>
      </c>
      <c r="GP34" s="2">
        <f t="shared" si="41"/>
        <v>0</v>
      </c>
      <c r="GQ34" s="2"/>
      <c r="GR34" s="2">
        <v>0</v>
      </c>
      <c r="GS34" s="2">
        <v>2</v>
      </c>
      <c r="GT34" s="2">
        <v>0</v>
      </c>
      <c r="GU34" s="2" t="s">
        <v>3</v>
      </c>
      <c r="GV34" s="2">
        <f t="shared" si="42"/>
        <v>0</v>
      </c>
      <c r="GW34" s="2">
        <v>1</v>
      </c>
      <c r="GX34" s="2">
        <f t="shared" si="43"/>
        <v>0</v>
      </c>
      <c r="GY34" s="2"/>
      <c r="GZ34" s="2"/>
      <c r="HA34" s="2">
        <v>0</v>
      </c>
      <c r="HB34" s="2">
        <v>0</v>
      </c>
      <c r="HC34" s="2">
        <f t="shared" si="44"/>
        <v>0</v>
      </c>
      <c r="HD34" s="2"/>
      <c r="HE34" s="2" t="s">
        <v>49</v>
      </c>
      <c r="HF34" s="2" t="s">
        <v>28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E35" t="s">
        <v>43</v>
      </c>
      <c r="F35" t="s">
        <v>44</v>
      </c>
      <c r="G35" t="s">
        <v>45</v>
      </c>
      <c r="H35" t="s">
        <v>30</v>
      </c>
      <c r="I35">
        <v>28</v>
      </c>
      <c r="J35">
        <v>0</v>
      </c>
      <c r="K35">
        <v>28</v>
      </c>
      <c r="O35">
        <f t="shared" si="21"/>
        <v>77326.41</v>
      </c>
      <c r="P35">
        <f t="shared" si="45"/>
        <v>77326.41</v>
      </c>
      <c r="Q35">
        <f>(ROUND((ROUND(((ET35)*AV35*I35),2)*BB35),2)+ROUND((ROUND(((AE35-(EU35))*AV35*I35),2)*BS35),2))</f>
        <v>0</v>
      </c>
      <c r="R35">
        <f>(ROUND((ROUND(((EU35)*AV35*I35),2)*BS35),2)+ROUND((ROUND(((AE35-(EU35))*AV35*I35),2)*BS35),2))</f>
        <v>0</v>
      </c>
      <c r="S35">
        <f t="shared" si="22"/>
        <v>0</v>
      </c>
      <c r="T35">
        <f t="shared" si="23"/>
        <v>0</v>
      </c>
      <c r="U35">
        <f t="shared" si="24"/>
        <v>0</v>
      </c>
      <c r="V35">
        <f t="shared" si="25"/>
        <v>0</v>
      </c>
      <c r="W35">
        <f t="shared" si="26"/>
        <v>0</v>
      </c>
      <c r="X35">
        <f>(ROUND((((S35+ROUND((ROUND(((EU35)*AV35*I35),2)*BS35),2))*AT35)/100),2)+ROUND(((ROUND((ROUND(((AE35-(EU35))*AV35*I35),2)*BS35),2)*AT35)/100),2))</f>
        <v>0</v>
      </c>
      <c r="Y35">
        <f>(ROUND((((S35+ROUND((ROUND(((EU35)*AV35*I35),2)*BS35),2))*AU35)/100),2)+ROUND(((ROUND((ROUND(((AE35-(EU35))*AV35*I35),2)*BS35),2)*AU35)/100),2))</f>
        <v>0</v>
      </c>
      <c r="AA35">
        <v>60258061</v>
      </c>
      <c r="AB35">
        <f t="shared" si="27"/>
        <v>279.52</v>
      </c>
      <c r="AC35">
        <f t="shared" si="28"/>
        <v>279.52</v>
      </c>
      <c r="AD35">
        <f>ROUND((((ET35)-(EU35))+AE35),6)</f>
        <v>0</v>
      </c>
      <c r="AE35">
        <f>ROUND((EU35),6)</f>
        <v>0</v>
      </c>
      <c r="AF35">
        <f>ROUND((EV35),6)</f>
        <v>0</v>
      </c>
      <c r="AG35">
        <f t="shared" si="29"/>
        <v>0</v>
      </c>
      <c r="AH35">
        <f>(EW35)</f>
        <v>0</v>
      </c>
      <c r="AI35">
        <f>(EX35)</f>
        <v>0</v>
      </c>
      <c r="AJ35">
        <f t="shared" si="30"/>
        <v>0</v>
      </c>
      <c r="AK35">
        <v>279.52000000000004</v>
      </c>
      <c r="AL35">
        <v>279.52000000000004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9.8800000000000008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2</v>
      </c>
      <c r="BJ35" t="s">
        <v>3</v>
      </c>
      <c r="BM35">
        <v>400002</v>
      </c>
      <c r="BN35">
        <v>0</v>
      </c>
      <c r="BO35" t="s">
        <v>3</v>
      </c>
      <c r="BP35">
        <v>0</v>
      </c>
      <c r="BQ35">
        <v>202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0</v>
      </c>
      <c r="CA35">
        <v>0</v>
      </c>
      <c r="CB35" t="s">
        <v>3</v>
      </c>
      <c r="CE35">
        <v>1566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31"/>
        <v>77326.41</v>
      </c>
      <c r="CQ35">
        <f t="shared" si="46"/>
        <v>2761.66</v>
      </c>
      <c r="CR35">
        <f>(ROUND((ROUND(((ET35)*AV35*1),2)*BB35),2)+ROUND((ROUND(((AE35-(EU35))*AV35*1),2)*BS35),2))</f>
        <v>0</v>
      </c>
      <c r="CS35">
        <f>(ROUND((ROUND(((EU35)*AV35*1),2)*BS35),2)+ROUND((ROUND(((AE35-(EU35))*AV35*1),2)*BS35),2))</f>
        <v>0</v>
      </c>
      <c r="CT35">
        <f t="shared" si="32"/>
        <v>0</v>
      </c>
      <c r="CU35">
        <f t="shared" si="33"/>
        <v>0</v>
      </c>
      <c r="CV35">
        <f t="shared" si="34"/>
        <v>0</v>
      </c>
      <c r="CW35">
        <f t="shared" si="35"/>
        <v>0</v>
      </c>
      <c r="CX35">
        <f t="shared" si="36"/>
        <v>0</v>
      </c>
      <c r="CY35">
        <f>(ROUND((((S35+ROUND((ROUND(((EU35)*AV35*1),2)*BS35),2))*AT35)/100),2)+ROUND(((ROUND((ROUND(((AE35-(EU35))*AV35*1),2)*BS35),2)*AT35)/100),2))</f>
        <v>0</v>
      </c>
      <c r="CZ35">
        <f>(ROUND((((S35+ROUND((ROUND(((EU35)*AV35*1),2)*BS35),2))*AU35)/100),2)+ROUND(((ROUND((ROUND(((AE35-(EU35))*AV35*1),2)*BS35),2)*AU35)/100),2))</f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1013</v>
      </c>
      <c r="DV35" t="s">
        <v>30</v>
      </c>
      <c r="DW35" t="s">
        <v>30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60088644</v>
      </c>
      <c r="EF35">
        <v>202</v>
      </c>
      <c r="EG35" t="s">
        <v>46</v>
      </c>
      <c r="EH35">
        <v>0</v>
      </c>
      <c r="EI35" t="s">
        <v>3</v>
      </c>
      <c r="EJ35">
        <v>1</v>
      </c>
      <c r="EK35">
        <v>400002</v>
      </c>
      <c r="EL35" t="s">
        <v>47</v>
      </c>
      <c r="EM35" t="s">
        <v>46</v>
      </c>
      <c r="EO35" t="s">
        <v>3</v>
      </c>
      <c r="EQ35">
        <v>0</v>
      </c>
      <c r="ER35">
        <v>0</v>
      </c>
      <c r="ES35">
        <v>279.52000000000004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5</v>
      </c>
      <c r="FC35">
        <v>1</v>
      </c>
      <c r="FD35">
        <v>18</v>
      </c>
      <c r="FF35">
        <v>3249</v>
      </c>
      <c r="FQ35">
        <v>0</v>
      </c>
      <c r="FR35">
        <v>0</v>
      </c>
      <c r="FS35">
        <v>0</v>
      </c>
      <c r="FX35">
        <v>0</v>
      </c>
      <c r="FY35">
        <v>0</v>
      </c>
      <c r="GA35" t="s">
        <v>48</v>
      </c>
      <c r="GD35">
        <v>1</v>
      </c>
      <c r="GF35">
        <v>1071266394</v>
      </c>
      <c r="GG35">
        <v>2</v>
      </c>
      <c r="GH35">
        <v>3</v>
      </c>
      <c r="GI35">
        <v>5</v>
      </c>
      <c r="GJ35">
        <v>0</v>
      </c>
      <c r="GK35">
        <v>0</v>
      </c>
      <c r="GL35">
        <f t="shared" si="37"/>
        <v>0</v>
      </c>
      <c r="GM35">
        <f t="shared" si="38"/>
        <v>77326.41</v>
      </c>
      <c r="GN35">
        <f t="shared" si="39"/>
        <v>0</v>
      </c>
      <c r="GO35">
        <f t="shared" si="40"/>
        <v>77326.41</v>
      </c>
      <c r="GP35">
        <f t="shared" si="41"/>
        <v>0</v>
      </c>
      <c r="GR35">
        <v>1</v>
      </c>
      <c r="GS35">
        <v>1</v>
      </c>
      <c r="GT35">
        <v>0</v>
      </c>
      <c r="GU35" t="s">
        <v>3</v>
      </c>
      <c r="GV35">
        <f t="shared" si="42"/>
        <v>0</v>
      </c>
      <c r="GW35">
        <v>1</v>
      </c>
      <c r="GX35">
        <f t="shared" si="43"/>
        <v>0</v>
      </c>
      <c r="HA35">
        <v>0</v>
      </c>
      <c r="HB35">
        <v>0</v>
      </c>
      <c r="HC35">
        <f t="shared" si="44"/>
        <v>0</v>
      </c>
      <c r="HE35" t="s">
        <v>49</v>
      </c>
      <c r="HF35" t="s">
        <v>28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>
        <f>ROW(SmtRes!A20)</f>
        <v>20</v>
      </c>
      <c r="D36" s="2">
        <f>ROW(EtalonRes!A23)</f>
        <v>23</v>
      </c>
      <c r="E36" s="2" t="s">
        <v>50</v>
      </c>
      <c r="F36" s="2" t="s">
        <v>51</v>
      </c>
      <c r="G36" s="2" t="s">
        <v>52</v>
      </c>
      <c r="H36" s="2" t="s">
        <v>21</v>
      </c>
      <c r="I36" s="2">
        <f>ROUND(109/10,9)</f>
        <v>10.9</v>
      </c>
      <c r="J36" s="2">
        <v>0</v>
      </c>
      <c r="K36" s="2">
        <f>ROUND(109/10,9)</f>
        <v>10.9</v>
      </c>
      <c r="L36" s="2"/>
      <c r="M36" s="2"/>
      <c r="N36" s="2"/>
      <c r="O36" s="2">
        <f t="shared" si="21"/>
        <v>5530.34</v>
      </c>
      <c r="P36" s="2">
        <f t="shared" si="45"/>
        <v>463.36</v>
      </c>
      <c r="Q36" s="2">
        <f>(ROUND((ROUND((((ET36*1.1))*AV36*I36),2)*BB36),2)+ROUND((ROUND(((AE36-((EU36*1.1)))*AV36*I36),2)*BS36),2))</f>
        <v>29.63</v>
      </c>
      <c r="R36" s="2">
        <f>(ROUND((ROUND((((EU36*1.1))*AV36*I36),2)*BS36),2)+ROUND((ROUND(((AE36-((EU36*1.1)))*AV36*I36),2)*BS36),2))</f>
        <v>1.63</v>
      </c>
      <c r="S36" s="2">
        <f t="shared" si="22"/>
        <v>5037.3500000000004</v>
      </c>
      <c r="T36" s="2">
        <f t="shared" si="23"/>
        <v>0</v>
      </c>
      <c r="U36" s="2">
        <f t="shared" si="24"/>
        <v>317.98091490000002</v>
      </c>
      <c r="V36" s="2">
        <f t="shared" si="25"/>
        <v>0</v>
      </c>
      <c r="W36" s="2">
        <f t="shared" si="26"/>
        <v>0</v>
      </c>
      <c r="X36" s="2">
        <f>(ROUND((((S36+ROUND((ROUND((((EU36*1.1))*AV36*I36),2)*BS36),2))*AT36)/100),2)+ROUND(((ROUND((ROUND(((AE36-((EU36*1.1)))*AV36*I36),2)*BS36),2)*AT36)/100),2))</f>
        <v>4535.08</v>
      </c>
      <c r="Y36" s="2">
        <f>(ROUND((((S36+ROUND((ROUND((((EU36*1.1))*AV36*I36),2)*BS36),2))*AU36)/100),2)+ROUND(((ROUND((ROUND(((AE36-((EU36*1.1)))*AV36*I36),2)*BS36),2)*AU36)/100),2))</f>
        <v>2317.9299999999998</v>
      </c>
      <c r="Z36" s="2"/>
      <c r="AA36" s="2">
        <v>60258064</v>
      </c>
      <c r="AB36" s="2">
        <f t="shared" si="27"/>
        <v>486.50299999999999</v>
      </c>
      <c r="AC36" s="2">
        <f t="shared" si="28"/>
        <v>42.51</v>
      </c>
      <c r="AD36" s="2">
        <f>ROUND(((((ET36*1.1))-((EU36*1.1)))+AE36),6)</f>
        <v>2.5960000000000001</v>
      </c>
      <c r="AE36" s="2">
        <f>ROUND(((EU36*1.1)),6)</f>
        <v>0.14299999999999999</v>
      </c>
      <c r="AF36" s="2">
        <f>ROUND(((EV36*1.1)),6)</f>
        <v>441.39699999999999</v>
      </c>
      <c r="AG36" s="2">
        <f t="shared" si="29"/>
        <v>0</v>
      </c>
      <c r="AH36" s="2">
        <f>((EW36*1.1))</f>
        <v>27.863</v>
      </c>
      <c r="AI36" s="2">
        <f>((EX36*1.1))</f>
        <v>0</v>
      </c>
      <c r="AJ36" s="2">
        <f t="shared" si="30"/>
        <v>0</v>
      </c>
      <c r="AK36" s="2">
        <v>446.14</v>
      </c>
      <c r="AL36" s="2">
        <v>42.51</v>
      </c>
      <c r="AM36" s="2">
        <v>2.36</v>
      </c>
      <c r="AN36" s="2">
        <v>0.13</v>
      </c>
      <c r="AO36" s="2">
        <v>401.27</v>
      </c>
      <c r="AP36" s="2">
        <v>0</v>
      </c>
      <c r="AQ36" s="2">
        <v>25.33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53</v>
      </c>
      <c r="BK36" s="2"/>
      <c r="BL36" s="2"/>
      <c r="BM36" s="2">
        <v>68</v>
      </c>
      <c r="BN36" s="2">
        <v>58973116</v>
      </c>
      <c r="BO36" s="2" t="s">
        <v>51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377</v>
      </c>
      <c r="CO36" s="2">
        <v>0</v>
      </c>
      <c r="CP36" s="2">
        <f t="shared" si="31"/>
        <v>5530.34</v>
      </c>
      <c r="CQ36" s="2">
        <f t="shared" si="46"/>
        <v>42.51</v>
      </c>
      <c r="CR36" s="2">
        <f>(ROUND((ROUND((((ET36*1.1))*AV36*1),2)*BB36),2)+ROUND((ROUND(((AE36-((EU36*1.1)))*AV36*1),2)*BS36),2))</f>
        <v>2.72</v>
      </c>
      <c r="CS36" s="2">
        <f>(ROUND((ROUND((((EU36*1.1))*AV36*1),2)*BS36),2)+ROUND((ROUND(((AE36-((EU36*1.1)))*AV36*1),2)*BS36),2))</f>
        <v>0.15</v>
      </c>
      <c r="CT36" s="2">
        <f t="shared" si="32"/>
        <v>462.14</v>
      </c>
      <c r="CU36" s="2">
        <f t="shared" si="33"/>
        <v>0</v>
      </c>
      <c r="CV36" s="2">
        <f t="shared" si="34"/>
        <v>29.172560999999998</v>
      </c>
      <c r="CW36" s="2">
        <f t="shared" si="35"/>
        <v>0</v>
      </c>
      <c r="CX36" s="2">
        <f t="shared" si="36"/>
        <v>0</v>
      </c>
      <c r="CY36" s="2">
        <f>(ROUND((((S36+ROUND((ROUND((((EU36*1.1))*AV36*1),2)*BS36),2))*AT36)/100),2)+ROUND(((ROUND((ROUND(((AE36-((EU36*1.1)))*AV36*1),2)*BS36),2)*AT36)/100),2))</f>
        <v>4533.75</v>
      </c>
      <c r="CZ36" s="2">
        <f>(ROUND((((S36+ROUND((ROUND((((EU36*1.1))*AV36*1),2)*BS36),2))*AU36)/100),2)+ROUND(((ROUND((ROUND(((AE36-((EU36*1.1)))*AV36*1),2)*BS36),2)*AU36)/100),2))</f>
        <v>2317.25</v>
      </c>
      <c r="DA36" s="2"/>
      <c r="DB36" s="2">
        <v>5</v>
      </c>
      <c r="DC36" s="2" t="s">
        <v>3</v>
      </c>
      <c r="DD36" s="2" t="s">
        <v>3</v>
      </c>
      <c r="DE36" s="2" t="s">
        <v>23</v>
      </c>
      <c r="DF36" s="2" t="s">
        <v>23</v>
      </c>
      <c r="DG36" s="2" t="s">
        <v>23</v>
      </c>
      <c r="DH36" s="2" t="s">
        <v>3</v>
      </c>
      <c r="DI36" s="2" t="s">
        <v>23</v>
      </c>
      <c r="DJ36" s="2" t="s">
        <v>23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1010</v>
      </c>
      <c r="DV36" s="2" t="s">
        <v>21</v>
      </c>
      <c r="DW36" s="2" t="s">
        <v>21</v>
      </c>
      <c r="DX36" s="2">
        <v>10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60088532</v>
      </c>
      <c r="EF36" s="2">
        <v>40</v>
      </c>
      <c r="EG36" s="2" t="s">
        <v>24</v>
      </c>
      <c r="EH36" s="2">
        <v>0</v>
      </c>
      <c r="EI36" s="2" t="s">
        <v>3</v>
      </c>
      <c r="EJ36" s="2">
        <v>2</v>
      </c>
      <c r="EK36" s="2">
        <v>68</v>
      </c>
      <c r="EL36" s="2" t="s">
        <v>25</v>
      </c>
      <c r="EM36" s="2" t="s">
        <v>26</v>
      </c>
      <c r="EN36" s="2"/>
      <c r="EO36" s="2" t="s">
        <v>27</v>
      </c>
      <c r="EP36" s="2"/>
      <c r="EQ36" s="2">
        <v>0</v>
      </c>
      <c r="ER36" s="2">
        <v>446.14</v>
      </c>
      <c r="ES36" s="2">
        <v>42.51</v>
      </c>
      <c r="ET36" s="2">
        <v>2.36</v>
      </c>
      <c r="EU36" s="2">
        <v>0.13</v>
      </c>
      <c r="EV36" s="2">
        <v>401.27</v>
      </c>
      <c r="EW36" s="2">
        <v>25.33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-2118561153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37"/>
        <v>0</v>
      </c>
      <c r="GM36" s="2">
        <f t="shared" si="38"/>
        <v>12383.35</v>
      </c>
      <c r="GN36" s="2">
        <f t="shared" si="39"/>
        <v>0</v>
      </c>
      <c r="GO36" s="2">
        <f t="shared" si="40"/>
        <v>12383.35</v>
      </c>
      <c r="GP36" s="2">
        <f t="shared" si="41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2"/>
        <v>0</v>
      </c>
      <c r="GW36" s="2">
        <v>1</v>
      </c>
      <c r="GX36" s="2">
        <f t="shared" si="43"/>
        <v>0</v>
      </c>
      <c r="GY36" s="2"/>
      <c r="GZ36" s="2"/>
      <c r="HA36" s="2">
        <v>0</v>
      </c>
      <c r="HB36" s="2">
        <v>0</v>
      </c>
      <c r="HC36" s="2">
        <f t="shared" si="44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C37">
        <f>ROW(SmtRes!A26)</f>
        <v>26</v>
      </c>
      <c r="D37">
        <f>ROW(EtalonRes!A30)</f>
        <v>30</v>
      </c>
      <c r="E37" t="s">
        <v>50</v>
      </c>
      <c r="F37" t="s">
        <v>51</v>
      </c>
      <c r="G37" t="s">
        <v>52</v>
      </c>
      <c r="H37" t="s">
        <v>21</v>
      </c>
      <c r="I37">
        <f>ROUND(109/10,9)</f>
        <v>10.9</v>
      </c>
      <c r="J37">
        <v>0</v>
      </c>
      <c r="K37">
        <f>ROUND(109/10,9)</f>
        <v>10.9</v>
      </c>
      <c r="O37">
        <f t="shared" si="21"/>
        <v>278234.76</v>
      </c>
      <c r="P37">
        <f t="shared" si="45"/>
        <v>894.28</v>
      </c>
      <c r="Q37">
        <f>(ROUND((ROUND((((ET37*1.1))*AV37*I37),2)*BB37),2)+ROUND((ROUND(((AE37-((EU37*1.1)))*AV37*I37),2)*BS37),2))</f>
        <v>336.6</v>
      </c>
      <c r="R37">
        <f>(ROUND((ROUND((((EU37*1.1))*AV37*I37),2)*BS37),2)+ROUND((ROUND(((AE37-((EU37*1.1)))*AV37*I37),2)*BS37),2))</f>
        <v>89.63</v>
      </c>
      <c r="S37">
        <f t="shared" si="22"/>
        <v>277003.88</v>
      </c>
      <c r="T37">
        <f t="shared" si="23"/>
        <v>0</v>
      </c>
      <c r="U37">
        <f t="shared" si="24"/>
        <v>317.98091490000002</v>
      </c>
      <c r="V37">
        <f t="shared" si="25"/>
        <v>0</v>
      </c>
      <c r="W37">
        <f t="shared" si="26"/>
        <v>0</v>
      </c>
      <c r="X37">
        <f>(ROUND((((S37+ROUND((ROUND((((EU37*1.1))*AV37*I37),2)*BS37),2))*AT37)/100),2)+ROUND(((ROUND((ROUND(((AE37-((EU37*1.1)))*AV37*I37),2)*BS37),2)*AT37)/100),2))</f>
        <v>249384.16</v>
      </c>
      <c r="Y37">
        <f>(ROUND((((S37+ROUND((ROUND((((EU37*1.1))*AV37*I37),2)*BS37),2))*AU37)/100),2)+ROUND(((ROUND((ROUND(((AE37-((EU37*1.1)))*AV37*I37),2)*BS37),2)*AU37)/100),2))</f>
        <v>127463.01</v>
      </c>
      <c r="AA37">
        <v>60258061</v>
      </c>
      <c r="AB37">
        <f t="shared" si="27"/>
        <v>486.50299999999999</v>
      </c>
      <c r="AC37">
        <f t="shared" si="28"/>
        <v>42.51</v>
      </c>
      <c r="AD37">
        <f>ROUND(((((ET37*1.1))-((EU37*1.1)))+AE37),6)</f>
        <v>2.5960000000000001</v>
      </c>
      <c r="AE37">
        <f>ROUND(((EU37*1.1)),6)</f>
        <v>0.14299999999999999</v>
      </c>
      <c r="AF37">
        <f>ROUND(((EV37*1.1)),6)</f>
        <v>441.39699999999999</v>
      </c>
      <c r="AG37">
        <f t="shared" si="29"/>
        <v>0</v>
      </c>
      <c r="AH37">
        <f>((EW37*1.1))</f>
        <v>27.863</v>
      </c>
      <c r="AI37">
        <f>((EX37*1.1))</f>
        <v>0</v>
      </c>
      <c r="AJ37">
        <f t="shared" si="30"/>
        <v>0</v>
      </c>
      <c r="AK37">
        <v>446.14</v>
      </c>
      <c r="AL37">
        <v>42.51</v>
      </c>
      <c r="AM37">
        <v>2.36</v>
      </c>
      <c r="AN37">
        <v>0.13</v>
      </c>
      <c r="AO37">
        <v>401.27</v>
      </c>
      <c r="AP37">
        <v>0</v>
      </c>
      <c r="AQ37">
        <v>25.33</v>
      </c>
      <c r="AR37">
        <v>0</v>
      </c>
      <c r="AS37">
        <v>0</v>
      </c>
      <c r="AT37">
        <v>90</v>
      </c>
      <c r="AU37">
        <v>46</v>
      </c>
      <c r="AV37">
        <v>1.0469999999999999</v>
      </c>
      <c r="AW37">
        <v>1</v>
      </c>
      <c r="AZ37">
        <v>1</v>
      </c>
      <c r="BA37">
        <v>54.99</v>
      </c>
      <c r="BB37">
        <v>11.36</v>
      </c>
      <c r="BC37">
        <v>1.93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2</v>
      </c>
      <c r="BJ37" t="s">
        <v>53</v>
      </c>
      <c r="BM37">
        <v>68</v>
      </c>
      <c r="BN37">
        <v>58973116</v>
      </c>
      <c r="BO37" t="s">
        <v>51</v>
      </c>
      <c r="BP37">
        <v>1</v>
      </c>
      <c r="BQ37">
        <v>40</v>
      </c>
      <c r="BR37">
        <v>0</v>
      </c>
      <c r="BS37">
        <v>54.99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90</v>
      </c>
      <c r="CA37">
        <v>46</v>
      </c>
      <c r="CB37" t="s">
        <v>3</v>
      </c>
      <c r="CE37">
        <v>1566</v>
      </c>
      <c r="CF37">
        <v>0</v>
      </c>
      <c r="CG37">
        <v>0</v>
      </c>
      <c r="CM37">
        <v>0</v>
      </c>
      <c r="CN37" t="s">
        <v>377</v>
      </c>
      <c r="CO37">
        <v>0</v>
      </c>
      <c r="CP37">
        <f t="shared" si="31"/>
        <v>278234.76</v>
      </c>
      <c r="CQ37">
        <f t="shared" si="46"/>
        <v>82.04</v>
      </c>
      <c r="CR37">
        <f>(ROUND((ROUND((((ET37*1.1))*AV37*1),2)*BB37),2)+ROUND((ROUND(((AE37-((EU37*1.1)))*AV37*1),2)*BS37),2))</f>
        <v>30.9</v>
      </c>
      <c r="CS37">
        <f>(ROUND((ROUND((((EU37*1.1))*AV37*1),2)*BS37),2)+ROUND((ROUND(((AE37-((EU37*1.1)))*AV37*1),2)*BS37),2))</f>
        <v>8.25</v>
      </c>
      <c r="CT37">
        <f t="shared" si="32"/>
        <v>25413.08</v>
      </c>
      <c r="CU37">
        <f t="shared" si="33"/>
        <v>0</v>
      </c>
      <c r="CV37">
        <f t="shared" si="34"/>
        <v>29.172560999999998</v>
      </c>
      <c r="CW37">
        <f t="shared" si="35"/>
        <v>0</v>
      </c>
      <c r="CX37">
        <f t="shared" si="36"/>
        <v>0</v>
      </c>
      <c r="CY37">
        <f>(ROUND((((S37+ROUND((ROUND((((EU37*1.1))*AV37*1),2)*BS37),2))*AT37)/100),2)+ROUND(((ROUND((ROUND(((AE37-((EU37*1.1)))*AV37*1),2)*BS37),2)*AT37)/100),2))</f>
        <v>249310.92</v>
      </c>
      <c r="CZ37">
        <f>(ROUND((((S37+ROUND((ROUND((((EU37*1.1))*AV37*1),2)*BS37),2))*AU37)/100),2)+ROUND(((ROUND((ROUND(((AE37-((EU37*1.1)))*AV37*1),2)*BS37),2)*AU37)/100),2))</f>
        <v>127425.58</v>
      </c>
      <c r="DB37">
        <v>6</v>
      </c>
      <c r="DC37" t="s">
        <v>3</v>
      </c>
      <c r="DD37" t="s">
        <v>3</v>
      </c>
      <c r="DE37" t="s">
        <v>23</v>
      </c>
      <c r="DF37" t="s">
        <v>23</v>
      </c>
      <c r="DG37" t="s">
        <v>23</v>
      </c>
      <c r="DH37" t="s">
        <v>3</v>
      </c>
      <c r="DI37" t="s">
        <v>23</v>
      </c>
      <c r="DJ37" t="s">
        <v>23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1010</v>
      </c>
      <c r="DV37" t="s">
        <v>21</v>
      </c>
      <c r="DW37" t="s">
        <v>21</v>
      </c>
      <c r="DX37">
        <v>10</v>
      </c>
      <c r="DZ37" t="s">
        <v>3</v>
      </c>
      <c r="EA37" t="s">
        <v>3</v>
      </c>
      <c r="EB37" t="s">
        <v>3</v>
      </c>
      <c r="EC37" t="s">
        <v>3</v>
      </c>
      <c r="EE37">
        <v>60088532</v>
      </c>
      <c r="EF37">
        <v>40</v>
      </c>
      <c r="EG37" t="s">
        <v>24</v>
      </c>
      <c r="EH37">
        <v>0</v>
      </c>
      <c r="EI37" t="s">
        <v>3</v>
      </c>
      <c r="EJ37">
        <v>2</v>
      </c>
      <c r="EK37">
        <v>68</v>
      </c>
      <c r="EL37" t="s">
        <v>25</v>
      </c>
      <c r="EM37" t="s">
        <v>26</v>
      </c>
      <c r="EO37" t="s">
        <v>27</v>
      </c>
      <c r="EQ37">
        <v>0</v>
      </c>
      <c r="ER37">
        <v>446.14</v>
      </c>
      <c r="ES37">
        <v>42.51</v>
      </c>
      <c r="ET37">
        <v>2.36</v>
      </c>
      <c r="EU37">
        <v>0.13</v>
      </c>
      <c r="EV37">
        <v>401.27</v>
      </c>
      <c r="EW37">
        <v>25.33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90</v>
      </c>
      <c r="FY37">
        <v>46</v>
      </c>
      <c r="GA37" t="s">
        <v>3</v>
      </c>
      <c r="GD37">
        <v>1</v>
      </c>
      <c r="GF37">
        <v>-2118561153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37"/>
        <v>0</v>
      </c>
      <c r="GM37">
        <f t="shared" si="38"/>
        <v>655081.93000000005</v>
      </c>
      <c r="GN37">
        <f t="shared" si="39"/>
        <v>0</v>
      </c>
      <c r="GO37">
        <f t="shared" si="40"/>
        <v>655081.93000000005</v>
      </c>
      <c r="GP37">
        <f t="shared" si="41"/>
        <v>0</v>
      </c>
      <c r="GR37">
        <v>0</v>
      </c>
      <c r="GS37">
        <v>3</v>
      </c>
      <c r="GT37">
        <v>0</v>
      </c>
      <c r="GU37" t="s">
        <v>3</v>
      </c>
      <c r="GV37">
        <f t="shared" si="42"/>
        <v>0</v>
      </c>
      <c r="GW37">
        <v>1</v>
      </c>
      <c r="GX37">
        <f t="shared" si="43"/>
        <v>0</v>
      </c>
      <c r="HA37">
        <v>0</v>
      </c>
      <c r="HB37">
        <v>0</v>
      </c>
      <c r="HC37">
        <f t="shared" si="44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/>
      <c r="D38" s="2"/>
      <c r="E38" s="2" t="s">
        <v>54</v>
      </c>
      <c r="F38" s="2" t="s">
        <v>55</v>
      </c>
      <c r="G38" s="2" t="s">
        <v>379</v>
      </c>
      <c r="H38" s="2" t="s">
        <v>30</v>
      </c>
      <c r="I38" s="2">
        <v>109</v>
      </c>
      <c r="J38" s="2">
        <v>0</v>
      </c>
      <c r="K38" s="2">
        <v>109</v>
      </c>
      <c r="L38" s="2"/>
      <c r="M38" s="2"/>
      <c r="N38" s="2"/>
      <c r="O38" s="2">
        <f t="shared" si="21"/>
        <v>141836.25</v>
      </c>
      <c r="P38" s="2">
        <f>ROUND((ROUND((AC38*I38),2)*BC38),2)</f>
        <v>141836.25</v>
      </c>
      <c r="Q38" s="2">
        <f>(ROUND((ROUND(((ET38)*AV38*I38),2)*BB38),2)+ROUND((ROUND(((AE38-(EU38))*AV38*I38),2)*BS38),2))</f>
        <v>0</v>
      </c>
      <c r="R38" s="2">
        <f>(ROUND((ROUND(((EU38)*AV38*I38),2)*BS38),2)+ROUND((ROUND(((AE38-(EU38))*AV38*I38),2)*BS38),2))</f>
        <v>0</v>
      </c>
      <c r="S38" s="2">
        <f t="shared" si="22"/>
        <v>0</v>
      </c>
      <c r="T38" s="2">
        <f t="shared" si="23"/>
        <v>0</v>
      </c>
      <c r="U38" s="2">
        <f t="shared" si="24"/>
        <v>0</v>
      </c>
      <c r="V38" s="2">
        <f t="shared" si="25"/>
        <v>0</v>
      </c>
      <c r="W38" s="2">
        <f t="shared" si="26"/>
        <v>0</v>
      </c>
      <c r="X38" s="2">
        <f>(ROUND((((S38+ROUND((ROUND(((EU38)*AV38*I38),2)*BS38),2))*AT38)/100),2)+ROUND(((ROUND((ROUND(((AE38-(EU38))*AV38*I38),2)*BS38),2)*AT38)/100),2))</f>
        <v>0</v>
      </c>
      <c r="Y38" s="2">
        <f>(ROUND((((S38+ROUND((ROUND(((EU38)*AV38*I38),2)*BS38),2))*AU38)/100),2)+ROUND(((ROUND((ROUND(((AE38-(EU38))*AV38*I38),2)*BS38),2)*AU38)/100),2))</f>
        <v>0</v>
      </c>
      <c r="Z38" s="2"/>
      <c r="AA38" s="2">
        <v>60258064</v>
      </c>
      <c r="AB38" s="2">
        <f t="shared" si="27"/>
        <v>1301.25</v>
      </c>
      <c r="AC38" s="2">
        <f t="shared" si="28"/>
        <v>1301.25</v>
      </c>
      <c r="AD38" s="2">
        <f>ROUND((((ET38)-(EU38))+AE38),6)</f>
        <v>0</v>
      </c>
      <c r="AE38" s="2">
        <f>ROUND((EU38),6)</f>
        <v>0</v>
      </c>
      <c r="AF38" s="2">
        <f>ROUND((EV38),6)</f>
        <v>0</v>
      </c>
      <c r="AG38" s="2">
        <f t="shared" si="29"/>
        <v>0</v>
      </c>
      <c r="AH38" s="2">
        <f>(EW38)</f>
        <v>0</v>
      </c>
      <c r="AI38" s="2">
        <f>(EX38)</f>
        <v>0</v>
      </c>
      <c r="AJ38" s="2">
        <f t="shared" si="30"/>
        <v>0</v>
      </c>
      <c r="AK38" s="2">
        <v>1301.25</v>
      </c>
      <c r="AL38" s="2">
        <v>1301.25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3</v>
      </c>
      <c r="BJ38" s="2" t="s">
        <v>3</v>
      </c>
      <c r="BK38" s="2"/>
      <c r="BL38" s="2"/>
      <c r="BM38" s="2">
        <v>746</v>
      </c>
      <c r="BN38" s="2">
        <v>0</v>
      </c>
      <c r="BO38" s="2" t="s">
        <v>3</v>
      </c>
      <c r="BP38" s="2">
        <v>0</v>
      </c>
      <c r="BQ38" s="2">
        <v>130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0</v>
      </c>
      <c r="CA38" s="2">
        <v>0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1"/>
        <v>141836.25</v>
      </c>
      <c r="CQ38" s="2">
        <f>ROUND((ROUND((AC38*1),2)*BC38),2)</f>
        <v>1301.25</v>
      </c>
      <c r="CR38" s="2">
        <f>(ROUND((ROUND(((ET38)*AV38*1),2)*BB38),2)+ROUND((ROUND(((AE38-(EU38))*AV38*1),2)*BS38),2))</f>
        <v>0</v>
      </c>
      <c r="CS38" s="2">
        <f>(ROUND((ROUND(((EU38)*AV38*1),2)*BS38),2)+ROUND((ROUND(((AE38-(EU38))*AV38*1),2)*BS38),2))</f>
        <v>0</v>
      </c>
      <c r="CT38" s="2">
        <f t="shared" si="32"/>
        <v>0</v>
      </c>
      <c r="CU38" s="2">
        <f t="shared" si="33"/>
        <v>0</v>
      </c>
      <c r="CV38" s="2">
        <f t="shared" si="34"/>
        <v>0</v>
      </c>
      <c r="CW38" s="2">
        <f t="shared" si="35"/>
        <v>0</v>
      </c>
      <c r="CX38" s="2">
        <f t="shared" si="36"/>
        <v>0</v>
      </c>
      <c r="CY38" s="2">
        <f>(ROUND((((S38+ROUND((ROUND(((EU38)*AV38*1),2)*BS38),2))*AT38)/100),2)+ROUND(((ROUND((ROUND(((AE38-(EU38))*AV38*1),2)*BS38),2)*AT38)/100),2))</f>
        <v>0</v>
      </c>
      <c r="CZ38" s="2">
        <f>(ROUND((((S38+ROUND((ROUND(((EU38)*AV38*1),2)*BS38),2))*AU38)/100),2)+ROUND(((ROUND((ROUND(((AE38-(EU38))*AV38*1),2)*BS38),2)*AU38)/100),2))</f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30</v>
      </c>
      <c r="DW38" s="2" t="s">
        <v>30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60088638</v>
      </c>
      <c r="EF38" s="2">
        <v>130</v>
      </c>
      <c r="EG38" s="2" t="s">
        <v>31</v>
      </c>
      <c r="EH38" s="2">
        <v>0</v>
      </c>
      <c r="EI38" s="2" t="s">
        <v>3</v>
      </c>
      <c r="EJ38" s="2">
        <v>3</v>
      </c>
      <c r="EK38" s="2">
        <v>746</v>
      </c>
      <c r="EL38" s="2" t="s">
        <v>32</v>
      </c>
      <c r="EM38" s="2" t="s">
        <v>33</v>
      </c>
      <c r="EN38" s="2"/>
      <c r="EO38" s="2" t="s">
        <v>3</v>
      </c>
      <c r="EP38" s="2"/>
      <c r="EQ38" s="2">
        <v>0</v>
      </c>
      <c r="ER38" s="2">
        <v>0</v>
      </c>
      <c r="ES38" s="2">
        <v>1301.25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f>P38</f>
        <v>141836.25</v>
      </c>
      <c r="FS38" s="2">
        <v>0</v>
      </c>
      <c r="FT38" s="2"/>
      <c r="FU38" s="2"/>
      <c r="FV38" s="2"/>
      <c r="FW38" s="2"/>
      <c r="FX38" s="2">
        <v>0</v>
      </c>
      <c r="FY38" s="2">
        <v>0</v>
      </c>
      <c r="FZ38" s="2"/>
      <c r="GA38" s="2" t="s">
        <v>56</v>
      </c>
      <c r="GB38" s="2"/>
      <c r="GC38" s="2"/>
      <c r="GD38" s="2">
        <v>1</v>
      </c>
      <c r="GE38" s="2"/>
      <c r="GF38" s="2">
        <v>-758232571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37"/>
        <v>0</v>
      </c>
      <c r="GM38" s="2">
        <f t="shared" si="38"/>
        <v>141836.25</v>
      </c>
      <c r="GN38" s="2">
        <f t="shared" si="39"/>
        <v>0</v>
      </c>
      <c r="GO38" s="2">
        <f t="shared" si="40"/>
        <v>0</v>
      </c>
      <c r="GP38" s="2">
        <f t="shared" si="41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42"/>
        <v>0</v>
      </c>
      <c r="GW38" s="2">
        <v>1</v>
      </c>
      <c r="GX38" s="2">
        <f t="shared" si="43"/>
        <v>0</v>
      </c>
      <c r="GY38" s="2"/>
      <c r="GZ38" s="2"/>
      <c r="HA38" s="2">
        <v>0</v>
      </c>
      <c r="HB38" s="2">
        <v>0</v>
      </c>
      <c r="HC38" s="2">
        <f t="shared" si="44"/>
        <v>0</v>
      </c>
      <c r="HD38" s="2"/>
      <c r="HE38" s="2" t="s">
        <v>35</v>
      </c>
      <c r="HF38" s="2" t="s">
        <v>36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E39" t="s">
        <v>54</v>
      </c>
      <c r="F39" t="s">
        <v>55</v>
      </c>
      <c r="G39" t="s">
        <v>379</v>
      </c>
      <c r="H39" t="s">
        <v>30</v>
      </c>
      <c r="I39">
        <v>109</v>
      </c>
      <c r="J39">
        <v>0</v>
      </c>
      <c r="K39">
        <v>109</v>
      </c>
      <c r="O39">
        <f t="shared" si="21"/>
        <v>1086465.68</v>
      </c>
      <c r="P39">
        <f>ROUND((ROUND((AC39*I39),2)*BC39),2)</f>
        <v>1086465.68</v>
      </c>
      <c r="Q39">
        <f>(ROUND((ROUND(((ET39)*AV39*I39),2)*BB39),2)+ROUND((ROUND(((AE39-(EU39))*AV39*I39),2)*BS39),2))</f>
        <v>0</v>
      </c>
      <c r="R39">
        <f>(ROUND((ROUND(((EU39)*AV39*I39),2)*BS39),2)+ROUND((ROUND(((AE39-(EU39))*AV39*I39),2)*BS39),2))</f>
        <v>0</v>
      </c>
      <c r="S39">
        <f t="shared" si="22"/>
        <v>0</v>
      </c>
      <c r="T39">
        <f t="shared" si="23"/>
        <v>0</v>
      </c>
      <c r="U39">
        <f t="shared" si="24"/>
        <v>0</v>
      </c>
      <c r="V39">
        <f t="shared" si="25"/>
        <v>0</v>
      </c>
      <c r="W39">
        <f t="shared" si="26"/>
        <v>0</v>
      </c>
      <c r="X39">
        <f>(ROUND((((S39+ROUND((ROUND(((EU39)*AV39*I39),2)*BS39),2))*AT39)/100),2)+ROUND(((ROUND((ROUND(((AE39-(EU39))*AV39*I39),2)*BS39),2)*AT39)/100),2))</f>
        <v>0</v>
      </c>
      <c r="Y39">
        <f>(ROUND((((S39+ROUND((ROUND(((EU39)*AV39*I39),2)*BS39),2))*AU39)/100),2)+ROUND(((ROUND((ROUND(((AE39-(EU39))*AV39*I39),2)*BS39),2)*AU39)/100),2))</f>
        <v>0</v>
      </c>
      <c r="AA39">
        <v>60258061</v>
      </c>
      <c r="AB39">
        <f t="shared" si="27"/>
        <v>1301.25</v>
      </c>
      <c r="AC39">
        <f t="shared" si="28"/>
        <v>1301.25</v>
      </c>
      <c r="AD39">
        <f>ROUND((((ET39)-(EU39))+AE39),6)</f>
        <v>0</v>
      </c>
      <c r="AE39">
        <f>ROUND((EU39),6)</f>
        <v>0</v>
      </c>
      <c r="AF39">
        <f>ROUND((EV39),6)</f>
        <v>0</v>
      </c>
      <c r="AG39">
        <f t="shared" si="29"/>
        <v>0</v>
      </c>
      <c r="AH39">
        <f>(EW39)</f>
        <v>0</v>
      </c>
      <c r="AI39">
        <f>(EX39)</f>
        <v>0</v>
      </c>
      <c r="AJ39">
        <f t="shared" si="30"/>
        <v>0</v>
      </c>
      <c r="AK39">
        <v>1301.25</v>
      </c>
      <c r="AL39">
        <v>1301.25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Z39">
        <v>1</v>
      </c>
      <c r="BA39">
        <v>1</v>
      </c>
      <c r="BB39">
        <v>1</v>
      </c>
      <c r="BC39">
        <v>7.66</v>
      </c>
      <c r="BD39" t="s">
        <v>3</v>
      </c>
      <c r="BE39" t="s">
        <v>3</v>
      </c>
      <c r="BF39" t="s">
        <v>3</v>
      </c>
      <c r="BG39" t="s">
        <v>3</v>
      </c>
      <c r="BH39">
        <v>3</v>
      </c>
      <c r="BI39">
        <v>3</v>
      </c>
      <c r="BJ39" t="s">
        <v>3</v>
      </c>
      <c r="BM39">
        <v>746</v>
      </c>
      <c r="BN39">
        <v>0</v>
      </c>
      <c r="BO39" t="s">
        <v>3</v>
      </c>
      <c r="BP39">
        <v>0</v>
      </c>
      <c r="BQ39">
        <v>130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0</v>
      </c>
      <c r="CA39">
        <v>0</v>
      </c>
      <c r="CB39" t="s">
        <v>3</v>
      </c>
      <c r="CE39">
        <v>1566</v>
      </c>
      <c r="CF39">
        <v>0</v>
      </c>
      <c r="CG39">
        <v>0</v>
      </c>
      <c r="CM39">
        <v>0</v>
      </c>
      <c r="CN39" t="s">
        <v>3</v>
      </c>
      <c r="CO39">
        <v>0</v>
      </c>
      <c r="CP39">
        <f t="shared" si="31"/>
        <v>1086465.68</v>
      </c>
      <c r="CQ39">
        <f>ROUND((ROUND((AC39*1),2)*BC39),2)</f>
        <v>9967.58</v>
      </c>
      <c r="CR39">
        <f>(ROUND((ROUND(((ET39)*AV39*1),2)*BB39),2)+ROUND((ROUND(((AE39-(EU39))*AV39*1),2)*BS39),2))</f>
        <v>0</v>
      </c>
      <c r="CS39">
        <f>(ROUND((ROUND(((EU39)*AV39*1),2)*BS39),2)+ROUND((ROUND(((AE39-(EU39))*AV39*1),2)*BS39),2))</f>
        <v>0</v>
      </c>
      <c r="CT39">
        <f t="shared" si="32"/>
        <v>0</v>
      </c>
      <c r="CU39">
        <f t="shared" si="33"/>
        <v>0</v>
      </c>
      <c r="CV39">
        <f t="shared" si="34"/>
        <v>0</v>
      </c>
      <c r="CW39">
        <f t="shared" si="35"/>
        <v>0</v>
      </c>
      <c r="CX39">
        <f t="shared" si="36"/>
        <v>0</v>
      </c>
      <c r="CY39">
        <f>(ROUND((((S39+ROUND((ROUND(((EU39)*AV39*1),2)*BS39),2))*AT39)/100),2)+ROUND(((ROUND((ROUND(((AE39-(EU39))*AV39*1),2)*BS39),2)*AT39)/100),2))</f>
        <v>0</v>
      </c>
      <c r="CZ39">
        <f>(ROUND((((S39+ROUND((ROUND(((EU39)*AV39*1),2)*BS39),2))*AU39)/100),2)+ROUND(((ROUND((ROUND(((AE39-(EU39))*AV39*1),2)*BS39),2)*AU39)/100),2))</f>
        <v>0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1013</v>
      </c>
      <c r="DV39" t="s">
        <v>30</v>
      </c>
      <c r="DW39" t="s">
        <v>30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60088638</v>
      </c>
      <c r="EF39">
        <v>130</v>
      </c>
      <c r="EG39" t="s">
        <v>31</v>
      </c>
      <c r="EH39">
        <v>0</v>
      </c>
      <c r="EI39" t="s">
        <v>3</v>
      </c>
      <c r="EJ39">
        <v>3</v>
      </c>
      <c r="EK39">
        <v>746</v>
      </c>
      <c r="EL39" t="s">
        <v>32</v>
      </c>
      <c r="EM39" t="s">
        <v>33</v>
      </c>
      <c r="EO39" t="s">
        <v>3</v>
      </c>
      <c r="EQ39">
        <v>0</v>
      </c>
      <c r="ER39">
        <v>0</v>
      </c>
      <c r="ES39">
        <v>1301.25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5</v>
      </c>
      <c r="FC39">
        <v>1</v>
      </c>
      <c r="FD39">
        <v>18</v>
      </c>
      <c r="FF39">
        <v>11475</v>
      </c>
      <c r="FQ39">
        <v>0</v>
      </c>
      <c r="FR39">
        <f>P39</f>
        <v>1086465.68</v>
      </c>
      <c r="FS39">
        <v>0</v>
      </c>
      <c r="FX39">
        <v>0</v>
      </c>
      <c r="FY39">
        <v>0</v>
      </c>
      <c r="GA39" t="s">
        <v>56</v>
      </c>
      <c r="GD39">
        <v>1</v>
      </c>
      <c r="GF39">
        <v>-758232571</v>
      </c>
      <c r="GG39">
        <v>2</v>
      </c>
      <c r="GH39">
        <v>3</v>
      </c>
      <c r="GI39">
        <v>5</v>
      </c>
      <c r="GJ39">
        <v>0</v>
      </c>
      <c r="GK39">
        <v>0</v>
      </c>
      <c r="GL39">
        <f t="shared" si="37"/>
        <v>0</v>
      </c>
      <c r="GM39">
        <f t="shared" si="38"/>
        <v>1086465.68</v>
      </c>
      <c r="GN39">
        <f t="shared" si="39"/>
        <v>0</v>
      </c>
      <c r="GO39">
        <f t="shared" si="40"/>
        <v>0</v>
      </c>
      <c r="GP39">
        <f t="shared" si="41"/>
        <v>0</v>
      </c>
      <c r="GR39">
        <v>1</v>
      </c>
      <c r="GS39">
        <v>1</v>
      </c>
      <c r="GT39">
        <v>0</v>
      </c>
      <c r="GU39" t="s">
        <v>3</v>
      </c>
      <c r="GV39">
        <f t="shared" si="42"/>
        <v>0</v>
      </c>
      <c r="GW39">
        <v>1</v>
      </c>
      <c r="GX39">
        <f t="shared" si="43"/>
        <v>0</v>
      </c>
      <c r="HA39">
        <v>0</v>
      </c>
      <c r="HB39">
        <v>0</v>
      </c>
      <c r="HC39">
        <f t="shared" si="44"/>
        <v>0</v>
      </c>
      <c r="HE39" t="s">
        <v>35</v>
      </c>
      <c r="HF39" t="s">
        <v>36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>
        <f>ROW(SmtRes!A31)</f>
        <v>31</v>
      </c>
      <c r="D40" s="2">
        <f>ROW(EtalonRes!A37)</f>
        <v>37</v>
      </c>
      <c r="E40" s="2" t="s">
        <v>57</v>
      </c>
      <c r="F40" s="2" t="s">
        <v>58</v>
      </c>
      <c r="G40" s="2" t="s">
        <v>59</v>
      </c>
      <c r="H40" s="2" t="s">
        <v>60</v>
      </c>
      <c r="I40" s="2">
        <v>1</v>
      </c>
      <c r="J40" s="2">
        <v>0</v>
      </c>
      <c r="K40" s="2">
        <v>1</v>
      </c>
      <c r="L40" s="2"/>
      <c r="M40" s="2"/>
      <c r="N40" s="2"/>
      <c r="O40" s="2">
        <f t="shared" si="21"/>
        <v>110.65</v>
      </c>
      <c r="P40" s="2">
        <f>ROUND((ROUND((AC40*AW40*I40),2)*BC40),2)</f>
        <v>1.1000000000000001</v>
      </c>
      <c r="Q40" s="2">
        <f>(ROUND((ROUND((((ET40*1.1))*AV40*I40),2)*BB40),2)+ROUND((ROUND(((AE40-((EU40*1.1)))*AV40*I40),2)*BS40),2))</f>
        <v>0</v>
      </c>
      <c r="R40" s="2">
        <f>(ROUND((ROUND((((EU40*1.1))*AV40*I40),2)*BS40),2)+ROUND((ROUND(((AE40-((EU40*1.1)))*AV40*I40),2)*BS40),2))</f>
        <v>0</v>
      </c>
      <c r="S40" s="2">
        <f t="shared" si="22"/>
        <v>109.55</v>
      </c>
      <c r="T40" s="2">
        <f t="shared" si="23"/>
        <v>0</v>
      </c>
      <c r="U40" s="2">
        <f t="shared" si="24"/>
        <v>9.2135999999999996</v>
      </c>
      <c r="V40" s="2">
        <f t="shared" si="25"/>
        <v>0</v>
      </c>
      <c r="W40" s="2">
        <f t="shared" si="26"/>
        <v>0</v>
      </c>
      <c r="X40" s="2">
        <f>(ROUND((((S40+ROUND((ROUND((((EU40*1.1))*AV40*I40),2)*BS40),2))*AT40)/100),2)+ROUND(((ROUND((ROUND(((AE40-((EU40*1.1)))*AV40*I40),2)*BS40),2)*AT40)/100),2))</f>
        <v>104.07</v>
      </c>
      <c r="Y40" s="2">
        <f>(ROUND((((S40+ROUND((ROUND((((EU40*1.1))*AV40*I40),2)*BS40),2))*AU40)/100),2)+ROUND(((ROUND((ROUND(((AE40-((EU40*1.1)))*AV40*I40),2)*BS40),2)*AU40)/100),2))</f>
        <v>58.06</v>
      </c>
      <c r="Z40" s="2"/>
      <c r="AA40" s="2">
        <v>60258064</v>
      </c>
      <c r="AB40" s="2">
        <f t="shared" si="27"/>
        <v>105.732</v>
      </c>
      <c r="AC40" s="2">
        <f t="shared" si="28"/>
        <v>1.1000000000000001</v>
      </c>
      <c r="AD40" s="2">
        <f>ROUND(((((ET40*1.1))-((EU40*1.1)))+AE40),6)</f>
        <v>0</v>
      </c>
      <c r="AE40" s="2">
        <f>ROUND(((EU40*1.1)),6)</f>
        <v>0</v>
      </c>
      <c r="AF40" s="2">
        <f>ROUND(((EV40*1.1)),6)</f>
        <v>104.63200000000001</v>
      </c>
      <c r="AG40" s="2">
        <f t="shared" si="29"/>
        <v>0</v>
      </c>
      <c r="AH40" s="2">
        <f>((EW40*1.1))</f>
        <v>8.8000000000000007</v>
      </c>
      <c r="AI40" s="2">
        <f>((EX40*1.1))</f>
        <v>0</v>
      </c>
      <c r="AJ40" s="2">
        <f t="shared" si="30"/>
        <v>0</v>
      </c>
      <c r="AK40" s="2">
        <v>96.22</v>
      </c>
      <c r="AL40" s="2">
        <v>1.1000000000000001</v>
      </c>
      <c r="AM40" s="2">
        <v>0</v>
      </c>
      <c r="AN40" s="2">
        <v>0</v>
      </c>
      <c r="AO40" s="2">
        <v>95.12</v>
      </c>
      <c r="AP40" s="2">
        <v>0</v>
      </c>
      <c r="AQ40" s="2">
        <v>8</v>
      </c>
      <c r="AR40" s="2">
        <v>0</v>
      </c>
      <c r="AS40" s="2">
        <v>0</v>
      </c>
      <c r="AT40" s="2">
        <v>95</v>
      </c>
      <c r="AU40" s="2">
        <v>53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61</v>
      </c>
      <c r="BK40" s="2"/>
      <c r="BL40" s="2"/>
      <c r="BM40" s="2">
        <v>69</v>
      </c>
      <c r="BN40" s="2">
        <v>58973116</v>
      </c>
      <c r="BO40" s="2" t="s">
        <v>58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95</v>
      </c>
      <c r="CA40" s="2">
        <v>53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377</v>
      </c>
      <c r="CO40" s="2">
        <v>0</v>
      </c>
      <c r="CP40" s="2">
        <f t="shared" si="31"/>
        <v>110.64999999999999</v>
      </c>
      <c r="CQ40" s="2">
        <f>ROUND((ROUND((AC40*AW40*1),2)*BC40),2)</f>
        <v>1.1000000000000001</v>
      </c>
      <c r="CR40" s="2">
        <f>(ROUND((ROUND((((ET40*1.1))*AV40*1),2)*BB40),2)+ROUND((ROUND(((AE40-((EU40*1.1)))*AV40*1),2)*BS40),2))</f>
        <v>0</v>
      </c>
      <c r="CS40" s="2">
        <f>(ROUND((ROUND((((EU40*1.1))*AV40*1),2)*BS40),2)+ROUND((ROUND(((AE40-((EU40*1.1)))*AV40*1),2)*BS40),2))</f>
        <v>0</v>
      </c>
      <c r="CT40" s="2">
        <f t="shared" si="32"/>
        <v>109.55</v>
      </c>
      <c r="CU40" s="2">
        <f t="shared" si="33"/>
        <v>0</v>
      </c>
      <c r="CV40" s="2">
        <f t="shared" si="34"/>
        <v>9.2135999999999996</v>
      </c>
      <c r="CW40" s="2">
        <f t="shared" si="35"/>
        <v>0</v>
      </c>
      <c r="CX40" s="2">
        <f t="shared" si="36"/>
        <v>0</v>
      </c>
      <c r="CY40" s="2">
        <f>(ROUND((((S40+ROUND((ROUND((((EU40*1.1))*AV40*1),2)*BS40),2))*AT40)/100),2)+ROUND(((ROUND((ROUND(((AE40-((EU40*1.1)))*AV40*1),2)*BS40),2)*AT40)/100),2))</f>
        <v>104.07</v>
      </c>
      <c r="CZ40" s="2">
        <f>(ROUND((((S40+ROUND((ROUND((((EU40*1.1))*AV40*1),2)*BS40),2))*AU40)/100),2)+ROUND(((ROUND((ROUND(((AE40-((EU40*1.1)))*AV40*1),2)*BS40),2)*AU40)/100),2))</f>
        <v>58.06</v>
      </c>
      <c r="DA40" s="2"/>
      <c r="DB40" s="2">
        <v>7</v>
      </c>
      <c r="DC40" s="2" t="s">
        <v>3</v>
      </c>
      <c r="DD40" s="2" t="s">
        <v>3</v>
      </c>
      <c r="DE40" s="2" t="s">
        <v>23</v>
      </c>
      <c r="DF40" s="2" t="s">
        <v>23</v>
      </c>
      <c r="DG40" s="2" t="s">
        <v>23</v>
      </c>
      <c r="DH40" s="2" t="s">
        <v>3</v>
      </c>
      <c r="DI40" s="2" t="s">
        <v>23</v>
      </c>
      <c r="DJ40" s="2" t="s">
        <v>23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60</v>
      </c>
      <c r="DW40" s="2" t="s">
        <v>60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60088533</v>
      </c>
      <c r="EF40" s="2">
        <v>40</v>
      </c>
      <c r="EG40" s="2" t="s">
        <v>24</v>
      </c>
      <c r="EH40" s="2">
        <v>0</v>
      </c>
      <c r="EI40" s="2" t="s">
        <v>3</v>
      </c>
      <c r="EJ40" s="2">
        <v>2</v>
      </c>
      <c r="EK40" s="2">
        <v>69</v>
      </c>
      <c r="EL40" s="2" t="s">
        <v>41</v>
      </c>
      <c r="EM40" s="2" t="s">
        <v>42</v>
      </c>
      <c r="EN40" s="2"/>
      <c r="EO40" s="2" t="s">
        <v>27</v>
      </c>
      <c r="EP40" s="2"/>
      <c r="EQ40" s="2">
        <v>0</v>
      </c>
      <c r="ER40" s="2">
        <v>96.22</v>
      </c>
      <c r="ES40" s="2">
        <v>1.1000000000000001</v>
      </c>
      <c r="ET40" s="2">
        <v>0</v>
      </c>
      <c r="EU40" s="2">
        <v>0</v>
      </c>
      <c r="EV40" s="2">
        <v>95.12</v>
      </c>
      <c r="EW40" s="2">
        <v>8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95</v>
      </c>
      <c r="FY40" s="2">
        <v>53</v>
      </c>
      <c r="FZ40" s="2"/>
      <c r="GA40" s="2" t="s">
        <v>3</v>
      </c>
      <c r="GB40" s="2"/>
      <c r="GC40" s="2"/>
      <c r="GD40" s="2">
        <v>1</v>
      </c>
      <c r="GE40" s="2"/>
      <c r="GF40" s="2">
        <v>2121377083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37"/>
        <v>0</v>
      </c>
      <c r="GM40" s="2">
        <f t="shared" si="38"/>
        <v>272.77999999999997</v>
      </c>
      <c r="GN40" s="2">
        <f t="shared" si="39"/>
        <v>0</v>
      </c>
      <c r="GO40" s="2">
        <f t="shared" si="40"/>
        <v>272.77999999999997</v>
      </c>
      <c r="GP40" s="2">
        <f t="shared" si="41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2"/>
        <v>0</v>
      </c>
      <c r="GW40" s="2">
        <v>1</v>
      </c>
      <c r="GX40" s="2">
        <f t="shared" si="43"/>
        <v>0</v>
      </c>
      <c r="GY40" s="2"/>
      <c r="GZ40" s="2"/>
      <c r="HA40" s="2">
        <v>0</v>
      </c>
      <c r="HB40" s="2">
        <v>0</v>
      </c>
      <c r="HC40" s="2">
        <f t="shared" si="44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C41">
        <f>ROW(SmtRes!A36)</f>
        <v>36</v>
      </c>
      <c r="D41">
        <f>ROW(EtalonRes!A44)</f>
        <v>44</v>
      </c>
      <c r="E41" t="s">
        <v>57</v>
      </c>
      <c r="F41" t="s">
        <v>58</v>
      </c>
      <c r="G41" t="s">
        <v>59</v>
      </c>
      <c r="H41" t="s">
        <v>60</v>
      </c>
      <c r="I41">
        <v>1</v>
      </c>
      <c r="J41">
        <v>0</v>
      </c>
      <c r="K41">
        <v>1</v>
      </c>
      <c r="O41">
        <f t="shared" si="21"/>
        <v>6042.54</v>
      </c>
      <c r="P41">
        <f>ROUND((ROUND((AC41*AW41*I41),2)*BC41),2)</f>
        <v>18.39</v>
      </c>
      <c r="Q41">
        <f>(ROUND((ROUND((((ET41*1.1))*AV41*I41),2)*BB41),2)+ROUND((ROUND(((AE41-((EU41*1.1)))*AV41*I41),2)*BS41),2))</f>
        <v>0</v>
      </c>
      <c r="R41">
        <f>(ROUND((ROUND((((EU41*1.1))*AV41*I41),2)*BS41),2)+ROUND((ROUND(((AE41-((EU41*1.1)))*AV41*I41),2)*BS41),2))</f>
        <v>0</v>
      </c>
      <c r="S41">
        <f t="shared" si="22"/>
        <v>6024.15</v>
      </c>
      <c r="T41">
        <f t="shared" si="23"/>
        <v>0</v>
      </c>
      <c r="U41">
        <f t="shared" si="24"/>
        <v>9.2135999999999996</v>
      </c>
      <c r="V41">
        <f t="shared" si="25"/>
        <v>0</v>
      </c>
      <c r="W41">
        <f t="shared" si="26"/>
        <v>0</v>
      </c>
      <c r="X41">
        <f>(ROUND((((S41+ROUND((ROUND((((EU41*1.1))*AV41*I41),2)*BS41),2))*AT41)/100),2)+ROUND(((ROUND((ROUND(((AE41-((EU41*1.1)))*AV41*I41),2)*BS41),2)*AT41)/100),2))</f>
        <v>5722.94</v>
      </c>
      <c r="Y41">
        <f>(ROUND((((S41+ROUND((ROUND((((EU41*1.1))*AV41*I41),2)*BS41),2))*AU41)/100),2)+ROUND(((ROUND((ROUND(((AE41-((EU41*1.1)))*AV41*I41),2)*BS41),2)*AU41)/100),2))</f>
        <v>3192.8</v>
      </c>
      <c r="AA41">
        <v>60258061</v>
      </c>
      <c r="AB41">
        <f t="shared" si="27"/>
        <v>105.732</v>
      </c>
      <c r="AC41">
        <f t="shared" si="28"/>
        <v>1.1000000000000001</v>
      </c>
      <c r="AD41">
        <f>ROUND(((((ET41*1.1))-((EU41*1.1)))+AE41),6)</f>
        <v>0</v>
      </c>
      <c r="AE41">
        <f>ROUND(((EU41*1.1)),6)</f>
        <v>0</v>
      </c>
      <c r="AF41">
        <f>ROUND(((EV41*1.1)),6)</f>
        <v>104.63200000000001</v>
      </c>
      <c r="AG41">
        <f t="shared" si="29"/>
        <v>0</v>
      </c>
      <c r="AH41">
        <f>((EW41*1.1))</f>
        <v>8.8000000000000007</v>
      </c>
      <c r="AI41">
        <f>((EX41*1.1))</f>
        <v>0</v>
      </c>
      <c r="AJ41">
        <f t="shared" si="30"/>
        <v>0</v>
      </c>
      <c r="AK41">
        <v>96.22</v>
      </c>
      <c r="AL41">
        <v>1.1000000000000001</v>
      </c>
      <c r="AM41">
        <v>0</v>
      </c>
      <c r="AN41">
        <v>0</v>
      </c>
      <c r="AO41">
        <v>95.12</v>
      </c>
      <c r="AP41">
        <v>0</v>
      </c>
      <c r="AQ41">
        <v>8</v>
      </c>
      <c r="AR41">
        <v>0</v>
      </c>
      <c r="AS41">
        <v>0</v>
      </c>
      <c r="AT41">
        <v>95</v>
      </c>
      <c r="AU41">
        <v>53</v>
      </c>
      <c r="AV41">
        <v>1.0469999999999999</v>
      </c>
      <c r="AW41">
        <v>1</v>
      </c>
      <c r="AZ41">
        <v>1</v>
      </c>
      <c r="BA41">
        <v>54.99</v>
      </c>
      <c r="BB41">
        <v>1</v>
      </c>
      <c r="BC41">
        <v>16.72</v>
      </c>
      <c r="BD41" t="s">
        <v>3</v>
      </c>
      <c r="BE41" t="s">
        <v>3</v>
      </c>
      <c r="BF41" t="s">
        <v>3</v>
      </c>
      <c r="BG41" t="s">
        <v>3</v>
      </c>
      <c r="BH41">
        <v>0</v>
      </c>
      <c r="BI41">
        <v>2</v>
      </c>
      <c r="BJ41" t="s">
        <v>61</v>
      </c>
      <c r="BM41">
        <v>69</v>
      </c>
      <c r="BN41">
        <v>58973116</v>
      </c>
      <c r="BO41" t="s">
        <v>58</v>
      </c>
      <c r="BP41">
        <v>1</v>
      </c>
      <c r="BQ41">
        <v>40</v>
      </c>
      <c r="BR41">
        <v>0</v>
      </c>
      <c r="BS41">
        <v>54.99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95</v>
      </c>
      <c r="CA41">
        <v>53</v>
      </c>
      <c r="CB41" t="s">
        <v>3</v>
      </c>
      <c r="CE41">
        <v>1566</v>
      </c>
      <c r="CF41">
        <v>0</v>
      </c>
      <c r="CG41">
        <v>0</v>
      </c>
      <c r="CM41">
        <v>0</v>
      </c>
      <c r="CN41" t="s">
        <v>377</v>
      </c>
      <c r="CO41">
        <v>0</v>
      </c>
      <c r="CP41">
        <f t="shared" si="31"/>
        <v>6042.54</v>
      </c>
      <c r="CQ41">
        <f>ROUND((ROUND((AC41*AW41*1),2)*BC41),2)</f>
        <v>18.39</v>
      </c>
      <c r="CR41">
        <f>(ROUND((ROUND((((ET41*1.1))*AV41*1),2)*BB41),2)+ROUND((ROUND(((AE41-((EU41*1.1)))*AV41*1),2)*BS41),2))</f>
        <v>0</v>
      </c>
      <c r="CS41">
        <f>(ROUND((ROUND((((EU41*1.1))*AV41*1),2)*BS41),2)+ROUND((ROUND(((AE41-((EU41*1.1)))*AV41*1),2)*BS41),2))</f>
        <v>0</v>
      </c>
      <c r="CT41">
        <f t="shared" si="32"/>
        <v>6024.15</v>
      </c>
      <c r="CU41">
        <f t="shared" si="33"/>
        <v>0</v>
      </c>
      <c r="CV41">
        <f t="shared" si="34"/>
        <v>9.2135999999999996</v>
      </c>
      <c r="CW41">
        <f t="shared" si="35"/>
        <v>0</v>
      </c>
      <c r="CX41">
        <f t="shared" si="36"/>
        <v>0</v>
      </c>
      <c r="CY41">
        <f>(ROUND((((S41+ROUND((ROUND((((EU41*1.1))*AV41*1),2)*BS41),2))*AT41)/100),2)+ROUND(((ROUND((ROUND(((AE41-((EU41*1.1)))*AV41*1),2)*BS41),2)*AT41)/100),2))</f>
        <v>5722.94</v>
      </c>
      <c r="CZ41">
        <f>(ROUND((((S41+ROUND((ROUND((((EU41*1.1))*AV41*1),2)*BS41),2))*AU41)/100),2)+ROUND(((ROUND((ROUND(((AE41-((EU41*1.1)))*AV41*1),2)*BS41),2)*AU41)/100),2))</f>
        <v>3192.8</v>
      </c>
      <c r="DB41">
        <v>8</v>
      </c>
      <c r="DC41" t="s">
        <v>3</v>
      </c>
      <c r="DD41" t="s">
        <v>3</v>
      </c>
      <c r="DE41" t="s">
        <v>23</v>
      </c>
      <c r="DF41" t="s">
        <v>23</v>
      </c>
      <c r="DG41" t="s">
        <v>23</v>
      </c>
      <c r="DH41" t="s">
        <v>3</v>
      </c>
      <c r="DI41" t="s">
        <v>23</v>
      </c>
      <c r="DJ41" t="s">
        <v>23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1013</v>
      </c>
      <c r="DV41" t="s">
        <v>60</v>
      </c>
      <c r="DW41" t="s">
        <v>60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60088533</v>
      </c>
      <c r="EF41">
        <v>40</v>
      </c>
      <c r="EG41" t="s">
        <v>24</v>
      </c>
      <c r="EH41">
        <v>0</v>
      </c>
      <c r="EI41" t="s">
        <v>3</v>
      </c>
      <c r="EJ41">
        <v>2</v>
      </c>
      <c r="EK41">
        <v>69</v>
      </c>
      <c r="EL41" t="s">
        <v>41</v>
      </c>
      <c r="EM41" t="s">
        <v>42</v>
      </c>
      <c r="EO41" t="s">
        <v>27</v>
      </c>
      <c r="EQ41">
        <v>0</v>
      </c>
      <c r="ER41">
        <v>96.22</v>
      </c>
      <c r="ES41">
        <v>1.1000000000000001</v>
      </c>
      <c r="ET41">
        <v>0</v>
      </c>
      <c r="EU41">
        <v>0</v>
      </c>
      <c r="EV41">
        <v>95.12</v>
      </c>
      <c r="EW41">
        <v>8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95</v>
      </c>
      <c r="FY41">
        <v>53</v>
      </c>
      <c r="GA41" t="s">
        <v>3</v>
      </c>
      <c r="GD41">
        <v>1</v>
      </c>
      <c r="GF41">
        <v>2121377083</v>
      </c>
      <c r="GG41">
        <v>2</v>
      </c>
      <c r="GH41">
        <v>1</v>
      </c>
      <c r="GI41">
        <v>2</v>
      </c>
      <c r="GJ41">
        <v>0</v>
      </c>
      <c r="GK41">
        <v>0</v>
      </c>
      <c r="GL41">
        <f t="shared" si="37"/>
        <v>0</v>
      </c>
      <c r="GM41">
        <f t="shared" si="38"/>
        <v>14958.28</v>
      </c>
      <c r="GN41">
        <f t="shared" si="39"/>
        <v>0</v>
      </c>
      <c r="GO41">
        <f t="shared" si="40"/>
        <v>14958.28</v>
      </c>
      <c r="GP41">
        <f t="shared" si="41"/>
        <v>0</v>
      </c>
      <c r="GR41">
        <v>0</v>
      </c>
      <c r="GS41">
        <v>3</v>
      </c>
      <c r="GT41">
        <v>0</v>
      </c>
      <c r="GU41" t="s">
        <v>3</v>
      </c>
      <c r="GV41">
        <f t="shared" si="42"/>
        <v>0</v>
      </c>
      <c r="GW41">
        <v>1</v>
      </c>
      <c r="GX41">
        <f t="shared" si="43"/>
        <v>0</v>
      </c>
      <c r="HA41">
        <v>0</v>
      </c>
      <c r="HB41">
        <v>0</v>
      </c>
      <c r="HC41">
        <f t="shared" si="44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62</v>
      </c>
      <c r="F42" s="2" t="s">
        <v>63</v>
      </c>
      <c r="G42" s="2" t="s">
        <v>64</v>
      </c>
      <c r="H42" s="2" t="s">
        <v>30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1"/>
        <v>304239.84999999998</v>
      </c>
      <c r="P42" s="2">
        <f>ROUND((ROUND((AC42*I42),2)*BC42),2)</f>
        <v>304239.84999999998</v>
      </c>
      <c r="Q42" s="2">
        <f>(ROUND((ROUND(((ET42)*AV42*I42),2)*BB42),2)+ROUND((ROUND(((AE42-(EU42))*AV42*I42),2)*BS42),2))</f>
        <v>0</v>
      </c>
      <c r="R42" s="2">
        <f>(ROUND((ROUND(((EU42)*AV42*I42),2)*BS42),2)+ROUND((ROUND(((AE42-(EU42))*AV42*I42),2)*BS42),2))</f>
        <v>0</v>
      </c>
      <c r="S42" s="2">
        <f t="shared" si="22"/>
        <v>0</v>
      </c>
      <c r="T42" s="2">
        <f t="shared" si="23"/>
        <v>0</v>
      </c>
      <c r="U42" s="2">
        <f t="shared" si="24"/>
        <v>0</v>
      </c>
      <c r="V42" s="2">
        <f t="shared" si="25"/>
        <v>0</v>
      </c>
      <c r="W42" s="2">
        <f t="shared" si="26"/>
        <v>0</v>
      </c>
      <c r="X42" s="2">
        <f>(ROUND((((S42+ROUND((ROUND(((EU42)*AV42*I42),2)*BS42),2))*AT42)/100),2)+ROUND(((ROUND((ROUND(((AE42-(EU42))*AV42*I42),2)*BS42),2)*AT42)/100),2))</f>
        <v>0</v>
      </c>
      <c r="Y42" s="2">
        <f>(ROUND((((S42+ROUND((ROUND(((EU42)*AV42*I42),2)*BS42),2))*AU42)/100),2)+ROUND(((ROUND((ROUND(((AE42-(EU42))*AV42*I42),2)*BS42),2)*AU42)/100),2))</f>
        <v>0</v>
      </c>
      <c r="Z42" s="2"/>
      <c r="AA42" s="2">
        <v>60258064</v>
      </c>
      <c r="AB42" s="2">
        <f t="shared" si="27"/>
        <v>304239.84999999998</v>
      </c>
      <c r="AC42" s="2">
        <f t="shared" si="28"/>
        <v>304239.84999999998</v>
      </c>
      <c r="AD42" s="2">
        <f>ROUND((((ET42)-(EU42))+AE42),6)</f>
        <v>0</v>
      </c>
      <c r="AE42" s="2">
        <f t="shared" ref="AE42:AF45" si="47">ROUND((EU42),6)</f>
        <v>0</v>
      </c>
      <c r="AF42" s="2">
        <f t="shared" si="47"/>
        <v>0</v>
      </c>
      <c r="AG42" s="2">
        <f t="shared" si="29"/>
        <v>0</v>
      </c>
      <c r="AH42" s="2">
        <f t="shared" ref="AH42:AI45" si="48">(EW42)</f>
        <v>0</v>
      </c>
      <c r="AI42" s="2">
        <f t="shared" si="48"/>
        <v>0</v>
      </c>
      <c r="AJ42" s="2">
        <f t="shared" si="30"/>
        <v>0</v>
      </c>
      <c r="AK42" s="2">
        <v>304239.85000000003</v>
      </c>
      <c r="AL42" s="2">
        <v>304239.85000000003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3</v>
      </c>
      <c r="BJ42" s="2" t="s">
        <v>3</v>
      </c>
      <c r="BK42" s="2"/>
      <c r="BL42" s="2"/>
      <c r="BM42" s="2">
        <v>746</v>
      </c>
      <c r="BN42" s="2">
        <v>0</v>
      </c>
      <c r="BO42" s="2" t="s">
        <v>3</v>
      </c>
      <c r="BP42" s="2">
        <v>0</v>
      </c>
      <c r="BQ42" s="2">
        <v>130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1"/>
        <v>304239.84999999998</v>
      </c>
      <c r="CQ42" s="2">
        <f>ROUND((ROUND((AC42*1),2)*BC42),2)</f>
        <v>304239.84999999998</v>
      </c>
      <c r="CR42" s="2">
        <f>(ROUND((ROUND(((ET42)*AV42*1),2)*BB42),2)+ROUND((ROUND(((AE42-(EU42))*AV42*1),2)*BS42),2))</f>
        <v>0</v>
      </c>
      <c r="CS42" s="2">
        <f>(ROUND((ROUND(((EU42)*AV42*1),2)*BS42),2)+ROUND((ROUND(((AE42-(EU42))*AV42*1),2)*BS42),2))</f>
        <v>0</v>
      </c>
      <c r="CT42" s="2">
        <f t="shared" si="32"/>
        <v>0</v>
      </c>
      <c r="CU42" s="2">
        <f t="shared" si="33"/>
        <v>0</v>
      </c>
      <c r="CV42" s="2">
        <f t="shared" si="34"/>
        <v>0</v>
      </c>
      <c r="CW42" s="2">
        <f t="shared" si="35"/>
        <v>0</v>
      </c>
      <c r="CX42" s="2">
        <f t="shared" si="36"/>
        <v>0</v>
      </c>
      <c r="CY42" s="2">
        <f>(ROUND((((S42+ROUND((ROUND(((EU42)*AV42*1),2)*BS42),2))*AT42)/100),2)+ROUND(((ROUND((ROUND(((AE42-(EU42))*AV42*1),2)*BS42),2)*AT42)/100),2))</f>
        <v>0</v>
      </c>
      <c r="CZ42" s="2">
        <f>(ROUND((((S42+ROUND((ROUND(((EU42)*AV42*1),2)*BS42),2))*AU42)/100),2)+ROUND(((ROUND((ROUND(((AE42-(EU42))*AV42*1),2)*BS42),2)*AU42)/100),2))</f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30</v>
      </c>
      <c r="DW42" s="2" t="s">
        <v>30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60088638</v>
      </c>
      <c r="EF42" s="2">
        <v>130</v>
      </c>
      <c r="EG42" s="2" t="s">
        <v>31</v>
      </c>
      <c r="EH42" s="2">
        <v>0</v>
      </c>
      <c r="EI42" s="2" t="s">
        <v>3</v>
      </c>
      <c r="EJ42" s="2">
        <v>3</v>
      </c>
      <c r="EK42" s="2">
        <v>746</v>
      </c>
      <c r="EL42" s="2" t="s">
        <v>32</v>
      </c>
      <c r="EM42" s="2" t="s">
        <v>33</v>
      </c>
      <c r="EN42" s="2"/>
      <c r="EO42" s="2" t="s">
        <v>3</v>
      </c>
      <c r="EP42" s="2"/>
      <c r="EQ42" s="2">
        <v>0</v>
      </c>
      <c r="ER42" s="2">
        <v>0</v>
      </c>
      <c r="ES42" s="2">
        <v>304239.85000000003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f>P42</f>
        <v>304239.84999999998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65</v>
      </c>
      <c r="GB42" s="2"/>
      <c r="GC42" s="2"/>
      <c r="GD42" s="2">
        <v>1</v>
      </c>
      <c r="GE42" s="2"/>
      <c r="GF42" s="2">
        <v>183725230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37"/>
        <v>0</v>
      </c>
      <c r="GM42" s="2">
        <f t="shared" si="38"/>
        <v>304239.84999999998</v>
      </c>
      <c r="GN42" s="2">
        <f t="shared" si="39"/>
        <v>0</v>
      </c>
      <c r="GO42" s="2">
        <f t="shared" si="40"/>
        <v>0</v>
      </c>
      <c r="GP42" s="2">
        <f t="shared" si="41"/>
        <v>0</v>
      </c>
      <c r="GQ42" s="2"/>
      <c r="GR42" s="2">
        <v>0</v>
      </c>
      <c r="GS42" s="2">
        <v>2</v>
      </c>
      <c r="GT42" s="2">
        <v>0</v>
      </c>
      <c r="GU42" s="2" t="s">
        <v>3</v>
      </c>
      <c r="GV42" s="2">
        <f t="shared" si="42"/>
        <v>0</v>
      </c>
      <c r="GW42" s="2">
        <v>1</v>
      </c>
      <c r="GX42" s="2">
        <f t="shared" si="43"/>
        <v>0</v>
      </c>
      <c r="GY42" s="2"/>
      <c r="GZ42" s="2"/>
      <c r="HA42" s="2">
        <v>0</v>
      </c>
      <c r="HB42" s="2">
        <v>0</v>
      </c>
      <c r="HC42" s="2">
        <f t="shared" si="44"/>
        <v>0</v>
      </c>
      <c r="HD42" s="2"/>
      <c r="HE42" s="2" t="s">
        <v>35</v>
      </c>
      <c r="HF42" s="2" t="s">
        <v>36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17</v>
      </c>
      <c r="B43">
        <v>1</v>
      </c>
      <c r="E43" t="s">
        <v>62</v>
      </c>
      <c r="F43" t="s">
        <v>63</v>
      </c>
      <c r="G43" t="s">
        <v>64</v>
      </c>
      <c r="H43" t="s">
        <v>30</v>
      </c>
      <c r="I43">
        <v>1</v>
      </c>
      <c r="J43">
        <v>0</v>
      </c>
      <c r="K43">
        <v>1</v>
      </c>
      <c r="O43">
        <f t="shared" si="21"/>
        <v>2330477.25</v>
      </c>
      <c r="P43">
        <f>ROUND((ROUND((AC43*I43),2)*BC43),2)</f>
        <v>2330477.25</v>
      </c>
      <c r="Q43">
        <f>(ROUND((ROUND(((ET43)*AV43*I43),2)*BB43),2)+ROUND((ROUND(((AE43-(EU43))*AV43*I43),2)*BS43),2))</f>
        <v>0</v>
      </c>
      <c r="R43">
        <f>(ROUND((ROUND(((EU43)*AV43*I43),2)*BS43),2)+ROUND((ROUND(((AE43-(EU43))*AV43*I43),2)*BS43),2))</f>
        <v>0</v>
      </c>
      <c r="S43">
        <f t="shared" si="22"/>
        <v>0</v>
      </c>
      <c r="T43">
        <f t="shared" si="23"/>
        <v>0</v>
      </c>
      <c r="U43">
        <f t="shared" si="24"/>
        <v>0</v>
      </c>
      <c r="V43">
        <f t="shared" si="25"/>
        <v>0</v>
      </c>
      <c r="W43">
        <f t="shared" si="26"/>
        <v>0</v>
      </c>
      <c r="X43">
        <f>(ROUND((((S43+ROUND((ROUND(((EU43)*AV43*I43),2)*BS43),2))*AT43)/100),2)+ROUND(((ROUND((ROUND(((AE43-(EU43))*AV43*I43),2)*BS43),2)*AT43)/100),2))</f>
        <v>0</v>
      </c>
      <c r="Y43">
        <f>(ROUND((((S43+ROUND((ROUND(((EU43)*AV43*I43),2)*BS43),2))*AU43)/100),2)+ROUND(((ROUND((ROUND(((AE43-(EU43))*AV43*I43),2)*BS43),2)*AU43)/100),2))</f>
        <v>0</v>
      </c>
      <c r="AA43">
        <v>60258061</v>
      </c>
      <c r="AB43">
        <f t="shared" si="27"/>
        <v>304239.84999999998</v>
      </c>
      <c r="AC43">
        <f t="shared" si="28"/>
        <v>304239.84999999998</v>
      </c>
      <c r="AD43">
        <f>ROUND((((ET43)-(EU43))+AE43),6)</f>
        <v>0</v>
      </c>
      <c r="AE43">
        <f t="shared" si="47"/>
        <v>0</v>
      </c>
      <c r="AF43">
        <f t="shared" si="47"/>
        <v>0</v>
      </c>
      <c r="AG43">
        <f t="shared" si="29"/>
        <v>0</v>
      </c>
      <c r="AH43">
        <f t="shared" si="48"/>
        <v>0</v>
      </c>
      <c r="AI43">
        <f t="shared" si="48"/>
        <v>0</v>
      </c>
      <c r="AJ43">
        <f t="shared" si="30"/>
        <v>0</v>
      </c>
      <c r="AK43">
        <v>304239.85000000003</v>
      </c>
      <c r="AL43">
        <v>304239.85000000003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7.66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3</v>
      </c>
      <c r="BJ43" t="s">
        <v>3</v>
      </c>
      <c r="BM43">
        <v>746</v>
      </c>
      <c r="BN43">
        <v>0</v>
      </c>
      <c r="BO43" t="s">
        <v>3</v>
      </c>
      <c r="BP43">
        <v>0</v>
      </c>
      <c r="BQ43">
        <v>130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0</v>
      </c>
      <c r="CA43">
        <v>0</v>
      </c>
      <c r="CB43" t="s">
        <v>3</v>
      </c>
      <c r="CE43">
        <v>1566</v>
      </c>
      <c r="CF43">
        <v>0</v>
      </c>
      <c r="CG43">
        <v>0</v>
      </c>
      <c r="CM43">
        <v>0</v>
      </c>
      <c r="CN43" t="s">
        <v>3</v>
      </c>
      <c r="CO43">
        <v>0</v>
      </c>
      <c r="CP43">
        <f t="shared" si="31"/>
        <v>2330477.25</v>
      </c>
      <c r="CQ43">
        <f>ROUND((ROUND((AC43*1),2)*BC43),2)</f>
        <v>2330477.25</v>
      </c>
      <c r="CR43">
        <f>(ROUND((ROUND(((ET43)*AV43*1),2)*BB43),2)+ROUND((ROUND(((AE43-(EU43))*AV43*1),2)*BS43),2))</f>
        <v>0</v>
      </c>
      <c r="CS43">
        <f>(ROUND((ROUND(((EU43)*AV43*1),2)*BS43),2)+ROUND((ROUND(((AE43-(EU43))*AV43*1),2)*BS43),2))</f>
        <v>0</v>
      </c>
      <c r="CT43">
        <f t="shared" si="32"/>
        <v>0</v>
      </c>
      <c r="CU43">
        <f t="shared" si="33"/>
        <v>0</v>
      </c>
      <c r="CV43">
        <f t="shared" si="34"/>
        <v>0</v>
      </c>
      <c r="CW43">
        <f t="shared" si="35"/>
        <v>0</v>
      </c>
      <c r="CX43">
        <f t="shared" si="36"/>
        <v>0</v>
      </c>
      <c r="CY43">
        <f>(ROUND((((S43+ROUND((ROUND(((EU43)*AV43*1),2)*BS43),2))*AT43)/100),2)+ROUND(((ROUND((ROUND(((AE43-(EU43))*AV43*1),2)*BS43),2)*AT43)/100),2))</f>
        <v>0</v>
      </c>
      <c r="CZ43">
        <f>(ROUND((((S43+ROUND((ROUND(((EU43)*AV43*1),2)*BS43),2))*AU43)/100),2)+ROUND(((ROUND((ROUND(((AE43-(EU43))*AV43*1),2)*BS43),2)*AU43)/100),2))</f>
        <v>0</v>
      </c>
      <c r="DC43" t="s">
        <v>3</v>
      </c>
      <c r="DD43" t="s">
        <v>3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1013</v>
      </c>
      <c r="DV43" t="s">
        <v>30</v>
      </c>
      <c r="DW43" t="s">
        <v>30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60088638</v>
      </c>
      <c r="EF43">
        <v>130</v>
      </c>
      <c r="EG43" t="s">
        <v>31</v>
      </c>
      <c r="EH43">
        <v>0</v>
      </c>
      <c r="EI43" t="s">
        <v>3</v>
      </c>
      <c r="EJ43">
        <v>3</v>
      </c>
      <c r="EK43">
        <v>746</v>
      </c>
      <c r="EL43" t="s">
        <v>32</v>
      </c>
      <c r="EM43" t="s">
        <v>33</v>
      </c>
      <c r="EO43" t="s">
        <v>3</v>
      </c>
      <c r="EQ43">
        <v>0</v>
      </c>
      <c r="ER43">
        <v>0</v>
      </c>
      <c r="ES43">
        <v>304239.85000000003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5</v>
      </c>
      <c r="FC43">
        <v>1</v>
      </c>
      <c r="FD43">
        <v>18</v>
      </c>
      <c r="FF43">
        <v>2682924</v>
      </c>
      <c r="FQ43">
        <v>0</v>
      </c>
      <c r="FR43">
        <f>P43</f>
        <v>2330477.25</v>
      </c>
      <c r="FS43">
        <v>0</v>
      </c>
      <c r="FX43">
        <v>0</v>
      </c>
      <c r="FY43">
        <v>0</v>
      </c>
      <c r="GA43" t="s">
        <v>65</v>
      </c>
      <c r="GD43">
        <v>1</v>
      </c>
      <c r="GF43">
        <v>183725230</v>
      </c>
      <c r="GG43">
        <v>2</v>
      </c>
      <c r="GH43">
        <v>3</v>
      </c>
      <c r="GI43">
        <v>5</v>
      </c>
      <c r="GJ43">
        <v>0</v>
      </c>
      <c r="GK43">
        <v>0</v>
      </c>
      <c r="GL43">
        <f t="shared" si="37"/>
        <v>0</v>
      </c>
      <c r="GM43">
        <f t="shared" si="38"/>
        <v>2330477.25</v>
      </c>
      <c r="GN43">
        <f t="shared" si="39"/>
        <v>0</v>
      </c>
      <c r="GO43">
        <f t="shared" si="40"/>
        <v>0</v>
      </c>
      <c r="GP43">
        <f t="shared" si="41"/>
        <v>0</v>
      </c>
      <c r="GR43">
        <v>1</v>
      </c>
      <c r="GS43">
        <v>1</v>
      </c>
      <c r="GT43">
        <v>0</v>
      </c>
      <c r="GU43" t="s">
        <v>3</v>
      </c>
      <c r="GV43">
        <f t="shared" si="42"/>
        <v>0</v>
      </c>
      <c r="GW43">
        <v>1</v>
      </c>
      <c r="GX43">
        <f t="shared" si="43"/>
        <v>0</v>
      </c>
      <c r="HA43">
        <v>0</v>
      </c>
      <c r="HB43">
        <v>0</v>
      </c>
      <c r="HC43">
        <f t="shared" si="44"/>
        <v>0</v>
      </c>
      <c r="HE43" t="s">
        <v>35</v>
      </c>
      <c r="HF43" t="s">
        <v>36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/>
      <c r="D44" s="2"/>
      <c r="E44" s="2" t="s">
        <v>66</v>
      </c>
      <c r="F44" s="2" t="s">
        <v>67</v>
      </c>
      <c r="G44" s="2" t="s">
        <v>68</v>
      </c>
      <c r="H44" s="2" t="s">
        <v>30</v>
      </c>
      <c r="I44" s="2">
        <v>1</v>
      </c>
      <c r="J44" s="2">
        <v>0</v>
      </c>
      <c r="K44" s="2">
        <v>1</v>
      </c>
      <c r="L44" s="2"/>
      <c r="M44" s="2"/>
      <c r="N44" s="2"/>
      <c r="O44" s="2">
        <f t="shared" si="21"/>
        <v>20298.349999999999</v>
      </c>
      <c r="P44" s="2">
        <f>ROUND((ROUND((AC44*I44),2)*BC44),2)</f>
        <v>20298.349999999999</v>
      </c>
      <c r="Q44" s="2">
        <f>(ROUND((ROUND(((ET44)*AV44*I44),2)*BB44),2)+ROUND((ROUND(((AE44-(EU44))*AV44*I44),2)*BS44),2))</f>
        <v>0</v>
      </c>
      <c r="R44" s="2">
        <f>(ROUND((ROUND(((EU44)*AV44*I44),2)*BS44),2)+ROUND((ROUND(((AE44-(EU44))*AV44*I44),2)*BS44),2))</f>
        <v>0</v>
      </c>
      <c r="S44" s="2">
        <f t="shared" si="22"/>
        <v>0</v>
      </c>
      <c r="T44" s="2">
        <f t="shared" si="23"/>
        <v>0</v>
      </c>
      <c r="U44" s="2">
        <f t="shared" si="24"/>
        <v>0</v>
      </c>
      <c r="V44" s="2">
        <f t="shared" si="25"/>
        <v>0</v>
      </c>
      <c r="W44" s="2">
        <f t="shared" si="26"/>
        <v>0</v>
      </c>
      <c r="X44" s="2">
        <f>(ROUND((((S44+ROUND((ROUND(((EU44)*AV44*I44),2)*BS44),2))*AT44)/100),2)+ROUND(((ROUND((ROUND(((AE44-(EU44))*AV44*I44),2)*BS44),2)*AT44)/100),2))</f>
        <v>0</v>
      </c>
      <c r="Y44" s="2">
        <f>(ROUND((((S44+ROUND((ROUND(((EU44)*AV44*I44),2)*BS44),2))*AU44)/100),2)+ROUND(((ROUND((ROUND(((AE44-(EU44))*AV44*I44),2)*BS44),2)*AU44)/100),2))</f>
        <v>0</v>
      </c>
      <c r="Z44" s="2"/>
      <c r="AA44" s="2">
        <v>60258064</v>
      </c>
      <c r="AB44" s="2">
        <f t="shared" si="27"/>
        <v>20298.349999999999</v>
      </c>
      <c r="AC44" s="2">
        <f t="shared" si="28"/>
        <v>20298.349999999999</v>
      </c>
      <c r="AD44" s="2">
        <f>ROUND((((ET44)-(EU44))+AE44),6)</f>
        <v>0</v>
      </c>
      <c r="AE44" s="2">
        <f t="shared" si="47"/>
        <v>0</v>
      </c>
      <c r="AF44" s="2">
        <f t="shared" si="47"/>
        <v>0</v>
      </c>
      <c r="AG44" s="2">
        <f t="shared" si="29"/>
        <v>0</v>
      </c>
      <c r="AH44" s="2">
        <f t="shared" si="48"/>
        <v>0</v>
      </c>
      <c r="AI44" s="2">
        <f t="shared" si="48"/>
        <v>0</v>
      </c>
      <c r="AJ44" s="2">
        <f t="shared" si="30"/>
        <v>0</v>
      </c>
      <c r="AK44" s="2">
        <v>20298.349999999999</v>
      </c>
      <c r="AL44" s="2">
        <v>20298.349999999999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3</v>
      </c>
      <c r="BI44" s="2">
        <v>3</v>
      </c>
      <c r="BJ44" s="2" t="s">
        <v>3</v>
      </c>
      <c r="BK44" s="2"/>
      <c r="BL44" s="2"/>
      <c r="BM44" s="2">
        <v>746</v>
      </c>
      <c r="BN44" s="2">
        <v>0</v>
      </c>
      <c r="BO44" s="2" t="s">
        <v>3</v>
      </c>
      <c r="BP44" s="2">
        <v>0</v>
      </c>
      <c r="BQ44" s="2">
        <v>130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0</v>
      </c>
      <c r="CA44" s="2">
        <v>0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31"/>
        <v>20298.349999999999</v>
      </c>
      <c r="CQ44" s="2">
        <f>ROUND((ROUND((AC44*1),2)*BC44),2)</f>
        <v>20298.349999999999</v>
      </c>
      <c r="CR44" s="2">
        <f>(ROUND((ROUND(((ET44)*AV44*1),2)*BB44),2)+ROUND((ROUND(((AE44-(EU44))*AV44*1),2)*BS44),2))</f>
        <v>0</v>
      </c>
      <c r="CS44" s="2">
        <f>(ROUND((ROUND(((EU44)*AV44*1),2)*BS44),2)+ROUND((ROUND(((AE44-(EU44))*AV44*1),2)*BS44),2))</f>
        <v>0</v>
      </c>
      <c r="CT44" s="2">
        <f t="shared" si="32"/>
        <v>0</v>
      </c>
      <c r="CU44" s="2">
        <f t="shared" si="33"/>
        <v>0</v>
      </c>
      <c r="CV44" s="2">
        <f t="shared" si="34"/>
        <v>0</v>
      </c>
      <c r="CW44" s="2">
        <f t="shared" si="35"/>
        <v>0</v>
      </c>
      <c r="CX44" s="2">
        <f t="shared" si="36"/>
        <v>0</v>
      </c>
      <c r="CY44" s="2">
        <f>(ROUND((((S44+ROUND((ROUND(((EU44)*AV44*1),2)*BS44),2))*AT44)/100),2)+ROUND(((ROUND((ROUND(((AE44-(EU44))*AV44*1),2)*BS44),2)*AT44)/100),2))</f>
        <v>0</v>
      </c>
      <c r="CZ44" s="2">
        <f>(ROUND((((S44+ROUND((ROUND(((EU44)*AV44*1),2)*BS44),2))*AU44)/100),2)+ROUND(((ROUND((ROUND(((AE44-(EU44))*AV44*1),2)*BS44),2)*AU44)/100),2))</f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30</v>
      </c>
      <c r="DW44" s="2" t="s">
        <v>30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60088638</v>
      </c>
      <c r="EF44" s="2">
        <v>130</v>
      </c>
      <c r="EG44" s="2" t="s">
        <v>31</v>
      </c>
      <c r="EH44" s="2">
        <v>0</v>
      </c>
      <c r="EI44" s="2" t="s">
        <v>3</v>
      </c>
      <c r="EJ44" s="2">
        <v>3</v>
      </c>
      <c r="EK44" s="2">
        <v>746</v>
      </c>
      <c r="EL44" s="2" t="s">
        <v>32</v>
      </c>
      <c r="EM44" s="2" t="s">
        <v>33</v>
      </c>
      <c r="EN44" s="2"/>
      <c r="EO44" s="2" t="s">
        <v>3</v>
      </c>
      <c r="EP44" s="2"/>
      <c r="EQ44" s="2">
        <v>0</v>
      </c>
      <c r="ER44" s="2">
        <v>0</v>
      </c>
      <c r="ES44" s="2">
        <v>20298.349999999999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f>P44</f>
        <v>20298.349999999999</v>
      </c>
      <c r="FS44" s="2">
        <v>0</v>
      </c>
      <c r="FT44" s="2"/>
      <c r="FU44" s="2"/>
      <c r="FV44" s="2"/>
      <c r="FW44" s="2"/>
      <c r="FX44" s="2">
        <v>0</v>
      </c>
      <c r="FY44" s="2">
        <v>0</v>
      </c>
      <c r="FZ44" s="2"/>
      <c r="GA44" s="2" t="s">
        <v>69</v>
      </c>
      <c r="GB44" s="2"/>
      <c r="GC44" s="2"/>
      <c r="GD44" s="2">
        <v>1</v>
      </c>
      <c r="GE44" s="2"/>
      <c r="GF44" s="2">
        <v>867537067</v>
      </c>
      <c r="GG44" s="2">
        <v>2</v>
      </c>
      <c r="GH44" s="2">
        <v>4</v>
      </c>
      <c r="GI44" s="2">
        <v>-2</v>
      </c>
      <c r="GJ44" s="2">
        <v>0</v>
      </c>
      <c r="GK44" s="2">
        <v>0</v>
      </c>
      <c r="GL44" s="2">
        <f t="shared" si="37"/>
        <v>0</v>
      </c>
      <c r="GM44" s="2">
        <f t="shared" si="38"/>
        <v>20298.349999999999</v>
      </c>
      <c r="GN44" s="2">
        <f t="shared" si="39"/>
        <v>0</v>
      </c>
      <c r="GO44" s="2">
        <f t="shared" si="40"/>
        <v>0</v>
      </c>
      <c r="GP44" s="2">
        <f t="shared" si="41"/>
        <v>0</v>
      </c>
      <c r="GQ44" s="2"/>
      <c r="GR44" s="2">
        <v>0</v>
      </c>
      <c r="GS44" s="2">
        <v>2</v>
      </c>
      <c r="GT44" s="2">
        <v>0</v>
      </c>
      <c r="GU44" s="2" t="s">
        <v>3</v>
      </c>
      <c r="GV44" s="2">
        <f t="shared" si="42"/>
        <v>0</v>
      </c>
      <c r="GW44" s="2">
        <v>1</v>
      </c>
      <c r="GX44" s="2">
        <f t="shared" si="43"/>
        <v>0</v>
      </c>
      <c r="GY44" s="2"/>
      <c r="GZ44" s="2"/>
      <c r="HA44" s="2">
        <v>0</v>
      </c>
      <c r="HB44" s="2">
        <v>0</v>
      </c>
      <c r="HC44" s="2">
        <f t="shared" si="44"/>
        <v>0</v>
      </c>
      <c r="HD44" s="2"/>
      <c r="HE44" s="2" t="s">
        <v>35</v>
      </c>
      <c r="HF44" s="2" t="s">
        <v>36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E45" t="s">
        <v>66</v>
      </c>
      <c r="F45" t="s">
        <v>67</v>
      </c>
      <c r="G45" t="s">
        <v>68</v>
      </c>
      <c r="H45" t="s">
        <v>30</v>
      </c>
      <c r="I45">
        <v>1</v>
      </c>
      <c r="J45">
        <v>0</v>
      </c>
      <c r="K45">
        <v>1</v>
      </c>
      <c r="O45">
        <f t="shared" si="21"/>
        <v>155485.35999999999</v>
      </c>
      <c r="P45">
        <f>ROUND((ROUND((AC45*I45),2)*BC45),2)</f>
        <v>155485.35999999999</v>
      </c>
      <c r="Q45">
        <f>(ROUND((ROUND(((ET45)*AV45*I45),2)*BB45),2)+ROUND((ROUND(((AE45-(EU45))*AV45*I45),2)*BS45),2))</f>
        <v>0</v>
      </c>
      <c r="R45">
        <f>(ROUND((ROUND(((EU45)*AV45*I45),2)*BS45),2)+ROUND((ROUND(((AE45-(EU45))*AV45*I45),2)*BS45),2))</f>
        <v>0</v>
      </c>
      <c r="S45">
        <f t="shared" si="22"/>
        <v>0</v>
      </c>
      <c r="T45">
        <f t="shared" si="23"/>
        <v>0</v>
      </c>
      <c r="U45">
        <f t="shared" si="24"/>
        <v>0</v>
      </c>
      <c r="V45">
        <f t="shared" si="25"/>
        <v>0</v>
      </c>
      <c r="W45">
        <f t="shared" si="26"/>
        <v>0</v>
      </c>
      <c r="X45">
        <f>(ROUND((((S45+ROUND((ROUND(((EU45)*AV45*I45),2)*BS45),2))*AT45)/100),2)+ROUND(((ROUND((ROUND(((AE45-(EU45))*AV45*I45),2)*BS45),2)*AT45)/100),2))</f>
        <v>0</v>
      </c>
      <c r="Y45">
        <f>(ROUND((((S45+ROUND((ROUND(((EU45)*AV45*I45),2)*BS45),2))*AU45)/100),2)+ROUND(((ROUND((ROUND(((AE45-(EU45))*AV45*I45),2)*BS45),2)*AU45)/100),2))</f>
        <v>0</v>
      </c>
      <c r="AA45">
        <v>60258061</v>
      </c>
      <c r="AB45">
        <f t="shared" si="27"/>
        <v>20298.349999999999</v>
      </c>
      <c r="AC45">
        <f t="shared" si="28"/>
        <v>20298.349999999999</v>
      </c>
      <c r="AD45">
        <f>ROUND((((ET45)-(EU45))+AE45),6)</f>
        <v>0</v>
      </c>
      <c r="AE45">
        <f t="shared" si="47"/>
        <v>0</v>
      </c>
      <c r="AF45">
        <f t="shared" si="47"/>
        <v>0</v>
      </c>
      <c r="AG45">
        <f t="shared" si="29"/>
        <v>0</v>
      </c>
      <c r="AH45">
        <f t="shared" si="48"/>
        <v>0</v>
      </c>
      <c r="AI45">
        <f t="shared" si="48"/>
        <v>0</v>
      </c>
      <c r="AJ45">
        <f t="shared" si="30"/>
        <v>0</v>
      </c>
      <c r="AK45">
        <v>20298.349999999999</v>
      </c>
      <c r="AL45">
        <v>20298.349999999999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1</v>
      </c>
      <c r="AZ45">
        <v>1</v>
      </c>
      <c r="BA45">
        <v>1</v>
      </c>
      <c r="BB45">
        <v>1</v>
      </c>
      <c r="BC45">
        <v>7.66</v>
      </c>
      <c r="BD45" t="s">
        <v>3</v>
      </c>
      <c r="BE45" t="s">
        <v>3</v>
      </c>
      <c r="BF45" t="s">
        <v>3</v>
      </c>
      <c r="BG45" t="s">
        <v>3</v>
      </c>
      <c r="BH45">
        <v>3</v>
      </c>
      <c r="BI45">
        <v>3</v>
      </c>
      <c r="BJ45" t="s">
        <v>3</v>
      </c>
      <c r="BM45">
        <v>746</v>
      </c>
      <c r="BN45">
        <v>0</v>
      </c>
      <c r="BO45" t="s">
        <v>3</v>
      </c>
      <c r="BP45">
        <v>0</v>
      </c>
      <c r="BQ45">
        <v>130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0</v>
      </c>
      <c r="CA45">
        <v>0</v>
      </c>
      <c r="CB45" t="s">
        <v>3</v>
      </c>
      <c r="CE45">
        <v>1566</v>
      </c>
      <c r="CF45">
        <v>0</v>
      </c>
      <c r="CG45">
        <v>0</v>
      </c>
      <c r="CM45">
        <v>0</v>
      </c>
      <c r="CN45" t="s">
        <v>3</v>
      </c>
      <c r="CO45">
        <v>0</v>
      </c>
      <c r="CP45">
        <f t="shared" si="31"/>
        <v>155485.35999999999</v>
      </c>
      <c r="CQ45">
        <f>ROUND((ROUND((AC45*1),2)*BC45),2)</f>
        <v>155485.35999999999</v>
      </c>
      <c r="CR45">
        <f>(ROUND((ROUND(((ET45)*AV45*1),2)*BB45),2)+ROUND((ROUND(((AE45-(EU45))*AV45*1),2)*BS45),2))</f>
        <v>0</v>
      </c>
      <c r="CS45">
        <f>(ROUND((ROUND(((EU45)*AV45*1),2)*BS45),2)+ROUND((ROUND(((AE45-(EU45))*AV45*1),2)*BS45),2))</f>
        <v>0</v>
      </c>
      <c r="CT45">
        <f t="shared" si="32"/>
        <v>0</v>
      </c>
      <c r="CU45">
        <f t="shared" si="33"/>
        <v>0</v>
      </c>
      <c r="CV45">
        <f t="shared" si="34"/>
        <v>0</v>
      </c>
      <c r="CW45">
        <f t="shared" si="35"/>
        <v>0</v>
      </c>
      <c r="CX45">
        <f t="shared" si="36"/>
        <v>0</v>
      </c>
      <c r="CY45">
        <f>(ROUND((((S45+ROUND((ROUND(((EU45)*AV45*1),2)*BS45),2))*AT45)/100),2)+ROUND(((ROUND((ROUND(((AE45-(EU45))*AV45*1),2)*BS45),2)*AT45)/100),2))</f>
        <v>0</v>
      </c>
      <c r="CZ45">
        <f>(ROUND((((S45+ROUND((ROUND(((EU45)*AV45*1),2)*BS45),2))*AU45)/100),2)+ROUND(((ROUND((ROUND(((AE45-(EU45))*AV45*1),2)*BS45),2)*AU45)/100),2))</f>
        <v>0</v>
      </c>
      <c r="DC45" t="s">
        <v>3</v>
      </c>
      <c r="DD45" t="s">
        <v>3</v>
      </c>
      <c r="DE45" t="s">
        <v>3</v>
      </c>
      <c r="DF45" t="s">
        <v>3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>
        <v>0</v>
      </c>
      <c r="DO45">
        <v>0</v>
      </c>
      <c r="DP45">
        <v>1</v>
      </c>
      <c r="DQ45">
        <v>1</v>
      </c>
      <c r="DU45">
        <v>1013</v>
      </c>
      <c r="DV45" t="s">
        <v>30</v>
      </c>
      <c r="DW45" t="s">
        <v>30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60088638</v>
      </c>
      <c r="EF45">
        <v>130</v>
      </c>
      <c r="EG45" t="s">
        <v>31</v>
      </c>
      <c r="EH45">
        <v>0</v>
      </c>
      <c r="EI45" t="s">
        <v>3</v>
      </c>
      <c r="EJ45">
        <v>3</v>
      </c>
      <c r="EK45">
        <v>746</v>
      </c>
      <c r="EL45" t="s">
        <v>32</v>
      </c>
      <c r="EM45" t="s">
        <v>33</v>
      </c>
      <c r="EO45" t="s">
        <v>3</v>
      </c>
      <c r="EQ45">
        <v>0</v>
      </c>
      <c r="ER45">
        <v>0</v>
      </c>
      <c r="ES45">
        <v>20298.349999999999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5</v>
      </c>
      <c r="FC45">
        <v>1</v>
      </c>
      <c r="FD45">
        <v>18</v>
      </c>
      <c r="FF45">
        <v>179000</v>
      </c>
      <c r="FQ45">
        <v>0</v>
      </c>
      <c r="FR45">
        <f>P45</f>
        <v>155485.35999999999</v>
      </c>
      <c r="FS45">
        <v>0</v>
      </c>
      <c r="FX45">
        <v>0</v>
      </c>
      <c r="FY45">
        <v>0</v>
      </c>
      <c r="GA45" t="s">
        <v>69</v>
      </c>
      <c r="GD45">
        <v>1</v>
      </c>
      <c r="GF45">
        <v>867537067</v>
      </c>
      <c r="GG45">
        <v>2</v>
      </c>
      <c r="GH45">
        <v>3</v>
      </c>
      <c r="GI45">
        <v>5</v>
      </c>
      <c r="GJ45">
        <v>0</v>
      </c>
      <c r="GK45">
        <v>0</v>
      </c>
      <c r="GL45">
        <f t="shared" si="37"/>
        <v>0</v>
      </c>
      <c r="GM45">
        <f t="shared" si="38"/>
        <v>155485.35999999999</v>
      </c>
      <c r="GN45">
        <f t="shared" si="39"/>
        <v>0</v>
      </c>
      <c r="GO45">
        <f t="shared" si="40"/>
        <v>0</v>
      </c>
      <c r="GP45">
        <f t="shared" si="41"/>
        <v>0</v>
      </c>
      <c r="GR45">
        <v>1</v>
      </c>
      <c r="GS45">
        <v>1</v>
      </c>
      <c r="GT45">
        <v>0</v>
      </c>
      <c r="GU45" t="s">
        <v>3</v>
      </c>
      <c r="GV45">
        <f t="shared" si="42"/>
        <v>0</v>
      </c>
      <c r="GW45">
        <v>1</v>
      </c>
      <c r="GX45">
        <f t="shared" si="43"/>
        <v>0</v>
      </c>
      <c r="HA45">
        <v>0</v>
      </c>
      <c r="HB45">
        <v>0</v>
      </c>
      <c r="HC45">
        <f t="shared" si="44"/>
        <v>0</v>
      </c>
      <c r="HE45" t="s">
        <v>35</v>
      </c>
      <c r="HF45" t="s">
        <v>36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17</v>
      </c>
      <c r="B46" s="2">
        <v>1</v>
      </c>
      <c r="C46" s="2">
        <f>ROW(SmtRes!A40)</f>
        <v>40</v>
      </c>
      <c r="D46" s="2">
        <f>ROW(EtalonRes!A49)</f>
        <v>49</v>
      </c>
      <c r="E46" s="2" t="s">
        <v>70</v>
      </c>
      <c r="F46" s="2" t="s">
        <v>71</v>
      </c>
      <c r="G46" s="2" t="s">
        <v>72</v>
      </c>
      <c r="H46" s="2" t="s">
        <v>39</v>
      </c>
      <c r="I46" s="2">
        <f>ROUND(1+1+7,9)</f>
        <v>9</v>
      </c>
      <c r="J46" s="2">
        <v>0</v>
      </c>
      <c r="K46" s="2">
        <f>ROUND(1+1+7,9)</f>
        <v>9</v>
      </c>
      <c r="L46" s="2"/>
      <c r="M46" s="2"/>
      <c r="N46" s="2"/>
      <c r="O46" s="2">
        <f t="shared" si="21"/>
        <v>1219.72</v>
      </c>
      <c r="P46" s="2">
        <f>ROUND((ROUND((AC46*AW46*I46),2)*BC46),2)</f>
        <v>111.15</v>
      </c>
      <c r="Q46" s="2">
        <f>(ROUND((ROUND((((ET46*1.1))*AV46*I46),2)*BB46),2)+ROUND((ROUND(((AE46-((EU46*1.1)))*AV46*I46),2)*BS46),2))</f>
        <v>297.58999999999997</v>
      </c>
      <c r="R46" s="2">
        <f>(ROUND((ROUND((((EU46*1.1))*AV46*I46),2)*BS46),2)+ROUND((ROUND(((AE46-((EU46*1.1)))*AV46*I46),2)*BS46),2))</f>
        <v>32.75</v>
      </c>
      <c r="S46" s="2">
        <f t="shared" si="22"/>
        <v>810.98</v>
      </c>
      <c r="T46" s="2">
        <f t="shared" si="23"/>
        <v>0</v>
      </c>
      <c r="U46" s="2">
        <f t="shared" si="24"/>
        <v>64.264859999999999</v>
      </c>
      <c r="V46" s="2">
        <f t="shared" si="25"/>
        <v>0</v>
      </c>
      <c r="W46" s="2">
        <f t="shared" si="26"/>
        <v>0</v>
      </c>
      <c r="X46" s="2">
        <f>(ROUND((((S46+ROUND((ROUND((((EU46*1.1))*AV46*I46),2)*BS46),2))*AT46)/100),2)+ROUND(((ROUND((ROUND(((AE46-((EU46*1.1)))*AV46*I46),2)*BS46),2)*AT46)/100),2))</f>
        <v>759.36</v>
      </c>
      <c r="Y46" s="2">
        <f>(ROUND((((S46+ROUND((ROUND((((EU46*1.1))*AV46*I46),2)*BS46),2))*AU46)/100),2)+ROUND(((ROUND((ROUND(((AE46-((EU46*1.1)))*AV46*I46),2)*BS46),2)*AU46)/100),2))</f>
        <v>388.12</v>
      </c>
      <c r="Z46" s="2"/>
      <c r="AA46" s="2">
        <v>60258064</v>
      </c>
      <c r="AB46" s="2">
        <f t="shared" si="27"/>
        <v>129.995</v>
      </c>
      <c r="AC46" s="2">
        <f t="shared" si="28"/>
        <v>12.35</v>
      </c>
      <c r="AD46" s="2">
        <f>ROUND(((((ET46*1.1))-((EU46*1.1)))+AE46),6)</f>
        <v>31.581</v>
      </c>
      <c r="AE46" s="2">
        <f>ROUND(((EU46*1.1)),6)</f>
        <v>3.476</v>
      </c>
      <c r="AF46" s="2">
        <f>ROUND(((EV46*1.1)),6)</f>
        <v>86.063999999999993</v>
      </c>
      <c r="AG46" s="2">
        <f t="shared" si="29"/>
        <v>0</v>
      </c>
      <c r="AH46" s="2">
        <f>((EW46*1.1))</f>
        <v>6.8200000000000012</v>
      </c>
      <c r="AI46" s="2">
        <f>((EX46*1.1))</f>
        <v>0</v>
      </c>
      <c r="AJ46" s="2">
        <f t="shared" si="30"/>
        <v>0</v>
      </c>
      <c r="AK46" s="2">
        <v>119.3</v>
      </c>
      <c r="AL46" s="2">
        <v>12.35</v>
      </c>
      <c r="AM46" s="2">
        <v>28.71</v>
      </c>
      <c r="AN46" s="2">
        <v>3.16</v>
      </c>
      <c r="AO46" s="2">
        <v>78.239999999999995</v>
      </c>
      <c r="AP46" s="2">
        <v>0</v>
      </c>
      <c r="AQ46" s="2">
        <v>6.2</v>
      </c>
      <c r="AR46" s="2">
        <v>0</v>
      </c>
      <c r="AS46" s="2">
        <v>0</v>
      </c>
      <c r="AT46" s="2">
        <v>90</v>
      </c>
      <c r="AU46" s="2">
        <v>46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73</v>
      </c>
      <c r="BK46" s="2"/>
      <c r="BL46" s="2"/>
      <c r="BM46" s="2">
        <v>68</v>
      </c>
      <c r="BN46" s="2">
        <v>58973116</v>
      </c>
      <c r="BO46" s="2" t="s">
        <v>71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377</v>
      </c>
      <c r="CO46" s="2">
        <v>0</v>
      </c>
      <c r="CP46" s="2">
        <f t="shared" si="31"/>
        <v>1219.72</v>
      </c>
      <c r="CQ46" s="2">
        <f>ROUND((ROUND((AC46*AW46*1),2)*BC46),2)</f>
        <v>12.35</v>
      </c>
      <c r="CR46" s="2">
        <f>(ROUND((ROUND((((ET46*1.1))*AV46*1),2)*BB46),2)+ROUND((ROUND(((AE46-((EU46*1.1)))*AV46*1),2)*BS46),2))</f>
        <v>33.07</v>
      </c>
      <c r="CS46" s="2">
        <f>(ROUND((ROUND((((EU46*1.1))*AV46*1),2)*BS46),2)+ROUND((ROUND(((AE46-((EU46*1.1)))*AV46*1),2)*BS46),2))</f>
        <v>3.64</v>
      </c>
      <c r="CT46" s="2">
        <f t="shared" si="32"/>
        <v>90.11</v>
      </c>
      <c r="CU46" s="2">
        <f t="shared" si="33"/>
        <v>0</v>
      </c>
      <c r="CV46" s="2">
        <f t="shared" si="34"/>
        <v>7.1405400000000006</v>
      </c>
      <c r="CW46" s="2">
        <f t="shared" si="35"/>
        <v>0</v>
      </c>
      <c r="CX46" s="2">
        <f t="shared" si="36"/>
        <v>0</v>
      </c>
      <c r="CY46" s="2">
        <f>(ROUND((((S46+ROUND((ROUND((((EU46*1.1))*AV46*1),2)*BS46),2))*AT46)/100),2)+ROUND(((ROUND((ROUND(((AE46-((EU46*1.1)))*AV46*1),2)*BS46),2)*AT46)/100),2))</f>
        <v>733.16</v>
      </c>
      <c r="CZ46" s="2">
        <f>(ROUND((((S46+ROUND((ROUND((((EU46*1.1))*AV46*1),2)*BS46),2))*AU46)/100),2)+ROUND(((ROUND((ROUND(((AE46-((EU46*1.1)))*AV46*1),2)*BS46),2)*AU46)/100),2))</f>
        <v>374.73</v>
      </c>
      <c r="DA46" s="2"/>
      <c r="DB46" s="2">
        <v>9</v>
      </c>
      <c r="DC46" s="2" t="s">
        <v>3</v>
      </c>
      <c r="DD46" s="2" t="s">
        <v>3</v>
      </c>
      <c r="DE46" s="2" t="s">
        <v>23</v>
      </c>
      <c r="DF46" s="2" t="s">
        <v>23</v>
      </c>
      <c r="DG46" s="2" t="s">
        <v>23</v>
      </c>
      <c r="DH46" s="2" t="s">
        <v>3</v>
      </c>
      <c r="DI46" s="2" t="s">
        <v>23</v>
      </c>
      <c r="DJ46" s="2" t="s">
        <v>23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39</v>
      </c>
      <c r="DW46" s="2" t="s">
        <v>39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60088532</v>
      </c>
      <c r="EF46" s="2">
        <v>40</v>
      </c>
      <c r="EG46" s="2" t="s">
        <v>24</v>
      </c>
      <c r="EH46" s="2">
        <v>0</v>
      </c>
      <c r="EI46" s="2" t="s">
        <v>3</v>
      </c>
      <c r="EJ46" s="2">
        <v>2</v>
      </c>
      <c r="EK46" s="2">
        <v>68</v>
      </c>
      <c r="EL46" s="2" t="s">
        <v>25</v>
      </c>
      <c r="EM46" s="2" t="s">
        <v>26</v>
      </c>
      <c r="EN46" s="2"/>
      <c r="EO46" s="2" t="s">
        <v>27</v>
      </c>
      <c r="EP46" s="2"/>
      <c r="EQ46" s="2">
        <v>0</v>
      </c>
      <c r="ER46" s="2">
        <v>119.3</v>
      </c>
      <c r="ES46" s="2">
        <v>12.35</v>
      </c>
      <c r="ET46" s="2">
        <v>28.71</v>
      </c>
      <c r="EU46" s="2">
        <v>3.16</v>
      </c>
      <c r="EV46" s="2">
        <v>78.239999999999995</v>
      </c>
      <c r="EW46" s="2">
        <v>6.2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-210614787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37"/>
        <v>0</v>
      </c>
      <c r="GM46" s="2">
        <f t="shared" si="38"/>
        <v>2367.1999999999998</v>
      </c>
      <c r="GN46" s="2">
        <f t="shared" si="39"/>
        <v>0</v>
      </c>
      <c r="GO46" s="2">
        <f t="shared" si="40"/>
        <v>2367.1999999999998</v>
      </c>
      <c r="GP46" s="2">
        <f t="shared" si="41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42"/>
        <v>0</v>
      </c>
      <c r="GW46" s="2">
        <v>1</v>
      </c>
      <c r="GX46" s="2">
        <f t="shared" si="43"/>
        <v>0</v>
      </c>
      <c r="GY46" s="2"/>
      <c r="GZ46" s="2"/>
      <c r="HA46" s="2">
        <v>0</v>
      </c>
      <c r="HB46" s="2">
        <v>0</v>
      </c>
      <c r="HC46" s="2">
        <f t="shared" si="44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17</v>
      </c>
      <c r="B47">
        <v>1</v>
      </c>
      <c r="C47">
        <f>ROW(SmtRes!A44)</f>
        <v>44</v>
      </c>
      <c r="D47">
        <f>ROW(EtalonRes!A54)</f>
        <v>54</v>
      </c>
      <c r="E47" t="s">
        <v>70</v>
      </c>
      <c r="F47" t="s">
        <v>71</v>
      </c>
      <c r="G47" t="s">
        <v>72</v>
      </c>
      <c r="H47" t="s">
        <v>39</v>
      </c>
      <c r="I47">
        <f>ROUND(1+1+7,9)</f>
        <v>9</v>
      </c>
      <c r="J47">
        <v>0</v>
      </c>
      <c r="K47">
        <f>ROUND(1+1+7,9)</f>
        <v>9</v>
      </c>
      <c r="O47">
        <f t="shared" si="21"/>
        <v>50830.44</v>
      </c>
      <c r="P47">
        <f>ROUND((ROUND((AC47*AW47*I47),2)*BC47),2)</f>
        <v>1633.91</v>
      </c>
      <c r="Q47">
        <f>(ROUND((ROUND((((ET47*1.1))*AV47*I47),2)*BB47),2)+ROUND((ROUND(((AE47-((EU47*1.1)))*AV47*I47),2)*BS47),2))</f>
        <v>4600.74</v>
      </c>
      <c r="R47">
        <f>(ROUND((ROUND((((EU47*1.1))*AV47*I47),2)*BS47),2)+ROUND((ROUND(((AE47-((EU47*1.1)))*AV47*I47),2)*BS47),2))</f>
        <v>1800.92</v>
      </c>
      <c r="S47">
        <f t="shared" si="22"/>
        <v>44595.79</v>
      </c>
      <c r="T47">
        <f t="shared" si="23"/>
        <v>0</v>
      </c>
      <c r="U47">
        <f t="shared" si="24"/>
        <v>64.264859999999999</v>
      </c>
      <c r="V47">
        <f t="shared" si="25"/>
        <v>0</v>
      </c>
      <c r="W47">
        <f t="shared" si="26"/>
        <v>0</v>
      </c>
      <c r="X47">
        <f>(ROUND((((S47+ROUND((ROUND((((EU47*1.1))*AV47*I47),2)*BS47),2))*AT47)/100),2)+ROUND(((ROUND((ROUND(((AE47-((EU47*1.1)))*AV47*I47),2)*BS47),2)*AT47)/100),2))</f>
        <v>41757.040000000001</v>
      </c>
      <c r="Y47">
        <f>(ROUND((((S47+ROUND((ROUND((((EU47*1.1))*AV47*I47),2)*BS47),2))*AU47)/100),2)+ROUND(((ROUND((ROUND(((AE47-((EU47*1.1)))*AV47*I47),2)*BS47),2)*AU47)/100),2))</f>
        <v>21342.49</v>
      </c>
      <c r="AA47">
        <v>60258061</v>
      </c>
      <c r="AB47">
        <f t="shared" si="27"/>
        <v>129.995</v>
      </c>
      <c r="AC47">
        <f t="shared" si="28"/>
        <v>12.35</v>
      </c>
      <c r="AD47">
        <f>ROUND(((((ET47*1.1))-((EU47*1.1)))+AE47),6)</f>
        <v>31.581</v>
      </c>
      <c r="AE47">
        <f>ROUND(((EU47*1.1)),6)</f>
        <v>3.476</v>
      </c>
      <c r="AF47">
        <f>ROUND(((EV47*1.1)),6)</f>
        <v>86.063999999999993</v>
      </c>
      <c r="AG47">
        <f t="shared" si="29"/>
        <v>0</v>
      </c>
      <c r="AH47">
        <f>((EW47*1.1))</f>
        <v>6.8200000000000012</v>
      </c>
      <c r="AI47">
        <f>((EX47*1.1))</f>
        <v>0</v>
      </c>
      <c r="AJ47">
        <f t="shared" si="30"/>
        <v>0</v>
      </c>
      <c r="AK47">
        <v>119.3</v>
      </c>
      <c r="AL47">
        <v>12.35</v>
      </c>
      <c r="AM47">
        <v>28.71</v>
      </c>
      <c r="AN47">
        <v>3.16</v>
      </c>
      <c r="AO47">
        <v>78.239999999999995</v>
      </c>
      <c r="AP47">
        <v>0</v>
      </c>
      <c r="AQ47">
        <v>6.2</v>
      </c>
      <c r="AR47">
        <v>0</v>
      </c>
      <c r="AS47">
        <v>0</v>
      </c>
      <c r="AT47">
        <v>90</v>
      </c>
      <c r="AU47">
        <v>46</v>
      </c>
      <c r="AV47">
        <v>1.0469999999999999</v>
      </c>
      <c r="AW47">
        <v>1</v>
      </c>
      <c r="AZ47">
        <v>1</v>
      </c>
      <c r="BA47">
        <v>54.99</v>
      </c>
      <c r="BB47">
        <v>15.46</v>
      </c>
      <c r="BC47">
        <v>14.7</v>
      </c>
      <c r="BD47" t="s">
        <v>3</v>
      </c>
      <c r="BE47" t="s">
        <v>3</v>
      </c>
      <c r="BF47" t="s">
        <v>3</v>
      </c>
      <c r="BG47" t="s">
        <v>3</v>
      </c>
      <c r="BH47">
        <v>0</v>
      </c>
      <c r="BI47">
        <v>2</v>
      </c>
      <c r="BJ47" t="s">
        <v>73</v>
      </c>
      <c r="BM47">
        <v>68</v>
      </c>
      <c r="BN47">
        <v>58973116</v>
      </c>
      <c r="BO47" t="s">
        <v>71</v>
      </c>
      <c r="BP47">
        <v>1</v>
      </c>
      <c r="BQ47">
        <v>40</v>
      </c>
      <c r="BR47">
        <v>0</v>
      </c>
      <c r="BS47">
        <v>54.99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90</v>
      </c>
      <c r="CA47">
        <v>46</v>
      </c>
      <c r="CB47" t="s">
        <v>3</v>
      </c>
      <c r="CE47">
        <v>1566</v>
      </c>
      <c r="CF47">
        <v>0</v>
      </c>
      <c r="CG47">
        <v>0</v>
      </c>
      <c r="CM47">
        <v>0</v>
      </c>
      <c r="CN47" t="s">
        <v>377</v>
      </c>
      <c r="CO47">
        <v>0</v>
      </c>
      <c r="CP47">
        <f t="shared" si="31"/>
        <v>50830.44</v>
      </c>
      <c r="CQ47">
        <f>ROUND((ROUND((AC47*AW47*1),2)*BC47),2)</f>
        <v>181.55</v>
      </c>
      <c r="CR47">
        <f>(ROUND((ROUND((((ET47*1.1))*AV47*1),2)*BB47),2)+ROUND((ROUND(((AE47-((EU47*1.1)))*AV47*1),2)*BS47),2))</f>
        <v>511.26</v>
      </c>
      <c r="CS47">
        <f>(ROUND((ROUND((((EU47*1.1))*AV47*1),2)*BS47),2)+ROUND((ROUND(((AE47-((EU47*1.1)))*AV47*1),2)*BS47),2))</f>
        <v>200.16</v>
      </c>
      <c r="CT47">
        <f t="shared" si="32"/>
        <v>4955.1499999999996</v>
      </c>
      <c r="CU47">
        <f t="shared" si="33"/>
        <v>0</v>
      </c>
      <c r="CV47">
        <f t="shared" si="34"/>
        <v>7.1405400000000006</v>
      </c>
      <c r="CW47">
        <f t="shared" si="35"/>
        <v>0</v>
      </c>
      <c r="CX47">
        <f t="shared" si="36"/>
        <v>0</v>
      </c>
      <c r="CY47">
        <f>(ROUND((((S47+ROUND((ROUND((((EU47*1.1))*AV47*1),2)*BS47),2))*AT47)/100),2)+ROUND(((ROUND((ROUND(((AE47-((EU47*1.1)))*AV47*1),2)*BS47),2)*AT47)/100),2))</f>
        <v>40316.36</v>
      </c>
      <c r="CZ47">
        <f>(ROUND((((S47+ROUND((ROUND((((EU47*1.1))*AV47*1),2)*BS47),2))*AU47)/100),2)+ROUND(((ROUND((ROUND(((AE47-((EU47*1.1)))*AV47*1),2)*BS47),2)*AU47)/100),2))</f>
        <v>20606.14</v>
      </c>
      <c r="DB47">
        <v>10</v>
      </c>
      <c r="DC47" t="s">
        <v>3</v>
      </c>
      <c r="DD47" t="s">
        <v>3</v>
      </c>
      <c r="DE47" t="s">
        <v>23</v>
      </c>
      <c r="DF47" t="s">
        <v>23</v>
      </c>
      <c r="DG47" t="s">
        <v>23</v>
      </c>
      <c r="DH47" t="s">
        <v>3</v>
      </c>
      <c r="DI47" t="s">
        <v>23</v>
      </c>
      <c r="DJ47" t="s">
        <v>23</v>
      </c>
      <c r="DK47" t="s">
        <v>3</v>
      </c>
      <c r="DL47" t="s">
        <v>3</v>
      </c>
      <c r="DM47" t="s">
        <v>3</v>
      </c>
      <c r="DN47">
        <v>0</v>
      </c>
      <c r="DO47">
        <v>0</v>
      </c>
      <c r="DP47">
        <v>1</v>
      </c>
      <c r="DQ47">
        <v>1</v>
      </c>
      <c r="DU47">
        <v>1013</v>
      </c>
      <c r="DV47" t="s">
        <v>39</v>
      </c>
      <c r="DW47" t="s">
        <v>39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60088532</v>
      </c>
      <c r="EF47">
        <v>40</v>
      </c>
      <c r="EG47" t="s">
        <v>24</v>
      </c>
      <c r="EH47">
        <v>0</v>
      </c>
      <c r="EI47" t="s">
        <v>3</v>
      </c>
      <c r="EJ47">
        <v>2</v>
      </c>
      <c r="EK47">
        <v>68</v>
      </c>
      <c r="EL47" t="s">
        <v>25</v>
      </c>
      <c r="EM47" t="s">
        <v>26</v>
      </c>
      <c r="EO47" t="s">
        <v>27</v>
      </c>
      <c r="EQ47">
        <v>0</v>
      </c>
      <c r="ER47">
        <v>119.3</v>
      </c>
      <c r="ES47">
        <v>12.35</v>
      </c>
      <c r="ET47">
        <v>28.71</v>
      </c>
      <c r="EU47">
        <v>3.16</v>
      </c>
      <c r="EV47">
        <v>78.239999999999995</v>
      </c>
      <c r="EW47">
        <v>6.2</v>
      </c>
      <c r="EX47">
        <v>0</v>
      </c>
      <c r="EY47">
        <v>0</v>
      </c>
      <c r="FQ47">
        <v>0</v>
      </c>
      <c r="FR47">
        <v>0</v>
      </c>
      <c r="FS47">
        <v>0</v>
      </c>
      <c r="FX47">
        <v>90</v>
      </c>
      <c r="FY47">
        <v>46</v>
      </c>
      <c r="GA47" t="s">
        <v>3</v>
      </c>
      <c r="GD47">
        <v>1</v>
      </c>
      <c r="GF47">
        <v>-210614787</v>
      </c>
      <c r="GG47">
        <v>2</v>
      </c>
      <c r="GH47">
        <v>1</v>
      </c>
      <c r="GI47">
        <v>2</v>
      </c>
      <c r="GJ47">
        <v>0</v>
      </c>
      <c r="GK47">
        <v>0</v>
      </c>
      <c r="GL47">
        <f t="shared" si="37"/>
        <v>0</v>
      </c>
      <c r="GM47">
        <f t="shared" si="38"/>
        <v>113929.97</v>
      </c>
      <c r="GN47">
        <f t="shared" si="39"/>
        <v>0</v>
      </c>
      <c r="GO47">
        <f t="shared" si="40"/>
        <v>113929.97</v>
      </c>
      <c r="GP47">
        <f t="shared" si="41"/>
        <v>0</v>
      </c>
      <c r="GR47">
        <v>0</v>
      </c>
      <c r="GS47">
        <v>3</v>
      </c>
      <c r="GT47">
        <v>0</v>
      </c>
      <c r="GU47" t="s">
        <v>3</v>
      </c>
      <c r="GV47">
        <f t="shared" si="42"/>
        <v>0</v>
      </c>
      <c r="GW47">
        <v>1</v>
      </c>
      <c r="GX47">
        <f t="shared" si="43"/>
        <v>0</v>
      </c>
      <c r="HA47">
        <v>0</v>
      </c>
      <c r="HB47">
        <v>0</v>
      </c>
      <c r="HC47">
        <f t="shared" si="44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17</v>
      </c>
      <c r="B48" s="2">
        <v>1</v>
      </c>
      <c r="C48" s="2"/>
      <c r="D48" s="2"/>
      <c r="E48" s="2" t="s">
        <v>74</v>
      </c>
      <c r="F48" s="2" t="s">
        <v>75</v>
      </c>
      <c r="G48" s="2" t="s">
        <v>76</v>
      </c>
      <c r="H48" s="2" t="s">
        <v>30</v>
      </c>
      <c r="I48" s="2">
        <v>1</v>
      </c>
      <c r="J48" s="2">
        <v>0</v>
      </c>
      <c r="K48" s="2">
        <v>1</v>
      </c>
      <c r="L48" s="2"/>
      <c r="M48" s="2"/>
      <c r="N48" s="2"/>
      <c r="O48" s="2">
        <f t="shared" si="21"/>
        <v>34992.32</v>
      </c>
      <c r="P48" s="2">
        <f t="shared" ref="P48:P53" si="49">ROUND((ROUND((AC48*I48),2)*BC48),2)</f>
        <v>34992.32</v>
      </c>
      <c r="Q48" s="2">
        <f t="shared" ref="Q48:Q53" si="50">(ROUND((ROUND(((ET48)*AV48*I48),2)*BB48),2)+ROUND((ROUND(((AE48-(EU48))*AV48*I48),2)*BS48),2))</f>
        <v>0</v>
      </c>
      <c r="R48" s="2">
        <f t="shared" ref="R48:R53" si="51">(ROUND((ROUND(((EU48)*AV48*I48),2)*BS48),2)+ROUND((ROUND(((AE48-(EU48))*AV48*I48),2)*BS48),2))</f>
        <v>0</v>
      </c>
      <c r="S48" s="2">
        <f t="shared" si="22"/>
        <v>0</v>
      </c>
      <c r="T48" s="2">
        <f t="shared" si="23"/>
        <v>0</v>
      </c>
      <c r="U48" s="2">
        <f t="shared" si="24"/>
        <v>0</v>
      </c>
      <c r="V48" s="2">
        <f t="shared" si="25"/>
        <v>0</v>
      </c>
      <c r="W48" s="2">
        <f t="shared" si="26"/>
        <v>0</v>
      </c>
      <c r="X48" s="2">
        <f t="shared" ref="X48:X53" si="52">(ROUND((((S48+ROUND((ROUND(((EU48)*AV48*I48),2)*BS48),2))*AT48)/100),2)+ROUND(((ROUND((ROUND(((AE48-(EU48))*AV48*I48),2)*BS48),2)*AT48)/100),2))</f>
        <v>0</v>
      </c>
      <c r="Y48" s="2">
        <f t="shared" ref="Y48:Y53" si="53">(ROUND((((S48+ROUND((ROUND(((EU48)*AV48*I48),2)*BS48),2))*AU48)/100),2)+ROUND(((ROUND((ROUND(((AE48-(EU48))*AV48*I48),2)*BS48),2)*AU48)/100),2))</f>
        <v>0</v>
      </c>
      <c r="Z48" s="2"/>
      <c r="AA48" s="2">
        <v>60258064</v>
      </c>
      <c r="AB48" s="2">
        <f t="shared" si="27"/>
        <v>34992.32</v>
      </c>
      <c r="AC48" s="2">
        <f t="shared" si="28"/>
        <v>34992.32</v>
      </c>
      <c r="AD48" s="2">
        <f t="shared" ref="AD48:AD53" si="54">ROUND((((ET48)-(EU48))+AE48),6)</f>
        <v>0</v>
      </c>
      <c r="AE48" s="2">
        <f t="shared" ref="AE48:AF53" si="55">ROUND((EU48),6)</f>
        <v>0</v>
      </c>
      <c r="AF48" s="2">
        <f t="shared" si="55"/>
        <v>0</v>
      </c>
      <c r="AG48" s="2">
        <f t="shared" si="29"/>
        <v>0</v>
      </c>
      <c r="AH48" s="2">
        <f t="shared" ref="AH48:AI53" si="56">(EW48)</f>
        <v>0</v>
      </c>
      <c r="AI48" s="2">
        <f t="shared" si="56"/>
        <v>0</v>
      </c>
      <c r="AJ48" s="2">
        <f t="shared" si="30"/>
        <v>0</v>
      </c>
      <c r="AK48" s="2">
        <v>34992.32</v>
      </c>
      <c r="AL48" s="2">
        <v>34992.32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3</v>
      </c>
      <c r="BJ48" s="2" t="s">
        <v>3</v>
      </c>
      <c r="BK48" s="2"/>
      <c r="BL48" s="2"/>
      <c r="BM48" s="2">
        <v>746</v>
      </c>
      <c r="BN48" s="2">
        <v>0</v>
      </c>
      <c r="BO48" s="2" t="s">
        <v>3</v>
      </c>
      <c r="BP48" s="2">
        <v>0</v>
      </c>
      <c r="BQ48" s="2">
        <v>130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0</v>
      </c>
      <c r="CA48" s="2">
        <v>0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1"/>
        <v>34992.32</v>
      </c>
      <c r="CQ48" s="2">
        <f t="shared" ref="CQ48:CQ53" si="57">ROUND((ROUND((AC48*1),2)*BC48),2)</f>
        <v>34992.32</v>
      </c>
      <c r="CR48" s="2">
        <f t="shared" ref="CR48:CR53" si="58">(ROUND((ROUND(((ET48)*AV48*1),2)*BB48),2)+ROUND((ROUND(((AE48-(EU48))*AV48*1),2)*BS48),2))</f>
        <v>0</v>
      </c>
      <c r="CS48" s="2">
        <f t="shared" ref="CS48:CS53" si="59">(ROUND((ROUND(((EU48)*AV48*1),2)*BS48),2)+ROUND((ROUND(((AE48-(EU48))*AV48*1),2)*BS48),2))</f>
        <v>0</v>
      </c>
      <c r="CT48" s="2">
        <f t="shared" si="32"/>
        <v>0</v>
      </c>
      <c r="CU48" s="2">
        <f t="shared" si="33"/>
        <v>0</v>
      </c>
      <c r="CV48" s="2">
        <f t="shared" si="34"/>
        <v>0</v>
      </c>
      <c r="CW48" s="2">
        <f t="shared" si="35"/>
        <v>0</v>
      </c>
      <c r="CX48" s="2">
        <f t="shared" si="36"/>
        <v>0</v>
      </c>
      <c r="CY48" s="2">
        <f t="shared" ref="CY48:CY53" si="60">(ROUND((((S48+ROUND((ROUND(((EU48)*AV48*1),2)*BS48),2))*AT48)/100),2)+ROUND(((ROUND((ROUND(((AE48-(EU48))*AV48*1),2)*BS48),2)*AT48)/100),2))</f>
        <v>0</v>
      </c>
      <c r="CZ48" s="2">
        <f t="shared" ref="CZ48:CZ53" si="61">(ROUND((((S48+ROUND((ROUND(((EU48)*AV48*1),2)*BS48),2))*AU48)/100),2)+ROUND(((ROUND((ROUND(((AE48-(EU48))*AV48*1),2)*BS48),2)*AU48)/100),2))</f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30</v>
      </c>
      <c r="DW48" s="2" t="s">
        <v>30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60088638</v>
      </c>
      <c r="EF48" s="2">
        <v>130</v>
      </c>
      <c r="EG48" s="2" t="s">
        <v>31</v>
      </c>
      <c r="EH48" s="2">
        <v>0</v>
      </c>
      <c r="EI48" s="2" t="s">
        <v>3</v>
      </c>
      <c r="EJ48" s="2">
        <v>3</v>
      </c>
      <c r="EK48" s="2">
        <v>746</v>
      </c>
      <c r="EL48" s="2" t="s">
        <v>32</v>
      </c>
      <c r="EM48" s="2" t="s">
        <v>33</v>
      </c>
      <c r="EN48" s="2"/>
      <c r="EO48" s="2" t="s">
        <v>3</v>
      </c>
      <c r="EP48" s="2"/>
      <c r="EQ48" s="2">
        <v>0</v>
      </c>
      <c r="ER48" s="2">
        <v>0</v>
      </c>
      <c r="ES48" s="2">
        <v>34992.32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f t="shared" ref="FR48:FR53" si="62">P48</f>
        <v>34992.32</v>
      </c>
      <c r="FS48" s="2">
        <v>0</v>
      </c>
      <c r="FT48" s="2"/>
      <c r="FU48" s="2"/>
      <c r="FV48" s="2"/>
      <c r="FW48" s="2"/>
      <c r="FX48" s="2">
        <v>0</v>
      </c>
      <c r="FY48" s="2">
        <v>0</v>
      </c>
      <c r="FZ48" s="2"/>
      <c r="GA48" s="2" t="s">
        <v>77</v>
      </c>
      <c r="GB48" s="2"/>
      <c r="GC48" s="2"/>
      <c r="GD48" s="2">
        <v>1</v>
      </c>
      <c r="GE48" s="2"/>
      <c r="GF48" s="2">
        <v>1507352899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37"/>
        <v>0</v>
      </c>
      <c r="GM48" s="2">
        <f t="shared" si="38"/>
        <v>34992.32</v>
      </c>
      <c r="GN48" s="2">
        <f t="shared" si="39"/>
        <v>0</v>
      </c>
      <c r="GO48" s="2">
        <f t="shared" si="40"/>
        <v>0</v>
      </c>
      <c r="GP48" s="2">
        <f t="shared" si="41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42"/>
        <v>0</v>
      </c>
      <c r="GW48" s="2">
        <v>1</v>
      </c>
      <c r="GX48" s="2">
        <f t="shared" si="43"/>
        <v>0</v>
      </c>
      <c r="GY48" s="2"/>
      <c r="GZ48" s="2"/>
      <c r="HA48" s="2">
        <v>0</v>
      </c>
      <c r="HB48" s="2">
        <v>0</v>
      </c>
      <c r="HC48" s="2">
        <f t="shared" si="44"/>
        <v>0</v>
      </c>
      <c r="HD48" s="2"/>
      <c r="HE48" s="2" t="s">
        <v>35</v>
      </c>
      <c r="HF48" s="2" t="s">
        <v>36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>
        <v>17</v>
      </c>
      <c r="B49">
        <v>1</v>
      </c>
      <c r="E49" t="s">
        <v>74</v>
      </c>
      <c r="F49" t="s">
        <v>75</v>
      </c>
      <c r="G49" t="s">
        <v>76</v>
      </c>
      <c r="H49" t="s">
        <v>30</v>
      </c>
      <c r="I49">
        <v>1</v>
      </c>
      <c r="J49">
        <v>0</v>
      </c>
      <c r="K49">
        <v>1</v>
      </c>
      <c r="O49">
        <f t="shared" si="21"/>
        <v>268041.17</v>
      </c>
      <c r="P49">
        <f t="shared" si="49"/>
        <v>268041.17</v>
      </c>
      <c r="Q49">
        <f t="shared" si="50"/>
        <v>0</v>
      </c>
      <c r="R49">
        <f t="shared" si="51"/>
        <v>0</v>
      </c>
      <c r="S49">
        <f t="shared" si="22"/>
        <v>0</v>
      </c>
      <c r="T49">
        <f t="shared" si="23"/>
        <v>0</v>
      </c>
      <c r="U49">
        <f t="shared" si="24"/>
        <v>0</v>
      </c>
      <c r="V49">
        <f t="shared" si="25"/>
        <v>0</v>
      </c>
      <c r="W49">
        <f t="shared" si="26"/>
        <v>0</v>
      </c>
      <c r="X49">
        <f t="shared" si="52"/>
        <v>0</v>
      </c>
      <c r="Y49">
        <f t="shared" si="53"/>
        <v>0</v>
      </c>
      <c r="AA49">
        <v>60258061</v>
      </c>
      <c r="AB49">
        <f t="shared" si="27"/>
        <v>34992.32</v>
      </c>
      <c r="AC49">
        <f t="shared" si="28"/>
        <v>34992.32</v>
      </c>
      <c r="AD49">
        <f t="shared" si="54"/>
        <v>0</v>
      </c>
      <c r="AE49">
        <f t="shared" si="55"/>
        <v>0</v>
      </c>
      <c r="AF49">
        <f t="shared" si="55"/>
        <v>0</v>
      </c>
      <c r="AG49">
        <f t="shared" si="29"/>
        <v>0</v>
      </c>
      <c r="AH49">
        <f t="shared" si="56"/>
        <v>0</v>
      </c>
      <c r="AI49">
        <f t="shared" si="56"/>
        <v>0</v>
      </c>
      <c r="AJ49">
        <f t="shared" si="30"/>
        <v>0</v>
      </c>
      <c r="AK49">
        <v>34992.32</v>
      </c>
      <c r="AL49">
        <v>34992.32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Z49">
        <v>1</v>
      </c>
      <c r="BA49">
        <v>1</v>
      </c>
      <c r="BB49">
        <v>1</v>
      </c>
      <c r="BC49">
        <v>7.66</v>
      </c>
      <c r="BD49" t="s">
        <v>3</v>
      </c>
      <c r="BE49" t="s">
        <v>3</v>
      </c>
      <c r="BF49" t="s">
        <v>3</v>
      </c>
      <c r="BG49" t="s">
        <v>3</v>
      </c>
      <c r="BH49">
        <v>3</v>
      </c>
      <c r="BI49">
        <v>3</v>
      </c>
      <c r="BJ49" t="s">
        <v>3</v>
      </c>
      <c r="BM49">
        <v>746</v>
      </c>
      <c r="BN49">
        <v>0</v>
      </c>
      <c r="BO49" t="s">
        <v>3</v>
      </c>
      <c r="BP49">
        <v>0</v>
      </c>
      <c r="BQ49">
        <v>130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0</v>
      </c>
      <c r="CA49">
        <v>0</v>
      </c>
      <c r="CB49" t="s">
        <v>3</v>
      </c>
      <c r="CE49">
        <v>1566</v>
      </c>
      <c r="CF49">
        <v>0</v>
      </c>
      <c r="CG49">
        <v>0</v>
      </c>
      <c r="CM49">
        <v>0</v>
      </c>
      <c r="CN49" t="s">
        <v>3</v>
      </c>
      <c r="CO49">
        <v>0</v>
      </c>
      <c r="CP49">
        <f t="shared" si="31"/>
        <v>268041.17</v>
      </c>
      <c r="CQ49">
        <f t="shared" si="57"/>
        <v>268041.17</v>
      </c>
      <c r="CR49">
        <f t="shared" si="58"/>
        <v>0</v>
      </c>
      <c r="CS49">
        <f t="shared" si="59"/>
        <v>0</v>
      </c>
      <c r="CT49">
        <f t="shared" si="32"/>
        <v>0</v>
      </c>
      <c r="CU49">
        <f t="shared" si="33"/>
        <v>0</v>
      </c>
      <c r="CV49">
        <f t="shared" si="34"/>
        <v>0</v>
      </c>
      <c r="CW49">
        <f t="shared" si="35"/>
        <v>0</v>
      </c>
      <c r="CX49">
        <f t="shared" si="36"/>
        <v>0</v>
      </c>
      <c r="CY49">
        <f t="shared" si="60"/>
        <v>0</v>
      </c>
      <c r="CZ49">
        <f t="shared" si="61"/>
        <v>0</v>
      </c>
      <c r="DC49" t="s">
        <v>3</v>
      </c>
      <c r="DD49" t="s">
        <v>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1013</v>
      </c>
      <c r="DV49" t="s">
        <v>30</v>
      </c>
      <c r="DW49" t="s">
        <v>30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60088638</v>
      </c>
      <c r="EF49">
        <v>130</v>
      </c>
      <c r="EG49" t="s">
        <v>31</v>
      </c>
      <c r="EH49">
        <v>0</v>
      </c>
      <c r="EI49" t="s">
        <v>3</v>
      </c>
      <c r="EJ49">
        <v>3</v>
      </c>
      <c r="EK49">
        <v>746</v>
      </c>
      <c r="EL49" t="s">
        <v>32</v>
      </c>
      <c r="EM49" t="s">
        <v>33</v>
      </c>
      <c r="EO49" t="s">
        <v>3</v>
      </c>
      <c r="EQ49">
        <v>0</v>
      </c>
      <c r="ER49">
        <v>0</v>
      </c>
      <c r="ES49">
        <v>34992.32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5</v>
      </c>
      <c r="FC49">
        <v>1</v>
      </c>
      <c r="FD49">
        <v>18</v>
      </c>
      <c r="FF49">
        <v>308578</v>
      </c>
      <c r="FQ49">
        <v>0</v>
      </c>
      <c r="FR49">
        <f t="shared" si="62"/>
        <v>268041.17</v>
      </c>
      <c r="FS49">
        <v>0</v>
      </c>
      <c r="FX49">
        <v>0</v>
      </c>
      <c r="FY49">
        <v>0</v>
      </c>
      <c r="GA49" t="s">
        <v>77</v>
      </c>
      <c r="GD49">
        <v>1</v>
      </c>
      <c r="GF49">
        <v>1507352899</v>
      </c>
      <c r="GG49">
        <v>2</v>
      </c>
      <c r="GH49">
        <v>3</v>
      </c>
      <c r="GI49">
        <v>5</v>
      </c>
      <c r="GJ49">
        <v>0</v>
      </c>
      <c r="GK49">
        <v>0</v>
      </c>
      <c r="GL49">
        <f t="shared" si="37"/>
        <v>0</v>
      </c>
      <c r="GM49">
        <f t="shared" si="38"/>
        <v>268041.17</v>
      </c>
      <c r="GN49">
        <f t="shared" si="39"/>
        <v>0</v>
      </c>
      <c r="GO49">
        <f t="shared" si="40"/>
        <v>0</v>
      </c>
      <c r="GP49">
        <f t="shared" si="41"/>
        <v>0</v>
      </c>
      <c r="GR49">
        <v>1</v>
      </c>
      <c r="GS49">
        <v>1</v>
      </c>
      <c r="GT49">
        <v>0</v>
      </c>
      <c r="GU49" t="s">
        <v>3</v>
      </c>
      <c r="GV49">
        <f t="shared" si="42"/>
        <v>0</v>
      </c>
      <c r="GW49">
        <v>1</v>
      </c>
      <c r="GX49">
        <f t="shared" si="43"/>
        <v>0</v>
      </c>
      <c r="HA49">
        <v>0</v>
      </c>
      <c r="HB49">
        <v>0</v>
      </c>
      <c r="HC49">
        <f t="shared" si="44"/>
        <v>0</v>
      </c>
      <c r="HE49" t="s">
        <v>35</v>
      </c>
      <c r="HF49" t="s">
        <v>36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">
      <c r="A50" s="2">
        <v>17</v>
      </c>
      <c r="B50" s="2">
        <v>1</v>
      </c>
      <c r="C50" s="2"/>
      <c r="D50" s="2"/>
      <c r="E50" s="2" t="s">
        <v>78</v>
      </c>
      <c r="F50" s="2" t="s">
        <v>79</v>
      </c>
      <c r="G50" s="2" t="s">
        <v>80</v>
      </c>
      <c r="H50" s="2" t="s">
        <v>30</v>
      </c>
      <c r="I50" s="2">
        <v>1</v>
      </c>
      <c r="J50" s="2">
        <v>0</v>
      </c>
      <c r="K50" s="2">
        <v>1</v>
      </c>
      <c r="L50" s="2"/>
      <c r="M50" s="2"/>
      <c r="N50" s="2"/>
      <c r="O50" s="2">
        <f t="shared" si="21"/>
        <v>53571.199999999997</v>
      </c>
      <c r="P50" s="2">
        <f t="shared" si="49"/>
        <v>53571.199999999997</v>
      </c>
      <c r="Q50" s="2">
        <f t="shared" si="50"/>
        <v>0</v>
      </c>
      <c r="R50" s="2">
        <f t="shared" si="51"/>
        <v>0</v>
      </c>
      <c r="S50" s="2">
        <f t="shared" si="22"/>
        <v>0</v>
      </c>
      <c r="T50" s="2">
        <f t="shared" si="23"/>
        <v>0</v>
      </c>
      <c r="U50" s="2">
        <f t="shared" si="24"/>
        <v>0</v>
      </c>
      <c r="V50" s="2">
        <f t="shared" si="25"/>
        <v>0</v>
      </c>
      <c r="W50" s="2">
        <f t="shared" si="26"/>
        <v>0</v>
      </c>
      <c r="X50" s="2">
        <f t="shared" si="52"/>
        <v>0</v>
      </c>
      <c r="Y50" s="2">
        <f t="shared" si="53"/>
        <v>0</v>
      </c>
      <c r="Z50" s="2"/>
      <c r="AA50" s="2">
        <v>60258064</v>
      </c>
      <c r="AB50" s="2">
        <f t="shared" si="27"/>
        <v>53571.199999999997</v>
      </c>
      <c r="AC50" s="2">
        <f t="shared" si="28"/>
        <v>53571.199999999997</v>
      </c>
      <c r="AD50" s="2">
        <f t="shared" si="54"/>
        <v>0</v>
      </c>
      <c r="AE50" s="2">
        <f t="shared" si="55"/>
        <v>0</v>
      </c>
      <c r="AF50" s="2">
        <f t="shared" si="55"/>
        <v>0</v>
      </c>
      <c r="AG50" s="2">
        <f t="shared" si="29"/>
        <v>0</v>
      </c>
      <c r="AH50" s="2">
        <f t="shared" si="56"/>
        <v>0</v>
      </c>
      <c r="AI50" s="2">
        <f t="shared" si="56"/>
        <v>0</v>
      </c>
      <c r="AJ50" s="2">
        <f t="shared" si="30"/>
        <v>0</v>
      </c>
      <c r="AK50" s="2">
        <v>53571.200000000004</v>
      </c>
      <c r="AL50" s="2">
        <v>53571.200000000004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3</v>
      </c>
      <c r="BJ50" s="2" t="s">
        <v>3</v>
      </c>
      <c r="BK50" s="2"/>
      <c r="BL50" s="2"/>
      <c r="BM50" s="2">
        <v>746</v>
      </c>
      <c r="BN50" s="2">
        <v>0</v>
      </c>
      <c r="BO50" s="2" t="s">
        <v>3</v>
      </c>
      <c r="BP50" s="2">
        <v>0</v>
      </c>
      <c r="BQ50" s="2">
        <v>130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0</v>
      </c>
      <c r="CA50" s="2">
        <v>0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31"/>
        <v>53571.199999999997</v>
      </c>
      <c r="CQ50" s="2">
        <f t="shared" si="57"/>
        <v>53571.199999999997</v>
      </c>
      <c r="CR50" s="2">
        <f t="shared" si="58"/>
        <v>0</v>
      </c>
      <c r="CS50" s="2">
        <f t="shared" si="59"/>
        <v>0</v>
      </c>
      <c r="CT50" s="2">
        <f t="shared" si="32"/>
        <v>0</v>
      </c>
      <c r="CU50" s="2">
        <f t="shared" si="33"/>
        <v>0</v>
      </c>
      <c r="CV50" s="2">
        <f t="shared" si="34"/>
        <v>0</v>
      </c>
      <c r="CW50" s="2">
        <f t="shared" si="35"/>
        <v>0</v>
      </c>
      <c r="CX50" s="2">
        <f t="shared" si="36"/>
        <v>0</v>
      </c>
      <c r="CY50" s="2">
        <f t="shared" si="60"/>
        <v>0</v>
      </c>
      <c r="CZ50" s="2">
        <f t="shared" si="61"/>
        <v>0</v>
      </c>
      <c r="DA50" s="2"/>
      <c r="DB50" s="2"/>
      <c r="DC50" s="2" t="s">
        <v>3</v>
      </c>
      <c r="DD50" s="2" t="s">
        <v>3</v>
      </c>
      <c r="DE50" s="2" t="s">
        <v>3</v>
      </c>
      <c r="DF50" s="2" t="s">
        <v>3</v>
      </c>
      <c r="DG50" s="2" t="s">
        <v>3</v>
      </c>
      <c r="DH50" s="2" t="s">
        <v>3</v>
      </c>
      <c r="DI50" s="2" t="s">
        <v>3</v>
      </c>
      <c r="DJ50" s="2" t="s">
        <v>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30</v>
      </c>
      <c r="DW50" s="2" t="s">
        <v>30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60088638</v>
      </c>
      <c r="EF50" s="2">
        <v>130</v>
      </c>
      <c r="EG50" s="2" t="s">
        <v>31</v>
      </c>
      <c r="EH50" s="2">
        <v>0</v>
      </c>
      <c r="EI50" s="2" t="s">
        <v>3</v>
      </c>
      <c r="EJ50" s="2">
        <v>3</v>
      </c>
      <c r="EK50" s="2">
        <v>746</v>
      </c>
      <c r="EL50" s="2" t="s">
        <v>32</v>
      </c>
      <c r="EM50" s="2" t="s">
        <v>33</v>
      </c>
      <c r="EN50" s="2"/>
      <c r="EO50" s="2" t="s">
        <v>3</v>
      </c>
      <c r="EP50" s="2"/>
      <c r="EQ50" s="2">
        <v>0</v>
      </c>
      <c r="ER50" s="2">
        <v>0</v>
      </c>
      <c r="ES50" s="2">
        <v>53571.200000000004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f t="shared" si="62"/>
        <v>53571.199999999997</v>
      </c>
      <c r="FS50" s="2">
        <v>0</v>
      </c>
      <c r="FT50" s="2"/>
      <c r="FU50" s="2"/>
      <c r="FV50" s="2"/>
      <c r="FW50" s="2"/>
      <c r="FX50" s="2">
        <v>0</v>
      </c>
      <c r="FY50" s="2">
        <v>0</v>
      </c>
      <c r="FZ50" s="2"/>
      <c r="GA50" s="2" t="s">
        <v>81</v>
      </c>
      <c r="GB50" s="2"/>
      <c r="GC50" s="2"/>
      <c r="GD50" s="2">
        <v>1</v>
      </c>
      <c r="GE50" s="2"/>
      <c r="GF50" s="2">
        <v>441519637</v>
      </c>
      <c r="GG50" s="2">
        <v>2</v>
      </c>
      <c r="GH50" s="2">
        <v>4</v>
      </c>
      <c r="GI50" s="2">
        <v>-2</v>
      </c>
      <c r="GJ50" s="2">
        <v>0</v>
      </c>
      <c r="GK50" s="2">
        <v>0</v>
      </c>
      <c r="GL50" s="2">
        <f t="shared" si="37"/>
        <v>0</v>
      </c>
      <c r="GM50" s="2">
        <f t="shared" si="38"/>
        <v>53571.199999999997</v>
      </c>
      <c r="GN50" s="2">
        <f t="shared" si="39"/>
        <v>0</v>
      </c>
      <c r="GO50" s="2">
        <f t="shared" si="40"/>
        <v>0</v>
      </c>
      <c r="GP50" s="2">
        <f t="shared" si="41"/>
        <v>0</v>
      </c>
      <c r="GQ50" s="2"/>
      <c r="GR50" s="2">
        <v>0</v>
      </c>
      <c r="GS50" s="2">
        <v>2</v>
      </c>
      <c r="GT50" s="2">
        <v>0</v>
      </c>
      <c r="GU50" s="2" t="s">
        <v>3</v>
      </c>
      <c r="GV50" s="2">
        <f t="shared" si="42"/>
        <v>0</v>
      </c>
      <c r="GW50" s="2">
        <v>1</v>
      </c>
      <c r="GX50" s="2">
        <f t="shared" si="43"/>
        <v>0</v>
      </c>
      <c r="GY50" s="2"/>
      <c r="GZ50" s="2"/>
      <c r="HA50" s="2">
        <v>0</v>
      </c>
      <c r="HB50" s="2">
        <v>0</v>
      </c>
      <c r="HC50" s="2">
        <f t="shared" si="44"/>
        <v>0</v>
      </c>
      <c r="HD50" s="2"/>
      <c r="HE50" s="2" t="s">
        <v>35</v>
      </c>
      <c r="HF50" s="2" t="s">
        <v>36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>
        <v>17</v>
      </c>
      <c r="B51">
        <v>1</v>
      </c>
      <c r="E51" t="s">
        <v>78</v>
      </c>
      <c r="F51" t="s">
        <v>79</v>
      </c>
      <c r="G51" t="s">
        <v>80</v>
      </c>
      <c r="H51" t="s">
        <v>30</v>
      </c>
      <c r="I51">
        <v>1</v>
      </c>
      <c r="J51">
        <v>0</v>
      </c>
      <c r="K51">
        <v>1</v>
      </c>
      <c r="O51">
        <f t="shared" si="21"/>
        <v>410355.39</v>
      </c>
      <c r="P51">
        <f t="shared" si="49"/>
        <v>410355.39</v>
      </c>
      <c r="Q51">
        <f t="shared" si="50"/>
        <v>0</v>
      </c>
      <c r="R51">
        <f t="shared" si="51"/>
        <v>0</v>
      </c>
      <c r="S51">
        <f t="shared" si="22"/>
        <v>0</v>
      </c>
      <c r="T51">
        <f t="shared" si="23"/>
        <v>0</v>
      </c>
      <c r="U51">
        <f t="shared" si="24"/>
        <v>0</v>
      </c>
      <c r="V51">
        <f t="shared" si="25"/>
        <v>0</v>
      </c>
      <c r="W51">
        <f t="shared" si="26"/>
        <v>0</v>
      </c>
      <c r="X51">
        <f t="shared" si="52"/>
        <v>0</v>
      </c>
      <c r="Y51">
        <f t="shared" si="53"/>
        <v>0</v>
      </c>
      <c r="AA51">
        <v>60258061</v>
      </c>
      <c r="AB51">
        <f t="shared" si="27"/>
        <v>53571.199999999997</v>
      </c>
      <c r="AC51">
        <f t="shared" si="28"/>
        <v>53571.199999999997</v>
      </c>
      <c r="AD51">
        <f t="shared" si="54"/>
        <v>0</v>
      </c>
      <c r="AE51">
        <f t="shared" si="55"/>
        <v>0</v>
      </c>
      <c r="AF51">
        <f t="shared" si="55"/>
        <v>0</v>
      </c>
      <c r="AG51">
        <f t="shared" si="29"/>
        <v>0</v>
      </c>
      <c r="AH51">
        <f t="shared" si="56"/>
        <v>0</v>
      </c>
      <c r="AI51">
        <f t="shared" si="56"/>
        <v>0</v>
      </c>
      <c r="AJ51">
        <f t="shared" si="30"/>
        <v>0</v>
      </c>
      <c r="AK51">
        <v>53571.200000000004</v>
      </c>
      <c r="AL51">
        <v>53571.200000000004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1</v>
      </c>
      <c r="AZ51">
        <v>1</v>
      </c>
      <c r="BA51">
        <v>1</v>
      </c>
      <c r="BB51">
        <v>1</v>
      </c>
      <c r="BC51">
        <v>7.66</v>
      </c>
      <c r="BD51" t="s">
        <v>3</v>
      </c>
      <c r="BE51" t="s">
        <v>3</v>
      </c>
      <c r="BF51" t="s">
        <v>3</v>
      </c>
      <c r="BG51" t="s">
        <v>3</v>
      </c>
      <c r="BH51">
        <v>3</v>
      </c>
      <c r="BI51">
        <v>3</v>
      </c>
      <c r="BJ51" t="s">
        <v>3</v>
      </c>
      <c r="BM51">
        <v>746</v>
      </c>
      <c r="BN51">
        <v>0</v>
      </c>
      <c r="BO51" t="s">
        <v>3</v>
      </c>
      <c r="BP51">
        <v>0</v>
      </c>
      <c r="BQ51">
        <v>130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0</v>
      </c>
      <c r="CA51">
        <v>0</v>
      </c>
      <c r="CB51" t="s">
        <v>3</v>
      </c>
      <c r="CE51">
        <v>1566</v>
      </c>
      <c r="CF51">
        <v>0</v>
      </c>
      <c r="CG51">
        <v>0</v>
      </c>
      <c r="CM51">
        <v>0</v>
      </c>
      <c r="CN51" t="s">
        <v>3</v>
      </c>
      <c r="CO51">
        <v>0</v>
      </c>
      <c r="CP51">
        <f t="shared" si="31"/>
        <v>410355.39</v>
      </c>
      <c r="CQ51">
        <f t="shared" si="57"/>
        <v>410355.39</v>
      </c>
      <c r="CR51">
        <f t="shared" si="58"/>
        <v>0</v>
      </c>
      <c r="CS51">
        <f t="shared" si="59"/>
        <v>0</v>
      </c>
      <c r="CT51">
        <f t="shared" si="32"/>
        <v>0</v>
      </c>
      <c r="CU51">
        <f t="shared" si="33"/>
        <v>0</v>
      </c>
      <c r="CV51">
        <f t="shared" si="34"/>
        <v>0</v>
      </c>
      <c r="CW51">
        <f t="shared" si="35"/>
        <v>0</v>
      </c>
      <c r="CX51">
        <f t="shared" si="36"/>
        <v>0</v>
      </c>
      <c r="CY51">
        <f t="shared" si="60"/>
        <v>0</v>
      </c>
      <c r="CZ51">
        <f t="shared" si="61"/>
        <v>0</v>
      </c>
      <c r="DC51" t="s">
        <v>3</v>
      </c>
      <c r="DD51" t="s">
        <v>3</v>
      </c>
      <c r="DE51" t="s">
        <v>3</v>
      </c>
      <c r="DF51" t="s">
        <v>3</v>
      </c>
      <c r="DG51" t="s">
        <v>3</v>
      </c>
      <c r="DH51" t="s">
        <v>3</v>
      </c>
      <c r="DI51" t="s">
        <v>3</v>
      </c>
      <c r="DJ51" t="s">
        <v>3</v>
      </c>
      <c r="DK51" t="s">
        <v>3</v>
      </c>
      <c r="DL51" t="s">
        <v>3</v>
      </c>
      <c r="DM51" t="s">
        <v>3</v>
      </c>
      <c r="DN51">
        <v>0</v>
      </c>
      <c r="DO51">
        <v>0</v>
      </c>
      <c r="DP51">
        <v>1</v>
      </c>
      <c r="DQ51">
        <v>1</v>
      </c>
      <c r="DU51">
        <v>1013</v>
      </c>
      <c r="DV51" t="s">
        <v>30</v>
      </c>
      <c r="DW51" t="s">
        <v>30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60088638</v>
      </c>
      <c r="EF51">
        <v>130</v>
      </c>
      <c r="EG51" t="s">
        <v>31</v>
      </c>
      <c r="EH51">
        <v>0</v>
      </c>
      <c r="EI51" t="s">
        <v>3</v>
      </c>
      <c r="EJ51">
        <v>3</v>
      </c>
      <c r="EK51">
        <v>746</v>
      </c>
      <c r="EL51" t="s">
        <v>32</v>
      </c>
      <c r="EM51" t="s">
        <v>33</v>
      </c>
      <c r="EO51" t="s">
        <v>3</v>
      </c>
      <c r="EQ51">
        <v>0</v>
      </c>
      <c r="ER51">
        <v>0</v>
      </c>
      <c r="ES51">
        <v>53571.200000000004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5</v>
      </c>
      <c r="FC51">
        <v>1</v>
      </c>
      <c r="FD51">
        <v>18</v>
      </c>
      <c r="FF51">
        <v>472415</v>
      </c>
      <c r="FQ51">
        <v>0</v>
      </c>
      <c r="FR51">
        <f t="shared" si="62"/>
        <v>410355.39</v>
      </c>
      <c r="FS51">
        <v>0</v>
      </c>
      <c r="FX51">
        <v>0</v>
      </c>
      <c r="FY51">
        <v>0</v>
      </c>
      <c r="GA51" t="s">
        <v>81</v>
      </c>
      <c r="GD51">
        <v>1</v>
      </c>
      <c r="GF51">
        <v>441519637</v>
      </c>
      <c r="GG51">
        <v>2</v>
      </c>
      <c r="GH51">
        <v>3</v>
      </c>
      <c r="GI51">
        <v>5</v>
      </c>
      <c r="GJ51">
        <v>0</v>
      </c>
      <c r="GK51">
        <v>0</v>
      </c>
      <c r="GL51">
        <f t="shared" si="37"/>
        <v>0</v>
      </c>
      <c r="GM51">
        <f t="shared" si="38"/>
        <v>410355.39</v>
      </c>
      <c r="GN51">
        <f t="shared" si="39"/>
        <v>0</v>
      </c>
      <c r="GO51">
        <f t="shared" si="40"/>
        <v>0</v>
      </c>
      <c r="GP51">
        <f t="shared" si="41"/>
        <v>0</v>
      </c>
      <c r="GR51">
        <v>1</v>
      </c>
      <c r="GS51">
        <v>1</v>
      </c>
      <c r="GT51">
        <v>0</v>
      </c>
      <c r="GU51" t="s">
        <v>3</v>
      </c>
      <c r="GV51">
        <f t="shared" si="42"/>
        <v>0</v>
      </c>
      <c r="GW51">
        <v>1</v>
      </c>
      <c r="GX51">
        <f t="shared" si="43"/>
        <v>0</v>
      </c>
      <c r="HA51">
        <v>0</v>
      </c>
      <c r="HB51">
        <v>0</v>
      </c>
      <c r="HC51">
        <f t="shared" si="44"/>
        <v>0</v>
      </c>
      <c r="HE51" t="s">
        <v>35</v>
      </c>
      <c r="HF51" t="s">
        <v>36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82</v>
      </c>
      <c r="F52" s="2" t="s">
        <v>83</v>
      </c>
      <c r="G52" s="2" t="s">
        <v>84</v>
      </c>
      <c r="H52" s="2" t="s">
        <v>30</v>
      </c>
      <c r="I52" s="2">
        <v>7</v>
      </c>
      <c r="J52" s="2">
        <v>0</v>
      </c>
      <c r="K52" s="2">
        <v>7</v>
      </c>
      <c r="L52" s="2"/>
      <c r="M52" s="2"/>
      <c r="N52" s="2"/>
      <c r="O52" s="2">
        <f t="shared" si="21"/>
        <v>97983.06</v>
      </c>
      <c r="P52" s="2">
        <f t="shared" si="49"/>
        <v>97983.06</v>
      </c>
      <c r="Q52" s="2">
        <f t="shared" si="50"/>
        <v>0</v>
      </c>
      <c r="R52" s="2">
        <f t="shared" si="51"/>
        <v>0</v>
      </c>
      <c r="S52" s="2">
        <f t="shared" si="22"/>
        <v>0</v>
      </c>
      <c r="T52" s="2">
        <f t="shared" si="23"/>
        <v>0</v>
      </c>
      <c r="U52" s="2">
        <f t="shared" si="24"/>
        <v>0</v>
      </c>
      <c r="V52" s="2">
        <f t="shared" si="25"/>
        <v>0</v>
      </c>
      <c r="W52" s="2">
        <f t="shared" si="26"/>
        <v>0</v>
      </c>
      <c r="X52" s="2">
        <f t="shared" si="52"/>
        <v>0</v>
      </c>
      <c r="Y52" s="2">
        <f t="shared" si="53"/>
        <v>0</v>
      </c>
      <c r="Z52" s="2"/>
      <c r="AA52" s="2">
        <v>60258064</v>
      </c>
      <c r="AB52" s="2">
        <f t="shared" si="27"/>
        <v>13997.58</v>
      </c>
      <c r="AC52" s="2">
        <f t="shared" si="28"/>
        <v>13997.58</v>
      </c>
      <c r="AD52" s="2">
        <f t="shared" si="54"/>
        <v>0</v>
      </c>
      <c r="AE52" s="2">
        <f t="shared" si="55"/>
        <v>0</v>
      </c>
      <c r="AF52" s="2">
        <f t="shared" si="55"/>
        <v>0</v>
      </c>
      <c r="AG52" s="2">
        <f t="shared" si="29"/>
        <v>0</v>
      </c>
      <c r="AH52" s="2">
        <f t="shared" si="56"/>
        <v>0</v>
      </c>
      <c r="AI52" s="2">
        <f t="shared" si="56"/>
        <v>0</v>
      </c>
      <c r="AJ52" s="2">
        <f t="shared" si="30"/>
        <v>0</v>
      </c>
      <c r="AK52" s="2">
        <v>13997.58</v>
      </c>
      <c r="AL52" s="2">
        <v>13997.58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3</v>
      </c>
      <c r="BJ52" s="2" t="s">
        <v>3</v>
      </c>
      <c r="BK52" s="2"/>
      <c r="BL52" s="2"/>
      <c r="BM52" s="2">
        <v>746</v>
      </c>
      <c r="BN52" s="2">
        <v>0</v>
      </c>
      <c r="BO52" s="2" t="s">
        <v>3</v>
      </c>
      <c r="BP52" s="2">
        <v>0</v>
      </c>
      <c r="BQ52" s="2">
        <v>130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1"/>
        <v>97983.06</v>
      </c>
      <c r="CQ52" s="2">
        <f t="shared" si="57"/>
        <v>13997.58</v>
      </c>
      <c r="CR52" s="2">
        <f t="shared" si="58"/>
        <v>0</v>
      </c>
      <c r="CS52" s="2">
        <f t="shared" si="59"/>
        <v>0</v>
      </c>
      <c r="CT52" s="2">
        <f t="shared" si="32"/>
        <v>0</v>
      </c>
      <c r="CU52" s="2">
        <f t="shared" si="33"/>
        <v>0</v>
      </c>
      <c r="CV52" s="2">
        <f t="shared" si="34"/>
        <v>0</v>
      </c>
      <c r="CW52" s="2">
        <f t="shared" si="35"/>
        <v>0</v>
      </c>
      <c r="CX52" s="2">
        <f t="shared" si="36"/>
        <v>0</v>
      </c>
      <c r="CY52" s="2">
        <f t="shared" si="60"/>
        <v>0</v>
      </c>
      <c r="CZ52" s="2">
        <f t="shared" si="61"/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30</v>
      </c>
      <c r="DW52" s="2" t="s">
        <v>30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60088638</v>
      </c>
      <c r="EF52" s="2">
        <v>130</v>
      </c>
      <c r="EG52" s="2" t="s">
        <v>31</v>
      </c>
      <c r="EH52" s="2">
        <v>0</v>
      </c>
      <c r="EI52" s="2" t="s">
        <v>3</v>
      </c>
      <c r="EJ52" s="2">
        <v>3</v>
      </c>
      <c r="EK52" s="2">
        <v>746</v>
      </c>
      <c r="EL52" s="2" t="s">
        <v>32</v>
      </c>
      <c r="EM52" s="2" t="s">
        <v>33</v>
      </c>
      <c r="EN52" s="2"/>
      <c r="EO52" s="2" t="s">
        <v>3</v>
      </c>
      <c r="EP52" s="2"/>
      <c r="EQ52" s="2">
        <v>0</v>
      </c>
      <c r="ER52" s="2">
        <v>0</v>
      </c>
      <c r="ES52" s="2">
        <v>13997.58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f t="shared" si="62"/>
        <v>97983.06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85</v>
      </c>
      <c r="GB52" s="2"/>
      <c r="GC52" s="2"/>
      <c r="GD52" s="2">
        <v>1</v>
      </c>
      <c r="GE52" s="2"/>
      <c r="GF52" s="2">
        <v>1048200997</v>
      </c>
      <c r="GG52" s="2">
        <v>2</v>
      </c>
      <c r="GH52" s="2">
        <v>4</v>
      </c>
      <c r="GI52" s="2">
        <v>-2</v>
      </c>
      <c r="GJ52" s="2">
        <v>0</v>
      </c>
      <c r="GK52" s="2">
        <v>0</v>
      </c>
      <c r="GL52" s="2">
        <f t="shared" si="37"/>
        <v>0</v>
      </c>
      <c r="GM52" s="2">
        <f t="shared" si="38"/>
        <v>97983.06</v>
      </c>
      <c r="GN52" s="2">
        <f t="shared" si="39"/>
        <v>0</v>
      </c>
      <c r="GO52" s="2">
        <f t="shared" si="40"/>
        <v>0</v>
      </c>
      <c r="GP52" s="2">
        <f t="shared" si="41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42"/>
        <v>0</v>
      </c>
      <c r="GW52" s="2">
        <v>1</v>
      </c>
      <c r="GX52" s="2">
        <f t="shared" si="43"/>
        <v>0</v>
      </c>
      <c r="GY52" s="2"/>
      <c r="GZ52" s="2"/>
      <c r="HA52" s="2">
        <v>0</v>
      </c>
      <c r="HB52" s="2">
        <v>0</v>
      </c>
      <c r="HC52" s="2">
        <f t="shared" si="44"/>
        <v>0</v>
      </c>
      <c r="HD52" s="2"/>
      <c r="HE52" s="2" t="s">
        <v>35</v>
      </c>
      <c r="HF52" s="2" t="s">
        <v>36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>
        <v>17</v>
      </c>
      <c r="B53">
        <v>1</v>
      </c>
      <c r="E53" t="s">
        <v>82</v>
      </c>
      <c r="F53" t="s">
        <v>83</v>
      </c>
      <c r="G53" t="s">
        <v>84</v>
      </c>
      <c r="H53" t="s">
        <v>30</v>
      </c>
      <c r="I53">
        <v>7</v>
      </c>
      <c r="J53">
        <v>0</v>
      </c>
      <c r="K53">
        <v>7</v>
      </c>
      <c r="O53">
        <f t="shared" si="21"/>
        <v>750550.24</v>
      </c>
      <c r="P53">
        <f t="shared" si="49"/>
        <v>750550.24</v>
      </c>
      <c r="Q53">
        <f t="shared" si="50"/>
        <v>0</v>
      </c>
      <c r="R53">
        <f t="shared" si="51"/>
        <v>0</v>
      </c>
      <c r="S53">
        <f t="shared" si="22"/>
        <v>0</v>
      </c>
      <c r="T53">
        <f t="shared" si="23"/>
        <v>0</v>
      </c>
      <c r="U53">
        <f t="shared" si="24"/>
        <v>0</v>
      </c>
      <c r="V53">
        <f t="shared" si="25"/>
        <v>0</v>
      </c>
      <c r="W53">
        <f t="shared" si="26"/>
        <v>0</v>
      </c>
      <c r="X53">
        <f t="shared" si="52"/>
        <v>0</v>
      </c>
      <c r="Y53">
        <f t="shared" si="53"/>
        <v>0</v>
      </c>
      <c r="AA53">
        <v>60258061</v>
      </c>
      <c r="AB53">
        <f t="shared" si="27"/>
        <v>13997.58</v>
      </c>
      <c r="AC53">
        <f t="shared" si="28"/>
        <v>13997.58</v>
      </c>
      <c r="AD53">
        <f t="shared" si="54"/>
        <v>0</v>
      </c>
      <c r="AE53">
        <f t="shared" si="55"/>
        <v>0</v>
      </c>
      <c r="AF53">
        <f t="shared" si="55"/>
        <v>0</v>
      </c>
      <c r="AG53">
        <f t="shared" si="29"/>
        <v>0</v>
      </c>
      <c r="AH53">
        <f t="shared" si="56"/>
        <v>0</v>
      </c>
      <c r="AI53">
        <f t="shared" si="56"/>
        <v>0</v>
      </c>
      <c r="AJ53">
        <f t="shared" si="30"/>
        <v>0</v>
      </c>
      <c r="AK53">
        <v>13997.58</v>
      </c>
      <c r="AL53">
        <v>13997.58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Z53">
        <v>1</v>
      </c>
      <c r="BA53">
        <v>1</v>
      </c>
      <c r="BB53">
        <v>1</v>
      </c>
      <c r="BC53">
        <v>7.66</v>
      </c>
      <c r="BD53" t="s">
        <v>3</v>
      </c>
      <c r="BE53" t="s">
        <v>3</v>
      </c>
      <c r="BF53" t="s">
        <v>3</v>
      </c>
      <c r="BG53" t="s">
        <v>3</v>
      </c>
      <c r="BH53">
        <v>3</v>
      </c>
      <c r="BI53">
        <v>3</v>
      </c>
      <c r="BJ53" t="s">
        <v>3</v>
      </c>
      <c r="BM53">
        <v>746</v>
      </c>
      <c r="BN53">
        <v>0</v>
      </c>
      <c r="BO53" t="s">
        <v>3</v>
      </c>
      <c r="BP53">
        <v>0</v>
      </c>
      <c r="BQ53">
        <v>130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0</v>
      </c>
      <c r="CA53">
        <v>0</v>
      </c>
      <c r="CB53" t="s">
        <v>3</v>
      </c>
      <c r="CE53">
        <v>1566</v>
      </c>
      <c r="CF53">
        <v>0</v>
      </c>
      <c r="CG53">
        <v>0</v>
      </c>
      <c r="CM53">
        <v>0</v>
      </c>
      <c r="CN53" t="s">
        <v>3</v>
      </c>
      <c r="CO53">
        <v>0</v>
      </c>
      <c r="CP53">
        <f t="shared" si="31"/>
        <v>750550.24</v>
      </c>
      <c r="CQ53">
        <f t="shared" si="57"/>
        <v>107221.46</v>
      </c>
      <c r="CR53">
        <f t="shared" si="58"/>
        <v>0</v>
      </c>
      <c r="CS53">
        <f t="shared" si="59"/>
        <v>0</v>
      </c>
      <c r="CT53">
        <f t="shared" si="32"/>
        <v>0</v>
      </c>
      <c r="CU53">
        <f t="shared" si="33"/>
        <v>0</v>
      </c>
      <c r="CV53">
        <f t="shared" si="34"/>
        <v>0</v>
      </c>
      <c r="CW53">
        <f t="shared" si="35"/>
        <v>0</v>
      </c>
      <c r="CX53">
        <f t="shared" si="36"/>
        <v>0</v>
      </c>
      <c r="CY53">
        <f t="shared" si="60"/>
        <v>0</v>
      </c>
      <c r="CZ53">
        <f t="shared" si="61"/>
        <v>0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1013</v>
      </c>
      <c r="DV53" t="s">
        <v>30</v>
      </c>
      <c r="DW53" t="s">
        <v>30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60088638</v>
      </c>
      <c r="EF53">
        <v>130</v>
      </c>
      <c r="EG53" t="s">
        <v>31</v>
      </c>
      <c r="EH53">
        <v>0</v>
      </c>
      <c r="EI53" t="s">
        <v>3</v>
      </c>
      <c r="EJ53">
        <v>3</v>
      </c>
      <c r="EK53">
        <v>746</v>
      </c>
      <c r="EL53" t="s">
        <v>32</v>
      </c>
      <c r="EM53" t="s">
        <v>33</v>
      </c>
      <c r="EO53" t="s">
        <v>3</v>
      </c>
      <c r="EQ53">
        <v>0</v>
      </c>
      <c r="ER53">
        <v>0</v>
      </c>
      <c r="ES53">
        <v>13997.58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5</v>
      </c>
      <c r="FC53">
        <v>1</v>
      </c>
      <c r="FD53">
        <v>18</v>
      </c>
      <c r="FF53">
        <v>123437</v>
      </c>
      <c r="FQ53">
        <v>0</v>
      </c>
      <c r="FR53">
        <f t="shared" si="62"/>
        <v>750550.24</v>
      </c>
      <c r="FS53">
        <v>0</v>
      </c>
      <c r="FX53">
        <v>0</v>
      </c>
      <c r="FY53">
        <v>0</v>
      </c>
      <c r="GA53" t="s">
        <v>85</v>
      </c>
      <c r="GD53">
        <v>1</v>
      </c>
      <c r="GF53">
        <v>1048200997</v>
      </c>
      <c r="GG53">
        <v>2</v>
      </c>
      <c r="GH53">
        <v>3</v>
      </c>
      <c r="GI53">
        <v>5</v>
      </c>
      <c r="GJ53">
        <v>0</v>
      </c>
      <c r="GK53">
        <v>0</v>
      </c>
      <c r="GL53">
        <f t="shared" si="37"/>
        <v>0</v>
      </c>
      <c r="GM53">
        <f t="shared" si="38"/>
        <v>750550.24</v>
      </c>
      <c r="GN53">
        <f t="shared" si="39"/>
        <v>0</v>
      </c>
      <c r="GO53">
        <f t="shared" si="40"/>
        <v>0</v>
      </c>
      <c r="GP53">
        <f t="shared" si="41"/>
        <v>0</v>
      </c>
      <c r="GR53">
        <v>1</v>
      </c>
      <c r="GS53">
        <v>1</v>
      </c>
      <c r="GT53">
        <v>0</v>
      </c>
      <c r="GU53" t="s">
        <v>3</v>
      </c>
      <c r="GV53">
        <f t="shared" si="42"/>
        <v>0</v>
      </c>
      <c r="GW53">
        <v>1</v>
      </c>
      <c r="GX53">
        <f t="shared" si="43"/>
        <v>0</v>
      </c>
      <c r="HA53">
        <v>0</v>
      </c>
      <c r="HB53">
        <v>0</v>
      </c>
      <c r="HC53">
        <f t="shared" si="44"/>
        <v>0</v>
      </c>
      <c r="HE53" t="s">
        <v>35</v>
      </c>
      <c r="HF53" t="s">
        <v>36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">
      <c r="A54" s="2">
        <v>17</v>
      </c>
      <c r="B54" s="2">
        <v>1</v>
      </c>
      <c r="C54" s="2">
        <f>ROW(SmtRes!A46)</f>
        <v>46</v>
      </c>
      <c r="D54" s="2">
        <f>ROW(EtalonRes!A57)</f>
        <v>57</v>
      </c>
      <c r="E54" s="2" t="s">
        <v>86</v>
      </c>
      <c r="F54" s="2" t="s">
        <v>87</v>
      </c>
      <c r="G54" s="2" t="s">
        <v>88</v>
      </c>
      <c r="H54" s="2" t="s">
        <v>39</v>
      </c>
      <c r="I54" s="2">
        <v>18</v>
      </c>
      <c r="J54" s="2">
        <v>0</v>
      </c>
      <c r="K54" s="2">
        <v>18</v>
      </c>
      <c r="L54" s="2"/>
      <c r="M54" s="2"/>
      <c r="N54" s="2"/>
      <c r="O54" s="2">
        <f t="shared" si="21"/>
        <v>677.26</v>
      </c>
      <c r="P54" s="2">
        <f>ROUND((ROUND((AC54*AW54*I54),2)*BC54),2)</f>
        <v>0</v>
      </c>
      <c r="Q54" s="2">
        <f>(ROUND((ROUND((((ET54*1.1))*AV54*I54),2)*BB54),2)+ROUND((ROUND(((AE54-((EU54*1.1)))*AV54*I54),2)*BS54),2))</f>
        <v>190.51</v>
      </c>
      <c r="R54" s="2">
        <f>(ROUND((ROUND((((EU54*1.1))*AV54*I54),2)*BS54),2)+ROUND((ROUND(((AE54-((EU54*1.1)))*AV54*I54),2)*BS54),2))</f>
        <v>20.94</v>
      </c>
      <c r="S54" s="2">
        <f t="shared" si="22"/>
        <v>486.75</v>
      </c>
      <c r="T54" s="2">
        <f t="shared" si="23"/>
        <v>0</v>
      </c>
      <c r="U54" s="2">
        <f t="shared" si="24"/>
        <v>43.534260000000003</v>
      </c>
      <c r="V54" s="2">
        <f t="shared" si="25"/>
        <v>0</v>
      </c>
      <c r="W54" s="2">
        <f t="shared" si="26"/>
        <v>0</v>
      </c>
      <c r="X54" s="2">
        <f>(ROUND((((S54+ROUND((ROUND((((EU54*1.1))*AV54*I54),2)*BS54),2))*AT54)/100),2)+ROUND(((ROUND((ROUND(((AE54-((EU54*1.1)))*AV54*I54),2)*BS54),2)*AT54)/100),2))</f>
        <v>456.92</v>
      </c>
      <c r="Y54" s="2">
        <f>(ROUND((((S54+ROUND((ROUND((((EU54*1.1))*AV54*I54),2)*BS54),2))*AU54)/100),2)+ROUND(((ROUND((ROUND(((AE54-((EU54*1.1)))*AV54*I54),2)*BS54),2)*AU54)/100),2))</f>
        <v>233.54</v>
      </c>
      <c r="Z54" s="2"/>
      <c r="AA54" s="2">
        <v>60258064</v>
      </c>
      <c r="AB54" s="2">
        <f t="shared" si="27"/>
        <v>35.936999999999998</v>
      </c>
      <c r="AC54" s="2">
        <f t="shared" si="28"/>
        <v>0</v>
      </c>
      <c r="AD54" s="2">
        <f>ROUND(((((ET54*1.1))-((EU54*1.1)))+AE54),6)</f>
        <v>10.109</v>
      </c>
      <c r="AE54" s="2">
        <f>ROUND(((EU54*1.1)),6)</f>
        <v>1.111</v>
      </c>
      <c r="AF54" s="2">
        <f>ROUND(((EV54*1.1)),6)</f>
        <v>25.827999999999999</v>
      </c>
      <c r="AG54" s="2">
        <f t="shared" si="29"/>
        <v>0</v>
      </c>
      <c r="AH54" s="2">
        <f>((EW54*1.1))</f>
        <v>2.3100000000000005</v>
      </c>
      <c r="AI54" s="2">
        <f>((EX54*1.1))</f>
        <v>0</v>
      </c>
      <c r="AJ54" s="2">
        <f t="shared" si="30"/>
        <v>0</v>
      </c>
      <c r="AK54" s="2">
        <v>32.67</v>
      </c>
      <c r="AL54" s="2">
        <v>0</v>
      </c>
      <c r="AM54" s="2">
        <v>9.19</v>
      </c>
      <c r="AN54" s="2">
        <v>1.01</v>
      </c>
      <c r="AO54" s="2">
        <v>23.48</v>
      </c>
      <c r="AP54" s="2">
        <v>0</v>
      </c>
      <c r="AQ54" s="2">
        <v>2.1</v>
      </c>
      <c r="AR54" s="2">
        <v>0</v>
      </c>
      <c r="AS54" s="2">
        <v>0</v>
      </c>
      <c r="AT54" s="2">
        <v>90</v>
      </c>
      <c r="AU54" s="2">
        <v>46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89</v>
      </c>
      <c r="BK54" s="2"/>
      <c r="BL54" s="2"/>
      <c r="BM54" s="2">
        <v>68</v>
      </c>
      <c r="BN54" s="2">
        <v>58973116</v>
      </c>
      <c r="BO54" s="2" t="s">
        <v>87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90</v>
      </c>
      <c r="CA54" s="2">
        <v>46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377</v>
      </c>
      <c r="CO54" s="2">
        <v>0</v>
      </c>
      <c r="CP54" s="2">
        <f t="shared" si="31"/>
        <v>677.26</v>
      </c>
      <c r="CQ54" s="2">
        <f>ROUND((ROUND((AC54*AW54*1),2)*BC54),2)</f>
        <v>0</v>
      </c>
      <c r="CR54" s="2">
        <f>(ROUND((ROUND((((ET54*1.1))*AV54*1),2)*BB54),2)+ROUND((ROUND(((AE54-((EU54*1.1)))*AV54*1),2)*BS54),2))</f>
        <v>10.58</v>
      </c>
      <c r="CS54" s="2">
        <f>(ROUND((ROUND((((EU54*1.1))*AV54*1),2)*BS54),2)+ROUND((ROUND(((AE54-((EU54*1.1)))*AV54*1),2)*BS54),2))</f>
        <v>1.1599999999999999</v>
      </c>
      <c r="CT54" s="2">
        <f t="shared" si="32"/>
        <v>27.04</v>
      </c>
      <c r="CU54" s="2">
        <f t="shared" si="33"/>
        <v>0</v>
      </c>
      <c r="CV54" s="2">
        <f t="shared" si="34"/>
        <v>2.4185700000000003</v>
      </c>
      <c r="CW54" s="2">
        <f t="shared" si="35"/>
        <v>0</v>
      </c>
      <c r="CX54" s="2">
        <f t="shared" si="36"/>
        <v>0</v>
      </c>
      <c r="CY54" s="2">
        <f>(ROUND((((S54+ROUND((ROUND((((EU54*1.1))*AV54*1),2)*BS54),2))*AT54)/100),2)+ROUND(((ROUND((ROUND(((AE54-((EU54*1.1)))*AV54*1),2)*BS54),2)*AT54)/100),2))</f>
        <v>439.12</v>
      </c>
      <c r="CZ54" s="2">
        <f>(ROUND((((S54+ROUND((ROUND((((EU54*1.1))*AV54*1),2)*BS54),2))*AU54)/100),2)+ROUND(((ROUND((ROUND(((AE54-((EU54*1.1)))*AV54*1),2)*BS54),2)*AU54)/100),2))</f>
        <v>224.44</v>
      </c>
      <c r="DA54" s="2"/>
      <c r="DB54" s="2">
        <v>11</v>
      </c>
      <c r="DC54" s="2" t="s">
        <v>3</v>
      </c>
      <c r="DD54" s="2" t="s">
        <v>3</v>
      </c>
      <c r="DE54" s="2" t="s">
        <v>23</v>
      </c>
      <c r="DF54" s="2" t="s">
        <v>23</v>
      </c>
      <c r="DG54" s="2" t="s">
        <v>23</v>
      </c>
      <c r="DH54" s="2" t="s">
        <v>3</v>
      </c>
      <c r="DI54" s="2" t="s">
        <v>23</v>
      </c>
      <c r="DJ54" s="2" t="s">
        <v>23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39</v>
      </c>
      <c r="DW54" s="2" t="s">
        <v>39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60088532</v>
      </c>
      <c r="EF54" s="2">
        <v>40</v>
      </c>
      <c r="EG54" s="2" t="s">
        <v>24</v>
      </c>
      <c r="EH54" s="2">
        <v>0</v>
      </c>
      <c r="EI54" s="2" t="s">
        <v>3</v>
      </c>
      <c r="EJ54" s="2">
        <v>2</v>
      </c>
      <c r="EK54" s="2">
        <v>68</v>
      </c>
      <c r="EL54" s="2" t="s">
        <v>25</v>
      </c>
      <c r="EM54" s="2" t="s">
        <v>26</v>
      </c>
      <c r="EN54" s="2"/>
      <c r="EO54" s="2" t="s">
        <v>27</v>
      </c>
      <c r="EP54" s="2"/>
      <c r="EQ54" s="2">
        <v>0</v>
      </c>
      <c r="ER54" s="2">
        <v>32.67</v>
      </c>
      <c r="ES54" s="2">
        <v>0</v>
      </c>
      <c r="ET54" s="2">
        <v>9.19</v>
      </c>
      <c r="EU54" s="2">
        <v>1.01</v>
      </c>
      <c r="EV54" s="2">
        <v>23.48</v>
      </c>
      <c r="EW54" s="2">
        <v>2.1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90</v>
      </c>
      <c r="FY54" s="2">
        <v>46</v>
      </c>
      <c r="FZ54" s="2"/>
      <c r="GA54" s="2" t="s">
        <v>3</v>
      </c>
      <c r="GB54" s="2"/>
      <c r="GC54" s="2"/>
      <c r="GD54" s="2">
        <v>1</v>
      </c>
      <c r="GE54" s="2"/>
      <c r="GF54" s="2">
        <v>329085480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37"/>
        <v>0</v>
      </c>
      <c r="GM54" s="2">
        <f t="shared" si="38"/>
        <v>1367.72</v>
      </c>
      <c r="GN54" s="2">
        <f t="shared" si="39"/>
        <v>0</v>
      </c>
      <c r="GO54" s="2">
        <f t="shared" si="40"/>
        <v>1367.72</v>
      </c>
      <c r="GP54" s="2">
        <f t="shared" si="41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42"/>
        <v>0</v>
      </c>
      <c r="GW54" s="2">
        <v>1</v>
      </c>
      <c r="GX54" s="2">
        <f t="shared" si="43"/>
        <v>0</v>
      </c>
      <c r="GY54" s="2"/>
      <c r="GZ54" s="2"/>
      <c r="HA54" s="2">
        <v>0</v>
      </c>
      <c r="HB54" s="2">
        <v>0</v>
      </c>
      <c r="HC54" s="2">
        <f t="shared" si="44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>
        <v>17</v>
      </c>
      <c r="B55">
        <v>1</v>
      </c>
      <c r="C55">
        <f>ROW(SmtRes!A48)</f>
        <v>48</v>
      </c>
      <c r="D55">
        <f>ROW(EtalonRes!A60)</f>
        <v>60</v>
      </c>
      <c r="E55" t="s">
        <v>86</v>
      </c>
      <c r="F55" t="s">
        <v>87</v>
      </c>
      <c r="G55" t="s">
        <v>88</v>
      </c>
      <c r="H55" t="s">
        <v>39</v>
      </c>
      <c r="I55">
        <v>18</v>
      </c>
      <c r="J55">
        <v>0</v>
      </c>
      <c r="K55">
        <v>18</v>
      </c>
      <c r="O55">
        <f t="shared" si="21"/>
        <v>29709.759999999998</v>
      </c>
      <c r="P55">
        <f>ROUND((ROUND((AC55*AW55*I55),2)*BC55),2)</f>
        <v>0</v>
      </c>
      <c r="Q55">
        <f>(ROUND((ROUND((((ET55*1.1))*AV55*I55),2)*BB55),2)+ROUND((ROUND(((AE55-((EU55*1.1)))*AV55*I55),2)*BS55),2))</f>
        <v>2943.38</v>
      </c>
      <c r="R55">
        <f>(ROUND((ROUND((((EU55*1.1))*AV55*I55),2)*BS55),2)+ROUND((ROUND(((AE55-((EU55*1.1)))*AV55*I55),2)*BS55),2))</f>
        <v>1151.49</v>
      </c>
      <c r="S55">
        <f t="shared" si="22"/>
        <v>26766.38</v>
      </c>
      <c r="T55">
        <f t="shared" si="23"/>
        <v>0</v>
      </c>
      <c r="U55">
        <f t="shared" si="24"/>
        <v>43.534260000000003</v>
      </c>
      <c r="V55">
        <f t="shared" si="25"/>
        <v>0</v>
      </c>
      <c r="W55">
        <f t="shared" si="26"/>
        <v>0</v>
      </c>
      <c r="X55">
        <f>(ROUND((((S55+ROUND((ROUND((((EU55*1.1))*AV55*I55),2)*BS55),2))*AT55)/100),2)+ROUND(((ROUND((ROUND(((AE55-((EU55*1.1)))*AV55*I55),2)*BS55),2)*AT55)/100),2))</f>
        <v>25126.080000000002</v>
      </c>
      <c r="Y55">
        <f>(ROUND((((S55+ROUND((ROUND((((EU55*1.1))*AV55*I55),2)*BS55),2))*AU55)/100),2)+ROUND(((ROUND((ROUND(((AE55-((EU55*1.1)))*AV55*I55),2)*BS55),2)*AU55)/100),2))</f>
        <v>12842.22</v>
      </c>
      <c r="AA55">
        <v>60258061</v>
      </c>
      <c r="AB55">
        <f t="shared" si="27"/>
        <v>35.936999999999998</v>
      </c>
      <c r="AC55">
        <f t="shared" si="28"/>
        <v>0</v>
      </c>
      <c r="AD55">
        <f>ROUND(((((ET55*1.1))-((EU55*1.1)))+AE55),6)</f>
        <v>10.109</v>
      </c>
      <c r="AE55">
        <f>ROUND(((EU55*1.1)),6)</f>
        <v>1.111</v>
      </c>
      <c r="AF55">
        <f>ROUND(((EV55*1.1)),6)</f>
        <v>25.827999999999999</v>
      </c>
      <c r="AG55">
        <f t="shared" si="29"/>
        <v>0</v>
      </c>
      <c r="AH55">
        <f>((EW55*1.1))</f>
        <v>2.3100000000000005</v>
      </c>
      <c r="AI55">
        <f>((EX55*1.1))</f>
        <v>0</v>
      </c>
      <c r="AJ55">
        <f t="shared" si="30"/>
        <v>0</v>
      </c>
      <c r="AK55">
        <v>32.67</v>
      </c>
      <c r="AL55">
        <v>0</v>
      </c>
      <c r="AM55">
        <v>9.19</v>
      </c>
      <c r="AN55">
        <v>1.01</v>
      </c>
      <c r="AO55">
        <v>23.48</v>
      </c>
      <c r="AP55">
        <v>0</v>
      </c>
      <c r="AQ55">
        <v>2.1</v>
      </c>
      <c r="AR55">
        <v>0</v>
      </c>
      <c r="AS55">
        <v>0</v>
      </c>
      <c r="AT55">
        <v>90</v>
      </c>
      <c r="AU55">
        <v>46</v>
      </c>
      <c r="AV55">
        <v>1.0469999999999999</v>
      </c>
      <c r="AW55">
        <v>1</v>
      </c>
      <c r="AZ55">
        <v>1</v>
      </c>
      <c r="BA55">
        <v>54.99</v>
      </c>
      <c r="BB55">
        <v>15.45</v>
      </c>
      <c r="BC55">
        <v>1</v>
      </c>
      <c r="BD55" t="s">
        <v>3</v>
      </c>
      <c r="BE55" t="s">
        <v>3</v>
      </c>
      <c r="BF55" t="s">
        <v>3</v>
      </c>
      <c r="BG55" t="s">
        <v>3</v>
      </c>
      <c r="BH55">
        <v>0</v>
      </c>
      <c r="BI55">
        <v>2</v>
      </c>
      <c r="BJ55" t="s">
        <v>89</v>
      </c>
      <c r="BM55">
        <v>68</v>
      </c>
      <c r="BN55">
        <v>58973116</v>
      </c>
      <c r="BO55" t="s">
        <v>87</v>
      </c>
      <c r="BP55">
        <v>1</v>
      </c>
      <c r="BQ55">
        <v>40</v>
      </c>
      <c r="BR55">
        <v>0</v>
      </c>
      <c r="BS55">
        <v>54.99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90</v>
      </c>
      <c r="CA55">
        <v>46</v>
      </c>
      <c r="CB55" t="s">
        <v>3</v>
      </c>
      <c r="CE55">
        <v>1566</v>
      </c>
      <c r="CF55">
        <v>0</v>
      </c>
      <c r="CG55">
        <v>0</v>
      </c>
      <c r="CM55">
        <v>0</v>
      </c>
      <c r="CN55" t="s">
        <v>377</v>
      </c>
      <c r="CO55">
        <v>0</v>
      </c>
      <c r="CP55">
        <f t="shared" si="31"/>
        <v>29709.760000000002</v>
      </c>
      <c r="CQ55">
        <f>ROUND((ROUND((AC55*AW55*1),2)*BC55),2)</f>
        <v>0</v>
      </c>
      <c r="CR55">
        <f>(ROUND((ROUND((((ET55*1.1))*AV55*1),2)*BB55),2)+ROUND((ROUND(((AE55-((EU55*1.1)))*AV55*1),2)*BS55),2))</f>
        <v>163.46</v>
      </c>
      <c r="CS55">
        <f>(ROUND((ROUND((((EU55*1.1))*AV55*1),2)*BS55),2)+ROUND((ROUND(((AE55-((EU55*1.1)))*AV55*1),2)*BS55),2))</f>
        <v>63.79</v>
      </c>
      <c r="CT55">
        <f t="shared" si="32"/>
        <v>1486.93</v>
      </c>
      <c r="CU55">
        <f t="shared" si="33"/>
        <v>0</v>
      </c>
      <c r="CV55">
        <f t="shared" si="34"/>
        <v>2.4185700000000003</v>
      </c>
      <c r="CW55">
        <f t="shared" si="35"/>
        <v>0</v>
      </c>
      <c r="CX55">
        <f t="shared" si="36"/>
        <v>0</v>
      </c>
      <c r="CY55">
        <f>(ROUND((((S55+ROUND((ROUND((((EU55*1.1))*AV55*1),2)*BS55),2))*AT55)/100),2)+ROUND(((ROUND((ROUND(((AE55-((EU55*1.1)))*AV55*1),2)*BS55),2)*AT55)/100),2))</f>
        <v>24147.15</v>
      </c>
      <c r="CZ55">
        <f>(ROUND((((S55+ROUND((ROUND((((EU55*1.1))*AV55*1),2)*BS55),2))*AU55)/100),2)+ROUND(((ROUND((ROUND(((AE55-((EU55*1.1)))*AV55*1),2)*BS55),2)*AU55)/100),2))</f>
        <v>12341.88</v>
      </c>
      <c r="DB55">
        <v>12</v>
      </c>
      <c r="DC55" t="s">
        <v>3</v>
      </c>
      <c r="DD55" t="s">
        <v>3</v>
      </c>
      <c r="DE55" t="s">
        <v>23</v>
      </c>
      <c r="DF55" t="s">
        <v>23</v>
      </c>
      <c r="DG55" t="s">
        <v>23</v>
      </c>
      <c r="DH55" t="s">
        <v>3</v>
      </c>
      <c r="DI55" t="s">
        <v>23</v>
      </c>
      <c r="DJ55" t="s">
        <v>23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1013</v>
      </c>
      <c r="DV55" t="s">
        <v>39</v>
      </c>
      <c r="DW55" t="s">
        <v>39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60088532</v>
      </c>
      <c r="EF55">
        <v>40</v>
      </c>
      <c r="EG55" t="s">
        <v>24</v>
      </c>
      <c r="EH55">
        <v>0</v>
      </c>
      <c r="EI55" t="s">
        <v>3</v>
      </c>
      <c r="EJ55">
        <v>2</v>
      </c>
      <c r="EK55">
        <v>68</v>
      </c>
      <c r="EL55" t="s">
        <v>25</v>
      </c>
      <c r="EM55" t="s">
        <v>26</v>
      </c>
      <c r="EO55" t="s">
        <v>27</v>
      </c>
      <c r="EQ55">
        <v>0</v>
      </c>
      <c r="ER55">
        <v>32.67</v>
      </c>
      <c r="ES55">
        <v>0</v>
      </c>
      <c r="ET55">
        <v>9.19</v>
      </c>
      <c r="EU55">
        <v>1.01</v>
      </c>
      <c r="EV55">
        <v>23.48</v>
      </c>
      <c r="EW55">
        <v>2.1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90</v>
      </c>
      <c r="FY55">
        <v>46</v>
      </c>
      <c r="GA55" t="s">
        <v>3</v>
      </c>
      <c r="GD55">
        <v>1</v>
      </c>
      <c r="GF55">
        <v>329085480</v>
      </c>
      <c r="GG55">
        <v>2</v>
      </c>
      <c r="GH55">
        <v>1</v>
      </c>
      <c r="GI55">
        <v>2</v>
      </c>
      <c r="GJ55">
        <v>0</v>
      </c>
      <c r="GK55">
        <v>0</v>
      </c>
      <c r="GL55">
        <f t="shared" si="37"/>
        <v>0</v>
      </c>
      <c r="GM55">
        <f t="shared" si="38"/>
        <v>67678.06</v>
      </c>
      <c r="GN55">
        <f t="shared" si="39"/>
        <v>0</v>
      </c>
      <c r="GO55">
        <f t="shared" si="40"/>
        <v>67678.06</v>
      </c>
      <c r="GP55">
        <f t="shared" si="41"/>
        <v>0</v>
      </c>
      <c r="GR55">
        <v>0</v>
      </c>
      <c r="GS55">
        <v>3</v>
      </c>
      <c r="GT55">
        <v>0</v>
      </c>
      <c r="GU55" t="s">
        <v>3</v>
      </c>
      <c r="GV55">
        <f t="shared" si="42"/>
        <v>0</v>
      </c>
      <c r="GW55">
        <v>1</v>
      </c>
      <c r="GX55">
        <f t="shared" si="43"/>
        <v>0</v>
      </c>
      <c r="HA55">
        <v>0</v>
      </c>
      <c r="HB55">
        <v>0</v>
      </c>
      <c r="HC55">
        <f t="shared" si="44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">
      <c r="A56" s="2">
        <v>17</v>
      </c>
      <c r="B56" s="2">
        <v>1</v>
      </c>
      <c r="C56" s="2"/>
      <c r="D56" s="2"/>
      <c r="E56" s="2" t="s">
        <v>90</v>
      </c>
      <c r="F56" s="2" t="s">
        <v>91</v>
      </c>
      <c r="G56" s="2" t="s">
        <v>92</v>
      </c>
      <c r="H56" s="2" t="s">
        <v>30</v>
      </c>
      <c r="I56" s="2">
        <v>18</v>
      </c>
      <c r="J56" s="2">
        <v>0</v>
      </c>
      <c r="K56" s="2">
        <v>18</v>
      </c>
      <c r="L56" s="2"/>
      <c r="M56" s="2"/>
      <c r="N56" s="2"/>
      <c r="O56" s="2">
        <f t="shared" si="21"/>
        <v>5807.34</v>
      </c>
      <c r="P56" s="2">
        <f>ROUND((ROUND((AC56*I56),2)*BC56),2)</f>
        <v>5807.34</v>
      </c>
      <c r="Q56" s="2">
        <f>(ROUND((ROUND(((ET56)*AV56*I56),2)*BB56),2)+ROUND((ROUND(((AE56-(EU56))*AV56*I56),2)*BS56),2))</f>
        <v>0</v>
      </c>
      <c r="R56" s="2">
        <f>(ROUND((ROUND(((EU56)*AV56*I56),2)*BS56),2)+ROUND((ROUND(((AE56-(EU56))*AV56*I56),2)*BS56),2))</f>
        <v>0</v>
      </c>
      <c r="S56" s="2">
        <f t="shared" si="22"/>
        <v>0</v>
      </c>
      <c r="T56" s="2">
        <f t="shared" si="23"/>
        <v>0</v>
      </c>
      <c r="U56" s="2">
        <f t="shared" si="24"/>
        <v>0</v>
      </c>
      <c r="V56" s="2">
        <f t="shared" si="25"/>
        <v>0</v>
      </c>
      <c r="W56" s="2">
        <f t="shared" si="26"/>
        <v>0</v>
      </c>
      <c r="X56" s="2">
        <f>(ROUND((((S56+ROUND((ROUND(((EU56)*AV56*I56),2)*BS56),2))*AT56)/100),2)+ROUND(((ROUND((ROUND(((AE56-(EU56))*AV56*I56),2)*BS56),2)*AT56)/100),2))</f>
        <v>0</v>
      </c>
      <c r="Y56" s="2">
        <f>(ROUND((((S56+ROUND((ROUND(((EU56)*AV56*I56),2)*BS56),2))*AU56)/100),2)+ROUND(((ROUND((ROUND(((AE56-(EU56))*AV56*I56),2)*BS56),2)*AU56)/100),2))</f>
        <v>0</v>
      </c>
      <c r="Z56" s="2"/>
      <c r="AA56" s="2">
        <v>60258064</v>
      </c>
      <c r="AB56" s="2">
        <f t="shared" si="27"/>
        <v>322.63</v>
      </c>
      <c r="AC56" s="2">
        <f t="shared" si="28"/>
        <v>322.63</v>
      </c>
      <c r="AD56" s="2">
        <f>ROUND((((ET56)-(EU56))+AE56),6)</f>
        <v>0</v>
      </c>
      <c r="AE56" s="2">
        <f>ROUND((EU56),6)</f>
        <v>0</v>
      </c>
      <c r="AF56" s="2">
        <f>ROUND((EV56),6)</f>
        <v>0</v>
      </c>
      <c r="AG56" s="2">
        <f t="shared" si="29"/>
        <v>0</v>
      </c>
      <c r="AH56" s="2">
        <f>(EW56)</f>
        <v>0</v>
      </c>
      <c r="AI56" s="2">
        <f>(EX56)</f>
        <v>0</v>
      </c>
      <c r="AJ56" s="2">
        <f t="shared" si="30"/>
        <v>0</v>
      </c>
      <c r="AK56" s="2">
        <v>322.63</v>
      </c>
      <c r="AL56" s="2">
        <v>322.63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3</v>
      </c>
      <c r="BJ56" s="2" t="s">
        <v>3</v>
      </c>
      <c r="BK56" s="2"/>
      <c r="BL56" s="2"/>
      <c r="BM56" s="2">
        <v>746</v>
      </c>
      <c r="BN56" s="2">
        <v>0</v>
      </c>
      <c r="BO56" s="2" t="s">
        <v>3</v>
      </c>
      <c r="BP56" s="2">
        <v>0</v>
      </c>
      <c r="BQ56" s="2">
        <v>130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0</v>
      </c>
      <c r="CA56" s="2">
        <v>0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3</v>
      </c>
      <c r="CO56" s="2">
        <v>0</v>
      </c>
      <c r="CP56" s="2">
        <f t="shared" si="31"/>
        <v>5807.34</v>
      </c>
      <c r="CQ56" s="2">
        <f>ROUND((ROUND((AC56*1),2)*BC56),2)</f>
        <v>322.63</v>
      </c>
      <c r="CR56" s="2">
        <f>(ROUND((ROUND(((ET56)*AV56*1),2)*BB56),2)+ROUND((ROUND(((AE56-(EU56))*AV56*1),2)*BS56),2))</f>
        <v>0</v>
      </c>
      <c r="CS56" s="2">
        <f>(ROUND((ROUND(((EU56)*AV56*1),2)*BS56),2)+ROUND((ROUND(((AE56-(EU56))*AV56*1),2)*BS56),2))</f>
        <v>0</v>
      </c>
      <c r="CT56" s="2">
        <f t="shared" si="32"/>
        <v>0</v>
      </c>
      <c r="CU56" s="2">
        <f t="shared" si="33"/>
        <v>0</v>
      </c>
      <c r="CV56" s="2">
        <f t="shared" si="34"/>
        <v>0</v>
      </c>
      <c r="CW56" s="2">
        <f t="shared" si="35"/>
        <v>0</v>
      </c>
      <c r="CX56" s="2">
        <f t="shared" si="36"/>
        <v>0</v>
      </c>
      <c r="CY56" s="2">
        <f>(ROUND((((S56+ROUND((ROUND(((EU56)*AV56*1),2)*BS56),2))*AT56)/100),2)+ROUND(((ROUND((ROUND(((AE56-(EU56))*AV56*1),2)*BS56),2)*AT56)/100),2))</f>
        <v>0</v>
      </c>
      <c r="CZ56" s="2">
        <f>(ROUND((((S56+ROUND((ROUND(((EU56)*AV56*1),2)*BS56),2))*AU56)/100),2)+ROUND(((ROUND((ROUND(((AE56-(EU56))*AV56*1),2)*BS56),2)*AU56)/100),2))</f>
        <v>0</v>
      </c>
      <c r="DA56" s="2"/>
      <c r="DB56" s="2"/>
      <c r="DC56" s="2" t="s">
        <v>3</v>
      </c>
      <c r="DD56" s="2" t="s">
        <v>3</v>
      </c>
      <c r="DE56" s="2" t="s">
        <v>3</v>
      </c>
      <c r="DF56" s="2" t="s">
        <v>3</v>
      </c>
      <c r="DG56" s="2" t="s">
        <v>3</v>
      </c>
      <c r="DH56" s="2" t="s">
        <v>3</v>
      </c>
      <c r="DI56" s="2" t="s">
        <v>3</v>
      </c>
      <c r="DJ56" s="2" t="s">
        <v>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30</v>
      </c>
      <c r="DW56" s="2" t="s">
        <v>30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60088638</v>
      </c>
      <c r="EF56" s="2">
        <v>130</v>
      </c>
      <c r="EG56" s="2" t="s">
        <v>31</v>
      </c>
      <c r="EH56" s="2">
        <v>0</v>
      </c>
      <c r="EI56" s="2" t="s">
        <v>3</v>
      </c>
      <c r="EJ56" s="2">
        <v>3</v>
      </c>
      <c r="EK56" s="2">
        <v>746</v>
      </c>
      <c r="EL56" s="2" t="s">
        <v>32</v>
      </c>
      <c r="EM56" s="2" t="s">
        <v>33</v>
      </c>
      <c r="EN56" s="2"/>
      <c r="EO56" s="2" t="s">
        <v>3</v>
      </c>
      <c r="EP56" s="2"/>
      <c r="EQ56" s="2">
        <v>0</v>
      </c>
      <c r="ER56" s="2">
        <v>0</v>
      </c>
      <c r="ES56" s="2">
        <v>322.63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f>P56</f>
        <v>5807.34</v>
      </c>
      <c r="FS56" s="2">
        <v>0</v>
      </c>
      <c r="FT56" s="2"/>
      <c r="FU56" s="2"/>
      <c r="FV56" s="2"/>
      <c r="FW56" s="2"/>
      <c r="FX56" s="2">
        <v>0</v>
      </c>
      <c r="FY56" s="2">
        <v>0</v>
      </c>
      <c r="FZ56" s="2"/>
      <c r="GA56" s="2" t="s">
        <v>93</v>
      </c>
      <c r="GB56" s="2"/>
      <c r="GC56" s="2"/>
      <c r="GD56" s="2">
        <v>1</v>
      </c>
      <c r="GE56" s="2"/>
      <c r="GF56" s="2">
        <v>2127587981</v>
      </c>
      <c r="GG56" s="2">
        <v>2</v>
      </c>
      <c r="GH56" s="2">
        <v>4</v>
      </c>
      <c r="GI56" s="2">
        <v>-2</v>
      </c>
      <c r="GJ56" s="2">
        <v>0</v>
      </c>
      <c r="GK56" s="2">
        <v>0</v>
      </c>
      <c r="GL56" s="2">
        <f t="shared" si="37"/>
        <v>0</v>
      </c>
      <c r="GM56" s="2">
        <f t="shared" si="38"/>
        <v>5807.34</v>
      </c>
      <c r="GN56" s="2">
        <f t="shared" si="39"/>
        <v>0</v>
      </c>
      <c r="GO56" s="2">
        <f t="shared" si="40"/>
        <v>0</v>
      </c>
      <c r="GP56" s="2">
        <f t="shared" si="41"/>
        <v>0</v>
      </c>
      <c r="GQ56" s="2"/>
      <c r="GR56" s="2">
        <v>0</v>
      </c>
      <c r="GS56" s="2">
        <v>2</v>
      </c>
      <c r="GT56" s="2">
        <v>0</v>
      </c>
      <c r="GU56" s="2" t="s">
        <v>3</v>
      </c>
      <c r="GV56" s="2">
        <f t="shared" si="42"/>
        <v>0</v>
      </c>
      <c r="GW56" s="2">
        <v>1</v>
      </c>
      <c r="GX56" s="2">
        <f t="shared" si="43"/>
        <v>0</v>
      </c>
      <c r="GY56" s="2"/>
      <c r="GZ56" s="2"/>
      <c r="HA56" s="2">
        <v>0</v>
      </c>
      <c r="HB56" s="2">
        <v>0</v>
      </c>
      <c r="HC56" s="2">
        <f t="shared" si="44"/>
        <v>0</v>
      </c>
      <c r="HD56" s="2"/>
      <c r="HE56" s="2" t="s">
        <v>35</v>
      </c>
      <c r="HF56" s="2" t="s">
        <v>36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>
        <v>17</v>
      </c>
      <c r="B57">
        <v>1</v>
      </c>
      <c r="E57" t="s">
        <v>90</v>
      </c>
      <c r="F57" t="s">
        <v>91</v>
      </c>
      <c r="G57" t="s">
        <v>92</v>
      </c>
      <c r="H57" t="s">
        <v>30</v>
      </c>
      <c r="I57">
        <v>18</v>
      </c>
      <c r="J57">
        <v>0</v>
      </c>
      <c r="K57">
        <v>18</v>
      </c>
      <c r="O57">
        <f t="shared" si="21"/>
        <v>44484.22</v>
      </c>
      <c r="P57">
        <f>ROUND((ROUND((AC57*I57),2)*BC57),2)</f>
        <v>44484.22</v>
      </c>
      <c r="Q57">
        <f>(ROUND((ROUND(((ET57)*AV57*I57),2)*BB57),2)+ROUND((ROUND(((AE57-(EU57))*AV57*I57),2)*BS57),2))</f>
        <v>0</v>
      </c>
      <c r="R57">
        <f>(ROUND((ROUND(((EU57)*AV57*I57),2)*BS57),2)+ROUND((ROUND(((AE57-(EU57))*AV57*I57),2)*BS57),2))</f>
        <v>0</v>
      </c>
      <c r="S57">
        <f t="shared" si="22"/>
        <v>0</v>
      </c>
      <c r="T57">
        <f t="shared" si="23"/>
        <v>0</v>
      </c>
      <c r="U57">
        <f t="shared" si="24"/>
        <v>0</v>
      </c>
      <c r="V57">
        <f t="shared" si="25"/>
        <v>0</v>
      </c>
      <c r="W57">
        <f t="shared" si="26"/>
        <v>0</v>
      </c>
      <c r="X57">
        <f>(ROUND((((S57+ROUND((ROUND(((EU57)*AV57*I57),2)*BS57),2))*AT57)/100),2)+ROUND(((ROUND((ROUND(((AE57-(EU57))*AV57*I57),2)*BS57),2)*AT57)/100),2))</f>
        <v>0</v>
      </c>
      <c r="Y57">
        <f>(ROUND((((S57+ROUND((ROUND(((EU57)*AV57*I57),2)*BS57),2))*AU57)/100),2)+ROUND(((ROUND((ROUND(((AE57-(EU57))*AV57*I57),2)*BS57),2)*AU57)/100),2))</f>
        <v>0</v>
      </c>
      <c r="AA57">
        <v>60258061</v>
      </c>
      <c r="AB57">
        <f t="shared" si="27"/>
        <v>322.63</v>
      </c>
      <c r="AC57">
        <f t="shared" si="28"/>
        <v>322.63</v>
      </c>
      <c r="AD57">
        <f>ROUND((((ET57)-(EU57))+AE57),6)</f>
        <v>0</v>
      </c>
      <c r="AE57">
        <f>ROUND((EU57),6)</f>
        <v>0</v>
      </c>
      <c r="AF57">
        <f>ROUND((EV57),6)</f>
        <v>0</v>
      </c>
      <c r="AG57">
        <f t="shared" si="29"/>
        <v>0</v>
      </c>
      <c r="AH57">
        <f>(EW57)</f>
        <v>0</v>
      </c>
      <c r="AI57">
        <f>(EX57)</f>
        <v>0</v>
      </c>
      <c r="AJ57">
        <f t="shared" si="30"/>
        <v>0</v>
      </c>
      <c r="AK57">
        <v>322.63</v>
      </c>
      <c r="AL57">
        <v>322.63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Z57">
        <v>1</v>
      </c>
      <c r="BA57">
        <v>1</v>
      </c>
      <c r="BB57">
        <v>1</v>
      </c>
      <c r="BC57">
        <v>7.66</v>
      </c>
      <c r="BD57" t="s">
        <v>3</v>
      </c>
      <c r="BE57" t="s">
        <v>3</v>
      </c>
      <c r="BF57" t="s">
        <v>3</v>
      </c>
      <c r="BG57" t="s">
        <v>3</v>
      </c>
      <c r="BH57">
        <v>3</v>
      </c>
      <c r="BI57">
        <v>3</v>
      </c>
      <c r="BJ57" t="s">
        <v>3</v>
      </c>
      <c r="BM57">
        <v>746</v>
      </c>
      <c r="BN57">
        <v>0</v>
      </c>
      <c r="BO57" t="s">
        <v>3</v>
      </c>
      <c r="BP57">
        <v>0</v>
      </c>
      <c r="BQ57">
        <v>130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0</v>
      </c>
      <c r="CA57">
        <v>0</v>
      </c>
      <c r="CB57" t="s">
        <v>3</v>
      </c>
      <c r="CE57">
        <v>1566</v>
      </c>
      <c r="CF57">
        <v>0</v>
      </c>
      <c r="CG57">
        <v>0</v>
      </c>
      <c r="CM57">
        <v>0</v>
      </c>
      <c r="CN57" t="s">
        <v>3</v>
      </c>
      <c r="CO57">
        <v>0</v>
      </c>
      <c r="CP57">
        <f t="shared" si="31"/>
        <v>44484.22</v>
      </c>
      <c r="CQ57">
        <f>ROUND((ROUND((AC57*1),2)*BC57),2)</f>
        <v>2471.35</v>
      </c>
      <c r="CR57">
        <f>(ROUND((ROUND(((ET57)*AV57*1),2)*BB57),2)+ROUND((ROUND(((AE57-(EU57))*AV57*1),2)*BS57),2))</f>
        <v>0</v>
      </c>
      <c r="CS57">
        <f>(ROUND((ROUND(((EU57)*AV57*1),2)*BS57),2)+ROUND((ROUND(((AE57-(EU57))*AV57*1),2)*BS57),2))</f>
        <v>0</v>
      </c>
      <c r="CT57">
        <f t="shared" si="32"/>
        <v>0</v>
      </c>
      <c r="CU57">
        <f t="shared" si="33"/>
        <v>0</v>
      </c>
      <c r="CV57">
        <f t="shared" si="34"/>
        <v>0</v>
      </c>
      <c r="CW57">
        <f t="shared" si="35"/>
        <v>0</v>
      </c>
      <c r="CX57">
        <f t="shared" si="36"/>
        <v>0</v>
      </c>
      <c r="CY57">
        <f>(ROUND((((S57+ROUND((ROUND(((EU57)*AV57*1),2)*BS57),2))*AT57)/100),2)+ROUND(((ROUND((ROUND(((AE57-(EU57))*AV57*1),2)*BS57),2)*AT57)/100),2))</f>
        <v>0</v>
      </c>
      <c r="CZ57">
        <f>(ROUND((((S57+ROUND((ROUND(((EU57)*AV57*1),2)*BS57),2))*AU57)/100),2)+ROUND(((ROUND((ROUND(((AE57-(EU57))*AV57*1),2)*BS57),2)*AU57)/100),2))</f>
        <v>0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1013</v>
      </c>
      <c r="DV57" t="s">
        <v>30</v>
      </c>
      <c r="DW57" t="s">
        <v>30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60088638</v>
      </c>
      <c r="EF57">
        <v>130</v>
      </c>
      <c r="EG57" t="s">
        <v>31</v>
      </c>
      <c r="EH57">
        <v>0</v>
      </c>
      <c r="EI57" t="s">
        <v>3</v>
      </c>
      <c r="EJ57">
        <v>3</v>
      </c>
      <c r="EK57">
        <v>746</v>
      </c>
      <c r="EL57" t="s">
        <v>32</v>
      </c>
      <c r="EM57" t="s">
        <v>33</v>
      </c>
      <c r="EO57" t="s">
        <v>3</v>
      </c>
      <c r="EQ57">
        <v>0</v>
      </c>
      <c r="ER57">
        <v>0</v>
      </c>
      <c r="ES57">
        <v>322.63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5</v>
      </c>
      <c r="FC57">
        <v>1</v>
      </c>
      <c r="FD57">
        <v>18</v>
      </c>
      <c r="FF57">
        <v>2845</v>
      </c>
      <c r="FQ57">
        <v>0</v>
      </c>
      <c r="FR57">
        <f>P57</f>
        <v>44484.22</v>
      </c>
      <c r="FS57">
        <v>0</v>
      </c>
      <c r="FX57">
        <v>0</v>
      </c>
      <c r="FY57">
        <v>0</v>
      </c>
      <c r="GA57" t="s">
        <v>93</v>
      </c>
      <c r="GD57">
        <v>1</v>
      </c>
      <c r="GF57">
        <v>2127587981</v>
      </c>
      <c r="GG57">
        <v>2</v>
      </c>
      <c r="GH57">
        <v>3</v>
      </c>
      <c r="GI57">
        <v>5</v>
      </c>
      <c r="GJ57">
        <v>0</v>
      </c>
      <c r="GK57">
        <v>0</v>
      </c>
      <c r="GL57">
        <f t="shared" si="37"/>
        <v>0</v>
      </c>
      <c r="GM57">
        <f t="shared" si="38"/>
        <v>44484.22</v>
      </c>
      <c r="GN57">
        <f t="shared" si="39"/>
        <v>0</v>
      </c>
      <c r="GO57">
        <f t="shared" si="40"/>
        <v>0</v>
      </c>
      <c r="GP57">
        <f t="shared" si="41"/>
        <v>0</v>
      </c>
      <c r="GR57">
        <v>1</v>
      </c>
      <c r="GS57">
        <v>1</v>
      </c>
      <c r="GT57">
        <v>0</v>
      </c>
      <c r="GU57" t="s">
        <v>3</v>
      </c>
      <c r="GV57">
        <f t="shared" si="42"/>
        <v>0</v>
      </c>
      <c r="GW57">
        <v>1</v>
      </c>
      <c r="GX57">
        <f t="shared" si="43"/>
        <v>0</v>
      </c>
      <c r="HA57">
        <v>0</v>
      </c>
      <c r="HB57">
        <v>0</v>
      </c>
      <c r="HC57">
        <f t="shared" si="44"/>
        <v>0</v>
      </c>
      <c r="HE57" t="s">
        <v>35</v>
      </c>
      <c r="HF57" t="s">
        <v>36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2">
      <c r="A58" s="2">
        <v>17</v>
      </c>
      <c r="B58" s="2">
        <v>1</v>
      </c>
      <c r="C58" s="2">
        <f>ROW(SmtRes!A50)</f>
        <v>50</v>
      </c>
      <c r="D58" s="2">
        <f>ROW(EtalonRes!A63)</f>
        <v>63</v>
      </c>
      <c r="E58" s="2" t="s">
        <v>94</v>
      </c>
      <c r="F58" s="2" t="s">
        <v>87</v>
      </c>
      <c r="G58" s="2" t="s">
        <v>88</v>
      </c>
      <c r="H58" s="2" t="s">
        <v>39</v>
      </c>
      <c r="I58" s="2">
        <v>3</v>
      </c>
      <c r="J58" s="2">
        <v>0</v>
      </c>
      <c r="K58" s="2">
        <v>3</v>
      </c>
      <c r="L58" s="2"/>
      <c r="M58" s="2"/>
      <c r="N58" s="2"/>
      <c r="O58" s="2">
        <f t="shared" si="21"/>
        <v>112.88</v>
      </c>
      <c r="P58" s="2">
        <f>ROUND((ROUND((AC58*AW58*I58),2)*BC58),2)</f>
        <v>0</v>
      </c>
      <c r="Q58" s="2">
        <f>(ROUND((ROUND((((ET58*1.1))*AV58*I58),2)*BB58),2)+ROUND((ROUND(((AE58-((EU58*1.1)))*AV58*I58),2)*BS58),2))</f>
        <v>31.75</v>
      </c>
      <c r="R58" s="2">
        <f>(ROUND((ROUND((((EU58*1.1))*AV58*I58),2)*BS58),2)+ROUND((ROUND(((AE58-((EU58*1.1)))*AV58*I58),2)*BS58),2))</f>
        <v>3.49</v>
      </c>
      <c r="S58" s="2">
        <f t="shared" si="22"/>
        <v>81.13</v>
      </c>
      <c r="T58" s="2">
        <f t="shared" si="23"/>
        <v>0</v>
      </c>
      <c r="U58" s="2">
        <f t="shared" si="24"/>
        <v>7.2557100000000005</v>
      </c>
      <c r="V58" s="2">
        <f t="shared" si="25"/>
        <v>0</v>
      </c>
      <c r="W58" s="2">
        <f t="shared" si="26"/>
        <v>0</v>
      </c>
      <c r="X58" s="2">
        <f>(ROUND((((S58+ROUND((ROUND((((EU58*1.1))*AV58*I58),2)*BS58),2))*AT58)/100),2)+ROUND(((ROUND((ROUND(((AE58-((EU58*1.1)))*AV58*I58),2)*BS58),2)*AT58)/100),2))</f>
        <v>76.16</v>
      </c>
      <c r="Y58" s="2">
        <f>(ROUND((((S58+ROUND((ROUND((((EU58*1.1))*AV58*I58),2)*BS58),2))*AU58)/100),2)+ROUND(((ROUND((ROUND(((AE58-((EU58*1.1)))*AV58*I58),2)*BS58),2)*AU58)/100),2))</f>
        <v>38.93</v>
      </c>
      <c r="Z58" s="2"/>
      <c r="AA58" s="2">
        <v>60258064</v>
      </c>
      <c r="AB58" s="2">
        <f t="shared" si="27"/>
        <v>35.936999999999998</v>
      </c>
      <c r="AC58" s="2">
        <f t="shared" si="28"/>
        <v>0</v>
      </c>
      <c r="AD58" s="2">
        <f>ROUND(((((ET58*1.1))-((EU58*1.1)))+AE58),6)</f>
        <v>10.109</v>
      </c>
      <c r="AE58" s="2">
        <f>ROUND(((EU58*1.1)),6)</f>
        <v>1.111</v>
      </c>
      <c r="AF58" s="2">
        <f>ROUND(((EV58*1.1)),6)</f>
        <v>25.827999999999999</v>
      </c>
      <c r="AG58" s="2">
        <f t="shared" si="29"/>
        <v>0</v>
      </c>
      <c r="AH58" s="2">
        <f>((EW58*1.1))</f>
        <v>2.3100000000000005</v>
      </c>
      <c r="AI58" s="2">
        <f>((EX58*1.1))</f>
        <v>0</v>
      </c>
      <c r="AJ58" s="2">
        <f t="shared" si="30"/>
        <v>0</v>
      </c>
      <c r="AK58" s="2">
        <v>32.67</v>
      </c>
      <c r="AL58" s="2">
        <v>0</v>
      </c>
      <c r="AM58" s="2">
        <v>9.19</v>
      </c>
      <c r="AN58" s="2">
        <v>1.01</v>
      </c>
      <c r="AO58" s="2">
        <v>23.48</v>
      </c>
      <c r="AP58" s="2">
        <v>0</v>
      </c>
      <c r="AQ58" s="2">
        <v>2.1</v>
      </c>
      <c r="AR58" s="2">
        <v>0</v>
      </c>
      <c r="AS58" s="2">
        <v>0</v>
      </c>
      <c r="AT58" s="2">
        <v>90</v>
      </c>
      <c r="AU58" s="2">
        <v>46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2</v>
      </c>
      <c r="BJ58" s="2" t="s">
        <v>89</v>
      </c>
      <c r="BK58" s="2"/>
      <c r="BL58" s="2"/>
      <c r="BM58" s="2">
        <v>68</v>
      </c>
      <c r="BN58" s="2">
        <v>58973116</v>
      </c>
      <c r="BO58" s="2" t="s">
        <v>87</v>
      </c>
      <c r="BP58" s="2">
        <v>1</v>
      </c>
      <c r="BQ58" s="2">
        <v>40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90</v>
      </c>
      <c r="CA58" s="2">
        <v>46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377</v>
      </c>
      <c r="CO58" s="2">
        <v>0</v>
      </c>
      <c r="CP58" s="2">
        <f t="shared" si="31"/>
        <v>112.88</v>
      </c>
      <c r="CQ58" s="2">
        <f>ROUND((ROUND((AC58*AW58*1),2)*BC58),2)</f>
        <v>0</v>
      </c>
      <c r="CR58" s="2">
        <f>(ROUND((ROUND((((ET58*1.1))*AV58*1),2)*BB58),2)+ROUND((ROUND(((AE58-((EU58*1.1)))*AV58*1),2)*BS58),2))</f>
        <v>10.58</v>
      </c>
      <c r="CS58" s="2">
        <f>(ROUND((ROUND((((EU58*1.1))*AV58*1),2)*BS58),2)+ROUND((ROUND(((AE58-((EU58*1.1)))*AV58*1),2)*BS58),2))</f>
        <v>1.1599999999999999</v>
      </c>
      <c r="CT58" s="2">
        <f t="shared" si="32"/>
        <v>27.04</v>
      </c>
      <c r="CU58" s="2">
        <f t="shared" si="33"/>
        <v>0</v>
      </c>
      <c r="CV58" s="2">
        <f t="shared" si="34"/>
        <v>2.4185700000000003</v>
      </c>
      <c r="CW58" s="2">
        <f t="shared" si="35"/>
        <v>0</v>
      </c>
      <c r="CX58" s="2">
        <f t="shared" si="36"/>
        <v>0</v>
      </c>
      <c r="CY58" s="2">
        <f>(ROUND((((S58+ROUND((ROUND((((EU58*1.1))*AV58*1),2)*BS58),2))*AT58)/100),2)+ROUND(((ROUND((ROUND(((AE58-((EU58*1.1)))*AV58*1),2)*BS58),2)*AT58)/100),2))</f>
        <v>74.06</v>
      </c>
      <c r="CZ58" s="2">
        <f>(ROUND((((S58+ROUND((ROUND((((EU58*1.1))*AV58*1),2)*BS58),2))*AU58)/100),2)+ROUND(((ROUND((ROUND(((AE58-((EU58*1.1)))*AV58*1),2)*BS58),2)*AU58)/100),2))</f>
        <v>37.85</v>
      </c>
      <c r="DA58" s="2"/>
      <c r="DB58" s="2">
        <v>13</v>
      </c>
      <c r="DC58" s="2" t="s">
        <v>3</v>
      </c>
      <c r="DD58" s="2" t="s">
        <v>3</v>
      </c>
      <c r="DE58" s="2" t="s">
        <v>23</v>
      </c>
      <c r="DF58" s="2" t="s">
        <v>23</v>
      </c>
      <c r="DG58" s="2" t="s">
        <v>23</v>
      </c>
      <c r="DH58" s="2" t="s">
        <v>3</v>
      </c>
      <c r="DI58" s="2" t="s">
        <v>23</v>
      </c>
      <c r="DJ58" s="2" t="s">
        <v>23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39</v>
      </c>
      <c r="DW58" s="2" t="s">
        <v>39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60088532</v>
      </c>
      <c r="EF58" s="2">
        <v>40</v>
      </c>
      <c r="EG58" s="2" t="s">
        <v>24</v>
      </c>
      <c r="EH58" s="2">
        <v>0</v>
      </c>
      <c r="EI58" s="2" t="s">
        <v>3</v>
      </c>
      <c r="EJ58" s="2">
        <v>2</v>
      </c>
      <c r="EK58" s="2">
        <v>68</v>
      </c>
      <c r="EL58" s="2" t="s">
        <v>25</v>
      </c>
      <c r="EM58" s="2" t="s">
        <v>26</v>
      </c>
      <c r="EN58" s="2"/>
      <c r="EO58" s="2" t="s">
        <v>27</v>
      </c>
      <c r="EP58" s="2"/>
      <c r="EQ58" s="2">
        <v>0</v>
      </c>
      <c r="ER58" s="2">
        <v>32.67</v>
      </c>
      <c r="ES58" s="2">
        <v>0</v>
      </c>
      <c r="ET58" s="2">
        <v>9.19</v>
      </c>
      <c r="EU58" s="2">
        <v>1.01</v>
      </c>
      <c r="EV58" s="2">
        <v>23.48</v>
      </c>
      <c r="EW58" s="2">
        <v>2.1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90</v>
      </c>
      <c r="FY58" s="2">
        <v>46</v>
      </c>
      <c r="FZ58" s="2"/>
      <c r="GA58" s="2" t="s">
        <v>3</v>
      </c>
      <c r="GB58" s="2"/>
      <c r="GC58" s="2"/>
      <c r="GD58" s="2">
        <v>1</v>
      </c>
      <c r="GE58" s="2"/>
      <c r="GF58" s="2">
        <v>329085480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37"/>
        <v>0</v>
      </c>
      <c r="GM58" s="2">
        <f t="shared" si="38"/>
        <v>227.97</v>
      </c>
      <c r="GN58" s="2">
        <f t="shared" si="39"/>
        <v>0</v>
      </c>
      <c r="GO58" s="2">
        <f t="shared" si="40"/>
        <v>227.97</v>
      </c>
      <c r="GP58" s="2">
        <f t="shared" si="41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42"/>
        <v>0</v>
      </c>
      <c r="GW58" s="2">
        <v>1</v>
      </c>
      <c r="GX58" s="2">
        <f t="shared" si="43"/>
        <v>0</v>
      </c>
      <c r="GY58" s="2"/>
      <c r="GZ58" s="2"/>
      <c r="HA58" s="2">
        <v>0</v>
      </c>
      <c r="HB58" s="2">
        <v>0</v>
      </c>
      <c r="HC58" s="2">
        <f t="shared" si="44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>
        <v>17</v>
      </c>
      <c r="B59">
        <v>1</v>
      </c>
      <c r="C59">
        <f>ROW(SmtRes!A52)</f>
        <v>52</v>
      </c>
      <c r="D59">
        <f>ROW(EtalonRes!A66)</f>
        <v>66</v>
      </c>
      <c r="E59" t="s">
        <v>94</v>
      </c>
      <c r="F59" t="s">
        <v>87</v>
      </c>
      <c r="G59" t="s">
        <v>88</v>
      </c>
      <c r="H59" t="s">
        <v>39</v>
      </c>
      <c r="I59">
        <v>3</v>
      </c>
      <c r="J59">
        <v>0</v>
      </c>
      <c r="K59">
        <v>3</v>
      </c>
      <c r="O59">
        <f t="shared" si="21"/>
        <v>4951.88</v>
      </c>
      <c r="P59">
        <f>ROUND((ROUND((AC59*AW59*I59),2)*BC59),2)</f>
        <v>0</v>
      </c>
      <c r="Q59">
        <f>(ROUND((ROUND((((ET59*1.1))*AV59*I59),2)*BB59),2)+ROUND((ROUND(((AE59-((EU59*1.1)))*AV59*I59),2)*BS59),2))</f>
        <v>490.54</v>
      </c>
      <c r="R59">
        <f>(ROUND((ROUND((((EU59*1.1))*AV59*I59),2)*BS59),2)+ROUND((ROUND(((AE59-((EU59*1.1)))*AV59*I59),2)*BS59),2))</f>
        <v>191.92</v>
      </c>
      <c r="S59">
        <f t="shared" si="22"/>
        <v>4461.34</v>
      </c>
      <c r="T59">
        <f t="shared" si="23"/>
        <v>0</v>
      </c>
      <c r="U59">
        <f t="shared" si="24"/>
        <v>7.2557100000000005</v>
      </c>
      <c r="V59">
        <f t="shared" si="25"/>
        <v>0</v>
      </c>
      <c r="W59">
        <f t="shared" si="26"/>
        <v>0</v>
      </c>
      <c r="X59">
        <f>(ROUND((((S59+ROUND((ROUND((((EU59*1.1))*AV59*I59),2)*BS59),2))*AT59)/100),2)+ROUND(((ROUND((ROUND(((AE59-((EU59*1.1)))*AV59*I59),2)*BS59),2)*AT59)/100),2))</f>
        <v>4187.93</v>
      </c>
      <c r="Y59">
        <f>(ROUND((((S59+ROUND((ROUND((((EU59*1.1))*AV59*I59),2)*BS59),2))*AU59)/100),2)+ROUND(((ROUND((ROUND(((AE59-((EU59*1.1)))*AV59*I59),2)*BS59),2)*AU59)/100),2))</f>
        <v>2140.5</v>
      </c>
      <c r="AA59">
        <v>60258061</v>
      </c>
      <c r="AB59">
        <f t="shared" si="27"/>
        <v>35.936999999999998</v>
      </c>
      <c r="AC59">
        <f t="shared" si="28"/>
        <v>0</v>
      </c>
      <c r="AD59">
        <f>ROUND(((((ET59*1.1))-((EU59*1.1)))+AE59),6)</f>
        <v>10.109</v>
      </c>
      <c r="AE59">
        <f>ROUND(((EU59*1.1)),6)</f>
        <v>1.111</v>
      </c>
      <c r="AF59">
        <f>ROUND(((EV59*1.1)),6)</f>
        <v>25.827999999999999</v>
      </c>
      <c r="AG59">
        <f t="shared" si="29"/>
        <v>0</v>
      </c>
      <c r="AH59">
        <f>((EW59*1.1))</f>
        <v>2.3100000000000005</v>
      </c>
      <c r="AI59">
        <f>((EX59*1.1))</f>
        <v>0</v>
      </c>
      <c r="AJ59">
        <f t="shared" si="30"/>
        <v>0</v>
      </c>
      <c r="AK59">
        <v>32.67</v>
      </c>
      <c r="AL59">
        <v>0</v>
      </c>
      <c r="AM59">
        <v>9.19</v>
      </c>
      <c r="AN59">
        <v>1.01</v>
      </c>
      <c r="AO59">
        <v>23.48</v>
      </c>
      <c r="AP59">
        <v>0</v>
      </c>
      <c r="AQ59">
        <v>2.1</v>
      </c>
      <c r="AR59">
        <v>0</v>
      </c>
      <c r="AS59">
        <v>0</v>
      </c>
      <c r="AT59">
        <v>90</v>
      </c>
      <c r="AU59">
        <v>46</v>
      </c>
      <c r="AV59">
        <v>1.0469999999999999</v>
      </c>
      <c r="AW59">
        <v>1</v>
      </c>
      <c r="AZ59">
        <v>1</v>
      </c>
      <c r="BA59">
        <v>54.99</v>
      </c>
      <c r="BB59">
        <v>15.45</v>
      </c>
      <c r="BC59">
        <v>1</v>
      </c>
      <c r="BD59" t="s">
        <v>3</v>
      </c>
      <c r="BE59" t="s">
        <v>3</v>
      </c>
      <c r="BF59" t="s">
        <v>3</v>
      </c>
      <c r="BG59" t="s">
        <v>3</v>
      </c>
      <c r="BH59">
        <v>0</v>
      </c>
      <c r="BI59">
        <v>2</v>
      </c>
      <c r="BJ59" t="s">
        <v>89</v>
      </c>
      <c r="BM59">
        <v>68</v>
      </c>
      <c r="BN59">
        <v>58973116</v>
      </c>
      <c r="BO59" t="s">
        <v>87</v>
      </c>
      <c r="BP59">
        <v>1</v>
      </c>
      <c r="BQ59">
        <v>40</v>
      </c>
      <c r="BR59">
        <v>0</v>
      </c>
      <c r="BS59">
        <v>54.99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90</v>
      </c>
      <c r="CA59">
        <v>46</v>
      </c>
      <c r="CB59" t="s">
        <v>3</v>
      </c>
      <c r="CE59">
        <v>1566</v>
      </c>
      <c r="CF59">
        <v>0</v>
      </c>
      <c r="CG59">
        <v>0</v>
      </c>
      <c r="CM59">
        <v>0</v>
      </c>
      <c r="CN59" t="s">
        <v>377</v>
      </c>
      <c r="CO59">
        <v>0</v>
      </c>
      <c r="CP59">
        <f t="shared" si="31"/>
        <v>4951.88</v>
      </c>
      <c r="CQ59">
        <f>ROUND((ROUND((AC59*AW59*1),2)*BC59),2)</f>
        <v>0</v>
      </c>
      <c r="CR59">
        <f>(ROUND((ROUND((((ET59*1.1))*AV59*1),2)*BB59),2)+ROUND((ROUND(((AE59-((EU59*1.1)))*AV59*1),2)*BS59),2))</f>
        <v>163.46</v>
      </c>
      <c r="CS59">
        <f>(ROUND((ROUND((((EU59*1.1))*AV59*1),2)*BS59),2)+ROUND((ROUND(((AE59-((EU59*1.1)))*AV59*1),2)*BS59),2))</f>
        <v>63.79</v>
      </c>
      <c r="CT59">
        <f t="shared" si="32"/>
        <v>1486.93</v>
      </c>
      <c r="CU59">
        <f t="shared" si="33"/>
        <v>0</v>
      </c>
      <c r="CV59">
        <f t="shared" si="34"/>
        <v>2.4185700000000003</v>
      </c>
      <c r="CW59">
        <f t="shared" si="35"/>
        <v>0</v>
      </c>
      <c r="CX59">
        <f t="shared" si="36"/>
        <v>0</v>
      </c>
      <c r="CY59">
        <f>(ROUND((((S59+ROUND((ROUND((((EU59*1.1))*AV59*1),2)*BS59),2))*AT59)/100),2)+ROUND(((ROUND((ROUND(((AE59-((EU59*1.1)))*AV59*1),2)*BS59),2)*AT59)/100),2))</f>
        <v>4072.62</v>
      </c>
      <c r="CZ59">
        <f>(ROUND((((S59+ROUND((ROUND((((EU59*1.1))*AV59*1),2)*BS59),2))*AU59)/100),2)+ROUND(((ROUND((ROUND(((AE59-((EU59*1.1)))*AV59*1),2)*BS59),2)*AU59)/100),2))</f>
        <v>2081.56</v>
      </c>
      <c r="DB59">
        <v>14</v>
      </c>
      <c r="DC59" t="s">
        <v>3</v>
      </c>
      <c r="DD59" t="s">
        <v>3</v>
      </c>
      <c r="DE59" t="s">
        <v>23</v>
      </c>
      <c r="DF59" t="s">
        <v>23</v>
      </c>
      <c r="DG59" t="s">
        <v>23</v>
      </c>
      <c r="DH59" t="s">
        <v>3</v>
      </c>
      <c r="DI59" t="s">
        <v>23</v>
      </c>
      <c r="DJ59" t="s">
        <v>23</v>
      </c>
      <c r="DK59" t="s">
        <v>3</v>
      </c>
      <c r="DL59" t="s">
        <v>3</v>
      </c>
      <c r="DM59" t="s">
        <v>3</v>
      </c>
      <c r="DN59">
        <v>0</v>
      </c>
      <c r="DO59">
        <v>0</v>
      </c>
      <c r="DP59">
        <v>1</v>
      </c>
      <c r="DQ59">
        <v>1</v>
      </c>
      <c r="DU59">
        <v>1013</v>
      </c>
      <c r="DV59" t="s">
        <v>39</v>
      </c>
      <c r="DW59" t="s">
        <v>39</v>
      </c>
      <c r="DX59">
        <v>1</v>
      </c>
      <c r="DZ59" t="s">
        <v>3</v>
      </c>
      <c r="EA59" t="s">
        <v>3</v>
      </c>
      <c r="EB59" t="s">
        <v>3</v>
      </c>
      <c r="EC59" t="s">
        <v>3</v>
      </c>
      <c r="EE59">
        <v>60088532</v>
      </c>
      <c r="EF59">
        <v>40</v>
      </c>
      <c r="EG59" t="s">
        <v>24</v>
      </c>
      <c r="EH59">
        <v>0</v>
      </c>
      <c r="EI59" t="s">
        <v>3</v>
      </c>
      <c r="EJ59">
        <v>2</v>
      </c>
      <c r="EK59">
        <v>68</v>
      </c>
      <c r="EL59" t="s">
        <v>25</v>
      </c>
      <c r="EM59" t="s">
        <v>26</v>
      </c>
      <c r="EO59" t="s">
        <v>27</v>
      </c>
      <c r="EQ59">
        <v>0</v>
      </c>
      <c r="ER59">
        <v>32.67</v>
      </c>
      <c r="ES59">
        <v>0</v>
      </c>
      <c r="ET59">
        <v>9.19</v>
      </c>
      <c r="EU59">
        <v>1.01</v>
      </c>
      <c r="EV59">
        <v>23.48</v>
      </c>
      <c r="EW59">
        <v>2.1</v>
      </c>
      <c r="EX59">
        <v>0</v>
      </c>
      <c r="EY59">
        <v>0</v>
      </c>
      <c r="FQ59">
        <v>0</v>
      </c>
      <c r="FR59">
        <v>0</v>
      </c>
      <c r="FS59">
        <v>0</v>
      </c>
      <c r="FX59">
        <v>90</v>
      </c>
      <c r="FY59">
        <v>46</v>
      </c>
      <c r="GA59" t="s">
        <v>3</v>
      </c>
      <c r="GD59">
        <v>1</v>
      </c>
      <c r="GF59">
        <v>329085480</v>
      </c>
      <c r="GG59">
        <v>2</v>
      </c>
      <c r="GH59">
        <v>1</v>
      </c>
      <c r="GI59">
        <v>2</v>
      </c>
      <c r="GJ59">
        <v>0</v>
      </c>
      <c r="GK59">
        <v>0</v>
      </c>
      <c r="GL59">
        <f t="shared" si="37"/>
        <v>0</v>
      </c>
      <c r="GM59">
        <f t="shared" si="38"/>
        <v>11280.31</v>
      </c>
      <c r="GN59">
        <f t="shared" si="39"/>
        <v>0</v>
      </c>
      <c r="GO59">
        <f t="shared" si="40"/>
        <v>11280.31</v>
      </c>
      <c r="GP59">
        <f t="shared" si="41"/>
        <v>0</v>
      </c>
      <c r="GR59">
        <v>0</v>
      </c>
      <c r="GS59">
        <v>3</v>
      </c>
      <c r="GT59">
        <v>0</v>
      </c>
      <c r="GU59" t="s">
        <v>3</v>
      </c>
      <c r="GV59">
        <f t="shared" si="42"/>
        <v>0</v>
      </c>
      <c r="GW59">
        <v>1</v>
      </c>
      <c r="GX59">
        <f t="shared" si="43"/>
        <v>0</v>
      </c>
      <c r="HA59">
        <v>0</v>
      </c>
      <c r="HB59">
        <v>0</v>
      </c>
      <c r="HC59">
        <f t="shared" si="44"/>
        <v>0</v>
      </c>
      <c r="HE59" t="s">
        <v>3</v>
      </c>
      <c r="HF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0" spans="1:255" x14ac:dyDescent="0.2">
      <c r="A60" s="2">
        <v>17</v>
      </c>
      <c r="B60" s="2">
        <v>1</v>
      </c>
      <c r="C60" s="2"/>
      <c r="D60" s="2"/>
      <c r="E60" s="2" t="s">
        <v>95</v>
      </c>
      <c r="F60" s="2" t="s">
        <v>96</v>
      </c>
      <c r="G60" s="2" t="s">
        <v>97</v>
      </c>
      <c r="H60" s="2" t="s">
        <v>30</v>
      </c>
      <c r="I60" s="2">
        <v>3</v>
      </c>
      <c r="J60" s="2">
        <v>0</v>
      </c>
      <c r="K60" s="2">
        <v>3</v>
      </c>
      <c r="L60" s="2"/>
      <c r="M60" s="2"/>
      <c r="N60" s="2"/>
      <c r="O60" s="2">
        <f t="shared" ref="O60:O77" si="63">ROUND(CP60,2)</f>
        <v>17130.54</v>
      </c>
      <c r="P60" s="2">
        <f>ROUND((ROUND((AC60*I60),2)*BC60),2)</f>
        <v>17130.54</v>
      </c>
      <c r="Q60" s="2">
        <f>(ROUND((ROUND(((ET60)*AV60*I60),2)*BB60),2)+ROUND((ROUND(((AE60-(EU60))*AV60*I60),2)*BS60),2))</f>
        <v>0</v>
      </c>
      <c r="R60" s="2">
        <f>(ROUND((ROUND(((EU60)*AV60*I60),2)*BS60),2)+ROUND((ROUND(((AE60-(EU60))*AV60*I60),2)*BS60),2))</f>
        <v>0</v>
      </c>
      <c r="S60" s="2">
        <f t="shared" ref="S60:S77" si="64">ROUND((ROUND((AF60*AV60*I60),2)*BA60),2)</f>
        <v>0</v>
      </c>
      <c r="T60" s="2">
        <f t="shared" ref="T60:T77" si="65">ROUND(CU60*I60,2)</f>
        <v>0</v>
      </c>
      <c r="U60" s="2">
        <f t="shared" ref="U60:U77" si="66">CV60*I60</f>
        <v>0</v>
      </c>
      <c r="V60" s="2">
        <f t="shared" ref="V60:V77" si="67">CW60*I60</f>
        <v>0</v>
      </c>
      <c r="W60" s="2">
        <f t="shared" ref="W60:W77" si="68">ROUND(CX60*I60,2)</f>
        <v>0</v>
      </c>
      <c r="X60" s="2">
        <f>(ROUND((((S60+ROUND((ROUND(((EU60)*AV60*I60),2)*BS60),2))*AT60)/100),2)+ROUND(((ROUND((ROUND(((AE60-(EU60))*AV60*I60),2)*BS60),2)*AT60)/100),2))</f>
        <v>0</v>
      </c>
      <c r="Y60" s="2">
        <f>(ROUND((((S60+ROUND((ROUND(((EU60)*AV60*I60),2)*BS60),2))*AU60)/100),2)+ROUND(((ROUND((ROUND(((AE60-(EU60))*AV60*I60),2)*BS60),2)*AU60)/100),2))</f>
        <v>0</v>
      </c>
      <c r="Z60" s="2"/>
      <c r="AA60" s="2">
        <v>60258064</v>
      </c>
      <c r="AB60" s="2">
        <f t="shared" ref="AB60:AB77" si="69">ROUND((AC60+AD60+AF60),6)</f>
        <v>5710.18</v>
      </c>
      <c r="AC60" s="2">
        <f t="shared" ref="AC60:AC77" si="70">ROUND((ES60),6)</f>
        <v>5710.18</v>
      </c>
      <c r="AD60" s="2">
        <f>ROUND((((ET60)-(EU60))+AE60),6)</f>
        <v>0</v>
      </c>
      <c r="AE60" s="2">
        <f>ROUND((EU60),6)</f>
        <v>0</v>
      </c>
      <c r="AF60" s="2">
        <f>ROUND((EV60),6)</f>
        <v>0</v>
      </c>
      <c r="AG60" s="2">
        <f t="shared" ref="AG60:AG77" si="71">ROUND((AP60),6)</f>
        <v>0</v>
      </c>
      <c r="AH60" s="2">
        <f>(EW60)</f>
        <v>0</v>
      </c>
      <c r="AI60" s="2">
        <f>(EX60)</f>
        <v>0</v>
      </c>
      <c r="AJ60" s="2">
        <f t="shared" ref="AJ60:AJ77" si="72">(AS60)</f>
        <v>0</v>
      </c>
      <c r="AK60" s="2">
        <v>5710.18</v>
      </c>
      <c r="AL60" s="2">
        <v>5710.18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3</v>
      </c>
      <c r="BJ60" s="2" t="s">
        <v>3</v>
      </c>
      <c r="BK60" s="2"/>
      <c r="BL60" s="2"/>
      <c r="BM60" s="2">
        <v>746</v>
      </c>
      <c r="BN60" s="2">
        <v>0</v>
      </c>
      <c r="BO60" s="2" t="s">
        <v>3</v>
      </c>
      <c r="BP60" s="2">
        <v>0</v>
      </c>
      <c r="BQ60" s="2">
        <v>130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0</v>
      </c>
      <c r="CA60" s="2">
        <v>0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</v>
      </c>
      <c r="CO60" s="2">
        <v>0</v>
      </c>
      <c r="CP60" s="2">
        <f t="shared" ref="CP60:CP77" si="73">(P60+Q60+S60)</f>
        <v>17130.54</v>
      </c>
      <c r="CQ60" s="2">
        <f>ROUND((ROUND((AC60*1),2)*BC60),2)</f>
        <v>5710.18</v>
      </c>
      <c r="CR60" s="2">
        <f>(ROUND((ROUND(((ET60)*AV60*1),2)*BB60),2)+ROUND((ROUND(((AE60-(EU60))*AV60*1),2)*BS60),2))</f>
        <v>0</v>
      </c>
      <c r="CS60" s="2">
        <f>(ROUND((ROUND(((EU60)*AV60*1),2)*BS60),2)+ROUND((ROUND(((AE60-(EU60))*AV60*1),2)*BS60),2))</f>
        <v>0</v>
      </c>
      <c r="CT60" s="2">
        <f t="shared" ref="CT60:CT77" si="74">ROUND((ROUND((AF60*AV60*1),2)*BA60),2)</f>
        <v>0</v>
      </c>
      <c r="CU60" s="2">
        <f t="shared" ref="CU60:CU77" si="75">AG60</f>
        <v>0</v>
      </c>
      <c r="CV60" s="2">
        <f t="shared" ref="CV60:CV77" si="76">(AH60*AV60)</f>
        <v>0</v>
      </c>
      <c r="CW60" s="2">
        <f t="shared" ref="CW60:CW77" si="77">AI60</f>
        <v>0</v>
      </c>
      <c r="CX60" s="2">
        <f t="shared" ref="CX60:CX77" si="78">AJ60</f>
        <v>0</v>
      </c>
      <c r="CY60" s="2">
        <f>(ROUND((((S60+ROUND((ROUND(((EU60)*AV60*1),2)*BS60),2))*AT60)/100),2)+ROUND(((ROUND((ROUND(((AE60-(EU60))*AV60*1),2)*BS60),2)*AT60)/100),2))</f>
        <v>0</v>
      </c>
      <c r="CZ60" s="2">
        <f>(ROUND((((S60+ROUND((ROUND(((EU60)*AV60*1),2)*BS60),2))*AU60)/100),2)+ROUND(((ROUND((ROUND(((AE60-(EU60))*AV60*1),2)*BS60),2)*AU60)/100),2))</f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1013</v>
      </c>
      <c r="DV60" s="2" t="s">
        <v>30</v>
      </c>
      <c r="DW60" s="2" t="s">
        <v>30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60088638</v>
      </c>
      <c r="EF60" s="2">
        <v>130</v>
      </c>
      <c r="EG60" s="2" t="s">
        <v>31</v>
      </c>
      <c r="EH60" s="2">
        <v>0</v>
      </c>
      <c r="EI60" s="2" t="s">
        <v>3</v>
      </c>
      <c r="EJ60" s="2">
        <v>3</v>
      </c>
      <c r="EK60" s="2">
        <v>746</v>
      </c>
      <c r="EL60" s="2" t="s">
        <v>32</v>
      </c>
      <c r="EM60" s="2" t="s">
        <v>33</v>
      </c>
      <c r="EN60" s="2"/>
      <c r="EO60" s="2" t="s">
        <v>3</v>
      </c>
      <c r="EP60" s="2"/>
      <c r="EQ60" s="2">
        <v>0</v>
      </c>
      <c r="ER60" s="2">
        <v>0</v>
      </c>
      <c r="ES60" s="2">
        <v>5710.18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f>P60</f>
        <v>17130.54</v>
      </c>
      <c r="FS60" s="2">
        <v>0</v>
      </c>
      <c r="FT60" s="2"/>
      <c r="FU60" s="2"/>
      <c r="FV60" s="2"/>
      <c r="FW60" s="2"/>
      <c r="FX60" s="2">
        <v>0</v>
      </c>
      <c r="FY60" s="2">
        <v>0</v>
      </c>
      <c r="FZ60" s="2"/>
      <c r="GA60" s="2" t="s">
        <v>98</v>
      </c>
      <c r="GB60" s="2"/>
      <c r="GC60" s="2"/>
      <c r="GD60" s="2">
        <v>1</v>
      </c>
      <c r="GE60" s="2"/>
      <c r="GF60" s="2">
        <v>1629149040</v>
      </c>
      <c r="GG60" s="2">
        <v>2</v>
      </c>
      <c r="GH60" s="2">
        <v>4</v>
      </c>
      <c r="GI60" s="2">
        <v>-2</v>
      </c>
      <c r="GJ60" s="2">
        <v>0</v>
      </c>
      <c r="GK60" s="2">
        <v>0</v>
      </c>
      <c r="GL60" s="2">
        <f t="shared" ref="GL60:GL77" si="79">ROUND(IF(AND(BH60=3,BI60=3,FS60&lt;&gt;0),P60,0),2)</f>
        <v>0</v>
      </c>
      <c r="GM60" s="2">
        <f t="shared" ref="GM60:GM77" si="80">ROUND(O60+X60+Y60,2)+GX60</f>
        <v>17130.54</v>
      </c>
      <c r="GN60" s="2">
        <f t="shared" ref="GN60:GN77" si="81">IF(OR(BI60=0,BI60=1),GM60-GX60,0)</f>
        <v>0</v>
      </c>
      <c r="GO60" s="2">
        <f t="shared" ref="GO60:GO77" si="82">IF(BI60=2,GM60-GX60,0)</f>
        <v>0</v>
      </c>
      <c r="GP60" s="2">
        <f t="shared" ref="GP60:GP77" si="83">IF(BI60=4,GM60-GX60,0)</f>
        <v>0</v>
      </c>
      <c r="GQ60" s="2"/>
      <c r="GR60" s="2">
        <v>0</v>
      </c>
      <c r="GS60" s="2">
        <v>2</v>
      </c>
      <c r="GT60" s="2">
        <v>0</v>
      </c>
      <c r="GU60" s="2" t="s">
        <v>3</v>
      </c>
      <c r="GV60" s="2">
        <f t="shared" ref="GV60:GV77" si="84">ROUND((GT60),6)</f>
        <v>0</v>
      </c>
      <c r="GW60" s="2">
        <v>1</v>
      </c>
      <c r="GX60" s="2">
        <f t="shared" ref="GX60:GX77" si="85">ROUND(HC60*I60,2)</f>
        <v>0</v>
      </c>
      <c r="GY60" s="2"/>
      <c r="GZ60" s="2"/>
      <c r="HA60" s="2">
        <v>0</v>
      </c>
      <c r="HB60" s="2">
        <v>0</v>
      </c>
      <c r="HC60" s="2">
        <f t="shared" ref="HC60:HC77" si="86">GV60*GW60</f>
        <v>0</v>
      </c>
      <c r="HD60" s="2"/>
      <c r="HE60" s="2" t="s">
        <v>35</v>
      </c>
      <c r="HF60" s="2" t="s">
        <v>36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>
        <v>17</v>
      </c>
      <c r="B61">
        <v>1</v>
      </c>
      <c r="E61" t="s">
        <v>95</v>
      </c>
      <c r="F61" t="s">
        <v>96</v>
      </c>
      <c r="G61" t="s">
        <v>97</v>
      </c>
      <c r="H61" t="s">
        <v>30</v>
      </c>
      <c r="I61">
        <v>3</v>
      </c>
      <c r="J61">
        <v>0</v>
      </c>
      <c r="K61">
        <v>3</v>
      </c>
      <c r="O61">
        <f t="shared" si="63"/>
        <v>131219.94</v>
      </c>
      <c r="P61">
        <f>ROUND((ROUND((AC61*I61),2)*BC61),2)</f>
        <v>131219.94</v>
      </c>
      <c r="Q61">
        <f>(ROUND((ROUND(((ET61)*AV61*I61),2)*BB61),2)+ROUND((ROUND(((AE61-(EU61))*AV61*I61),2)*BS61),2))</f>
        <v>0</v>
      </c>
      <c r="R61">
        <f>(ROUND((ROUND(((EU61)*AV61*I61),2)*BS61),2)+ROUND((ROUND(((AE61-(EU61))*AV61*I61),2)*BS61),2))</f>
        <v>0</v>
      </c>
      <c r="S61">
        <f t="shared" si="64"/>
        <v>0</v>
      </c>
      <c r="T61">
        <f t="shared" si="65"/>
        <v>0</v>
      </c>
      <c r="U61">
        <f t="shared" si="66"/>
        <v>0</v>
      </c>
      <c r="V61">
        <f t="shared" si="67"/>
        <v>0</v>
      </c>
      <c r="W61">
        <f t="shared" si="68"/>
        <v>0</v>
      </c>
      <c r="X61">
        <f>(ROUND((((S61+ROUND((ROUND(((EU61)*AV61*I61),2)*BS61),2))*AT61)/100),2)+ROUND(((ROUND((ROUND(((AE61-(EU61))*AV61*I61),2)*BS61),2)*AT61)/100),2))</f>
        <v>0</v>
      </c>
      <c r="Y61">
        <f>(ROUND((((S61+ROUND((ROUND(((EU61)*AV61*I61),2)*BS61),2))*AU61)/100),2)+ROUND(((ROUND((ROUND(((AE61-(EU61))*AV61*I61),2)*BS61),2)*AU61)/100),2))</f>
        <v>0</v>
      </c>
      <c r="AA61">
        <v>60258061</v>
      </c>
      <c r="AB61">
        <f t="shared" si="69"/>
        <v>5710.18</v>
      </c>
      <c r="AC61">
        <f t="shared" si="70"/>
        <v>5710.18</v>
      </c>
      <c r="AD61">
        <f>ROUND((((ET61)-(EU61))+AE61),6)</f>
        <v>0</v>
      </c>
      <c r="AE61">
        <f>ROUND((EU61),6)</f>
        <v>0</v>
      </c>
      <c r="AF61">
        <f>ROUND((EV61),6)</f>
        <v>0</v>
      </c>
      <c r="AG61">
        <f t="shared" si="71"/>
        <v>0</v>
      </c>
      <c r="AH61">
        <f>(EW61)</f>
        <v>0</v>
      </c>
      <c r="AI61">
        <f>(EX61)</f>
        <v>0</v>
      </c>
      <c r="AJ61">
        <f t="shared" si="72"/>
        <v>0</v>
      </c>
      <c r="AK61">
        <v>5710.18</v>
      </c>
      <c r="AL61">
        <v>5710.18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1</v>
      </c>
      <c r="AZ61">
        <v>1</v>
      </c>
      <c r="BA61">
        <v>1</v>
      </c>
      <c r="BB61">
        <v>1</v>
      </c>
      <c r="BC61">
        <v>7.66</v>
      </c>
      <c r="BD61" t="s">
        <v>3</v>
      </c>
      <c r="BE61" t="s">
        <v>3</v>
      </c>
      <c r="BF61" t="s">
        <v>3</v>
      </c>
      <c r="BG61" t="s">
        <v>3</v>
      </c>
      <c r="BH61">
        <v>3</v>
      </c>
      <c r="BI61">
        <v>3</v>
      </c>
      <c r="BJ61" t="s">
        <v>3</v>
      </c>
      <c r="BM61">
        <v>746</v>
      </c>
      <c r="BN61">
        <v>0</v>
      </c>
      <c r="BO61" t="s">
        <v>3</v>
      </c>
      <c r="BP61">
        <v>0</v>
      </c>
      <c r="BQ61">
        <v>130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 t="s">
        <v>3</v>
      </c>
      <c r="BZ61">
        <v>0</v>
      </c>
      <c r="CA61">
        <v>0</v>
      </c>
      <c r="CB61" t="s">
        <v>3</v>
      </c>
      <c r="CE61">
        <v>1566</v>
      </c>
      <c r="CF61">
        <v>0</v>
      </c>
      <c r="CG61">
        <v>0</v>
      </c>
      <c r="CM61">
        <v>0</v>
      </c>
      <c r="CN61" t="s">
        <v>3</v>
      </c>
      <c r="CO61">
        <v>0</v>
      </c>
      <c r="CP61">
        <f t="shared" si="73"/>
        <v>131219.94</v>
      </c>
      <c r="CQ61">
        <f>ROUND((ROUND((AC61*1),2)*BC61),2)</f>
        <v>43739.98</v>
      </c>
      <c r="CR61">
        <f>(ROUND((ROUND(((ET61)*AV61*1),2)*BB61),2)+ROUND((ROUND(((AE61-(EU61))*AV61*1),2)*BS61),2))</f>
        <v>0</v>
      </c>
      <c r="CS61">
        <f>(ROUND((ROUND(((EU61)*AV61*1),2)*BS61),2)+ROUND((ROUND(((AE61-(EU61))*AV61*1),2)*BS61),2))</f>
        <v>0</v>
      </c>
      <c r="CT61">
        <f t="shared" si="74"/>
        <v>0</v>
      </c>
      <c r="CU61">
        <f t="shared" si="75"/>
        <v>0</v>
      </c>
      <c r="CV61">
        <f t="shared" si="76"/>
        <v>0</v>
      </c>
      <c r="CW61">
        <f t="shared" si="77"/>
        <v>0</v>
      </c>
      <c r="CX61">
        <f t="shared" si="78"/>
        <v>0</v>
      </c>
      <c r="CY61">
        <f>(ROUND((((S61+ROUND((ROUND(((EU61)*AV61*1),2)*BS61),2))*AT61)/100),2)+ROUND(((ROUND((ROUND(((AE61-(EU61))*AV61*1),2)*BS61),2)*AT61)/100),2))</f>
        <v>0</v>
      </c>
      <c r="CZ61">
        <f>(ROUND((((S61+ROUND((ROUND(((EU61)*AV61*1),2)*BS61),2))*AU61)/100),2)+ROUND(((ROUND((ROUND(((AE61-(EU61))*AV61*1),2)*BS61),2)*AU61)/100),2))</f>
        <v>0</v>
      </c>
      <c r="DC61" t="s">
        <v>3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  <c r="DN61">
        <v>0</v>
      </c>
      <c r="DO61">
        <v>0</v>
      </c>
      <c r="DP61">
        <v>1</v>
      </c>
      <c r="DQ61">
        <v>1</v>
      </c>
      <c r="DU61">
        <v>1013</v>
      </c>
      <c r="DV61" t="s">
        <v>30</v>
      </c>
      <c r="DW61" t="s">
        <v>30</v>
      </c>
      <c r="DX61">
        <v>1</v>
      </c>
      <c r="DZ61" t="s">
        <v>3</v>
      </c>
      <c r="EA61" t="s">
        <v>3</v>
      </c>
      <c r="EB61" t="s">
        <v>3</v>
      </c>
      <c r="EC61" t="s">
        <v>3</v>
      </c>
      <c r="EE61">
        <v>60088638</v>
      </c>
      <c r="EF61">
        <v>130</v>
      </c>
      <c r="EG61" t="s">
        <v>31</v>
      </c>
      <c r="EH61">
        <v>0</v>
      </c>
      <c r="EI61" t="s">
        <v>3</v>
      </c>
      <c r="EJ61">
        <v>3</v>
      </c>
      <c r="EK61">
        <v>746</v>
      </c>
      <c r="EL61" t="s">
        <v>32</v>
      </c>
      <c r="EM61" t="s">
        <v>33</v>
      </c>
      <c r="EO61" t="s">
        <v>3</v>
      </c>
      <c r="EQ61">
        <v>0</v>
      </c>
      <c r="ER61">
        <v>0</v>
      </c>
      <c r="ES61">
        <v>5710.18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5</v>
      </c>
      <c r="FC61">
        <v>1</v>
      </c>
      <c r="FD61">
        <v>18</v>
      </c>
      <c r="FF61">
        <v>50355</v>
      </c>
      <c r="FQ61">
        <v>0</v>
      </c>
      <c r="FR61">
        <f>P61</f>
        <v>131219.94</v>
      </c>
      <c r="FS61">
        <v>0</v>
      </c>
      <c r="FX61">
        <v>0</v>
      </c>
      <c r="FY61">
        <v>0</v>
      </c>
      <c r="GA61" t="s">
        <v>98</v>
      </c>
      <c r="GD61">
        <v>1</v>
      </c>
      <c r="GF61">
        <v>1629149040</v>
      </c>
      <c r="GG61">
        <v>2</v>
      </c>
      <c r="GH61">
        <v>3</v>
      </c>
      <c r="GI61">
        <v>5</v>
      </c>
      <c r="GJ61">
        <v>0</v>
      </c>
      <c r="GK61">
        <v>0</v>
      </c>
      <c r="GL61">
        <f t="shared" si="79"/>
        <v>0</v>
      </c>
      <c r="GM61">
        <f t="shared" si="80"/>
        <v>131219.94</v>
      </c>
      <c r="GN61">
        <f t="shared" si="81"/>
        <v>0</v>
      </c>
      <c r="GO61">
        <f t="shared" si="82"/>
        <v>0</v>
      </c>
      <c r="GP61">
        <f t="shared" si="83"/>
        <v>0</v>
      </c>
      <c r="GR61">
        <v>1</v>
      </c>
      <c r="GS61">
        <v>1</v>
      </c>
      <c r="GT61">
        <v>0</v>
      </c>
      <c r="GU61" t="s">
        <v>3</v>
      </c>
      <c r="GV61">
        <f t="shared" si="84"/>
        <v>0</v>
      </c>
      <c r="GW61">
        <v>1</v>
      </c>
      <c r="GX61">
        <f t="shared" si="85"/>
        <v>0</v>
      </c>
      <c r="HA61">
        <v>0</v>
      </c>
      <c r="HB61">
        <v>0</v>
      </c>
      <c r="HC61">
        <f t="shared" si="86"/>
        <v>0</v>
      </c>
      <c r="HE61" t="s">
        <v>35</v>
      </c>
      <c r="HF61" t="s">
        <v>36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S61">
        <v>0</v>
      </c>
      <c r="IK61">
        <v>0</v>
      </c>
    </row>
    <row r="62" spans="1:255" x14ac:dyDescent="0.2">
      <c r="A62" s="2">
        <v>17</v>
      </c>
      <c r="B62" s="2">
        <v>1</v>
      </c>
      <c r="C62" s="2">
        <f>ROW(SmtRes!A57)</f>
        <v>57</v>
      </c>
      <c r="D62" s="2">
        <f>ROW(EtalonRes!A72)</f>
        <v>72</v>
      </c>
      <c r="E62" s="2" t="s">
        <v>99</v>
      </c>
      <c r="F62" s="2" t="s">
        <v>100</v>
      </c>
      <c r="G62" s="2" t="s">
        <v>101</v>
      </c>
      <c r="H62" s="2" t="s">
        <v>39</v>
      </c>
      <c r="I62" s="2">
        <v>4</v>
      </c>
      <c r="J62" s="2">
        <v>0</v>
      </c>
      <c r="K62" s="2">
        <v>4</v>
      </c>
      <c r="L62" s="2"/>
      <c r="M62" s="2"/>
      <c r="N62" s="2"/>
      <c r="O62" s="2">
        <f t="shared" si="63"/>
        <v>508.43</v>
      </c>
      <c r="P62" s="2">
        <f>ROUND((ROUND((AC62*AW62*I62),2)*BC62),2)</f>
        <v>96.4</v>
      </c>
      <c r="Q62" s="2">
        <f>(ROUND((ROUND((((ET62*1.1))*AV62*I62),2)*BB62),2)+ROUND((ROUND(((AE62-((EU62*1.1)))*AV62*I62),2)*BS62),2))</f>
        <v>0</v>
      </c>
      <c r="R62" s="2">
        <f>(ROUND((ROUND((((EU62*1.1))*AV62*I62),2)*BS62),2)+ROUND((ROUND(((AE62-((EU62*1.1)))*AV62*I62),2)*BS62),2))</f>
        <v>0</v>
      </c>
      <c r="S62" s="2">
        <f t="shared" si="64"/>
        <v>412.03</v>
      </c>
      <c r="T62" s="2">
        <f t="shared" si="65"/>
        <v>0</v>
      </c>
      <c r="U62" s="2">
        <f t="shared" si="66"/>
        <v>36.854399999999998</v>
      </c>
      <c r="V62" s="2">
        <f t="shared" si="67"/>
        <v>0</v>
      </c>
      <c r="W62" s="2">
        <f t="shared" si="68"/>
        <v>0</v>
      </c>
      <c r="X62" s="2">
        <f>(ROUND((((S62+ROUND((ROUND((((EU62*1.1))*AV62*I62),2)*BS62),2))*AT62)/100),2)+ROUND(((ROUND((ROUND(((AE62-((EU62*1.1)))*AV62*I62),2)*BS62),2)*AT62)/100),2))</f>
        <v>391.43</v>
      </c>
      <c r="Y62" s="2">
        <f>(ROUND((((S62+ROUND((ROUND((((EU62*1.1))*AV62*I62),2)*BS62),2))*AU62)/100),2)+ROUND(((ROUND((ROUND(((AE62-((EU62*1.1)))*AV62*I62),2)*BS62),2)*AU62)/100),2))</f>
        <v>218.38</v>
      </c>
      <c r="Z62" s="2"/>
      <c r="AA62" s="2">
        <v>60258064</v>
      </c>
      <c r="AB62" s="2">
        <f t="shared" si="69"/>
        <v>122.48399999999999</v>
      </c>
      <c r="AC62" s="2">
        <f t="shared" si="70"/>
        <v>24.1</v>
      </c>
      <c r="AD62" s="2">
        <f>ROUND(((((ET62*1.1))-((EU62*1.1)))+AE62),6)</f>
        <v>0</v>
      </c>
      <c r="AE62" s="2">
        <f>ROUND(((EU62*1.1)),6)</f>
        <v>0</v>
      </c>
      <c r="AF62" s="2">
        <f>ROUND(((EV62*1.1)),6)</f>
        <v>98.384</v>
      </c>
      <c r="AG62" s="2">
        <f t="shared" si="71"/>
        <v>0</v>
      </c>
      <c r="AH62" s="2">
        <f>((EW62*1.1))</f>
        <v>8.8000000000000007</v>
      </c>
      <c r="AI62" s="2">
        <f>((EX62*1.1))</f>
        <v>0</v>
      </c>
      <c r="AJ62" s="2">
        <f t="shared" si="72"/>
        <v>0</v>
      </c>
      <c r="AK62" s="2">
        <v>113.54</v>
      </c>
      <c r="AL62" s="2">
        <v>24.1</v>
      </c>
      <c r="AM62" s="2">
        <v>0</v>
      </c>
      <c r="AN62" s="2">
        <v>0</v>
      </c>
      <c r="AO62" s="2">
        <v>89.44</v>
      </c>
      <c r="AP62" s="2">
        <v>0</v>
      </c>
      <c r="AQ62" s="2">
        <v>8</v>
      </c>
      <c r="AR62" s="2">
        <v>0</v>
      </c>
      <c r="AS62" s="2">
        <v>0</v>
      </c>
      <c r="AT62" s="2">
        <v>95</v>
      </c>
      <c r="AU62" s="2">
        <v>53</v>
      </c>
      <c r="AV62" s="2">
        <v>1.0469999999999999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2</v>
      </c>
      <c r="BJ62" s="2" t="s">
        <v>102</v>
      </c>
      <c r="BK62" s="2"/>
      <c r="BL62" s="2"/>
      <c r="BM62" s="2">
        <v>69</v>
      </c>
      <c r="BN62" s="2">
        <v>58973116</v>
      </c>
      <c r="BO62" s="2" t="s">
        <v>100</v>
      </c>
      <c r="BP62" s="2">
        <v>1</v>
      </c>
      <c r="BQ62" s="2">
        <v>40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95</v>
      </c>
      <c r="CA62" s="2">
        <v>53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377</v>
      </c>
      <c r="CO62" s="2">
        <v>0</v>
      </c>
      <c r="CP62" s="2">
        <f t="shared" si="73"/>
        <v>508.42999999999995</v>
      </c>
      <c r="CQ62" s="2">
        <f>ROUND((ROUND((AC62*AW62*1),2)*BC62),2)</f>
        <v>24.1</v>
      </c>
      <c r="CR62" s="2">
        <f>(ROUND((ROUND((((ET62*1.1))*AV62*1),2)*BB62),2)+ROUND((ROUND(((AE62-((EU62*1.1)))*AV62*1),2)*BS62),2))</f>
        <v>0</v>
      </c>
      <c r="CS62" s="2">
        <f>(ROUND((ROUND((((EU62*1.1))*AV62*1),2)*BS62),2)+ROUND((ROUND(((AE62-((EU62*1.1)))*AV62*1),2)*BS62),2))</f>
        <v>0</v>
      </c>
      <c r="CT62" s="2">
        <f t="shared" si="74"/>
        <v>103.01</v>
      </c>
      <c r="CU62" s="2">
        <f t="shared" si="75"/>
        <v>0</v>
      </c>
      <c r="CV62" s="2">
        <f t="shared" si="76"/>
        <v>9.2135999999999996</v>
      </c>
      <c r="CW62" s="2">
        <f t="shared" si="77"/>
        <v>0</v>
      </c>
      <c r="CX62" s="2">
        <f t="shared" si="78"/>
        <v>0</v>
      </c>
      <c r="CY62" s="2">
        <f>(ROUND((((S62+ROUND((ROUND((((EU62*1.1))*AV62*1),2)*BS62),2))*AT62)/100),2)+ROUND(((ROUND((ROUND(((AE62-((EU62*1.1)))*AV62*1),2)*BS62),2)*AT62)/100),2))</f>
        <v>391.43</v>
      </c>
      <c r="CZ62" s="2">
        <f>(ROUND((((S62+ROUND((ROUND((((EU62*1.1))*AV62*1),2)*BS62),2))*AU62)/100),2)+ROUND(((ROUND((ROUND(((AE62-((EU62*1.1)))*AV62*1),2)*BS62),2)*AU62)/100),2))</f>
        <v>218.38</v>
      </c>
      <c r="DA62" s="2"/>
      <c r="DB62" s="2">
        <v>15</v>
      </c>
      <c r="DC62" s="2" t="s">
        <v>3</v>
      </c>
      <c r="DD62" s="2" t="s">
        <v>3</v>
      </c>
      <c r="DE62" s="2" t="s">
        <v>23</v>
      </c>
      <c r="DF62" s="2" t="s">
        <v>23</v>
      </c>
      <c r="DG62" s="2" t="s">
        <v>23</v>
      </c>
      <c r="DH62" s="2" t="s">
        <v>3</v>
      </c>
      <c r="DI62" s="2" t="s">
        <v>23</v>
      </c>
      <c r="DJ62" s="2" t="s">
        <v>23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1013</v>
      </c>
      <c r="DV62" s="2" t="s">
        <v>39</v>
      </c>
      <c r="DW62" s="2" t="s">
        <v>39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60088533</v>
      </c>
      <c r="EF62" s="2">
        <v>40</v>
      </c>
      <c r="EG62" s="2" t="s">
        <v>24</v>
      </c>
      <c r="EH62" s="2">
        <v>0</v>
      </c>
      <c r="EI62" s="2" t="s">
        <v>3</v>
      </c>
      <c r="EJ62" s="2">
        <v>2</v>
      </c>
      <c r="EK62" s="2">
        <v>69</v>
      </c>
      <c r="EL62" s="2" t="s">
        <v>41</v>
      </c>
      <c r="EM62" s="2" t="s">
        <v>42</v>
      </c>
      <c r="EN62" s="2"/>
      <c r="EO62" s="2" t="s">
        <v>27</v>
      </c>
      <c r="EP62" s="2"/>
      <c r="EQ62" s="2">
        <v>0</v>
      </c>
      <c r="ER62" s="2">
        <v>113.54</v>
      </c>
      <c r="ES62" s="2">
        <v>24.1</v>
      </c>
      <c r="ET62" s="2">
        <v>0</v>
      </c>
      <c r="EU62" s="2">
        <v>0</v>
      </c>
      <c r="EV62" s="2">
        <v>89.44</v>
      </c>
      <c r="EW62" s="2">
        <v>8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95</v>
      </c>
      <c r="FY62" s="2">
        <v>53</v>
      </c>
      <c r="FZ62" s="2"/>
      <c r="GA62" s="2" t="s">
        <v>3</v>
      </c>
      <c r="GB62" s="2"/>
      <c r="GC62" s="2"/>
      <c r="GD62" s="2">
        <v>1</v>
      </c>
      <c r="GE62" s="2"/>
      <c r="GF62" s="2">
        <v>-1490315940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79"/>
        <v>0</v>
      </c>
      <c r="GM62" s="2">
        <f t="shared" si="80"/>
        <v>1118.24</v>
      </c>
      <c r="GN62" s="2">
        <f t="shared" si="81"/>
        <v>0</v>
      </c>
      <c r="GO62" s="2">
        <f t="shared" si="82"/>
        <v>1118.24</v>
      </c>
      <c r="GP62" s="2">
        <f t="shared" si="83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84"/>
        <v>0</v>
      </c>
      <c r="GW62" s="2">
        <v>1</v>
      </c>
      <c r="GX62" s="2">
        <f t="shared" si="85"/>
        <v>0</v>
      </c>
      <c r="GY62" s="2"/>
      <c r="GZ62" s="2"/>
      <c r="HA62" s="2">
        <v>0</v>
      </c>
      <c r="HB62" s="2">
        <v>0</v>
      </c>
      <c r="HC62" s="2">
        <f t="shared" si="86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>
        <v>17</v>
      </c>
      <c r="B63">
        <v>1</v>
      </c>
      <c r="C63">
        <f>ROW(SmtRes!A62)</f>
        <v>62</v>
      </c>
      <c r="D63">
        <f>ROW(EtalonRes!A78)</f>
        <v>78</v>
      </c>
      <c r="E63" t="s">
        <v>99</v>
      </c>
      <c r="F63" t="s">
        <v>100</v>
      </c>
      <c r="G63" t="s">
        <v>101</v>
      </c>
      <c r="H63" t="s">
        <v>39</v>
      </c>
      <c r="I63">
        <v>4</v>
      </c>
      <c r="J63">
        <v>0</v>
      </c>
      <c r="K63">
        <v>4</v>
      </c>
      <c r="O63">
        <f t="shared" si="63"/>
        <v>23434.51</v>
      </c>
      <c r="P63">
        <f>ROUND((ROUND((AC63*AW63*I63),2)*BC63),2)</f>
        <v>776.98</v>
      </c>
      <c r="Q63">
        <f>(ROUND((ROUND((((ET63*1.1))*AV63*I63),2)*BB63),2)+ROUND((ROUND(((AE63-((EU63*1.1)))*AV63*I63),2)*BS63),2))</f>
        <v>0</v>
      </c>
      <c r="R63">
        <f>(ROUND((ROUND((((EU63*1.1))*AV63*I63),2)*BS63),2)+ROUND((ROUND(((AE63-((EU63*1.1)))*AV63*I63),2)*BS63),2))</f>
        <v>0</v>
      </c>
      <c r="S63">
        <f t="shared" si="64"/>
        <v>22657.53</v>
      </c>
      <c r="T63">
        <f t="shared" si="65"/>
        <v>0</v>
      </c>
      <c r="U63">
        <f t="shared" si="66"/>
        <v>36.854399999999998</v>
      </c>
      <c r="V63">
        <f t="shared" si="67"/>
        <v>0</v>
      </c>
      <c r="W63">
        <f t="shared" si="68"/>
        <v>0</v>
      </c>
      <c r="X63">
        <f>(ROUND((((S63+ROUND((ROUND((((EU63*1.1))*AV63*I63),2)*BS63),2))*AT63)/100),2)+ROUND(((ROUND((ROUND(((AE63-((EU63*1.1)))*AV63*I63),2)*BS63),2)*AT63)/100),2))</f>
        <v>21524.65</v>
      </c>
      <c r="Y63">
        <f>(ROUND((((S63+ROUND((ROUND((((EU63*1.1))*AV63*I63),2)*BS63),2))*AU63)/100),2)+ROUND(((ROUND((ROUND(((AE63-((EU63*1.1)))*AV63*I63),2)*BS63),2)*AU63)/100),2))</f>
        <v>12008.49</v>
      </c>
      <c r="AA63">
        <v>60258061</v>
      </c>
      <c r="AB63">
        <f t="shared" si="69"/>
        <v>122.48399999999999</v>
      </c>
      <c r="AC63">
        <f t="shared" si="70"/>
        <v>24.1</v>
      </c>
      <c r="AD63">
        <f>ROUND(((((ET63*1.1))-((EU63*1.1)))+AE63),6)</f>
        <v>0</v>
      </c>
      <c r="AE63">
        <f>ROUND(((EU63*1.1)),6)</f>
        <v>0</v>
      </c>
      <c r="AF63">
        <f>ROUND(((EV63*1.1)),6)</f>
        <v>98.384</v>
      </c>
      <c r="AG63">
        <f t="shared" si="71"/>
        <v>0</v>
      </c>
      <c r="AH63">
        <f>((EW63*1.1))</f>
        <v>8.8000000000000007</v>
      </c>
      <c r="AI63">
        <f>((EX63*1.1))</f>
        <v>0</v>
      </c>
      <c r="AJ63">
        <f t="shared" si="72"/>
        <v>0</v>
      </c>
      <c r="AK63">
        <v>113.54</v>
      </c>
      <c r="AL63">
        <v>24.1</v>
      </c>
      <c r="AM63">
        <v>0</v>
      </c>
      <c r="AN63">
        <v>0</v>
      </c>
      <c r="AO63">
        <v>89.44</v>
      </c>
      <c r="AP63">
        <v>0</v>
      </c>
      <c r="AQ63">
        <v>8</v>
      </c>
      <c r="AR63">
        <v>0</v>
      </c>
      <c r="AS63">
        <v>0</v>
      </c>
      <c r="AT63">
        <v>95</v>
      </c>
      <c r="AU63">
        <v>53</v>
      </c>
      <c r="AV63">
        <v>1.0469999999999999</v>
      </c>
      <c r="AW63">
        <v>1</v>
      </c>
      <c r="AZ63">
        <v>1</v>
      </c>
      <c r="BA63">
        <v>54.99</v>
      </c>
      <c r="BB63">
        <v>1</v>
      </c>
      <c r="BC63">
        <v>8.06</v>
      </c>
      <c r="BD63" t="s">
        <v>3</v>
      </c>
      <c r="BE63" t="s">
        <v>3</v>
      </c>
      <c r="BF63" t="s">
        <v>3</v>
      </c>
      <c r="BG63" t="s">
        <v>3</v>
      </c>
      <c r="BH63">
        <v>0</v>
      </c>
      <c r="BI63">
        <v>2</v>
      </c>
      <c r="BJ63" t="s">
        <v>102</v>
      </c>
      <c r="BM63">
        <v>69</v>
      </c>
      <c r="BN63">
        <v>58973116</v>
      </c>
      <c r="BO63" t="s">
        <v>100</v>
      </c>
      <c r="BP63">
        <v>1</v>
      </c>
      <c r="BQ63">
        <v>40</v>
      </c>
      <c r="BR63">
        <v>0</v>
      </c>
      <c r="BS63">
        <v>54.99</v>
      </c>
      <c r="BT63">
        <v>1</v>
      </c>
      <c r="BU63">
        <v>1</v>
      </c>
      <c r="BV63">
        <v>1</v>
      </c>
      <c r="BW63">
        <v>1</v>
      </c>
      <c r="BX63">
        <v>1</v>
      </c>
      <c r="BY63" t="s">
        <v>3</v>
      </c>
      <c r="BZ63">
        <v>95</v>
      </c>
      <c r="CA63">
        <v>53</v>
      </c>
      <c r="CB63" t="s">
        <v>3</v>
      </c>
      <c r="CE63">
        <v>1566</v>
      </c>
      <c r="CF63">
        <v>0</v>
      </c>
      <c r="CG63">
        <v>0</v>
      </c>
      <c r="CM63">
        <v>0</v>
      </c>
      <c r="CN63" t="s">
        <v>377</v>
      </c>
      <c r="CO63">
        <v>0</v>
      </c>
      <c r="CP63">
        <f t="shared" si="73"/>
        <v>23434.51</v>
      </c>
      <c r="CQ63">
        <f>ROUND((ROUND((AC63*AW63*1),2)*BC63),2)</f>
        <v>194.25</v>
      </c>
      <c r="CR63">
        <f>(ROUND((ROUND((((ET63*1.1))*AV63*1),2)*BB63),2)+ROUND((ROUND(((AE63-((EU63*1.1)))*AV63*1),2)*BS63),2))</f>
        <v>0</v>
      </c>
      <c r="CS63">
        <f>(ROUND((ROUND((((EU63*1.1))*AV63*1),2)*BS63),2)+ROUND((ROUND(((AE63-((EU63*1.1)))*AV63*1),2)*BS63),2))</f>
        <v>0</v>
      </c>
      <c r="CT63">
        <f t="shared" si="74"/>
        <v>5664.52</v>
      </c>
      <c r="CU63">
        <f t="shared" si="75"/>
        <v>0</v>
      </c>
      <c r="CV63">
        <f t="shared" si="76"/>
        <v>9.2135999999999996</v>
      </c>
      <c r="CW63">
        <f t="shared" si="77"/>
        <v>0</v>
      </c>
      <c r="CX63">
        <f t="shared" si="78"/>
        <v>0</v>
      </c>
      <c r="CY63">
        <f>(ROUND((((S63+ROUND((ROUND((((EU63*1.1))*AV63*1),2)*BS63),2))*AT63)/100),2)+ROUND(((ROUND((ROUND(((AE63-((EU63*1.1)))*AV63*1),2)*BS63),2)*AT63)/100),2))</f>
        <v>21524.65</v>
      </c>
      <c r="CZ63">
        <f>(ROUND((((S63+ROUND((ROUND((((EU63*1.1))*AV63*1),2)*BS63),2))*AU63)/100),2)+ROUND(((ROUND((ROUND(((AE63-((EU63*1.1)))*AV63*1),2)*BS63),2)*AU63)/100),2))</f>
        <v>12008.49</v>
      </c>
      <c r="DB63">
        <v>16</v>
      </c>
      <c r="DC63" t="s">
        <v>3</v>
      </c>
      <c r="DD63" t="s">
        <v>3</v>
      </c>
      <c r="DE63" t="s">
        <v>23</v>
      </c>
      <c r="DF63" t="s">
        <v>23</v>
      </c>
      <c r="DG63" t="s">
        <v>23</v>
      </c>
      <c r="DH63" t="s">
        <v>3</v>
      </c>
      <c r="DI63" t="s">
        <v>23</v>
      </c>
      <c r="DJ63" t="s">
        <v>23</v>
      </c>
      <c r="DK63" t="s">
        <v>3</v>
      </c>
      <c r="DL63" t="s">
        <v>3</v>
      </c>
      <c r="DM63" t="s">
        <v>3</v>
      </c>
      <c r="DN63">
        <v>0</v>
      </c>
      <c r="DO63">
        <v>0</v>
      </c>
      <c r="DP63">
        <v>1</v>
      </c>
      <c r="DQ63">
        <v>1</v>
      </c>
      <c r="DU63">
        <v>1013</v>
      </c>
      <c r="DV63" t="s">
        <v>39</v>
      </c>
      <c r="DW63" t="s">
        <v>39</v>
      </c>
      <c r="DX63">
        <v>1</v>
      </c>
      <c r="DZ63" t="s">
        <v>3</v>
      </c>
      <c r="EA63" t="s">
        <v>3</v>
      </c>
      <c r="EB63" t="s">
        <v>3</v>
      </c>
      <c r="EC63" t="s">
        <v>3</v>
      </c>
      <c r="EE63">
        <v>60088533</v>
      </c>
      <c r="EF63">
        <v>40</v>
      </c>
      <c r="EG63" t="s">
        <v>24</v>
      </c>
      <c r="EH63">
        <v>0</v>
      </c>
      <c r="EI63" t="s">
        <v>3</v>
      </c>
      <c r="EJ63">
        <v>2</v>
      </c>
      <c r="EK63">
        <v>69</v>
      </c>
      <c r="EL63" t="s">
        <v>41</v>
      </c>
      <c r="EM63" t="s">
        <v>42</v>
      </c>
      <c r="EO63" t="s">
        <v>27</v>
      </c>
      <c r="EQ63">
        <v>0</v>
      </c>
      <c r="ER63">
        <v>113.54</v>
      </c>
      <c r="ES63">
        <v>24.1</v>
      </c>
      <c r="ET63">
        <v>0</v>
      </c>
      <c r="EU63">
        <v>0</v>
      </c>
      <c r="EV63">
        <v>89.44</v>
      </c>
      <c r="EW63">
        <v>8</v>
      </c>
      <c r="EX63">
        <v>0</v>
      </c>
      <c r="EY63">
        <v>0</v>
      </c>
      <c r="FQ63">
        <v>0</v>
      </c>
      <c r="FR63">
        <v>0</v>
      </c>
      <c r="FS63">
        <v>0</v>
      </c>
      <c r="FX63">
        <v>95</v>
      </c>
      <c r="FY63">
        <v>53</v>
      </c>
      <c r="GA63" t="s">
        <v>3</v>
      </c>
      <c r="GD63">
        <v>1</v>
      </c>
      <c r="GF63">
        <v>-1490315940</v>
      </c>
      <c r="GG63">
        <v>2</v>
      </c>
      <c r="GH63">
        <v>1</v>
      </c>
      <c r="GI63">
        <v>2</v>
      </c>
      <c r="GJ63">
        <v>0</v>
      </c>
      <c r="GK63">
        <v>0</v>
      </c>
      <c r="GL63">
        <f t="shared" si="79"/>
        <v>0</v>
      </c>
      <c r="GM63">
        <f t="shared" si="80"/>
        <v>56967.65</v>
      </c>
      <c r="GN63">
        <f t="shared" si="81"/>
        <v>0</v>
      </c>
      <c r="GO63">
        <f t="shared" si="82"/>
        <v>56967.65</v>
      </c>
      <c r="GP63">
        <f t="shared" si="83"/>
        <v>0</v>
      </c>
      <c r="GR63">
        <v>0</v>
      </c>
      <c r="GS63">
        <v>3</v>
      </c>
      <c r="GT63">
        <v>0</v>
      </c>
      <c r="GU63" t="s">
        <v>3</v>
      </c>
      <c r="GV63">
        <f t="shared" si="84"/>
        <v>0</v>
      </c>
      <c r="GW63">
        <v>1</v>
      </c>
      <c r="GX63">
        <f t="shared" si="85"/>
        <v>0</v>
      </c>
      <c r="HA63">
        <v>0</v>
      </c>
      <c r="HB63">
        <v>0</v>
      </c>
      <c r="HC63">
        <f t="shared" si="86"/>
        <v>0</v>
      </c>
      <c r="HE63" t="s">
        <v>3</v>
      </c>
      <c r="HF63" t="s">
        <v>3</v>
      </c>
      <c r="HM63" t="s">
        <v>3</v>
      </c>
      <c r="HN63" t="s">
        <v>3</v>
      </c>
      <c r="HO63" t="s">
        <v>3</v>
      </c>
      <c r="HP63" t="s">
        <v>3</v>
      </c>
      <c r="HQ63" t="s">
        <v>3</v>
      </c>
      <c r="HS63">
        <v>0</v>
      </c>
      <c r="IK63">
        <v>0</v>
      </c>
    </row>
    <row r="64" spans="1:255" x14ac:dyDescent="0.2">
      <c r="A64" s="2">
        <v>17</v>
      </c>
      <c r="B64" s="2">
        <v>1</v>
      </c>
      <c r="C64" s="2"/>
      <c r="D64" s="2"/>
      <c r="E64" s="2" t="s">
        <v>103</v>
      </c>
      <c r="F64" s="2" t="s">
        <v>104</v>
      </c>
      <c r="G64" s="2" t="s">
        <v>105</v>
      </c>
      <c r="H64" s="2" t="s">
        <v>30</v>
      </c>
      <c r="I64" s="2">
        <v>4</v>
      </c>
      <c r="J64" s="2">
        <v>0</v>
      </c>
      <c r="K64" s="2">
        <v>4</v>
      </c>
      <c r="L64" s="2"/>
      <c r="M64" s="2"/>
      <c r="N64" s="2"/>
      <c r="O64" s="2">
        <f t="shared" si="63"/>
        <v>481.76</v>
      </c>
      <c r="P64" s="2">
        <f>ROUND((ROUND((AC64*AW64*I64),2)*BC64),2)</f>
        <v>481.76</v>
      </c>
      <c r="Q64" s="2">
        <f>(ROUND((ROUND(((ET64)*AV64*I64),2)*BB64),2)+ROUND((ROUND(((AE64-(EU64))*AV64*I64),2)*BS64),2))</f>
        <v>0</v>
      </c>
      <c r="R64" s="2">
        <f>(ROUND((ROUND(((EU64)*AV64*I64),2)*BS64),2)+ROUND((ROUND(((AE64-(EU64))*AV64*I64),2)*BS64),2))</f>
        <v>0</v>
      </c>
      <c r="S64" s="2">
        <f t="shared" si="64"/>
        <v>0</v>
      </c>
      <c r="T64" s="2">
        <f t="shared" si="65"/>
        <v>0</v>
      </c>
      <c r="U64" s="2">
        <f t="shared" si="66"/>
        <v>0</v>
      </c>
      <c r="V64" s="2">
        <f t="shared" si="67"/>
        <v>0</v>
      </c>
      <c r="W64" s="2">
        <f t="shared" si="68"/>
        <v>0</v>
      </c>
      <c r="X64" s="2">
        <f>(ROUND((((S64+ROUND((ROUND(((EU64)*AV64*I64),2)*BS64),2))*AT64)/100),2)+ROUND(((ROUND((ROUND(((AE64-(EU64))*AV64*I64),2)*BS64),2)*AT64)/100),2))</f>
        <v>0</v>
      </c>
      <c r="Y64" s="2">
        <f>(ROUND((((S64+ROUND((ROUND(((EU64)*AV64*I64),2)*BS64),2))*AU64)/100),2)+ROUND(((ROUND((ROUND(((AE64-(EU64))*AV64*I64),2)*BS64),2)*AU64)/100),2))</f>
        <v>0</v>
      </c>
      <c r="Z64" s="2"/>
      <c r="AA64" s="2">
        <v>60258064</v>
      </c>
      <c r="AB64" s="2">
        <f t="shared" si="69"/>
        <v>120.44</v>
      </c>
      <c r="AC64" s="2">
        <f t="shared" si="70"/>
        <v>120.44</v>
      </c>
      <c r="AD64" s="2">
        <f>ROUND((((ET64)-(EU64))+AE64),6)</f>
        <v>0</v>
      </c>
      <c r="AE64" s="2">
        <f t="shared" ref="AE64:AF67" si="87">ROUND((EU64),6)</f>
        <v>0</v>
      </c>
      <c r="AF64" s="2">
        <f t="shared" si="87"/>
        <v>0</v>
      </c>
      <c r="AG64" s="2">
        <f t="shared" si="71"/>
        <v>0</v>
      </c>
      <c r="AH64" s="2">
        <f t="shared" ref="AH64:AI67" si="88">(EW64)</f>
        <v>0</v>
      </c>
      <c r="AI64" s="2">
        <f t="shared" si="88"/>
        <v>0</v>
      </c>
      <c r="AJ64" s="2">
        <f t="shared" si="72"/>
        <v>0</v>
      </c>
      <c r="AK64" s="2">
        <v>120.44</v>
      </c>
      <c r="AL64" s="2">
        <v>120.44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1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3</v>
      </c>
      <c r="BI64" s="2">
        <v>2</v>
      </c>
      <c r="BJ64" s="2" t="s">
        <v>3</v>
      </c>
      <c r="BK64" s="2"/>
      <c r="BL64" s="2"/>
      <c r="BM64" s="2">
        <v>400002</v>
      </c>
      <c r="BN64" s="2">
        <v>0</v>
      </c>
      <c r="BO64" s="2" t="s">
        <v>3</v>
      </c>
      <c r="BP64" s="2">
        <v>0</v>
      </c>
      <c r="BQ64" s="2">
        <v>202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0</v>
      </c>
      <c r="CA64" s="2">
        <v>0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3</v>
      </c>
      <c r="CO64" s="2">
        <v>0</v>
      </c>
      <c r="CP64" s="2">
        <f t="shared" si="73"/>
        <v>481.76</v>
      </c>
      <c r="CQ64" s="2">
        <f>ROUND((ROUND((AC64*AW64*1),2)*BC64),2)</f>
        <v>120.44</v>
      </c>
      <c r="CR64" s="2">
        <f>(ROUND((ROUND(((ET64)*AV64*1),2)*BB64),2)+ROUND((ROUND(((AE64-(EU64))*AV64*1),2)*BS64),2))</f>
        <v>0</v>
      </c>
      <c r="CS64" s="2">
        <f>(ROUND((ROUND(((EU64)*AV64*1),2)*BS64),2)+ROUND((ROUND(((AE64-(EU64))*AV64*1),2)*BS64),2))</f>
        <v>0</v>
      </c>
      <c r="CT64" s="2">
        <f t="shared" si="74"/>
        <v>0</v>
      </c>
      <c r="CU64" s="2">
        <f t="shared" si="75"/>
        <v>0</v>
      </c>
      <c r="CV64" s="2">
        <f t="shared" si="76"/>
        <v>0</v>
      </c>
      <c r="CW64" s="2">
        <f t="shared" si="77"/>
        <v>0</v>
      </c>
      <c r="CX64" s="2">
        <f t="shared" si="78"/>
        <v>0</v>
      </c>
      <c r="CY64" s="2">
        <f>(ROUND((((S64+ROUND((ROUND(((EU64)*AV64*1),2)*BS64),2))*AT64)/100),2)+ROUND(((ROUND((ROUND(((AE64-(EU64))*AV64*1),2)*BS64),2)*AT64)/100),2))</f>
        <v>0</v>
      </c>
      <c r="CZ64" s="2">
        <f>(ROUND((((S64+ROUND((ROUND(((EU64)*AV64*1),2)*BS64),2))*AU64)/100),2)+ROUND(((ROUND((ROUND(((AE64-(EU64))*AV64*1),2)*BS64),2)*AU64)/100),2))</f>
        <v>0</v>
      </c>
      <c r="DA64" s="2"/>
      <c r="DB64" s="2"/>
      <c r="DC64" s="2" t="s">
        <v>3</v>
      </c>
      <c r="DD64" s="2" t="s">
        <v>3</v>
      </c>
      <c r="DE64" s="2" t="s">
        <v>3</v>
      </c>
      <c r="DF64" s="2" t="s">
        <v>3</v>
      </c>
      <c r="DG64" s="2" t="s">
        <v>3</v>
      </c>
      <c r="DH64" s="2" t="s">
        <v>3</v>
      </c>
      <c r="DI64" s="2" t="s">
        <v>3</v>
      </c>
      <c r="DJ64" s="2" t="s">
        <v>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1013</v>
      </c>
      <c r="DV64" s="2" t="s">
        <v>30</v>
      </c>
      <c r="DW64" s="2" t="s">
        <v>30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60088644</v>
      </c>
      <c r="EF64" s="2">
        <v>202</v>
      </c>
      <c r="EG64" s="2" t="s">
        <v>46</v>
      </c>
      <c r="EH64" s="2">
        <v>0</v>
      </c>
      <c r="EI64" s="2" t="s">
        <v>3</v>
      </c>
      <c r="EJ64" s="2">
        <v>1</v>
      </c>
      <c r="EK64" s="2">
        <v>400002</v>
      </c>
      <c r="EL64" s="2" t="s">
        <v>47</v>
      </c>
      <c r="EM64" s="2" t="s">
        <v>46</v>
      </c>
      <c r="EN64" s="2"/>
      <c r="EO64" s="2" t="s">
        <v>3</v>
      </c>
      <c r="EP64" s="2"/>
      <c r="EQ64" s="2">
        <v>0</v>
      </c>
      <c r="ER64" s="2">
        <v>0</v>
      </c>
      <c r="ES64" s="2">
        <v>120.44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0</v>
      </c>
      <c r="FY64" s="2">
        <v>0</v>
      </c>
      <c r="FZ64" s="2"/>
      <c r="GA64" s="2" t="s">
        <v>106</v>
      </c>
      <c r="GB64" s="2"/>
      <c r="GC64" s="2"/>
      <c r="GD64" s="2">
        <v>1</v>
      </c>
      <c r="GE64" s="2"/>
      <c r="GF64" s="2">
        <v>-778550206</v>
      </c>
      <c r="GG64" s="2">
        <v>2</v>
      </c>
      <c r="GH64" s="2">
        <v>4</v>
      </c>
      <c r="GI64" s="2">
        <v>-2</v>
      </c>
      <c r="GJ64" s="2">
        <v>0</v>
      </c>
      <c r="GK64" s="2">
        <v>0</v>
      </c>
      <c r="GL64" s="2">
        <f t="shared" si="79"/>
        <v>0</v>
      </c>
      <c r="GM64" s="2">
        <f t="shared" si="80"/>
        <v>481.76</v>
      </c>
      <c r="GN64" s="2">
        <f t="shared" si="81"/>
        <v>0</v>
      </c>
      <c r="GO64" s="2">
        <f t="shared" si="82"/>
        <v>481.76</v>
      </c>
      <c r="GP64" s="2">
        <f t="shared" si="83"/>
        <v>0</v>
      </c>
      <c r="GQ64" s="2"/>
      <c r="GR64" s="2">
        <v>0</v>
      </c>
      <c r="GS64" s="2">
        <v>2</v>
      </c>
      <c r="GT64" s="2">
        <v>0</v>
      </c>
      <c r="GU64" s="2" t="s">
        <v>3</v>
      </c>
      <c r="GV64" s="2">
        <f t="shared" si="84"/>
        <v>0</v>
      </c>
      <c r="GW64" s="2">
        <v>1</v>
      </c>
      <c r="GX64" s="2">
        <f t="shared" si="85"/>
        <v>0</v>
      </c>
      <c r="GY64" s="2"/>
      <c r="GZ64" s="2"/>
      <c r="HA64" s="2">
        <v>0</v>
      </c>
      <c r="HB64" s="2">
        <v>0</v>
      </c>
      <c r="HC64" s="2">
        <f t="shared" si="86"/>
        <v>0</v>
      </c>
      <c r="HD64" s="2"/>
      <c r="HE64" s="2" t="s">
        <v>49</v>
      </c>
      <c r="HF64" s="2" t="s">
        <v>28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">
      <c r="A65">
        <v>17</v>
      </c>
      <c r="B65">
        <v>1</v>
      </c>
      <c r="E65" t="s">
        <v>103</v>
      </c>
      <c r="F65" t="s">
        <v>104</v>
      </c>
      <c r="G65" t="s">
        <v>105</v>
      </c>
      <c r="H65" t="s">
        <v>30</v>
      </c>
      <c r="I65">
        <v>4</v>
      </c>
      <c r="J65">
        <v>0</v>
      </c>
      <c r="K65">
        <v>4</v>
      </c>
      <c r="O65">
        <f t="shared" si="63"/>
        <v>4759.79</v>
      </c>
      <c r="P65">
        <f>ROUND((ROUND((AC65*AW65*I65),2)*BC65),2)</f>
        <v>4759.79</v>
      </c>
      <c r="Q65">
        <f>(ROUND((ROUND(((ET65)*AV65*I65),2)*BB65),2)+ROUND((ROUND(((AE65-(EU65))*AV65*I65),2)*BS65),2))</f>
        <v>0</v>
      </c>
      <c r="R65">
        <f>(ROUND((ROUND(((EU65)*AV65*I65),2)*BS65),2)+ROUND((ROUND(((AE65-(EU65))*AV65*I65),2)*BS65),2))</f>
        <v>0</v>
      </c>
      <c r="S65">
        <f t="shared" si="64"/>
        <v>0</v>
      </c>
      <c r="T65">
        <f t="shared" si="65"/>
        <v>0</v>
      </c>
      <c r="U65">
        <f t="shared" si="66"/>
        <v>0</v>
      </c>
      <c r="V65">
        <f t="shared" si="67"/>
        <v>0</v>
      </c>
      <c r="W65">
        <f t="shared" si="68"/>
        <v>0</v>
      </c>
      <c r="X65">
        <f>(ROUND((((S65+ROUND((ROUND(((EU65)*AV65*I65),2)*BS65),2))*AT65)/100),2)+ROUND(((ROUND((ROUND(((AE65-(EU65))*AV65*I65),2)*BS65),2)*AT65)/100),2))</f>
        <v>0</v>
      </c>
      <c r="Y65">
        <f>(ROUND((((S65+ROUND((ROUND(((EU65)*AV65*I65),2)*BS65),2))*AU65)/100),2)+ROUND(((ROUND((ROUND(((AE65-(EU65))*AV65*I65),2)*BS65),2)*AU65)/100),2))</f>
        <v>0</v>
      </c>
      <c r="AA65">
        <v>60258061</v>
      </c>
      <c r="AB65">
        <f t="shared" si="69"/>
        <v>120.44</v>
      </c>
      <c r="AC65">
        <f t="shared" si="70"/>
        <v>120.44</v>
      </c>
      <c r="AD65">
        <f>ROUND((((ET65)-(EU65))+AE65),6)</f>
        <v>0</v>
      </c>
      <c r="AE65">
        <f t="shared" si="87"/>
        <v>0</v>
      </c>
      <c r="AF65">
        <f t="shared" si="87"/>
        <v>0</v>
      </c>
      <c r="AG65">
        <f t="shared" si="71"/>
        <v>0</v>
      </c>
      <c r="AH65">
        <f t="shared" si="88"/>
        <v>0</v>
      </c>
      <c r="AI65">
        <f t="shared" si="88"/>
        <v>0</v>
      </c>
      <c r="AJ65">
        <f t="shared" si="72"/>
        <v>0</v>
      </c>
      <c r="AK65">
        <v>120.44</v>
      </c>
      <c r="AL65">
        <v>120.44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1</v>
      </c>
      <c r="AZ65">
        <v>1</v>
      </c>
      <c r="BA65">
        <v>1</v>
      </c>
      <c r="BB65">
        <v>1</v>
      </c>
      <c r="BC65">
        <v>9.8800000000000008</v>
      </c>
      <c r="BD65" t="s">
        <v>3</v>
      </c>
      <c r="BE65" t="s">
        <v>3</v>
      </c>
      <c r="BF65" t="s">
        <v>3</v>
      </c>
      <c r="BG65" t="s">
        <v>3</v>
      </c>
      <c r="BH65">
        <v>3</v>
      </c>
      <c r="BI65">
        <v>2</v>
      </c>
      <c r="BJ65" t="s">
        <v>3</v>
      </c>
      <c r="BM65">
        <v>400002</v>
      </c>
      <c r="BN65">
        <v>0</v>
      </c>
      <c r="BO65" t="s">
        <v>3</v>
      </c>
      <c r="BP65">
        <v>0</v>
      </c>
      <c r="BQ65">
        <v>202</v>
      </c>
      <c r="BR65">
        <v>0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 t="s">
        <v>3</v>
      </c>
      <c r="BZ65">
        <v>0</v>
      </c>
      <c r="CA65">
        <v>0</v>
      </c>
      <c r="CB65" t="s">
        <v>3</v>
      </c>
      <c r="CE65">
        <v>1566</v>
      </c>
      <c r="CF65">
        <v>0</v>
      </c>
      <c r="CG65">
        <v>0</v>
      </c>
      <c r="CM65">
        <v>0</v>
      </c>
      <c r="CN65" t="s">
        <v>3</v>
      </c>
      <c r="CO65">
        <v>0</v>
      </c>
      <c r="CP65">
        <f t="shared" si="73"/>
        <v>4759.79</v>
      </c>
      <c r="CQ65">
        <f>ROUND((ROUND((AC65*AW65*1),2)*BC65),2)</f>
        <v>1189.95</v>
      </c>
      <c r="CR65">
        <f>(ROUND((ROUND(((ET65)*AV65*1),2)*BB65),2)+ROUND((ROUND(((AE65-(EU65))*AV65*1),2)*BS65),2))</f>
        <v>0</v>
      </c>
      <c r="CS65">
        <f>(ROUND((ROUND(((EU65)*AV65*1),2)*BS65),2)+ROUND((ROUND(((AE65-(EU65))*AV65*1),2)*BS65),2))</f>
        <v>0</v>
      </c>
      <c r="CT65">
        <f t="shared" si="74"/>
        <v>0</v>
      </c>
      <c r="CU65">
        <f t="shared" si="75"/>
        <v>0</v>
      </c>
      <c r="CV65">
        <f t="shared" si="76"/>
        <v>0</v>
      </c>
      <c r="CW65">
        <f t="shared" si="77"/>
        <v>0</v>
      </c>
      <c r="CX65">
        <f t="shared" si="78"/>
        <v>0</v>
      </c>
      <c r="CY65">
        <f>(ROUND((((S65+ROUND((ROUND(((EU65)*AV65*1),2)*BS65),2))*AT65)/100),2)+ROUND(((ROUND((ROUND(((AE65-(EU65))*AV65*1),2)*BS65),2)*AT65)/100),2))</f>
        <v>0</v>
      </c>
      <c r="CZ65">
        <f>(ROUND((((S65+ROUND((ROUND(((EU65)*AV65*1),2)*BS65),2))*AU65)/100),2)+ROUND(((ROUND((ROUND(((AE65-(EU65))*AV65*1),2)*BS65),2)*AU65)/100),2))</f>
        <v>0</v>
      </c>
      <c r="DC65" t="s">
        <v>3</v>
      </c>
      <c r="DD65" t="s">
        <v>3</v>
      </c>
      <c r="DE65" t="s">
        <v>3</v>
      </c>
      <c r="DF65" t="s">
        <v>3</v>
      </c>
      <c r="DG65" t="s">
        <v>3</v>
      </c>
      <c r="DH65" t="s">
        <v>3</v>
      </c>
      <c r="DI65" t="s">
        <v>3</v>
      </c>
      <c r="DJ65" t="s">
        <v>3</v>
      </c>
      <c r="DK65" t="s">
        <v>3</v>
      </c>
      <c r="DL65" t="s">
        <v>3</v>
      </c>
      <c r="DM65" t="s">
        <v>3</v>
      </c>
      <c r="DN65">
        <v>0</v>
      </c>
      <c r="DO65">
        <v>0</v>
      </c>
      <c r="DP65">
        <v>1</v>
      </c>
      <c r="DQ65">
        <v>1</v>
      </c>
      <c r="DU65">
        <v>1013</v>
      </c>
      <c r="DV65" t="s">
        <v>30</v>
      </c>
      <c r="DW65" t="s">
        <v>30</v>
      </c>
      <c r="DX65">
        <v>1</v>
      </c>
      <c r="DZ65" t="s">
        <v>3</v>
      </c>
      <c r="EA65" t="s">
        <v>3</v>
      </c>
      <c r="EB65" t="s">
        <v>3</v>
      </c>
      <c r="EC65" t="s">
        <v>3</v>
      </c>
      <c r="EE65">
        <v>60088644</v>
      </c>
      <c r="EF65">
        <v>202</v>
      </c>
      <c r="EG65" t="s">
        <v>46</v>
      </c>
      <c r="EH65">
        <v>0</v>
      </c>
      <c r="EI65" t="s">
        <v>3</v>
      </c>
      <c r="EJ65">
        <v>1</v>
      </c>
      <c r="EK65">
        <v>400002</v>
      </c>
      <c r="EL65" t="s">
        <v>47</v>
      </c>
      <c r="EM65" t="s">
        <v>46</v>
      </c>
      <c r="EO65" t="s">
        <v>3</v>
      </c>
      <c r="EQ65">
        <v>0</v>
      </c>
      <c r="ER65">
        <v>0</v>
      </c>
      <c r="ES65">
        <v>120.44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5</v>
      </c>
      <c r="FC65">
        <v>1</v>
      </c>
      <c r="FD65">
        <v>18</v>
      </c>
      <c r="FF65">
        <v>1400</v>
      </c>
      <c r="FQ65">
        <v>0</v>
      </c>
      <c r="FR65">
        <v>0</v>
      </c>
      <c r="FS65">
        <v>0</v>
      </c>
      <c r="FX65">
        <v>0</v>
      </c>
      <c r="FY65">
        <v>0</v>
      </c>
      <c r="GA65" t="s">
        <v>106</v>
      </c>
      <c r="GD65">
        <v>1</v>
      </c>
      <c r="GF65">
        <v>-778550206</v>
      </c>
      <c r="GG65">
        <v>2</v>
      </c>
      <c r="GH65">
        <v>3</v>
      </c>
      <c r="GI65">
        <v>5</v>
      </c>
      <c r="GJ65">
        <v>0</v>
      </c>
      <c r="GK65">
        <v>0</v>
      </c>
      <c r="GL65">
        <f t="shared" si="79"/>
        <v>0</v>
      </c>
      <c r="GM65">
        <f t="shared" si="80"/>
        <v>4759.79</v>
      </c>
      <c r="GN65">
        <f t="shared" si="81"/>
        <v>0</v>
      </c>
      <c r="GO65">
        <f t="shared" si="82"/>
        <v>4759.79</v>
      </c>
      <c r="GP65">
        <f t="shared" si="83"/>
        <v>0</v>
      </c>
      <c r="GR65">
        <v>1</v>
      </c>
      <c r="GS65">
        <v>1</v>
      </c>
      <c r="GT65">
        <v>0</v>
      </c>
      <c r="GU65" t="s">
        <v>3</v>
      </c>
      <c r="GV65">
        <f t="shared" si="84"/>
        <v>0</v>
      </c>
      <c r="GW65">
        <v>1</v>
      </c>
      <c r="GX65">
        <f t="shared" si="85"/>
        <v>0</v>
      </c>
      <c r="HA65">
        <v>0</v>
      </c>
      <c r="HB65">
        <v>0</v>
      </c>
      <c r="HC65">
        <f t="shared" si="86"/>
        <v>0</v>
      </c>
      <c r="HE65" t="s">
        <v>49</v>
      </c>
      <c r="HF65" t="s">
        <v>28</v>
      </c>
      <c r="HM65" t="s">
        <v>3</v>
      </c>
      <c r="HN65" t="s">
        <v>3</v>
      </c>
      <c r="HO65" t="s">
        <v>3</v>
      </c>
      <c r="HP65" t="s">
        <v>3</v>
      </c>
      <c r="HQ65" t="s">
        <v>3</v>
      </c>
      <c r="HS65">
        <v>0</v>
      </c>
      <c r="IK65">
        <v>0</v>
      </c>
    </row>
    <row r="66" spans="1:255" x14ac:dyDescent="0.2">
      <c r="A66" s="2">
        <v>17</v>
      </c>
      <c r="B66" s="2">
        <v>1</v>
      </c>
      <c r="C66" s="2"/>
      <c r="D66" s="2"/>
      <c r="E66" s="2" t="s">
        <v>107</v>
      </c>
      <c r="F66" s="2" t="s">
        <v>108</v>
      </c>
      <c r="G66" s="2" t="s">
        <v>109</v>
      </c>
      <c r="H66" s="2" t="s">
        <v>30</v>
      </c>
      <c r="I66" s="2">
        <v>4</v>
      </c>
      <c r="J66" s="2">
        <v>0</v>
      </c>
      <c r="K66" s="2">
        <v>4</v>
      </c>
      <c r="L66" s="2"/>
      <c r="M66" s="2"/>
      <c r="N66" s="2"/>
      <c r="O66" s="2">
        <f t="shared" si="63"/>
        <v>9684.24</v>
      </c>
      <c r="P66" s="2">
        <f>ROUND((ROUND((AC66*I66),2)*BC66),2)</f>
        <v>9684.24</v>
      </c>
      <c r="Q66" s="2">
        <f>(ROUND((ROUND(((ET66)*AV66*I66),2)*BB66),2)+ROUND((ROUND(((AE66-(EU66))*AV66*I66),2)*BS66),2))</f>
        <v>0</v>
      </c>
      <c r="R66" s="2">
        <f>(ROUND((ROUND(((EU66)*AV66*I66),2)*BS66),2)+ROUND((ROUND(((AE66-(EU66))*AV66*I66),2)*BS66),2))</f>
        <v>0</v>
      </c>
      <c r="S66" s="2">
        <f t="shared" si="64"/>
        <v>0</v>
      </c>
      <c r="T66" s="2">
        <f t="shared" si="65"/>
        <v>0</v>
      </c>
      <c r="U66" s="2">
        <f t="shared" si="66"/>
        <v>0</v>
      </c>
      <c r="V66" s="2">
        <f t="shared" si="67"/>
        <v>0</v>
      </c>
      <c r="W66" s="2">
        <f t="shared" si="68"/>
        <v>0</v>
      </c>
      <c r="X66" s="2">
        <f>(ROUND((((S66+ROUND((ROUND(((EU66)*AV66*I66),2)*BS66),2))*AT66)/100),2)+ROUND(((ROUND((ROUND(((AE66-(EU66))*AV66*I66),2)*BS66),2)*AT66)/100),2))</f>
        <v>0</v>
      </c>
      <c r="Y66" s="2">
        <f>(ROUND((((S66+ROUND((ROUND(((EU66)*AV66*I66),2)*BS66),2))*AU66)/100),2)+ROUND(((ROUND((ROUND(((AE66-(EU66))*AV66*I66),2)*BS66),2)*AU66)/100),2))</f>
        <v>0</v>
      </c>
      <c r="Z66" s="2"/>
      <c r="AA66" s="2">
        <v>60258064</v>
      </c>
      <c r="AB66" s="2">
        <f t="shared" si="69"/>
        <v>2421.06</v>
      </c>
      <c r="AC66" s="2">
        <f t="shared" si="70"/>
        <v>2421.06</v>
      </c>
      <c r="AD66" s="2">
        <f>ROUND((((ET66)-(EU66))+AE66),6)</f>
        <v>0</v>
      </c>
      <c r="AE66" s="2">
        <f t="shared" si="87"/>
        <v>0</v>
      </c>
      <c r="AF66" s="2">
        <f t="shared" si="87"/>
        <v>0</v>
      </c>
      <c r="AG66" s="2">
        <f t="shared" si="71"/>
        <v>0</v>
      </c>
      <c r="AH66" s="2">
        <f t="shared" si="88"/>
        <v>0</v>
      </c>
      <c r="AI66" s="2">
        <f t="shared" si="88"/>
        <v>0</v>
      </c>
      <c r="AJ66" s="2">
        <f t="shared" si="72"/>
        <v>0</v>
      </c>
      <c r="AK66" s="2">
        <v>2421.06</v>
      </c>
      <c r="AL66" s="2">
        <v>2421.06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1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3</v>
      </c>
      <c r="BI66" s="2">
        <v>3</v>
      </c>
      <c r="BJ66" s="2" t="s">
        <v>3</v>
      </c>
      <c r="BK66" s="2"/>
      <c r="BL66" s="2"/>
      <c r="BM66" s="2">
        <v>746</v>
      </c>
      <c r="BN66" s="2">
        <v>0</v>
      </c>
      <c r="BO66" s="2" t="s">
        <v>3</v>
      </c>
      <c r="BP66" s="2">
        <v>0</v>
      </c>
      <c r="BQ66" s="2">
        <v>130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0</v>
      </c>
      <c r="CA66" s="2">
        <v>0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3</v>
      </c>
      <c r="CO66" s="2">
        <v>0</v>
      </c>
      <c r="CP66" s="2">
        <f t="shared" si="73"/>
        <v>9684.24</v>
      </c>
      <c r="CQ66" s="2">
        <f>ROUND((ROUND((AC66*1),2)*BC66),2)</f>
        <v>2421.06</v>
      </c>
      <c r="CR66" s="2">
        <f>(ROUND((ROUND(((ET66)*AV66*1),2)*BB66),2)+ROUND((ROUND(((AE66-(EU66))*AV66*1),2)*BS66),2))</f>
        <v>0</v>
      </c>
      <c r="CS66" s="2">
        <f>(ROUND((ROUND(((EU66)*AV66*1),2)*BS66),2)+ROUND((ROUND(((AE66-(EU66))*AV66*1),2)*BS66),2))</f>
        <v>0</v>
      </c>
      <c r="CT66" s="2">
        <f t="shared" si="74"/>
        <v>0</v>
      </c>
      <c r="CU66" s="2">
        <f t="shared" si="75"/>
        <v>0</v>
      </c>
      <c r="CV66" s="2">
        <f t="shared" si="76"/>
        <v>0</v>
      </c>
      <c r="CW66" s="2">
        <f t="shared" si="77"/>
        <v>0</v>
      </c>
      <c r="CX66" s="2">
        <f t="shared" si="78"/>
        <v>0</v>
      </c>
      <c r="CY66" s="2">
        <f>(ROUND((((S66+ROUND((ROUND(((EU66)*AV66*1),2)*BS66),2))*AT66)/100),2)+ROUND(((ROUND((ROUND(((AE66-(EU66))*AV66*1),2)*BS66),2)*AT66)/100),2))</f>
        <v>0</v>
      </c>
      <c r="CZ66" s="2">
        <f>(ROUND((((S66+ROUND((ROUND(((EU66)*AV66*1),2)*BS66),2))*AU66)/100),2)+ROUND(((ROUND((ROUND(((AE66-(EU66))*AV66*1),2)*BS66),2)*AU66)/100),2))</f>
        <v>0</v>
      </c>
      <c r="DA66" s="2"/>
      <c r="DB66" s="2"/>
      <c r="DC66" s="2" t="s">
        <v>3</v>
      </c>
      <c r="DD66" s="2" t="s">
        <v>3</v>
      </c>
      <c r="DE66" s="2" t="s">
        <v>3</v>
      </c>
      <c r="DF66" s="2" t="s">
        <v>3</v>
      </c>
      <c r="DG66" s="2" t="s">
        <v>3</v>
      </c>
      <c r="DH66" s="2" t="s">
        <v>3</v>
      </c>
      <c r="DI66" s="2" t="s">
        <v>3</v>
      </c>
      <c r="DJ66" s="2" t="s">
        <v>3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1013</v>
      </c>
      <c r="DV66" s="2" t="s">
        <v>30</v>
      </c>
      <c r="DW66" s="2" t="s">
        <v>30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60088638</v>
      </c>
      <c r="EF66" s="2">
        <v>130</v>
      </c>
      <c r="EG66" s="2" t="s">
        <v>31</v>
      </c>
      <c r="EH66" s="2">
        <v>0</v>
      </c>
      <c r="EI66" s="2" t="s">
        <v>3</v>
      </c>
      <c r="EJ66" s="2">
        <v>3</v>
      </c>
      <c r="EK66" s="2">
        <v>746</v>
      </c>
      <c r="EL66" s="2" t="s">
        <v>32</v>
      </c>
      <c r="EM66" s="2" t="s">
        <v>33</v>
      </c>
      <c r="EN66" s="2"/>
      <c r="EO66" s="2" t="s">
        <v>3</v>
      </c>
      <c r="EP66" s="2"/>
      <c r="EQ66" s="2">
        <v>0</v>
      </c>
      <c r="ER66" s="2">
        <v>0</v>
      </c>
      <c r="ES66" s="2">
        <v>2421.06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f>P66</f>
        <v>9684.24</v>
      </c>
      <c r="FS66" s="2">
        <v>0</v>
      </c>
      <c r="FT66" s="2"/>
      <c r="FU66" s="2"/>
      <c r="FV66" s="2"/>
      <c r="FW66" s="2"/>
      <c r="FX66" s="2">
        <v>0</v>
      </c>
      <c r="FY66" s="2">
        <v>0</v>
      </c>
      <c r="FZ66" s="2"/>
      <c r="GA66" s="2" t="s">
        <v>110</v>
      </c>
      <c r="GB66" s="2"/>
      <c r="GC66" s="2"/>
      <c r="GD66" s="2">
        <v>1</v>
      </c>
      <c r="GE66" s="2"/>
      <c r="GF66" s="2">
        <v>-790680475</v>
      </c>
      <c r="GG66" s="2">
        <v>2</v>
      </c>
      <c r="GH66" s="2">
        <v>4</v>
      </c>
      <c r="GI66" s="2">
        <v>-2</v>
      </c>
      <c r="GJ66" s="2">
        <v>0</v>
      </c>
      <c r="GK66" s="2">
        <v>0</v>
      </c>
      <c r="GL66" s="2">
        <f t="shared" si="79"/>
        <v>0</v>
      </c>
      <c r="GM66" s="2">
        <f t="shared" si="80"/>
        <v>9684.24</v>
      </c>
      <c r="GN66" s="2">
        <f t="shared" si="81"/>
        <v>0</v>
      </c>
      <c r="GO66" s="2">
        <f t="shared" si="82"/>
        <v>0</v>
      </c>
      <c r="GP66" s="2">
        <f t="shared" si="83"/>
        <v>0</v>
      </c>
      <c r="GQ66" s="2"/>
      <c r="GR66" s="2">
        <v>0</v>
      </c>
      <c r="GS66" s="2">
        <v>2</v>
      </c>
      <c r="GT66" s="2">
        <v>0</v>
      </c>
      <c r="GU66" s="2" t="s">
        <v>3</v>
      </c>
      <c r="GV66" s="2">
        <f t="shared" si="84"/>
        <v>0</v>
      </c>
      <c r="GW66" s="2">
        <v>1</v>
      </c>
      <c r="GX66" s="2">
        <f t="shared" si="85"/>
        <v>0</v>
      </c>
      <c r="GY66" s="2"/>
      <c r="GZ66" s="2"/>
      <c r="HA66" s="2">
        <v>0</v>
      </c>
      <c r="HB66" s="2">
        <v>0</v>
      </c>
      <c r="HC66" s="2">
        <f t="shared" si="86"/>
        <v>0</v>
      </c>
      <c r="HD66" s="2"/>
      <c r="HE66" s="2" t="s">
        <v>35</v>
      </c>
      <c r="HF66" s="2" t="s">
        <v>36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">
      <c r="A67">
        <v>17</v>
      </c>
      <c r="B67">
        <v>1</v>
      </c>
      <c r="E67" t="s">
        <v>107</v>
      </c>
      <c r="F67" t="s">
        <v>108</v>
      </c>
      <c r="G67" t="s">
        <v>109</v>
      </c>
      <c r="H67" t="s">
        <v>30</v>
      </c>
      <c r="I67">
        <v>4</v>
      </c>
      <c r="J67">
        <v>0</v>
      </c>
      <c r="K67">
        <v>4</v>
      </c>
      <c r="O67">
        <f t="shared" si="63"/>
        <v>74181.279999999999</v>
      </c>
      <c r="P67">
        <f>ROUND((ROUND((AC67*I67),2)*BC67),2)</f>
        <v>74181.279999999999</v>
      </c>
      <c r="Q67">
        <f>(ROUND((ROUND(((ET67)*AV67*I67),2)*BB67),2)+ROUND((ROUND(((AE67-(EU67))*AV67*I67),2)*BS67),2))</f>
        <v>0</v>
      </c>
      <c r="R67">
        <f>(ROUND((ROUND(((EU67)*AV67*I67),2)*BS67),2)+ROUND((ROUND(((AE67-(EU67))*AV67*I67),2)*BS67),2))</f>
        <v>0</v>
      </c>
      <c r="S67">
        <f t="shared" si="64"/>
        <v>0</v>
      </c>
      <c r="T67">
        <f t="shared" si="65"/>
        <v>0</v>
      </c>
      <c r="U67">
        <f t="shared" si="66"/>
        <v>0</v>
      </c>
      <c r="V67">
        <f t="shared" si="67"/>
        <v>0</v>
      </c>
      <c r="W67">
        <f t="shared" si="68"/>
        <v>0</v>
      </c>
      <c r="X67">
        <f>(ROUND((((S67+ROUND((ROUND(((EU67)*AV67*I67),2)*BS67),2))*AT67)/100),2)+ROUND(((ROUND((ROUND(((AE67-(EU67))*AV67*I67),2)*BS67),2)*AT67)/100),2))</f>
        <v>0</v>
      </c>
      <c r="Y67">
        <f>(ROUND((((S67+ROUND((ROUND(((EU67)*AV67*I67),2)*BS67),2))*AU67)/100),2)+ROUND(((ROUND((ROUND(((AE67-(EU67))*AV67*I67),2)*BS67),2)*AU67)/100),2))</f>
        <v>0</v>
      </c>
      <c r="AA67">
        <v>60258061</v>
      </c>
      <c r="AB67">
        <f t="shared" si="69"/>
        <v>2421.06</v>
      </c>
      <c r="AC67">
        <f t="shared" si="70"/>
        <v>2421.06</v>
      </c>
      <c r="AD67">
        <f>ROUND((((ET67)-(EU67))+AE67),6)</f>
        <v>0</v>
      </c>
      <c r="AE67">
        <f t="shared" si="87"/>
        <v>0</v>
      </c>
      <c r="AF67">
        <f t="shared" si="87"/>
        <v>0</v>
      </c>
      <c r="AG67">
        <f t="shared" si="71"/>
        <v>0</v>
      </c>
      <c r="AH67">
        <f t="shared" si="88"/>
        <v>0</v>
      </c>
      <c r="AI67">
        <f t="shared" si="88"/>
        <v>0</v>
      </c>
      <c r="AJ67">
        <f t="shared" si="72"/>
        <v>0</v>
      </c>
      <c r="AK67">
        <v>2421.06</v>
      </c>
      <c r="AL67">
        <v>2421.06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1</v>
      </c>
      <c r="AZ67">
        <v>1</v>
      </c>
      <c r="BA67">
        <v>1</v>
      </c>
      <c r="BB67">
        <v>1</v>
      </c>
      <c r="BC67">
        <v>7.66</v>
      </c>
      <c r="BD67" t="s">
        <v>3</v>
      </c>
      <c r="BE67" t="s">
        <v>3</v>
      </c>
      <c r="BF67" t="s">
        <v>3</v>
      </c>
      <c r="BG67" t="s">
        <v>3</v>
      </c>
      <c r="BH67">
        <v>3</v>
      </c>
      <c r="BI67">
        <v>3</v>
      </c>
      <c r="BJ67" t="s">
        <v>3</v>
      </c>
      <c r="BM67">
        <v>746</v>
      </c>
      <c r="BN67">
        <v>0</v>
      </c>
      <c r="BO67" t="s">
        <v>3</v>
      </c>
      <c r="BP67">
        <v>0</v>
      </c>
      <c r="BQ67">
        <v>130</v>
      </c>
      <c r="BR67">
        <v>0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 t="s">
        <v>3</v>
      </c>
      <c r="BZ67">
        <v>0</v>
      </c>
      <c r="CA67">
        <v>0</v>
      </c>
      <c r="CB67" t="s">
        <v>3</v>
      </c>
      <c r="CE67">
        <v>1566</v>
      </c>
      <c r="CF67">
        <v>0</v>
      </c>
      <c r="CG67">
        <v>0</v>
      </c>
      <c r="CM67">
        <v>0</v>
      </c>
      <c r="CN67" t="s">
        <v>3</v>
      </c>
      <c r="CO67">
        <v>0</v>
      </c>
      <c r="CP67">
        <f t="shared" si="73"/>
        <v>74181.279999999999</v>
      </c>
      <c r="CQ67">
        <f>ROUND((ROUND((AC67*1),2)*BC67),2)</f>
        <v>18545.32</v>
      </c>
      <c r="CR67">
        <f>(ROUND((ROUND(((ET67)*AV67*1),2)*BB67),2)+ROUND((ROUND(((AE67-(EU67))*AV67*1),2)*BS67),2))</f>
        <v>0</v>
      </c>
      <c r="CS67">
        <f>(ROUND((ROUND(((EU67)*AV67*1),2)*BS67),2)+ROUND((ROUND(((AE67-(EU67))*AV67*1),2)*BS67),2))</f>
        <v>0</v>
      </c>
      <c r="CT67">
        <f t="shared" si="74"/>
        <v>0</v>
      </c>
      <c r="CU67">
        <f t="shared" si="75"/>
        <v>0</v>
      </c>
      <c r="CV67">
        <f t="shared" si="76"/>
        <v>0</v>
      </c>
      <c r="CW67">
        <f t="shared" si="77"/>
        <v>0</v>
      </c>
      <c r="CX67">
        <f t="shared" si="78"/>
        <v>0</v>
      </c>
      <c r="CY67">
        <f>(ROUND((((S67+ROUND((ROUND(((EU67)*AV67*1),2)*BS67),2))*AT67)/100),2)+ROUND(((ROUND((ROUND(((AE67-(EU67))*AV67*1),2)*BS67),2)*AT67)/100),2))</f>
        <v>0</v>
      </c>
      <c r="CZ67">
        <f>(ROUND((((S67+ROUND((ROUND(((EU67)*AV67*1),2)*BS67),2))*AU67)/100),2)+ROUND(((ROUND((ROUND(((AE67-(EU67))*AV67*1),2)*BS67),2)*AU67)/100),2))</f>
        <v>0</v>
      </c>
      <c r="DC67" t="s">
        <v>3</v>
      </c>
      <c r="DD67" t="s">
        <v>3</v>
      </c>
      <c r="DE67" t="s">
        <v>3</v>
      </c>
      <c r="DF67" t="s">
        <v>3</v>
      </c>
      <c r="DG67" t="s">
        <v>3</v>
      </c>
      <c r="DH67" t="s">
        <v>3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  <c r="DN67">
        <v>0</v>
      </c>
      <c r="DO67">
        <v>0</v>
      </c>
      <c r="DP67">
        <v>1</v>
      </c>
      <c r="DQ67">
        <v>1</v>
      </c>
      <c r="DU67">
        <v>1013</v>
      </c>
      <c r="DV67" t="s">
        <v>30</v>
      </c>
      <c r="DW67" t="s">
        <v>30</v>
      </c>
      <c r="DX67">
        <v>1</v>
      </c>
      <c r="DZ67" t="s">
        <v>3</v>
      </c>
      <c r="EA67" t="s">
        <v>3</v>
      </c>
      <c r="EB67" t="s">
        <v>3</v>
      </c>
      <c r="EC67" t="s">
        <v>3</v>
      </c>
      <c r="EE67">
        <v>60088638</v>
      </c>
      <c r="EF67">
        <v>130</v>
      </c>
      <c r="EG67" t="s">
        <v>31</v>
      </c>
      <c r="EH67">
        <v>0</v>
      </c>
      <c r="EI67" t="s">
        <v>3</v>
      </c>
      <c r="EJ67">
        <v>3</v>
      </c>
      <c r="EK67">
        <v>746</v>
      </c>
      <c r="EL67" t="s">
        <v>32</v>
      </c>
      <c r="EM67" t="s">
        <v>33</v>
      </c>
      <c r="EO67" t="s">
        <v>3</v>
      </c>
      <c r="EQ67">
        <v>0</v>
      </c>
      <c r="ER67">
        <v>0</v>
      </c>
      <c r="ES67">
        <v>2421.06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5</v>
      </c>
      <c r="FC67">
        <v>1</v>
      </c>
      <c r="FD67">
        <v>18</v>
      </c>
      <c r="FF67">
        <v>21350</v>
      </c>
      <c r="FQ67">
        <v>0</v>
      </c>
      <c r="FR67">
        <f>P67</f>
        <v>74181.279999999999</v>
      </c>
      <c r="FS67">
        <v>0</v>
      </c>
      <c r="FX67">
        <v>0</v>
      </c>
      <c r="FY67">
        <v>0</v>
      </c>
      <c r="GA67" t="s">
        <v>110</v>
      </c>
      <c r="GD67">
        <v>1</v>
      </c>
      <c r="GF67">
        <v>-790680475</v>
      </c>
      <c r="GG67">
        <v>2</v>
      </c>
      <c r="GH67">
        <v>3</v>
      </c>
      <c r="GI67">
        <v>5</v>
      </c>
      <c r="GJ67">
        <v>0</v>
      </c>
      <c r="GK67">
        <v>0</v>
      </c>
      <c r="GL67">
        <f t="shared" si="79"/>
        <v>0</v>
      </c>
      <c r="GM67">
        <f t="shared" si="80"/>
        <v>74181.279999999999</v>
      </c>
      <c r="GN67">
        <f t="shared" si="81"/>
        <v>0</v>
      </c>
      <c r="GO67">
        <f t="shared" si="82"/>
        <v>0</v>
      </c>
      <c r="GP67">
        <f t="shared" si="83"/>
        <v>0</v>
      </c>
      <c r="GR67">
        <v>1</v>
      </c>
      <c r="GS67">
        <v>1</v>
      </c>
      <c r="GT67">
        <v>0</v>
      </c>
      <c r="GU67" t="s">
        <v>3</v>
      </c>
      <c r="GV67">
        <f t="shared" si="84"/>
        <v>0</v>
      </c>
      <c r="GW67">
        <v>1</v>
      </c>
      <c r="GX67">
        <f t="shared" si="85"/>
        <v>0</v>
      </c>
      <c r="HA67">
        <v>0</v>
      </c>
      <c r="HB67">
        <v>0</v>
      </c>
      <c r="HC67">
        <f t="shared" si="86"/>
        <v>0</v>
      </c>
      <c r="HE67" t="s">
        <v>35</v>
      </c>
      <c r="HF67" t="s">
        <v>36</v>
      </c>
      <c r="HM67" t="s">
        <v>3</v>
      </c>
      <c r="HN67" t="s">
        <v>3</v>
      </c>
      <c r="HO67" t="s">
        <v>3</v>
      </c>
      <c r="HP67" t="s">
        <v>3</v>
      </c>
      <c r="HQ67" t="s">
        <v>3</v>
      </c>
      <c r="HS67">
        <v>0</v>
      </c>
      <c r="IK67">
        <v>0</v>
      </c>
    </row>
    <row r="68" spans="1:255" x14ac:dyDescent="0.2">
      <c r="A68" s="2">
        <v>17</v>
      </c>
      <c r="B68" s="2">
        <v>1</v>
      </c>
      <c r="C68" s="2">
        <f>ROW(SmtRes!A67)</f>
        <v>67</v>
      </c>
      <c r="D68" s="2">
        <f>ROW(EtalonRes!A85)</f>
        <v>85</v>
      </c>
      <c r="E68" s="2" t="s">
        <v>111</v>
      </c>
      <c r="F68" s="2" t="s">
        <v>112</v>
      </c>
      <c r="G68" s="2" t="s">
        <v>113</v>
      </c>
      <c r="H68" s="2" t="s">
        <v>39</v>
      </c>
      <c r="I68" s="2">
        <v>1</v>
      </c>
      <c r="J68" s="2">
        <v>0</v>
      </c>
      <c r="K68" s="2">
        <v>1</v>
      </c>
      <c r="L68" s="2"/>
      <c r="M68" s="2"/>
      <c r="N68" s="2"/>
      <c r="O68" s="2">
        <f t="shared" si="63"/>
        <v>136.61000000000001</v>
      </c>
      <c r="P68" s="2">
        <f>ROUND((ROUND((AC68*AW68*I68),2)*BC68),2)</f>
        <v>34.869999999999997</v>
      </c>
      <c r="Q68" s="2">
        <f>(ROUND((ROUND((((ET68*1.1))*AV68*I68),2)*BB68),2)+ROUND((ROUND(((AE68-((EU68*1.1)))*AV68*I68),2)*BS68),2))</f>
        <v>0</v>
      </c>
      <c r="R68" s="2">
        <f>(ROUND((ROUND((((EU68*1.1))*AV68*I68),2)*BS68),2)+ROUND((ROUND(((AE68-((EU68*1.1)))*AV68*I68),2)*BS68),2))</f>
        <v>0</v>
      </c>
      <c r="S68" s="2">
        <f t="shared" si="64"/>
        <v>101.74</v>
      </c>
      <c r="T68" s="2">
        <f t="shared" si="65"/>
        <v>0</v>
      </c>
      <c r="U68" s="2">
        <f t="shared" si="66"/>
        <v>8.0619000000000014</v>
      </c>
      <c r="V68" s="2">
        <f t="shared" si="67"/>
        <v>0</v>
      </c>
      <c r="W68" s="2">
        <f t="shared" si="68"/>
        <v>0</v>
      </c>
      <c r="X68" s="2">
        <f>(ROUND((((S68+ROUND((ROUND((((EU68*1.1))*AV68*I68),2)*BS68),2))*AT68)/100),2)+ROUND(((ROUND((ROUND(((AE68-((EU68*1.1)))*AV68*I68),2)*BS68),2)*AT68)/100),2))</f>
        <v>96.65</v>
      </c>
      <c r="Y68" s="2">
        <f>(ROUND((((S68+ROUND((ROUND((((EU68*1.1))*AV68*I68),2)*BS68),2))*AU68)/100),2)+ROUND(((ROUND((ROUND(((AE68-((EU68*1.1)))*AV68*I68),2)*BS68),2)*AU68)/100),2))</f>
        <v>53.92</v>
      </c>
      <c r="Z68" s="2"/>
      <c r="AA68" s="2">
        <v>60258064</v>
      </c>
      <c r="AB68" s="2">
        <f t="shared" si="69"/>
        <v>132.04400000000001</v>
      </c>
      <c r="AC68" s="2">
        <f t="shared" si="70"/>
        <v>34.869999999999997</v>
      </c>
      <c r="AD68" s="2">
        <f>ROUND(((((ET68*1.1))-((EU68*1.1)))+AE68),6)</f>
        <v>0</v>
      </c>
      <c r="AE68" s="2">
        <f>ROUND(((EU68*1.1)),6)</f>
        <v>0</v>
      </c>
      <c r="AF68" s="2">
        <f>ROUND(((EV68*1.1)),6)</f>
        <v>97.174000000000007</v>
      </c>
      <c r="AG68" s="2">
        <f t="shared" si="71"/>
        <v>0</v>
      </c>
      <c r="AH68" s="2">
        <f>((EW68*1.1))</f>
        <v>7.7000000000000011</v>
      </c>
      <c r="AI68" s="2">
        <f>((EX68*1.1))</f>
        <v>0</v>
      </c>
      <c r="AJ68" s="2">
        <f t="shared" si="72"/>
        <v>0</v>
      </c>
      <c r="AK68" s="2">
        <v>123.21</v>
      </c>
      <c r="AL68" s="2">
        <v>34.869999999999997</v>
      </c>
      <c r="AM68" s="2">
        <v>0</v>
      </c>
      <c r="AN68" s="2">
        <v>0</v>
      </c>
      <c r="AO68" s="2">
        <v>88.34</v>
      </c>
      <c r="AP68" s="2">
        <v>0</v>
      </c>
      <c r="AQ68" s="2">
        <v>7</v>
      </c>
      <c r="AR68" s="2">
        <v>0</v>
      </c>
      <c r="AS68" s="2">
        <v>0</v>
      </c>
      <c r="AT68" s="2">
        <v>95</v>
      </c>
      <c r="AU68" s="2">
        <v>53</v>
      </c>
      <c r="AV68" s="2">
        <v>1.0469999999999999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0</v>
      </c>
      <c r="BI68" s="2">
        <v>2</v>
      </c>
      <c r="BJ68" s="2" t="s">
        <v>114</v>
      </c>
      <c r="BK68" s="2"/>
      <c r="BL68" s="2"/>
      <c r="BM68" s="2">
        <v>69</v>
      </c>
      <c r="BN68" s="2">
        <v>58973116</v>
      </c>
      <c r="BO68" s="2" t="s">
        <v>112</v>
      </c>
      <c r="BP68" s="2">
        <v>1</v>
      </c>
      <c r="BQ68" s="2">
        <v>40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95</v>
      </c>
      <c r="CA68" s="2">
        <v>53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377</v>
      </c>
      <c r="CO68" s="2">
        <v>0</v>
      </c>
      <c r="CP68" s="2">
        <f t="shared" si="73"/>
        <v>136.60999999999999</v>
      </c>
      <c r="CQ68" s="2">
        <f>ROUND((ROUND((AC68*AW68*1),2)*BC68),2)</f>
        <v>34.869999999999997</v>
      </c>
      <c r="CR68" s="2">
        <f>(ROUND((ROUND((((ET68*1.1))*AV68*1),2)*BB68),2)+ROUND((ROUND(((AE68-((EU68*1.1)))*AV68*1),2)*BS68),2))</f>
        <v>0</v>
      </c>
      <c r="CS68" s="2">
        <f>(ROUND((ROUND((((EU68*1.1))*AV68*1),2)*BS68),2)+ROUND((ROUND(((AE68-((EU68*1.1)))*AV68*1),2)*BS68),2))</f>
        <v>0</v>
      </c>
      <c r="CT68" s="2">
        <f t="shared" si="74"/>
        <v>101.74</v>
      </c>
      <c r="CU68" s="2">
        <f t="shared" si="75"/>
        <v>0</v>
      </c>
      <c r="CV68" s="2">
        <f t="shared" si="76"/>
        <v>8.0619000000000014</v>
      </c>
      <c r="CW68" s="2">
        <f t="shared" si="77"/>
        <v>0</v>
      </c>
      <c r="CX68" s="2">
        <f t="shared" si="78"/>
        <v>0</v>
      </c>
      <c r="CY68" s="2">
        <f>(ROUND((((S68+ROUND((ROUND((((EU68*1.1))*AV68*1),2)*BS68),2))*AT68)/100),2)+ROUND(((ROUND((ROUND(((AE68-((EU68*1.1)))*AV68*1),2)*BS68),2)*AT68)/100),2))</f>
        <v>96.65</v>
      </c>
      <c r="CZ68" s="2">
        <f>(ROUND((((S68+ROUND((ROUND((((EU68*1.1))*AV68*1),2)*BS68),2))*AU68)/100),2)+ROUND(((ROUND((ROUND(((AE68-((EU68*1.1)))*AV68*1),2)*BS68),2)*AU68)/100),2))</f>
        <v>53.92</v>
      </c>
      <c r="DA68" s="2"/>
      <c r="DB68" s="2">
        <v>17</v>
      </c>
      <c r="DC68" s="2" t="s">
        <v>3</v>
      </c>
      <c r="DD68" s="2" t="s">
        <v>3</v>
      </c>
      <c r="DE68" s="2" t="s">
        <v>23</v>
      </c>
      <c r="DF68" s="2" t="s">
        <v>23</v>
      </c>
      <c r="DG68" s="2" t="s">
        <v>23</v>
      </c>
      <c r="DH68" s="2" t="s">
        <v>3</v>
      </c>
      <c r="DI68" s="2" t="s">
        <v>23</v>
      </c>
      <c r="DJ68" s="2" t="s">
        <v>23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1013</v>
      </c>
      <c r="DV68" s="2" t="s">
        <v>39</v>
      </c>
      <c r="DW68" s="2" t="s">
        <v>39</v>
      </c>
      <c r="DX68" s="2">
        <v>1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60088533</v>
      </c>
      <c r="EF68" s="2">
        <v>40</v>
      </c>
      <c r="EG68" s="2" t="s">
        <v>24</v>
      </c>
      <c r="EH68" s="2">
        <v>0</v>
      </c>
      <c r="EI68" s="2" t="s">
        <v>3</v>
      </c>
      <c r="EJ68" s="2">
        <v>2</v>
      </c>
      <c r="EK68" s="2">
        <v>69</v>
      </c>
      <c r="EL68" s="2" t="s">
        <v>41</v>
      </c>
      <c r="EM68" s="2" t="s">
        <v>42</v>
      </c>
      <c r="EN68" s="2"/>
      <c r="EO68" s="2" t="s">
        <v>27</v>
      </c>
      <c r="EP68" s="2"/>
      <c r="EQ68" s="2">
        <v>0</v>
      </c>
      <c r="ER68" s="2">
        <v>123.21</v>
      </c>
      <c r="ES68" s="2">
        <v>34.869999999999997</v>
      </c>
      <c r="ET68" s="2">
        <v>0</v>
      </c>
      <c r="EU68" s="2">
        <v>0</v>
      </c>
      <c r="EV68" s="2">
        <v>88.34</v>
      </c>
      <c r="EW68" s="2">
        <v>7</v>
      </c>
      <c r="EX68" s="2">
        <v>0</v>
      </c>
      <c r="EY68" s="2">
        <v>0</v>
      </c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95</v>
      </c>
      <c r="FY68" s="2">
        <v>53</v>
      </c>
      <c r="FZ68" s="2"/>
      <c r="GA68" s="2" t="s">
        <v>3</v>
      </c>
      <c r="GB68" s="2"/>
      <c r="GC68" s="2"/>
      <c r="GD68" s="2">
        <v>1</v>
      </c>
      <c r="GE68" s="2"/>
      <c r="GF68" s="2">
        <v>1652728637</v>
      </c>
      <c r="GG68" s="2">
        <v>2</v>
      </c>
      <c r="GH68" s="2">
        <v>1</v>
      </c>
      <c r="GI68" s="2">
        <v>2</v>
      </c>
      <c r="GJ68" s="2">
        <v>0</v>
      </c>
      <c r="GK68" s="2">
        <v>0</v>
      </c>
      <c r="GL68" s="2">
        <f t="shared" si="79"/>
        <v>0</v>
      </c>
      <c r="GM68" s="2">
        <f t="shared" si="80"/>
        <v>287.18</v>
      </c>
      <c r="GN68" s="2">
        <f t="shared" si="81"/>
        <v>0</v>
      </c>
      <c r="GO68" s="2">
        <f t="shared" si="82"/>
        <v>287.18</v>
      </c>
      <c r="GP68" s="2">
        <f t="shared" si="83"/>
        <v>0</v>
      </c>
      <c r="GQ68" s="2"/>
      <c r="GR68" s="2">
        <v>0</v>
      </c>
      <c r="GS68" s="2">
        <v>3</v>
      </c>
      <c r="GT68" s="2">
        <v>0</v>
      </c>
      <c r="GU68" s="2" t="s">
        <v>3</v>
      </c>
      <c r="GV68" s="2">
        <f t="shared" si="84"/>
        <v>0</v>
      </c>
      <c r="GW68" s="2">
        <v>1</v>
      </c>
      <c r="GX68" s="2">
        <f t="shared" si="85"/>
        <v>0</v>
      </c>
      <c r="GY68" s="2"/>
      <c r="GZ68" s="2"/>
      <c r="HA68" s="2">
        <v>0</v>
      </c>
      <c r="HB68" s="2">
        <v>0</v>
      </c>
      <c r="HC68" s="2">
        <f t="shared" si="86"/>
        <v>0</v>
      </c>
      <c r="HD68" s="2"/>
      <c r="HE68" s="2" t="s">
        <v>3</v>
      </c>
      <c r="HF68" s="2" t="s">
        <v>3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">
      <c r="A69">
        <v>17</v>
      </c>
      <c r="B69">
        <v>1</v>
      </c>
      <c r="C69">
        <f>ROW(SmtRes!A72)</f>
        <v>72</v>
      </c>
      <c r="D69">
        <f>ROW(EtalonRes!A92)</f>
        <v>92</v>
      </c>
      <c r="E69" t="s">
        <v>111</v>
      </c>
      <c r="F69" t="s">
        <v>112</v>
      </c>
      <c r="G69" t="s">
        <v>113</v>
      </c>
      <c r="H69" t="s">
        <v>39</v>
      </c>
      <c r="I69">
        <v>1</v>
      </c>
      <c r="J69">
        <v>0</v>
      </c>
      <c r="K69">
        <v>1</v>
      </c>
      <c r="O69">
        <f t="shared" si="63"/>
        <v>5990.45</v>
      </c>
      <c r="P69">
        <f>ROUND((ROUND((AC69*AW69*I69),2)*BC69),2)</f>
        <v>395.77</v>
      </c>
      <c r="Q69">
        <f>(ROUND((ROUND((((ET69*1.1))*AV69*I69),2)*BB69),2)+ROUND((ROUND(((AE69-((EU69*1.1)))*AV69*I69),2)*BS69),2))</f>
        <v>0</v>
      </c>
      <c r="R69">
        <f>(ROUND((ROUND((((EU69*1.1))*AV69*I69),2)*BS69),2)+ROUND((ROUND(((AE69-((EU69*1.1)))*AV69*I69),2)*BS69),2))</f>
        <v>0</v>
      </c>
      <c r="S69">
        <f t="shared" si="64"/>
        <v>5594.68</v>
      </c>
      <c r="T69">
        <f t="shared" si="65"/>
        <v>0</v>
      </c>
      <c r="U69">
        <f t="shared" si="66"/>
        <v>8.0619000000000014</v>
      </c>
      <c r="V69">
        <f t="shared" si="67"/>
        <v>0</v>
      </c>
      <c r="W69">
        <f t="shared" si="68"/>
        <v>0</v>
      </c>
      <c r="X69">
        <f>(ROUND((((S69+ROUND((ROUND((((EU69*1.1))*AV69*I69),2)*BS69),2))*AT69)/100),2)+ROUND(((ROUND((ROUND(((AE69-((EU69*1.1)))*AV69*I69),2)*BS69),2)*AT69)/100),2))</f>
        <v>5314.95</v>
      </c>
      <c r="Y69">
        <f>(ROUND((((S69+ROUND((ROUND((((EU69*1.1))*AV69*I69),2)*BS69),2))*AU69)/100),2)+ROUND(((ROUND((ROUND(((AE69-((EU69*1.1)))*AV69*I69),2)*BS69),2)*AU69)/100),2))</f>
        <v>2965.18</v>
      </c>
      <c r="AA69">
        <v>60258061</v>
      </c>
      <c r="AB69">
        <f t="shared" si="69"/>
        <v>132.04400000000001</v>
      </c>
      <c r="AC69">
        <f t="shared" si="70"/>
        <v>34.869999999999997</v>
      </c>
      <c r="AD69">
        <f>ROUND(((((ET69*1.1))-((EU69*1.1)))+AE69),6)</f>
        <v>0</v>
      </c>
      <c r="AE69">
        <f>ROUND(((EU69*1.1)),6)</f>
        <v>0</v>
      </c>
      <c r="AF69">
        <f>ROUND(((EV69*1.1)),6)</f>
        <v>97.174000000000007</v>
      </c>
      <c r="AG69">
        <f t="shared" si="71"/>
        <v>0</v>
      </c>
      <c r="AH69">
        <f>((EW69*1.1))</f>
        <v>7.7000000000000011</v>
      </c>
      <c r="AI69">
        <f>((EX69*1.1))</f>
        <v>0</v>
      </c>
      <c r="AJ69">
        <f t="shared" si="72"/>
        <v>0</v>
      </c>
      <c r="AK69">
        <v>123.21</v>
      </c>
      <c r="AL69">
        <v>34.869999999999997</v>
      </c>
      <c r="AM69">
        <v>0</v>
      </c>
      <c r="AN69">
        <v>0</v>
      </c>
      <c r="AO69">
        <v>88.34</v>
      </c>
      <c r="AP69">
        <v>0</v>
      </c>
      <c r="AQ69">
        <v>7</v>
      </c>
      <c r="AR69">
        <v>0</v>
      </c>
      <c r="AS69">
        <v>0</v>
      </c>
      <c r="AT69">
        <v>95</v>
      </c>
      <c r="AU69">
        <v>53</v>
      </c>
      <c r="AV69">
        <v>1.0469999999999999</v>
      </c>
      <c r="AW69">
        <v>1</v>
      </c>
      <c r="AZ69">
        <v>1</v>
      </c>
      <c r="BA69">
        <v>54.99</v>
      </c>
      <c r="BB69">
        <v>1</v>
      </c>
      <c r="BC69">
        <v>11.35</v>
      </c>
      <c r="BD69" t="s">
        <v>3</v>
      </c>
      <c r="BE69" t="s">
        <v>3</v>
      </c>
      <c r="BF69" t="s">
        <v>3</v>
      </c>
      <c r="BG69" t="s">
        <v>3</v>
      </c>
      <c r="BH69">
        <v>0</v>
      </c>
      <c r="BI69">
        <v>2</v>
      </c>
      <c r="BJ69" t="s">
        <v>114</v>
      </c>
      <c r="BM69">
        <v>69</v>
      </c>
      <c r="BN69">
        <v>58973116</v>
      </c>
      <c r="BO69" t="s">
        <v>112</v>
      </c>
      <c r="BP69">
        <v>1</v>
      </c>
      <c r="BQ69">
        <v>40</v>
      </c>
      <c r="BR69">
        <v>0</v>
      </c>
      <c r="BS69">
        <v>54.99</v>
      </c>
      <c r="BT69">
        <v>1</v>
      </c>
      <c r="BU69">
        <v>1</v>
      </c>
      <c r="BV69">
        <v>1</v>
      </c>
      <c r="BW69">
        <v>1</v>
      </c>
      <c r="BX69">
        <v>1</v>
      </c>
      <c r="BY69" t="s">
        <v>3</v>
      </c>
      <c r="BZ69">
        <v>95</v>
      </c>
      <c r="CA69">
        <v>53</v>
      </c>
      <c r="CB69" t="s">
        <v>3</v>
      </c>
      <c r="CE69">
        <v>1566</v>
      </c>
      <c r="CF69">
        <v>0</v>
      </c>
      <c r="CG69">
        <v>0</v>
      </c>
      <c r="CM69">
        <v>0</v>
      </c>
      <c r="CN69" t="s">
        <v>377</v>
      </c>
      <c r="CO69">
        <v>0</v>
      </c>
      <c r="CP69">
        <f t="shared" si="73"/>
        <v>5990.4500000000007</v>
      </c>
      <c r="CQ69">
        <f>ROUND((ROUND((AC69*AW69*1),2)*BC69),2)</f>
        <v>395.77</v>
      </c>
      <c r="CR69">
        <f>(ROUND((ROUND((((ET69*1.1))*AV69*1),2)*BB69),2)+ROUND((ROUND(((AE69-((EU69*1.1)))*AV69*1),2)*BS69),2))</f>
        <v>0</v>
      </c>
      <c r="CS69">
        <f>(ROUND((ROUND((((EU69*1.1))*AV69*1),2)*BS69),2)+ROUND((ROUND(((AE69-((EU69*1.1)))*AV69*1),2)*BS69),2))</f>
        <v>0</v>
      </c>
      <c r="CT69">
        <f t="shared" si="74"/>
        <v>5594.68</v>
      </c>
      <c r="CU69">
        <f t="shared" si="75"/>
        <v>0</v>
      </c>
      <c r="CV69">
        <f t="shared" si="76"/>
        <v>8.0619000000000014</v>
      </c>
      <c r="CW69">
        <f t="shared" si="77"/>
        <v>0</v>
      </c>
      <c r="CX69">
        <f t="shared" si="78"/>
        <v>0</v>
      </c>
      <c r="CY69">
        <f>(ROUND((((S69+ROUND((ROUND((((EU69*1.1))*AV69*1),2)*BS69),2))*AT69)/100),2)+ROUND(((ROUND((ROUND(((AE69-((EU69*1.1)))*AV69*1),2)*BS69),2)*AT69)/100),2))</f>
        <v>5314.95</v>
      </c>
      <c r="CZ69">
        <f>(ROUND((((S69+ROUND((ROUND((((EU69*1.1))*AV69*1),2)*BS69),2))*AU69)/100),2)+ROUND(((ROUND((ROUND(((AE69-((EU69*1.1)))*AV69*1),2)*BS69),2)*AU69)/100),2))</f>
        <v>2965.18</v>
      </c>
      <c r="DB69">
        <v>18</v>
      </c>
      <c r="DC69" t="s">
        <v>3</v>
      </c>
      <c r="DD69" t="s">
        <v>3</v>
      </c>
      <c r="DE69" t="s">
        <v>23</v>
      </c>
      <c r="DF69" t="s">
        <v>23</v>
      </c>
      <c r="DG69" t="s">
        <v>23</v>
      </c>
      <c r="DH69" t="s">
        <v>3</v>
      </c>
      <c r="DI69" t="s">
        <v>23</v>
      </c>
      <c r="DJ69" t="s">
        <v>23</v>
      </c>
      <c r="DK69" t="s">
        <v>3</v>
      </c>
      <c r="DL69" t="s">
        <v>3</v>
      </c>
      <c r="DM69" t="s">
        <v>3</v>
      </c>
      <c r="DN69">
        <v>0</v>
      </c>
      <c r="DO69">
        <v>0</v>
      </c>
      <c r="DP69">
        <v>1</v>
      </c>
      <c r="DQ69">
        <v>1</v>
      </c>
      <c r="DU69">
        <v>1013</v>
      </c>
      <c r="DV69" t="s">
        <v>39</v>
      </c>
      <c r="DW69" t="s">
        <v>39</v>
      </c>
      <c r="DX69">
        <v>1</v>
      </c>
      <c r="DZ69" t="s">
        <v>3</v>
      </c>
      <c r="EA69" t="s">
        <v>3</v>
      </c>
      <c r="EB69" t="s">
        <v>3</v>
      </c>
      <c r="EC69" t="s">
        <v>3</v>
      </c>
      <c r="EE69">
        <v>60088533</v>
      </c>
      <c r="EF69">
        <v>40</v>
      </c>
      <c r="EG69" t="s">
        <v>24</v>
      </c>
      <c r="EH69">
        <v>0</v>
      </c>
      <c r="EI69" t="s">
        <v>3</v>
      </c>
      <c r="EJ69">
        <v>2</v>
      </c>
      <c r="EK69">
        <v>69</v>
      </c>
      <c r="EL69" t="s">
        <v>41</v>
      </c>
      <c r="EM69" t="s">
        <v>42</v>
      </c>
      <c r="EO69" t="s">
        <v>27</v>
      </c>
      <c r="EQ69">
        <v>0</v>
      </c>
      <c r="ER69">
        <v>123.21</v>
      </c>
      <c r="ES69">
        <v>34.869999999999997</v>
      </c>
      <c r="ET69">
        <v>0</v>
      </c>
      <c r="EU69">
        <v>0</v>
      </c>
      <c r="EV69">
        <v>88.34</v>
      </c>
      <c r="EW69">
        <v>7</v>
      </c>
      <c r="EX69">
        <v>0</v>
      </c>
      <c r="EY69">
        <v>0</v>
      </c>
      <c r="FQ69">
        <v>0</v>
      </c>
      <c r="FR69">
        <v>0</v>
      </c>
      <c r="FS69">
        <v>0</v>
      </c>
      <c r="FX69">
        <v>95</v>
      </c>
      <c r="FY69">
        <v>53</v>
      </c>
      <c r="GA69" t="s">
        <v>3</v>
      </c>
      <c r="GD69">
        <v>1</v>
      </c>
      <c r="GF69">
        <v>1652728637</v>
      </c>
      <c r="GG69">
        <v>2</v>
      </c>
      <c r="GH69">
        <v>1</v>
      </c>
      <c r="GI69">
        <v>2</v>
      </c>
      <c r="GJ69">
        <v>0</v>
      </c>
      <c r="GK69">
        <v>0</v>
      </c>
      <c r="GL69">
        <f t="shared" si="79"/>
        <v>0</v>
      </c>
      <c r="GM69">
        <f t="shared" si="80"/>
        <v>14270.58</v>
      </c>
      <c r="GN69">
        <f t="shared" si="81"/>
        <v>0</v>
      </c>
      <c r="GO69">
        <f t="shared" si="82"/>
        <v>14270.58</v>
      </c>
      <c r="GP69">
        <f t="shared" si="83"/>
        <v>0</v>
      </c>
      <c r="GR69">
        <v>0</v>
      </c>
      <c r="GS69">
        <v>3</v>
      </c>
      <c r="GT69">
        <v>0</v>
      </c>
      <c r="GU69" t="s">
        <v>3</v>
      </c>
      <c r="GV69">
        <f t="shared" si="84"/>
        <v>0</v>
      </c>
      <c r="GW69">
        <v>1</v>
      </c>
      <c r="GX69">
        <f t="shared" si="85"/>
        <v>0</v>
      </c>
      <c r="HA69">
        <v>0</v>
      </c>
      <c r="HB69">
        <v>0</v>
      </c>
      <c r="HC69">
        <f t="shared" si="86"/>
        <v>0</v>
      </c>
      <c r="HE69" t="s">
        <v>3</v>
      </c>
      <c r="HF69" t="s">
        <v>3</v>
      </c>
      <c r="HM69" t="s">
        <v>3</v>
      </c>
      <c r="HN69" t="s">
        <v>3</v>
      </c>
      <c r="HO69" t="s">
        <v>3</v>
      </c>
      <c r="HP69" t="s">
        <v>3</v>
      </c>
      <c r="HQ69" t="s">
        <v>3</v>
      </c>
      <c r="HS69">
        <v>0</v>
      </c>
      <c r="IK69">
        <v>0</v>
      </c>
    </row>
    <row r="70" spans="1:255" x14ac:dyDescent="0.2">
      <c r="A70" s="2">
        <v>17</v>
      </c>
      <c r="B70" s="2">
        <v>1</v>
      </c>
      <c r="C70" s="2"/>
      <c r="D70" s="2"/>
      <c r="E70" s="2" t="s">
        <v>115</v>
      </c>
      <c r="F70" s="2" t="s">
        <v>116</v>
      </c>
      <c r="G70" s="2" t="s">
        <v>117</v>
      </c>
      <c r="H70" s="2" t="s">
        <v>30</v>
      </c>
      <c r="I70" s="2">
        <v>1</v>
      </c>
      <c r="J70" s="2">
        <v>0</v>
      </c>
      <c r="K70" s="2">
        <v>1</v>
      </c>
      <c r="L70" s="2"/>
      <c r="M70" s="2"/>
      <c r="N70" s="2"/>
      <c r="O70" s="2">
        <f t="shared" si="63"/>
        <v>62216.14</v>
      </c>
      <c r="P70" s="2">
        <f>ROUND((ROUND((AC70*I70),2)*BC70),2)</f>
        <v>62216.14</v>
      </c>
      <c r="Q70" s="2">
        <f>(ROUND((ROUND(((ET70)*AV70*I70),2)*BB70),2)+ROUND((ROUND(((AE70-(EU70))*AV70*I70),2)*BS70),2))</f>
        <v>0</v>
      </c>
      <c r="R70" s="2">
        <f>(ROUND((ROUND(((EU70)*AV70*I70),2)*BS70),2)+ROUND((ROUND(((AE70-(EU70))*AV70*I70),2)*BS70),2))</f>
        <v>0</v>
      </c>
      <c r="S70" s="2">
        <f t="shared" si="64"/>
        <v>0</v>
      </c>
      <c r="T70" s="2">
        <f t="shared" si="65"/>
        <v>0</v>
      </c>
      <c r="U70" s="2">
        <f t="shared" si="66"/>
        <v>0</v>
      </c>
      <c r="V70" s="2">
        <f t="shared" si="67"/>
        <v>0</v>
      </c>
      <c r="W70" s="2">
        <f t="shared" si="68"/>
        <v>0</v>
      </c>
      <c r="X70" s="2">
        <f>(ROUND((((S70+ROUND((ROUND(((EU70)*AV70*I70),2)*BS70),2))*AT70)/100),2)+ROUND(((ROUND((ROUND(((AE70-(EU70))*AV70*I70),2)*BS70),2)*AT70)/100),2))</f>
        <v>0</v>
      </c>
      <c r="Y70" s="2">
        <f>(ROUND((((S70+ROUND((ROUND(((EU70)*AV70*I70),2)*BS70),2))*AU70)/100),2)+ROUND(((ROUND((ROUND(((AE70-(EU70))*AV70*I70),2)*BS70),2)*AU70)/100),2))</f>
        <v>0</v>
      </c>
      <c r="Z70" s="2"/>
      <c r="AA70" s="2">
        <v>60258064</v>
      </c>
      <c r="AB70" s="2">
        <f t="shared" si="69"/>
        <v>62216.14</v>
      </c>
      <c r="AC70" s="2">
        <f t="shared" si="70"/>
        <v>62216.14</v>
      </c>
      <c r="AD70" s="2">
        <f>ROUND((((ET70)-(EU70))+AE70),6)</f>
        <v>0</v>
      </c>
      <c r="AE70" s="2">
        <f>ROUND((EU70),6)</f>
        <v>0</v>
      </c>
      <c r="AF70" s="2">
        <f>ROUND((EV70),6)</f>
        <v>0</v>
      </c>
      <c r="AG70" s="2">
        <f t="shared" si="71"/>
        <v>0</v>
      </c>
      <c r="AH70" s="2">
        <f>(EW70)</f>
        <v>0</v>
      </c>
      <c r="AI70" s="2">
        <f>(EX70)</f>
        <v>0</v>
      </c>
      <c r="AJ70" s="2">
        <f t="shared" si="72"/>
        <v>0</v>
      </c>
      <c r="AK70" s="2">
        <v>62216.139999999992</v>
      </c>
      <c r="AL70" s="2">
        <v>62216.139999999992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1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3</v>
      </c>
      <c r="BI70" s="2">
        <v>3</v>
      </c>
      <c r="BJ70" s="2" t="s">
        <v>3</v>
      </c>
      <c r="BK70" s="2"/>
      <c r="BL70" s="2"/>
      <c r="BM70" s="2">
        <v>746</v>
      </c>
      <c r="BN70" s="2">
        <v>0</v>
      </c>
      <c r="BO70" s="2" t="s">
        <v>3</v>
      </c>
      <c r="BP70" s="2">
        <v>0</v>
      </c>
      <c r="BQ70" s="2">
        <v>130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0</v>
      </c>
      <c r="CA70" s="2">
        <v>0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3</v>
      </c>
      <c r="CO70" s="2">
        <v>0</v>
      </c>
      <c r="CP70" s="2">
        <f t="shared" si="73"/>
        <v>62216.14</v>
      </c>
      <c r="CQ70" s="2">
        <f>ROUND((ROUND((AC70*1),2)*BC70),2)</f>
        <v>62216.14</v>
      </c>
      <c r="CR70" s="2">
        <f>(ROUND((ROUND(((ET70)*AV70*1),2)*BB70),2)+ROUND((ROUND(((AE70-(EU70))*AV70*1),2)*BS70),2))</f>
        <v>0</v>
      </c>
      <c r="CS70" s="2">
        <f>(ROUND((ROUND(((EU70)*AV70*1),2)*BS70),2)+ROUND((ROUND(((AE70-(EU70))*AV70*1),2)*BS70),2))</f>
        <v>0</v>
      </c>
      <c r="CT70" s="2">
        <f t="shared" si="74"/>
        <v>0</v>
      </c>
      <c r="CU70" s="2">
        <f t="shared" si="75"/>
        <v>0</v>
      </c>
      <c r="CV70" s="2">
        <f t="shared" si="76"/>
        <v>0</v>
      </c>
      <c r="CW70" s="2">
        <f t="shared" si="77"/>
        <v>0</v>
      </c>
      <c r="CX70" s="2">
        <f t="shared" si="78"/>
        <v>0</v>
      </c>
      <c r="CY70" s="2">
        <f>(ROUND((((S70+ROUND((ROUND(((EU70)*AV70*1),2)*BS70),2))*AT70)/100),2)+ROUND(((ROUND((ROUND(((AE70-(EU70))*AV70*1),2)*BS70),2)*AT70)/100),2))</f>
        <v>0</v>
      </c>
      <c r="CZ70" s="2">
        <f>(ROUND((((S70+ROUND((ROUND(((EU70)*AV70*1),2)*BS70),2))*AU70)/100),2)+ROUND(((ROUND((ROUND(((AE70-(EU70))*AV70*1),2)*BS70),2)*AU70)/100),2))</f>
        <v>0</v>
      </c>
      <c r="DA70" s="2"/>
      <c r="DB70" s="2"/>
      <c r="DC70" s="2" t="s">
        <v>3</v>
      </c>
      <c r="DD70" s="2" t="s">
        <v>3</v>
      </c>
      <c r="DE70" s="2" t="s">
        <v>3</v>
      </c>
      <c r="DF70" s="2" t="s">
        <v>3</v>
      </c>
      <c r="DG70" s="2" t="s">
        <v>3</v>
      </c>
      <c r="DH70" s="2" t="s">
        <v>3</v>
      </c>
      <c r="DI70" s="2" t="s">
        <v>3</v>
      </c>
      <c r="DJ70" s="2" t="s">
        <v>3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1013</v>
      </c>
      <c r="DV70" s="2" t="s">
        <v>30</v>
      </c>
      <c r="DW70" s="2" t="s">
        <v>30</v>
      </c>
      <c r="DX70" s="2">
        <v>1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60088638</v>
      </c>
      <c r="EF70" s="2">
        <v>130</v>
      </c>
      <c r="EG70" s="2" t="s">
        <v>31</v>
      </c>
      <c r="EH70" s="2">
        <v>0</v>
      </c>
      <c r="EI70" s="2" t="s">
        <v>3</v>
      </c>
      <c r="EJ70" s="2">
        <v>3</v>
      </c>
      <c r="EK70" s="2">
        <v>746</v>
      </c>
      <c r="EL70" s="2" t="s">
        <v>32</v>
      </c>
      <c r="EM70" s="2" t="s">
        <v>33</v>
      </c>
      <c r="EN70" s="2"/>
      <c r="EO70" s="2" t="s">
        <v>3</v>
      </c>
      <c r="EP70" s="2"/>
      <c r="EQ70" s="2">
        <v>0</v>
      </c>
      <c r="ER70" s="2">
        <v>0</v>
      </c>
      <c r="ES70" s="2">
        <v>62216.139999999992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f>P70</f>
        <v>62216.14</v>
      </c>
      <c r="FS70" s="2">
        <v>0</v>
      </c>
      <c r="FT70" s="2"/>
      <c r="FU70" s="2"/>
      <c r="FV70" s="2"/>
      <c r="FW70" s="2"/>
      <c r="FX70" s="2">
        <v>0</v>
      </c>
      <c r="FY70" s="2">
        <v>0</v>
      </c>
      <c r="FZ70" s="2"/>
      <c r="GA70" s="2" t="s">
        <v>118</v>
      </c>
      <c r="GB70" s="2"/>
      <c r="GC70" s="2"/>
      <c r="GD70" s="2">
        <v>1</v>
      </c>
      <c r="GE70" s="2"/>
      <c r="GF70" s="2">
        <v>2015310264</v>
      </c>
      <c r="GG70" s="2">
        <v>2</v>
      </c>
      <c r="GH70" s="2">
        <v>4</v>
      </c>
      <c r="GI70" s="2">
        <v>-2</v>
      </c>
      <c r="GJ70" s="2">
        <v>0</v>
      </c>
      <c r="GK70" s="2">
        <v>0</v>
      </c>
      <c r="GL70" s="2">
        <f t="shared" si="79"/>
        <v>0</v>
      </c>
      <c r="GM70" s="2">
        <f t="shared" si="80"/>
        <v>62216.14</v>
      </c>
      <c r="GN70" s="2">
        <f t="shared" si="81"/>
        <v>0</v>
      </c>
      <c r="GO70" s="2">
        <f t="shared" si="82"/>
        <v>0</v>
      </c>
      <c r="GP70" s="2">
        <f t="shared" si="83"/>
        <v>0</v>
      </c>
      <c r="GQ70" s="2"/>
      <c r="GR70" s="2">
        <v>0</v>
      </c>
      <c r="GS70" s="2">
        <v>2</v>
      </c>
      <c r="GT70" s="2">
        <v>0</v>
      </c>
      <c r="GU70" s="2" t="s">
        <v>3</v>
      </c>
      <c r="GV70" s="2">
        <f t="shared" si="84"/>
        <v>0</v>
      </c>
      <c r="GW70" s="2">
        <v>1</v>
      </c>
      <c r="GX70" s="2">
        <f t="shared" si="85"/>
        <v>0</v>
      </c>
      <c r="GY70" s="2"/>
      <c r="GZ70" s="2"/>
      <c r="HA70" s="2">
        <v>0</v>
      </c>
      <c r="HB70" s="2">
        <v>0</v>
      </c>
      <c r="HC70" s="2">
        <f t="shared" si="86"/>
        <v>0</v>
      </c>
      <c r="HD70" s="2"/>
      <c r="HE70" s="2" t="s">
        <v>35</v>
      </c>
      <c r="HF70" s="2" t="s">
        <v>36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">
      <c r="A71">
        <v>17</v>
      </c>
      <c r="B71">
        <v>1</v>
      </c>
      <c r="E71" t="s">
        <v>115</v>
      </c>
      <c r="F71" t="s">
        <v>116</v>
      </c>
      <c r="G71" t="s">
        <v>117</v>
      </c>
      <c r="H71" t="s">
        <v>30</v>
      </c>
      <c r="I71">
        <v>1</v>
      </c>
      <c r="J71">
        <v>0</v>
      </c>
      <c r="K71">
        <v>1</v>
      </c>
      <c r="O71">
        <f t="shared" si="63"/>
        <v>476575.63</v>
      </c>
      <c r="P71">
        <f>ROUND((ROUND((AC71*I71),2)*BC71),2)</f>
        <v>476575.63</v>
      </c>
      <c r="Q71">
        <f>(ROUND((ROUND(((ET71)*AV71*I71),2)*BB71),2)+ROUND((ROUND(((AE71-(EU71))*AV71*I71),2)*BS71),2))</f>
        <v>0</v>
      </c>
      <c r="R71">
        <f>(ROUND((ROUND(((EU71)*AV71*I71),2)*BS71),2)+ROUND((ROUND(((AE71-(EU71))*AV71*I71),2)*BS71),2))</f>
        <v>0</v>
      </c>
      <c r="S71">
        <f t="shared" si="64"/>
        <v>0</v>
      </c>
      <c r="T71">
        <f t="shared" si="65"/>
        <v>0</v>
      </c>
      <c r="U71">
        <f t="shared" si="66"/>
        <v>0</v>
      </c>
      <c r="V71">
        <f t="shared" si="67"/>
        <v>0</v>
      </c>
      <c r="W71">
        <f t="shared" si="68"/>
        <v>0</v>
      </c>
      <c r="X71">
        <f>(ROUND((((S71+ROUND((ROUND(((EU71)*AV71*I71),2)*BS71),2))*AT71)/100),2)+ROUND(((ROUND((ROUND(((AE71-(EU71))*AV71*I71),2)*BS71),2)*AT71)/100),2))</f>
        <v>0</v>
      </c>
      <c r="Y71">
        <f>(ROUND((((S71+ROUND((ROUND(((EU71)*AV71*I71),2)*BS71),2))*AU71)/100),2)+ROUND(((ROUND((ROUND(((AE71-(EU71))*AV71*I71),2)*BS71),2)*AU71)/100),2))</f>
        <v>0</v>
      </c>
      <c r="AA71">
        <v>60258061</v>
      </c>
      <c r="AB71">
        <f t="shared" si="69"/>
        <v>62216.14</v>
      </c>
      <c r="AC71">
        <f t="shared" si="70"/>
        <v>62216.14</v>
      </c>
      <c r="AD71">
        <f>ROUND((((ET71)-(EU71))+AE71),6)</f>
        <v>0</v>
      </c>
      <c r="AE71">
        <f>ROUND((EU71),6)</f>
        <v>0</v>
      </c>
      <c r="AF71">
        <f>ROUND((EV71),6)</f>
        <v>0</v>
      </c>
      <c r="AG71">
        <f t="shared" si="71"/>
        <v>0</v>
      </c>
      <c r="AH71">
        <f>(EW71)</f>
        <v>0</v>
      </c>
      <c r="AI71">
        <f>(EX71)</f>
        <v>0</v>
      </c>
      <c r="AJ71">
        <f t="shared" si="72"/>
        <v>0</v>
      </c>
      <c r="AK71">
        <v>62216.139999999992</v>
      </c>
      <c r="AL71">
        <v>62216.139999999992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1</v>
      </c>
      <c r="AZ71">
        <v>1</v>
      </c>
      <c r="BA71">
        <v>1</v>
      </c>
      <c r="BB71">
        <v>1</v>
      </c>
      <c r="BC71">
        <v>7.66</v>
      </c>
      <c r="BD71" t="s">
        <v>3</v>
      </c>
      <c r="BE71" t="s">
        <v>3</v>
      </c>
      <c r="BF71" t="s">
        <v>3</v>
      </c>
      <c r="BG71" t="s">
        <v>3</v>
      </c>
      <c r="BH71">
        <v>3</v>
      </c>
      <c r="BI71">
        <v>3</v>
      </c>
      <c r="BJ71" t="s">
        <v>3</v>
      </c>
      <c r="BM71">
        <v>746</v>
      </c>
      <c r="BN71">
        <v>0</v>
      </c>
      <c r="BO71" t="s">
        <v>3</v>
      </c>
      <c r="BP71">
        <v>0</v>
      </c>
      <c r="BQ71">
        <v>130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 t="s">
        <v>3</v>
      </c>
      <c r="BZ71">
        <v>0</v>
      </c>
      <c r="CA71">
        <v>0</v>
      </c>
      <c r="CB71" t="s">
        <v>3</v>
      </c>
      <c r="CE71">
        <v>1566</v>
      </c>
      <c r="CF71">
        <v>0</v>
      </c>
      <c r="CG71">
        <v>0</v>
      </c>
      <c r="CM71">
        <v>0</v>
      </c>
      <c r="CN71" t="s">
        <v>3</v>
      </c>
      <c r="CO71">
        <v>0</v>
      </c>
      <c r="CP71">
        <f t="shared" si="73"/>
        <v>476575.63</v>
      </c>
      <c r="CQ71">
        <f>ROUND((ROUND((AC71*1),2)*BC71),2)</f>
        <v>476575.63</v>
      </c>
      <c r="CR71">
        <f>(ROUND((ROUND(((ET71)*AV71*1),2)*BB71),2)+ROUND((ROUND(((AE71-(EU71))*AV71*1),2)*BS71),2))</f>
        <v>0</v>
      </c>
      <c r="CS71">
        <f>(ROUND((ROUND(((EU71)*AV71*1),2)*BS71),2)+ROUND((ROUND(((AE71-(EU71))*AV71*1),2)*BS71),2))</f>
        <v>0</v>
      </c>
      <c r="CT71">
        <f t="shared" si="74"/>
        <v>0</v>
      </c>
      <c r="CU71">
        <f t="shared" si="75"/>
        <v>0</v>
      </c>
      <c r="CV71">
        <f t="shared" si="76"/>
        <v>0</v>
      </c>
      <c r="CW71">
        <f t="shared" si="77"/>
        <v>0</v>
      </c>
      <c r="CX71">
        <f t="shared" si="78"/>
        <v>0</v>
      </c>
      <c r="CY71">
        <f>(ROUND((((S71+ROUND((ROUND(((EU71)*AV71*1),2)*BS71),2))*AT71)/100),2)+ROUND(((ROUND((ROUND(((AE71-(EU71))*AV71*1),2)*BS71),2)*AT71)/100),2))</f>
        <v>0</v>
      </c>
      <c r="CZ71">
        <f>(ROUND((((S71+ROUND((ROUND(((EU71)*AV71*1),2)*BS71),2))*AU71)/100),2)+ROUND(((ROUND((ROUND(((AE71-(EU71))*AV71*1),2)*BS71),2)*AU71)/100),2))</f>
        <v>0</v>
      </c>
      <c r="DC71" t="s">
        <v>3</v>
      </c>
      <c r="DD71" t="s">
        <v>3</v>
      </c>
      <c r="DE71" t="s">
        <v>3</v>
      </c>
      <c r="DF71" t="s">
        <v>3</v>
      </c>
      <c r="DG71" t="s">
        <v>3</v>
      </c>
      <c r="DH71" t="s">
        <v>3</v>
      </c>
      <c r="DI71" t="s">
        <v>3</v>
      </c>
      <c r="DJ71" t="s">
        <v>3</v>
      </c>
      <c r="DK71" t="s">
        <v>3</v>
      </c>
      <c r="DL71" t="s">
        <v>3</v>
      </c>
      <c r="DM71" t="s">
        <v>3</v>
      </c>
      <c r="DN71">
        <v>0</v>
      </c>
      <c r="DO71">
        <v>0</v>
      </c>
      <c r="DP71">
        <v>1</v>
      </c>
      <c r="DQ71">
        <v>1</v>
      </c>
      <c r="DU71">
        <v>1013</v>
      </c>
      <c r="DV71" t="s">
        <v>30</v>
      </c>
      <c r="DW71" t="s">
        <v>30</v>
      </c>
      <c r="DX71">
        <v>1</v>
      </c>
      <c r="DZ71" t="s">
        <v>3</v>
      </c>
      <c r="EA71" t="s">
        <v>3</v>
      </c>
      <c r="EB71" t="s">
        <v>3</v>
      </c>
      <c r="EC71" t="s">
        <v>3</v>
      </c>
      <c r="EE71">
        <v>60088638</v>
      </c>
      <c r="EF71">
        <v>130</v>
      </c>
      <c r="EG71" t="s">
        <v>31</v>
      </c>
      <c r="EH71">
        <v>0</v>
      </c>
      <c r="EI71" t="s">
        <v>3</v>
      </c>
      <c r="EJ71">
        <v>3</v>
      </c>
      <c r="EK71">
        <v>746</v>
      </c>
      <c r="EL71" t="s">
        <v>32</v>
      </c>
      <c r="EM71" t="s">
        <v>33</v>
      </c>
      <c r="EO71" t="s">
        <v>3</v>
      </c>
      <c r="EQ71">
        <v>0</v>
      </c>
      <c r="ER71">
        <v>0</v>
      </c>
      <c r="ES71">
        <v>62216.139999999992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5</v>
      </c>
      <c r="FC71">
        <v>1</v>
      </c>
      <c r="FD71">
        <v>18</v>
      </c>
      <c r="FF71">
        <v>548650</v>
      </c>
      <c r="FQ71">
        <v>0</v>
      </c>
      <c r="FR71">
        <f>P71</f>
        <v>476575.63</v>
      </c>
      <c r="FS71">
        <v>0</v>
      </c>
      <c r="FX71">
        <v>0</v>
      </c>
      <c r="FY71">
        <v>0</v>
      </c>
      <c r="GA71" t="s">
        <v>118</v>
      </c>
      <c r="GD71">
        <v>1</v>
      </c>
      <c r="GF71">
        <v>2015310264</v>
      </c>
      <c r="GG71">
        <v>2</v>
      </c>
      <c r="GH71">
        <v>3</v>
      </c>
      <c r="GI71">
        <v>5</v>
      </c>
      <c r="GJ71">
        <v>0</v>
      </c>
      <c r="GK71">
        <v>0</v>
      </c>
      <c r="GL71">
        <f t="shared" si="79"/>
        <v>0</v>
      </c>
      <c r="GM71">
        <f t="shared" si="80"/>
        <v>476575.63</v>
      </c>
      <c r="GN71">
        <f t="shared" si="81"/>
        <v>0</v>
      </c>
      <c r="GO71">
        <f t="shared" si="82"/>
        <v>0</v>
      </c>
      <c r="GP71">
        <f t="shared" si="83"/>
        <v>0</v>
      </c>
      <c r="GR71">
        <v>1</v>
      </c>
      <c r="GS71">
        <v>1</v>
      </c>
      <c r="GT71">
        <v>0</v>
      </c>
      <c r="GU71" t="s">
        <v>3</v>
      </c>
      <c r="GV71">
        <f t="shared" si="84"/>
        <v>0</v>
      </c>
      <c r="GW71">
        <v>1</v>
      </c>
      <c r="GX71">
        <f t="shared" si="85"/>
        <v>0</v>
      </c>
      <c r="HA71">
        <v>0</v>
      </c>
      <c r="HB71">
        <v>0</v>
      </c>
      <c r="HC71">
        <f t="shared" si="86"/>
        <v>0</v>
      </c>
      <c r="HE71" t="s">
        <v>35</v>
      </c>
      <c r="HF71" t="s">
        <v>36</v>
      </c>
      <c r="HM71" t="s">
        <v>3</v>
      </c>
      <c r="HN71" t="s">
        <v>3</v>
      </c>
      <c r="HO71" t="s">
        <v>3</v>
      </c>
      <c r="HP71" t="s">
        <v>3</v>
      </c>
      <c r="HQ71" t="s">
        <v>3</v>
      </c>
      <c r="HS71">
        <v>0</v>
      </c>
      <c r="IK71">
        <v>0</v>
      </c>
    </row>
    <row r="72" spans="1:255" x14ac:dyDescent="0.2">
      <c r="A72" s="2">
        <v>17</v>
      </c>
      <c r="B72" s="2">
        <v>1</v>
      </c>
      <c r="C72" s="2">
        <f>ROW(SmtRes!A76)</f>
        <v>76</v>
      </c>
      <c r="D72" s="2">
        <f>ROW(EtalonRes!A97)</f>
        <v>97</v>
      </c>
      <c r="E72" s="2" t="s">
        <v>119</v>
      </c>
      <c r="F72" s="2" t="s">
        <v>120</v>
      </c>
      <c r="G72" s="2" t="s">
        <v>121</v>
      </c>
      <c r="H72" s="2" t="s">
        <v>39</v>
      </c>
      <c r="I72" s="2">
        <v>8</v>
      </c>
      <c r="J72" s="2">
        <v>0</v>
      </c>
      <c r="K72" s="2">
        <v>8</v>
      </c>
      <c r="L72" s="2"/>
      <c r="M72" s="2"/>
      <c r="N72" s="2"/>
      <c r="O72" s="2">
        <f t="shared" si="63"/>
        <v>388.83</v>
      </c>
      <c r="P72" s="2">
        <f>ROUND((ROUND((AC72*AW72*I72),2)*BC72),2)</f>
        <v>18.72</v>
      </c>
      <c r="Q72" s="2">
        <f>(ROUND((ROUND((((ET72*1.1))*AV72*I72),2)*BB72),2)+ROUND((ROUND(((AE72-((EU72*1.1)))*AV72*I72),2)*BS72),2))</f>
        <v>0</v>
      </c>
      <c r="R72" s="2">
        <f>(ROUND((ROUND((((EU72*1.1))*AV72*I72),2)*BS72),2)+ROUND((ROUND(((AE72-((EU72*1.1)))*AV72*I72),2)*BS72),2))</f>
        <v>0</v>
      </c>
      <c r="S72" s="2">
        <f t="shared" si="64"/>
        <v>370.11</v>
      </c>
      <c r="T72" s="2">
        <f t="shared" si="65"/>
        <v>0</v>
      </c>
      <c r="U72" s="2">
        <f t="shared" si="66"/>
        <v>29.299248000000002</v>
      </c>
      <c r="V72" s="2">
        <f t="shared" si="67"/>
        <v>0</v>
      </c>
      <c r="W72" s="2">
        <f t="shared" si="68"/>
        <v>0</v>
      </c>
      <c r="X72" s="2">
        <f>(ROUND((((S72+ROUND((ROUND((((EU72*1.1))*AV72*I72),2)*BS72),2))*AT72)/100),2)+ROUND(((ROUND((ROUND(((AE72-((EU72*1.1)))*AV72*I72),2)*BS72),2)*AT72)/100),2))</f>
        <v>333.1</v>
      </c>
      <c r="Y72" s="2">
        <f>(ROUND((((S72+ROUND((ROUND((((EU72*1.1))*AV72*I72),2)*BS72),2))*AU72)/100),2)+ROUND(((ROUND((ROUND(((AE72-((EU72*1.1)))*AV72*I72),2)*BS72),2)*AU72)/100),2))</f>
        <v>170.25</v>
      </c>
      <c r="Z72" s="2"/>
      <c r="AA72" s="2">
        <v>60258064</v>
      </c>
      <c r="AB72" s="2">
        <f t="shared" si="69"/>
        <v>46.527000000000001</v>
      </c>
      <c r="AC72" s="2">
        <f t="shared" si="70"/>
        <v>2.34</v>
      </c>
      <c r="AD72" s="2">
        <f>ROUND(((((ET72*1.1))-((EU72*1.1)))+AE72),6)</f>
        <v>0</v>
      </c>
      <c r="AE72" s="2">
        <f>ROUND(((EU72*1.1)),6)</f>
        <v>0</v>
      </c>
      <c r="AF72" s="2">
        <f>ROUND(((EV72*1.1)),6)</f>
        <v>44.186999999999998</v>
      </c>
      <c r="AG72" s="2">
        <f t="shared" si="71"/>
        <v>0</v>
      </c>
      <c r="AH72" s="2">
        <f>((EW72*1.1))</f>
        <v>3.4980000000000007</v>
      </c>
      <c r="AI72" s="2">
        <f>((EX72*1.1))</f>
        <v>0</v>
      </c>
      <c r="AJ72" s="2">
        <f t="shared" si="72"/>
        <v>0</v>
      </c>
      <c r="AK72" s="2">
        <v>42.51</v>
      </c>
      <c r="AL72" s="2">
        <v>2.34</v>
      </c>
      <c r="AM72" s="2">
        <v>0</v>
      </c>
      <c r="AN72" s="2">
        <v>0</v>
      </c>
      <c r="AO72" s="2">
        <v>40.17</v>
      </c>
      <c r="AP72" s="2">
        <v>0</v>
      </c>
      <c r="AQ72" s="2">
        <v>3.18</v>
      </c>
      <c r="AR72" s="2">
        <v>0</v>
      </c>
      <c r="AS72" s="2">
        <v>0</v>
      </c>
      <c r="AT72" s="2">
        <v>90</v>
      </c>
      <c r="AU72" s="2">
        <v>46</v>
      </c>
      <c r="AV72" s="2">
        <v>1.0469999999999999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0</v>
      </c>
      <c r="BI72" s="2">
        <v>2</v>
      </c>
      <c r="BJ72" s="2" t="s">
        <v>122</v>
      </c>
      <c r="BK72" s="2"/>
      <c r="BL72" s="2"/>
      <c r="BM72" s="2">
        <v>68</v>
      </c>
      <c r="BN72" s="2">
        <v>58973116</v>
      </c>
      <c r="BO72" s="2" t="s">
        <v>120</v>
      </c>
      <c r="BP72" s="2">
        <v>1</v>
      </c>
      <c r="BQ72" s="2">
        <v>40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90</v>
      </c>
      <c r="CA72" s="2">
        <v>46</v>
      </c>
      <c r="CB72" s="2" t="s">
        <v>3</v>
      </c>
      <c r="CC72" s="2"/>
      <c r="CD72" s="2"/>
      <c r="CE72" s="2">
        <v>1566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377</v>
      </c>
      <c r="CO72" s="2">
        <v>0</v>
      </c>
      <c r="CP72" s="2">
        <f t="shared" si="73"/>
        <v>388.83000000000004</v>
      </c>
      <c r="CQ72" s="2">
        <f>ROUND((ROUND((AC72*AW72*1),2)*BC72),2)</f>
        <v>2.34</v>
      </c>
      <c r="CR72" s="2">
        <f>(ROUND((ROUND((((ET72*1.1))*AV72*1),2)*BB72),2)+ROUND((ROUND(((AE72-((EU72*1.1)))*AV72*1),2)*BS72),2))</f>
        <v>0</v>
      </c>
      <c r="CS72" s="2">
        <f>(ROUND((ROUND((((EU72*1.1))*AV72*1),2)*BS72),2)+ROUND((ROUND(((AE72-((EU72*1.1)))*AV72*1),2)*BS72),2))</f>
        <v>0</v>
      </c>
      <c r="CT72" s="2">
        <f t="shared" si="74"/>
        <v>46.26</v>
      </c>
      <c r="CU72" s="2">
        <f t="shared" si="75"/>
        <v>0</v>
      </c>
      <c r="CV72" s="2">
        <f t="shared" si="76"/>
        <v>3.6624060000000003</v>
      </c>
      <c r="CW72" s="2">
        <f t="shared" si="77"/>
        <v>0</v>
      </c>
      <c r="CX72" s="2">
        <f t="shared" si="78"/>
        <v>0</v>
      </c>
      <c r="CY72" s="2">
        <f>(ROUND((((S72+ROUND((ROUND((((EU72*1.1))*AV72*1),2)*BS72),2))*AT72)/100),2)+ROUND(((ROUND((ROUND(((AE72-((EU72*1.1)))*AV72*1),2)*BS72),2)*AT72)/100),2))</f>
        <v>333.1</v>
      </c>
      <c r="CZ72" s="2">
        <f>(ROUND((((S72+ROUND((ROUND((((EU72*1.1))*AV72*1),2)*BS72),2))*AU72)/100),2)+ROUND(((ROUND((ROUND(((AE72-((EU72*1.1)))*AV72*1),2)*BS72),2)*AU72)/100),2))</f>
        <v>170.25</v>
      </c>
      <c r="DA72" s="2"/>
      <c r="DB72" s="2">
        <v>19</v>
      </c>
      <c r="DC72" s="2" t="s">
        <v>3</v>
      </c>
      <c r="DD72" s="2" t="s">
        <v>3</v>
      </c>
      <c r="DE72" s="2" t="s">
        <v>23</v>
      </c>
      <c r="DF72" s="2" t="s">
        <v>23</v>
      </c>
      <c r="DG72" s="2" t="s">
        <v>23</v>
      </c>
      <c r="DH72" s="2" t="s">
        <v>3</v>
      </c>
      <c r="DI72" s="2" t="s">
        <v>23</v>
      </c>
      <c r="DJ72" s="2" t="s">
        <v>23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1013</v>
      </c>
      <c r="DV72" s="2" t="s">
        <v>39</v>
      </c>
      <c r="DW72" s="2" t="s">
        <v>39</v>
      </c>
      <c r="DX72" s="2">
        <v>1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60088532</v>
      </c>
      <c r="EF72" s="2">
        <v>40</v>
      </c>
      <c r="EG72" s="2" t="s">
        <v>24</v>
      </c>
      <c r="EH72" s="2">
        <v>0</v>
      </c>
      <c r="EI72" s="2" t="s">
        <v>3</v>
      </c>
      <c r="EJ72" s="2">
        <v>2</v>
      </c>
      <c r="EK72" s="2">
        <v>68</v>
      </c>
      <c r="EL72" s="2" t="s">
        <v>25</v>
      </c>
      <c r="EM72" s="2" t="s">
        <v>26</v>
      </c>
      <c r="EN72" s="2"/>
      <c r="EO72" s="2" t="s">
        <v>27</v>
      </c>
      <c r="EP72" s="2"/>
      <c r="EQ72" s="2">
        <v>0</v>
      </c>
      <c r="ER72" s="2">
        <v>42.51</v>
      </c>
      <c r="ES72" s="2">
        <v>2.34</v>
      </c>
      <c r="ET72" s="2">
        <v>0</v>
      </c>
      <c r="EU72" s="2">
        <v>0</v>
      </c>
      <c r="EV72" s="2">
        <v>40.17</v>
      </c>
      <c r="EW72" s="2">
        <v>3.18</v>
      </c>
      <c r="EX72" s="2">
        <v>0</v>
      </c>
      <c r="EY72" s="2">
        <v>0</v>
      </c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90</v>
      </c>
      <c r="FY72" s="2">
        <v>46</v>
      </c>
      <c r="FZ72" s="2"/>
      <c r="GA72" s="2" t="s">
        <v>3</v>
      </c>
      <c r="GB72" s="2"/>
      <c r="GC72" s="2"/>
      <c r="GD72" s="2">
        <v>1</v>
      </c>
      <c r="GE72" s="2"/>
      <c r="GF72" s="2">
        <v>1548884140</v>
      </c>
      <c r="GG72" s="2">
        <v>2</v>
      </c>
      <c r="GH72" s="2">
        <v>1</v>
      </c>
      <c r="GI72" s="2">
        <v>2</v>
      </c>
      <c r="GJ72" s="2">
        <v>0</v>
      </c>
      <c r="GK72" s="2">
        <v>0</v>
      </c>
      <c r="GL72" s="2">
        <f t="shared" si="79"/>
        <v>0</v>
      </c>
      <c r="GM72" s="2">
        <f t="shared" si="80"/>
        <v>892.18</v>
      </c>
      <c r="GN72" s="2">
        <f t="shared" si="81"/>
        <v>0</v>
      </c>
      <c r="GO72" s="2">
        <f t="shared" si="82"/>
        <v>892.18</v>
      </c>
      <c r="GP72" s="2">
        <f t="shared" si="83"/>
        <v>0</v>
      </c>
      <c r="GQ72" s="2"/>
      <c r="GR72" s="2">
        <v>0</v>
      </c>
      <c r="GS72" s="2">
        <v>3</v>
      </c>
      <c r="GT72" s="2">
        <v>0</v>
      </c>
      <c r="GU72" s="2" t="s">
        <v>3</v>
      </c>
      <c r="GV72" s="2">
        <f t="shared" si="84"/>
        <v>0</v>
      </c>
      <c r="GW72" s="2">
        <v>1</v>
      </c>
      <c r="GX72" s="2">
        <f t="shared" si="85"/>
        <v>0</v>
      </c>
      <c r="GY72" s="2"/>
      <c r="GZ72" s="2"/>
      <c r="HA72" s="2">
        <v>0</v>
      </c>
      <c r="HB72" s="2">
        <v>0</v>
      </c>
      <c r="HC72" s="2">
        <f t="shared" si="86"/>
        <v>0</v>
      </c>
      <c r="HD72" s="2"/>
      <c r="HE72" s="2" t="s">
        <v>3</v>
      </c>
      <c r="HF72" s="2" t="s">
        <v>3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">
      <c r="A73">
        <v>17</v>
      </c>
      <c r="B73">
        <v>1</v>
      </c>
      <c r="C73">
        <f>ROW(SmtRes!A80)</f>
        <v>80</v>
      </c>
      <c r="D73">
        <f>ROW(EtalonRes!A102)</f>
        <v>102</v>
      </c>
      <c r="E73" t="s">
        <v>119</v>
      </c>
      <c r="F73" t="s">
        <v>120</v>
      </c>
      <c r="G73" t="s">
        <v>121</v>
      </c>
      <c r="H73" t="s">
        <v>39</v>
      </c>
      <c r="I73">
        <v>8</v>
      </c>
      <c r="J73">
        <v>0</v>
      </c>
      <c r="K73">
        <v>8</v>
      </c>
      <c r="O73">
        <f t="shared" si="63"/>
        <v>20544.419999999998</v>
      </c>
      <c r="P73">
        <f>ROUND((ROUND((AC73*AW73*I73),2)*BC73),2)</f>
        <v>192.07</v>
      </c>
      <c r="Q73">
        <f>(ROUND((ROUND((((ET73*1.1))*AV73*I73),2)*BB73),2)+ROUND((ROUND(((AE73-((EU73*1.1)))*AV73*I73),2)*BS73),2))</f>
        <v>0</v>
      </c>
      <c r="R73">
        <f>(ROUND((ROUND((((EU73*1.1))*AV73*I73),2)*BS73),2)+ROUND((ROUND(((AE73-((EU73*1.1)))*AV73*I73),2)*BS73),2))</f>
        <v>0</v>
      </c>
      <c r="S73">
        <f t="shared" si="64"/>
        <v>20352.349999999999</v>
      </c>
      <c r="T73">
        <f t="shared" si="65"/>
        <v>0</v>
      </c>
      <c r="U73">
        <f t="shared" si="66"/>
        <v>29.299248000000002</v>
      </c>
      <c r="V73">
        <f t="shared" si="67"/>
        <v>0</v>
      </c>
      <c r="W73">
        <f t="shared" si="68"/>
        <v>0</v>
      </c>
      <c r="X73">
        <f>(ROUND((((S73+ROUND((ROUND((((EU73*1.1))*AV73*I73),2)*BS73),2))*AT73)/100),2)+ROUND(((ROUND((ROUND(((AE73-((EU73*1.1)))*AV73*I73),2)*BS73),2)*AT73)/100),2))</f>
        <v>18317.12</v>
      </c>
      <c r="Y73">
        <f>(ROUND((((S73+ROUND((ROUND((((EU73*1.1))*AV73*I73),2)*BS73),2))*AU73)/100),2)+ROUND(((ROUND((ROUND(((AE73-((EU73*1.1)))*AV73*I73),2)*BS73),2)*AU73)/100),2))</f>
        <v>9362.08</v>
      </c>
      <c r="AA73">
        <v>60258061</v>
      </c>
      <c r="AB73">
        <f t="shared" si="69"/>
        <v>46.527000000000001</v>
      </c>
      <c r="AC73">
        <f t="shared" si="70"/>
        <v>2.34</v>
      </c>
      <c r="AD73">
        <f>ROUND(((((ET73*1.1))-((EU73*1.1)))+AE73),6)</f>
        <v>0</v>
      </c>
      <c r="AE73">
        <f>ROUND(((EU73*1.1)),6)</f>
        <v>0</v>
      </c>
      <c r="AF73">
        <f>ROUND(((EV73*1.1)),6)</f>
        <v>44.186999999999998</v>
      </c>
      <c r="AG73">
        <f t="shared" si="71"/>
        <v>0</v>
      </c>
      <c r="AH73">
        <f>((EW73*1.1))</f>
        <v>3.4980000000000007</v>
      </c>
      <c r="AI73">
        <f>((EX73*1.1))</f>
        <v>0</v>
      </c>
      <c r="AJ73">
        <f t="shared" si="72"/>
        <v>0</v>
      </c>
      <c r="AK73">
        <v>42.51</v>
      </c>
      <c r="AL73">
        <v>2.34</v>
      </c>
      <c r="AM73">
        <v>0</v>
      </c>
      <c r="AN73">
        <v>0</v>
      </c>
      <c r="AO73">
        <v>40.17</v>
      </c>
      <c r="AP73">
        <v>0</v>
      </c>
      <c r="AQ73">
        <v>3.18</v>
      </c>
      <c r="AR73">
        <v>0</v>
      </c>
      <c r="AS73">
        <v>0</v>
      </c>
      <c r="AT73">
        <v>90</v>
      </c>
      <c r="AU73">
        <v>46</v>
      </c>
      <c r="AV73">
        <v>1.0469999999999999</v>
      </c>
      <c r="AW73">
        <v>1</v>
      </c>
      <c r="AZ73">
        <v>1</v>
      </c>
      <c r="BA73">
        <v>54.99</v>
      </c>
      <c r="BB73">
        <v>1</v>
      </c>
      <c r="BC73">
        <v>10.26</v>
      </c>
      <c r="BD73" t="s">
        <v>3</v>
      </c>
      <c r="BE73" t="s">
        <v>3</v>
      </c>
      <c r="BF73" t="s">
        <v>3</v>
      </c>
      <c r="BG73" t="s">
        <v>3</v>
      </c>
      <c r="BH73">
        <v>0</v>
      </c>
      <c r="BI73">
        <v>2</v>
      </c>
      <c r="BJ73" t="s">
        <v>122</v>
      </c>
      <c r="BM73">
        <v>68</v>
      </c>
      <c r="BN73">
        <v>58973116</v>
      </c>
      <c r="BO73" t="s">
        <v>120</v>
      </c>
      <c r="BP73">
        <v>1</v>
      </c>
      <c r="BQ73">
        <v>40</v>
      </c>
      <c r="BR73">
        <v>0</v>
      </c>
      <c r="BS73">
        <v>54.99</v>
      </c>
      <c r="BT73">
        <v>1</v>
      </c>
      <c r="BU73">
        <v>1</v>
      </c>
      <c r="BV73">
        <v>1</v>
      </c>
      <c r="BW73">
        <v>1</v>
      </c>
      <c r="BX73">
        <v>1</v>
      </c>
      <c r="BY73" t="s">
        <v>3</v>
      </c>
      <c r="BZ73">
        <v>90</v>
      </c>
      <c r="CA73">
        <v>46</v>
      </c>
      <c r="CB73" t="s">
        <v>3</v>
      </c>
      <c r="CE73">
        <v>1566</v>
      </c>
      <c r="CF73">
        <v>0</v>
      </c>
      <c r="CG73">
        <v>0</v>
      </c>
      <c r="CM73">
        <v>0</v>
      </c>
      <c r="CN73" t="s">
        <v>377</v>
      </c>
      <c r="CO73">
        <v>0</v>
      </c>
      <c r="CP73">
        <f t="shared" si="73"/>
        <v>20544.419999999998</v>
      </c>
      <c r="CQ73">
        <f>ROUND((ROUND((AC73*AW73*1),2)*BC73),2)</f>
        <v>24.01</v>
      </c>
      <c r="CR73">
        <f>(ROUND((ROUND((((ET73*1.1))*AV73*1),2)*BB73),2)+ROUND((ROUND(((AE73-((EU73*1.1)))*AV73*1),2)*BS73),2))</f>
        <v>0</v>
      </c>
      <c r="CS73">
        <f>(ROUND((ROUND((((EU73*1.1))*AV73*1),2)*BS73),2)+ROUND((ROUND(((AE73-((EU73*1.1)))*AV73*1),2)*BS73),2))</f>
        <v>0</v>
      </c>
      <c r="CT73">
        <f t="shared" si="74"/>
        <v>2543.84</v>
      </c>
      <c r="CU73">
        <f t="shared" si="75"/>
        <v>0</v>
      </c>
      <c r="CV73">
        <f t="shared" si="76"/>
        <v>3.6624060000000003</v>
      </c>
      <c r="CW73">
        <f t="shared" si="77"/>
        <v>0</v>
      </c>
      <c r="CX73">
        <f t="shared" si="78"/>
        <v>0</v>
      </c>
      <c r="CY73">
        <f>(ROUND((((S73+ROUND((ROUND((((EU73*1.1))*AV73*1),2)*BS73),2))*AT73)/100),2)+ROUND(((ROUND((ROUND(((AE73-((EU73*1.1)))*AV73*1),2)*BS73),2)*AT73)/100),2))</f>
        <v>18317.12</v>
      </c>
      <c r="CZ73">
        <f>(ROUND((((S73+ROUND((ROUND((((EU73*1.1))*AV73*1),2)*BS73),2))*AU73)/100),2)+ROUND(((ROUND((ROUND(((AE73-((EU73*1.1)))*AV73*1),2)*BS73),2)*AU73)/100),2))</f>
        <v>9362.08</v>
      </c>
      <c r="DB73">
        <v>20</v>
      </c>
      <c r="DC73" t="s">
        <v>3</v>
      </c>
      <c r="DD73" t="s">
        <v>3</v>
      </c>
      <c r="DE73" t="s">
        <v>23</v>
      </c>
      <c r="DF73" t="s">
        <v>23</v>
      </c>
      <c r="DG73" t="s">
        <v>23</v>
      </c>
      <c r="DH73" t="s">
        <v>3</v>
      </c>
      <c r="DI73" t="s">
        <v>23</v>
      </c>
      <c r="DJ73" t="s">
        <v>23</v>
      </c>
      <c r="DK73" t="s">
        <v>3</v>
      </c>
      <c r="DL73" t="s">
        <v>3</v>
      </c>
      <c r="DM73" t="s">
        <v>3</v>
      </c>
      <c r="DN73">
        <v>0</v>
      </c>
      <c r="DO73">
        <v>0</v>
      </c>
      <c r="DP73">
        <v>1</v>
      </c>
      <c r="DQ73">
        <v>1</v>
      </c>
      <c r="DU73">
        <v>1013</v>
      </c>
      <c r="DV73" t="s">
        <v>39</v>
      </c>
      <c r="DW73" t="s">
        <v>39</v>
      </c>
      <c r="DX73">
        <v>1</v>
      </c>
      <c r="DZ73" t="s">
        <v>3</v>
      </c>
      <c r="EA73" t="s">
        <v>3</v>
      </c>
      <c r="EB73" t="s">
        <v>3</v>
      </c>
      <c r="EC73" t="s">
        <v>3</v>
      </c>
      <c r="EE73">
        <v>60088532</v>
      </c>
      <c r="EF73">
        <v>40</v>
      </c>
      <c r="EG73" t="s">
        <v>24</v>
      </c>
      <c r="EH73">
        <v>0</v>
      </c>
      <c r="EI73" t="s">
        <v>3</v>
      </c>
      <c r="EJ73">
        <v>2</v>
      </c>
      <c r="EK73">
        <v>68</v>
      </c>
      <c r="EL73" t="s">
        <v>25</v>
      </c>
      <c r="EM73" t="s">
        <v>26</v>
      </c>
      <c r="EO73" t="s">
        <v>27</v>
      </c>
      <c r="EQ73">
        <v>0</v>
      </c>
      <c r="ER73">
        <v>42.51</v>
      </c>
      <c r="ES73">
        <v>2.34</v>
      </c>
      <c r="ET73">
        <v>0</v>
      </c>
      <c r="EU73">
        <v>0</v>
      </c>
      <c r="EV73">
        <v>40.17</v>
      </c>
      <c r="EW73">
        <v>3.18</v>
      </c>
      <c r="EX73">
        <v>0</v>
      </c>
      <c r="EY73">
        <v>0</v>
      </c>
      <c r="FQ73">
        <v>0</v>
      </c>
      <c r="FR73">
        <v>0</v>
      </c>
      <c r="FS73">
        <v>0</v>
      </c>
      <c r="FX73">
        <v>90</v>
      </c>
      <c r="FY73">
        <v>46</v>
      </c>
      <c r="GA73" t="s">
        <v>3</v>
      </c>
      <c r="GD73">
        <v>1</v>
      </c>
      <c r="GF73">
        <v>1548884140</v>
      </c>
      <c r="GG73">
        <v>2</v>
      </c>
      <c r="GH73">
        <v>1</v>
      </c>
      <c r="GI73">
        <v>2</v>
      </c>
      <c r="GJ73">
        <v>0</v>
      </c>
      <c r="GK73">
        <v>0</v>
      </c>
      <c r="GL73">
        <f t="shared" si="79"/>
        <v>0</v>
      </c>
      <c r="GM73">
        <f t="shared" si="80"/>
        <v>48223.62</v>
      </c>
      <c r="GN73">
        <f t="shared" si="81"/>
        <v>0</v>
      </c>
      <c r="GO73">
        <f t="shared" si="82"/>
        <v>48223.62</v>
      </c>
      <c r="GP73">
        <f t="shared" si="83"/>
        <v>0</v>
      </c>
      <c r="GR73">
        <v>0</v>
      </c>
      <c r="GS73">
        <v>3</v>
      </c>
      <c r="GT73">
        <v>0</v>
      </c>
      <c r="GU73" t="s">
        <v>3</v>
      </c>
      <c r="GV73">
        <f t="shared" si="84"/>
        <v>0</v>
      </c>
      <c r="GW73">
        <v>1</v>
      </c>
      <c r="GX73">
        <f t="shared" si="85"/>
        <v>0</v>
      </c>
      <c r="HA73">
        <v>0</v>
      </c>
      <c r="HB73">
        <v>0</v>
      </c>
      <c r="HC73">
        <f t="shared" si="86"/>
        <v>0</v>
      </c>
      <c r="HE73" t="s">
        <v>3</v>
      </c>
      <c r="HF73" t="s">
        <v>3</v>
      </c>
      <c r="HM73" t="s">
        <v>3</v>
      </c>
      <c r="HN73" t="s">
        <v>3</v>
      </c>
      <c r="HO73" t="s">
        <v>3</v>
      </c>
      <c r="HP73" t="s">
        <v>3</v>
      </c>
      <c r="HQ73" t="s">
        <v>3</v>
      </c>
      <c r="HS73">
        <v>0</v>
      </c>
      <c r="IK73">
        <v>0</v>
      </c>
    </row>
    <row r="74" spans="1:255" x14ac:dyDescent="0.2">
      <c r="A74" s="2">
        <v>17</v>
      </c>
      <c r="B74" s="2">
        <v>1</v>
      </c>
      <c r="C74" s="2"/>
      <c r="D74" s="2"/>
      <c r="E74" s="2" t="s">
        <v>123</v>
      </c>
      <c r="F74" s="2" t="s">
        <v>124</v>
      </c>
      <c r="G74" s="2" t="s">
        <v>125</v>
      </c>
      <c r="H74" s="2" t="s">
        <v>30</v>
      </c>
      <c r="I74" s="2">
        <v>8</v>
      </c>
      <c r="J74" s="2">
        <v>0</v>
      </c>
      <c r="K74" s="2">
        <v>8</v>
      </c>
      <c r="L74" s="2"/>
      <c r="M74" s="2"/>
      <c r="N74" s="2"/>
      <c r="O74" s="2">
        <f t="shared" si="63"/>
        <v>87301.52</v>
      </c>
      <c r="P74" s="2">
        <f>ROUND((ROUND((AC74*I74),2)*BC74),2)</f>
        <v>87301.52</v>
      </c>
      <c r="Q74" s="2">
        <f>(ROUND((ROUND(((ET74)*AV74*I74),2)*BB74),2)+ROUND((ROUND(((AE74-(EU74))*AV74*I74),2)*BS74),2))</f>
        <v>0</v>
      </c>
      <c r="R74" s="2">
        <f>(ROUND((ROUND(((EU74)*AV74*I74),2)*BS74),2)+ROUND((ROUND(((AE74-(EU74))*AV74*I74),2)*BS74),2))</f>
        <v>0</v>
      </c>
      <c r="S74" s="2">
        <f t="shared" si="64"/>
        <v>0</v>
      </c>
      <c r="T74" s="2">
        <f t="shared" si="65"/>
        <v>0</v>
      </c>
      <c r="U74" s="2">
        <f t="shared" si="66"/>
        <v>0</v>
      </c>
      <c r="V74" s="2">
        <f t="shared" si="67"/>
        <v>0</v>
      </c>
      <c r="W74" s="2">
        <f t="shared" si="68"/>
        <v>0</v>
      </c>
      <c r="X74" s="2">
        <f>(ROUND((((S74+ROUND((ROUND(((EU74)*AV74*I74),2)*BS74),2))*AT74)/100),2)+ROUND(((ROUND((ROUND(((AE74-(EU74))*AV74*I74),2)*BS74),2)*AT74)/100),2))</f>
        <v>0</v>
      </c>
      <c r="Y74" s="2">
        <f>(ROUND((((S74+ROUND((ROUND(((EU74)*AV74*I74),2)*BS74),2))*AU74)/100),2)+ROUND(((ROUND((ROUND(((AE74-(EU74))*AV74*I74),2)*BS74),2)*AU74)/100),2))</f>
        <v>0</v>
      </c>
      <c r="Z74" s="2"/>
      <c r="AA74" s="2">
        <v>60258064</v>
      </c>
      <c r="AB74" s="2">
        <f t="shared" si="69"/>
        <v>10912.69</v>
      </c>
      <c r="AC74" s="2">
        <f t="shared" si="70"/>
        <v>10912.69</v>
      </c>
      <c r="AD74" s="2">
        <f>ROUND((((ET74)-(EU74))+AE74),6)</f>
        <v>0</v>
      </c>
      <c r="AE74" s="2">
        <f t="shared" ref="AE74:AF77" si="89">ROUND((EU74),6)</f>
        <v>0</v>
      </c>
      <c r="AF74" s="2">
        <f t="shared" si="89"/>
        <v>0</v>
      </c>
      <c r="AG74" s="2">
        <f t="shared" si="71"/>
        <v>0</v>
      </c>
      <c r="AH74" s="2">
        <f t="shared" ref="AH74:AI77" si="90">(EW74)</f>
        <v>0</v>
      </c>
      <c r="AI74" s="2">
        <f t="shared" si="90"/>
        <v>0</v>
      </c>
      <c r="AJ74" s="2">
        <f t="shared" si="72"/>
        <v>0</v>
      </c>
      <c r="AK74" s="2">
        <v>10912.689999999999</v>
      </c>
      <c r="AL74" s="2">
        <v>10912.689999999999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1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3</v>
      </c>
      <c r="BI74" s="2">
        <v>3</v>
      </c>
      <c r="BJ74" s="2" t="s">
        <v>3</v>
      </c>
      <c r="BK74" s="2"/>
      <c r="BL74" s="2"/>
      <c r="BM74" s="2">
        <v>746</v>
      </c>
      <c r="BN74" s="2">
        <v>0</v>
      </c>
      <c r="BO74" s="2" t="s">
        <v>3</v>
      </c>
      <c r="BP74" s="2">
        <v>0</v>
      </c>
      <c r="BQ74" s="2">
        <v>130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0</v>
      </c>
      <c r="CA74" s="2">
        <v>0</v>
      </c>
      <c r="CB74" s="2" t="s">
        <v>3</v>
      </c>
      <c r="CC74" s="2"/>
      <c r="CD74" s="2"/>
      <c r="CE74" s="2">
        <v>1566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3</v>
      </c>
      <c r="CO74" s="2">
        <v>0</v>
      </c>
      <c r="CP74" s="2">
        <f t="shared" si="73"/>
        <v>87301.52</v>
      </c>
      <c r="CQ74" s="2">
        <f>ROUND((ROUND((AC74*1),2)*BC74),2)</f>
        <v>10912.69</v>
      </c>
      <c r="CR74" s="2">
        <f>(ROUND((ROUND(((ET74)*AV74*1),2)*BB74),2)+ROUND((ROUND(((AE74-(EU74))*AV74*1),2)*BS74),2))</f>
        <v>0</v>
      </c>
      <c r="CS74" s="2">
        <f>(ROUND((ROUND(((EU74)*AV74*1),2)*BS74),2)+ROUND((ROUND(((AE74-(EU74))*AV74*1),2)*BS74),2))</f>
        <v>0</v>
      </c>
      <c r="CT74" s="2">
        <f t="shared" si="74"/>
        <v>0</v>
      </c>
      <c r="CU74" s="2">
        <f t="shared" si="75"/>
        <v>0</v>
      </c>
      <c r="CV74" s="2">
        <f t="shared" si="76"/>
        <v>0</v>
      </c>
      <c r="CW74" s="2">
        <f t="shared" si="77"/>
        <v>0</v>
      </c>
      <c r="CX74" s="2">
        <f t="shared" si="78"/>
        <v>0</v>
      </c>
      <c r="CY74" s="2">
        <f>(ROUND((((S74+ROUND((ROUND(((EU74)*AV74*1),2)*BS74),2))*AT74)/100),2)+ROUND(((ROUND((ROUND(((AE74-(EU74))*AV74*1),2)*BS74),2)*AT74)/100),2))</f>
        <v>0</v>
      </c>
      <c r="CZ74" s="2">
        <f>(ROUND((((S74+ROUND((ROUND(((EU74)*AV74*1),2)*BS74),2))*AU74)/100),2)+ROUND(((ROUND((ROUND(((AE74-(EU74))*AV74*1),2)*BS74),2)*AU74)/100),2))</f>
        <v>0</v>
      </c>
      <c r="DA74" s="2"/>
      <c r="DB74" s="2"/>
      <c r="DC74" s="2" t="s">
        <v>3</v>
      </c>
      <c r="DD74" s="2" t="s">
        <v>3</v>
      </c>
      <c r="DE74" s="2" t="s">
        <v>3</v>
      </c>
      <c r="DF74" s="2" t="s">
        <v>3</v>
      </c>
      <c r="DG74" s="2" t="s">
        <v>3</v>
      </c>
      <c r="DH74" s="2" t="s">
        <v>3</v>
      </c>
      <c r="DI74" s="2" t="s">
        <v>3</v>
      </c>
      <c r="DJ74" s="2" t="s">
        <v>3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>
        <v>1013</v>
      </c>
      <c r="DV74" s="2" t="s">
        <v>30</v>
      </c>
      <c r="DW74" s="2" t="s">
        <v>30</v>
      </c>
      <c r="DX74" s="2">
        <v>1</v>
      </c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60088638</v>
      </c>
      <c r="EF74" s="2">
        <v>130</v>
      </c>
      <c r="EG74" s="2" t="s">
        <v>31</v>
      </c>
      <c r="EH74" s="2">
        <v>0</v>
      </c>
      <c r="EI74" s="2" t="s">
        <v>3</v>
      </c>
      <c r="EJ74" s="2">
        <v>3</v>
      </c>
      <c r="EK74" s="2">
        <v>746</v>
      </c>
      <c r="EL74" s="2" t="s">
        <v>32</v>
      </c>
      <c r="EM74" s="2" t="s">
        <v>33</v>
      </c>
      <c r="EN74" s="2"/>
      <c r="EO74" s="2" t="s">
        <v>3</v>
      </c>
      <c r="EP74" s="2"/>
      <c r="EQ74" s="2">
        <v>0</v>
      </c>
      <c r="ER74" s="2">
        <v>0</v>
      </c>
      <c r="ES74" s="2">
        <v>10912.689999999999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f>P74</f>
        <v>87301.52</v>
      </c>
      <c r="FS74" s="2">
        <v>0</v>
      </c>
      <c r="FT74" s="2"/>
      <c r="FU74" s="2"/>
      <c r="FV74" s="2"/>
      <c r="FW74" s="2"/>
      <c r="FX74" s="2">
        <v>0</v>
      </c>
      <c r="FY74" s="2">
        <v>0</v>
      </c>
      <c r="FZ74" s="2"/>
      <c r="GA74" s="2" t="s">
        <v>126</v>
      </c>
      <c r="GB74" s="2"/>
      <c r="GC74" s="2"/>
      <c r="GD74" s="2">
        <v>1</v>
      </c>
      <c r="GE74" s="2"/>
      <c r="GF74" s="2">
        <v>480441263</v>
      </c>
      <c r="GG74" s="2">
        <v>2</v>
      </c>
      <c r="GH74" s="2">
        <v>4</v>
      </c>
      <c r="GI74" s="2">
        <v>-2</v>
      </c>
      <c r="GJ74" s="2">
        <v>0</v>
      </c>
      <c r="GK74" s="2">
        <v>0</v>
      </c>
      <c r="GL74" s="2">
        <f t="shared" si="79"/>
        <v>0</v>
      </c>
      <c r="GM74" s="2">
        <f t="shared" si="80"/>
        <v>87301.52</v>
      </c>
      <c r="GN74" s="2">
        <f t="shared" si="81"/>
        <v>0</v>
      </c>
      <c r="GO74" s="2">
        <f t="shared" si="82"/>
        <v>0</v>
      </c>
      <c r="GP74" s="2">
        <f t="shared" si="83"/>
        <v>0</v>
      </c>
      <c r="GQ74" s="2"/>
      <c r="GR74" s="2">
        <v>0</v>
      </c>
      <c r="GS74" s="2">
        <v>2</v>
      </c>
      <c r="GT74" s="2">
        <v>0</v>
      </c>
      <c r="GU74" s="2" t="s">
        <v>3</v>
      </c>
      <c r="GV74" s="2">
        <f t="shared" si="84"/>
        <v>0</v>
      </c>
      <c r="GW74" s="2">
        <v>1</v>
      </c>
      <c r="GX74" s="2">
        <f t="shared" si="85"/>
        <v>0</v>
      </c>
      <c r="GY74" s="2"/>
      <c r="GZ74" s="2"/>
      <c r="HA74" s="2">
        <v>0</v>
      </c>
      <c r="HB74" s="2">
        <v>0</v>
      </c>
      <c r="HC74" s="2">
        <f t="shared" si="86"/>
        <v>0</v>
      </c>
      <c r="HD74" s="2"/>
      <c r="HE74" s="2" t="s">
        <v>35</v>
      </c>
      <c r="HF74" s="2" t="s">
        <v>36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">
      <c r="A75">
        <v>17</v>
      </c>
      <c r="B75">
        <v>1</v>
      </c>
      <c r="E75" t="s">
        <v>123</v>
      </c>
      <c r="F75" t="s">
        <v>124</v>
      </c>
      <c r="G75" t="s">
        <v>125</v>
      </c>
      <c r="H75" t="s">
        <v>30</v>
      </c>
      <c r="I75">
        <v>8</v>
      </c>
      <c r="J75">
        <v>0</v>
      </c>
      <c r="K75">
        <v>8</v>
      </c>
      <c r="O75">
        <f t="shared" si="63"/>
        <v>668729.64</v>
      </c>
      <c r="P75">
        <f>ROUND((ROUND((AC75*I75),2)*BC75),2)</f>
        <v>668729.64</v>
      </c>
      <c r="Q75">
        <f>(ROUND((ROUND(((ET75)*AV75*I75),2)*BB75),2)+ROUND((ROUND(((AE75-(EU75))*AV75*I75),2)*BS75),2))</f>
        <v>0</v>
      </c>
      <c r="R75">
        <f>(ROUND((ROUND(((EU75)*AV75*I75),2)*BS75),2)+ROUND((ROUND(((AE75-(EU75))*AV75*I75),2)*BS75),2))</f>
        <v>0</v>
      </c>
      <c r="S75">
        <f t="shared" si="64"/>
        <v>0</v>
      </c>
      <c r="T75">
        <f t="shared" si="65"/>
        <v>0</v>
      </c>
      <c r="U75">
        <f t="shared" si="66"/>
        <v>0</v>
      </c>
      <c r="V75">
        <f t="shared" si="67"/>
        <v>0</v>
      </c>
      <c r="W75">
        <f t="shared" si="68"/>
        <v>0</v>
      </c>
      <c r="X75">
        <f>(ROUND((((S75+ROUND((ROUND(((EU75)*AV75*I75),2)*BS75),2))*AT75)/100),2)+ROUND(((ROUND((ROUND(((AE75-(EU75))*AV75*I75),2)*BS75),2)*AT75)/100),2))</f>
        <v>0</v>
      </c>
      <c r="Y75">
        <f>(ROUND((((S75+ROUND((ROUND(((EU75)*AV75*I75),2)*BS75),2))*AU75)/100),2)+ROUND(((ROUND((ROUND(((AE75-(EU75))*AV75*I75),2)*BS75),2)*AU75)/100),2))</f>
        <v>0</v>
      </c>
      <c r="AA75">
        <v>60258061</v>
      </c>
      <c r="AB75">
        <f t="shared" si="69"/>
        <v>10912.69</v>
      </c>
      <c r="AC75">
        <f t="shared" si="70"/>
        <v>10912.69</v>
      </c>
      <c r="AD75">
        <f>ROUND((((ET75)-(EU75))+AE75),6)</f>
        <v>0</v>
      </c>
      <c r="AE75">
        <f t="shared" si="89"/>
        <v>0</v>
      </c>
      <c r="AF75">
        <f t="shared" si="89"/>
        <v>0</v>
      </c>
      <c r="AG75">
        <f t="shared" si="71"/>
        <v>0</v>
      </c>
      <c r="AH75">
        <f t="shared" si="90"/>
        <v>0</v>
      </c>
      <c r="AI75">
        <f t="shared" si="90"/>
        <v>0</v>
      </c>
      <c r="AJ75">
        <f t="shared" si="72"/>
        <v>0</v>
      </c>
      <c r="AK75">
        <v>10912.689999999999</v>
      </c>
      <c r="AL75">
        <v>10912.689999999999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Z75">
        <v>1</v>
      </c>
      <c r="BA75">
        <v>1</v>
      </c>
      <c r="BB75">
        <v>1</v>
      </c>
      <c r="BC75">
        <v>7.66</v>
      </c>
      <c r="BD75" t="s">
        <v>3</v>
      </c>
      <c r="BE75" t="s">
        <v>3</v>
      </c>
      <c r="BF75" t="s">
        <v>3</v>
      </c>
      <c r="BG75" t="s">
        <v>3</v>
      </c>
      <c r="BH75">
        <v>3</v>
      </c>
      <c r="BI75">
        <v>3</v>
      </c>
      <c r="BJ75" t="s">
        <v>3</v>
      </c>
      <c r="BM75">
        <v>746</v>
      </c>
      <c r="BN75">
        <v>0</v>
      </c>
      <c r="BO75" t="s">
        <v>3</v>
      </c>
      <c r="BP75">
        <v>0</v>
      </c>
      <c r="BQ75">
        <v>130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 t="s">
        <v>3</v>
      </c>
      <c r="BZ75">
        <v>0</v>
      </c>
      <c r="CA75">
        <v>0</v>
      </c>
      <c r="CB75" t="s">
        <v>3</v>
      </c>
      <c r="CE75">
        <v>1566</v>
      </c>
      <c r="CF75">
        <v>0</v>
      </c>
      <c r="CG75">
        <v>0</v>
      </c>
      <c r="CM75">
        <v>0</v>
      </c>
      <c r="CN75" t="s">
        <v>3</v>
      </c>
      <c r="CO75">
        <v>0</v>
      </c>
      <c r="CP75">
        <f t="shared" si="73"/>
        <v>668729.64</v>
      </c>
      <c r="CQ75">
        <f>ROUND((ROUND((AC75*1),2)*BC75),2)</f>
        <v>83591.210000000006</v>
      </c>
      <c r="CR75">
        <f>(ROUND((ROUND(((ET75)*AV75*1),2)*BB75),2)+ROUND((ROUND(((AE75-(EU75))*AV75*1),2)*BS75),2))</f>
        <v>0</v>
      </c>
      <c r="CS75">
        <f>(ROUND((ROUND(((EU75)*AV75*1),2)*BS75),2)+ROUND((ROUND(((AE75-(EU75))*AV75*1),2)*BS75),2))</f>
        <v>0</v>
      </c>
      <c r="CT75">
        <f t="shared" si="74"/>
        <v>0</v>
      </c>
      <c r="CU75">
        <f t="shared" si="75"/>
        <v>0</v>
      </c>
      <c r="CV75">
        <f t="shared" si="76"/>
        <v>0</v>
      </c>
      <c r="CW75">
        <f t="shared" si="77"/>
        <v>0</v>
      </c>
      <c r="CX75">
        <f t="shared" si="78"/>
        <v>0</v>
      </c>
      <c r="CY75">
        <f>(ROUND((((S75+ROUND((ROUND(((EU75)*AV75*1),2)*BS75),2))*AT75)/100),2)+ROUND(((ROUND((ROUND(((AE75-(EU75))*AV75*1),2)*BS75),2)*AT75)/100),2))</f>
        <v>0</v>
      </c>
      <c r="CZ75">
        <f>(ROUND((((S75+ROUND((ROUND(((EU75)*AV75*1),2)*BS75),2))*AU75)/100),2)+ROUND(((ROUND((ROUND(((AE75-(EU75))*AV75*1),2)*BS75),2)*AU75)/100),2))</f>
        <v>0</v>
      </c>
      <c r="DC75" t="s">
        <v>3</v>
      </c>
      <c r="DD75" t="s">
        <v>3</v>
      </c>
      <c r="DE75" t="s">
        <v>3</v>
      </c>
      <c r="DF75" t="s">
        <v>3</v>
      </c>
      <c r="DG75" t="s">
        <v>3</v>
      </c>
      <c r="DH75" t="s">
        <v>3</v>
      </c>
      <c r="DI75" t="s">
        <v>3</v>
      </c>
      <c r="DJ75" t="s">
        <v>3</v>
      </c>
      <c r="DK75" t="s">
        <v>3</v>
      </c>
      <c r="DL75" t="s">
        <v>3</v>
      </c>
      <c r="DM75" t="s">
        <v>3</v>
      </c>
      <c r="DN75">
        <v>0</v>
      </c>
      <c r="DO75">
        <v>0</v>
      </c>
      <c r="DP75">
        <v>1</v>
      </c>
      <c r="DQ75">
        <v>1</v>
      </c>
      <c r="DU75">
        <v>1013</v>
      </c>
      <c r="DV75" t="s">
        <v>30</v>
      </c>
      <c r="DW75" t="s">
        <v>30</v>
      </c>
      <c r="DX75">
        <v>1</v>
      </c>
      <c r="DZ75" t="s">
        <v>3</v>
      </c>
      <c r="EA75" t="s">
        <v>3</v>
      </c>
      <c r="EB75" t="s">
        <v>3</v>
      </c>
      <c r="EC75" t="s">
        <v>3</v>
      </c>
      <c r="EE75">
        <v>60088638</v>
      </c>
      <c r="EF75">
        <v>130</v>
      </c>
      <c r="EG75" t="s">
        <v>31</v>
      </c>
      <c r="EH75">
        <v>0</v>
      </c>
      <c r="EI75" t="s">
        <v>3</v>
      </c>
      <c r="EJ75">
        <v>3</v>
      </c>
      <c r="EK75">
        <v>746</v>
      </c>
      <c r="EL75" t="s">
        <v>32</v>
      </c>
      <c r="EM75" t="s">
        <v>33</v>
      </c>
      <c r="EO75" t="s">
        <v>3</v>
      </c>
      <c r="EQ75">
        <v>0</v>
      </c>
      <c r="ER75">
        <v>0</v>
      </c>
      <c r="ES75">
        <v>10912.689999999999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5</v>
      </c>
      <c r="FC75">
        <v>1</v>
      </c>
      <c r="FD75">
        <v>18</v>
      </c>
      <c r="FF75">
        <v>96233</v>
      </c>
      <c r="FQ75">
        <v>0</v>
      </c>
      <c r="FR75">
        <f>P75</f>
        <v>668729.64</v>
      </c>
      <c r="FS75">
        <v>0</v>
      </c>
      <c r="FX75">
        <v>0</v>
      </c>
      <c r="FY75">
        <v>0</v>
      </c>
      <c r="GA75" t="s">
        <v>126</v>
      </c>
      <c r="GD75">
        <v>1</v>
      </c>
      <c r="GF75">
        <v>480441263</v>
      </c>
      <c r="GG75">
        <v>2</v>
      </c>
      <c r="GH75">
        <v>3</v>
      </c>
      <c r="GI75">
        <v>5</v>
      </c>
      <c r="GJ75">
        <v>0</v>
      </c>
      <c r="GK75">
        <v>0</v>
      </c>
      <c r="GL75">
        <f t="shared" si="79"/>
        <v>0</v>
      </c>
      <c r="GM75">
        <f t="shared" si="80"/>
        <v>668729.64</v>
      </c>
      <c r="GN75">
        <f t="shared" si="81"/>
        <v>0</v>
      </c>
      <c r="GO75">
        <f t="shared" si="82"/>
        <v>0</v>
      </c>
      <c r="GP75">
        <f t="shared" si="83"/>
        <v>0</v>
      </c>
      <c r="GR75">
        <v>1</v>
      </c>
      <c r="GS75">
        <v>1</v>
      </c>
      <c r="GT75">
        <v>0</v>
      </c>
      <c r="GU75" t="s">
        <v>3</v>
      </c>
      <c r="GV75">
        <f t="shared" si="84"/>
        <v>0</v>
      </c>
      <c r="GW75">
        <v>1</v>
      </c>
      <c r="GX75">
        <f t="shared" si="85"/>
        <v>0</v>
      </c>
      <c r="HA75">
        <v>0</v>
      </c>
      <c r="HB75">
        <v>0</v>
      </c>
      <c r="HC75">
        <f t="shared" si="86"/>
        <v>0</v>
      </c>
      <c r="HE75" t="s">
        <v>35</v>
      </c>
      <c r="HF75" t="s">
        <v>36</v>
      </c>
      <c r="HM75" t="s">
        <v>3</v>
      </c>
      <c r="HN75" t="s">
        <v>3</v>
      </c>
      <c r="HO75" t="s">
        <v>3</v>
      </c>
      <c r="HP75" t="s">
        <v>3</v>
      </c>
      <c r="HQ75" t="s">
        <v>3</v>
      </c>
      <c r="HS75">
        <v>0</v>
      </c>
      <c r="IK75">
        <v>0</v>
      </c>
    </row>
    <row r="76" spans="1:255" x14ac:dyDescent="0.2">
      <c r="A76" s="2">
        <v>17</v>
      </c>
      <c r="B76" s="2">
        <v>1</v>
      </c>
      <c r="C76" s="2"/>
      <c r="D76" s="2"/>
      <c r="E76" s="2" t="s">
        <v>127</v>
      </c>
      <c r="F76" s="2" t="s">
        <v>128</v>
      </c>
      <c r="G76" s="2" t="s">
        <v>129</v>
      </c>
      <c r="H76" s="2" t="s">
        <v>30</v>
      </c>
      <c r="I76" s="2">
        <v>2</v>
      </c>
      <c r="J76" s="2">
        <v>0</v>
      </c>
      <c r="K76" s="2">
        <v>2</v>
      </c>
      <c r="L76" s="2"/>
      <c r="M76" s="2"/>
      <c r="N76" s="2"/>
      <c r="O76" s="2">
        <f t="shared" si="63"/>
        <v>18136.759999999998</v>
      </c>
      <c r="P76" s="2">
        <f>ROUND((ROUND((AC76*I76),2)*BC76),2)</f>
        <v>18136.759999999998</v>
      </c>
      <c r="Q76" s="2">
        <f>(ROUND((ROUND(((ET76)*AV76*I76),2)*BB76),2)+ROUND((ROUND(((AE76-(EU76))*AV76*I76),2)*BS76),2))</f>
        <v>0</v>
      </c>
      <c r="R76" s="2">
        <f>(ROUND((ROUND(((EU76)*AV76*I76),2)*BS76),2)+ROUND((ROUND(((AE76-(EU76))*AV76*I76),2)*BS76),2))</f>
        <v>0</v>
      </c>
      <c r="S76" s="2">
        <f t="shared" si="64"/>
        <v>0</v>
      </c>
      <c r="T76" s="2">
        <f t="shared" si="65"/>
        <v>0</v>
      </c>
      <c r="U76" s="2">
        <f t="shared" si="66"/>
        <v>0</v>
      </c>
      <c r="V76" s="2">
        <f t="shared" si="67"/>
        <v>0</v>
      </c>
      <c r="W76" s="2">
        <f t="shared" si="68"/>
        <v>0</v>
      </c>
      <c r="X76" s="2">
        <f>(ROUND((((S76+ROUND((ROUND(((EU76)*AV76*I76),2)*BS76),2))*AT76)/100),2)+ROUND(((ROUND((ROUND(((AE76-(EU76))*AV76*I76),2)*BS76),2)*AT76)/100),2))</f>
        <v>0</v>
      </c>
      <c r="Y76" s="2">
        <f>(ROUND((((S76+ROUND((ROUND(((EU76)*AV76*I76),2)*BS76),2))*AU76)/100),2)+ROUND(((ROUND((ROUND(((AE76-(EU76))*AV76*I76),2)*BS76),2)*AU76)/100),2))</f>
        <v>0</v>
      </c>
      <c r="Z76" s="2"/>
      <c r="AA76" s="2">
        <v>60258064</v>
      </c>
      <c r="AB76" s="2">
        <f t="shared" si="69"/>
        <v>9068.3799999999992</v>
      </c>
      <c r="AC76" s="2">
        <f t="shared" si="70"/>
        <v>9068.3799999999992</v>
      </c>
      <c r="AD76" s="2">
        <f>ROUND((((ET76)-(EU76))+AE76),6)</f>
        <v>0</v>
      </c>
      <c r="AE76" s="2">
        <f t="shared" si="89"/>
        <v>0</v>
      </c>
      <c r="AF76" s="2">
        <f t="shared" si="89"/>
        <v>0</v>
      </c>
      <c r="AG76" s="2">
        <f t="shared" si="71"/>
        <v>0</v>
      </c>
      <c r="AH76" s="2">
        <f t="shared" si="90"/>
        <v>0</v>
      </c>
      <c r="AI76" s="2">
        <f t="shared" si="90"/>
        <v>0</v>
      </c>
      <c r="AJ76" s="2">
        <f t="shared" si="72"/>
        <v>0</v>
      </c>
      <c r="AK76" s="2">
        <v>9068.380000000001</v>
      </c>
      <c r="AL76" s="2">
        <v>9068.380000000001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1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3</v>
      </c>
      <c r="BI76" s="2">
        <v>3</v>
      </c>
      <c r="BJ76" s="2" t="s">
        <v>3</v>
      </c>
      <c r="BK76" s="2"/>
      <c r="BL76" s="2"/>
      <c r="BM76" s="2">
        <v>746</v>
      </c>
      <c r="BN76" s="2">
        <v>0</v>
      </c>
      <c r="BO76" s="2" t="s">
        <v>3</v>
      </c>
      <c r="BP76" s="2">
        <v>0</v>
      </c>
      <c r="BQ76" s="2">
        <v>130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0</v>
      </c>
      <c r="CA76" s="2">
        <v>0</v>
      </c>
      <c r="CB76" s="2" t="s">
        <v>3</v>
      </c>
      <c r="CC76" s="2"/>
      <c r="CD76" s="2"/>
      <c r="CE76" s="2">
        <v>1566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3</v>
      </c>
      <c r="CO76" s="2">
        <v>0</v>
      </c>
      <c r="CP76" s="2">
        <f t="shared" si="73"/>
        <v>18136.759999999998</v>
      </c>
      <c r="CQ76" s="2">
        <f>ROUND((ROUND((AC76*1),2)*BC76),2)</f>
        <v>9068.3799999999992</v>
      </c>
      <c r="CR76" s="2">
        <f>(ROUND((ROUND(((ET76)*AV76*1),2)*BB76),2)+ROUND((ROUND(((AE76-(EU76))*AV76*1),2)*BS76),2))</f>
        <v>0</v>
      </c>
      <c r="CS76" s="2">
        <f>(ROUND((ROUND(((EU76)*AV76*1),2)*BS76),2)+ROUND((ROUND(((AE76-(EU76))*AV76*1),2)*BS76),2))</f>
        <v>0</v>
      </c>
      <c r="CT76" s="2">
        <f t="shared" si="74"/>
        <v>0</v>
      </c>
      <c r="CU76" s="2">
        <f t="shared" si="75"/>
        <v>0</v>
      </c>
      <c r="CV76" s="2">
        <f t="shared" si="76"/>
        <v>0</v>
      </c>
      <c r="CW76" s="2">
        <f t="shared" si="77"/>
        <v>0</v>
      </c>
      <c r="CX76" s="2">
        <f t="shared" si="78"/>
        <v>0</v>
      </c>
      <c r="CY76" s="2">
        <f>(ROUND((((S76+ROUND((ROUND(((EU76)*AV76*1),2)*BS76),2))*AT76)/100),2)+ROUND(((ROUND((ROUND(((AE76-(EU76))*AV76*1),2)*BS76),2)*AT76)/100),2))</f>
        <v>0</v>
      </c>
      <c r="CZ76" s="2">
        <f>(ROUND((((S76+ROUND((ROUND(((EU76)*AV76*1),2)*BS76),2))*AU76)/100),2)+ROUND(((ROUND((ROUND(((AE76-(EU76))*AV76*1),2)*BS76),2)*AU76)/100),2))</f>
        <v>0</v>
      </c>
      <c r="DA76" s="2"/>
      <c r="DB76" s="2"/>
      <c r="DC76" s="2" t="s">
        <v>3</v>
      </c>
      <c r="DD76" s="2" t="s">
        <v>3</v>
      </c>
      <c r="DE76" s="2" t="s">
        <v>3</v>
      </c>
      <c r="DF76" s="2" t="s">
        <v>3</v>
      </c>
      <c r="DG76" s="2" t="s">
        <v>3</v>
      </c>
      <c r="DH76" s="2" t="s">
        <v>3</v>
      </c>
      <c r="DI76" s="2" t="s">
        <v>3</v>
      </c>
      <c r="DJ76" s="2" t="s">
        <v>3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>
        <v>1013</v>
      </c>
      <c r="DV76" s="2" t="s">
        <v>30</v>
      </c>
      <c r="DW76" s="2" t="s">
        <v>30</v>
      </c>
      <c r="DX76" s="2">
        <v>1</v>
      </c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60088638</v>
      </c>
      <c r="EF76" s="2">
        <v>130</v>
      </c>
      <c r="EG76" s="2" t="s">
        <v>31</v>
      </c>
      <c r="EH76" s="2">
        <v>0</v>
      </c>
      <c r="EI76" s="2" t="s">
        <v>3</v>
      </c>
      <c r="EJ76" s="2">
        <v>3</v>
      </c>
      <c r="EK76" s="2">
        <v>746</v>
      </c>
      <c r="EL76" s="2" t="s">
        <v>32</v>
      </c>
      <c r="EM76" s="2" t="s">
        <v>33</v>
      </c>
      <c r="EN76" s="2"/>
      <c r="EO76" s="2" t="s">
        <v>3</v>
      </c>
      <c r="EP76" s="2"/>
      <c r="EQ76" s="2">
        <v>0</v>
      </c>
      <c r="ER76" s="2">
        <v>0</v>
      </c>
      <c r="ES76" s="2">
        <v>9068.380000000001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f>P76</f>
        <v>18136.759999999998</v>
      </c>
      <c r="FS76" s="2">
        <v>0</v>
      </c>
      <c r="FT76" s="2"/>
      <c r="FU76" s="2"/>
      <c r="FV76" s="2"/>
      <c r="FW76" s="2"/>
      <c r="FX76" s="2">
        <v>0</v>
      </c>
      <c r="FY76" s="2">
        <v>0</v>
      </c>
      <c r="FZ76" s="2"/>
      <c r="GA76" s="2" t="s">
        <v>130</v>
      </c>
      <c r="GB76" s="2"/>
      <c r="GC76" s="2"/>
      <c r="GD76" s="2">
        <v>1</v>
      </c>
      <c r="GE76" s="2"/>
      <c r="GF76" s="2">
        <v>988259443</v>
      </c>
      <c r="GG76" s="2">
        <v>2</v>
      </c>
      <c r="GH76" s="2">
        <v>4</v>
      </c>
      <c r="GI76" s="2">
        <v>-2</v>
      </c>
      <c r="GJ76" s="2">
        <v>0</v>
      </c>
      <c r="GK76" s="2">
        <v>0</v>
      </c>
      <c r="GL76" s="2">
        <f t="shared" si="79"/>
        <v>0</v>
      </c>
      <c r="GM76" s="2">
        <f t="shared" si="80"/>
        <v>18136.759999999998</v>
      </c>
      <c r="GN76" s="2">
        <f t="shared" si="81"/>
        <v>0</v>
      </c>
      <c r="GO76" s="2">
        <f t="shared" si="82"/>
        <v>0</v>
      </c>
      <c r="GP76" s="2">
        <f t="shared" si="83"/>
        <v>0</v>
      </c>
      <c r="GQ76" s="2"/>
      <c r="GR76" s="2">
        <v>0</v>
      </c>
      <c r="GS76" s="2">
        <v>2</v>
      </c>
      <c r="GT76" s="2">
        <v>0</v>
      </c>
      <c r="GU76" s="2" t="s">
        <v>3</v>
      </c>
      <c r="GV76" s="2">
        <f t="shared" si="84"/>
        <v>0</v>
      </c>
      <c r="GW76" s="2">
        <v>1</v>
      </c>
      <c r="GX76" s="2">
        <f t="shared" si="85"/>
        <v>0</v>
      </c>
      <c r="GY76" s="2"/>
      <c r="GZ76" s="2"/>
      <c r="HA76" s="2">
        <v>0</v>
      </c>
      <c r="HB76" s="2">
        <v>0</v>
      </c>
      <c r="HC76" s="2">
        <f t="shared" si="86"/>
        <v>0</v>
      </c>
      <c r="HD76" s="2"/>
      <c r="HE76" s="2" t="s">
        <v>35</v>
      </c>
      <c r="HF76" s="2" t="s">
        <v>36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">
      <c r="A77">
        <v>17</v>
      </c>
      <c r="B77">
        <v>1</v>
      </c>
      <c r="E77" t="s">
        <v>127</v>
      </c>
      <c r="F77" t="s">
        <v>128</v>
      </c>
      <c r="G77" t="s">
        <v>129</v>
      </c>
      <c r="H77" t="s">
        <v>30</v>
      </c>
      <c r="I77">
        <v>2</v>
      </c>
      <c r="J77">
        <v>0</v>
      </c>
      <c r="K77">
        <v>2</v>
      </c>
      <c r="O77">
        <f t="shared" si="63"/>
        <v>138927.57999999999</v>
      </c>
      <c r="P77">
        <f>ROUND((ROUND((AC77*I77),2)*BC77),2)</f>
        <v>138927.57999999999</v>
      </c>
      <c r="Q77">
        <f>(ROUND((ROUND(((ET77)*AV77*I77),2)*BB77),2)+ROUND((ROUND(((AE77-(EU77))*AV77*I77),2)*BS77),2))</f>
        <v>0</v>
      </c>
      <c r="R77">
        <f>(ROUND((ROUND(((EU77)*AV77*I77),2)*BS77),2)+ROUND((ROUND(((AE77-(EU77))*AV77*I77),2)*BS77),2))</f>
        <v>0</v>
      </c>
      <c r="S77">
        <f t="shared" si="64"/>
        <v>0</v>
      </c>
      <c r="T77">
        <f t="shared" si="65"/>
        <v>0</v>
      </c>
      <c r="U77">
        <f t="shared" si="66"/>
        <v>0</v>
      </c>
      <c r="V77">
        <f t="shared" si="67"/>
        <v>0</v>
      </c>
      <c r="W77">
        <f t="shared" si="68"/>
        <v>0</v>
      </c>
      <c r="X77">
        <f>(ROUND((((S77+ROUND((ROUND(((EU77)*AV77*I77),2)*BS77),2))*AT77)/100),2)+ROUND(((ROUND((ROUND(((AE77-(EU77))*AV77*I77),2)*BS77),2)*AT77)/100),2))</f>
        <v>0</v>
      </c>
      <c r="Y77">
        <f>(ROUND((((S77+ROUND((ROUND(((EU77)*AV77*I77),2)*BS77),2))*AU77)/100),2)+ROUND(((ROUND((ROUND(((AE77-(EU77))*AV77*I77),2)*BS77),2)*AU77)/100),2))</f>
        <v>0</v>
      </c>
      <c r="AA77">
        <v>60258061</v>
      </c>
      <c r="AB77">
        <f t="shared" si="69"/>
        <v>9068.3799999999992</v>
      </c>
      <c r="AC77">
        <f t="shared" si="70"/>
        <v>9068.3799999999992</v>
      </c>
      <c r="AD77">
        <f>ROUND((((ET77)-(EU77))+AE77),6)</f>
        <v>0</v>
      </c>
      <c r="AE77">
        <f t="shared" si="89"/>
        <v>0</v>
      </c>
      <c r="AF77">
        <f t="shared" si="89"/>
        <v>0</v>
      </c>
      <c r="AG77">
        <f t="shared" si="71"/>
        <v>0</v>
      </c>
      <c r="AH77">
        <f t="shared" si="90"/>
        <v>0</v>
      </c>
      <c r="AI77">
        <f t="shared" si="90"/>
        <v>0</v>
      </c>
      <c r="AJ77">
        <f t="shared" si="72"/>
        <v>0</v>
      </c>
      <c r="AK77">
        <v>9068.380000000001</v>
      </c>
      <c r="AL77">
        <v>9068.380000000001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1</v>
      </c>
      <c r="AZ77">
        <v>1</v>
      </c>
      <c r="BA77">
        <v>1</v>
      </c>
      <c r="BB77">
        <v>1</v>
      </c>
      <c r="BC77">
        <v>7.66</v>
      </c>
      <c r="BD77" t="s">
        <v>3</v>
      </c>
      <c r="BE77" t="s">
        <v>3</v>
      </c>
      <c r="BF77" t="s">
        <v>3</v>
      </c>
      <c r="BG77" t="s">
        <v>3</v>
      </c>
      <c r="BH77">
        <v>3</v>
      </c>
      <c r="BI77">
        <v>3</v>
      </c>
      <c r="BJ77" t="s">
        <v>3</v>
      </c>
      <c r="BM77">
        <v>746</v>
      </c>
      <c r="BN77">
        <v>0</v>
      </c>
      <c r="BO77" t="s">
        <v>3</v>
      </c>
      <c r="BP77">
        <v>0</v>
      </c>
      <c r="BQ77">
        <v>130</v>
      </c>
      <c r="BR77">
        <v>0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 t="s">
        <v>3</v>
      </c>
      <c r="BZ77">
        <v>0</v>
      </c>
      <c r="CA77">
        <v>0</v>
      </c>
      <c r="CB77" t="s">
        <v>3</v>
      </c>
      <c r="CE77">
        <v>1566</v>
      </c>
      <c r="CF77">
        <v>0</v>
      </c>
      <c r="CG77">
        <v>0</v>
      </c>
      <c r="CM77">
        <v>0</v>
      </c>
      <c r="CN77" t="s">
        <v>3</v>
      </c>
      <c r="CO77">
        <v>0</v>
      </c>
      <c r="CP77">
        <f t="shared" si="73"/>
        <v>138927.57999999999</v>
      </c>
      <c r="CQ77">
        <f>ROUND((ROUND((AC77*1),2)*BC77),2)</f>
        <v>69463.789999999994</v>
      </c>
      <c r="CR77">
        <f>(ROUND((ROUND(((ET77)*AV77*1),2)*BB77),2)+ROUND((ROUND(((AE77-(EU77))*AV77*1),2)*BS77),2))</f>
        <v>0</v>
      </c>
      <c r="CS77">
        <f>(ROUND((ROUND(((EU77)*AV77*1),2)*BS77),2)+ROUND((ROUND(((AE77-(EU77))*AV77*1),2)*BS77),2))</f>
        <v>0</v>
      </c>
      <c r="CT77">
        <f t="shared" si="74"/>
        <v>0</v>
      </c>
      <c r="CU77">
        <f t="shared" si="75"/>
        <v>0</v>
      </c>
      <c r="CV77">
        <f t="shared" si="76"/>
        <v>0</v>
      </c>
      <c r="CW77">
        <f t="shared" si="77"/>
        <v>0</v>
      </c>
      <c r="CX77">
        <f t="shared" si="78"/>
        <v>0</v>
      </c>
      <c r="CY77">
        <f>(ROUND((((S77+ROUND((ROUND(((EU77)*AV77*1),2)*BS77),2))*AT77)/100),2)+ROUND(((ROUND((ROUND(((AE77-(EU77))*AV77*1),2)*BS77),2)*AT77)/100),2))</f>
        <v>0</v>
      </c>
      <c r="CZ77">
        <f>(ROUND((((S77+ROUND((ROUND(((EU77)*AV77*1),2)*BS77),2))*AU77)/100),2)+ROUND(((ROUND((ROUND(((AE77-(EU77))*AV77*1),2)*BS77),2)*AU77)/100),2))</f>
        <v>0</v>
      </c>
      <c r="DC77" t="s">
        <v>3</v>
      </c>
      <c r="DD77" t="s">
        <v>3</v>
      </c>
      <c r="DE77" t="s">
        <v>3</v>
      </c>
      <c r="DF77" t="s">
        <v>3</v>
      </c>
      <c r="DG77" t="s">
        <v>3</v>
      </c>
      <c r="DH77" t="s">
        <v>3</v>
      </c>
      <c r="DI77" t="s">
        <v>3</v>
      </c>
      <c r="DJ77" t="s">
        <v>3</v>
      </c>
      <c r="DK77" t="s">
        <v>3</v>
      </c>
      <c r="DL77" t="s">
        <v>3</v>
      </c>
      <c r="DM77" t="s">
        <v>3</v>
      </c>
      <c r="DN77">
        <v>0</v>
      </c>
      <c r="DO77">
        <v>0</v>
      </c>
      <c r="DP77">
        <v>1</v>
      </c>
      <c r="DQ77">
        <v>1</v>
      </c>
      <c r="DU77">
        <v>1013</v>
      </c>
      <c r="DV77" t="s">
        <v>30</v>
      </c>
      <c r="DW77" t="s">
        <v>30</v>
      </c>
      <c r="DX77">
        <v>1</v>
      </c>
      <c r="DZ77" t="s">
        <v>3</v>
      </c>
      <c r="EA77" t="s">
        <v>3</v>
      </c>
      <c r="EB77" t="s">
        <v>3</v>
      </c>
      <c r="EC77" t="s">
        <v>3</v>
      </c>
      <c r="EE77">
        <v>60088638</v>
      </c>
      <c r="EF77">
        <v>130</v>
      </c>
      <c r="EG77" t="s">
        <v>31</v>
      </c>
      <c r="EH77">
        <v>0</v>
      </c>
      <c r="EI77" t="s">
        <v>3</v>
      </c>
      <c r="EJ77">
        <v>3</v>
      </c>
      <c r="EK77">
        <v>746</v>
      </c>
      <c r="EL77" t="s">
        <v>32</v>
      </c>
      <c r="EM77" t="s">
        <v>33</v>
      </c>
      <c r="EO77" t="s">
        <v>3</v>
      </c>
      <c r="EQ77">
        <v>0</v>
      </c>
      <c r="ER77">
        <v>0</v>
      </c>
      <c r="ES77">
        <v>9068.380000000001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5</v>
      </c>
      <c r="FC77">
        <v>1</v>
      </c>
      <c r="FD77">
        <v>18</v>
      </c>
      <c r="FF77">
        <v>79969</v>
      </c>
      <c r="FQ77">
        <v>0</v>
      </c>
      <c r="FR77">
        <f>P77</f>
        <v>138927.57999999999</v>
      </c>
      <c r="FS77">
        <v>0</v>
      </c>
      <c r="FX77">
        <v>0</v>
      </c>
      <c r="FY77">
        <v>0</v>
      </c>
      <c r="GA77" t="s">
        <v>130</v>
      </c>
      <c r="GD77">
        <v>1</v>
      </c>
      <c r="GF77">
        <v>988259443</v>
      </c>
      <c r="GG77">
        <v>2</v>
      </c>
      <c r="GH77">
        <v>3</v>
      </c>
      <c r="GI77">
        <v>5</v>
      </c>
      <c r="GJ77">
        <v>0</v>
      </c>
      <c r="GK77">
        <v>0</v>
      </c>
      <c r="GL77">
        <f t="shared" si="79"/>
        <v>0</v>
      </c>
      <c r="GM77">
        <f t="shared" si="80"/>
        <v>138927.57999999999</v>
      </c>
      <c r="GN77">
        <f t="shared" si="81"/>
        <v>0</v>
      </c>
      <c r="GO77">
        <f t="shared" si="82"/>
        <v>0</v>
      </c>
      <c r="GP77">
        <f t="shared" si="83"/>
        <v>0</v>
      </c>
      <c r="GR77">
        <v>1</v>
      </c>
      <c r="GS77">
        <v>1</v>
      </c>
      <c r="GT77">
        <v>0</v>
      </c>
      <c r="GU77" t="s">
        <v>3</v>
      </c>
      <c r="GV77">
        <f t="shared" si="84"/>
        <v>0</v>
      </c>
      <c r="GW77">
        <v>1</v>
      </c>
      <c r="GX77">
        <f t="shared" si="85"/>
        <v>0</v>
      </c>
      <c r="HA77">
        <v>0</v>
      </c>
      <c r="HB77">
        <v>0</v>
      </c>
      <c r="HC77">
        <f t="shared" si="86"/>
        <v>0</v>
      </c>
      <c r="HE77" t="s">
        <v>35</v>
      </c>
      <c r="HF77" t="s">
        <v>36</v>
      </c>
      <c r="HM77" t="s">
        <v>3</v>
      </c>
      <c r="HN77" t="s">
        <v>3</v>
      </c>
      <c r="HO77" t="s">
        <v>3</v>
      </c>
      <c r="HP77" t="s">
        <v>3</v>
      </c>
      <c r="HQ77" t="s">
        <v>3</v>
      </c>
      <c r="HS77">
        <v>0</v>
      </c>
      <c r="IK77">
        <v>0</v>
      </c>
    </row>
    <row r="79" spans="1:255" x14ac:dyDescent="0.2">
      <c r="A79" s="3">
        <v>51</v>
      </c>
      <c r="B79" s="3">
        <f>B24</f>
        <v>1</v>
      </c>
      <c r="C79" s="3">
        <f>A24</f>
        <v>4</v>
      </c>
      <c r="D79" s="3">
        <f>ROW(A24)</f>
        <v>24</v>
      </c>
      <c r="E79" s="3"/>
      <c r="F79" s="3" t="str">
        <f>IF(F24&lt;&gt;"",F24,"")</f>
        <v/>
      </c>
      <c r="G79" s="3" t="str">
        <f>IF(G24&lt;&gt;"",G24,"")</f>
        <v>Оборудование</v>
      </c>
      <c r="H79" s="3">
        <v>0</v>
      </c>
      <c r="I79" s="3"/>
      <c r="J79" s="3"/>
      <c r="K79" s="3"/>
      <c r="L79" s="3"/>
      <c r="M79" s="3"/>
      <c r="N79" s="3"/>
      <c r="O79" s="3">
        <f t="shared" ref="O79:T79" si="91">ROUND(AB79,2)</f>
        <v>899801.87</v>
      </c>
      <c r="P79" s="3">
        <f t="shared" si="91"/>
        <v>890668.32</v>
      </c>
      <c r="Q79" s="3">
        <f t="shared" si="91"/>
        <v>557.09</v>
      </c>
      <c r="R79" s="3">
        <f t="shared" si="91"/>
        <v>59.23</v>
      </c>
      <c r="S79" s="3">
        <f t="shared" si="91"/>
        <v>8576.4599999999991</v>
      </c>
      <c r="T79" s="3">
        <f t="shared" si="91"/>
        <v>0</v>
      </c>
      <c r="U79" s="3">
        <f>AH79</f>
        <v>593.36134330000016</v>
      </c>
      <c r="V79" s="3">
        <f>AI79</f>
        <v>0</v>
      </c>
      <c r="W79" s="3">
        <f>ROUND(AJ79,2)</f>
        <v>0</v>
      </c>
      <c r="X79" s="3">
        <f>ROUND(AK79,2)</f>
        <v>7821.73</v>
      </c>
      <c r="Y79" s="3">
        <f>ROUND(AL79,2)</f>
        <v>4041.88</v>
      </c>
      <c r="Z79" s="3"/>
      <c r="AA79" s="3"/>
      <c r="AB79" s="3">
        <f>ROUND(SUMIF(AA28:AA77,"=60258064",O28:O77),2)</f>
        <v>899801.87</v>
      </c>
      <c r="AC79" s="3">
        <f>ROUND(SUMIF(AA28:AA77,"=60258064",P28:P77),2)</f>
        <v>890668.32</v>
      </c>
      <c r="AD79" s="3">
        <f>ROUND(SUMIF(AA28:AA77,"=60258064",Q28:Q77),2)</f>
        <v>557.09</v>
      </c>
      <c r="AE79" s="3">
        <f>ROUND(SUMIF(AA28:AA77,"=60258064",R28:R77),2)</f>
        <v>59.23</v>
      </c>
      <c r="AF79" s="3">
        <f>ROUND(SUMIF(AA28:AA77,"=60258064",S28:S77),2)</f>
        <v>8576.4599999999991</v>
      </c>
      <c r="AG79" s="3">
        <f>ROUND(SUMIF(AA28:AA77,"=60258064",T28:T77),2)</f>
        <v>0</v>
      </c>
      <c r="AH79" s="3">
        <f>SUMIF(AA28:AA77,"=60258064",U28:U77)</f>
        <v>593.36134330000016</v>
      </c>
      <c r="AI79" s="3">
        <f>SUMIF(AA28:AA77,"=60258064",V28:V77)</f>
        <v>0</v>
      </c>
      <c r="AJ79" s="3">
        <f>ROUND(SUMIF(AA28:AA77,"=60258064",W28:W77),2)</f>
        <v>0</v>
      </c>
      <c r="AK79" s="3">
        <f>ROUND(SUMIF(AA28:AA77,"=60258064",X28:X77),2)</f>
        <v>7821.73</v>
      </c>
      <c r="AL79" s="3">
        <f>ROUND(SUMIF(AA28:AA77,"=60258064",Y28:Y77),2)</f>
        <v>4041.88</v>
      </c>
      <c r="AM79" s="3"/>
      <c r="AN79" s="3"/>
      <c r="AO79" s="3">
        <f t="shared" ref="AO79:BD79" si="92">ROUND(BX79,2)</f>
        <v>0</v>
      </c>
      <c r="AP79" s="3">
        <f t="shared" si="92"/>
        <v>881507.25</v>
      </c>
      <c r="AQ79" s="3">
        <f t="shared" si="92"/>
        <v>0</v>
      </c>
      <c r="AR79" s="3">
        <f t="shared" si="92"/>
        <v>911665.48</v>
      </c>
      <c r="AS79" s="3">
        <f t="shared" si="92"/>
        <v>0</v>
      </c>
      <c r="AT79" s="3">
        <f t="shared" si="92"/>
        <v>30158.23</v>
      </c>
      <c r="AU79" s="3">
        <f t="shared" si="92"/>
        <v>0</v>
      </c>
      <c r="AV79" s="3">
        <f t="shared" si="92"/>
        <v>890668.32</v>
      </c>
      <c r="AW79" s="3">
        <f t="shared" si="92"/>
        <v>9161.07</v>
      </c>
      <c r="AX79" s="3">
        <f t="shared" si="92"/>
        <v>0</v>
      </c>
      <c r="AY79" s="3">
        <f t="shared" si="92"/>
        <v>9161.07</v>
      </c>
      <c r="AZ79" s="3">
        <f t="shared" si="92"/>
        <v>881507.25</v>
      </c>
      <c r="BA79" s="3">
        <f t="shared" si="92"/>
        <v>0</v>
      </c>
      <c r="BB79" s="3">
        <f t="shared" si="92"/>
        <v>0</v>
      </c>
      <c r="BC79" s="3">
        <f t="shared" si="92"/>
        <v>0</v>
      </c>
      <c r="BD79" s="3">
        <f t="shared" si="92"/>
        <v>0</v>
      </c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>
        <f>ROUND(SUMIF(AA28:AA77,"=60258064",FQ28:FQ77),2)</f>
        <v>0</v>
      </c>
      <c r="BY79" s="3">
        <f>ROUND(SUMIF(AA28:AA77,"=60258064",FR28:FR77),2)</f>
        <v>881507.25</v>
      </c>
      <c r="BZ79" s="3">
        <f>ROUND(SUMIF(AA28:AA77,"=60258064",GL28:GL77),2)</f>
        <v>0</v>
      </c>
      <c r="CA79" s="3">
        <f>ROUND(SUMIF(AA28:AA77,"=60258064",GM28:GM77),2)</f>
        <v>911665.48</v>
      </c>
      <c r="CB79" s="3">
        <f>ROUND(SUMIF(AA28:AA77,"=60258064",GN28:GN77),2)</f>
        <v>0</v>
      </c>
      <c r="CC79" s="3">
        <f>ROUND(SUMIF(AA28:AA77,"=60258064",GO28:GO77),2)</f>
        <v>30158.23</v>
      </c>
      <c r="CD79" s="3">
        <f>ROUND(SUMIF(AA28:AA77,"=60258064",GP28:GP77),2)</f>
        <v>0</v>
      </c>
      <c r="CE79" s="3">
        <f>AC79-BX79</f>
        <v>890668.32</v>
      </c>
      <c r="CF79" s="3">
        <f>AC79-BY79</f>
        <v>9161.0699999999488</v>
      </c>
      <c r="CG79" s="3">
        <f>BX79-BZ79</f>
        <v>0</v>
      </c>
      <c r="CH79" s="3">
        <f>AC79-BX79-BY79+BZ79</f>
        <v>9161.0699999999488</v>
      </c>
      <c r="CI79" s="3">
        <f>BY79-BZ79</f>
        <v>881507.25</v>
      </c>
      <c r="CJ79" s="3">
        <f>ROUND(SUMIF(AA28:AA77,"=60258064",GX28:GX77),2)</f>
        <v>0</v>
      </c>
      <c r="CK79" s="3">
        <f>ROUND(SUMIF(AA28:AA77,"=60258064",GY28:GY77),2)</f>
        <v>0</v>
      </c>
      <c r="CL79" s="3">
        <f>ROUND(SUMIF(AA28:AA77,"=60258064",GZ28:GZ77),2)</f>
        <v>0</v>
      </c>
      <c r="CM79" s="3">
        <f>ROUND(SUMIF(AA28:AA77,"=60258064",HD28:HD77),2)</f>
        <v>0</v>
      </c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4">
        <f t="shared" ref="DG79:DL79" si="93">ROUND(DT79,2)</f>
        <v>7318730.4900000002</v>
      </c>
      <c r="DH79" s="4">
        <f t="shared" si="93"/>
        <v>6838653.25</v>
      </c>
      <c r="DI79" s="4">
        <f t="shared" si="93"/>
        <v>8457.7099999999991</v>
      </c>
      <c r="DJ79" s="4">
        <f t="shared" si="93"/>
        <v>3257.06</v>
      </c>
      <c r="DK79" s="4">
        <f t="shared" si="93"/>
        <v>471619.53</v>
      </c>
      <c r="DL79" s="4">
        <f t="shared" si="93"/>
        <v>0</v>
      </c>
      <c r="DM79" s="4">
        <f>DZ79</f>
        <v>593.36134330000016</v>
      </c>
      <c r="DN79" s="4">
        <f>EA79</f>
        <v>0</v>
      </c>
      <c r="DO79" s="4">
        <f>ROUND(EB79,2)</f>
        <v>0</v>
      </c>
      <c r="DP79" s="4">
        <f>ROUND(EC79,2)</f>
        <v>430117.17</v>
      </c>
      <c r="DQ79" s="4">
        <f>ROUND(ED79,2)</f>
        <v>222262.78</v>
      </c>
      <c r="DR79" s="4"/>
      <c r="DS79" s="4"/>
      <c r="DT79" s="4">
        <f>ROUND(SUMIF(AA28:AA77,"=60258061",O28:O77),2)</f>
        <v>7318730.4900000002</v>
      </c>
      <c r="DU79" s="4">
        <f>ROUND(SUMIF(AA28:AA77,"=60258061",P28:P77),2)</f>
        <v>6838653.25</v>
      </c>
      <c r="DV79" s="4">
        <f>ROUND(SUMIF(AA28:AA77,"=60258061",Q28:Q77),2)</f>
        <v>8457.7099999999991</v>
      </c>
      <c r="DW79" s="4">
        <f>ROUND(SUMIF(AA28:AA77,"=60258061",R28:R77),2)</f>
        <v>3257.06</v>
      </c>
      <c r="DX79" s="4">
        <f>ROUND(SUMIF(AA28:AA77,"=60258061",S28:S77),2)</f>
        <v>471619.53</v>
      </c>
      <c r="DY79" s="4">
        <f>ROUND(SUMIF(AA28:AA77,"=60258061",T28:T77),2)</f>
        <v>0</v>
      </c>
      <c r="DZ79" s="4">
        <f>SUMIF(AA28:AA77,"=60258061",U28:U77)</f>
        <v>593.36134330000016</v>
      </c>
      <c r="EA79" s="4">
        <f>SUMIF(AA28:AA77,"=60258061",V28:V77)</f>
        <v>0</v>
      </c>
      <c r="EB79" s="4">
        <f>ROUND(SUMIF(AA28:AA77,"=60258061",W28:W77),2)</f>
        <v>0</v>
      </c>
      <c r="EC79" s="4">
        <f>ROUND(SUMIF(AA28:AA77,"=60258061",X28:X77),2)</f>
        <v>430117.17</v>
      </c>
      <c r="ED79" s="4">
        <f>ROUND(SUMIF(AA28:AA77,"=60258061",Y28:Y77),2)</f>
        <v>222262.78</v>
      </c>
      <c r="EE79" s="4"/>
      <c r="EF79" s="4"/>
      <c r="EG79" s="4">
        <f t="shared" ref="EG79:EV79" si="94">ROUND(FP79,2)</f>
        <v>0</v>
      </c>
      <c r="EH79" s="4">
        <f t="shared" si="94"/>
        <v>6752345.5300000003</v>
      </c>
      <c r="EI79" s="4">
        <f t="shared" si="94"/>
        <v>0</v>
      </c>
      <c r="EJ79" s="4">
        <f t="shared" si="94"/>
        <v>7971110.4400000004</v>
      </c>
      <c r="EK79" s="4">
        <f t="shared" si="94"/>
        <v>0</v>
      </c>
      <c r="EL79" s="4">
        <f t="shared" si="94"/>
        <v>1218764.9099999999</v>
      </c>
      <c r="EM79" s="4">
        <f t="shared" si="94"/>
        <v>0</v>
      </c>
      <c r="EN79" s="4">
        <f t="shared" si="94"/>
        <v>6838653.25</v>
      </c>
      <c r="EO79" s="4">
        <f t="shared" si="94"/>
        <v>86307.72</v>
      </c>
      <c r="EP79" s="4">
        <f t="shared" si="94"/>
        <v>0</v>
      </c>
      <c r="EQ79" s="4">
        <f t="shared" si="94"/>
        <v>86307.72</v>
      </c>
      <c r="ER79" s="4">
        <f t="shared" si="94"/>
        <v>6752345.5300000003</v>
      </c>
      <c r="ES79" s="4">
        <f t="shared" si="94"/>
        <v>0</v>
      </c>
      <c r="ET79" s="4">
        <f t="shared" si="94"/>
        <v>0</v>
      </c>
      <c r="EU79" s="4">
        <f t="shared" si="94"/>
        <v>0</v>
      </c>
      <c r="EV79" s="4">
        <f t="shared" si="94"/>
        <v>0</v>
      </c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>
        <f>ROUND(SUMIF(AA28:AA77,"=60258061",FQ28:FQ77),2)</f>
        <v>0</v>
      </c>
      <c r="FQ79" s="4">
        <f>ROUND(SUMIF(AA28:AA77,"=60258061",FR28:FR77),2)</f>
        <v>6752345.5300000003</v>
      </c>
      <c r="FR79" s="4">
        <f>ROUND(SUMIF(AA28:AA77,"=60258061",GL28:GL77),2)</f>
        <v>0</v>
      </c>
      <c r="FS79" s="4">
        <f>ROUND(SUMIF(AA28:AA77,"=60258061",GM28:GM77),2)</f>
        <v>7971110.4400000004</v>
      </c>
      <c r="FT79" s="4">
        <f>ROUND(SUMIF(AA28:AA77,"=60258061",GN28:GN77),2)</f>
        <v>0</v>
      </c>
      <c r="FU79" s="4">
        <f>ROUND(SUMIF(AA28:AA77,"=60258061",GO28:GO77),2)</f>
        <v>1218764.9099999999</v>
      </c>
      <c r="FV79" s="4">
        <f>ROUND(SUMIF(AA28:AA77,"=60258061",GP28:GP77),2)</f>
        <v>0</v>
      </c>
      <c r="FW79" s="4">
        <f>DU79-FP79</f>
        <v>6838653.25</v>
      </c>
      <c r="FX79" s="4">
        <f>DU79-FQ79</f>
        <v>86307.719999999739</v>
      </c>
      <c r="FY79" s="4">
        <f>FP79-FR79</f>
        <v>0</v>
      </c>
      <c r="FZ79" s="4">
        <f>DU79-FP79-FQ79+FR79</f>
        <v>86307.719999999739</v>
      </c>
      <c r="GA79" s="4">
        <f>FQ79-FR79</f>
        <v>6752345.5300000003</v>
      </c>
      <c r="GB79" s="4">
        <f>ROUND(SUMIF(AA28:AA77,"=60258061",GX28:GX77),2)</f>
        <v>0</v>
      </c>
      <c r="GC79" s="4">
        <f>ROUND(SUMIF(AA28:AA77,"=60258061",GY28:GY77),2)</f>
        <v>0</v>
      </c>
      <c r="GD79" s="4">
        <f>ROUND(SUMIF(AA28:AA77,"=60258061",GZ28:GZ77),2)</f>
        <v>0</v>
      </c>
      <c r="GE79" s="4">
        <f>ROUND(SUMIF(AA28:AA77,"=60258061",HD28:HD77),2)</f>
        <v>0</v>
      </c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>
        <v>0</v>
      </c>
    </row>
    <row r="81" spans="1:28" x14ac:dyDescent="0.2">
      <c r="A81" s="5">
        <v>50</v>
      </c>
      <c r="B81" s="5">
        <v>0</v>
      </c>
      <c r="C81" s="5">
        <v>0</v>
      </c>
      <c r="D81" s="5">
        <v>1</v>
      </c>
      <c r="E81" s="5">
        <v>201</v>
      </c>
      <c r="F81" s="5">
        <f>ROUND(Source!O79,O81)</f>
        <v>899801.87</v>
      </c>
      <c r="G81" s="5" t="s">
        <v>131</v>
      </c>
      <c r="H81" s="5" t="s">
        <v>132</v>
      </c>
      <c r="I81" s="5"/>
      <c r="J81" s="5"/>
      <c r="K81" s="5">
        <v>201</v>
      </c>
      <c r="L81" s="5">
        <v>1</v>
      </c>
      <c r="M81" s="5">
        <v>3</v>
      </c>
      <c r="N81" s="5" t="s">
        <v>3</v>
      </c>
      <c r="O81" s="5">
        <v>2</v>
      </c>
      <c r="P81" s="5">
        <f>ROUND(Source!DG79,O81)</f>
        <v>7318730.4900000002</v>
      </c>
      <c r="Q81" s="5"/>
      <c r="R81" s="5"/>
      <c r="S81" s="5"/>
      <c r="T81" s="5"/>
      <c r="U81" s="5"/>
      <c r="V81" s="5"/>
      <c r="W81" s="5">
        <v>899801.87</v>
      </c>
      <c r="X81" s="5">
        <v>1</v>
      </c>
      <c r="Y81" s="5">
        <v>899801.87</v>
      </c>
      <c r="Z81" s="5">
        <v>7318730.4900000002</v>
      </c>
      <c r="AA81" s="5">
        <v>1</v>
      </c>
      <c r="AB81" s="5">
        <v>7318730.4900000002</v>
      </c>
    </row>
    <row r="82" spans="1:28" x14ac:dyDescent="0.2">
      <c r="A82" s="5">
        <v>50</v>
      </c>
      <c r="B82" s="5">
        <v>0</v>
      </c>
      <c r="C82" s="5">
        <v>0</v>
      </c>
      <c r="D82" s="5">
        <v>1</v>
      </c>
      <c r="E82" s="5">
        <v>202</v>
      </c>
      <c r="F82" s="5">
        <f>ROUND(Source!P79,O82)</f>
        <v>890668.32</v>
      </c>
      <c r="G82" s="5" t="s">
        <v>133</v>
      </c>
      <c r="H82" s="5" t="s">
        <v>134</v>
      </c>
      <c r="I82" s="5"/>
      <c r="J82" s="5"/>
      <c r="K82" s="5">
        <v>202</v>
      </c>
      <c r="L82" s="5">
        <v>2</v>
      </c>
      <c r="M82" s="5">
        <v>3</v>
      </c>
      <c r="N82" s="5" t="s">
        <v>3</v>
      </c>
      <c r="O82" s="5">
        <v>2</v>
      </c>
      <c r="P82" s="5">
        <f>ROUND(Source!DH79,O82)</f>
        <v>6838653.25</v>
      </c>
      <c r="Q82" s="5"/>
      <c r="R82" s="5"/>
      <c r="S82" s="5"/>
      <c r="T82" s="5"/>
      <c r="U82" s="5"/>
      <c r="V82" s="5"/>
      <c r="W82" s="5">
        <v>890668.32</v>
      </c>
      <c r="X82" s="5">
        <v>1</v>
      </c>
      <c r="Y82" s="5">
        <v>890668.32</v>
      </c>
      <c r="Z82" s="5">
        <v>6838653.25</v>
      </c>
      <c r="AA82" s="5">
        <v>1</v>
      </c>
      <c r="AB82" s="5">
        <v>6838653.25</v>
      </c>
    </row>
    <row r="83" spans="1:28" x14ac:dyDescent="0.2">
      <c r="A83" s="5">
        <v>50</v>
      </c>
      <c r="B83" s="5">
        <v>0</v>
      </c>
      <c r="C83" s="5">
        <v>0</v>
      </c>
      <c r="D83" s="5">
        <v>1</v>
      </c>
      <c r="E83" s="5">
        <v>222</v>
      </c>
      <c r="F83" s="5">
        <f>ROUND(Source!AO79,O83)</f>
        <v>0</v>
      </c>
      <c r="G83" s="5" t="s">
        <v>135</v>
      </c>
      <c r="H83" s="5" t="s">
        <v>136</v>
      </c>
      <c r="I83" s="5"/>
      <c r="J83" s="5"/>
      <c r="K83" s="5">
        <v>222</v>
      </c>
      <c r="L83" s="5">
        <v>3</v>
      </c>
      <c r="M83" s="5">
        <v>3</v>
      </c>
      <c r="N83" s="5" t="s">
        <v>3</v>
      </c>
      <c r="O83" s="5">
        <v>2</v>
      </c>
      <c r="P83" s="5">
        <f>ROUND(Source!EG79,O83)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8" x14ac:dyDescent="0.2">
      <c r="A84" s="5">
        <v>50</v>
      </c>
      <c r="B84" s="5">
        <v>0</v>
      </c>
      <c r="C84" s="5">
        <v>0</v>
      </c>
      <c r="D84" s="5">
        <v>1</v>
      </c>
      <c r="E84" s="5">
        <v>225</v>
      </c>
      <c r="F84" s="5">
        <f>ROUND(Source!AV79,O84)</f>
        <v>890668.32</v>
      </c>
      <c r="G84" s="5" t="s">
        <v>137</v>
      </c>
      <c r="H84" s="5" t="s">
        <v>138</v>
      </c>
      <c r="I84" s="5"/>
      <c r="J84" s="5"/>
      <c r="K84" s="5">
        <v>225</v>
      </c>
      <c r="L84" s="5">
        <v>4</v>
      </c>
      <c r="M84" s="5">
        <v>3</v>
      </c>
      <c r="N84" s="5" t="s">
        <v>3</v>
      </c>
      <c r="O84" s="5">
        <v>2</v>
      </c>
      <c r="P84" s="5">
        <f>ROUND(Source!EN79,O84)</f>
        <v>6838653.25</v>
      </c>
      <c r="Q84" s="5"/>
      <c r="R84" s="5"/>
      <c r="S84" s="5"/>
      <c r="T84" s="5"/>
      <c r="U84" s="5"/>
      <c r="V84" s="5"/>
      <c r="W84" s="5">
        <v>890668.32</v>
      </c>
      <c r="X84" s="5">
        <v>1</v>
      </c>
      <c r="Y84" s="5">
        <v>890668.32</v>
      </c>
      <c r="Z84" s="5">
        <v>6838653.25</v>
      </c>
      <c r="AA84" s="5">
        <v>1</v>
      </c>
      <c r="AB84" s="5">
        <v>6838653.25</v>
      </c>
    </row>
    <row r="85" spans="1:28" x14ac:dyDescent="0.2">
      <c r="A85" s="5">
        <v>50</v>
      </c>
      <c r="B85" s="5">
        <v>0</v>
      </c>
      <c r="C85" s="5">
        <v>0</v>
      </c>
      <c r="D85" s="5">
        <v>1</v>
      </c>
      <c r="E85" s="5">
        <v>226</v>
      </c>
      <c r="F85" s="5">
        <f>ROUND(Source!AW79,O85)</f>
        <v>9161.07</v>
      </c>
      <c r="G85" s="5" t="s">
        <v>139</v>
      </c>
      <c r="H85" s="5" t="s">
        <v>140</v>
      </c>
      <c r="I85" s="5"/>
      <c r="J85" s="5"/>
      <c r="K85" s="5">
        <v>226</v>
      </c>
      <c r="L85" s="5">
        <v>5</v>
      </c>
      <c r="M85" s="5">
        <v>3</v>
      </c>
      <c r="N85" s="5" t="s">
        <v>3</v>
      </c>
      <c r="O85" s="5">
        <v>2</v>
      </c>
      <c r="P85" s="5">
        <f>ROUND(Source!EO79,O85)</f>
        <v>86307.72</v>
      </c>
      <c r="Q85" s="5"/>
      <c r="R85" s="5"/>
      <c r="S85" s="5"/>
      <c r="T85" s="5"/>
      <c r="U85" s="5"/>
      <c r="V85" s="5"/>
      <c r="W85" s="5">
        <v>9161.07</v>
      </c>
      <c r="X85" s="5">
        <v>1</v>
      </c>
      <c r="Y85" s="5">
        <v>9161.07</v>
      </c>
      <c r="Z85" s="5">
        <v>86307.72</v>
      </c>
      <c r="AA85" s="5">
        <v>1</v>
      </c>
      <c r="AB85" s="5">
        <v>86307.72</v>
      </c>
    </row>
    <row r="86" spans="1:28" x14ac:dyDescent="0.2">
      <c r="A86" s="5">
        <v>50</v>
      </c>
      <c r="B86" s="5">
        <v>0</v>
      </c>
      <c r="C86" s="5">
        <v>0</v>
      </c>
      <c r="D86" s="5">
        <v>1</v>
      </c>
      <c r="E86" s="5">
        <v>227</v>
      </c>
      <c r="F86" s="5">
        <f>ROUND(Source!AX79,O86)</f>
        <v>0</v>
      </c>
      <c r="G86" s="5" t="s">
        <v>141</v>
      </c>
      <c r="H86" s="5" t="s">
        <v>142</v>
      </c>
      <c r="I86" s="5"/>
      <c r="J86" s="5"/>
      <c r="K86" s="5">
        <v>227</v>
      </c>
      <c r="L86" s="5">
        <v>6</v>
      </c>
      <c r="M86" s="5">
        <v>3</v>
      </c>
      <c r="N86" s="5" t="s">
        <v>3</v>
      </c>
      <c r="O86" s="5">
        <v>2</v>
      </c>
      <c r="P86" s="5">
        <f>ROUND(Source!EP79,O86)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8" x14ac:dyDescent="0.2">
      <c r="A87" s="5">
        <v>50</v>
      </c>
      <c r="B87" s="5">
        <v>0</v>
      </c>
      <c r="C87" s="5">
        <v>0</v>
      </c>
      <c r="D87" s="5">
        <v>1</v>
      </c>
      <c r="E87" s="5">
        <v>228</v>
      </c>
      <c r="F87" s="5">
        <f>ROUND(Source!AY79,O87)</f>
        <v>9161.07</v>
      </c>
      <c r="G87" s="5" t="s">
        <v>143</v>
      </c>
      <c r="H87" s="5" t="s">
        <v>144</v>
      </c>
      <c r="I87" s="5"/>
      <c r="J87" s="5"/>
      <c r="K87" s="5">
        <v>228</v>
      </c>
      <c r="L87" s="5">
        <v>7</v>
      </c>
      <c r="M87" s="5">
        <v>3</v>
      </c>
      <c r="N87" s="5" t="s">
        <v>3</v>
      </c>
      <c r="O87" s="5">
        <v>2</v>
      </c>
      <c r="P87" s="5">
        <f>ROUND(Source!EQ79,O87)</f>
        <v>86307.72</v>
      </c>
      <c r="Q87" s="5"/>
      <c r="R87" s="5"/>
      <c r="S87" s="5"/>
      <c r="T87" s="5"/>
      <c r="U87" s="5"/>
      <c r="V87" s="5"/>
      <c r="W87" s="5">
        <v>9161.07</v>
      </c>
      <c r="X87" s="5">
        <v>1</v>
      </c>
      <c r="Y87" s="5">
        <v>9161.07</v>
      </c>
      <c r="Z87" s="5">
        <v>86307.72</v>
      </c>
      <c r="AA87" s="5">
        <v>1</v>
      </c>
      <c r="AB87" s="5">
        <v>86307.72</v>
      </c>
    </row>
    <row r="88" spans="1:28" x14ac:dyDescent="0.2">
      <c r="A88" s="5">
        <v>50</v>
      </c>
      <c r="B88" s="5">
        <v>0</v>
      </c>
      <c r="C88" s="5">
        <v>0</v>
      </c>
      <c r="D88" s="5">
        <v>1</v>
      </c>
      <c r="E88" s="5">
        <v>216</v>
      </c>
      <c r="F88" s="5">
        <f>ROUND(Source!AP79,O88)</f>
        <v>881507.25</v>
      </c>
      <c r="G88" s="5" t="s">
        <v>145</v>
      </c>
      <c r="H88" s="5" t="s">
        <v>146</v>
      </c>
      <c r="I88" s="5"/>
      <c r="J88" s="5"/>
      <c r="K88" s="5">
        <v>216</v>
      </c>
      <c r="L88" s="5">
        <v>8</v>
      </c>
      <c r="M88" s="5">
        <v>3</v>
      </c>
      <c r="N88" s="5" t="s">
        <v>3</v>
      </c>
      <c r="O88" s="5">
        <v>2</v>
      </c>
      <c r="P88" s="5">
        <f>ROUND(Source!EH79,O88)</f>
        <v>6752345.5300000003</v>
      </c>
      <c r="Q88" s="5"/>
      <c r="R88" s="5"/>
      <c r="S88" s="5"/>
      <c r="T88" s="5"/>
      <c r="U88" s="5"/>
      <c r="V88" s="5"/>
      <c r="W88" s="5">
        <v>881507.25</v>
      </c>
      <c r="X88" s="5">
        <v>1</v>
      </c>
      <c r="Y88" s="5">
        <v>881507.25</v>
      </c>
      <c r="Z88" s="5">
        <v>6752345.5300000003</v>
      </c>
      <c r="AA88" s="5">
        <v>1</v>
      </c>
      <c r="AB88" s="5">
        <v>6752345.5300000003</v>
      </c>
    </row>
    <row r="89" spans="1:28" x14ac:dyDescent="0.2">
      <c r="A89" s="5">
        <v>50</v>
      </c>
      <c r="B89" s="5">
        <v>0</v>
      </c>
      <c r="C89" s="5">
        <v>0</v>
      </c>
      <c r="D89" s="5">
        <v>1</v>
      </c>
      <c r="E89" s="5">
        <v>223</v>
      </c>
      <c r="F89" s="5">
        <f>ROUND(Source!AQ79,O89)</f>
        <v>0</v>
      </c>
      <c r="G89" s="5" t="s">
        <v>147</v>
      </c>
      <c r="H89" s="5" t="s">
        <v>148</v>
      </c>
      <c r="I89" s="5"/>
      <c r="J89" s="5"/>
      <c r="K89" s="5">
        <v>223</v>
      </c>
      <c r="L89" s="5">
        <v>9</v>
      </c>
      <c r="M89" s="5">
        <v>3</v>
      </c>
      <c r="N89" s="5" t="s">
        <v>3</v>
      </c>
      <c r="O89" s="5">
        <v>2</v>
      </c>
      <c r="P89" s="5">
        <f>ROUND(Source!EI79,O89)</f>
        <v>0</v>
      </c>
      <c r="Q89" s="5"/>
      <c r="R89" s="5"/>
      <c r="S89" s="5"/>
      <c r="T89" s="5"/>
      <c r="U89" s="5"/>
      <c r="V89" s="5"/>
      <c r="W89" s="5">
        <v>0</v>
      </c>
      <c r="X89" s="5">
        <v>1</v>
      </c>
      <c r="Y89" s="5">
        <v>0</v>
      </c>
      <c r="Z89" s="5">
        <v>0</v>
      </c>
      <c r="AA89" s="5">
        <v>1</v>
      </c>
      <c r="AB89" s="5">
        <v>0</v>
      </c>
    </row>
    <row r="90" spans="1:28" x14ac:dyDescent="0.2">
      <c r="A90" s="5">
        <v>50</v>
      </c>
      <c r="B90" s="5">
        <v>0</v>
      </c>
      <c r="C90" s="5">
        <v>0</v>
      </c>
      <c r="D90" s="5">
        <v>1</v>
      </c>
      <c r="E90" s="5">
        <v>229</v>
      </c>
      <c r="F90" s="5">
        <f>ROUND(Source!AZ79,O90)</f>
        <v>881507.25</v>
      </c>
      <c r="G90" s="5" t="s">
        <v>149</v>
      </c>
      <c r="H90" s="5" t="s">
        <v>150</v>
      </c>
      <c r="I90" s="5"/>
      <c r="J90" s="5"/>
      <c r="K90" s="5">
        <v>229</v>
      </c>
      <c r="L90" s="5">
        <v>10</v>
      </c>
      <c r="M90" s="5">
        <v>3</v>
      </c>
      <c r="N90" s="5" t="s">
        <v>3</v>
      </c>
      <c r="O90" s="5">
        <v>2</v>
      </c>
      <c r="P90" s="5">
        <f>ROUND(Source!ER79,O90)</f>
        <v>6752345.5300000003</v>
      </c>
      <c r="Q90" s="5"/>
      <c r="R90" s="5"/>
      <c r="S90" s="5"/>
      <c r="T90" s="5"/>
      <c r="U90" s="5"/>
      <c r="V90" s="5"/>
      <c r="W90" s="5">
        <v>881507.25</v>
      </c>
      <c r="X90" s="5">
        <v>1</v>
      </c>
      <c r="Y90" s="5">
        <v>881507.25</v>
      </c>
      <c r="Z90" s="5">
        <v>6752345.5300000003</v>
      </c>
      <c r="AA90" s="5">
        <v>1</v>
      </c>
      <c r="AB90" s="5">
        <v>6752345.5300000003</v>
      </c>
    </row>
    <row r="91" spans="1:28" x14ac:dyDescent="0.2">
      <c r="A91" s="5">
        <v>50</v>
      </c>
      <c r="B91" s="5">
        <v>0</v>
      </c>
      <c r="C91" s="5">
        <v>0</v>
      </c>
      <c r="D91" s="5">
        <v>1</v>
      </c>
      <c r="E91" s="5">
        <v>203</v>
      </c>
      <c r="F91" s="5">
        <f>ROUND(Source!Q79,O91)</f>
        <v>557.09</v>
      </c>
      <c r="G91" s="5" t="s">
        <v>151</v>
      </c>
      <c r="H91" s="5" t="s">
        <v>152</v>
      </c>
      <c r="I91" s="5"/>
      <c r="J91" s="5"/>
      <c r="K91" s="5">
        <v>203</v>
      </c>
      <c r="L91" s="5">
        <v>11</v>
      </c>
      <c r="M91" s="5">
        <v>3</v>
      </c>
      <c r="N91" s="5" t="s">
        <v>3</v>
      </c>
      <c r="O91" s="5">
        <v>2</v>
      </c>
      <c r="P91" s="5">
        <f>ROUND(Source!DI79,O91)</f>
        <v>8457.7099999999991</v>
      </c>
      <c r="Q91" s="5"/>
      <c r="R91" s="5"/>
      <c r="S91" s="5"/>
      <c r="T91" s="5"/>
      <c r="U91" s="5"/>
      <c r="V91" s="5"/>
      <c r="W91" s="5">
        <v>557.09</v>
      </c>
      <c r="X91" s="5">
        <v>1</v>
      </c>
      <c r="Y91" s="5">
        <v>557.09</v>
      </c>
      <c r="Z91" s="5">
        <v>8457.7099999999991</v>
      </c>
      <c r="AA91" s="5">
        <v>1</v>
      </c>
      <c r="AB91" s="5">
        <v>8457.7099999999991</v>
      </c>
    </row>
    <row r="92" spans="1:28" x14ac:dyDescent="0.2">
      <c r="A92" s="5">
        <v>50</v>
      </c>
      <c r="B92" s="5">
        <v>0</v>
      </c>
      <c r="C92" s="5">
        <v>0</v>
      </c>
      <c r="D92" s="5">
        <v>1</v>
      </c>
      <c r="E92" s="5">
        <v>231</v>
      </c>
      <c r="F92" s="5">
        <f>ROUND(Source!BB79,O92)</f>
        <v>0</v>
      </c>
      <c r="G92" s="5" t="s">
        <v>153</v>
      </c>
      <c r="H92" s="5" t="s">
        <v>154</v>
      </c>
      <c r="I92" s="5"/>
      <c r="J92" s="5"/>
      <c r="K92" s="5">
        <v>231</v>
      </c>
      <c r="L92" s="5">
        <v>12</v>
      </c>
      <c r="M92" s="5">
        <v>3</v>
      </c>
      <c r="N92" s="5" t="s">
        <v>3</v>
      </c>
      <c r="O92" s="5">
        <v>2</v>
      </c>
      <c r="P92" s="5">
        <f>ROUND(Source!ET79,O92)</f>
        <v>0</v>
      </c>
      <c r="Q92" s="5"/>
      <c r="R92" s="5"/>
      <c r="S92" s="5"/>
      <c r="T92" s="5"/>
      <c r="U92" s="5"/>
      <c r="V92" s="5"/>
      <c r="W92" s="5">
        <v>0</v>
      </c>
      <c r="X92" s="5">
        <v>1</v>
      </c>
      <c r="Y92" s="5">
        <v>0</v>
      </c>
      <c r="Z92" s="5">
        <v>0</v>
      </c>
      <c r="AA92" s="5">
        <v>1</v>
      </c>
      <c r="AB92" s="5">
        <v>0</v>
      </c>
    </row>
    <row r="93" spans="1:28" x14ac:dyDescent="0.2">
      <c r="A93" s="5">
        <v>50</v>
      </c>
      <c r="B93" s="5">
        <v>0</v>
      </c>
      <c r="C93" s="5">
        <v>0</v>
      </c>
      <c r="D93" s="5">
        <v>1</v>
      </c>
      <c r="E93" s="5">
        <v>204</v>
      </c>
      <c r="F93" s="5">
        <f>ROUND(Source!R79,O93)</f>
        <v>59.23</v>
      </c>
      <c r="G93" s="5" t="s">
        <v>155</v>
      </c>
      <c r="H93" s="5" t="s">
        <v>156</v>
      </c>
      <c r="I93" s="5"/>
      <c r="J93" s="5"/>
      <c r="K93" s="5">
        <v>204</v>
      </c>
      <c r="L93" s="5">
        <v>13</v>
      </c>
      <c r="M93" s="5">
        <v>3</v>
      </c>
      <c r="N93" s="5" t="s">
        <v>3</v>
      </c>
      <c r="O93" s="5">
        <v>2</v>
      </c>
      <c r="P93" s="5">
        <f>ROUND(Source!DJ79,O93)</f>
        <v>3257.06</v>
      </c>
      <c r="Q93" s="5"/>
      <c r="R93" s="5"/>
      <c r="S93" s="5"/>
      <c r="T93" s="5"/>
      <c r="U93" s="5"/>
      <c r="V93" s="5"/>
      <c r="W93" s="5">
        <v>59.23</v>
      </c>
      <c r="X93" s="5">
        <v>1</v>
      </c>
      <c r="Y93" s="5">
        <v>59.23</v>
      </c>
      <c r="Z93" s="5">
        <v>3257.06</v>
      </c>
      <c r="AA93" s="5">
        <v>1</v>
      </c>
      <c r="AB93" s="5">
        <v>3257.06</v>
      </c>
    </row>
    <row r="94" spans="1:28" x14ac:dyDescent="0.2">
      <c r="A94" s="5">
        <v>50</v>
      </c>
      <c r="B94" s="5">
        <v>0</v>
      </c>
      <c r="C94" s="5">
        <v>0</v>
      </c>
      <c r="D94" s="5">
        <v>1</v>
      </c>
      <c r="E94" s="5">
        <v>205</v>
      </c>
      <c r="F94" s="5">
        <f>ROUND(Source!S79,O94)</f>
        <v>8576.4599999999991</v>
      </c>
      <c r="G94" s="5" t="s">
        <v>157</v>
      </c>
      <c r="H94" s="5" t="s">
        <v>158</v>
      </c>
      <c r="I94" s="5"/>
      <c r="J94" s="5"/>
      <c r="K94" s="5">
        <v>205</v>
      </c>
      <c r="L94" s="5">
        <v>14</v>
      </c>
      <c r="M94" s="5">
        <v>3</v>
      </c>
      <c r="N94" s="5" t="s">
        <v>3</v>
      </c>
      <c r="O94" s="5">
        <v>2</v>
      </c>
      <c r="P94" s="5">
        <f>ROUND(Source!DK79,O94)</f>
        <v>471619.53</v>
      </c>
      <c r="Q94" s="5"/>
      <c r="R94" s="5"/>
      <c r="S94" s="5"/>
      <c r="T94" s="5"/>
      <c r="U94" s="5"/>
      <c r="V94" s="5"/>
      <c r="W94" s="5">
        <v>8576.4599999999991</v>
      </c>
      <c r="X94" s="5">
        <v>1</v>
      </c>
      <c r="Y94" s="5">
        <v>8576.4599999999991</v>
      </c>
      <c r="Z94" s="5">
        <v>471619.53</v>
      </c>
      <c r="AA94" s="5">
        <v>1</v>
      </c>
      <c r="AB94" s="5">
        <v>471619.53</v>
      </c>
    </row>
    <row r="95" spans="1:28" x14ac:dyDescent="0.2">
      <c r="A95" s="5">
        <v>50</v>
      </c>
      <c r="B95" s="5">
        <v>0</v>
      </c>
      <c r="C95" s="5">
        <v>0</v>
      </c>
      <c r="D95" s="5">
        <v>1</v>
      </c>
      <c r="E95" s="5">
        <v>232</v>
      </c>
      <c r="F95" s="5">
        <f>ROUND(Source!BC79,O95)</f>
        <v>0</v>
      </c>
      <c r="G95" s="5" t="s">
        <v>159</v>
      </c>
      <c r="H95" s="5" t="s">
        <v>160</v>
      </c>
      <c r="I95" s="5"/>
      <c r="J95" s="5"/>
      <c r="K95" s="5">
        <v>232</v>
      </c>
      <c r="L95" s="5">
        <v>15</v>
      </c>
      <c r="M95" s="5">
        <v>3</v>
      </c>
      <c r="N95" s="5" t="s">
        <v>3</v>
      </c>
      <c r="O95" s="5">
        <v>2</v>
      </c>
      <c r="P95" s="5">
        <f>ROUND(Source!EU79,O95)</f>
        <v>0</v>
      </c>
      <c r="Q95" s="5"/>
      <c r="R95" s="5"/>
      <c r="S95" s="5"/>
      <c r="T95" s="5"/>
      <c r="U95" s="5"/>
      <c r="V95" s="5"/>
      <c r="W95" s="5">
        <v>0</v>
      </c>
      <c r="X95" s="5">
        <v>1</v>
      </c>
      <c r="Y95" s="5">
        <v>0</v>
      </c>
      <c r="Z95" s="5">
        <v>0</v>
      </c>
      <c r="AA95" s="5">
        <v>1</v>
      </c>
      <c r="AB95" s="5">
        <v>0</v>
      </c>
    </row>
    <row r="96" spans="1:28" x14ac:dyDescent="0.2">
      <c r="A96" s="5">
        <v>50</v>
      </c>
      <c r="B96" s="5">
        <v>0</v>
      </c>
      <c r="C96" s="5">
        <v>0</v>
      </c>
      <c r="D96" s="5">
        <v>1</v>
      </c>
      <c r="E96" s="5">
        <v>214</v>
      </c>
      <c r="F96" s="5">
        <f>ROUND(Source!AS79,O96)</f>
        <v>0</v>
      </c>
      <c r="G96" s="5" t="s">
        <v>161</v>
      </c>
      <c r="H96" s="5" t="s">
        <v>162</v>
      </c>
      <c r="I96" s="5"/>
      <c r="J96" s="5"/>
      <c r="K96" s="5">
        <v>214</v>
      </c>
      <c r="L96" s="5">
        <v>16</v>
      </c>
      <c r="M96" s="5">
        <v>3</v>
      </c>
      <c r="N96" s="5" t="s">
        <v>3</v>
      </c>
      <c r="O96" s="5">
        <v>2</v>
      </c>
      <c r="P96" s="5">
        <f>ROUND(Source!EK79,O96)</f>
        <v>0</v>
      </c>
      <c r="Q96" s="5"/>
      <c r="R96" s="5"/>
      <c r="S96" s="5"/>
      <c r="T96" s="5"/>
      <c r="U96" s="5"/>
      <c r="V96" s="5"/>
      <c r="W96" s="5">
        <v>0</v>
      </c>
      <c r="X96" s="5">
        <v>1</v>
      </c>
      <c r="Y96" s="5">
        <v>0</v>
      </c>
      <c r="Z96" s="5">
        <v>0</v>
      </c>
      <c r="AA96" s="5">
        <v>1</v>
      </c>
      <c r="AB96" s="5">
        <v>0</v>
      </c>
    </row>
    <row r="97" spans="1:206" x14ac:dyDescent="0.2">
      <c r="A97" s="5">
        <v>50</v>
      </c>
      <c r="B97" s="5">
        <v>0</v>
      </c>
      <c r="C97" s="5">
        <v>0</v>
      </c>
      <c r="D97" s="5">
        <v>1</v>
      </c>
      <c r="E97" s="5">
        <v>215</v>
      </c>
      <c r="F97" s="5">
        <f>ROUND(Source!AT79,O97)</f>
        <v>30158.23</v>
      </c>
      <c r="G97" s="5" t="s">
        <v>163</v>
      </c>
      <c r="H97" s="5" t="s">
        <v>164</v>
      </c>
      <c r="I97" s="5"/>
      <c r="J97" s="5"/>
      <c r="K97" s="5">
        <v>215</v>
      </c>
      <c r="L97" s="5">
        <v>17</v>
      </c>
      <c r="M97" s="5">
        <v>3</v>
      </c>
      <c r="N97" s="5" t="s">
        <v>3</v>
      </c>
      <c r="O97" s="5">
        <v>2</v>
      </c>
      <c r="P97" s="5">
        <f>ROUND(Source!EL79,O97)</f>
        <v>1218764.9099999999</v>
      </c>
      <c r="Q97" s="5"/>
      <c r="R97" s="5"/>
      <c r="S97" s="5"/>
      <c r="T97" s="5"/>
      <c r="U97" s="5"/>
      <c r="V97" s="5"/>
      <c r="W97" s="5">
        <v>30158.23</v>
      </c>
      <c r="X97" s="5">
        <v>1</v>
      </c>
      <c r="Y97" s="5">
        <v>30158.23</v>
      </c>
      <c r="Z97" s="5">
        <v>1218764.9099999999</v>
      </c>
      <c r="AA97" s="5">
        <v>1</v>
      </c>
      <c r="AB97" s="5">
        <v>1218764.9099999999</v>
      </c>
    </row>
    <row r="98" spans="1:206" x14ac:dyDescent="0.2">
      <c r="A98" s="5">
        <v>50</v>
      </c>
      <c r="B98" s="5">
        <v>0</v>
      </c>
      <c r="C98" s="5">
        <v>0</v>
      </c>
      <c r="D98" s="5">
        <v>1</v>
      </c>
      <c r="E98" s="5">
        <v>217</v>
      </c>
      <c r="F98" s="5">
        <f>ROUND(Source!AU79,O98)</f>
        <v>0</v>
      </c>
      <c r="G98" s="5" t="s">
        <v>165</v>
      </c>
      <c r="H98" s="5" t="s">
        <v>166</v>
      </c>
      <c r="I98" s="5"/>
      <c r="J98" s="5"/>
      <c r="K98" s="5">
        <v>217</v>
      </c>
      <c r="L98" s="5">
        <v>18</v>
      </c>
      <c r="M98" s="5">
        <v>3</v>
      </c>
      <c r="N98" s="5" t="s">
        <v>3</v>
      </c>
      <c r="O98" s="5">
        <v>2</v>
      </c>
      <c r="P98" s="5">
        <f>ROUND(Source!EM79,O98)</f>
        <v>0</v>
      </c>
      <c r="Q98" s="5"/>
      <c r="R98" s="5"/>
      <c r="S98" s="5"/>
      <c r="T98" s="5"/>
      <c r="U98" s="5"/>
      <c r="V98" s="5"/>
      <c r="W98" s="5">
        <v>0</v>
      </c>
      <c r="X98" s="5">
        <v>1</v>
      </c>
      <c r="Y98" s="5">
        <v>0</v>
      </c>
      <c r="Z98" s="5">
        <v>0</v>
      </c>
      <c r="AA98" s="5">
        <v>1</v>
      </c>
      <c r="AB98" s="5">
        <v>0</v>
      </c>
    </row>
    <row r="99" spans="1:206" x14ac:dyDescent="0.2">
      <c r="A99" s="5">
        <v>50</v>
      </c>
      <c r="B99" s="5">
        <v>0</v>
      </c>
      <c r="C99" s="5">
        <v>0</v>
      </c>
      <c r="D99" s="5">
        <v>1</v>
      </c>
      <c r="E99" s="5">
        <v>230</v>
      </c>
      <c r="F99" s="5">
        <f>ROUND(Source!BA79,O99)</f>
        <v>0</v>
      </c>
      <c r="G99" s="5" t="s">
        <v>167</v>
      </c>
      <c r="H99" s="5" t="s">
        <v>168</v>
      </c>
      <c r="I99" s="5"/>
      <c r="J99" s="5"/>
      <c r="K99" s="5">
        <v>230</v>
      </c>
      <c r="L99" s="5">
        <v>19</v>
      </c>
      <c r="M99" s="5">
        <v>3</v>
      </c>
      <c r="N99" s="5" t="s">
        <v>3</v>
      </c>
      <c r="O99" s="5">
        <v>2</v>
      </c>
      <c r="P99" s="5">
        <f>ROUND(Source!ES79,O99)</f>
        <v>0</v>
      </c>
      <c r="Q99" s="5"/>
      <c r="R99" s="5"/>
      <c r="S99" s="5"/>
      <c r="T99" s="5"/>
      <c r="U99" s="5"/>
      <c r="V99" s="5"/>
      <c r="W99" s="5">
        <v>0</v>
      </c>
      <c r="X99" s="5">
        <v>1</v>
      </c>
      <c r="Y99" s="5">
        <v>0</v>
      </c>
      <c r="Z99" s="5">
        <v>0</v>
      </c>
      <c r="AA99" s="5">
        <v>1</v>
      </c>
      <c r="AB99" s="5">
        <v>0</v>
      </c>
    </row>
    <row r="100" spans="1:206" x14ac:dyDescent="0.2">
      <c r="A100" s="5">
        <v>50</v>
      </c>
      <c r="B100" s="5">
        <v>0</v>
      </c>
      <c r="C100" s="5">
        <v>0</v>
      </c>
      <c r="D100" s="5">
        <v>1</v>
      </c>
      <c r="E100" s="5">
        <v>206</v>
      </c>
      <c r="F100" s="5">
        <f>ROUND(Source!T79,O100)</f>
        <v>0</v>
      </c>
      <c r="G100" s="5" t="s">
        <v>169</v>
      </c>
      <c r="H100" s="5" t="s">
        <v>170</v>
      </c>
      <c r="I100" s="5"/>
      <c r="J100" s="5"/>
      <c r="K100" s="5">
        <v>206</v>
      </c>
      <c r="L100" s="5">
        <v>20</v>
      </c>
      <c r="M100" s="5">
        <v>3</v>
      </c>
      <c r="N100" s="5" t="s">
        <v>3</v>
      </c>
      <c r="O100" s="5">
        <v>2</v>
      </c>
      <c r="P100" s="5">
        <f>ROUND(Source!DL79,O100)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06" x14ac:dyDescent="0.2">
      <c r="A101" s="5">
        <v>50</v>
      </c>
      <c r="B101" s="5">
        <v>0</v>
      </c>
      <c r="C101" s="5">
        <v>0</v>
      </c>
      <c r="D101" s="5">
        <v>1</v>
      </c>
      <c r="E101" s="5">
        <v>207</v>
      </c>
      <c r="F101" s="5">
        <f>Source!U79</f>
        <v>593.36134330000016</v>
      </c>
      <c r="G101" s="5" t="s">
        <v>171</v>
      </c>
      <c r="H101" s="5" t="s">
        <v>172</v>
      </c>
      <c r="I101" s="5"/>
      <c r="J101" s="5"/>
      <c r="K101" s="5">
        <v>207</v>
      </c>
      <c r="L101" s="5">
        <v>21</v>
      </c>
      <c r="M101" s="5">
        <v>3</v>
      </c>
      <c r="N101" s="5" t="s">
        <v>3</v>
      </c>
      <c r="O101" s="5">
        <v>-1</v>
      </c>
      <c r="P101" s="5">
        <f>Source!DM79</f>
        <v>593.36134330000016</v>
      </c>
      <c r="Q101" s="5"/>
      <c r="R101" s="5"/>
      <c r="S101" s="5"/>
      <c r="T101" s="5"/>
      <c r="U101" s="5"/>
      <c r="V101" s="5"/>
      <c r="W101" s="5">
        <v>593.36134330000016</v>
      </c>
      <c r="X101" s="5">
        <v>1</v>
      </c>
      <c r="Y101" s="5">
        <v>593.36134330000016</v>
      </c>
      <c r="Z101" s="5">
        <v>593.36134330000016</v>
      </c>
      <c r="AA101" s="5">
        <v>1</v>
      </c>
      <c r="AB101" s="5">
        <v>593.36134330000016</v>
      </c>
    </row>
    <row r="102" spans="1:206" x14ac:dyDescent="0.2">
      <c r="A102" s="5">
        <v>50</v>
      </c>
      <c r="B102" s="5">
        <v>0</v>
      </c>
      <c r="C102" s="5">
        <v>0</v>
      </c>
      <c r="D102" s="5">
        <v>1</v>
      </c>
      <c r="E102" s="5">
        <v>208</v>
      </c>
      <c r="F102" s="5">
        <f>Source!V79</f>
        <v>0</v>
      </c>
      <c r="G102" s="5" t="s">
        <v>173</v>
      </c>
      <c r="H102" s="5" t="s">
        <v>174</v>
      </c>
      <c r="I102" s="5"/>
      <c r="J102" s="5"/>
      <c r="K102" s="5">
        <v>208</v>
      </c>
      <c r="L102" s="5">
        <v>22</v>
      </c>
      <c r="M102" s="5">
        <v>3</v>
      </c>
      <c r="N102" s="5" t="s">
        <v>3</v>
      </c>
      <c r="O102" s="5">
        <v>-1</v>
      </c>
      <c r="P102" s="5">
        <f>Source!DN79</f>
        <v>0</v>
      </c>
      <c r="Q102" s="5"/>
      <c r="R102" s="5"/>
      <c r="S102" s="5"/>
      <c r="T102" s="5"/>
      <c r="U102" s="5"/>
      <c r="V102" s="5"/>
      <c r="W102" s="5">
        <v>0</v>
      </c>
      <c r="X102" s="5">
        <v>1</v>
      </c>
      <c r="Y102" s="5">
        <v>0</v>
      </c>
      <c r="Z102" s="5">
        <v>0</v>
      </c>
      <c r="AA102" s="5">
        <v>1</v>
      </c>
      <c r="AB102" s="5">
        <v>0</v>
      </c>
    </row>
    <row r="103" spans="1:206" x14ac:dyDescent="0.2">
      <c r="A103" s="5">
        <v>50</v>
      </c>
      <c r="B103" s="5">
        <v>0</v>
      </c>
      <c r="C103" s="5">
        <v>0</v>
      </c>
      <c r="D103" s="5">
        <v>1</v>
      </c>
      <c r="E103" s="5">
        <v>209</v>
      </c>
      <c r="F103" s="5">
        <f>ROUND(Source!W79,O103)</f>
        <v>0</v>
      </c>
      <c r="G103" s="5" t="s">
        <v>175</v>
      </c>
      <c r="H103" s="5" t="s">
        <v>176</v>
      </c>
      <c r="I103" s="5"/>
      <c r="J103" s="5"/>
      <c r="K103" s="5">
        <v>209</v>
      </c>
      <c r="L103" s="5">
        <v>23</v>
      </c>
      <c r="M103" s="5">
        <v>3</v>
      </c>
      <c r="N103" s="5" t="s">
        <v>3</v>
      </c>
      <c r="O103" s="5">
        <v>2</v>
      </c>
      <c r="P103" s="5">
        <f>ROUND(Source!DO79,O103)</f>
        <v>0</v>
      </c>
      <c r="Q103" s="5"/>
      <c r="R103" s="5"/>
      <c r="S103" s="5"/>
      <c r="T103" s="5"/>
      <c r="U103" s="5"/>
      <c r="V103" s="5"/>
      <c r="W103" s="5">
        <v>0</v>
      </c>
      <c r="X103" s="5">
        <v>1</v>
      </c>
      <c r="Y103" s="5">
        <v>0</v>
      </c>
      <c r="Z103" s="5">
        <v>0</v>
      </c>
      <c r="AA103" s="5">
        <v>1</v>
      </c>
      <c r="AB103" s="5">
        <v>0</v>
      </c>
    </row>
    <row r="104" spans="1:206" x14ac:dyDescent="0.2">
      <c r="A104" s="5">
        <v>50</v>
      </c>
      <c r="B104" s="5">
        <v>0</v>
      </c>
      <c r="C104" s="5">
        <v>0</v>
      </c>
      <c r="D104" s="5">
        <v>1</v>
      </c>
      <c r="E104" s="5">
        <v>233</v>
      </c>
      <c r="F104" s="5">
        <f>ROUND(Source!BD79,O104)</f>
        <v>0</v>
      </c>
      <c r="G104" s="5" t="s">
        <v>177</v>
      </c>
      <c r="H104" s="5" t="s">
        <v>178</v>
      </c>
      <c r="I104" s="5"/>
      <c r="J104" s="5"/>
      <c r="K104" s="5">
        <v>233</v>
      </c>
      <c r="L104" s="5">
        <v>24</v>
      </c>
      <c r="M104" s="5">
        <v>3</v>
      </c>
      <c r="N104" s="5" t="s">
        <v>3</v>
      </c>
      <c r="O104" s="5">
        <v>2</v>
      </c>
      <c r="P104" s="5">
        <f>ROUND(Source!EV79,O104)</f>
        <v>0</v>
      </c>
      <c r="Q104" s="5"/>
      <c r="R104" s="5"/>
      <c r="S104" s="5"/>
      <c r="T104" s="5"/>
      <c r="U104" s="5"/>
      <c r="V104" s="5"/>
      <c r="W104" s="5">
        <v>0</v>
      </c>
      <c r="X104" s="5">
        <v>1</v>
      </c>
      <c r="Y104" s="5">
        <v>0</v>
      </c>
      <c r="Z104" s="5">
        <v>0</v>
      </c>
      <c r="AA104" s="5">
        <v>1</v>
      </c>
      <c r="AB104" s="5">
        <v>0</v>
      </c>
    </row>
    <row r="105" spans="1:206" x14ac:dyDescent="0.2">
      <c r="A105" s="5">
        <v>50</v>
      </c>
      <c r="B105" s="5">
        <v>0</v>
      </c>
      <c r="C105" s="5">
        <v>0</v>
      </c>
      <c r="D105" s="5">
        <v>1</v>
      </c>
      <c r="E105" s="5">
        <v>210</v>
      </c>
      <c r="F105" s="5">
        <f>ROUND(Source!X79,O105)</f>
        <v>7821.73</v>
      </c>
      <c r="G105" s="5" t="s">
        <v>179</v>
      </c>
      <c r="H105" s="5" t="s">
        <v>180</v>
      </c>
      <c r="I105" s="5"/>
      <c r="J105" s="5"/>
      <c r="K105" s="5">
        <v>210</v>
      </c>
      <c r="L105" s="5">
        <v>25</v>
      </c>
      <c r="M105" s="5">
        <v>3</v>
      </c>
      <c r="N105" s="5" t="s">
        <v>3</v>
      </c>
      <c r="O105" s="5">
        <v>2</v>
      </c>
      <c r="P105" s="5">
        <f>ROUND(Source!DP79,O105)</f>
        <v>430117.17</v>
      </c>
      <c r="Q105" s="5"/>
      <c r="R105" s="5"/>
      <c r="S105" s="5"/>
      <c r="T105" s="5"/>
      <c r="U105" s="5"/>
      <c r="V105" s="5"/>
      <c r="W105" s="5">
        <v>7821.73</v>
      </c>
      <c r="X105" s="5">
        <v>1</v>
      </c>
      <c r="Y105" s="5">
        <v>7821.73</v>
      </c>
      <c r="Z105" s="5">
        <v>430117.17</v>
      </c>
      <c r="AA105" s="5">
        <v>1</v>
      </c>
      <c r="AB105" s="5">
        <v>430117.17</v>
      </c>
    </row>
    <row r="106" spans="1:206" x14ac:dyDescent="0.2">
      <c r="A106" s="5">
        <v>50</v>
      </c>
      <c r="B106" s="5">
        <v>0</v>
      </c>
      <c r="C106" s="5">
        <v>0</v>
      </c>
      <c r="D106" s="5">
        <v>1</v>
      </c>
      <c r="E106" s="5">
        <v>211</v>
      </c>
      <c r="F106" s="5">
        <f>ROUND(Source!Y79,O106)</f>
        <v>4041.88</v>
      </c>
      <c r="G106" s="5" t="s">
        <v>181</v>
      </c>
      <c r="H106" s="5" t="s">
        <v>182</v>
      </c>
      <c r="I106" s="5"/>
      <c r="J106" s="5"/>
      <c r="K106" s="5">
        <v>211</v>
      </c>
      <c r="L106" s="5">
        <v>26</v>
      </c>
      <c r="M106" s="5">
        <v>3</v>
      </c>
      <c r="N106" s="5" t="s">
        <v>3</v>
      </c>
      <c r="O106" s="5">
        <v>2</v>
      </c>
      <c r="P106" s="5">
        <f>ROUND(Source!DQ79,O106)</f>
        <v>222262.78</v>
      </c>
      <c r="Q106" s="5"/>
      <c r="R106" s="5"/>
      <c r="S106" s="5"/>
      <c r="T106" s="5"/>
      <c r="U106" s="5"/>
      <c r="V106" s="5"/>
      <c r="W106" s="5">
        <v>4041.88</v>
      </c>
      <c r="X106" s="5">
        <v>1</v>
      </c>
      <c r="Y106" s="5">
        <v>4041.88</v>
      </c>
      <c r="Z106" s="5">
        <v>222262.78</v>
      </c>
      <c r="AA106" s="5">
        <v>1</v>
      </c>
      <c r="AB106" s="5">
        <v>222262.78</v>
      </c>
    </row>
    <row r="107" spans="1:206" x14ac:dyDescent="0.2">
      <c r="A107" s="5">
        <v>50</v>
      </c>
      <c r="B107" s="5">
        <v>0</v>
      </c>
      <c r="C107" s="5">
        <v>0</v>
      </c>
      <c r="D107" s="5">
        <v>1</v>
      </c>
      <c r="E107" s="5">
        <v>224</v>
      </c>
      <c r="F107" s="5">
        <f>ROUND(Source!AR79,O107)</f>
        <v>911665.48</v>
      </c>
      <c r="G107" s="5" t="s">
        <v>183</v>
      </c>
      <c r="H107" s="5" t="s">
        <v>184</v>
      </c>
      <c r="I107" s="5"/>
      <c r="J107" s="5"/>
      <c r="K107" s="5">
        <v>224</v>
      </c>
      <c r="L107" s="5">
        <v>27</v>
      </c>
      <c r="M107" s="5">
        <v>3</v>
      </c>
      <c r="N107" s="5" t="s">
        <v>3</v>
      </c>
      <c r="O107" s="5">
        <v>2</v>
      </c>
      <c r="P107" s="5">
        <f>ROUND(Source!EJ79,O107)</f>
        <v>7971110.4400000004</v>
      </c>
      <c r="Q107" s="5"/>
      <c r="R107" s="5"/>
      <c r="S107" s="5"/>
      <c r="T107" s="5"/>
      <c r="U107" s="5"/>
      <c r="V107" s="5"/>
      <c r="W107" s="5">
        <v>911665.48</v>
      </c>
      <c r="X107" s="5">
        <v>1</v>
      </c>
      <c r="Y107" s="5">
        <v>911665.48</v>
      </c>
      <c r="Z107" s="5">
        <v>7971110.4400000004</v>
      </c>
      <c r="AA107" s="5">
        <v>1</v>
      </c>
      <c r="AB107" s="5">
        <v>7971110.4400000004</v>
      </c>
    </row>
    <row r="109" spans="1:206" x14ac:dyDescent="0.2">
      <c r="A109" s="1">
        <v>4</v>
      </c>
      <c r="B109" s="1">
        <v>1</v>
      </c>
      <c r="C109" s="1"/>
      <c r="D109" s="1">
        <f>ROW(A124)</f>
        <v>124</v>
      </c>
      <c r="E109" s="1"/>
      <c r="F109" s="1" t="s">
        <v>3</v>
      </c>
      <c r="G109" s="1" t="s">
        <v>185</v>
      </c>
      <c r="H109" s="1" t="s">
        <v>3</v>
      </c>
      <c r="I109" s="1">
        <v>0</v>
      </c>
      <c r="J109" s="1"/>
      <c r="K109" s="1">
        <v>-1</v>
      </c>
      <c r="L109" s="1"/>
      <c r="M109" s="1" t="s">
        <v>3</v>
      </c>
      <c r="N109" s="1"/>
      <c r="O109" s="1"/>
      <c r="P109" s="1"/>
      <c r="Q109" s="1"/>
      <c r="R109" s="1"/>
      <c r="S109" s="1">
        <v>0</v>
      </c>
      <c r="T109" s="1">
        <v>0</v>
      </c>
      <c r="U109" s="1" t="s">
        <v>3</v>
      </c>
      <c r="V109" s="1">
        <v>2</v>
      </c>
      <c r="W109" s="1"/>
      <c r="X109" s="1"/>
      <c r="Y109" s="1"/>
      <c r="Z109" s="1"/>
      <c r="AA109" s="1"/>
      <c r="AB109" s="1" t="s">
        <v>3</v>
      </c>
      <c r="AC109" s="1" t="s">
        <v>3</v>
      </c>
      <c r="AD109" s="1" t="s">
        <v>3</v>
      </c>
      <c r="AE109" s="1" t="s">
        <v>3</v>
      </c>
      <c r="AF109" s="1" t="s">
        <v>3</v>
      </c>
      <c r="AG109" s="1" t="s">
        <v>3</v>
      </c>
      <c r="AH109" s="1"/>
      <c r="AI109" s="1"/>
      <c r="AJ109" s="1"/>
      <c r="AK109" s="1"/>
      <c r="AL109" s="1"/>
      <c r="AM109" s="1"/>
      <c r="AN109" s="1"/>
      <c r="AO109" s="1"/>
      <c r="AP109" s="1" t="s">
        <v>3</v>
      </c>
      <c r="AQ109" s="1" t="s">
        <v>3</v>
      </c>
      <c r="AR109" s="1" t="s">
        <v>3</v>
      </c>
      <c r="AS109" s="1"/>
      <c r="AT109" s="1"/>
      <c r="AU109" s="1"/>
      <c r="AV109" s="1"/>
      <c r="AW109" s="1"/>
      <c r="AX109" s="1"/>
      <c r="AY109" s="1"/>
      <c r="AZ109" s="1" t="s">
        <v>3</v>
      </c>
      <c r="BA109" s="1"/>
      <c r="BB109" s="1" t="s">
        <v>3</v>
      </c>
      <c r="BC109" s="1" t="s">
        <v>3</v>
      </c>
      <c r="BD109" s="1" t="s">
        <v>3</v>
      </c>
      <c r="BE109" s="1" t="s">
        <v>3</v>
      </c>
      <c r="BF109" s="1" t="s">
        <v>3</v>
      </c>
      <c r="BG109" s="1" t="s">
        <v>3</v>
      </c>
      <c r="BH109" s="1" t="s">
        <v>3</v>
      </c>
      <c r="BI109" s="1" t="s">
        <v>3</v>
      </c>
      <c r="BJ109" s="1" t="s">
        <v>3</v>
      </c>
      <c r="BK109" s="1" t="s">
        <v>3</v>
      </c>
      <c r="BL109" s="1" t="s">
        <v>3</v>
      </c>
      <c r="BM109" s="1" t="s">
        <v>3</v>
      </c>
      <c r="BN109" s="1" t="s">
        <v>3</v>
      </c>
      <c r="BO109" s="1" t="s">
        <v>3</v>
      </c>
      <c r="BP109" s="1" t="s">
        <v>3</v>
      </c>
      <c r="BQ109" s="1"/>
      <c r="BR109" s="1"/>
      <c r="BS109" s="1"/>
      <c r="BT109" s="1"/>
      <c r="BU109" s="1"/>
      <c r="BV109" s="1"/>
      <c r="BW109" s="1"/>
      <c r="BX109" s="1">
        <v>0</v>
      </c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>
        <v>0</v>
      </c>
    </row>
    <row r="111" spans="1:206" x14ac:dyDescent="0.2">
      <c r="A111" s="3">
        <v>52</v>
      </c>
      <c r="B111" s="3">
        <f t="shared" ref="B111:G111" si="95">B124</f>
        <v>1</v>
      </c>
      <c r="C111" s="3">
        <f t="shared" si="95"/>
        <v>4</v>
      </c>
      <c r="D111" s="3">
        <f t="shared" si="95"/>
        <v>109</v>
      </c>
      <c r="E111" s="3">
        <f t="shared" si="95"/>
        <v>0</v>
      </c>
      <c r="F111" s="3" t="str">
        <f t="shared" si="95"/>
        <v/>
      </c>
      <c r="G111" s="3" t="str">
        <f t="shared" si="95"/>
        <v>Материалы и кабельные изделия</v>
      </c>
      <c r="H111" s="3"/>
      <c r="I111" s="3"/>
      <c r="J111" s="3"/>
      <c r="K111" s="3"/>
      <c r="L111" s="3"/>
      <c r="M111" s="3"/>
      <c r="N111" s="3"/>
      <c r="O111" s="3">
        <f t="shared" ref="O111:AT111" si="96">O124</f>
        <v>25258.639999999999</v>
      </c>
      <c r="P111" s="3">
        <f t="shared" si="96"/>
        <v>25006.76</v>
      </c>
      <c r="Q111" s="3">
        <f t="shared" si="96"/>
        <v>10.37</v>
      </c>
      <c r="R111" s="3">
        <f t="shared" si="96"/>
        <v>1.66</v>
      </c>
      <c r="S111" s="3">
        <f t="shared" si="96"/>
        <v>241.51</v>
      </c>
      <c r="T111" s="3">
        <f t="shared" si="96"/>
        <v>0</v>
      </c>
      <c r="U111" s="3">
        <f t="shared" si="96"/>
        <v>21.352518000000003</v>
      </c>
      <c r="V111" s="3">
        <f t="shared" si="96"/>
        <v>0</v>
      </c>
      <c r="W111" s="3">
        <f t="shared" si="96"/>
        <v>0</v>
      </c>
      <c r="X111" s="3">
        <f t="shared" si="96"/>
        <v>218.85</v>
      </c>
      <c r="Y111" s="3">
        <f t="shared" si="96"/>
        <v>111.86</v>
      </c>
      <c r="Z111" s="3">
        <f t="shared" si="96"/>
        <v>0</v>
      </c>
      <c r="AA111" s="3">
        <f t="shared" si="96"/>
        <v>0</v>
      </c>
      <c r="AB111" s="3">
        <f t="shared" si="96"/>
        <v>25258.639999999999</v>
      </c>
      <c r="AC111" s="3">
        <f t="shared" si="96"/>
        <v>25006.76</v>
      </c>
      <c r="AD111" s="3">
        <f t="shared" si="96"/>
        <v>10.37</v>
      </c>
      <c r="AE111" s="3">
        <f t="shared" si="96"/>
        <v>1.66</v>
      </c>
      <c r="AF111" s="3">
        <f t="shared" si="96"/>
        <v>241.51</v>
      </c>
      <c r="AG111" s="3">
        <f t="shared" si="96"/>
        <v>0</v>
      </c>
      <c r="AH111" s="3">
        <f t="shared" si="96"/>
        <v>21.352518000000003</v>
      </c>
      <c r="AI111" s="3">
        <f t="shared" si="96"/>
        <v>0</v>
      </c>
      <c r="AJ111" s="3">
        <f t="shared" si="96"/>
        <v>0</v>
      </c>
      <c r="AK111" s="3">
        <f t="shared" si="96"/>
        <v>218.85</v>
      </c>
      <c r="AL111" s="3">
        <f t="shared" si="96"/>
        <v>111.86</v>
      </c>
      <c r="AM111" s="3">
        <f t="shared" si="96"/>
        <v>0</v>
      </c>
      <c r="AN111" s="3">
        <f t="shared" si="96"/>
        <v>0</v>
      </c>
      <c r="AO111" s="3">
        <f t="shared" si="96"/>
        <v>0</v>
      </c>
      <c r="AP111" s="3">
        <f t="shared" si="96"/>
        <v>25006.76</v>
      </c>
      <c r="AQ111" s="3">
        <f t="shared" si="96"/>
        <v>0</v>
      </c>
      <c r="AR111" s="3">
        <f t="shared" si="96"/>
        <v>25589.35</v>
      </c>
      <c r="AS111" s="3">
        <f t="shared" si="96"/>
        <v>0</v>
      </c>
      <c r="AT111" s="3">
        <f t="shared" si="96"/>
        <v>582.59</v>
      </c>
      <c r="AU111" s="3">
        <f t="shared" ref="AU111:BZ111" si="97">AU124</f>
        <v>0</v>
      </c>
      <c r="AV111" s="3">
        <f t="shared" si="97"/>
        <v>25006.76</v>
      </c>
      <c r="AW111" s="3">
        <f t="shared" si="97"/>
        <v>0</v>
      </c>
      <c r="AX111" s="3">
        <f t="shared" si="97"/>
        <v>0</v>
      </c>
      <c r="AY111" s="3">
        <f t="shared" si="97"/>
        <v>0</v>
      </c>
      <c r="AZ111" s="3">
        <f t="shared" si="97"/>
        <v>25006.76</v>
      </c>
      <c r="BA111" s="3">
        <f t="shared" si="97"/>
        <v>0</v>
      </c>
      <c r="BB111" s="3">
        <f t="shared" si="97"/>
        <v>0</v>
      </c>
      <c r="BC111" s="3">
        <f t="shared" si="97"/>
        <v>0</v>
      </c>
      <c r="BD111" s="3">
        <f t="shared" si="97"/>
        <v>0</v>
      </c>
      <c r="BE111" s="3">
        <f t="shared" si="97"/>
        <v>0</v>
      </c>
      <c r="BF111" s="3">
        <f t="shared" si="97"/>
        <v>0</v>
      </c>
      <c r="BG111" s="3">
        <f t="shared" si="97"/>
        <v>0</v>
      </c>
      <c r="BH111" s="3">
        <f t="shared" si="97"/>
        <v>0</v>
      </c>
      <c r="BI111" s="3">
        <f t="shared" si="97"/>
        <v>0</v>
      </c>
      <c r="BJ111" s="3">
        <f t="shared" si="97"/>
        <v>0</v>
      </c>
      <c r="BK111" s="3">
        <f t="shared" si="97"/>
        <v>0</v>
      </c>
      <c r="BL111" s="3">
        <f t="shared" si="97"/>
        <v>0</v>
      </c>
      <c r="BM111" s="3">
        <f t="shared" si="97"/>
        <v>0</v>
      </c>
      <c r="BN111" s="3">
        <f t="shared" si="97"/>
        <v>0</v>
      </c>
      <c r="BO111" s="3">
        <f t="shared" si="97"/>
        <v>0</v>
      </c>
      <c r="BP111" s="3">
        <f t="shared" si="97"/>
        <v>0</v>
      </c>
      <c r="BQ111" s="3">
        <f t="shared" si="97"/>
        <v>0</v>
      </c>
      <c r="BR111" s="3">
        <f t="shared" si="97"/>
        <v>0</v>
      </c>
      <c r="BS111" s="3">
        <f t="shared" si="97"/>
        <v>0</v>
      </c>
      <c r="BT111" s="3">
        <f t="shared" si="97"/>
        <v>0</v>
      </c>
      <c r="BU111" s="3">
        <f t="shared" si="97"/>
        <v>0</v>
      </c>
      <c r="BV111" s="3">
        <f t="shared" si="97"/>
        <v>0</v>
      </c>
      <c r="BW111" s="3">
        <f t="shared" si="97"/>
        <v>0</v>
      </c>
      <c r="BX111" s="3">
        <f t="shared" si="97"/>
        <v>0</v>
      </c>
      <c r="BY111" s="3">
        <f t="shared" si="97"/>
        <v>25006.76</v>
      </c>
      <c r="BZ111" s="3">
        <f t="shared" si="97"/>
        <v>0</v>
      </c>
      <c r="CA111" s="3">
        <f t="shared" ref="CA111:DF111" si="98">CA124</f>
        <v>25589.35</v>
      </c>
      <c r="CB111" s="3">
        <f t="shared" si="98"/>
        <v>0</v>
      </c>
      <c r="CC111" s="3">
        <f t="shared" si="98"/>
        <v>582.59</v>
      </c>
      <c r="CD111" s="3">
        <f t="shared" si="98"/>
        <v>0</v>
      </c>
      <c r="CE111" s="3">
        <f t="shared" si="98"/>
        <v>25006.76</v>
      </c>
      <c r="CF111" s="3">
        <f t="shared" si="98"/>
        <v>0</v>
      </c>
      <c r="CG111" s="3">
        <f t="shared" si="98"/>
        <v>0</v>
      </c>
      <c r="CH111" s="3">
        <f t="shared" si="98"/>
        <v>0</v>
      </c>
      <c r="CI111" s="3">
        <f t="shared" si="98"/>
        <v>25006.76</v>
      </c>
      <c r="CJ111" s="3">
        <f t="shared" si="98"/>
        <v>0</v>
      </c>
      <c r="CK111" s="3">
        <f t="shared" si="98"/>
        <v>0</v>
      </c>
      <c r="CL111" s="3">
        <f t="shared" si="98"/>
        <v>0</v>
      </c>
      <c r="CM111" s="3">
        <f t="shared" si="98"/>
        <v>0</v>
      </c>
      <c r="CN111" s="3">
        <f t="shared" si="98"/>
        <v>0</v>
      </c>
      <c r="CO111" s="3">
        <f t="shared" si="98"/>
        <v>0</v>
      </c>
      <c r="CP111" s="3">
        <f t="shared" si="98"/>
        <v>0</v>
      </c>
      <c r="CQ111" s="3">
        <f t="shared" si="98"/>
        <v>0</v>
      </c>
      <c r="CR111" s="3">
        <f t="shared" si="98"/>
        <v>0</v>
      </c>
      <c r="CS111" s="3">
        <f t="shared" si="98"/>
        <v>0</v>
      </c>
      <c r="CT111" s="3">
        <f t="shared" si="98"/>
        <v>0</v>
      </c>
      <c r="CU111" s="3">
        <f t="shared" si="98"/>
        <v>0</v>
      </c>
      <c r="CV111" s="3">
        <f t="shared" si="98"/>
        <v>0</v>
      </c>
      <c r="CW111" s="3">
        <f t="shared" si="98"/>
        <v>0</v>
      </c>
      <c r="CX111" s="3">
        <f t="shared" si="98"/>
        <v>0</v>
      </c>
      <c r="CY111" s="3">
        <f t="shared" si="98"/>
        <v>0</v>
      </c>
      <c r="CZ111" s="3">
        <f t="shared" si="98"/>
        <v>0</v>
      </c>
      <c r="DA111" s="3">
        <f t="shared" si="98"/>
        <v>0</v>
      </c>
      <c r="DB111" s="3">
        <f t="shared" si="98"/>
        <v>0</v>
      </c>
      <c r="DC111" s="3">
        <f t="shared" si="98"/>
        <v>0</v>
      </c>
      <c r="DD111" s="3">
        <f t="shared" si="98"/>
        <v>0</v>
      </c>
      <c r="DE111" s="3">
        <f t="shared" si="98"/>
        <v>0</v>
      </c>
      <c r="DF111" s="3">
        <f t="shared" si="98"/>
        <v>0</v>
      </c>
      <c r="DG111" s="4">
        <f t="shared" ref="DG111:EL111" si="99">DG124</f>
        <v>205001.04</v>
      </c>
      <c r="DH111" s="4">
        <f t="shared" si="99"/>
        <v>191551.79</v>
      </c>
      <c r="DI111" s="4">
        <f t="shared" si="99"/>
        <v>168.62</v>
      </c>
      <c r="DJ111" s="4">
        <f t="shared" si="99"/>
        <v>91.28</v>
      </c>
      <c r="DK111" s="4">
        <f t="shared" si="99"/>
        <v>13280.63</v>
      </c>
      <c r="DL111" s="4">
        <f t="shared" si="99"/>
        <v>0</v>
      </c>
      <c r="DM111" s="4">
        <f t="shared" si="99"/>
        <v>21.352518000000003</v>
      </c>
      <c r="DN111" s="4">
        <f t="shared" si="99"/>
        <v>0</v>
      </c>
      <c r="DO111" s="4">
        <f t="shared" si="99"/>
        <v>0</v>
      </c>
      <c r="DP111" s="4">
        <f t="shared" si="99"/>
        <v>12034.72</v>
      </c>
      <c r="DQ111" s="4">
        <f t="shared" si="99"/>
        <v>6151.08</v>
      </c>
      <c r="DR111" s="4">
        <f t="shared" si="99"/>
        <v>0</v>
      </c>
      <c r="DS111" s="4">
        <f t="shared" si="99"/>
        <v>0</v>
      </c>
      <c r="DT111" s="4">
        <f t="shared" si="99"/>
        <v>205001.04</v>
      </c>
      <c r="DU111" s="4">
        <f t="shared" si="99"/>
        <v>191551.79</v>
      </c>
      <c r="DV111" s="4">
        <f t="shared" si="99"/>
        <v>168.62</v>
      </c>
      <c r="DW111" s="4">
        <f t="shared" si="99"/>
        <v>91.28</v>
      </c>
      <c r="DX111" s="4">
        <f t="shared" si="99"/>
        <v>13280.63</v>
      </c>
      <c r="DY111" s="4">
        <f t="shared" si="99"/>
        <v>0</v>
      </c>
      <c r="DZ111" s="4">
        <f t="shared" si="99"/>
        <v>21.352518000000003</v>
      </c>
      <c r="EA111" s="4">
        <f t="shared" si="99"/>
        <v>0</v>
      </c>
      <c r="EB111" s="4">
        <f t="shared" si="99"/>
        <v>0</v>
      </c>
      <c r="EC111" s="4">
        <f t="shared" si="99"/>
        <v>12034.72</v>
      </c>
      <c r="ED111" s="4">
        <f t="shared" si="99"/>
        <v>6151.08</v>
      </c>
      <c r="EE111" s="4">
        <f t="shared" si="99"/>
        <v>0</v>
      </c>
      <c r="EF111" s="4">
        <f t="shared" si="99"/>
        <v>0</v>
      </c>
      <c r="EG111" s="4">
        <f t="shared" si="99"/>
        <v>0</v>
      </c>
      <c r="EH111" s="4">
        <f t="shared" si="99"/>
        <v>191551.79</v>
      </c>
      <c r="EI111" s="4">
        <f t="shared" si="99"/>
        <v>0</v>
      </c>
      <c r="EJ111" s="4">
        <f t="shared" si="99"/>
        <v>223186.84</v>
      </c>
      <c r="EK111" s="4">
        <f t="shared" si="99"/>
        <v>0</v>
      </c>
      <c r="EL111" s="4">
        <f t="shared" si="99"/>
        <v>31635.05</v>
      </c>
      <c r="EM111" s="4">
        <f t="shared" ref="EM111:FR111" si="100">EM124</f>
        <v>0</v>
      </c>
      <c r="EN111" s="4">
        <f t="shared" si="100"/>
        <v>191551.79</v>
      </c>
      <c r="EO111" s="4">
        <f t="shared" si="100"/>
        <v>0</v>
      </c>
      <c r="EP111" s="4">
        <f t="shared" si="100"/>
        <v>0</v>
      </c>
      <c r="EQ111" s="4">
        <f t="shared" si="100"/>
        <v>0</v>
      </c>
      <c r="ER111" s="4">
        <f t="shared" si="100"/>
        <v>191551.79</v>
      </c>
      <c r="ES111" s="4">
        <f t="shared" si="100"/>
        <v>0</v>
      </c>
      <c r="ET111" s="4">
        <f t="shared" si="100"/>
        <v>0</v>
      </c>
      <c r="EU111" s="4">
        <f t="shared" si="100"/>
        <v>0</v>
      </c>
      <c r="EV111" s="4">
        <f t="shared" si="100"/>
        <v>0</v>
      </c>
      <c r="EW111" s="4">
        <f t="shared" si="100"/>
        <v>0</v>
      </c>
      <c r="EX111" s="4">
        <f t="shared" si="100"/>
        <v>0</v>
      </c>
      <c r="EY111" s="4">
        <f t="shared" si="100"/>
        <v>0</v>
      </c>
      <c r="EZ111" s="4">
        <f t="shared" si="100"/>
        <v>0</v>
      </c>
      <c r="FA111" s="4">
        <f t="shared" si="100"/>
        <v>0</v>
      </c>
      <c r="FB111" s="4">
        <f t="shared" si="100"/>
        <v>0</v>
      </c>
      <c r="FC111" s="4">
        <f t="shared" si="100"/>
        <v>0</v>
      </c>
      <c r="FD111" s="4">
        <f t="shared" si="100"/>
        <v>0</v>
      </c>
      <c r="FE111" s="4">
        <f t="shared" si="100"/>
        <v>0</v>
      </c>
      <c r="FF111" s="4">
        <f t="shared" si="100"/>
        <v>0</v>
      </c>
      <c r="FG111" s="4">
        <f t="shared" si="100"/>
        <v>0</v>
      </c>
      <c r="FH111" s="4">
        <f t="shared" si="100"/>
        <v>0</v>
      </c>
      <c r="FI111" s="4">
        <f t="shared" si="100"/>
        <v>0</v>
      </c>
      <c r="FJ111" s="4">
        <f t="shared" si="100"/>
        <v>0</v>
      </c>
      <c r="FK111" s="4">
        <f t="shared" si="100"/>
        <v>0</v>
      </c>
      <c r="FL111" s="4">
        <f t="shared" si="100"/>
        <v>0</v>
      </c>
      <c r="FM111" s="4">
        <f t="shared" si="100"/>
        <v>0</v>
      </c>
      <c r="FN111" s="4">
        <f t="shared" si="100"/>
        <v>0</v>
      </c>
      <c r="FO111" s="4">
        <f t="shared" si="100"/>
        <v>0</v>
      </c>
      <c r="FP111" s="4">
        <f t="shared" si="100"/>
        <v>0</v>
      </c>
      <c r="FQ111" s="4">
        <f t="shared" si="100"/>
        <v>191551.79</v>
      </c>
      <c r="FR111" s="4">
        <f t="shared" si="100"/>
        <v>0</v>
      </c>
      <c r="FS111" s="4">
        <f t="shared" ref="FS111:GX111" si="101">FS124</f>
        <v>223186.84</v>
      </c>
      <c r="FT111" s="4">
        <f t="shared" si="101"/>
        <v>0</v>
      </c>
      <c r="FU111" s="4">
        <f t="shared" si="101"/>
        <v>31635.05</v>
      </c>
      <c r="FV111" s="4">
        <f t="shared" si="101"/>
        <v>0</v>
      </c>
      <c r="FW111" s="4">
        <f t="shared" si="101"/>
        <v>191551.79</v>
      </c>
      <c r="FX111" s="4">
        <f t="shared" si="101"/>
        <v>0</v>
      </c>
      <c r="FY111" s="4">
        <f t="shared" si="101"/>
        <v>0</v>
      </c>
      <c r="FZ111" s="4">
        <f t="shared" si="101"/>
        <v>0</v>
      </c>
      <c r="GA111" s="4">
        <f t="shared" si="101"/>
        <v>191551.79</v>
      </c>
      <c r="GB111" s="4">
        <f t="shared" si="101"/>
        <v>0</v>
      </c>
      <c r="GC111" s="4">
        <f t="shared" si="101"/>
        <v>0</v>
      </c>
      <c r="GD111" s="4">
        <f t="shared" si="101"/>
        <v>0</v>
      </c>
      <c r="GE111" s="4">
        <f t="shared" si="101"/>
        <v>0</v>
      </c>
      <c r="GF111" s="4">
        <f t="shared" si="101"/>
        <v>0</v>
      </c>
      <c r="GG111" s="4">
        <f t="shared" si="101"/>
        <v>0</v>
      </c>
      <c r="GH111" s="4">
        <f t="shared" si="101"/>
        <v>0</v>
      </c>
      <c r="GI111" s="4">
        <f t="shared" si="101"/>
        <v>0</v>
      </c>
      <c r="GJ111" s="4">
        <f t="shared" si="101"/>
        <v>0</v>
      </c>
      <c r="GK111" s="4">
        <f t="shared" si="101"/>
        <v>0</v>
      </c>
      <c r="GL111" s="4">
        <f t="shared" si="101"/>
        <v>0</v>
      </c>
      <c r="GM111" s="4">
        <f t="shared" si="101"/>
        <v>0</v>
      </c>
      <c r="GN111" s="4">
        <f t="shared" si="101"/>
        <v>0</v>
      </c>
      <c r="GO111" s="4">
        <f t="shared" si="101"/>
        <v>0</v>
      </c>
      <c r="GP111" s="4">
        <f t="shared" si="101"/>
        <v>0</v>
      </c>
      <c r="GQ111" s="4">
        <f t="shared" si="101"/>
        <v>0</v>
      </c>
      <c r="GR111" s="4">
        <f t="shared" si="101"/>
        <v>0</v>
      </c>
      <c r="GS111" s="4">
        <f t="shared" si="101"/>
        <v>0</v>
      </c>
      <c r="GT111" s="4">
        <f t="shared" si="101"/>
        <v>0</v>
      </c>
      <c r="GU111" s="4">
        <f t="shared" si="101"/>
        <v>0</v>
      </c>
      <c r="GV111" s="4">
        <f t="shared" si="101"/>
        <v>0</v>
      </c>
      <c r="GW111" s="4">
        <f t="shared" si="101"/>
        <v>0</v>
      </c>
      <c r="GX111" s="4">
        <f t="shared" si="101"/>
        <v>0</v>
      </c>
    </row>
    <row r="113" spans="1:255" x14ac:dyDescent="0.2">
      <c r="A113" s="2">
        <v>17</v>
      </c>
      <c r="B113" s="2">
        <v>1</v>
      </c>
      <c r="C113" s="2">
        <f>ROW(SmtRes!A82)</f>
        <v>82</v>
      </c>
      <c r="D113" s="2">
        <f>ROW(EtalonRes!A105)</f>
        <v>105</v>
      </c>
      <c r="E113" s="2" t="s">
        <v>186</v>
      </c>
      <c r="F113" s="2" t="s">
        <v>187</v>
      </c>
      <c r="G113" s="2" t="s">
        <v>188</v>
      </c>
      <c r="H113" s="2" t="s">
        <v>39</v>
      </c>
      <c r="I113" s="2">
        <f>ROUND(2+8+1+7,9)</f>
        <v>18</v>
      </c>
      <c r="J113" s="2">
        <v>0</v>
      </c>
      <c r="K113" s="2">
        <f>ROUND(2+8+1+7,9)</f>
        <v>18</v>
      </c>
      <c r="L113" s="2"/>
      <c r="M113" s="2"/>
      <c r="N113" s="2"/>
      <c r="O113" s="2">
        <f t="shared" ref="O113:O122" si="102">ROUND(CP113,2)</f>
        <v>251.88</v>
      </c>
      <c r="P113" s="2">
        <f>ROUND((ROUND((AC113*AW113*I113),2)*BC113),2)</f>
        <v>0</v>
      </c>
      <c r="Q113" s="2">
        <f>(ROUND((ROUND((((ET113*1.1))*AV113*I113),2)*BB113),2)+ROUND((ROUND(((AE113-((EU113*1.1)))*AV113*I113),2)*BS113),2))</f>
        <v>10.37</v>
      </c>
      <c r="R113" s="2">
        <f>(ROUND((ROUND((((EU113*1.1))*AV113*I113),2)*BS113),2)+ROUND((ROUND(((AE113-((EU113*1.1)))*AV113*I113),2)*BS113),2))</f>
        <v>1.66</v>
      </c>
      <c r="S113" s="2">
        <f t="shared" ref="S113:S122" si="103">ROUND((ROUND((AF113*AV113*I113),2)*BA113),2)</f>
        <v>241.51</v>
      </c>
      <c r="T113" s="2">
        <f t="shared" ref="T113:T122" si="104">ROUND(CU113*I113,2)</f>
        <v>0</v>
      </c>
      <c r="U113" s="2">
        <f t="shared" ref="U113:U122" si="105">CV113*I113</f>
        <v>21.352518000000003</v>
      </c>
      <c r="V113" s="2">
        <f t="shared" ref="V113:V122" si="106">CW113*I113</f>
        <v>0</v>
      </c>
      <c r="W113" s="2">
        <f t="shared" ref="W113:W122" si="107">ROUND(CX113*I113,2)</f>
        <v>0</v>
      </c>
      <c r="X113" s="2">
        <f>(ROUND((((S113+ROUND((ROUND((((EU113*1.1))*AV113*I113),2)*BS113),2))*AT113)/100),2)+ROUND(((ROUND((ROUND(((AE113-((EU113*1.1)))*AV113*I113),2)*BS113),2)*AT113)/100),2))</f>
        <v>218.85</v>
      </c>
      <c r="Y113" s="2">
        <f>(ROUND((((S113+ROUND((ROUND((((EU113*1.1))*AV113*I113),2)*BS113),2))*AU113)/100),2)+ROUND(((ROUND((ROUND(((AE113-((EU113*1.1)))*AV113*I113),2)*BS113),2)*AU113)/100),2))</f>
        <v>111.86</v>
      </c>
      <c r="Z113" s="2"/>
      <c r="AA113" s="2">
        <v>60258064</v>
      </c>
      <c r="AB113" s="2">
        <f t="shared" ref="AB113:AB122" si="108">ROUND((AC113+AD113+AF113),6)</f>
        <v>13.365</v>
      </c>
      <c r="AC113" s="2">
        <f t="shared" ref="AC113:AC122" si="109">ROUND((ES113),6)</f>
        <v>0</v>
      </c>
      <c r="AD113" s="2">
        <f>ROUND(((((ET113*1.1))-((EU113*1.1)))+AE113),6)</f>
        <v>0.55000000000000004</v>
      </c>
      <c r="AE113" s="2">
        <f>ROUND(((EU113*1.1)),6)</f>
        <v>8.7999999999999995E-2</v>
      </c>
      <c r="AF113" s="2">
        <f>ROUND(((EV113*1.1)),6)</f>
        <v>12.815</v>
      </c>
      <c r="AG113" s="2">
        <f t="shared" ref="AG113:AG122" si="110">ROUND((AP113),6)</f>
        <v>0</v>
      </c>
      <c r="AH113" s="2">
        <f>((EW113*1.1))</f>
        <v>1.1330000000000002</v>
      </c>
      <c r="AI113" s="2">
        <f>((EX113*1.1))</f>
        <v>0</v>
      </c>
      <c r="AJ113" s="2">
        <f t="shared" ref="AJ113:AJ122" si="111">(AS113)</f>
        <v>0</v>
      </c>
      <c r="AK113" s="2">
        <v>12.15</v>
      </c>
      <c r="AL113" s="2">
        <v>0</v>
      </c>
      <c r="AM113" s="2">
        <v>0.5</v>
      </c>
      <c r="AN113" s="2">
        <v>0.08</v>
      </c>
      <c r="AO113" s="2">
        <v>11.65</v>
      </c>
      <c r="AP113" s="2">
        <v>0</v>
      </c>
      <c r="AQ113" s="2">
        <v>1.03</v>
      </c>
      <c r="AR113" s="2">
        <v>0</v>
      </c>
      <c r="AS113" s="2">
        <v>0</v>
      </c>
      <c r="AT113" s="2">
        <v>90</v>
      </c>
      <c r="AU113" s="2">
        <v>46</v>
      </c>
      <c r="AV113" s="2">
        <v>1.0469999999999999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0</v>
      </c>
      <c r="BI113" s="2">
        <v>2</v>
      </c>
      <c r="BJ113" s="2" t="s">
        <v>189</v>
      </c>
      <c r="BK113" s="2"/>
      <c r="BL113" s="2"/>
      <c r="BM113" s="2">
        <v>72</v>
      </c>
      <c r="BN113" s="2">
        <v>58973116</v>
      </c>
      <c r="BO113" s="2" t="s">
        <v>187</v>
      </c>
      <c r="BP113" s="2">
        <v>1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90</v>
      </c>
      <c r="CA113" s="2">
        <v>46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377</v>
      </c>
      <c r="CO113" s="2">
        <v>0</v>
      </c>
      <c r="CP113" s="2">
        <f t="shared" ref="CP113:CP122" si="112">(P113+Q113+S113)</f>
        <v>251.88</v>
      </c>
      <c r="CQ113" s="2">
        <f>ROUND((ROUND((AC113*AW113*1),2)*BC113),2)</f>
        <v>0</v>
      </c>
      <c r="CR113" s="2">
        <f>(ROUND((ROUND((((ET113*1.1))*AV113*1),2)*BB113),2)+ROUND((ROUND(((AE113-((EU113*1.1)))*AV113*1),2)*BS113),2))</f>
        <v>0.57999999999999996</v>
      </c>
      <c r="CS113" s="2">
        <f>(ROUND((ROUND((((EU113*1.1))*AV113*1),2)*BS113),2)+ROUND((ROUND(((AE113-((EU113*1.1)))*AV113*1),2)*BS113),2))</f>
        <v>0.09</v>
      </c>
      <c r="CT113" s="2">
        <f t="shared" ref="CT113:CT122" si="113">ROUND((ROUND((AF113*AV113*1),2)*BA113),2)</f>
        <v>13.42</v>
      </c>
      <c r="CU113" s="2">
        <f t="shared" ref="CU113:CU122" si="114">AG113</f>
        <v>0</v>
      </c>
      <c r="CV113" s="2">
        <f t="shared" ref="CV113:CV122" si="115">(AH113*AV113)</f>
        <v>1.1862510000000002</v>
      </c>
      <c r="CW113" s="2">
        <f t="shared" ref="CW113:CW122" si="116">AI113</f>
        <v>0</v>
      </c>
      <c r="CX113" s="2">
        <f t="shared" ref="CX113:CX122" si="117">AJ113</f>
        <v>0</v>
      </c>
      <c r="CY113" s="2">
        <f>(ROUND((((S113+ROUND((ROUND((((EU113*1.1))*AV113*1),2)*BS113),2))*AT113)/100),2)+ROUND(((ROUND((ROUND(((AE113-((EU113*1.1)))*AV113*1),2)*BS113),2)*AT113)/100),2))</f>
        <v>217.44</v>
      </c>
      <c r="CZ113" s="2">
        <f>(ROUND((((S113+ROUND((ROUND((((EU113*1.1))*AV113*1),2)*BS113),2))*AU113)/100),2)+ROUND(((ROUND((ROUND(((AE113-((EU113*1.1)))*AV113*1),2)*BS113),2)*AU113)/100),2))</f>
        <v>111.14</v>
      </c>
      <c r="DA113" s="2"/>
      <c r="DB113" s="2">
        <v>21</v>
      </c>
      <c r="DC113" s="2" t="s">
        <v>3</v>
      </c>
      <c r="DD113" s="2" t="s">
        <v>3</v>
      </c>
      <c r="DE113" s="2" t="s">
        <v>23</v>
      </c>
      <c r="DF113" s="2" t="s">
        <v>23</v>
      </c>
      <c r="DG113" s="2" t="s">
        <v>23</v>
      </c>
      <c r="DH113" s="2" t="s">
        <v>3</v>
      </c>
      <c r="DI113" s="2" t="s">
        <v>23</v>
      </c>
      <c r="DJ113" s="2" t="s">
        <v>23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39</v>
      </c>
      <c r="DW113" s="2" t="s">
        <v>39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60088536</v>
      </c>
      <c r="EF113" s="2">
        <v>40</v>
      </c>
      <c r="EG113" s="2" t="s">
        <v>24</v>
      </c>
      <c r="EH113" s="2">
        <v>0</v>
      </c>
      <c r="EI113" s="2" t="s">
        <v>3</v>
      </c>
      <c r="EJ113" s="2">
        <v>2</v>
      </c>
      <c r="EK113" s="2">
        <v>72</v>
      </c>
      <c r="EL113" s="2" t="s">
        <v>190</v>
      </c>
      <c r="EM113" s="2" t="s">
        <v>191</v>
      </c>
      <c r="EN113" s="2"/>
      <c r="EO113" s="2" t="s">
        <v>27</v>
      </c>
      <c r="EP113" s="2"/>
      <c r="EQ113" s="2">
        <v>0</v>
      </c>
      <c r="ER113" s="2">
        <v>12.15</v>
      </c>
      <c r="ES113" s="2">
        <v>0</v>
      </c>
      <c r="ET113" s="2">
        <v>0.5</v>
      </c>
      <c r="EU113" s="2">
        <v>0.08</v>
      </c>
      <c r="EV113" s="2">
        <v>11.65</v>
      </c>
      <c r="EW113" s="2">
        <v>1.03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90</v>
      </c>
      <c r="FY113" s="2">
        <v>46</v>
      </c>
      <c r="FZ113" s="2"/>
      <c r="GA113" s="2" t="s">
        <v>3</v>
      </c>
      <c r="GB113" s="2"/>
      <c r="GC113" s="2"/>
      <c r="GD113" s="2">
        <v>1</v>
      </c>
      <c r="GE113" s="2"/>
      <c r="GF113" s="2">
        <v>1708693888</v>
      </c>
      <c r="GG113" s="2">
        <v>2</v>
      </c>
      <c r="GH113" s="2">
        <v>1</v>
      </c>
      <c r="GI113" s="2">
        <v>2</v>
      </c>
      <c r="GJ113" s="2">
        <v>0</v>
      </c>
      <c r="GK113" s="2">
        <v>0</v>
      </c>
      <c r="GL113" s="2">
        <f t="shared" ref="GL113:GL122" si="118">ROUND(IF(AND(BH113=3,BI113=3,FS113&lt;&gt;0),P113,0),2)</f>
        <v>0</v>
      </c>
      <c r="GM113" s="2">
        <f t="shared" ref="GM113:GM122" si="119">ROUND(O113+X113+Y113,2)+GX113</f>
        <v>582.59</v>
      </c>
      <c r="GN113" s="2">
        <f t="shared" ref="GN113:GN122" si="120">IF(OR(BI113=0,BI113=1),GM113-GX113,0)</f>
        <v>0</v>
      </c>
      <c r="GO113" s="2">
        <f t="shared" ref="GO113:GO122" si="121">IF(BI113=2,GM113-GX113,0)</f>
        <v>582.59</v>
      </c>
      <c r="GP113" s="2">
        <f t="shared" ref="GP113:GP122" si="122">IF(BI113=4,GM113-GX113,0)</f>
        <v>0</v>
      </c>
      <c r="GQ113" s="2"/>
      <c r="GR113" s="2">
        <v>0</v>
      </c>
      <c r="GS113" s="2">
        <v>3</v>
      </c>
      <c r="GT113" s="2">
        <v>0</v>
      </c>
      <c r="GU113" s="2" t="s">
        <v>3</v>
      </c>
      <c r="GV113" s="2">
        <f t="shared" ref="GV113:GV122" si="123">ROUND((GT113),6)</f>
        <v>0</v>
      </c>
      <c r="GW113" s="2">
        <v>1</v>
      </c>
      <c r="GX113" s="2">
        <f t="shared" ref="GX113:GX122" si="124">ROUND(HC113*I113,2)</f>
        <v>0</v>
      </c>
      <c r="GY113" s="2"/>
      <c r="GZ113" s="2"/>
      <c r="HA113" s="2">
        <v>0</v>
      </c>
      <c r="HB113" s="2">
        <v>0</v>
      </c>
      <c r="HC113" s="2">
        <f t="shared" ref="HC113:HC122" si="125">GV113*GW113</f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>
        <v>17</v>
      </c>
      <c r="B114">
        <v>1</v>
      </c>
      <c r="C114">
        <f>ROW(SmtRes!A84)</f>
        <v>84</v>
      </c>
      <c r="D114">
        <f>ROW(EtalonRes!A108)</f>
        <v>108</v>
      </c>
      <c r="E114" t="s">
        <v>186</v>
      </c>
      <c r="F114" t="s">
        <v>187</v>
      </c>
      <c r="G114" t="s">
        <v>188</v>
      </c>
      <c r="H114" t="s">
        <v>39</v>
      </c>
      <c r="I114">
        <f>ROUND(2+8+1+7,9)</f>
        <v>18</v>
      </c>
      <c r="J114">
        <v>0</v>
      </c>
      <c r="K114">
        <f>ROUND(2+8+1+7,9)</f>
        <v>18</v>
      </c>
      <c r="O114">
        <f t="shared" si="102"/>
        <v>13449.25</v>
      </c>
      <c r="P114">
        <f>ROUND((ROUND((AC114*AW114*I114),2)*BC114),2)</f>
        <v>0</v>
      </c>
      <c r="Q114">
        <f>(ROUND((ROUND((((ET114*1.1))*AV114*I114),2)*BB114),2)+ROUND((ROUND(((AE114-((EU114*1.1)))*AV114*I114),2)*BS114),2))</f>
        <v>168.62</v>
      </c>
      <c r="R114">
        <f>(ROUND((ROUND((((EU114*1.1))*AV114*I114),2)*BS114),2)+ROUND((ROUND(((AE114-((EU114*1.1)))*AV114*I114),2)*BS114),2))</f>
        <v>91.28</v>
      </c>
      <c r="S114">
        <f t="shared" si="103"/>
        <v>13280.63</v>
      </c>
      <c r="T114">
        <f t="shared" si="104"/>
        <v>0</v>
      </c>
      <c r="U114">
        <f t="shared" si="105"/>
        <v>21.352518000000003</v>
      </c>
      <c r="V114">
        <f t="shared" si="106"/>
        <v>0</v>
      </c>
      <c r="W114">
        <f t="shared" si="107"/>
        <v>0</v>
      </c>
      <c r="X114">
        <f>(ROUND((((S114+ROUND((ROUND((((EU114*1.1))*AV114*I114),2)*BS114),2))*AT114)/100),2)+ROUND(((ROUND((ROUND(((AE114-((EU114*1.1)))*AV114*I114),2)*BS114),2)*AT114)/100),2))</f>
        <v>12034.72</v>
      </c>
      <c r="Y114">
        <f>(ROUND((((S114+ROUND((ROUND((((EU114*1.1))*AV114*I114),2)*BS114),2))*AU114)/100),2)+ROUND(((ROUND((ROUND(((AE114-((EU114*1.1)))*AV114*I114),2)*BS114),2)*AU114)/100),2))</f>
        <v>6151.08</v>
      </c>
      <c r="AA114">
        <v>60258061</v>
      </c>
      <c r="AB114">
        <f t="shared" si="108"/>
        <v>13.365</v>
      </c>
      <c r="AC114">
        <f t="shared" si="109"/>
        <v>0</v>
      </c>
      <c r="AD114">
        <f>ROUND(((((ET114*1.1))-((EU114*1.1)))+AE114),6)</f>
        <v>0.55000000000000004</v>
      </c>
      <c r="AE114">
        <f>ROUND(((EU114*1.1)),6)</f>
        <v>8.7999999999999995E-2</v>
      </c>
      <c r="AF114">
        <f>ROUND(((EV114*1.1)),6)</f>
        <v>12.815</v>
      </c>
      <c r="AG114">
        <f t="shared" si="110"/>
        <v>0</v>
      </c>
      <c r="AH114">
        <f>((EW114*1.1))</f>
        <v>1.1330000000000002</v>
      </c>
      <c r="AI114">
        <f>((EX114*1.1))</f>
        <v>0</v>
      </c>
      <c r="AJ114">
        <f t="shared" si="111"/>
        <v>0</v>
      </c>
      <c r="AK114">
        <v>12.15</v>
      </c>
      <c r="AL114">
        <v>0</v>
      </c>
      <c r="AM114">
        <v>0.5</v>
      </c>
      <c r="AN114">
        <v>0.08</v>
      </c>
      <c r="AO114">
        <v>11.65</v>
      </c>
      <c r="AP114">
        <v>0</v>
      </c>
      <c r="AQ114">
        <v>1.03</v>
      </c>
      <c r="AR114">
        <v>0</v>
      </c>
      <c r="AS114">
        <v>0</v>
      </c>
      <c r="AT114">
        <v>90</v>
      </c>
      <c r="AU114">
        <v>46</v>
      </c>
      <c r="AV114">
        <v>1.0469999999999999</v>
      </c>
      <c r="AW114">
        <v>1</v>
      </c>
      <c r="AZ114">
        <v>1</v>
      </c>
      <c r="BA114">
        <v>54.99</v>
      </c>
      <c r="BB114">
        <v>16.260000000000002</v>
      </c>
      <c r="BC114">
        <v>1</v>
      </c>
      <c r="BD114" t="s">
        <v>3</v>
      </c>
      <c r="BE114" t="s">
        <v>3</v>
      </c>
      <c r="BF114" t="s">
        <v>3</v>
      </c>
      <c r="BG114" t="s">
        <v>3</v>
      </c>
      <c r="BH114">
        <v>0</v>
      </c>
      <c r="BI114">
        <v>2</v>
      </c>
      <c r="BJ114" t="s">
        <v>189</v>
      </c>
      <c r="BM114">
        <v>72</v>
      </c>
      <c r="BN114">
        <v>58973116</v>
      </c>
      <c r="BO114" t="s">
        <v>187</v>
      </c>
      <c r="BP114">
        <v>1</v>
      </c>
      <c r="BQ114">
        <v>40</v>
      </c>
      <c r="BR114">
        <v>0</v>
      </c>
      <c r="BS114">
        <v>54.99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3</v>
      </c>
      <c r="BZ114">
        <v>90</v>
      </c>
      <c r="CA114">
        <v>46</v>
      </c>
      <c r="CB114" t="s">
        <v>3</v>
      </c>
      <c r="CE114">
        <v>1566</v>
      </c>
      <c r="CF114">
        <v>0</v>
      </c>
      <c r="CG114">
        <v>0</v>
      </c>
      <c r="CM114">
        <v>0</v>
      </c>
      <c r="CN114" t="s">
        <v>377</v>
      </c>
      <c r="CO114">
        <v>0</v>
      </c>
      <c r="CP114">
        <f t="shared" si="112"/>
        <v>13449.25</v>
      </c>
      <c r="CQ114">
        <f>ROUND((ROUND((AC114*AW114*1),2)*BC114),2)</f>
        <v>0</v>
      </c>
      <c r="CR114">
        <f>(ROUND((ROUND((((ET114*1.1))*AV114*1),2)*BB114),2)+ROUND((ROUND(((AE114-((EU114*1.1)))*AV114*1),2)*BS114),2))</f>
        <v>9.43</v>
      </c>
      <c r="CS114">
        <f>(ROUND((ROUND((((EU114*1.1))*AV114*1),2)*BS114),2)+ROUND((ROUND(((AE114-((EU114*1.1)))*AV114*1),2)*BS114),2))</f>
        <v>4.95</v>
      </c>
      <c r="CT114">
        <f t="shared" si="113"/>
        <v>737.97</v>
      </c>
      <c r="CU114">
        <f t="shared" si="114"/>
        <v>0</v>
      </c>
      <c r="CV114">
        <f t="shared" si="115"/>
        <v>1.1862510000000002</v>
      </c>
      <c r="CW114">
        <f t="shared" si="116"/>
        <v>0</v>
      </c>
      <c r="CX114">
        <f t="shared" si="117"/>
        <v>0</v>
      </c>
      <c r="CY114">
        <f>(ROUND((((S114+ROUND((ROUND((((EU114*1.1))*AV114*1),2)*BS114),2))*AT114)/100),2)+ROUND(((ROUND((ROUND(((AE114-((EU114*1.1)))*AV114*1),2)*BS114),2)*AT114)/100),2))</f>
        <v>11957.02</v>
      </c>
      <c r="CZ114">
        <f>(ROUND((((S114+ROUND((ROUND((((EU114*1.1))*AV114*1),2)*BS114),2))*AU114)/100),2)+ROUND(((ROUND((ROUND(((AE114-((EU114*1.1)))*AV114*1),2)*BS114),2)*AU114)/100),2))</f>
        <v>6111.37</v>
      </c>
      <c r="DB114">
        <v>22</v>
      </c>
      <c r="DC114" t="s">
        <v>3</v>
      </c>
      <c r="DD114" t="s">
        <v>3</v>
      </c>
      <c r="DE114" t="s">
        <v>23</v>
      </c>
      <c r="DF114" t="s">
        <v>23</v>
      </c>
      <c r="DG114" t="s">
        <v>23</v>
      </c>
      <c r="DH114" t="s">
        <v>3</v>
      </c>
      <c r="DI114" t="s">
        <v>23</v>
      </c>
      <c r="DJ114" t="s">
        <v>23</v>
      </c>
      <c r="DK114" t="s">
        <v>3</v>
      </c>
      <c r="DL114" t="s">
        <v>3</v>
      </c>
      <c r="DM114" t="s">
        <v>3</v>
      </c>
      <c r="DN114">
        <v>0</v>
      </c>
      <c r="DO114">
        <v>0</v>
      </c>
      <c r="DP114">
        <v>1</v>
      </c>
      <c r="DQ114">
        <v>1</v>
      </c>
      <c r="DU114">
        <v>1013</v>
      </c>
      <c r="DV114" t="s">
        <v>39</v>
      </c>
      <c r="DW114" t="s">
        <v>39</v>
      </c>
      <c r="DX114">
        <v>1</v>
      </c>
      <c r="DZ114" t="s">
        <v>3</v>
      </c>
      <c r="EA114" t="s">
        <v>3</v>
      </c>
      <c r="EB114" t="s">
        <v>3</v>
      </c>
      <c r="EC114" t="s">
        <v>3</v>
      </c>
      <c r="EE114">
        <v>60088536</v>
      </c>
      <c r="EF114">
        <v>40</v>
      </c>
      <c r="EG114" t="s">
        <v>24</v>
      </c>
      <c r="EH114">
        <v>0</v>
      </c>
      <c r="EI114" t="s">
        <v>3</v>
      </c>
      <c r="EJ114">
        <v>2</v>
      </c>
      <c r="EK114">
        <v>72</v>
      </c>
      <c r="EL114" t="s">
        <v>190</v>
      </c>
      <c r="EM114" t="s">
        <v>191</v>
      </c>
      <c r="EO114" t="s">
        <v>27</v>
      </c>
      <c r="EQ114">
        <v>0</v>
      </c>
      <c r="ER114">
        <v>12.15</v>
      </c>
      <c r="ES114">
        <v>0</v>
      </c>
      <c r="ET114">
        <v>0.5</v>
      </c>
      <c r="EU114">
        <v>0.08</v>
      </c>
      <c r="EV114">
        <v>11.65</v>
      </c>
      <c r="EW114">
        <v>1.03</v>
      </c>
      <c r="EX114">
        <v>0</v>
      </c>
      <c r="EY114">
        <v>0</v>
      </c>
      <c r="FQ114">
        <v>0</v>
      </c>
      <c r="FR114">
        <v>0</v>
      </c>
      <c r="FS114">
        <v>0</v>
      </c>
      <c r="FX114">
        <v>90</v>
      </c>
      <c r="FY114">
        <v>46</v>
      </c>
      <c r="GA114" t="s">
        <v>3</v>
      </c>
      <c r="GD114">
        <v>1</v>
      </c>
      <c r="GF114">
        <v>1708693888</v>
      </c>
      <c r="GG114">
        <v>2</v>
      </c>
      <c r="GH114">
        <v>1</v>
      </c>
      <c r="GI114">
        <v>2</v>
      </c>
      <c r="GJ114">
        <v>0</v>
      </c>
      <c r="GK114">
        <v>0</v>
      </c>
      <c r="GL114">
        <f t="shared" si="118"/>
        <v>0</v>
      </c>
      <c r="GM114">
        <f t="shared" si="119"/>
        <v>31635.05</v>
      </c>
      <c r="GN114">
        <f t="shared" si="120"/>
        <v>0</v>
      </c>
      <c r="GO114">
        <f t="shared" si="121"/>
        <v>31635.05</v>
      </c>
      <c r="GP114">
        <f t="shared" si="122"/>
        <v>0</v>
      </c>
      <c r="GR114">
        <v>0</v>
      </c>
      <c r="GS114">
        <v>3</v>
      </c>
      <c r="GT114">
        <v>0</v>
      </c>
      <c r="GU114" t="s">
        <v>3</v>
      </c>
      <c r="GV114">
        <f t="shared" si="123"/>
        <v>0</v>
      </c>
      <c r="GW114">
        <v>1</v>
      </c>
      <c r="GX114">
        <f t="shared" si="124"/>
        <v>0</v>
      </c>
      <c r="HA114">
        <v>0</v>
      </c>
      <c r="HB114">
        <v>0</v>
      </c>
      <c r="HC114">
        <f t="shared" si="125"/>
        <v>0</v>
      </c>
      <c r="HE114" t="s">
        <v>3</v>
      </c>
      <c r="HF114" t="s">
        <v>3</v>
      </c>
      <c r="HM114" t="s">
        <v>3</v>
      </c>
      <c r="HN114" t="s">
        <v>3</v>
      </c>
      <c r="HO114" t="s">
        <v>3</v>
      </c>
      <c r="HP114" t="s">
        <v>3</v>
      </c>
      <c r="HQ114" t="s">
        <v>3</v>
      </c>
      <c r="HS114">
        <v>0</v>
      </c>
      <c r="IK114">
        <v>0</v>
      </c>
    </row>
    <row r="115" spans="1:255" x14ac:dyDescent="0.2">
      <c r="A115" s="2">
        <v>17</v>
      </c>
      <c r="B115" s="2">
        <v>1</v>
      </c>
      <c r="C115" s="2"/>
      <c r="D115" s="2"/>
      <c r="E115" s="2" t="s">
        <v>192</v>
      </c>
      <c r="F115" s="2" t="s">
        <v>193</v>
      </c>
      <c r="G115" s="2" t="s">
        <v>194</v>
      </c>
      <c r="H115" s="2" t="s">
        <v>30</v>
      </c>
      <c r="I115" s="2">
        <v>2</v>
      </c>
      <c r="J115" s="2">
        <v>0</v>
      </c>
      <c r="K115" s="2">
        <v>2</v>
      </c>
      <c r="L115" s="2"/>
      <c r="M115" s="2"/>
      <c r="N115" s="2"/>
      <c r="O115" s="2">
        <f t="shared" si="102"/>
        <v>6490.04</v>
      </c>
      <c r="P115" s="2">
        <f t="shared" ref="P115:P122" si="126">ROUND((ROUND((AC115*I115),2)*BC115),2)</f>
        <v>6490.04</v>
      </c>
      <c r="Q115" s="2">
        <f t="shared" ref="Q115:Q122" si="127">(ROUND((ROUND(((ET115)*AV115*I115),2)*BB115),2)+ROUND((ROUND(((AE115-(EU115))*AV115*I115),2)*BS115),2))</f>
        <v>0</v>
      </c>
      <c r="R115" s="2">
        <f t="shared" ref="R115:R122" si="128">(ROUND((ROUND(((EU115)*AV115*I115),2)*BS115),2)+ROUND((ROUND(((AE115-(EU115))*AV115*I115),2)*BS115),2))</f>
        <v>0</v>
      </c>
      <c r="S115" s="2">
        <f t="shared" si="103"/>
        <v>0</v>
      </c>
      <c r="T115" s="2">
        <f t="shared" si="104"/>
        <v>0</v>
      </c>
      <c r="U115" s="2">
        <f t="shared" si="105"/>
        <v>0</v>
      </c>
      <c r="V115" s="2">
        <f t="shared" si="106"/>
        <v>0</v>
      </c>
      <c r="W115" s="2">
        <f t="shared" si="107"/>
        <v>0</v>
      </c>
      <c r="X115" s="2">
        <f t="shared" ref="X115:X122" si="129">(ROUND((((S115+ROUND((ROUND(((EU115)*AV115*I115),2)*BS115),2))*AT115)/100),2)+ROUND(((ROUND((ROUND(((AE115-(EU115))*AV115*I115),2)*BS115),2)*AT115)/100),2))</f>
        <v>0</v>
      </c>
      <c r="Y115" s="2">
        <f t="shared" ref="Y115:Y122" si="130">(ROUND((((S115+ROUND((ROUND(((EU115)*AV115*I115),2)*BS115),2))*AU115)/100),2)+ROUND(((ROUND((ROUND(((AE115-(EU115))*AV115*I115),2)*BS115),2)*AU115)/100),2))</f>
        <v>0</v>
      </c>
      <c r="Z115" s="2"/>
      <c r="AA115" s="2">
        <v>60258064</v>
      </c>
      <c r="AB115" s="2">
        <f t="shared" si="108"/>
        <v>3245.02</v>
      </c>
      <c r="AC115" s="2">
        <f t="shared" si="109"/>
        <v>3245.02</v>
      </c>
      <c r="AD115" s="2">
        <f t="shared" ref="AD115:AD122" si="131">ROUND((((ET115)-(EU115))+AE115),6)</f>
        <v>0</v>
      </c>
      <c r="AE115" s="2">
        <f t="shared" ref="AE115:AF122" si="132">ROUND((EU115),6)</f>
        <v>0</v>
      </c>
      <c r="AF115" s="2">
        <f t="shared" si="132"/>
        <v>0</v>
      </c>
      <c r="AG115" s="2">
        <f t="shared" si="110"/>
        <v>0</v>
      </c>
      <c r="AH115" s="2">
        <f t="shared" ref="AH115:AI122" si="133">(EW115)</f>
        <v>0</v>
      </c>
      <c r="AI115" s="2">
        <f t="shared" si="133"/>
        <v>0</v>
      </c>
      <c r="AJ115" s="2">
        <f t="shared" si="111"/>
        <v>0</v>
      </c>
      <c r="AK115" s="2">
        <v>3245.02</v>
      </c>
      <c r="AL115" s="2">
        <v>3245.02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3</v>
      </c>
      <c r="BJ115" s="2" t="s">
        <v>3</v>
      </c>
      <c r="BK115" s="2"/>
      <c r="BL115" s="2"/>
      <c r="BM115" s="2">
        <v>746</v>
      </c>
      <c r="BN115" s="2">
        <v>0</v>
      </c>
      <c r="BO115" s="2" t="s">
        <v>3</v>
      </c>
      <c r="BP115" s="2">
        <v>0</v>
      </c>
      <c r="BQ115" s="2">
        <v>130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112"/>
        <v>6490.04</v>
      </c>
      <c r="CQ115" s="2">
        <f t="shared" ref="CQ115:CQ122" si="134">ROUND((ROUND((AC115*1),2)*BC115),2)</f>
        <v>3245.02</v>
      </c>
      <c r="CR115" s="2">
        <f t="shared" ref="CR115:CR122" si="135">(ROUND((ROUND(((ET115)*AV115*1),2)*BB115),2)+ROUND((ROUND(((AE115-(EU115))*AV115*1),2)*BS115),2))</f>
        <v>0</v>
      </c>
      <c r="CS115" s="2">
        <f t="shared" ref="CS115:CS122" si="136">(ROUND((ROUND(((EU115)*AV115*1),2)*BS115),2)+ROUND((ROUND(((AE115-(EU115))*AV115*1),2)*BS115),2))</f>
        <v>0</v>
      </c>
      <c r="CT115" s="2">
        <f t="shared" si="113"/>
        <v>0</v>
      </c>
      <c r="CU115" s="2">
        <f t="shared" si="114"/>
        <v>0</v>
      </c>
      <c r="CV115" s="2">
        <f t="shared" si="115"/>
        <v>0</v>
      </c>
      <c r="CW115" s="2">
        <f t="shared" si="116"/>
        <v>0</v>
      </c>
      <c r="CX115" s="2">
        <f t="shared" si="117"/>
        <v>0</v>
      </c>
      <c r="CY115" s="2">
        <f t="shared" ref="CY115:CY122" si="137">(ROUND((((S115+ROUND((ROUND(((EU115)*AV115*1),2)*BS115),2))*AT115)/100),2)+ROUND(((ROUND((ROUND(((AE115-(EU115))*AV115*1),2)*BS115),2)*AT115)/100),2))</f>
        <v>0</v>
      </c>
      <c r="CZ115" s="2">
        <f t="shared" ref="CZ115:CZ122" si="138">(ROUND((((S115+ROUND((ROUND(((EU115)*AV115*1),2)*BS115),2))*AU115)/100),2)+ROUND(((ROUND((ROUND(((AE115-(EU115))*AV115*1),2)*BS115),2)*AU115)/100),2))</f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30</v>
      </c>
      <c r="DW115" s="2" t="s">
        <v>30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60088638</v>
      </c>
      <c r="EF115" s="2">
        <v>130</v>
      </c>
      <c r="EG115" s="2" t="s">
        <v>31</v>
      </c>
      <c r="EH115" s="2">
        <v>0</v>
      </c>
      <c r="EI115" s="2" t="s">
        <v>3</v>
      </c>
      <c r="EJ115" s="2">
        <v>3</v>
      </c>
      <c r="EK115" s="2">
        <v>746</v>
      </c>
      <c r="EL115" s="2" t="s">
        <v>32</v>
      </c>
      <c r="EM115" s="2" t="s">
        <v>33</v>
      </c>
      <c r="EN115" s="2"/>
      <c r="EO115" s="2" t="s">
        <v>3</v>
      </c>
      <c r="EP115" s="2"/>
      <c r="EQ115" s="2">
        <v>0</v>
      </c>
      <c r="ER115" s="2">
        <v>0</v>
      </c>
      <c r="ES115" s="2">
        <v>3245.02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f t="shared" ref="FR115:FR122" si="139">P115</f>
        <v>6490.04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195</v>
      </c>
      <c r="GB115" s="2"/>
      <c r="GC115" s="2"/>
      <c r="GD115" s="2">
        <v>1</v>
      </c>
      <c r="GE115" s="2"/>
      <c r="GF115" s="2">
        <v>-1011932076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118"/>
        <v>0</v>
      </c>
      <c r="GM115" s="2">
        <f t="shared" si="119"/>
        <v>6490.04</v>
      </c>
      <c r="GN115" s="2">
        <f t="shared" si="120"/>
        <v>0</v>
      </c>
      <c r="GO115" s="2">
        <f t="shared" si="121"/>
        <v>0</v>
      </c>
      <c r="GP115" s="2">
        <f t="shared" si="122"/>
        <v>0</v>
      </c>
      <c r="GQ115" s="2"/>
      <c r="GR115" s="2">
        <v>0</v>
      </c>
      <c r="GS115" s="2">
        <v>2</v>
      </c>
      <c r="GT115" s="2">
        <v>0</v>
      </c>
      <c r="GU115" s="2" t="s">
        <v>3</v>
      </c>
      <c r="GV115" s="2">
        <f t="shared" si="123"/>
        <v>0</v>
      </c>
      <c r="GW115" s="2">
        <v>1</v>
      </c>
      <c r="GX115" s="2">
        <f t="shared" si="124"/>
        <v>0</v>
      </c>
      <c r="GY115" s="2"/>
      <c r="GZ115" s="2"/>
      <c r="HA115" s="2">
        <v>0</v>
      </c>
      <c r="HB115" s="2">
        <v>0</v>
      </c>
      <c r="HC115" s="2">
        <f t="shared" si="125"/>
        <v>0</v>
      </c>
      <c r="HD115" s="2"/>
      <c r="HE115" s="2" t="s">
        <v>35</v>
      </c>
      <c r="HF115" s="2" t="s">
        <v>36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>
        <v>17</v>
      </c>
      <c r="B116">
        <v>1</v>
      </c>
      <c r="E116" t="s">
        <v>192</v>
      </c>
      <c r="F116" t="s">
        <v>193</v>
      </c>
      <c r="G116" t="s">
        <v>194</v>
      </c>
      <c r="H116" t="s">
        <v>30</v>
      </c>
      <c r="I116">
        <v>2</v>
      </c>
      <c r="J116">
        <v>0</v>
      </c>
      <c r="K116">
        <v>2</v>
      </c>
      <c r="O116">
        <f t="shared" si="102"/>
        <v>49713.71</v>
      </c>
      <c r="P116">
        <f t="shared" si="126"/>
        <v>49713.71</v>
      </c>
      <c r="Q116">
        <f t="shared" si="127"/>
        <v>0</v>
      </c>
      <c r="R116">
        <f t="shared" si="128"/>
        <v>0</v>
      </c>
      <c r="S116">
        <f t="shared" si="103"/>
        <v>0</v>
      </c>
      <c r="T116">
        <f t="shared" si="104"/>
        <v>0</v>
      </c>
      <c r="U116">
        <f t="shared" si="105"/>
        <v>0</v>
      </c>
      <c r="V116">
        <f t="shared" si="106"/>
        <v>0</v>
      </c>
      <c r="W116">
        <f t="shared" si="107"/>
        <v>0</v>
      </c>
      <c r="X116">
        <f t="shared" si="129"/>
        <v>0</v>
      </c>
      <c r="Y116">
        <f t="shared" si="130"/>
        <v>0</v>
      </c>
      <c r="AA116">
        <v>60258061</v>
      </c>
      <c r="AB116">
        <f t="shared" si="108"/>
        <v>3245.02</v>
      </c>
      <c r="AC116">
        <f t="shared" si="109"/>
        <v>3245.02</v>
      </c>
      <c r="AD116">
        <f t="shared" si="131"/>
        <v>0</v>
      </c>
      <c r="AE116">
        <f t="shared" si="132"/>
        <v>0</v>
      </c>
      <c r="AF116">
        <f t="shared" si="132"/>
        <v>0</v>
      </c>
      <c r="AG116">
        <f t="shared" si="110"/>
        <v>0</v>
      </c>
      <c r="AH116">
        <f t="shared" si="133"/>
        <v>0</v>
      </c>
      <c r="AI116">
        <f t="shared" si="133"/>
        <v>0</v>
      </c>
      <c r="AJ116">
        <f t="shared" si="111"/>
        <v>0</v>
      </c>
      <c r="AK116">
        <v>3245.02</v>
      </c>
      <c r="AL116">
        <v>3245.02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1</v>
      </c>
      <c r="AZ116">
        <v>1</v>
      </c>
      <c r="BA116">
        <v>1</v>
      </c>
      <c r="BB116">
        <v>1</v>
      </c>
      <c r="BC116">
        <v>7.66</v>
      </c>
      <c r="BD116" t="s">
        <v>3</v>
      </c>
      <c r="BE116" t="s">
        <v>3</v>
      </c>
      <c r="BF116" t="s">
        <v>3</v>
      </c>
      <c r="BG116" t="s">
        <v>3</v>
      </c>
      <c r="BH116">
        <v>3</v>
      </c>
      <c r="BI116">
        <v>3</v>
      </c>
      <c r="BJ116" t="s">
        <v>3</v>
      </c>
      <c r="BM116">
        <v>746</v>
      </c>
      <c r="BN116">
        <v>0</v>
      </c>
      <c r="BO116" t="s">
        <v>3</v>
      </c>
      <c r="BP116">
        <v>0</v>
      </c>
      <c r="BQ116">
        <v>130</v>
      </c>
      <c r="BR116">
        <v>0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 t="s">
        <v>3</v>
      </c>
      <c r="BZ116">
        <v>0</v>
      </c>
      <c r="CA116">
        <v>0</v>
      </c>
      <c r="CB116" t="s">
        <v>3</v>
      </c>
      <c r="CE116">
        <v>1566</v>
      </c>
      <c r="CF116">
        <v>0</v>
      </c>
      <c r="CG116">
        <v>0</v>
      </c>
      <c r="CM116">
        <v>0</v>
      </c>
      <c r="CN116" t="s">
        <v>3</v>
      </c>
      <c r="CO116">
        <v>0</v>
      </c>
      <c r="CP116">
        <f t="shared" si="112"/>
        <v>49713.71</v>
      </c>
      <c r="CQ116">
        <f t="shared" si="134"/>
        <v>24856.85</v>
      </c>
      <c r="CR116">
        <f t="shared" si="135"/>
        <v>0</v>
      </c>
      <c r="CS116">
        <f t="shared" si="136"/>
        <v>0</v>
      </c>
      <c r="CT116">
        <f t="shared" si="113"/>
        <v>0</v>
      </c>
      <c r="CU116">
        <f t="shared" si="114"/>
        <v>0</v>
      </c>
      <c r="CV116">
        <f t="shared" si="115"/>
        <v>0</v>
      </c>
      <c r="CW116">
        <f t="shared" si="116"/>
        <v>0</v>
      </c>
      <c r="CX116">
        <f t="shared" si="117"/>
        <v>0</v>
      </c>
      <c r="CY116">
        <f t="shared" si="137"/>
        <v>0</v>
      </c>
      <c r="CZ116">
        <f t="shared" si="138"/>
        <v>0</v>
      </c>
      <c r="DC116" t="s">
        <v>3</v>
      </c>
      <c r="DD116" t="s">
        <v>3</v>
      </c>
      <c r="DE116" t="s">
        <v>3</v>
      </c>
      <c r="DF116" t="s">
        <v>3</v>
      </c>
      <c r="DG116" t="s">
        <v>3</v>
      </c>
      <c r="DH116" t="s">
        <v>3</v>
      </c>
      <c r="DI116" t="s">
        <v>3</v>
      </c>
      <c r="DJ116" t="s">
        <v>3</v>
      </c>
      <c r="DK116" t="s">
        <v>3</v>
      </c>
      <c r="DL116" t="s">
        <v>3</v>
      </c>
      <c r="DM116" t="s">
        <v>3</v>
      </c>
      <c r="DN116">
        <v>0</v>
      </c>
      <c r="DO116">
        <v>0</v>
      </c>
      <c r="DP116">
        <v>1</v>
      </c>
      <c r="DQ116">
        <v>1</v>
      </c>
      <c r="DU116">
        <v>1013</v>
      </c>
      <c r="DV116" t="s">
        <v>30</v>
      </c>
      <c r="DW116" t="s">
        <v>30</v>
      </c>
      <c r="DX116">
        <v>1</v>
      </c>
      <c r="DZ116" t="s">
        <v>3</v>
      </c>
      <c r="EA116" t="s">
        <v>3</v>
      </c>
      <c r="EB116" t="s">
        <v>3</v>
      </c>
      <c r="EC116" t="s">
        <v>3</v>
      </c>
      <c r="EE116">
        <v>60088638</v>
      </c>
      <c r="EF116">
        <v>130</v>
      </c>
      <c r="EG116" t="s">
        <v>31</v>
      </c>
      <c r="EH116">
        <v>0</v>
      </c>
      <c r="EI116" t="s">
        <v>3</v>
      </c>
      <c r="EJ116">
        <v>3</v>
      </c>
      <c r="EK116">
        <v>746</v>
      </c>
      <c r="EL116" t="s">
        <v>32</v>
      </c>
      <c r="EM116" t="s">
        <v>33</v>
      </c>
      <c r="EO116" t="s">
        <v>3</v>
      </c>
      <c r="EQ116">
        <v>0</v>
      </c>
      <c r="ER116">
        <v>0</v>
      </c>
      <c r="ES116">
        <v>3245.02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5</v>
      </c>
      <c r="FC116">
        <v>1</v>
      </c>
      <c r="FD116">
        <v>18</v>
      </c>
      <c r="FF116">
        <v>28616.07</v>
      </c>
      <c r="FQ116">
        <v>0</v>
      </c>
      <c r="FR116">
        <f t="shared" si="139"/>
        <v>49713.71</v>
      </c>
      <c r="FS116">
        <v>0</v>
      </c>
      <c r="FX116">
        <v>0</v>
      </c>
      <c r="FY116">
        <v>0</v>
      </c>
      <c r="GA116" t="s">
        <v>195</v>
      </c>
      <c r="GD116">
        <v>1</v>
      </c>
      <c r="GF116">
        <v>-1011932076</v>
      </c>
      <c r="GG116">
        <v>2</v>
      </c>
      <c r="GH116">
        <v>3</v>
      </c>
      <c r="GI116">
        <v>5</v>
      </c>
      <c r="GJ116">
        <v>0</v>
      </c>
      <c r="GK116">
        <v>0</v>
      </c>
      <c r="GL116">
        <f t="shared" si="118"/>
        <v>0</v>
      </c>
      <c r="GM116">
        <f t="shared" si="119"/>
        <v>49713.71</v>
      </c>
      <c r="GN116">
        <f t="shared" si="120"/>
        <v>0</v>
      </c>
      <c r="GO116">
        <f t="shared" si="121"/>
        <v>0</v>
      </c>
      <c r="GP116">
        <f t="shared" si="122"/>
        <v>0</v>
      </c>
      <c r="GR116">
        <v>1</v>
      </c>
      <c r="GS116">
        <v>1</v>
      </c>
      <c r="GT116">
        <v>0</v>
      </c>
      <c r="GU116" t="s">
        <v>3</v>
      </c>
      <c r="GV116">
        <f t="shared" si="123"/>
        <v>0</v>
      </c>
      <c r="GW116">
        <v>1</v>
      </c>
      <c r="GX116">
        <f t="shared" si="124"/>
        <v>0</v>
      </c>
      <c r="HA116">
        <v>0</v>
      </c>
      <c r="HB116">
        <v>0</v>
      </c>
      <c r="HC116">
        <f t="shared" si="125"/>
        <v>0</v>
      </c>
      <c r="HE116" t="s">
        <v>35</v>
      </c>
      <c r="HF116" t="s">
        <v>36</v>
      </c>
      <c r="HM116" t="s">
        <v>3</v>
      </c>
      <c r="HN116" t="s">
        <v>3</v>
      </c>
      <c r="HO116" t="s">
        <v>3</v>
      </c>
      <c r="HP116" t="s">
        <v>3</v>
      </c>
      <c r="HQ116" t="s">
        <v>3</v>
      </c>
      <c r="HS116">
        <v>0</v>
      </c>
      <c r="IK116">
        <v>0</v>
      </c>
    </row>
    <row r="117" spans="1:255" x14ac:dyDescent="0.2">
      <c r="A117" s="2">
        <v>17</v>
      </c>
      <c r="B117" s="2">
        <v>1</v>
      </c>
      <c r="C117" s="2"/>
      <c r="D117" s="2"/>
      <c r="E117" s="2" t="s">
        <v>196</v>
      </c>
      <c r="F117" s="2" t="s">
        <v>197</v>
      </c>
      <c r="G117" s="2" t="s">
        <v>198</v>
      </c>
      <c r="H117" s="2" t="s">
        <v>30</v>
      </c>
      <c r="I117" s="2">
        <v>8</v>
      </c>
      <c r="J117" s="2">
        <v>0</v>
      </c>
      <c r="K117" s="2">
        <v>8</v>
      </c>
      <c r="L117" s="2"/>
      <c r="M117" s="2"/>
      <c r="N117" s="2"/>
      <c r="O117" s="2">
        <f t="shared" si="102"/>
        <v>13718.72</v>
      </c>
      <c r="P117" s="2">
        <f t="shared" si="126"/>
        <v>13718.72</v>
      </c>
      <c r="Q117" s="2">
        <f t="shared" si="127"/>
        <v>0</v>
      </c>
      <c r="R117" s="2">
        <f t="shared" si="128"/>
        <v>0</v>
      </c>
      <c r="S117" s="2">
        <f t="shared" si="103"/>
        <v>0</v>
      </c>
      <c r="T117" s="2">
        <f t="shared" si="104"/>
        <v>0</v>
      </c>
      <c r="U117" s="2">
        <f t="shared" si="105"/>
        <v>0</v>
      </c>
      <c r="V117" s="2">
        <f t="shared" si="106"/>
        <v>0</v>
      </c>
      <c r="W117" s="2">
        <f t="shared" si="107"/>
        <v>0</v>
      </c>
      <c r="X117" s="2">
        <f t="shared" si="129"/>
        <v>0</v>
      </c>
      <c r="Y117" s="2">
        <f t="shared" si="130"/>
        <v>0</v>
      </c>
      <c r="Z117" s="2"/>
      <c r="AA117" s="2">
        <v>60258064</v>
      </c>
      <c r="AB117" s="2">
        <f t="shared" si="108"/>
        <v>1714.84</v>
      </c>
      <c r="AC117" s="2">
        <f t="shared" si="109"/>
        <v>1714.84</v>
      </c>
      <c r="AD117" s="2">
        <f t="shared" si="131"/>
        <v>0</v>
      </c>
      <c r="AE117" s="2">
        <f t="shared" si="132"/>
        <v>0</v>
      </c>
      <c r="AF117" s="2">
        <f t="shared" si="132"/>
        <v>0</v>
      </c>
      <c r="AG117" s="2">
        <f t="shared" si="110"/>
        <v>0</v>
      </c>
      <c r="AH117" s="2">
        <f t="shared" si="133"/>
        <v>0</v>
      </c>
      <c r="AI117" s="2">
        <f t="shared" si="133"/>
        <v>0</v>
      </c>
      <c r="AJ117" s="2">
        <f t="shared" si="111"/>
        <v>0</v>
      </c>
      <c r="AK117" s="2">
        <v>1714.84</v>
      </c>
      <c r="AL117" s="2">
        <v>1714.84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3</v>
      </c>
      <c r="BJ117" s="2" t="s">
        <v>3</v>
      </c>
      <c r="BK117" s="2"/>
      <c r="BL117" s="2"/>
      <c r="BM117" s="2">
        <v>746</v>
      </c>
      <c r="BN117" s="2">
        <v>0</v>
      </c>
      <c r="BO117" s="2" t="s">
        <v>3</v>
      </c>
      <c r="BP117" s="2">
        <v>0</v>
      </c>
      <c r="BQ117" s="2">
        <v>130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0</v>
      </c>
      <c r="CA117" s="2">
        <v>0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112"/>
        <v>13718.72</v>
      </c>
      <c r="CQ117" s="2">
        <f t="shared" si="134"/>
        <v>1714.84</v>
      </c>
      <c r="CR117" s="2">
        <f t="shared" si="135"/>
        <v>0</v>
      </c>
      <c r="CS117" s="2">
        <f t="shared" si="136"/>
        <v>0</v>
      </c>
      <c r="CT117" s="2">
        <f t="shared" si="113"/>
        <v>0</v>
      </c>
      <c r="CU117" s="2">
        <f t="shared" si="114"/>
        <v>0</v>
      </c>
      <c r="CV117" s="2">
        <f t="shared" si="115"/>
        <v>0</v>
      </c>
      <c r="CW117" s="2">
        <f t="shared" si="116"/>
        <v>0</v>
      </c>
      <c r="CX117" s="2">
        <f t="shared" si="117"/>
        <v>0</v>
      </c>
      <c r="CY117" s="2">
        <f t="shared" si="137"/>
        <v>0</v>
      </c>
      <c r="CZ117" s="2">
        <f t="shared" si="138"/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30</v>
      </c>
      <c r="DW117" s="2" t="s">
        <v>30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60088638</v>
      </c>
      <c r="EF117" s="2">
        <v>130</v>
      </c>
      <c r="EG117" s="2" t="s">
        <v>31</v>
      </c>
      <c r="EH117" s="2">
        <v>0</v>
      </c>
      <c r="EI117" s="2" t="s">
        <v>3</v>
      </c>
      <c r="EJ117" s="2">
        <v>3</v>
      </c>
      <c r="EK117" s="2">
        <v>746</v>
      </c>
      <c r="EL117" s="2" t="s">
        <v>32</v>
      </c>
      <c r="EM117" s="2" t="s">
        <v>33</v>
      </c>
      <c r="EN117" s="2"/>
      <c r="EO117" s="2" t="s">
        <v>3</v>
      </c>
      <c r="EP117" s="2"/>
      <c r="EQ117" s="2">
        <v>0</v>
      </c>
      <c r="ER117" s="2">
        <v>0</v>
      </c>
      <c r="ES117" s="2">
        <v>1714.84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f t="shared" si="139"/>
        <v>13718.72</v>
      </c>
      <c r="FS117" s="2">
        <v>0</v>
      </c>
      <c r="FT117" s="2"/>
      <c r="FU117" s="2"/>
      <c r="FV117" s="2"/>
      <c r="FW117" s="2"/>
      <c r="FX117" s="2">
        <v>0</v>
      </c>
      <c r="FY117" s="2">
        <v>0</v>
      </c>
      <c r="FZ117" s="2"/>
      <c r="GA117" s="2" t="s">
        <v>199</v>
      </c>
      <c r="GB117" s="2"/>
      <c r="GC117" s="2"/>
      <c r="GD117" s="2">
        <v>1</v>
      </c>
      <c r="GE117" s="2"/>
      <c r="GF117" s="2">
        <v>2038920238</v>
      </c>
      <c r="GG117" s="2">
        <v>2</v>
      </c>
      <c r="GH117" s="2">
        <v>4</v>
      </c>
      <c r="GI117" s="2">
        <v>-2</v>
      </c>
      <c r="GJ117" s="2">
        <v>0</v>
      </c>
      <c r="GK117" s="2">
        <v>0</v>
      </c>
      <c r="GL117" s="2">
        <f t="shared" si="118"/>
        <v>0</v>
      </c>
      <c r="GM117" s="2">
        <f t="shared" si="119"/>
        <v>13718.72</v>
      </c>
      <c r="GN117" s="2">
        <f t="shared" si="120"/>
        <v>0</v>
      </c>
      <c r="GO117" s="2">
        <f t="shared" si="121"/>
        <v>0</v>
      </c>
      <c r="GP117" s="2">
        <f t="shared" si="122"/>
        <v>0</v>
      </c>
      <c r="GQ117" s="2"/>
      <c r="GR117" s="2">
        <v>0</v>
      </c>
      <c r="GS117" s="2">
        <v>2</v>
      </c>
      <c r="GT117" s="2">
        <v>0</v>
      </c>
      <c r="GU117" s="2" t="s">
        <v>3</v>
      </c>
      <c r="GV117" s="2">
        <f t="shared" si="123"/>
        <v>0</v>
      </c>
      <c r="GW117" s="2">
        <v>1</v>
      </c>
      <c r="GX117" s="2">
        <f t="shared" si="124"/>
        <v>0</v>
      </c>
      <c r="GY117" s="2"/>
      <c r="GZ117" s="2"/>
      <c r="HA117" s="2">
        <v>0</v>
      </c>
      <c r="HB117" s="2">
        <v>0</v>
      </c>
      <c r="HC117" s="2">
        <f t="shared" si="125"/>
        <v>0</v>
      </c>
      <c r="HD117" s="2"/>
      <c r="HE117" s="2" t="s">
        <v>35</v>
      </c>
      <c r="HF117" s="2" t="s">
        <v>36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>
        <v>17</v>
      </c>
      <c r="B118">
        <v>1</v>
      </c>
      <c r="E118" t="s">
        <v>196</v>
      </c>
      <c r="F118" t="s">
        <v>197</v>
      </c>
      <c r="G118" t="s">
        <v>198</v>
      </c>
      <c r="H118" t="s">
        <v>30</v>
      </c>
      <c r="I118">
        <v>8</v>
      </c>
      <c r="J118">
        <v>0</v>
      </c>
      <c r="K118">
        <v>8</v>
      </c>
      <c r="O118">
        <f t="shared" si="102"/>
        <v>105085.4</v>
      </c>
      <c r="P118">
        <f t="shared" si="126"/>
        <v>105085.4</v>
      </c>
      <c r="Q118">
        <f t="shared" si="127"/>
        <v>0</v>
      </c>
      <c r="R118">
        <f t="shared" si="128"/>
        <v>0</v>
      </c>
      <c r="S118">
        <f t="shared" si="103"/>
        <v>0</v>
      </c>
      <c r="T118">
        <f t="shared" si="104"/>
        <v>0</v>
      </c>
      <c r="U118">
        <f t="shared" si="105"/>
        <v>0</v>
      </c>
      <c r="V118">
        <f t="shared" si="106"/>
        <v>0</v>
      </c>
      <c r="W118">
        <f t="shared" si="107"/>
        <v>0</v>
      </c>
      <c r="X118">
        <f t="shared" si="129"/>
        <v>0</v>
      </c>
      <c r="Y118">
        <f t="shared" si="130"/>
        <v>0</v>
      </c>
      <c r="AA118">
        <v>60258061</v>
      </c>
      <c r="AB118">
        <f t="shared" si="108"/>
        <v>1714.84</v>
      </c>
      <c r="AC118">
        <f t="shared" si="109"/>
        <v>1714.84</v>
      </c>
      <c r="AD118">
        <f t="shared" si="131"/>
        <v>0</v>
      </c>
      <c r="AE118">
        <f t="shared" si="132"/>
        <v>0</v>
      </c>
      <c r="AF118">
        <f t="shared" si="132"/>
        <v>0</v>
      </c>
      <c r="AG118">
        <f t="shared" si="110"/>
        <v>0</v>
      </c>
      <c r="AH118">
        <f t="shared" si="133"/>
        <v>0</v>
      </c>
      <c r="AI118">
        <f t="shared" si="133"/>
        <v>0</v>
      </c>
      <c r="AJ118">
        <f t="shared" si="111"/>
        <v>0</v>
      </c>
      <c r="AK118">
        <v>1714.84</v>
      </c>
      <c r="AL118">
        <v>1714.84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1</v>
      </c>
      <c r="AZ118">
        <v>1</v>
      </c>
      <c r="BA118">
        <v>1</v>
      </c>
      <c r="BB118">
        <v>1</v>
      </c>
      <c r="BC118">
        <v>7.66</v>
      </c>
      <c r="BD118" t="s">
        <v>3</v>
      </c>
      <c r="BE118" t="s">
        <v>3</v>
      </c>
      <c r="BF118" t="s">
        <v>3</v>
      </c>
      <c r="BG118" t="s">
        <v>3</v>
      </c>
      <c r="BH118">
        <v>3</v>
      </c>
      <c r="BI118">
        <v>3</v>
      </c>
      <c r="BJ118" t="s">
        <v>3</v>
      </c>
      <c r="BM118">
        <v>746</v>
      </c>
      <c r="BN118">
        <v>0</v>
      </c>
      <c r="BO118" t="s">
        <v>3</v>
      </c>
      <c r="BP118">
        <v>0</v>
      </c>
      <c r="BQ118">
        <v>130</v>
      </c>
      <c r="BR118">
        <v>0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 t="s">
        <v>3</v>
      </c>
      <c r="BZ118">
        <v>0</v>
      </c>
      <c r="CA118">
        <v>0</v>
      </c>
      <c r="CB118" t="s">
        <v>3</v>
      </c>
      <c r="CE118">
        <v>1566</v>
      </c>
      <c r="CF118">
        <v>0</v>
      </c>
      <c r="CG118">
        <v>0</v>
      </c>
      <c r="CM118">
        <v>0</v>
      </c>
      <c r="CN118" t="s">
        <v>3</v>
      </c>
      <c r="CO118">
        <v>0</v>
      </c>
      <c r="CP118">
        <f t="shared" si="112"/>
        <v>105085.4</v>
      </c>
      <c r="CQ118">
        <f t="shared" si="134"/>
        <v>13135.67</v>
      </c>
      <c r="CR118">
        <f t="shared" si="135"/>
        <v>0</v>
      </c>
      <c r="CS118">
        <f t="shared" si="136"/>
        <v>0</v>
      </c>
      <c r="CT118">
        <f t="shared" si="113"/>
        <v>0</v>
      </c>
      <c r="CU118">
        <f t="shared" si="114"/>
        <v>0</v>
      </c>
      <c r="CV118">
        <f t="shared" si="115"/>
        <v>0</v>
      </c>
      <c r="CW118">
        <f t="shared" si="116"/>
        <v>0</v>
      </c>
      <c r="CX118">
        <f t="shared" si="117"/>
        <v>0</v>
      </c>
      <c r="CY118">
        <f t="shared" si="137"/>
        <v>0</v>
      </c>
      <c r="CZ118">
        <f t="shared" si="138"/>
        <v>0</v>
      </c>
      <c r="DC118" t="s">
        <v>3</v>
      </c>
      <c r="DD118" t="s">
        <v>3</v>
      </c>
      <c r="DE118" t="s">
        <v>3</v>
      </c>
      <c r="DF118" t="s">
        <v>3</v>
      </c>
      <c r="DG118" t="s">
        <v>3</v>
      </c>
      <c r="DH118" t="s">
        <v>3</v>
      </c>
      <c r="DI118" t="s">
        <v>3</v>
      </c>
      <c r="DJ118" t="s">
        <v>3</v>
      </c>
      <c r="DK118" t="s">
        <v>3</v>
      </c>
      <c r="DL118" t="s">
        <v>3</v>
      </c>
      <c r="DM118" t="s">
        <v>3</v>
      </c>
      <c r="DN118">
        <v>0</v>
      </c>
      <c r="DO118">
        <v>0</v>
      </c>
      <c r="DP118">
        <v>1</v>
      </c>
      <c r="DQ118">
        <v>1</v>
      </c>
      <c r="DU118">
        <v>1013</v>
      </c>
      <c r="DV118" t="s">
        <v>30</v>
      </c>
      <c r="DW118" t="s">
        <v>30</v>
      </c>
      <c r="DX118">
        <v>1</v>
      </c>
      <c r="DZ118" t="s">
        <v>3</v>
      </c>
      <c r="EA118" t="s">
        <v>3</v>
      </c>
      <c r="EB118" t="s">
        <v>3</v>
      </c>
      <c r="EC118" t="s">
        <v>3</v>
      </c>
      <c r="EE118">
        <v>60088638</v>
      </c>
      <c r="EF118">
        <v>130</v>
      </c>
      <c r="EG118" t="s">
        <v>31</v>
      </c>
      <c r="EH118">
        <v>0</v>
      </c>
      <c r="EI118" t="s">
        <v>3</v>
      </c>
      <c r="EJ118">
        <v>3</v>
      </c>
      <c r="EK118">
        <v>746</v>
      </c>
      <c r="EL118" t="s">
        <v>32</v>
      </c>
      <c r="EM118" t="s">
        <v>33</v>
      </c>
      <c r="EO118" t="s">
        <v>3</v>
      </c>
      <c r="EQ118">
        <v>0</v>
      </c>
      <c r="ER118">
        <v>0</v>
      </c>
      <c r="ES118">
        <v>1714.84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5</v>
      </c>
      <c r="FC118">
        <v>1</v>
      </c>
      <c r="FD118">
        <v>18</v>
      </c>
      <c r="FF118">
        <v>15122.34</v>
      </c>
      <c r="FQ118">
        <v>0</v>
      </c>
      <c r="FR118">
        <f t="shared" si="139"/>
        <v>105085.4</v>
      </c>
      <c r="FS118">
        <v>0</v>
      </c>
      <c r="FX118">
        <v>0</v>
      </c>
      <c r="FY118">
        <v>0</v>
      </c>
      <c r="GA118" t="s">
        <v>199</v>
      </c>
      <c r="GD118">
        <v>1</v>
      </c>
      <c r="GF118">
        <v>2038920238</v>
      </c>
      <c r="GG118">
        <v>2</v>
      </c>
      <c r="GH118">
        <v>3</v>
      </c>
      <c r="GI118">
        <v>5</v>
      </c>
      <c r="GJ118">
        <v>0</v>
      </c>
      <c r="GK118">
        <v>0</v>
      </c>
      <c r="GL118">
        <f t="shared" si="118"/>
        <v>0</v>
      </c>
      <c r="GM118">
        <f t="shared" si="119"/>
        <v>105085.4</v>
      </c>
      <c r="GN118">
        <f t="shared" si="120"/>
        <v>0</v>
      </c>
      <c r="GO118">
        <f t="shared" si="121"/>
        <v>0</v>
      </c>
      <c r="GP118">
        <f t="shared" si="122"/>
        <v>0</v>
      </c>
      <c r="GR118">
        <v>1</v>
      </c>
      <c r="GS118">
        <v>1</v>
      </c>
      <c r="GT118">
        <v>0</v>
      </c>
      <c r="GU118" t="s">
        <v>3</v>
      </c>
      <c r="GV118">
        <f t="shared" si="123"/>
        <v>0</v>
      </c>
      <c r="GW118">
        <v>1</v>
      </c>
      <c r="GX118">
        <f t="shared" si="124"/>
        <v>0</v>
      </c>
      <c r="HA118">
        <v>0</v>
      </c>
      <c r="HB118">
        <v>0</v>
      </c>
      <c r="HC118">
        <f t="shared" si="125"/>
        <v>0</v>
      </c>
      <c r="HE118" t="s">
        <v>35</v>
      </c>
      <c r="HF118" t="s">
        <v>36</v>
      </c>
      <c r="HM118" t="s">
        <v>3</v>
      </c>
      <c r="HN118" t="s">
        <v>3</v>
      </c>
      <c r="HO118" t="s">
        <v>3</v>
      </c>
      <c r="HP118" t="s">
        <v>3</v>
      </c>
      <c r="HQ118" t="s">
        <v>3</v>
      </c>
      <c r="HS118">
        <v>0</v>
      </c>
      <c r="IK118">
        <v>0</v>
      </c>
    </row>
    <row r="119" spans="1:255" x14ac:dyDescent="0.2">
      <c r="A119" s="2">
        <v>17</v>
      </c>
      <c r="B119" s="2">
        <v>1</v>
      </c>
      <c r="C119" s="2"/>
      <c r="D119" s="2"/>
      <c r="E119" s="2" t="s">
        <v>200</v>
      </c>
      <c r="F119" s="2" t="s">
        <v>201</v>
      </c>
      <c r="G119" s="2" t="s">
        <v>202</v>
      </c>
      <c r="H119" s="2" t="s">
        <v>30</v>
      </c>
      <c r="I119" s="2">
        <v>1</v>
      </c>
      <c r="J119" s="2">
        <v>0</v>
      </c>
      <c r="K119" s="2">
        <v>1</v>
      </c>
      <c r="L119" s="2"/>
      <c r="M119" s="2"/>
      <c r="N119" s="2"/>
      <c r="O119" s="2">
        <f t="shared" si="102"/>
        <v>1342.17</v>
      </c>
      <c r="P119" s="2">
        <f t="shared" si="126"/>
        <v>1342.17</v>
      </c>
      <c r="Q119" s="2">
        <f t="shared" si="127"/>
        <v>0</v>
      </c>
      <c r="R119" s="2">
        <f t="shared" si="128"/>
        <v>0</v>
      </c>
      <c r="S119" s="2">
        <f t="shared" si="103"/>
        <v>0</v>
      </c>
      <c r="T119" s="2">
        <f t="shared" si="104"/>
        <v>0</v>
      </c>
      <c r="U119" s="2">
        <f t="shared" si="105"/>
        <v>0</v>
      </c>
      <c r="V119" s="2">
        <f t="shared" si="106"/>
        <v>0</v>
      </c>
      <c r="W119" s="2">
        <f t="shared" si="107"/>
        <v>0</v>
      </c>
      <c r="X119" s="2">
        <f t="shared" si="129"/>
        <v>0</v>
      </c>
      <c r="Y119" s="2">
        <f t="shared" si="130"/>
        <v>0</v>
      </c>
      <c r="Z119" s="2"/>
      <c r="AA119" s="2">
        <v>60258064</v>
      </c>
      <c r="AB119" s="2">
        <f t="shared" si="108"/>
        <v>1342.17</v>
      </c>
      <c r="AC119" s="2">
        <f t="shared" si="109"/>
        <v>1342.17</v>
      </c>
      <c r="AD119" s="2">
        <f t="shared" si="131"/>
        <v>0</v>
      </c>
      <c r="AE119" s="2">
        <f t="shared" si="132"/>
        <v>0</v>
      </c>
      <c r="AF119" s="2">
        <f t="shared" si="132"/>
        <v>0</v>
      </c>
      <c r="AG119" s="2">
        <f t="shared" si="110"/>
        <v>0</v>
      </c>
      <c r="AH119" s="2">
        <f t="shared" si="133"/>
        <v>0</v>
      </c>
      <c r="AI119" s="2">
        <f t="shared" si="133"/>
        <v>0</v>
      </c>
      <c r="AJ119" s="2">
        <f t="shared" si="111"/>
        <v>0</v>
      </c>
      <c r="AK119" s="2">
        <v>1342.17</v>
      </c>
      <c r="AL119" s="2">
        <v>1342.17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1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3</v>
      </c>
      <c r="BI119" s="2">
        <v>3</v>
      </c>
      <c r="BJ119" s="2" t="s">
        <v>3</v>
      </c>
      <c r="BK119" s="2"/>
      <c r="BL119" s="2"/>
      <c r="BM119" s="2">
        <v>746</v>
      </c>
      <c r="BN119" s="2">
        <v>0</v>
      </c>
      <c r="BO119" s="2" t="s">
        <v>3</v>
      </c>
      <c r="BP119" s="2">
        <v>0</v>
      </c>
      <c r="BQ119" s="2">
        <v>130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0</v>
      </c>
      <c r="CA119" s="2">
        <v>0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3</v>
      </c>
      <c r="CO119" s="2">
        <v>0</v>
      </c>
      <c r="CP119" s="2">
        <f t="shared" si="112"/>
        <v>1342.17</v>
      </c>
      <c r="CQ119" s="2">
        <f t="shared" si="134"/>
        <v>1342.17</v>
      </c>
      <c r="CR119" s="2">
        <f t="shared" si="135"/>
        <v>0</v>
      </c>
      <c r="CS119" s="2">
        <f t="shared" si="136"/>
        <v>0</v>
      </c>
      <c r="CT119" s="2">
        <f t="shared" si="113"/>
        <v>0</v>
      </c>
      <c r="CU119" s="2">
        <f t="shared" si="114"/>
        <v>0</v>
      </c>
      <c r="CV119" s="2">
        <f t="shared" si="115"/>
        <v>0</v>
      </c>
      <c r="CW119" s="2">
        <f t="shared" si="116"/>
        <v>0</v>
      </c>
      <c r="CX119" s="2">
        <f t="shared" si="117"/>
        <v>0</v>
      </c>
      <c r="CY119" s="2">
        <f t="shared" si="137"/>
        <v>0</v>
      </c>
      <c r="CZ119" s="2">
        <f t="shared" si="138"/>
        <v>0</v>
      </c>
      <c r="DA119" s="2"/>
      <c r="DB119" s="2"/>
      <c r="DC119" s="2" t="s">
        <v>3</v>
      </c>
      <c r="DD119" s="2" t="s">
        <v>3</v>
      </c>
      <c r="DE119" s="2" t="s">
        <v>3</v>
      </c>
      <c r="DF119" s="2" t="s">
        <v>3</v>
      </c>
      <c r="DG119" s="2" t="s">
        <v>3</v>
      </c>
      <c r="DH119" s="2" t="s">
        <v>3</v>
      </c>
      <c r="DI119" s="2" t="s">
        <v>3</v>
      </c>
      <c r="DJ119" s="2" t="s">
        <v>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30</v>
      </c>
      <c r="DW119" s="2" t="s">
        <v>30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60088638</v>
      </c>
      <c r="EF119" s="2">
        <v>130</v>
      </c>
      <c r="EG119" s="2" t="s">
        <v>31</v>
      </c>
      <c r="EH119" s="2">
        <v>0</v>
      </c>
      <c r="EI119" s="2" t="s">
        <v>3</v>
      </c>
      <c r="EJ119" s="2">
        <v>3</v>
      </c>
      <c r="EK119" s="2">
        <v>746</v>
      </c>
      <c r="EL119" s="2" t="s">
        <v>32</v>
      </c>
      <c r="EM119" s="2" t="s">
        <v>33</v>
      </c>
      <c r="EN119" s="2"/>
      <c r="EO119" s="2" t="s">
        <v>3</v>
      </c>
      <c r="EP119" s="2"/>
      <c r="EQ119" s="2">
        <v>0</v>
      </c>
      <c r="ER119" s="2">
        <v>0</v>
      </c>
      <c r="ES119" s="2">
        <v>1342.17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f t="shared" si="139"/>
        <v>1342.17</v>
      </c>
      <c r="FS119" s="2">
        <v>0</v>
      </c>
      <c r="FT119" s="2"/>
      <c r="FU119" s="2"/>
      <c r="FV119" s="2"/>
      <c r="FW119" s="2"/>
      <c r="FX119" s="2">
        <v>0</v>
      </c>
      <c r="FY119" s="2">
        <v>0</v>
      </c>
      <c r="FZ119" s="2"/>
      <c r="GA119" s="2" t="s">
        <v>203</v>
      </c>
      <c r="GB119" s="2"/>
      <c r="GC119" s="2"/>
      <c r="GD119" s="2">
        <v>1</v>
      </c>
      <c r="GE119" s="2"/>
      <c r="GF119" s="2">
        <v>1348965161</v>
      </c>
      <c r="GG119" s="2">
        <v>2</v>
      </c>
      <c r="GH119" s="2">
        <v>4</v>
      </c>
      <c r="GI119" s="2">
        <v>-2</v>
      </c>
      <c r="GJ119" s="2">
        <v>0</v>
      </c>
      <c r="GK119" s="2">
        <v>0</v>
      </c>
      <c r="GL119" s="2">
        <f t="shared" si="118"/>
        <v>0</v>
      </c>
      <c r="GM119" s="2">
        <f t="shared" si="119"/>
        <v>1342.17</v>
      </c>
      <c r="GN119" s="2">
        <f t="shared" si="120"/>
        <v>0</v>
      </c>
      <c r="GO119" s="2">
        <f t="shared" si="121"/>
        <v>0</v>
      </c>
      <c r="GP119" s="2">
        <f t="shared" si="122"/>
        <v>0</v>
      </c>
      <c r="GQ119" s="2"/>
      <c r="GR119" s="2">
        <v>0</v>
      </c>
      <c r="GS119" s="2">
        <v>2</v>
      </c>
      <c r="GT119" s="2">
        <v>0</v>
      </c>
      <c r="GU119" s="2" t="s">
        <v>3</v>
      </c>
      <c r="GV119" s="2">
        <f t="shared" si="123"/>
        <v>0</v>
      </c>
      <c r="GW119" s="2">
        <v>1</v>
      </c>
      <c r="GX119" s="2">
        <f t="shared" si="124"/>
        <v>0</v>
      </c>
      <c r="GY119" s="2"/>
      <c r="GZ119" s="2"/>
      <c r="HA119" s="2">
        <v>0</v>
      </c>
      <c r="HB119" s="2">
        <v>0</v>
      </c>
      <c r="HC119" s="2">
        <f t="shared" si="125"/>
        <v>0</v>
      </c>
      <c r="HD119" s="2"/>
      <c r="HE119" s="2" t="s">
        <v>35</v>
      </c>
      <c r="HF119" s="2" t="s">
        <v>36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>
        <v>17</v>
      </c>
      <c r="B120">
        <v>1</v>
      </c>
      <c r="E120" t="s">
        <v>200</v>
      </c>
      <c r="F120" t="s">
        <v>201</v>
      </c>
      <c r="G120" t="s">
        <v>202</v>
      </c>
      <c r="H120" t="s">
        <v>30</v>
      </c>
      <c r="I120">
        <v>1</v>
      </c>
      <c r="J120">
        <v>0</v>
      </c>
      <c r="K120">
        <v>1</v>
      </c>
      <c r="O120">
        <f t="shared" si="102"/>
        <v>10281.02</v>
      </c>
      <c r="P120">
        <f t="shared" si="126"/>
        <v>10281.02</v>
      </c>
      <c r="Q120">
        <f t="shared" si="127"/>
        <v>0</v>
      </c>
      <c r="R120">
        <f t="shared" si="128"/>
        <v>0</v>
      </c>
      <c r="S120">
        <f t="shared" si="103"/>
        <v>0</v>
      </c>
      <c r="T120">
        <f t="shared" si="104"/>
        <v>0</v>
      </c>
      <c r="U120">
        <f t="shared" si="105"/>
        <v>0</v>
      </c>
      <c r="V120">
        <f t="shared" si="106"/>
        <v>0</v>
      </c>
      <c r="W120">
        <f t="shared" si="107"/>
        <v>0</v>
      </c>
      <c r="X120">
        <f t="shared" si="129"/>
        <v>0</v>
      </c>
      <c r="Y120">
        <f t="shared" si="130"/>
        <v>0</v>
      </c>
      <c r="AA120">
        <v>60258061</v>
      </c>
      <c r="AB120">
        <f t="shared" si="108"/>
        <v>1342.17</v>
      </c>
      <c r="AC120">
        <f t="shared" si="109"/>
        <v>1342.17</v>
      </c>
      <c r="AD120">
        <f t="shared" si="131"/>
        <v>0</v>
      </c>
      <c r="AE120">
        <f t="shared" si="132"/>
        <v>0</v>
      </c>
      <c r="AF120">
        <f t="shared" si="132"/>
        <v>0</v>
      </c>
      <c r="AG120">
        <f t="shared" si="110"/>
        <v>0</v>
      </c>
      <c r="AH120">
        <f t="shared" si="133"/>
        <v>0</v>
      </c>
      <c r="AI120">
        <f t="shared" si="133"/>
        <v>0</v>
      </c>
      <c r="AJ120">
        <f t="shared" si="111"/>
        <v>0</v>
      </c>
      <c r="AK120">
        <v>1342.17</v>
      </c>
      <c r="AL120">
        <v>1342.17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1</v>
      </c>
      <c r="AZ120">
        <v>1</v>
      </c>
      <c r="BA120">
        <v>1</v>
      </c>
      <c r="BB120">
        <v>1</v>
      </c>
      <c r="BC120">
        <v>7.66</v>
      </c>
      <c r="BD120" t="s">
        <v>3</v>
      </c>
      <c r="BE120" t="s">
        <v>3</v>
      </c>
      <c r="BF120" t="s">
        <v>3</v>
      </c>
      <c r="BG120" t="s">
        <v>3</v>
      </c>
      <c r="BH120">
        <v>3</v>
      </c>
      <c r="BI120">
        <v>3</v>
      </c>
      <c r="BJ120" t="s">
        <v>3</v>
      </c>
      <c r="BM120">
        <v>746</v>
      </c>
      <c r="BN120">
        <v>0</v>
      </c>
      <c r="BO120" t="s">
        <v>3</v>
      </c>
      <c r="BP120">
        <v>0</v>
      </c>
      <c r="BQ120">
        <v>130</v>
      </c>
      <c r="BR120">
        <v>0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3</v>
      </c>
      <c r="BZ120">
        <v>0</v>
      </c>
      <c r="CA120">
        <v>0</v>
      </c>
      <c r="CB120" t="s">
        <v>3</v>
      </c>
      <c r="CE120">
        <v>1566</v>
      </c>
      <c r="CF120">
        <v>0</v>
      </c>
      <c r="CG120">
        <v>0</v>
      </c>
      <c r="CM120">
        <v>0</v>
      </c>
      <c r="CN120" t="s">
        <v>3</v>
      </c>
      <c r="CO120">
        <v>0</v>
      </c>
      <c r="CP120">
        <f t="shared" si="112"/>
        <v>10281.02</v>
      </c>
      <c r="CQ120">
        <f t="shared" si="134"/>
        <v>10281.02</v>
      </c>
      <c r="CR120">
        <f t="shared" si="135"/>
        <v>0</v>
      </c>
      <c r="CS120">
        <f t="shared" si="136"/>
        <v>0</v>
      </c>
      <c r="CT120">
        <f t="shared" si="113"/>
        <v>0</v>
      </c>
      <c r="CU120">
        <f t="shared" si="114"/>
        <v>0</v>
      </c>
      <c r="CV120">
        <f t="shared" si="115"/>
        <v>0</v>
      </c>
      <c r="CW120">
        <f t="shared" si="116"/>
        <v>0</v>
      </c>
      <c r="CX120">
        <f t="shared" si="117"/>
        <v>0</v>
      </c>
      <c r="CY120">
        <f t="shared" si="137"/>
        <v>0</v>
      </c>
      <c r="CZ120">
        <f t="shared" si="138"/>
        <v>0</v>
      </c>
      <c r="DC120" t="s">
        <v>3</v>
      </c>
      <c r="DD120" t="s">
        <v>3</v>
      </c>
      <c r="DE120" t="s">
        <v>3</v>
      </c>
      <c r="DF120" t="s">
        <v>3</v>
      </c>
      <c r="DG120" t="s">
        <v>3</v>
      </c>
      <c r="DH120" t="s">
        <v>3</v>
      </c>
      <c r="DI120" t="s">
        <v>3</v>
      </c>
      <c r="DJ120" t="s">
        <v>3</v>
      </c>
      <c r="DK120" t="s">
        <v>3</v>
      </c>
      <c r="DL120" t="s">
        <v>3</v>
      </c>
      <c r="DM120" t="s">
        <v>3</v>
      </c>
      <c r="DN120">
        <v>0</v>
      </c>
      <c r="DO120">
        <v>0</v>
      </c>
      <c r="DP120">
        <v>1</v>
      </c>
      <c r="DQ120">
        <v>1</v>
      </c>
      <c r="DU120">
        <v>1013</v>
      </c>
      <c r="DV120" t="s">
        <v>30</v>
      </c>
      <c r="DW120" t="s">
        <v>30</v>
      </c>
      <c r="DX120">
        <v>1</v>
      </c>
      <c r="DZ120" t="s">
        <v>3</v>
      </c>
      <c r="EA120" t="s">
        <v>3</v>
      </c>
      <c r="EB120" t="s">
        <v>3</v>
      </c>
      <c r="EC120" t="s">
        <v>3</v>
      </c>
      <c r="EE120">
        <v>60088638</v>
      </c>
      <c r="EF120">
        <v>130</v>
      </c>
      <c r="EG120" t="s">
        <v>31</v>
      </c>
      <c r="EH120">
        <v>0</v>
      </c>
      <c r="EI120" t="s">
        <v>3</v>
      </c>
      <c r="EJ120">
        <v>3</v>
      </c>
      <c r="EK120">
        <v>746</v>
      </c>
      <c r="EL120" t="s">
        <v>32</v>
      </c>
      <c r="EM120" t="s">
        <v>33</v>
      </c>
      <c r="EO120" t="s">
        <v>3</v>
      </c>
      <c r="EQ120">
        <v>0</v>
      </c>
      <c r="ER120">
        <v>0</v>
      </c>
      <c r="ES120">
        <v>1342.17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5</v>
      </c>
      <c r="FC120">
        <v>1</v>
      </c>
      <c r="FD120">
        <v>18</v>
      </c>
      <c r="FF120">
        <v>11835.82</v>
      </c>
      <c r="FQ120">
        <v>0</v>
      </c>
      <c r="FR120">
        <f t="shared" si="139"/>
        <v>10281.02</v>
      </c>
      <c r="FS120">
        <v>0</v>
      </c>
      <c r="FX120">
        <v>0</v>
      </c>
      <c r="FY120">
        <v>0</v>
      </c>
      <c r="GA120" t="s">
        <v>203</v>
      </c>
      <c r="GD120">
        <v>1</v>
      </c>
      <c r="GF120">
        <v>1348965161</v>
      </c>
      <c r="GG120">
        <v>2</v>
      </c>
      <c r="GH120">
        <v>3</v>
      </c>
      <c r="GI120">
        <v>5</v>
      </c>
      <c r="GJ120">
        <v>0</v>
      </c>
      <c r="GK120">
        <v>0</v>
      </c>
      <c r="GL120">
        <f t="shared" si="118"/>
        <v>0</v>
      </c>
      <c r="GM120">
        <f t="shared" si="119"/>
        <v>10281.02</v>
      </c>
      <c r="GN120">
        <f t="shared" si="120"/>
        <v>0</v>
      </c>
      <c r="GO120">
        <f t="shared" si="121"/>
        <v>0</v>
      </c>
      <c r="GP120">
        <f t="shared" si="122"/>
        <v>0</v>
      </c>
      <c r="GR120">
        <v>1</v>
      </c>
      <c r="GS120">
        <v>1</v>
      </c>
      <c r="GT120">
        <v>0</v>
      </c>
      <c r="GU120" t="s">
        <v>3</v>
      </c>
      <c r="GV120">
        <f t="shared" si="123"/>
        <v>0</v>
      </c>
      <c r="GW120">
        <v>1</v>
      </c>
      <c r="GX120">
        <f t="shared" si="124"/>
        <v>0</v>
      </c>
      <c r="HA120">
        <v>0</v>
      </c>
      <c r="HB120">
        <v>0</v>
      </c>
      <c r="HC120">
        <f t="shared" si="125"/>
        <v>0</v>
      </c>
      <c r="HE120" t="s">
        <v>35</v>
      </c>
      <c r="HF120" t="s">
        <v>36</v>
      </c>
      <c r="HM120" t="s">
        <v>3</v>
      </c>
      <c r="HN120" t="s">
        <v>3</v>
      </c>
      <c r="HO120" t="s">
        <v>3</v>
      </c>
      <c r="HP120" t="s">
        <v>3</v>
      </c>
      <c r="HQ120" t="s">
        <v>3</v>
      </c>
      <c r="HS120">
        <v>0</v>
      </c>
      <c r="IK120">
        <v>0</v>
      </c>
    </row>
    <row r="121" spans="1:255" x14ac:dyDescent="0.2">
      <c r="A121" s="2">
        <v>17</v>
      </c>
      <c r="B121" s="2">
        <v>1</v>
      </c>
      <c r="C121" s="2"/>
      <c r="D121" s="2"/>
      <c r="E121" s="2" t="s">
        <v>204</v>
      </c>
      <c r="F121" s="2" t="s">
        <v>205</v>
      </c>
      <c r="G121" s="2" t="s">
        <v>206</v>
      </c>
      <c r="H121" s="2" t="s">
        <v>30</v>
      </c>
      <c r="I121" s="2">
        <v>7</v>
      </c>
      <c r="J121" s="2">
        <v>0</v>
      </c>
      <c r="K121" s="2">
        <v>7</v>
      </c>
      <c r="L121" s="2"/>
      <c r="M121" s="2"/>
      <c r="N121" s="2"/>
      <c r="O121" s="2">
        <f t="shared" si="102"/>
        <v>3455.83</v>
      </c>
      <c r="P121" s="2">
        <f t="shared" si="126"/>
        <v>3455.83</v>
      </c>
      <c r="Q121" s="2">
        <f t="shared" si="127"/>
        <v>0</v>
      </c>
      <c r="R121" s="2">
        <f t="shared" si="128"/>
        <v>0</v>
      </c>
      <c r="S121" s="2">
        <f t="shared" si="103"/>
        <v>0</v>
      </c>
      <c r="T121" s="2">
        <f t="shared" si="104"/>
        <v>0</v>
      </c>
      <c r="U121" s="2">
        <f t="shared" si="105"/>
        <v>0</v>
      </c>
      <c r="V121" s="2">
        <f t="shared" si="106"/>
        <v>0</v>
      </c>
      <c r="W121" s="2">
        <f t="shared" si="107"/>
        <v>0</v>
      </c>
      <c r="X121" s="2">
        <f t="shared" si="129"/>
        <v>0</v>
      </c>
      <c r="Y121" s="2">
        <f t="shared" si="130"/>
        <v>0</v>
      </c>
      <c r="Z121" s="2"/>
      <c r="AA121" s="2">
        <v>60258064</v>
      </c>
      <c r="AB121" s="2">
        <f t="shared" si="108"/>
        <v>493.69</v>
      </c>
      <c r="AC121" s="2">
        <f t="shared" si="109"/>
        <v>493.69</v>
      </c>
      <c r="AD121" s="2">
        <f t="shared" si="131"/>
        <v>0</v>
      </c>
      <c r="AE121" s="2">
        <f t="shared" si="132"/>
        <v>0</v>
      </c>
      <c r="AF121" s="2">
        <f t="shared" si="132"/>
        <v>0</v>
      </c>
      <c r="AG121" s="2">
        <f t="shared" si="110"/>
        <v>0</v>
      </c>
      <c r="AH121" s="2">
        <f t="shared" si="133"/>
        <v>0</v>
      </c>
      <c r="AI121" s="2">
        <f t="shared" si="133"/>
        <v>0</v>
      </c>
      <c r="AJ121" s="2">
        <f t="shared" si="111"/>
        <v>0</v>
      </c>
      <c r="AK121" s="2">
        <v>493.69</v>
      </c>
      <c r="AL121" s="2">
        <v>493.69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1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3</v>
      </c>
      <c r="BI121" s="2">
        <v>3</v>
      </c>
      <c r="BJ121" s="2" t="s">
        <v>3</v>
      </c>
      <c r="BK121" s="2"/>
      <c r="BL121" s="2"/>
      <c r="BM121" s="2">
        <v>746</v>
      </c>
      <c r="BN121" s="2">
        <v>0</v>
      </c>
      <c r="BO121" s="2" t="s">
        <v>3</v>
      </c>
      <c r="BP121" s="2">
        <v>0</v>
      </c>
      <c r="BQ121" s="2">
        <v>130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0</v>
      </c>
      <c r="CA121" s="2">
        <v>0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3</v>
      </c>
      <c r="CO121" s="2">
        <v>0</v>
      </c>
      <c r="CP121" s="2">
        <f t="shared" si="112"/>
        <v>3455.83</v>
      </c>
      <c r="CQ121" s="2">
        <f t="shared" si="134"/>
        <v>493.69</v>
      </c>
      <c r="CR121" s="2">
        <f t="shared" si="135"/>
        <v>0</v>
      </c>
      <c r="CS121" s="2">
        <f t="shared" si="136"/>
        <v>0</v>
      </c>
      <c r="CT121" s="2">
        <f t="shared" si="113"/>
        <v>0</v>
      </c>
      <c r="CU121" s="2">
        <f t="shared" si="114"/>
        <v>0</v>
      </c>
      <c r="CV121" s="2">
        <f t="shared" si="115"/>
        <v>0</v>
      </c>
      <c r="CW121" s="2">
        <f t="shared" si="116"/>
        <v>0</v>
      </c>
      <c r="CX121" s="2">
        <f t="shared" si="117"/>
        <v>0</v>
      </c>
      <c r="CY121" s="2">
        <f t="shared" si="137"/>
        <v>0</v>
      </c>
      <c r="CZ121" s="2">
        <f t="shared" si="138"/>
        <v>0</v>
      </c>
      <c r="DA121" s="2"/>
      <c r="DB121" s="2"/>
      <c r="DC121" s="2" t="s">
        <v>3</v>
      </c>
      <c r="DD121" s="2" t="s">
        <v>3</v>
      </c>
      <c r="DE121" s="2" t="s">
        <v>3</v>
      </c>
      <c r="DF121" s="2" t="s">
        <v>3</v>
      </c>
      <c r="DG121" s="2" t="s">
        <v>3</v>
      </c>
      <c r="DH121" s="2" t="s">
        <v>3</v>
      </c>
      <c r="DI121" s="2" t="s">
        <v>3</v>
      </c>
      <c r="DJ121" s="2" t="s">
        <v>3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30</v>
      </c>
      <c r="DW121" s="2" t="s">
        <v>30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60088638</v>
      </c>
      <c r="EF121" s="2">
        <v>130</v>
      </c>
      <c r="EG121" s="2" t="s">
        <v>31</v>
      </c>
      <c r="EH121" s="2">
        <v>0</v>
      </c>
      <c r="EI121" s="2" t="s">
        <v>3</v>
      </c>
      <c r="EJ121" s="2">
        <v>3</v>
      </c>
      <c r="EK121" s="2">
        <v>746</v>
      </c>
      <c r="EL121" s="2" t="s">
        <v>32</v>
      </c>
      <c r="EM121" s="2" t="s">
        <v>33</v>
      </c>
      <c r="EN121" s="2"/>
      <c r="EO121" s="2" t="s">
        <v>3</v>
      </c>
      <c r="EP121" s="2"/>
      <c r="EQ121" s="2">
        <v>0</v>
      </c>
      <c r="ER121" s="2">
        <v>0</v>
      </c>
      <c r="ES121" s="2">
        <v>493.69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f t="shared" si="139"/>
        <v>3455.83</v>
      </c>
      <c r="FS121" s="2">
        <v>0</v>
      </c>
      <c r="FT121" s="2"/>
      <c r="FU121" s="2"/>
      <c r="FV121" s="2"/>
      <c r="FW121" s="2"/>
      <c r="FX121" s="2">
        <v>0</v>
      </c>
      <c r="FY121" s="2">
        <v>0</v>
      </c>
      <c r="FZ121" s="2"/>
      <c r="GA121" s="2" t="s">
        <v>207</v>
      </c>
      <c r="GB121" s="2"/>
      <c r="GC121" s="2"/>
      <c r="GD121" s="2">
        <v>1</v>
      </c>
      <c r="GE121" s="2"/>
      <c r="GF121" s="2">
        <v>-1394928380</v>
      </c>
      <c r="GG121" s="2">
        <v>2</v>
      </c>
      <c r="GH121" s="2">
        <v>4</v>
      </c>
      <c r="GI121" s="2">
        <v>-2</v>
      </c>
      <c r="GJ121" s="2">
        <v>0</v>
      </c>
      <c r="GK121" s="2">
        <v>0</v>
      </c>
      <c r="GL121" s="2">
        <f t="shared" si="118"/>
        <v>0</v>
      </c>
      <c r="GM121" s="2">
        <f t="shared" si="119"/>
        <v>3455.83</v>
      </c>
      <c r="GN121" s="2">
        <f t="shared" si="120"/>
        <v>0</v>
      </c>
      <c r="GO121" s="2">
        <f t="shared" si="121"/>
        <v>0</v>
      </c>
      <c r="GP121" s="2">
        <f t="shared" si="122"/>
        <v>0</v>
      </c>
      <c r="GQ121" s="2"/>
      <c r="GR121" s="2">
        <v>0</v>
      </c>
      <c r="GS121" s="2">
        <v>2</v>
      </c>
      <c r="GT121" s="2">
        <v>0</v>
      </c>
      <c r="GU121" s="2" t="s">
        <v>3</v>
      </c>
      <c r="GV121" s="2">
        <f t="shared" si="123"/>
        <v>0</v>
      </c>
      <c r="GW121" s="2">
        <v>1</v>
      </c>
      <c r="GX121" s="2">
        <f t="shared" si="124"/>
        <v>0</v>
      </c>
      <c r="GY121" s="2"/>
      <c r="GZ121" s="2"/>
      <c r="HA121" s="2">
        <v>0</v>
      </c>
      <c r="HB121" s="2">
        <v>0</v>
      </c>
      <c r="HC121" s="2">
        <f t="shared" si="125"/>
        <v>0</v>
      </c>
      <c r="HD121" s="2"/>
      <c r="HE121" s="2" t="s">
        <v>35</v>
      </c>
      <c r="HF121" s="2" t="s">
        <v>36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>
        <v>17</v>
      </c>
      <c r="B122">
        <v>1</v>
      </c>
      <c r="E122" t="s">
        <v>204</v>
      </c>
      <c r="F122" t="s">
        <v>205</v>
      </c>
      <c r="G122" t="s">
        <v>206</v>
      </c>
      <c r="H122" t="s">
        <v>30</v>
      </c>
      <c r="I122">
        <v>7</v>
      </c>
      <c r="J122">
        <v>0</v>
      </c>
      <c r="K122">
        <v>7</v>
      </c>
      <c r="O122">
        <f t="shared" si="102"/>
        <v>26471.66</v>
      </c>
      <c r="P122">
        <f t="shared" si="126"/>
        <v>26471.66</v>
      </c>
      <c r="Q122">
        <f t="shared" si="127"/>
        <v>0</v>
      </c>
      <c r="R122">
        <f t="shared" si="128"/>
        <v>0</v>
      </c>
      <c r="S122">
        <f t="shared" si="103"/>
        <v>0</v>
      </c>
      <c r="T122">
        <f t="shared" si="104"/>
        <v>0</v>
      </c>
      <c r="U122">
        <f t="shared" si="105"/>
        <v>0</v>
      </c>
      <c r="V122">
        <f t="shared" si="106"/>
        <v>0</v>
      </c>
      <c r="W122">
        <f t="shared" si="107"/>
        <v>0</v>
      </c>
      <c r="X122">
        <f t="shared" si="129"/>
        <v>0</v>
      </c>
      <c r="Y122">
        <f t="shared" si="130"/>
        <v>0</v>
      </c>
      <c r="AA122">
        <v>60258061</v>
      </c>
      <c r="AB122">
        <f t="shared" si="108"/>
        <v>493.69</v>
      </c>
      <c r="AC122">
        <f t="shared" si="109"/>
        <v>493.69</v>
      </c>
      <c r="AD122">
        <f t="shared" si="131"/>
        <v>0</v>
      </c>
      <c r="AE122">
        <f t="shared" si="132"/>
        <v>0</v>
      </c>
      <c r="AF122">
        <f t="shared" si="132"/>
        <v>0</v>
      </c>
      <c r="AG122">
        <f t="shared" si="110"/>
        <v>0</v>
      </c>
      <c r="AH122">
        <f t="shared" si="133"/>
        <v>0</v>
      </c>
      <c r="AI122">
        <f t="shared" si="133"/>
        <v>0</v>
      </c>
      <c r="AJ122">
        <f t="shared" si="111"/>
        <v>0</v>
      </c>
      <c r="AK122">
        <v>493.69</v>
      </c>
      <c r="AL122">
        <v>493.69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1</v>
      </c>
      <c r="AZ122">
        <v>1</v>
      </c>
      <c r="BA122">
        <v>1</v>
      </c>
      <c r="BB122">
        <v>1</v>
      </c>
      <c r="BC122">
        <v>7.66</v>
      </c>
      <c r="BD122" t="s">
        <v>3</v>
      </c>
      <c r="BE122" t="s">
        <v>3</v>
      </c>
      <c r="BF122" t="s">
        <v>3</v>
      </c>
      <c r="BG122" t="s">
        <v>3</v>
      </c>
      <c r="BH122">
        <v>3</v>
      </c>
      <c r="BI122">
        <v>3</v>
      </c>
      <c r="BJ122" t="s">
        <v>3</v>
      </c>
      <c r="BM122">
        <v>746</v>
      </c>
      <c r="BN122">
        <v>0</v>
      </c>
      <c r="BO122" t="s">
        <v>3</v>
      </c>
      <c r="BP122">
        <v>0</v>
      </c>
      <c r="BQ122">
        <v>130</v>
      </c>
      <c r="BR122">
        <v>0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3</v>
      </c>
      <c r="BZ122">
        <v>0</v>
      </c>
      <c r="CA122">
        <v>0</v>
      </c>
      <c r="CB122" t="s">
        <v>3</v>
      </c>
      <c r="CE122">
        <v>1566</v>
      </c>
      <c r="CF122">
        <v>0</v>
      </c>
      <c r="CG122">
        <v>0</v>
      </c>
      <c r="CM122">
        <v>0</v>
      </c>
      <c r="CN122" t="s">
        <v>3</v>
      </c>
      <c r="CO122">
        <v>0</v>
      </c>
      <c r="CP122">
        <f t="shared" si="112"/>
        <v>26471.66</v>
      </c>
      <c r="CQ122">
        <f t="shared" si="134"/>
        <v>3781.67</v>
      </c>
      <c r="CR122">
        <f t="shared" si="135"/>
        <v>0</v>
      </c>
      <c r="CS122">
        <f t="shared" si="136"/>
        <v>0</v>
      </c>
      <c r="CT122">
        <f t="shared" si="113"/>
        <v>0</v>
      </c>
      <c r="CU122">
        <f t="shared" si="114"/>
        <v>0</v>
      </c>
      <c r="CV122">
        <f t="shared" si="115"/>
        <v>0</v>
      </c>
      <c r="CW122">
        <f t="shared" si="116"/>
        <v>0</v>
      </c>
      <c r="CX122">
        <f t="shared" si="117"/>
        <v>0</v>
      </c>
      <c r="CY122">
        <f t="shared" si="137"/>
        <v>0</v>
      </c>
      <c r="CZ122">
        <f t="shared" si="138"/>
        <v>0</v>
      </c>
      <c r="DC122" t="s">
        <v>3</v>
      </c>
      <c r="DD122" t="s">
        <v>3</v>
      </c>
      <c r="DE122" t="s">
        <v>3</v>
      </c>
      <c r="DF122" t="s">
        <v>3</v>
      </c>
      <c r="DG122" t="s">
        <v>3</v>
      </c>
      <c r="DH122" t="s">
        <v>3</v>
      </c>
      <c r="DI122" t="s">
        <v>3</v>
      </c>
      <c r="DJ122" t="s">
        <v>3</v>
      </c>
      <c r="DK122" t="s">
        <v>3</v>
      </c>
      <c r="DL122" t="s">
        <v>3</v>
      </c>
      <c r="DM122" t="s">
        <v>3</v>
      </c>
      <c r="DN122">
        <v>0</v>
      </c>
      <c r="DO122">
        <v>0</v>
      </c>
      <c r="DP122">
        <v>1</v>
      </c>
      <c r="DQ122">
        <v>1</v>
      </c>
      <c r="DU122">
        <v>1013</v>
      </c>
      <c r="DV122" t="s">
        <v>30</v>
      </c>
      <c r="DW122" t="s">
        <v>30</v>
      </c>
      <c r="DX122">
        <v>1</v>
      </c>
      <c r="DZ122" t="s">
        <v>3</v>
      </c>
      <c r="EA122" t="s">
        <v>3</v>
      </c>
      <c r="EB122" t="s">
        <v>3</v>
      </c>
      <c r="EC122" t="s">
        <v>3</v>
      </c>
      <c r="EE122">
        <v>60088638</v>
      </c>
      <c r="EF122">
        <v>130</v>
      </c>
      <c r="EG122" t="s">
        <v>31</v>
      </c>
      <c r="EH122">
        <v>0</v>
      </c>
      <c r="EI122" t="s">
        <v>3</v>
      </c>
      <c r="EJ122">
        <v>3</v>
      </c>
      <c r="EK122">
        <v>746</v>
      </c>
      <c r="EL122" t="s">
        <v>32</v>
      </c>
      <c r="EM122" t="s">
        <v>33</v>
      </c>
      <c r="EO122" t="s">
        <v>3</v>
      </c>
      <c r="EQ122">
        <v>0</v>
      </c>
      <c r="ER122">
        <v>0</v>
      </c>
      <c r="ES122">
        <v>493.69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5</v>
      </c>
      <c r="FC122">
        <v>1</v>
      </c>
      <c r="FD122">
        <v>18</v>
      </c>
      <c r="FF122">
        <v>4353.6000000000004</v>
      </c>
      <c r="FQ122">
        <v>0</v>
      </c>
      <c r="FR122">
        <f t="shared" si="139"/>
        <v>26471.66</v>
      </c>
      <c r="FS122">
        <v>0</v>
      </c>
      <c r="FX122">
        <v>0</v>
      </c>
      <c r="FY122">
        <v>0</v>
      </c>
      <c r="GA122" t="s">
        <v>207</v>
      </c>
      <c r="GD122">
        <v>1</v>
      </c>
      <c r="GF122">
        <v>-1394928380</v>
      </c>
      <c r="GG122">
        <v>2</v>
      </c>
      <c r="GH122">
        <v>3</v>
      </c>
      <c r="GI122">
        <v>5</v>
      </c>
      <c r="GJ122">
        <v>0</v>
      </c>
      <c r="GK122">
        <v>0</v>
      </c>
      <c r="GL122">
        <f t="shared" si="118"/>
        <v>0</v>
      </c>
      <c r="GM122">
        <f t="shared" si="119"/>
        <v>26471.66</v>
      </c>
      <c r="GN122">
        <f t="shared" si="120"/>
        <v>0</v>
      </c>
      <c r="GO122">
        <f t="shared" si="121"/>
        <v>0</v>
      </c>
      <c r="GP122">
        <f t="shared" si="122"/>
        <v>0</v>
      </c>
      <c r="GR122">
        <v>1</v>
      </c>
      <c r="GS122">
        <v>1</v>
      </c>
      <c r="GT122">
        <v>0</v>
      </c>
      <c r="GU122" t="s">
        <v>3</v>
      </c>
      <c r="GV122">
        <f t="shared" si="123"/>
        <v>0</v>
      </c>
      <c r="GW122">
        <v>1</v>
      </c>
      <c r="GX122">
        <f t="shared" si="124"/>
        <v>0</v>
      </c>
      <c r="HA122">
        <v>0</v>
      </c>
      <c r="HB122">
        <v>0</v>
      </c>
      <c r="HC122">
        <f t="shared" si="125"/>
        <v>0</v>
      </c>
      <c r="HE122" t="s">
        <v>35</v>
      </c>
      <c r="HF122" t="s">
        <v>36</v>
      </c>
      <c r="HM122" t="s">
        <v>3</v>
      </c>
      <c r="HN122" t="s">
        <v>3</v>
      </c>
      <c r="HO122" t="s">
        <v>3</v>
      </c>
      <c r="HP122" t="s">
        <v>3</v>
      </c>
      <c r="HQ122" t="s">
        <v>3</v>
      </c>
      <c r="HS122">
        <v>0</v>
      </c>
      <c r="IK122">
        <v>0</v>
      </c>
    </row>
    <row r="124" spans="1:255" x14ac:dyDescent="0.2">
      <c r="A124" s="3">
        <v>51</v>
      </c>
      <c r="B124" s="3">
        <f>B109</f>
        <v>1</v>
      </c>
      <c r="C124" s="3">
        <f>A109</f>
        <v>4</v>
      </c>
      <c r="D124" s="3">
        <f>ROW(A109)</f>
        <v>109</v>
      </c>
      <c r="E124" s="3"/>
      <c r="F124" s="3" t="str">
        <f>IF(F109&lt;&gt;"",F109,"")</f>
        <v/>
      </c>
      <c r="G124" s="3" t="str">
        <f>IF(G109&lt;&gt;"",G109,"")</f>
        <v>Материалы и кабельные изделия</v>
      </c>
      <c r="H124" s="3">
        <v>0</v>
      </c>
      <c r="I124" s="3"/>
      <c r="J124" s="3"/>
      <c r="K124" s="3"/>
      <c r="L124" s="3"/>
      <c r="M124" s="3"/>
      <c r="N124" s="3"/>
      <c r="O124" s="3">
        <f t="shared" ref="O124:T124" si="140">ROUND(AB124,2)</f>
        <v>25258.639999999999</v>
      </c>
      <c r="P124" s="3">
        <f t="shared" si="140"/>
        <v>25006.76</v>
      </c>
      <c r="Q124" s="3">
        <f t="shared" si="140"/>
        <v>10.37</v>
      </c>
      <c r="R124" s="3">
        <f t="shared" si="140"/>
        <v>1.66</v>
      </c>
      <c r="S124" s="3">
        <f t="shared" si="140"/>
        <v>241.51</v>
      </c>
      <c r="T124" s="3">
        <f t="shared" si="140"/>
        <v>0</v>
      </c>
      <c r="U124" s="3">
        <f>AH124</f>
        <v>21.352518000000003</v>
      </c>
      <c r="V124" s="3">
        <f>AI124</f>
        <v>0</v>
      </c>
      <c r="W124" s="3">
        <f>ROUND(AJ124,2)</f>
        <v>0</v>
      </c>
      <c r="X124" s="3">
        <f>ROUND(AK124,2)</f>
        <v>218.85</v>
      </c>
      <c r="Y124" s="3">
        <f>ROUND(AL124,2)</f>
        <v>111.86</v>
      </c>
      <c r="Z124" s="3"/>
      <c r="AA124" s="3"/>
      <c r="AB124" s="3">
        <f>ROUND(SUMIF(AA113:AA122,"=60258064",O113:O122),2)</f>
        <v>25258.639999999999</v>
      </c>
      <c r="AC124" s="3">
        <f>ROUND(SUMIF(AA113:AA122,"=60258064",P113:P122),2)</f>
        <v>25006.76</v>
      </c>
      <c r="AD124" s="3">
        <f>ROUND(SUMIF(AA113:AA122,"=60258064",Q113:Q122),2)</f>
        <v>10.37</v>
      </c>
      <c r="AE124" s="3">
        <f>ROUND(SUMIF(AA113:AA122,"=60258064",R113:R122),2)</f>
        <v>1.66</v>
      </c>
      <c r="AF124" s="3">
        <f>ROUND(SUMIF(AA113:AA122,"=60258064",S113:S122),2)</f>
        <v>241.51</v>
      </c>
      <c r="AG124" s="3">
        <f>ROUND(SUMIF(AA113:AA122,"=60258064",T113:T122),2)</f>
        <v>0</v>
      </c>
      <c r="AH124" s="3">
        <f>SUMIF(AA113:AA122,"=60258064",U113:U122)</f>
        <v>21.352518000000003</v>
      </c>
      <c r="AI124" s="3">
        <f>SUMIF(AA113:AA122,"=60258064",V113:V122)</f>
        <v>0</v>
      </c>
      <c r="AJ124" s="3">
        <f>ROUND(SUMIF(AA113:AA122,"=60258064",W113:W122),2)</f>
        <v>0</v>
      </c>
      <c r="AK124" s="3">
        <f>ROUND(SUMIF(AA113:AA122,"=60258064",X113:X122),2)</f>
        <v>218.85</v>
      </c>
      <c r="AL124" s="3">
        <f>ROUND(SUMIF(AA113:AA122,"=60258064",Y113:Y122),2)</f>
        <v>111.86</v>
      </c>
      <c r="AM124" s="3"/>
      <c r="AN124" s="3"/>
      <c r="AO124" s="3">
        <f t="shared" ref="AO124:BD124" si="141">ROUND(BX124,2)</f>
        <v>0</v>
      </c>
      <c r="AP124" s="3">
        <f t="shared" si="141"/>
        <v>25006.76</v>
      </c>
      <c r="AQ124" s="3">
        <f t="shared" si="141"/>
        <v>0</v>
      </c>
      <c r="AR124" s="3">
        <f t="shared" si="141"/>
        <v>25589.35</v>
      </c>
      <c r="AS124" s="3">
        <f t="shared" si="141"/>
        <v>0</v>
      </c>
      <c r="AT124" s="3">
        <f t="shared" si="141"/>
        <v>582.59</v>
      </c>
      <c r="AU124" s="3">
        <f t="shared" si="141"/>
        <v>0</v>
      </c>
      <c r="AV124" s="3">
        <f t="shared" si="141"/>
        <v>25006.76</v>
      </c>
      <c r="AW124" s="3">
        <f t="shared" si="141"/>
        <v>0</v>
      </c>
      <c r="AX124" s="3">
        <f t="shared" si="141"/>
        <v>0</v>
      </c>
      <c r="AY124" s="3">
        <f t="shared" si="141"/>
        <v>0</v>
      </c>
      <c r="AZ124" s="3">
        <f t="shared" si="141"/>
        <v>25006.76</v>
      </c>
      <c r="BA124" s="3">
        <f t="shared" si="141"/>
        <v>0</v>
      </c>
      <c r="BB124" s="3">
        <f t="shared" si="141"/>
        <v>0</v>
      </c>
      <c r="BC124" s="3">
        <f t="shared" si="141"/>
        <v>0</v>
      </c>
      <c r="BD124" s="3">
        <f t="shared" si="141"/>
        <v>0</v>
      </c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>
        <f>ROUND(SUMIF(AA113:AA122,"=60258064",FQ113:FQ122),2)</f>
        <v>0</v>
      </c>
      <c r="BY124" s="3">
        <f>ROUND(SUMIF(AA113:AA122,"=60258064",FR113:FR122),2)</f>
        <v>25006.76</v>
      </c>
      <c r="BZ124" s="3">
        <f>ROUND(SUMIF(AA113:AA122,"=60258064",GL113:GL122),2)</f>
        <v>0</v>
      </c>
      <c r="CA124" s="3">
        <f>ROUND(SUMIF(AA113:AA122,"=60258064",GM113:GM122),2)</f>
        <v>25589.35</v>
      </c>
      <c r="CB124" s="3">
        <f>ROUND(SUMIF(AA113:AA122,"=60258064",GN113:GN122),2)</f>
        <v>0</v>
      </c>
      <c r="CC124" s="3">
        <f>ROUND(SUMIF(AA113:AA122,"=60258064",GO113:GO122),2)</f>
        <v>582.59</v>
      </c>
      <c r="CD124" s="3">
        <f>ROUND(SUMIF(AA113:AA122,"=60258064",GP113:GP122),2)</f>
        <v>0</v>
      </c>
      <c r="CE124" s="3">
        <f>AC124-BX124</f>
        <v>25006.76</v>
      </c>
      <c r="CF124" s="3">
        <f>AC124-BY124</f>
        <v>0</v>
      </c>
      <c r="CG124" s="3">
        <f>BX124-BZ124</f>
        <v>0</v>
      </c>
      <c r="CH124" s="3">
        <f>AC124-BX124-BY124+BZ124</f>
        <v>0</v>
      </c>
      <c r="CI124" s="3">
        <f>BY124-BZ124</f>
        <v>25006.76</v>
      </c>
      <c r="CJ124" s="3">
        <f>ROUND(SUMIF(AA113:AA122,"=60258064",GX113:GX122),2)</f>
        <v>0</v>
      </c>
      <c r="CK124" s="3">
        <f>ROUND(SUMIF(AA113:AA122,"=60258064",GY113:GY122),2)</f>
        <v>0</v>
      </c>
      <c r="CL124" s="3">
        <f>ROUND(SUMIF(AA113:AA122,"=60258064",GZ113:GZ122),2)</f>
        <v>0</v>
      </c>
      <c r="CM124" s="3">
        <f>ROUND(SUMIF(AA113:AA122,"=60258064",HD113:HD122),2)</f>
        <v>0</v>
      </c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4">
        <f t="shared" ref="DG124:DL124" si="142">ROUND(DT124,2)</f>
        <v>205001.04</v>
      </c>
      <c r="DH124" s="4">
        <f t="shared" si="142"/>
        <v>191551.79</v>
      </c>
      <c r="DI124" s="4">
        <f t="shared" si="142"/>
        <v>168.62</v>
      </c>
      <c r="DJ124" s="4">
        <f t="shared" si="142"/>
        <v>91.28</v>
      </c>
      <c r="DK124" s="4">
        <f t="shared" si="142"/>
        <v>13280.63</v>
      </c>
      <c r="DL124" s="4">
        <f t="shared" si="142"/>
        <v>0</v>
      </c>
      <c r="DM124" s="4">
        <f>DZ124</f>
        <v>21.352518000000003</v>
      </c>
      <c r="DN124" s="4">
        <f>EA124</f>
        <v>0</v>
      </c>
      <c r="DO124" s="4">
        <f>ROUND(EB124,2)</f>
        <v>0</v>
      </c>
      <c r="DP124" s="4">
        <f>ROUND(EC124,2)</f>
        <v>12034.72</v>
      </c>
      <c r="DQ124" s="4">
        <f>ROUND(ED124,2)</f>
        <v>6151.08</v>
      </c>
      <c r="DR124" s="4"/>
      <c r="DS124" s="4"/>
      <c r="DT124" s="4">
        <f>ROUND(SUMIF(AA113:AA122,"=60258061",O113:O122),2)</f>
        <v>205001.04</v>
      </c>
      <c r="DU124" s="4">
        <f>ROUND(SUMIF(AA113:AA122,"=60258061",P113:P122),2)</f>
        <v>191551.79</v>
      </c>
      <c r="DV124" s="4">
        <f>ROUND(SUMIF(AA113:AA122,"=60258061",Q113:Q122),2)</f>
        <v>168.62</v>
      </c>
      <c r="DW124" s="4">
        <f>ROUND(SUMIF(AA113:AA122,"=60258061",R113:R122),2)</f>
        <v>91.28</v>
      </c>
      <c r="DX124" s="4">
        <f>ROUND(SUMIF(AA113:AA122,"=60258061",S113:S122),2)</f>
        <v>13280.63</v>
      </c>
      <c r="DY124" s="4">
        <f>ROUND(SUMIF(AA113:AA122,"=60258061",T113:T122),2)</f>
        <v>0</v>
      </c>
      <c r="DZ124" s="4">
        <f>SUMIF(AA113:AA122,"=60258061",U113:U122)</f>
        <v>21.352518000000003</v>
      </c>
      <c r="EA124" s="4">
        <f>SUMIF(AA113:AA122,"=60258061",V113:V122)</f>
        <v>0</v>
      </c>
      <c r="EB124" s="4">
        <f>ROUND(SUMIF(AA113:AA122,"=60258061",W113:W122),2)</f>
        <v>0</v>
      </c>
      <c r="EC124" s="4">
        <f>ROUND(SUMIF(AA113:AA122,"=60258061",X113:X122),2)</f>
        <v>12034.72</v>
      </c>
      <c r="ED124" s="4">
        <f>ROUND(SUMIF(AA113:AA122,"=60258061",Y113:Y122),2)</f>
        <v>6151.08</v>
      </c>
      <c r="EE124" s="4"/>
      <c r="EF124" s="4"/>
      <c r="EG124" s="4">
        <f t="shared" ref="EG124:EV124" si="143">ROUND(FP124,2)</f>
        <v>0</v>
      </c>
      <c r="EH124" s="4">
        <f t="shared" si="143"/>
        <v>191551.79</v>
      </c>
      <c r="EI124" s="4">
        <f t="shared" si="143"/>
        <v>0</v>
      </c>
      <c r="EJ124" s="4">
        <f t="shared" si="143"/>
        <v>223186.84</v>
      </c>
      <c r="EK124" s="4">
        <f t="shared" si="143"/>
        <v>0</v>
      </c>
      <c r="EL124" s="4">
        <f t="shared" si="143"/>
        <v>31635.05</v>
      </c>
      <c r="EM124" s="4">
        <f t="shared" si="143"/>
        <v>0</v>
      </c>
      <c r="EN124" s="4">
        <f t="shared" si="143"/>
        <v>191551.79</v>
      </c>
      <c r="EO124" s="4">
        <f t="shared" si="143"/>
        <v>0</v>
      </c>
      <c r="EP124" s="4">
        <f t="shared" si="143"/>
        <v>0</v>
      </c>
      <c r="EQ124" s="4">
        <f t="shared" si="143"/>
        <v>0</v>
      </c>
      <c r="ER124" s="4">
        <f t="shared" si="143"/>
        <v>191551.79</v>
      </c>
      <c r="ES124" s="4">
        <f t="shared" si="143"/>
        <v>0</v>
      </c>
      <c r="ET124" s="4">
        <f t="shared" si="143"/>
        <v>0</v>
      </c>
      <c r="EU124" s="4">
        <f t="shared" si="143"/>
        <v>0</v>
      </c>
      <c r="EV124" s="4">
        <f t="shared" si="143"/>
        <v>0</v>
      </c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>
        <f>ROUND(SUMIF(AA113:AA122,"=60258061",FQ113:FQ122),2)</f>
        <v>0</v>
      </c>
      <c r="FQ124" s="4">
        <f>ROUND(SUMIF(AA113:AA122,"=60258061",FR113:FR122),2)</f>
        <v>191551.79</v>
      </c>
      <c r="FR124" s="4">
        <f>ROUND(SUMIF(AA113:AA122,"=60258061",GL113:GL122),2)</f>
        <v>0</v>
      </c>
      <c r="FS124" s="4">
        <f>ROUND(SUMIF(AA113:AA122,"=60258061",GM113:GM122),2)</f>
        <v>223186.84</v>
      </c>
      <c r="FT124" s="4">
        <f>ROUND(SUMIF(AA113:AA122,"=60258061",GN113:GN122),2)</f>
        <v>0</v>
      </c>
      <c r="FU124" s="4">
        <f>ROUND(SUMIF(AA113:AA122,"=60258061",GO113:GO122),2)</f>
        <v>31635.05</v>
      </c>
      <c r="FV124" s="4">
        <f>ROUND(SUMIF(AA113:AA122,"=60258061",GP113:GP122),2)</f>
        <v>0</v>
      </c>
      <c r="FW124" s="4">
        <f>DU124-FP124</f>
        <v>191551.79</v>
      </c>
      <c r="FX124" s="4">
        <f>DU124-FQ124</f>
        <v>0</v>
      </c>
      <c r="FY124" s="4">
        <f>FP124-FR124</f>
        <v>0</v>
      </c>
      <c r="FZ124" s="4">
        <f>DU124-FP124-FQ124+FR124</f>
        <v>0</v>
      </c>
      <c r="GA124" s="4">
        <f>FQ124-FR124</f>
        <v>191551.79</v>
      </c>
      <c r="GB124" s="4">
        <f>ROUND(SUMIF(AA113:AA122,"=60258061",GX113:GX122),2)</f>
        <v>0</v>
      </c>
      <c r="GC124" s="4">
        <f>ROUND(SUMIF(AA113:AA122,"=60258061",GY113:GY122),2)</f>
        <v>0</v>
      </c>
      <c r="GD124" s="4">
        <f>ROUND(SUMIF(AA113:AA122,"=60258061",GZ113:GZ122),2)</f>
        <v>0</v>
      </c>
      <c r="GE124" s="4">
        <f>ROUND(SUMIF(AA113:AA122,"=60258061",HD113:HD122),2)</f>
        <v>0</v>
      </c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>
        <v>0</v>
      </c>
    </row>
    <row r="126" spans="1:255" x14ac:dyDescent="0.2">
      <c r="A126" s="5">
        <v>50</v>
      </c>
      <c r="B126" s="5">
        <v>0</v>
      </c>
      <c r="C126" s="5">
        <v>0</v>
      </c>
      <c r="D126" s="5">
        <v>1</v>
      </c>
      <c r="E126" s="5">
        <v>201</v>
      </c>
      <c r="F126" s="5">
        <f>ROUND(Source!O124,O126)</f>
        <v>25258.639999999999</v>
      </c>
      <c r="G126" s="5" t="s">
        <v>131</v>
      </c>
      <c r="H126" s="5" t="s">
        <v>132</v>
      </c>
      <c r="I126" s="5"/>
      <c r="J126" s="5"/>
      <c r="K126" s="5">
        <v>201</v>
      </c>
      <c r="L126" s="5">
        <v>1</v>
      </c>
      <c r="M126" s="5">
        <v>3</v>
      </c>
      <c r="N126" s="5" t="s">
        <v>3</v>
      </c>
      <c r="O126" s="5">
        <v>2</v>
      </c>
      <c r="P126" s="5">
        <f>ROUND(Source!DG124,O126)</f>
        <v>205001.04</v>
      </c>
      <c r="Q126" s="5"/>
      <c r="R126" s="5"/>
      <c r="S126" s="5"/>
      <c r="T126" s="5"/>
      <c r="U126" s="5"/>
      <c r="V126" s="5"/>
      <c r="W126" s="5">
        <v>25258.639999999999</v>
      </c>
      <c r="X126" s="5">
        <v>1</v>
      </c>
      <c r="Y126" s="5">
        <v>25258.639999999999</v>
      </c>
      <c r="Z126" s="5">
        <v>205001.04</v>
      </c>
      <c r="AA126" s="5">
        <v>1</v>
      </c>
      <c r="AB126" s="5">
        <v>205001.04</v>
      </c>
    </row>
    <row r="127" spans="1:255" x14ac:dyDescent="0.2">
      <c r="A127" s="5">
        <v>50</v>
      </c>
      <c r="B127" s="5">
        <v>0</v>
      </c>
      <c r="C127" s="5">
        <v>0</v>
      </c>
      <c r="D127" s="5">
        <v>1</v>
      </c>
      <c r="E127" s="5">
        <v>202</v>
      </c>
      <c r="F127" s="5">
        <f>ROUND(Source!P124,O127)</f>
        <v>25006.76</v>
      </c>
      <c r="G127" s="5" t="s">
        <v>133</v>
      </c>
      <c r="H127" s="5" t="s">
        <v>134</v>
      </c>
      <c r="I127" s="5"/>
      <c r="J127" s="5"/>
      <c r="K127" s="5">
        <v>202</v>
      </c>
      <c r="L127" s="5">
        <v>2</v>
      </c>
      <c r="M127" s="5">
        <v>3</v>
      </c>
      <c r="N127" s="5" t="s">
        <v>3</v>
      </c>
      <c r="O127" s="5">
        <v>2</v>
      </c>
      <c r="P127" s="5">
        <f>ROUND(Source!DH124,O127)</f>
        <v>191551.79</v>
      </c>
      <c r="Q127" s="5"/>
      <c r="R127" s="5"/>
      <c r="S127" s="5"/>
      <c r="T127" s="5"/>
      <c r="U127" s="5"/>
      <c r="V127" s="5"/>
      <c r="W127" s="5">
        <v>25006.76</v>
      </c>
      <c r="X127" s="5">
        <v>1</v>
      </c>
      <c r="Y127" s="5">
        <v>25006.76</v>
      </c>
      <c r="Z127" s="5">
        <v>191551.79</v>
      </c>
      <c r="AA127" s="5">
        <v>1</v>
      </c>
      <c r="AB127" s="5">
        <v>191551.79</v>
      </c>
    </row>
    <row r="128" spans="1:255" x14ac:dyDescent="0.2">
      <c r="A128" s="5">
        <v>50</v>
      </c>
      <c r="B128" s="5">
        <v>0</v>
      </c>
      <c r="C128" s="5">
        <v>0</v>
      </c>
      <c r="D128" s="5">
        <v>1</v>
      </c>
      <c r="E128" s="5">
        <v>222</v>
      </c>
      <c r="F128" s="5">
        <f>ROUND(Source!AO124,O128)</f>
        <v>0</v>
      </c>
      <c r="G128" s="5" t="s">
        <v>135</v>
      </c>
      <c r="H128" s="5" t="s">
        <v>136</v>
      </c>
      <c r="I128" s="5"/>
      <c r="J128" s="5"/>
      <c r="K128" s="5">
        <v>222</v>
      </c>
      <c r="L128" s="5">
        <v>3</v>
      </c>
      <c r="M128" s="5">
        <v>3</v>
      </c>
      <c r="N128" s="5" t="s">
        <v>3</v>
      </c>
      <c r="O128" s="5">
        <v>2</v>
      </c>
      <c r="P128" s="5">
        <f>ROUND(Source!EG124,O128)</f>
        <v>0</v>
      </c>
      <c r="Q128" s="5"/>
      <c r="R128" s="5"/>
      <c r="S128" s="5"/>
      <c r="T128" s="5"/>
      <c r="U128" s="5"/>
      <c r="V128" s="5"/>
      <c r="W128" s="5">
        <v>0</v>
      </c>
      <c r="X128" s="5">
        <v>1</v>
      </c>
      <c r="Y128" s="5">
        <v>0</v>
      </c>
      <c r="Z128" s="5">
        <v>0</v>
      </c>
      <c r="AA128" s="5">
        <v>1</v>
      </c>
      <c r="AB128" s="5">
        <v>0</v>
      </c>
    </row>
    <row r="129" spans="1:28" x14ac:dyDescent="0.2">
      <c r="A129" s="5">
        <v>50</v>
      </c>
      <c r="B129" s="5">
        <v>0</v>
      </c>
      <c r="C129" s="5">
        <v>0</v>
      </c>
      <c r="D129" s="5">
        <v>1</v>
      </c>
      <c r="E129" s="5">
        <v>225</v>
      </c>
      <c r="F129" s="5">
        <f>ROUND(Source!AV124,O129)</f>
        <v>25006.76</v>
      </c>
      <c r="G129" s="5" t="s">
        <v>137</v>
      </c>
      <c r="H129" s="5" t="s">
        <v>138</v>
      </c>
      <c r="I129" s="5"/>
      <c r="J129" s="5"/>
      <c r="K129" s="5">
        <v>225</v>
      </c>
      <c r="L129" s="5">
        <v>4</v>
      </c>
      <c r="M129" s="5">
        <v>3</v>
      </c>
      <c r="N129" s="5" t="s">
        <v>3</v>
      </c>
      <c r="O129" s="5">
        <v>2</v>
      </c>
      <c r="P129" s="5">
        <f>ROUND(Source!EN124,O129)</f>
        <v>191551.79</v>
      </c>
      <c r="Q129" s="5"/>
      <c r="R129" s="5"/>
      <c r="S129" s="5"/>
      <c r="T129" s="5"/>
      <c r="U129" s="5"/>
      <c r="V129" s="5"/>
      <c r="W129" s="5">
        <v>25006.76</v>
      </c>
      <c r="X129" s="5">
        <v>1</v>
      </c>
      <c r="Y129" s="5">
        <v>25006.76</v>
      </c>
      <c r="Z129" s="5">
        <v>191551.79</v>
      </c>
      <c r="AA129" s="5">
        <v>1</v>
      </c>
      <c r="AB129" s="5">
        <v>191551.79</v>
      </c>
    </row>
    <row r="130" spans="1:28" x14ac:dyDescent="0.2">
      <c r="A130" s="5">
        <v>50</v>
      </c>
      <c r="B130" s="5">
        <v>0</v>
      </c>
      <c r="C130" s="5">
        <v>0</v>
      </c>
      <c r="D130" s="5">
        <v>1</v>
      </c>
      <c r="E130" s="5">
        <v>226</v>
      </c>
      <c r="F130" s="5">
        <f>ROUND(Source!AW124,O130)</f>
        <v>0</v>
      </c>
      <c r="G130" s="5" t="s">
        <v>139</v>
      </c>
      <c r="H130" s="5" t="s">
        <v>140</v>
      </c>
      <c r="I130" s="5"/>
      <c r="J130" s="5"/>
      <c r="K130" s="5">
        <v>226</v>
      </c>
      <c r="L130" s="5">
        <v>5</v>
      </c>
      <c r="M130" s="5">
        <v>3</v>
      </c>
      <c r="N130" s="5" t="s">
        <v>3</v>
      </c>
      <c r="O130" s="5">
        <v>2</v>
      </c>
      <c r="P130" s="5">
        <f>ROUND(Source!EO124,O130)</f>
        <v>0</v>
      </c>
      <c r="Q130" s="5"/>
      <c r="R130" s="5"/>
      <c r="S130" s="5"/>
      <c r="T130" s="5"/>
      <c r="U130" s="5"/>
      <c r="V130" s="5"/>
      <c r="W130" s="5">
        <v>0</v>
      </c>
      <c r="X130" s="5">
        <v>1</v>
      </c>
      <c r="Y130" s="5">
        <v>0</v>
      </c>
      <c r="Z130" s="5">
        <v>0</v>
      </c>
      <c r="AA130" s="5">
        <v>1</v>
      </c>
      <c r="AB130" s="5">
        <v>0</v>
      </c>
    </row>
    <row r="131" spans="1:28" x14ac:dyDescent="0.2">
      <c r="A131" s="5">
        <v>50</v>
      </c>
      <c r="B131" s="5">
        <v>0</v>
      </c>
      <c r="C131" s="5">
        <v>0</v>
      </c>
      <c r="D131" s="5">
        <v>1</v>
      </c>
      <c r="E131" s="5">
        <v>227</v>
      </c>
      <c r="F131" s="5">
        <f>ROUND(Source!AX124,O131)</f>
        <v>0</v>
      </c>
      <c r="G131" s="5" t="s">
        <v>141</v>
      </c>
      <c r="H131" s="5" t="s">
        <v>142</v>
      </c>
      <c r="I131" s="5"/>
      <c r="J131" s="5"/>
      <c r="K131" s="5">
        <v>227</v>
      </c>
      <c r="L131" s="5">
        <v>6</v>
      </c>
      <c r="M131" s="5">
        <v>3</v>
      </c>
      <c r="N131" s="5" t="s">
        <v>3</v>
      </c>
      <c r="O131" s="5">
        <v>2</v>
      </c>
      <c r="P131" s="5">
        <f>ROUND(Source!EP124,O131)</f>
        <v>0</v>
      </c>
      <c r="Q131" s="5"/>
      <c r="R131" s="5"/>
      <c r="S131" s="5"/>
      <c r="T131" s="5"/>
      <c r="U131" s="5"/>
      <c r="V131" s="5"/>
      <c r="W131" s="5">
        <v>0</v>
      </c>
      <c r="X131" s="5">
        <v>1</v>
      </c>
      <c r="Y131" s="5">
        <v>0</v>
      </c>
      <c r="Z131" s="5">
        <v>0</v>
      </c>
      <c r="AA131" s="5">
        <v>1</v>
      </c>
      <c r="AB131" s="5">
        <v>0</v>
      </c>
    </row>
    <row r="132" spans="1:28" x14ac:dyDescent="0.2">
      <c r="A132" s="5">
        <v>50</v>
      </c>
      <c r="B132" s="5">
        <v>0</v>
      </c>
      <c r="C132" s="5">
        <v>0</v>
      </c>
      <c r="D132" s="5">
        <v>1</v>
      </c>
      <c r="E132" s="5">
        <v>228</v>
      </c>
      <c r="F132" s="5">
        <f>ROUND(Source!AY124,O132)</f>
        <v>0</v>
      </c>
      <c r="G132" s="5" t="s">
        <v>143</v>
      </c>
      <c r="H132" s="5" t="s">
        <v>144</v>
      </c>
      <c r="I132" s="5"/>
      <c r="J132" s="5"/>
      <c r="K132" s="5">
        <v>228</v>
      </c>
      <c r="L132" s="5">
        <v>7</v>
      </c>
      <c r="M132" s="5">
        <v>3</v>
      </c>
      <c r="N132" s="5" t="s">
        <v>3</v>
      </c>
      <c r="O132" s="5">
        <v>2</v>
      </c>
      <c r="P132" s="5">
        <f>ROUND(Source!EQ124,O132)</f>
        <v>0</v>
      </c>
      <c r="Q132" s="5"/>
      <c r="R132" s="5"/>
      <c r="S132" s="5"/>
      <c r="T132" s="5"/>
      <c r="U132" s="5"/>
      <c r="V132" s="5"/>
      <c r="W132" s="5">
        <v>0</v>
      </c>
      <c r="X132" s="5">
        <v>1</v>
      </c>
      <c r="Y132" s="5">
        <v>0</v>
      </c>
      <c r="Z132" s="5">
        <v>0</v>
      </c>
      <c r="AA132" s="5">
        <v>1</v>
      </c>
      <c r="AB132" s="5">
        <v>0</v>
      </c>
    </row>
    <row r="133" spans="1:28" x14ac:dyDescent="0.2">
      <c r="A133" s="5">
        <v>50</v>
      </c>
      <c r="B133" s="5">
        <v>0</v>
      </c>
      <c r="C133" s="5">
        <v>0</v>
      </c>
      <c r="D133" s="5">
        <v>1</v>
      </c>
      <c r="E133" s="5">
        <v>216</v>
      </c>
      <c r="F133" s="5">
        <f>ROUND(Source!AP124,O133)</f>
        <v>25006.76</v>
      </c>
      <c r="G133" s="5" t="s">
        <v>145</v>
      </c>
      <c r="H133" s="5" t="s">
        <v>146</v>
      </c>
      <c r="I133" s="5"/>
      <c r="J133" s="5"/>
      <c r="K133" s="5">
        <v>216</v>
      </c>
      <c r="L133" s="5">
        <v>8</v>
      </c>
      <c r="M133" s="5">
        <v>3</v>
      </c>
      <c r="N133" s="5" t="s">
        <v>3</v>
      </c>
      <c r="O133" s="5">
        <v>2</v>
      </c>
      <c r="P133" s="5">
        <f>ROUND(Source!EH124,O133)</f>
        <v>191551.79</v>
      </c>
      <c r="Q133" s="5"/>
      <c r="R133" s="5"/>
      <c r="S133" s="5"/>
      <c r="T133" s="5"/>
      <c r="U133" s="5"/>
      <c r="V133" s="5"/>
      <c r="W133" s="5">
        <v>25006.76</v>
      </c>
      <c r="X133" s="5">
        <v>1</v>
      </c>
      <c r="Y133" s="5">
        <v>25006.76</v>
      </c>
      <c r="Z133" s="5">
        <v>191551.79</v>
      </c>
      <c r="AA133" s="5">
        <v>1</v>
      </c>
      <c r="AB133" s="5">
        <v>191551.79</v>
      </c>
    </row>
    <row r="134" spans="1:28" x14ac:dyDescent="0.2">
      <c r="A134" s="5">
        <v>50</v>
      </c>
      <c r="B134" s="5">
        <v>0</v>
      </c>
      <c r="C134" s="5">
        <v>0</v>
      </c>
      <c r="D134" s="5">
        <v>1</v>
      </c>
      <c r="E134" s="5">
        <v>223</v>
      </c>
      <c r="F134" s="5">
        <f>ROUND(Source!AQ124,O134)</f>
        <v>0</v>
      </c>
      <c r="G134" s="5" t="s">
        <v>147</v>
      </c>
      <c r="H134" s="5" t="s">
        <v>148</v>
      </c>
      <c r="I134" s="5"/>
      <c r="J134" s="5"/>
      <c r="K134" s="5">
        <v>223</v>
      </c>
      <c r="L134" s="5">
        <v>9</v>
      </c>
      <c r="M134" s="5">
        <v>3</v>
      </c>
      <c r="N134" s="5" t="s">
        <v>3</v>
      </c>
      <c r="O134" s="5">
        <v>2</v>
      </c>
      <c r="P134" s="5">
        <f>ROUND(Source!EI124,O134)</f>
        <v>0</v>
      </c>
      <c r="Q134" s="5"/>
      <c r="R134" s="5"/>
      <c r="S134" s="5"/>
      <c r="T134" s="5"/>
      <c r="U134" s="5"/>
      <c r="V134" s="5"/>
      <c r="W134" s="5">
        <v>0</v>
      </c>
      <c r="X134" s="5">
        <v>1</v>
      </c>
      <c r="Y134" s="5">
        <v>0</v>
      </c>
      <c r="Z134" s="5">
        <v>0</v>
      </c>
      <c r="AA134" s="5">
        <v>1</v>
      </c>
      <c r="AB134" s="5">
        <v>0</v>
      </c>
    </row>
    <row r="135" spans="1:28" x14ac:dyDescent="0.2">
      <c r="A135" s="5">
        <v>50</v>
      </c>
      <c r="B135" s="5">
        <v>0</v>
      </c>
      <c r="C135" s="5">
        <v>0</v>
      </c>
      <c r="D135" s="5">
        <v>1</v>
      </c>
      <c r="E135" s="5">
        <v>229</v>
      </c>
      <c r="F135" s="5">
        <f>ROUND(Source!AZ124,O135)</f>
        <v>25006.76</v>
      </c>
      <c r="G135" s="5" t="s">
        <v>149</v>
      </c>
      <c r="H135" s="5" t="s">
        <v>150</v>
      </c>
      <c r="I135" s="5"/>
      <c r="J135" s="5"/>
      <c r="K135" s="5">
        <v>229</v>
      </c>
      <c r="L135" s="5">
        <v>10</v>
      </c>
      <c r="M135" s="5">
        <v>3</v>
      </c>
      <c r="N135" s="5" t="s">
        <v>3</v>
      </c>
      <c r="O135" s="5">
        <v>2</v>
      </c>
      <c r="P135" s="5">
        <f>ROUND(Source!ER124,O135)</f>
        <v>191551.79</v>
      </c>
      <c r="Q135" s="5"/>
      <c r="R135" s="5"/>
      <c r="S135" s="5"/>
      <c r="T135" s="5"/>
      <c r="U135" s="5"/>
      <c r="V135" s="5"/>
      <c r="W135" s="5">
        <v>25006.76</v>
      </c>
      <c r="X135" s="5">
        <v>1</v>
      </c>
      <c r="Y135" s="5">
        <v>25006.76</v>
      </c>
      <c r="Z135" s="5">
        <v>191551.79</v>
      </c>
      <c r="AA135" s="5">
        <v>1</v>
      </c>
      <c r="AB135" s="5">
        <v>191551.79</v>
      </c>
    </row>
    <row r="136" spans="1:28" x14ac:dyDescent="0.2">
      <c r="A136" s="5">
        <v>50</v>
      </c>
      <c r="B136" s="5">
        <v>0</v>
      </c>
      <c r="C136" s="5">
        <v>0</v>
      </c>
      <c r="D136" s="5">
        <v>1</v>
      </c>
      <c r="E136" s="5">
        <v>203</v>
      </c>
      <c r="F136" s="5">
        <f>ROUND(Source!Q124,O136)</f>
        <v>10.37</v>
      </c>
      <c r="G136" s="5" t="s">
        <v>151</v>
      </c>
      <c r="H136" s="5" t="s">
        <v>152</v>
      </c>
      <c r="I136" s="5"/>
      <c r="J136" s="5"/>
      <c r="K136" s="5">
        <v>203</v>
      </c>
      <c r="L136" s="5">
        <v>11</v>
      </c>
      <c r="M136" s="5">
        <v>3</v>
      </c>
      <c r="N136" s="5" t="s">
        <v>3</v>
      </c>
      <c r="O136" s="5">
        <v>2</v>
      </c>
      <c r="P136" s="5">
        <f>ROUND(Source!DI124,O136)</f>
        <v>168.62</v>
      </c>
      <c r="Q136" s="5"/>
      <c r="R136" s="5"/>
      <c r="S136" s="5"/>
      <c r="T136" s="5"/>
      <c r="U136" s="5"/>
      <c r="V136" s="5"/>
      <c r="W136" s="5">
        <v>10.37</v>
      </c>
      <c r="X136" s="5">
        <v>1</v>
      </c>
      <c r="Y136" s="5">
        <v>10.37</v>
      </c>
      <c r="Z136" s="5">
        <v>168.62</v>
      </c>
      <c r="AA136" s="5">
        <v>1</v>
      </c>
      <c r="AB136" s="5">
        <v>168.62</v>
      </c>
    </row>
    <row r="137" spans="1:28" x14ac:dyDescent="0.2">
      <c r="A137" s="5">
        <v>50</v>
      </c>
      <c r="B137" s="5">
        <v>0</v>
      </c>
      <c r="C137" s="5">
        <v>0</v>
      </c>
      <c r="D137" s="5">
        <v>1</v>
      </c>
      <c r="E137" s="5">
        <v>231</v>
      </c>
      <c r="F137" s="5">
        <f>ROUND(Source!BB124,O137)</f>
        <v>0</v>
      </c>
      <c r="G137" s="5" t="s">
        <v>153</v>
      </c>
      <c r="H137" s="5" t="s">
        <v>154</v>
      </c>
      <c r="I137" s="5"/>
      <c r="J137" s="5"/>
      <c r="K137" s="5">
        <v>231</v>
      </c>
      <c r="L137" s="5">
        <v>12</v>
      </c>
      <c r="M137" s="5">
        <v>3</v>
      </c>
      <c r="N137" s="5" t="s">
        <v>3</v>
      </c>
      <c r="O137" s="5">
        <v>2</v>
      </c>
      <c r="P137" s="5">
        <f>ROUND(Source!ET124,O137)</f>
        <v>0</v>
      </c>
      <c r="Q137" s="5"/>
      <c r="R137" s="5"/>
      <c r="S137" s="5"/>
      <c r="T137" s="5"/>
      <c r="U137" s="5"/>
      <c r="V137" s="5"/>
      <c r="W137" s="5">
        <v>0</v>
      </c>
      <c r="X137" s="5">
        <v>1</v>
      </c>
      <c r="Y137" s="5">
        <v>0</v>
      </c>
      <c r="Z137" s="5">
        <v>0</v>
      </c>
      <c r="AA137" s="5">
        <v>1</v>
      </c>
      <c r="AB137" s="5">
        <v>0</v>
      </c>
    </row>
    <row r="138" spans="1:28" x14ac:dyDescent="0.2">
      <c r="A138" s="5">
        <v>50</v>
      </c>
      <c r="B138" s="5">
        <v>0</v>
      </c>
      <c r="C138" s="5">
        <v>0</v>
      </c>
      <c r="D138" s="5">
        <v>1</v>
      </c>
      <c r="E138" s="5">
        <v>204</v>
      </c>
      <c r="F138" s="5">
        <f>ROUND(Source!R124,O138)</f>
        <v>1.66</v>
      </c>
      <c r="G138" s="5" t="s">
        <v>155</v>
      </c>
      <c r="H138" s="5" t="s">
        <v>156</v>
      </c>
      <c r="I138" s="5"/>
      <c r="J138" s="5"/>
      <c r="K138" s="5">
        <v>204</v>
      </c>
      <c r="L138" s="5">
        <v>13</v>
      </c>
      <c r="M138" s="5">
        <v>3</v>
      </c>
      <c r="N138" s="5" t="s">
        <v>3</v>
      </c>
      <c r="O138" s="5">
        <v>2</v>
      </c>
      <c r="P138" s="5">
        <f>ROUND(Source!DJ124,O138)</f>
        <v>91.28</v>
      </c>
      <c r="Q138" s="5"/>
      <c r="R138" s="5"/>
      <c r="S138" s="5"/>
      <c r="T138" s="5"/>
      <c r="U138" s="5"/>
      <c r="V138" s="5"/>
      <c r="W138" s="5">
        <v>1.66</v>
      </c>
      <c r="X138" s="5">
        <v>1</v>
      </c>
      <c r="Y138" s="5">
        <v>1.66</v>
      </c>
      <c r="Z138" s="5">
        <v>91.28</v>
      </c>
      <c r="AA138" s="5">
        <v>1</v>
      </c>
      <c r="AB138" s="5">
        <v>91.28</v>
      </c>
    </row>
    <row r="139" spans="1:28" x14ac:dyDescent="0.2">
      <c r="A139" s="5">
        <v>50</v>
      </c>
      <c r="B139" s="5">
        <v>0</v>
      </c>
      <c r="C139" s="5">
        <v>0</v>
      </c>
      <c r="D139" s="5">
        <v>1</v>
      </c>
      <c r="E139" s="5">
        <v>205</v>
      </c>
      <c r="F139" s="5">
        <f>ROUND(Source!S124,O139)</f>
        <v>241.51</v>
      </c>
      <c r="G139" s="5" t="s">
        <v>157</v>
      </c>
      <c r="H139" s="5" t="s">
        <v>158</v>
      </c>
      <c r="I139" s="5"/>
      <c r="J139" s="5"/>
      <c r="K139" s="5">
        <v>205</v>
      </c>
      <c r="L139" s="5">
        <v>14</v>
      </c>
      <c r="M139" s="5">
        <v>3</v>
      </c>
      <c r="N139" s="5" t="s">
        <v>3</v>
      </c>
      <c r="O139" s="5">
        <v>2</v>
      </c>
      <c r="P139" s="5">
        <f>ROUND(Source!DK124,O139)</f>
        <v>13280.63</v>
      </c>
      <c r="Q139" s="5"/>
      <c r="R139" s="5"/>
      <c r="S139" s="5"/>
      <c r="T139" s="5"/>
      <c r="U139" s="5"/>
      <c r="V139" s="5"/>
      <c r="W139" s="5">
        <v>241.51</v>
      </c>
      <c r="X139" s="5">
        <v>1</v>
      </c>
      <c r="Y139" s="5">
        <v>241.51</v>
      </c>
      <c r="Z139" s="5">
        <v>13280.63</v>
      </c>
      <c r="AA139" s="5">
        <v>1</v>
      </c>
      <c r="AB139" s="5">
        <v>13280.63</v>
      </c>
    </row>
    <row r="140" spans="1:28" x14ac:dyDescent="0.2">
      <c r="A140" s="5">
        <v>50</v>
      </c>
      <c r="B140" s="5">
        <v>0</v>
      </c>
      <c r="C140" s="5">
        <v>0</v>
      </c>
      <c r="D140" s="5">
        <v>1</v>
      </c>
      <c r="E140" s="5">
        <v>232</v>
      </c>
      <c r="F140" s="5">
        <f>ROUND(Source!BC124,O140)</f>
        <v>0</v>
      </c>
      <c r="G140" s="5" t="s">
        <v>159</v>
      </c>
      <c r="H140" s="5" t="s">
        <v>160</v>
      </c>
      <c r="I140" s="5"/>
      <c r="J140" s="5"/>
      <c r="K140" s="5">
        <v>232</v>
      </c>
      <c r="L140" s="5">
        <v>15</v>
      </c>
      <c r="M140" s="5">
        <v>3</v>
      </c>
      <c r="N140" s="5" t="s">
        <v>3</v>
      </c>
      <c r="O140" s="5">
        <v>2</v>
      </c>
      <c r="P140" s="5">
        <f>ROUND(Source!EU124,O140)</f>
        <v>0</v>
      </c>
      <c r="Q140" s="5"/>
      <c r="R140" s="5"/>
      <c r="S140" s="5"/>
      <c r="T140" s="5"/>
      <c r="U140" s="5"/>
      <c r="V140" s="5"/>
      <c r="W140" s="5">
        <v>0</v>
      </c>
      <c r="X140" s="5">
        <v>1</v>
      </c>
      <c r="Y140" s="5">
        <v>0</v>
      </c>
      <c r="Z140" s="5">
        <v>0</v>
      </c>
      <c r="AA140" s="5">
        <v>1</v>
      </c>
      <c r="AB140" s="5">
        <v>0</v>
      </c>
    </row>
    <row r="141" spans="1:28" x14ac:dyDescent="0.2">
      <c r="A141" s="5">
        <v>50</v>
      </c>
      <c r="B141" s="5">
        <v>0</v>
      </c>
      <c r="C141" s="5">
        <v>0</v>
      </c>
      <c r="D141" s="5">
        <v>1</v>
      </c>
      <c r="E141" s="5">
        <v>214</v>
      </c>
      <c r="F141" s="5">
        <f>ROUND(Source!AS124,O141)</f>
        <v>0</v>
      </c>
      <c r="G141" s="5" t="s">
        <v>161</v>
      </c>
      <c r="H141" s="5" t="s">
        <v>162</v>
      </c>
      <c r="I141" s="5"/>
      <c r="J141" s="5"/>
      <c r="K141" s="5">
        <v>214</v>
      </c>
      <c r="L141" s="5">
        <v>16</v>
      </c>
      <c r="M141" s="5">
        <v>3</v>
      </c>
      <c r="N141" s="5" t="s">
        <v>3</v>
      </c>
      <c r="O141" s="5">
        <v>2</v>
      </c>
      <c r="P141" s="5">
        <f>ROUND(Source!EK124,O141)</f>
        <v>0</v>
      </c>
      <c r="Q141" s="5"/>
      <c r="R141" s="5"/>
      <c r="S141" s="5"/>
      <c r="T141" s="5"/>
      <c r="U141" s="5"/>
      <c r="V141" s="5"/>
      <c r="W141" s="5">
        <v>0</v>
      </c>
      <c r="X141" s="5">
        <v>1</v>
      </c>
      <c r="Y141" s="5">
        <v>0</v>
      </c>
      <c r="Z141" s="5">
        <v>0</v>
      </c>
      <c r="AA141" s="5">
        <v>1</v>
      </c>
      <c r="AB141" s="5">
        <v>0</v>
      </c>
    </row>
    <row r="142" spans="1:28" x14ac:dyDescent="0.2">
      <c r="A142" s="5">
        <v>50</v>
      </c>
      <c r="B142" s="5">
        <v>0</v>
      </c>
      <c r="C142" s="5">
        <v>0</v>
      </c>
      <c r="D142" s="5">
        <v>1</v>
      </c>
      <c r="E142" s="5">
        <v>215</v>
      </c>
      <c r="F142" s="5">
        <f>ROUND(Source!AT124,O142)</f>
        <v>582.59</v>
      </c>
      <c r="G142" s="5" t="s">
        <v>163</v>
      </c>
      <c r="H142" s="5" t="s">
        <v>164</v>
      </c>
      <c r="I142" s="5"/>
      <c r="J142" s="5"/>
      <c r="K142" s="5">
        <v>215</v>
      </c>
      <c r="L142" s="5">
        <v>17</v>
      </c>
      <c r="M142" s="5">
        <v>3</v>
      </c>
      <c r="N142" s="5" t="s">
        <v>3</v>
      </c>
      <c r="O142" s="5">
        <v>2</v>
      </c>
      <c r="P142" s="5">
        <f>ROUND(Source!EL124,O142)</f>
        <v>31635.05</v>
      </c>
      <c r="Q142" s="5"/>
      <c r="R142" s="5"/>
      <c r="S142" s="5"/>
      <c r="T142" s="5"/>
      <c r="U142" s="5"/>
      <c r="V142" s="5"/>
      <c r="W142" s="5">
        <v>582.59</v>
      </c>
      <c r="X142" s="5">
        <v>1</v>
      </c>
      <c r="Y142" s="5">
        <v>582.59</v>
      </c>
      <c r="Z142" s="5">
        <v>31635.05</v>
      </c>
      <c r="AA142" s="5">
        <v>1</v>
      </c>
      <c r="AB142" s="5">
        <v>31635.05</v>
      </c>
    </row>
    <row r="143" spans="1:28" x14ac:dyDescent="0.2">
      <c r="A143" s="5">
        <v>50</v>
      </c>
      <c r="B143" s="5">
        <v>0</v>
      </c>
      <c r="C143" s="5">
        <v>0</v>
      </c>
      <c r="D143" s="5">
        <v>1</v>
      </c>
      <c r="E143" s="5">
        <v>217</v>
      </c>
      <c r="F143" s="5">
        <f>ROUND(Source!AU124,O143)</f>
        <v>0</v>
      </c>
      <c r="G143" s="5" t="s">
        <v>165</v>
      </c>
      <c r="H143" s="5" t="s">
        <v>166</v>
      </c>
      <c r="I143" s="5"/>
      <c r="J143" s="5"/>
      <c r="K143" s="5">
        <v>217</v>
      </c>
      <c r="L143" s="5">
        <v>18</v>
      </c>
      <c r="M143" s="5">
        <v>3</v>
      </c>
      <c r="N143" s="5" t="s">
        <v>3</v>
      </c>
      <c r="O143" s="5">
        <v>2</v>
      </c>
      <c r="P143" s="5">
        <f>ROUND(Source!EM124,O143)</f>
        <v>0</v>
      </c>
      <c r="Q143" s="5"/>
      <c r="R143" s="5"/>
      <c r="S143" s="5"/>
      <c r="T143" s="5"/>
      <c r="U143" s="5"/>
      <c r="V143" s="5"/>
      <c r="W143" s="5">
        <v>0</v>
      </c>
      <c r="X143" s="5">
        <v>1</v>
      </c>
      <c r="Y143" s="5">
        <v>0</v>
      </c>
      <c r="Z143" s="5">
        <v>0</v>
      </c>
      <c r="AA143" s="5">
        <v>1</v>
      </c>
      <c r="AB143" s="5">
        <v>0</v>
      </c>
    </row>
    <row r="144" spans="1:28" x14ac:dyDescent="0.2">
      <c r="A144" s="5">
        <v>50</v>
      </c>
      <c r="B144" s="5">
        <v>0</v>
      </c>
      <c r="C144" s="5">
        <v>0</v>
      </c>
      <c r="D144" s="5">
        <v>1</v>
      </c>
      <c r="E144" s="5">
        <v>230</v>
      </c>
      <c r="F144" s="5">
        <f>ROUND(Source!BA124,O144)</f>
        <v>0</v>
      </c>
      <c r="G144" s="5" t="s">
        <v>167</v>
      </c>
      <c r="H144" s="5" t="s">
        <v>168</v>
      </c>
      <c r="I144" s="5"/>
      <c r="J144" s="5"/>
      <c r="K144" s="5">
        <v>230</v>
      </c>
      <c r="L144" s="5">
        <v>19</v>
      </c>
      <c r="M144" s="5">
        <v>3</v>
      </c>
      <c r="N144" s="5" t="s">
        <v>3</v>
      </c>
      <c r="O144" s="5">
        <v>2</v>
      </c>
      <c r="P144" s="5">
        <f>ROUND(Source!ES124,O144)</f>
        <v>0</v>
      </c>
      <c r="Q144" s="5"/>
      <c r="R144" s="5"/>
      <c r="S144" s="5"/>
      <c r="T144" s="5"/>
      <c r="U144" s="5"/>
      <c r="V144" s="5"/>
      <c r="W144" s="5">
        <v>0</v>
      </c>
      <c r="X144" s="5">
        <v>1</v>
      </c>
      <c r="Y144" s="5">
        <v>0</v>
      </c>
      <c r="Z144" s="5">
        <v>0</v>
      </c>
      <c r="AA144" s="5">
        <v>1</v>
      </c>
      <c r="AB144" s="5">
        <v>0</v>
      </c>
    </row>
    <row r="145" spans="1:255" x14ac:dyDescent="0.2">
      <c r="A145" s="5">
        <v>50</v>
      </c>
      <c r="B145" s="5">
        <v>0</v>
      </c>
      <c r="C145" s="5">
        <v>0</v>
      </c>
      <c r="D145" s="5">
        <v>1</v>
      </c>
      <c r="E145" s="5">
        <v>206</v>
      </c>
      <c r="F145" s="5">
        <f>ROUND(Source!T124,O145)</f>
        <v>0</v>
      </c>
      <c r="G145" s="5" t="s">
        <v>169</v>
      </c>
      <c r="H145" s="5" t="s">
        <v>170</v>
      </c>
      <c r="I145" s="5"/>
      <c r="J145" s="5"/>
      <c r="K145" s="5">
        <v>206</v>
      </c>
      <c r="L145" s="5">
        <v>20</v>
      </c>
      <c r="M145" s="5">
        <v>3</v>
      </c>
      <c r="N145" s="5" t="s">
        <v>3</v>
      </c>
      <c r="O145" s="5">
        <v>2</v>
      </c>
      <c r="P145" s="5">
        <f>ROUND(Source!DL124,O145)</f>
        <v>0</v>
      </c>
      <c r="Q145" s="5"/>
      <c r="R145" s="5"/>
      <c r="S145" s="5"/>
      <c r="T145" s="5"/>
      <c r="U145" s="5"/>
      <c r="V145" s="5"/>
      <c r="W145" s="5">
        <v>0</v>
      </c>
      <c r="X145" s="5">
        <v>1</v>
      </c>
      <c r="Y145" s="5">
        <v>0</v>
      </c>
      <c r="Z145" s="5">
        <v>0</v>
      </c>
      <c r="AA145" s="5">
        <v>1</v>
      </c>
      <c r="AB145" s="5">
        <v>0</v>
      </c>
    </row>
    <row r="146" spans="1:255" x14ac:dyDescent="0.2">
      <c r="A146" s="5">
        <v>50</v>
      </c>
      <c r="B146" s="5">
        <v>0</v>
      </c>
      <c r="C146" s="5">
        <v>0</v>
      </c>
      <c r="D146" s="5">
        <v>1</v>
      </c>
      <c r="E146" s="5">
        <v>207</v>
      </c>
      <c r="F146" s="5">
        <f>Source!U124</f>
        <v>21.352518000000003</v>
      </c>
      <c r="G146" s="5" t="s">
        <v>171</v>
      </c>
      <c r="H146" s="5" t="s">
        <v>172</v>
      </c>
      <c r="I146" s="5"/>
      <c r="J146" s="5"/>
      <c r="K146" s="5">
        <v>207</v>
      </c>
      <c r="L146" s="5">
        <v>21</v>
      </c>
      <c r="M146" s="5">
        <v>3</v>
      </c>
      <c r="N146" s="5" t="s">
        <v>3</v>
      </c>
      <c r="O146" s="5">
        <v>-1</v>
      </c>
      <c r="P146" s="5">
        <f>Source!DM124</f>
        <v>21.352518000000003</v>
      </c>
      <c r="Q146" s="5"/>
      <c r="R146" s="5"/>
      <c r="S146" s="5"/>
      <c r="T146" s="5"/>
      <c r="U146" s="5"/>
      <c r="V146" s="5"/>
      <c r="W146" s="5">
        <v>21.352518</v>
      </c>
      <c r="X146" s="5">
        <v>1</v>
      </c>
      <c r="Y146" s="5">
        <v>21.352518</v>
      </c>
      <c r="Z146" s="5">
        <v>21.352518</v>
      </c>
      <c r="AA146" s="5">
        <v>1</v>
      </c>
      <c r="AB146" s="5">
        <v>21.352518</v>
      </c>
    </row>
    <row r="147" spans="1:255" x14ac:dyDescent="0.2">
      <c r="A147" s="5">
        <v>50</v>
      </c>
      <c r="B147" s="5">
        <v>0</v>
      </c>
      <c r="C147" s="5">
        <v>0</v>
      </c>
      <c r="D147" s="5">
        <v>1</v>
      </c>
      <c r="E147" s="5">
        <v>208</v>
      </c>
      <c r="F147" s="5">
        <f>Source!V124</f>
        <v>0</v>
      </c>
      <c r="G147" s="5" t="s">
        <v>173</v>
      </c>
      <c r="H147" s="5" t="s">
        <v>174</v>
      </c>
      <c r="I147" s="5"/>
      <c r="J147" s="5"/>
      <c r="K147" s="5">
        <v>208</v>
      </c>
      <c r="L147" s="5">
        <v>22</v>
      </c>
      <c r="M147" s="5">
        <v>3</v>
      </c>
      <c r="N147" s="5" t="s">
        <v>3</v>
      </c>
      <c r="O147" s="5">
        <v>-1</v>
      </c>
      <c r="P147" s="5">
        <f>Source!DN124</f>
        <v>0</v>
      </c>
      <c r="Q147" s="5"/>
      <c r="R147" s="5"/>
      <c r="S147" s="5"/>
      <c r="T147" s="5"/>
      <c r="U147" s="5"/>
      <c r="V147" s="5"/>
      <c r="W147" s="5">
        <v>0</v>
      </c>
      <c r="X147" s="5">
        <v>1</v>
      </c>
      <c r="Y147" s="5">
        <v>0</v>
      </c>
      <c r="Z147" s="5">
        <v>0</v>
      </c>
      <c r="AA147" s="5">
        <v>1</v>
      </c>
      <c r="AB147" s="5">
        <v>0</v>
      </c>
    </row>
    <row r="148" spans="1:255" x14ac:dyDescent="0.2">
      <c r="A148" s="5">
        <v>50</v>
      </c>
      <c r="B148" s="5">
        <v>0</v>
      </c>
      <c r="C148" s="5">
        <v>0</v>
      </c>
      <c r="D148" s="5">
        <v>1</v>
      </c>
      <c r="E148" s="5">
        <v>209</v>
      </c>
      <c r="F148" s="5">
        <f>ROUND(Source!W124,O148)</f>
        <v>0</v>
      </c>
      <c r="G148" s="5" t="s">
        <v>175</v>
      </c>
      <c r="H148" s="5" t="s">
        <v>176</v>
      </c>
      <c r="I148" s="5"/>
      <c r="J148" s="5"/>
      <c r="K148" s="5">
        <v>209</v>
      </c>
      <c r="L148" s="5">
        <v>23</v>
      </c>
      <c r="M148" s="5">
        <v>3</v>
      </c>
      <c r="N148" s="5" t="s">
        <v>3</v>
      </c>
      <c r="O148" s="5">
        <v>2</v>
      </c>
      <c r="P148" s="5">
        <f>ROUND(Source!DO124,O148)</f>
        <v>0</v>
      </c>
      <c r="Q148" s="5"/>
      <c r="R148" s="5"/>
      <c r="S148" s="5"/>
      <c r="T148" s="5"/>
      <c r="U148" s="5"/>
      <c r="V148" s="5"/>
      <c r="W148" s="5">
        <v>0</v>
      </c>
      <c r="X148" s="5">
        <v>1</v>
      </c>
      <c r="Y148" s="5">
        <v>0</v>
      </c>
      <c r="Z148" s="5">
        <v>0</v>
      </c>
      <c r="AA148" s="5">
        <v>1</v>
      </c>
      <c r="AB148" s="5">
        <v>0</v>
      </c>
    </row>
    <row r="149" spans="1:255" x14ac:dyDescent="0.2">
      <c r="A149" s="5">
        <v>50</v>
      </c>
      <c r="B149" s="5">
        <v>0</v>
      </c>
      <c r="C149" s="5">
        <v>0</v>
      </c>
      <c r="D149" s="5">
        <v>1</v>
      </c>
      <c r="E149" s="5">
        <v>233</v>
      </c>
      <c r="F149" s="5">
        <f>ROUND(Source!BD124,O149)</f>
        <v>0</v>
      </c>
      <c r="G149" s="5" t="s">
        <v>177</v>
      </c>
      <c r="H149" s="5" t="s">
        <v>178</v>
      </c>
      <c r="I149" s="5"/>
      <c r="J149" s="5"/>
      <c r="K149" s="5">
        <v>233</v>
      </c>
      <c r="L149" s="5">
        <v>24</v>
      </c>
      <c r="M149" s="5">
        <v>3</v>
      </c>
      <c r="N149" s="5" t="s">
        <v>3</v>
      </c>
      <c r="O149" s="5">
        <v>2</v>
      </c>
      <c r="P149" s="5">
        <f>ROUND(Source!EV124,O149)</f>
        <v>0</v>
      </c>
      <c r="Q149" s="5"/>
      <c r="R149" s="5"/>
      <c r="S149" s="5"/>
      <c r="T149" s="5"/>
      <c r="U149" s="5"/>
      <c r="V149" s="5"/>
      <c r="W149" s="5">
        <v>0</v>
      </c>
      <c r="X149" s="5">
        <v>1</v>
      </c>
      <c r="Y149" s="5">
        <v>0</v>
      </c>
      <c r="Z149" s="5">
        <v>0</v>
      </c>
      <c r="AA149" s="5">
        <v>1</v>
      </c>
      <c r="AB149" s="5">
        <v>0</v>
      </c>
    </row>
    <row r="150" spans="1:255" x14ac:dyDescent="0.2">
      <c r="A150" s="5">
        <v>50</v>
      </c>
      <c r="B150" s="5">
        <v>0</v>
      </c>
      <c r="C150" s="5">
        <v>0</v>
      </c>
      <c r="D150" s="5">
        <v>1</v>
      </c>
      <c r="E150" s="5">
        <v>210</v>
      </c>
      <c r="F150" s="5">
        <f>ROUND(Source!X124,O150)</f>
        <v>218.85</v>
      </c>
      <c r="G150" s="5" t="s">
        <v>179</v>
      </c>
      <c r="H150" s="5" t="s">
        <v>180</v>
      </c>
      <c r="I150" s="5"/>
      <c r="J150" s="5"/>
      <c r="K150" s="5">
        <v>210</v>
      </c>
      <c r="L150" s="5">
        <v>25</v>
      </c>
      <c r="M150" s="5">
        <v>3</v>
      </c>
      <c r="N150" s="5" t="s">
        <v>3</v>
      </c>
      <c r="O150" s="5">
        <v>2</v>
      </c>
      <c r="P150" s="5">
        <f>ROUND(Source!DP124,O150)</f>
        <v>12034.72</v>
      </c>
      <c r="Q150" s="5"/>
      <c r="R150" s="5"/>
      <c r="S150" s="5"/>
      <c r="T150" s="5"/>
      <c r="U150" s="5"/>
      <c r="V150" s="5"/>
      <c r="W150" s="5">
        <v>218.85</v>
      </c>
      <c r="X150" s="5">
        <v>1</v>
      </c>
      <c r="Y150" s="5">
        <v>218.85</v>
      </c>
      <c r="Z150" s="5">
        <v>12034.72</v>
      </c>
      <c r="AA150" s="5">
        <v>1</v>
      </c>
      <c r="AB150" s="5">
        <v>12034.72</v>
      </c>
    </row>
    <row r="151" spans="1:255" x14ac:dyDescent="0.2">
      <c r="A151" s="5">
        <v>50</v>
      </c>
      <c r="B151" s="5">
        <v>0</v>
      </c>
      <c r="C151" s="5">
        <v>0</v>
      </c>
      <c r="D151" s="5">
        <v>1</v>
      </c>
      <c r="E151" s="5">
        <v>211</v>
      </c>
      <c r="F151" s="5">
        <f>ROUND(Source!Y124,O151)</f>
        <v>111.86</v>
      </c>
      <c r="G151" s="5" t="s">
        <v>181</v>
      </c>
      <c r="H151" s="5" t="s">
        <v>182</v>
      </c>
      <c r="I151" s="5"/>
      <c r="J151" s="5"/>
      <c r="K151" s="5">
        <v>211</v>
      </c>
      <c r="L151" s="5">
        <v>26</v>
      </c>
      <c r="M151" s="5">
        <v>3</v>
      </c>
      <c r="N151" s="5" t="s">
        <v>3</v>
      </c>
      <c r="O151" s="5">
        <v>2</v>
      </c>
      <c r="P151" s="5">
        <f>ROUND(Source!DQ124,O151)</f>
        <v>6151.08</v>
      </c>
      <c r="Q151" s="5"/>
      <c r="R151" s="5"/>
      <c r="S151" s="5"/>
      <c r="T151" s="5"/>
      <c r="U151" s="5"/>
      <c r="V151" s="5"/>
      <c r="W151" s="5">
        <v>111.86</v>
      </c>
      <c r="X151" s="5">
        <v>1</v>
      </c>
      <c r="Y151" s="5">
        <v>111.86</v>
      </c>
      <c r="Z151" s="5">
        <v>6151.08</v>
      </c>
      <c r="AA151" s="5">
        <v>1</v>
      </c>
      <c r="AB151" s="5">
        <v>6151.08</v>
      </c>
    </row>
    <row r="152" spans="1:255" x14ac:dyDescent="0.2">
      <c r="A152" s="5">
        <v>50</v>
      </c>
      <c r="B152" s="5">
        <v>0</v>
      </c>
      <c r="C152" s="5">
        <v>0</v>
      </c>
      <c r="D152" s="5">
        <v>1</v>
      </c>
      <c r="E152" s="5">
        <v>224</v>
      </c>
      <c r="F152" s="5">
        <f>ROUND(Source!AR124,O152)</f>
        <v>25589.35</v>
      </c>
      <c r="G152" s="5" t="s">
        <v>183</v>
      </c>
      <c r="H152" s="5" t="s">
        <v>184</v>
      </c>
      <c r="I152" s="5"/>
      <c r="J152" s="5"/>
      <c r="K152" s="5">
        <v>224</v>
      </c>
      <c r="L152" s="5">
        <v>27</v>
      </c>
      <c r="M152" s="5">
        <v>3</v>
      </c>
      <c r="N152" s="5" t="s">
        <v>3</v>
      </c>
      <c r="O152" s="5">
        <v>2</v>
      </c>
      <c r="P152" s="5">
        <f>ROUND(Source!EJ124,O152)</f>
        <v>223186.84</v>
      </c>
      <c r="Q152" s="5"/>
      <c r="R152" s="5"/>
      <c r="S152" s="5"/>
      <c r="T152" s="5"/>
      <c r="U152" s="5"/>
      <c r="V152" s="5"/>
      <c r="W152" s="5">
        <v>25589.35</v>
      </c>
      <c r="X152" s="5">
        <v>1</v>
      </c>
      <c r="Y152" s="5">
        <v>25589.35</v>
      </c>
      <c r="Z152" s="5">
        <v>223186.84</v>
      </c>
      <c r="AA152" s="5">
        <v>1</v>
      </c>
      <c r="AB152" s="5">
        <v>223186.84</v>
      </c>
    </row>
    <row r="154" spans="1:255" x14ac:dyDescent="0.2">
      <c r="A154" s="1">
        <v>4</v>
      </c>
      <c r="B154" s="1">
        <v>1</v>
      </c>
      <c r="C154" s="1"/>
      <c r="D154" s="1">
        <f>ROW(A175)</f>
        <v>175</v>
      </c>
      <c r="E154" s="1"/>
      <c r="F154" s="1" t="s">
        <v>3</v>
      </c>
      <c r="G154" s="1" t="s">
        <v>208</v>
      </c>
      <c r="H154" s="1" t="s">
        <v>3</v>
      </c>
      <c r="I154" s="1">
        <v>0</v>
      </c>
      <c r="J154" s="1"/>
      <c r="K154" s="1">
        <v>-1</v>
      </c>
      <c r="L154" s="1"/>
      <c r="M154" s="1" t="s">
        <v>3</v>
      </c>
      <c r="N154" s="1"/>
      <c r="O154" s="1"/>
      <c r="P154" s="1"/>
      <c r="Q154" s="1"/>
      <c r="R154" s="1"/>
      <c r="S154" s="1">
        <v>0</v>
      </c>
      <c r="T154" s="1">
        <v>0</v>
      </c>
      <c r="U154" s="1" t="s">
        <v>3</v>
      </c>
      <c r="V154" s="1">
        <v>2</v>
      </c>
      <c r="W154" s="1"/>
      <c r="X154" s="1"/>
      <c r="Y154" s="1"/>
      <c r="Z154" s="1"/>
      <c r="AA154" s="1"/>
      <c r="AB154" s="1" t="s">
        <v>3</v>
      </c>
      <c r="AC154" s="1" t="s">
        <v>3</v>
      </c>
      <c r="AD154" s="1" t="s">
        <v>3</v>
      </c>
      <c r="AE154" s="1" t="s">
        <v>3</v>
      </c>
      <c r="AF154" s="1" t="s">
        <v>3</v>
      </c>
      <c r="AG154" s="1" t="s">
        <v>3</v>
      </c>
      <c r="AH154" s="1"/>
      <c r="AI154" s="1"/>
      <c r="AJ154" s="1"/>
      <c r="AK154" s="1"/>
      <c r="AL154" s="1"/>
      <c r="AM154" s="1"/>
      <c r="AN154" s="1"/>
      <c r="AO154" s="1"/>
      <c r="AP154" s="1" t="s">
        <v>3</v>
      </c>
      <c r="AQ154" s="1" t="s">
        <v>3</v>
      </c>
      <c r="AR154" s="1" t="s">
        <v>3</v>
      </c>
      <c r="AS154" s="1"/>
      <c r="AT154" s="1"/>
      <c r="AU154" s="1"/>
      <c r="AV154" s="1"/>
      <c r="AW154" s="1"/>
      <c r="AX154" s="1"/>
      <c r="AY154" s="1"/>
      <c r="AZ154" s="1" t="s">
        <v>3</v>
      </c>
      <c r="BA154" s="1"/>
      <c r="BB154" s="1" t="s">
        <v>3</v>
      </c>
      <c r="BC154" s="1" t="s">
        <v>3</v>
      </c>
      <c r="BD154" s="1" t="s">
        <v>3</v>
      </c>
      <c r="BE154" s="1" t="s">
        <v>3</v>
      </c>
      <c r="BF154" s="1" t="s">
        <v>3</v>
      </c>
      <c r="BG154" s="1" t="s">
        <v>3</v>
      </c>
      <c r="BH154" s="1" t="s">
        <v>3</v>
      </c>
      <c r="BI154" s="1" t="s">
        <v>3</v>
      </c>
      <c r="BJ154" s="1" t="s">
        <v>3</v>
      </c>
      <c r="BK154" s="1" t="s">
        <v>3</v>
      </c>
      <c r="BL154" s="1" t="s">
        <v>3</v>
      </c>
      <c r="BM154" s="1" t="s">
        <v>3</v>
      </c>
      <c r="BN154" s="1" t="s">
        <v>3</v>
      </c>
      <c r="BO154" s="1" t="s">
        <v>3</v>
      </c>
      <c r="BP154" s="1" t="s">
        <v>3</v>
      </c>
      <c r="BQ154" s="1"/>
      <c r="BR154" s="1"/>
      <c r="BS154" s="1"/>
      <c r="BT154" s="1"/>
      <c r="BU154" s="1"/>
      <c r="BV154" s="1"/>
      <c r="BW154" s="1"/>
      <c r="BX154" s="1">
        <v>0</v>
      </c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>
        <v>0</v>
      </c>
    </row>
    <row r="156" spans="1:255" x14ac:dyDescent="0.2">
      <c r="A156" s="3">
        <v>52</v>
      </c>
      <c r="B156" s="3">
        <f t="shared" ref="B156:G156" si="144">B175</f>
        <v>1</v>
      </c>
      <c r="C156" s="3">
        <f t="shared" si="144"/>
        <v>4</v>
      </c>
      <c r="D156" s="3">
        <f t="shared" si="144"/>
        <v>154</v>
      </c>
      <c r="E156" s="3">
        <f t="shared" si="144"/>
        <v>0</v>
      </c>
      <c r="F156" s="3" t="str">
        <f t="shared" si="144"/>
        <v/>
      </c>
      <c r="G156" s="3" t="str">
        <f t="shared" si="144"/>
        <v>Кабельные изделия</v>
      </c>
      <c r="H156" s="3"/>
      <c r="I156" s="3"/>
      <c r="J156" s="3"/>
      <c r="K156" s="3"/>
      <c r="L156" s="3"/>
      <c r="M156" s="3"/>
      <c r="N156" s="3"/>
      <c r="O156" s="3">
        <f t="shared" ref="O156:AT156" si="145">O175</f>
        <v>93005.83</v>
      </c>
      <c r="P156" s="3">
        <f t="shared" si="145"/>
        <v>81649.64</v>
      </c>
      <c r="Q156" s="3">
        <f t="shared" si="145"/>
        <v>1432.35</v>
      </c>
      <c r="R156" s="3">
        <f t="shared" si="145"/>
        <v>230.88</v>
      </c>
      <c r="S156" s="3">
        <f t="shared" si="145"/>
        <v>9923.84</v>
      </c>
      <c r="T156" s="3">
        <f t="shared" si="145"/>
        <v>0</v>
      </c>
      <c r="U156" s="3">
        <f t="shared" si="145"/>
        <v>785.00563019999993</v>
      </c>
      <c r="V156" s="3">
        <f t="shared" si="145"/>
        <v>0</v>
      </c>
      <c r="W156" s="3">
        <f t="shared" si="145"/>
        <v>0</v>
      </c>
      <c r="X156" s="3">
        <f t="shared" si="145"/>
        <v>9850.08</v>
      </c>
      <c r="Y156" s="3">
        <f t="shared" si="145"/>
        <v>5178.91</v>
      </c>
      <c r="Z156" s="3">
        <f t="shared" si="145"/>
        <v>0</v>
      </c>
      <c r="AA156" s="3">
        <f t="shared" si="145"/>
        <v>0</v>
      </c>
      <c r="AB156" s="3">
        <f t="shared" si="145"/>
        <v>93005.83</v>
      </c>
      <c r="AC156" s="3">
        <f t="shared" si="145"/>
        <v>81649.64</v>
      </c>
      <c r="AD156" s="3">
        <f t="shared" si="145"/>
        <v>1432.35</v>
      </c>
      <c r="AE156" s="3">
        <f t="shared" si="145"/>
        <v>230.88</v>
      </c>
      <c r="AF156" s="3">
        <f t="shared" si="145"/>
        <v>9923.84</v>
      </c>
      <c r="AG156" s="3">
        <f t="shared" si="145"/>
        <v>0</v>
      </c>
      <c r="AH156" s="3">
        <f t="shared" si="145"/>
        <v>785.00563019999993</v>
      </c>
      <c r="AI156" s="3">
        <f t="shared" si="145"/>
        <v>0</v>
      </c>
      <c r="AJ156" s="3">
        <f t="shared" si="145"/>
        <v>0</v>
      </c>
      <c r="AK156" s="3">
        <f t="shared" si="145"/>
        <v>9850.08</v>
      </c>
      <c r="AL156" s="3">
        <f t="shared" si="145"/>
        <v>5178.91</v>
      </c>
      <c r="AM156" s="3">
        <f t="shared" si="145"/>
        <v>0</v>
      </c>
      <c r="AN156" s="3">
        <f t="shared" si="145"/>
        <v>0</v>
      </c>
      <c r="AO156" s="3">
        <f t="shared" si="145"/>
        <v>0</v>
      </c>
      <c r="AP156" s="3">
        <f t="shared" si="145"/>
        <v>3462.5</v>
      </c>
      <c r="AQ156" s="3">
        <f t="shared" si="145"/>
        <v>0</v>
      </c>
      <c r="AR156" s="3">
        <f t="shared" si="145"/>
        <v>108034.82</v>
      </c>
      <c r="AS156" s="3">
        <f t="shared" si="145"/>
        <v>0</v>
      </c>
      <c r="AT156" s="3">
        <f t="shared" si="145"/>
        <v>104572.32</v>
      </c>
      <c r="AU156" s="3">
        <f t="shared" ref="AU156:BZ156" si="146">AU175</f>
        <v>0</v>
      </c>
      <c r="AV156" s="3">
        <f t="shared" si="146"/>
        <v>81649.64</v>
      </c>
      <c r="AW156" s="3">
        <f t="shared" si="146"/>
        <v>78187.14</v>
      </c>
      <c r="AX156" s="3">
        <f t="shared" si="146"/>
        <v>0</v>
      </c>
      <c r="AY156" s="3">
        <f t="shared" si="146"/>
        <v>78187.14</v>
      </c>
      <c r="AZ156" s="3">
        <f t="shared" si="146"/>
        <v>3462.5</v>
      </c>
      <c r="BA156" s="3">
        <f t="shared" si="146"/>
        <v>0</v>
      </c>
      <c r="BB156" s="3">
        <f t="shared" si="146"/>
        <v>0</v>
      </c>
      <c r="BC156" s="3">
        <f t="shared" si="146"/>
        <v>0</v>
      </c>
      <c r="BD156" s="3">
        <f t="shared" si="146"/>
        <v>0</v>
      </c>
      <c r="BE156" s="3">
        <f t="shared" si="146"/>
        <v>0</v>
      </c>
      <c r="BF156" s="3">
        <f t="shared" si="146"/>
        <v>0</v>
      </c>
      <c r="BG156" s="3">
        <f t="shared" si="146"/>
        <v>0</v>
      </c>
      <c r="BH156" s="3">
        <f t="shared" si="146"/>
        <v>0</v>
      </c>
      <c r="BI156" s="3">
        <f t="shared" si="146"/>
        <v>0</v>
      </c>
      <c r="BJ156" s="3">
        <f t="shared" si="146"/>
        <v>0</v>
      </c>
      <c r="BK156" s="3">
        <f t="shared" si="146"/>
        <v>0</v>
      </c>
      <c r="BL156" s="3">
        <f t="shared" si="146"/>
        <v>0</v>
      </c>
      <c r="BM156" s="3">
        <f t="shared" si="146"/>
        <v>0</v>
      </c>
      <c r="BN156" s="3">
        <f t="shared" si="146"/>
        <v>0</v>
      </c>
      <c r="BO156" s="3">
        <f t="shared" si="146"/>
        <v>0</v>
      </c>
      <c r="BP156" s="3">
        <f t="shared" si="146"/>
        <v>0</v>
      </c>
      <c r="BQ156" s="3">
        <f t="shared" si="146"/>
        <v>0</v>
      </c>
      <c r="BR156" s="3">
        <f t="shared" si="146"/>
        <v>0</v>
      </c>
      <c r="BS156" s="3">
        <f t="shared" si="146"/>
        <v>0</v>
      </c>
      <c r="BT156" s="3">
        <f t="shared" si="146"/>
        <v>0</v>
      </c>
      <c r="BU156" s="3">
        <f t="shared" si="146"/>
        <v>0</v>
      </c>
      <c r="BV156" s="3">
        <f t="shared" si="146"/>
        <v>0</v>
      </c>
      <c r="BW156" s="3">
        <f t="shared" si="146"/>
        <v>0</v>
      </c>
      <c r="BX156" s="3">
        <f t="shared" si="146"/>
        <v>0</v>
      </c>
      <c r="BY156" s="3">
        <f t="shared" si="146"/>
        <v>3462.5</v>
      </c>
      <c r="BZ156" s="3">
        <f t="shared" si="146"/>
        <v>0</v>
      </c>
      <c r="CA156" s="3">
        <f t="shared" ref="CA156:DF156" si="147">CA175</f>
        <v>108034.82</v>
      </c>
      <c r="CB156" s="3">
        <f t="shared" si="147"/>
        <v>0</v>
      </c>
      <c r="CC156" s="3">
        <f t="shared" si="147"/>
        <v>104572.32</v>
      </c>
      <c r="CD156" s="3">
        <f t="shared" si="147"/>
        <v>0</v>
      </c>
      <c r="CE156" s="3">
        <f t="shared" si="147"/>
        <v>81649.64</v>
      </c>
      <c r="CF156" s="3">
        <f t="shared" si="147"/>
        <v>78187.14</v>
      </c>
      <c r="CG156" s="3">
        <f t="shared" si="147"/>
        <v>0</v>
      </c>
      <c r="CH156" s="3">
        <f t="shared" si="147"/>
        <v>78187.14</v>
      </c>
      <c r="CI156" s="3">
        <f t="shared" si="147"/>
        <v>3462.5</v>
      </c>
      <c r="CJ156" s="3">
        <f t="shared" si="147"/>
        <v>0</v>
      </c>
      <c r="CK156" s="3">
        <f t="shared" si="147"/>
        <v>0</v>
      </c>
      <c r="CL156" s="3">
        <f t="shared" si="147"/>
        <v>0</v>
      </c>
      <c r="CM156" s="3">
        <f t="shared" si="147"/>
        <v>0</v>
      </c>
      <c r="CN156" s="3">
        <f t="shared" si="147"/>
        <v>0</v>
      </c>
      <c r="CO156" s="3">
        <f t="shared" si="147"/>
        <v>0</v>
      </c>
      <c r="CP156" s="3">
        <f t="shared" si="147"/>
        <v>0</v>
      </c>
      <c r="CQ156" s="3">
        <f t="shared" si="147"/>
        <v>0</v>
      </c>
      <c r="CR156" s="3">
        <f t="shared" si="147"/>
        <v>0</v>
      </c>
      <c r="CS156" s="3">
        <f t="shared" si="147"/>
        <v>0</v>
      </c>
      <c r="CT156" s="3">
        <f t="shared" si="147"/>
        <v>0</v>
      </c>
      <c r="CU156" s="3">
        <f t="shared" si="147"/>
        <v>0</v>
      </c>
      <c r="CV156" s="3">
        <f t="shared" si="147"/>
        <v>0</v>
      </c>
      <c r="CW156" s="3">
        <f t="shared" si="147"/>
        <v>0</v>
      </c>
      <c r="CX156" s="3">
        <f t="shared" si="147"/>
        <v>0</v>
      </c>
      <c r="CY156" s="3">
        <f t="shared" si="147"/>
        <v>0</v>
      </c>
      <c r="CZ156" s="3">
        <f t="shared" si="147"/>
        <v>0</v>
      </c>
      <c r="DA156" s="3">
        <f t="shared" si="147"/>
        <v>0</v>
      </c>
      <c r="DB156" s="3">
        <f t="shared" si="147"/>
        <v>0</v>
      </c>
      <c r="DC156" s="3">
        <f t="shared" si="147"/>
        <v>0</v>
      </c>
      <c r="DD156" s="3">
        <f t="shared" si="147"/>
        <v>0</v>
      </c>
      <c r="DE156" s="3">
        <f t="shared" si="147"/>
        <v>0</v>
      </c>
      <c r="DF156" s="3">
        <f t="shared" si="147"/>
        <v>0</v>
      </c>
      <c r="DG156" s="4">
        <f t="shared" ref="DG156:EL156" si="148">DG175</f>
        <v>1277261.06</v>
      </c>
      <c r="DH156" s="4">
        <f t="shared" si="148"/>
        <v>706960.14</v>
      </c>
      <c r="DI156" s="4">
        <f t="shared" si="148"/>
        <v>24588.959999999999</v>
      </c>
      <c r="DJ156" s="4">
        <f t="shared" si="148"/>
        <v>12696.1</v>
      </c>
      <c r="DK156" s="4">
        <f t="shared" si="148"/>
        <v>545711.96</v>
      </c>
      <c r="DL156" s="4">
        <f t="shared" si="148"/>
        <v>0</v>
      </c>
      <c r="DM156" s="4">
        <f t="shared" si="148"/>
        <v>785.00563019999993</v>
      </c>
      <c r="DN156" s="4">
        <f t="shared" si="148"/>
        <v>0</v>
      </c>
      <c r="DO156" s="4">
        <f t="shared" si="148"/>
        <v>0</v>
      </c>
      <c r="DP156" s="4">
        <f t="shared" si="148"/>
        <v>541655.82999999996</v>
      </c>
      <c r="DQ156" s="4">
        <f t="shared" si="148"/>
        <v>284788.11</v>
      </c>
      <c r="DR156" s="4">
        <f t="shared" si="148"/>
        <v>0</v>
      </c>
      <c r="DS156" s="4">
        <f t="shared" si="148"/>
        <v>0</v>
      </c>
      <c r="DT156" s="4">
        <f t="shared" si="148"/>
        <v>1277261.06</v>
      </c>
      <c r="DU156" s="4">
        <f t="shared" si="148"/>
        <v>706960.14</v>
      </c>
      <c r="DV156" s="4">
        <f t="shared" si="148"/>
        <v>24588.959999999999</v>
      </c>
      <c r="DW156" s="4">
        <f t="shared" si="148"/>
        <v>12696.1</v>
      </c>
      <c r="DX156" s="4">
        <f t="shared" si="148"/>
        <v>545711.96</v>
      </c>
      <c r="DY156" s="4">
        <f t="shared" si="148"/>
        <v>0</v>
      </c>
      <c r="DZ156" s="4">
        <f t="shared" si="148"/>
        <v>785.00563019999993</v>
      </c>
      <c r="EA156" s="4">
        <f t="shared" si="148"/>
        <v>0</v>
      </c>
      <c r="EB156" s="4">
        <f t="shared" si="148"/>
        <v>0</v>
      </c>
      <c r="EC156" s="4">
        <f t="shared" si="148"/>
        <v>541655.82999999996</v>
      </c>
      <c r="ED156" s="4">
        <f t="shared" si="148"/>
        <v>284788.11</v>
      </c>
      <c r="EE156" s="4">
        <f t="shared" si="148"/>
        <v>0</v>
      </c>
      <c r="EF156" s="4">
        <f t="shared" si="148"/>
        <v>0</v>
      </c>
      <c r="EG156" s="4">
        <f t="shared" si="148"/>
        <v>0</v>
      </c>
      <c r="EH156" s="4">
        <f t="shared" si="148"/>
        <v>21526.52</v>
      </c>
      <c r="EI156" s="4">
        <f t="shared" si="148"/>
        <v>0</v>
      </c>
      <c r="EJ156" s="4">
        <f t="shared" si="148"/>
        <v>2103705</v>
      </c>
      <c r="EK156" s="4">
        <f t="shared" si="148"/>
        <v>0</v>
      </c>
      <c r="EL156" s="4">
        <f t="shared" si="148"/>
        <v>2082178.48</v>
      </c>
      <c r="EM156" s="4">
        <f t="shared" ref="EM156:FR156" si="149">EM175</f>
        <v>0</v>
      </c>
      <c r="EN156" s="4">
        <f t="shared" si="149"/>
        <v>706960.14</v>
      </c>
      <c r="EO156" s="4">
        <f t="shared" si="149"/>
        <v>685433.62</v>
      </c>
      <c r="EP156" s="4">
        <f t="shared" si="149"/>
        <v>0</v>
      </c>
      <c r="EQ156" s="4">
        <f t="shared" si="149"/>
        <v>685433.62</v>
      </c>
      <c r="ER156" s="4">
        <f t="shared" si="149"/>
        <v>21526.52</v>
      </c>
      <c r="ES156" s="4">
        <f t="shared" si="149"/>
        <v>0</v>
      </c>
      <c r="ET156" s="4">
        <f t="shared" si="149"/>
        <v>0</v>
      </c>
      <c r="EU156" s="4">
        <f t="shared" si="149"/>
        <v>0</v>
      </c>
      <c r="EV156" s="4">
        <f t="shared" si="149"/>
        <v>0</v>
      </c>
      <c r="EW156" s="4">
        <f t="shared" si="149"/>
        <v>0</v>
      </c>
      <c r="EX156" s="4">
        <f t="shared" si="149"/>
        <v>0</v>
      </c>
      <c r="EY156" s="4">
        <f t="shared" si="149"/>
        <v>0</v>
      </c>
      <c r="EZ156" s="4">
        <f t="shared" si="149"/>
        <v>0</v>
      </c>
      <c r="FA156" s="4">
        <f t="shared" si="149"/>
        <v>0</v>
      </c>
      <c r="FB156" s="4">
        <f t="shared" si="149"/>
        <v>0</v>
      </c>
      <c r="FC156" s="4">
        <f t="shared" si="149"/>
        <v>0</v>
      </c>
      <c r="FD156" s="4">
        <f t="shared" si="149"/>
        <v>0</v>
      </c>
      <c r="FE156" s="4">
        <f t="shared" si="149"/>
        <v>0</v>
      </c>
      <c r="FF156" s="4">
        <f t="shared" si="149"/>
        <v>0</v>
      </c>
      <c r="FG156" s="4">
        <f t="shared" si="149"/>
        <v>0</v>
      </c>
      <c r="FH156" s="4">
        <f t="shared" si="149"/>
        <v>0</v>
      </c>
      <c r="FI156" s="4">
        <f t="shared" si="149"/>
        <v>0</v>
      </c>
      <c r="FJ156" s="4">
        <f t="shared" si="149"/>
        <v>0</v>
      </c>
      <c r="FK156" s="4">
        <f t="shared" si="149"/>
        <v>0</v>
      </c>
      <c r="FL156" s="4">
        <f t="shared" si="149"/>
        <v>0</v>
      </c>
      <c r="FM156" s="4">
        <f t="shared" si="149"/>
        <v>0</v>
      </c>
      <c r="FN156" s="4">
        <f t="shared" si="149"/>
        <v>0</v>
      </c>
      <c r="FO156" s="4">
        <f t="shared" si="149"/>
        <v>0</v>
      </c>
      <c r="FP156" s="4">
        <f t="shared" si="149"/>
        <v>0</v>
      </c>
      <c r="FQ156" s="4">
        <f t="shared" si="149"/>
        <v>21526.52</v>
      </c>
      <c r="FR156" s="4">
        <f t="shared" si="149"/>
        <v>0</v>
      </c>
      <c r="FS156" s="4">
        <f t="shared" ref="FS156:GX156" si="150">FS175</f>
        <v>2103705</v>
      </c>
      <c r="FT156" s="4">
        <f t="shared" si="150"/>
        <v>0</v>
      </c>
      <c r="FU156" s="4">
        <f t="shared" si="150"/>
        <v>2082178.48</v>
      </c>
      <c r="FV156" s="4">
        <f t="shared" si="150"/>
        <v>0</v>
      </c>
      <c r="FW156" s="4">
        <f t="shared" si="150"/>
        <v>706960.14</v>
      </c>
      <c r="FX156" s="4">
        <f t="shared" si="150"/>
        <v>685433.62</v>
      </c>
      <c r="FY156" s="4">
        <f t="shared" si="150"/>
        <v>0</v>
      </c>
      <c r="FZ156" s="4">
        <f t="shared" si="150"/>
        <v>685433.62</v>
      </c>
      <c r="GA156" s="4">
        <f t="shared" si="150"/>
        <v>21526.52</v>
      </c>
      <c r="GB156" s="4">
        <f t="shared" si="150"/>
        <v>0</v>
      </c>
      <c r="GC156" s="4">
        <f t="shared" si="150"/>
        <v>0</v>
      </c>
      <c r="GD156" s="4">
        <f t="shared" si="150"/>
        <v>0</v>
      </c>
      <c r="GE156" s="4">
        <f t="shared" si="150"/>
        <v>0</v>
      </c>
      <c r="GF156" s="4">
        <f t="shared" si="150"/>
        <v>0</v>
      </c>
      <c r="GG156" s="4">
        <f t="shared" si="150"/>
        <v>0</v>
      </c>
      <c r="GH156" s="4">
        <f t="shared" si="150"/>
        <v>0</v>
      </c>
      <c r="GI156" s="4">
        <f t="shared" si="150"/>
        <v>0</v>
      </c>
      <c r="GJ156" s="4">
        <f t="shared" si="150"/>
        <v>0</v>
      </c>
      <c r="GK156" s="4">
        <f t="shared" si="150"/>
        <v>0</v>
      </c>
      <c r="GL156" s="4">
        <f t="shared" si="150"/>
        <v>0</v>
      </c>
      <c r="GM156" s="4">
        <f t="shared" si="150"/>
        <v>0</v>
      </c>
      <c r="GN156" s="4">
        <f t="shared" si="150"/>
        <v>0</v>
      </c>
      <c r="GO156" s="4">
        <f t="shared" si="150"/>
        <v>0</v>
      </c>
      <c r="GP156" s="4">
        <f t="shared" si="150"/>
        <v>0</v>
      </c>
      <c r="GQ156" s="4">
        <f t="shared" si="150"/>
        <v>0</v>
      </c>
      <c r="GR156" s="4">
        <f t="shared" si="150"/>
        <v>0</v>
      </c>
      <c r="GS156" s="4">
        <f t="shared" si="150"/>
        <v>0</v>
      </c>
      <c r="GT156" s="4">
        <f t="shared" si="150"/>
        <v>0</v>
      </c>
      <c r="GU156" s="4">
        <f t="shared" si="150"/>
        <v>0</v>
      </c>
      <c r="GV156" s="4">
        <f t="shared" si="150"/>
        <v>0</v>
      </c>
      <c r="GW156" s="4">
        <f t="shared" si="150"/>
        <v>0</v>
      </c>
      <c r="GX156" s="4">
        <f t="shared" si="150"/>
        <v>0</v>
      </c>
    </row>
    <row r="158" spans="1:255" x14ac:dyDescent="0.2">
      <c r="A158" s="2">
        <v>17</v>
      </c>
      <c r="B158" s="2">
        <v>1</v>
      </c>
      <c r="C158" s="2">
        <f>ROW(SmtRes!A86)</f>
        <v>86</v>
      </c>
      <c r="D158" s="2">
        <f>ROW(EtalonRes!A112)</f>
        <v>112</v>
      </c>
      <c r="E158" s="2" t="s">
        <v>209</v>
      </c>
      <c r="F158" s="2" t="s">
        <v>210</v>
      </c>
      <c r="G158" s="2" t="s">
        <v>211</v>
      </c>
      <c r="H158" s="2" t="s">
        <v>212</v>
      </c>
      <c r="I158" s="2">
        <f>ROUND(3000/100,9)</f>
        <v>30</v>
      </c>
      <c r="J158" s="2">
        <v>0</v>
      </c>
      <c r="K158" s="2">
        <f>ROUND(3000/100,9)</f>
        <v>30</v>
      </c>
      <c r="L158" s="2"/>
      <c r="M158" s="2"/>
      <c r="N158" s="2"/>
      <c r="O158" s="2">
        <f t="shared" ref="O158:O173" si="151">ROUND(CP158,2)</f>
        <v>17207.169999999998</v>
      </c>
      <c r="P158" s="2">
        <f t="shared" ref="P158:P169" si="152">ROUND((ROUND((AC158*AW158*I158),2)*BC158),2)</f>
        <v>9428.7000000000007</v>
      </c>
      <c r="Q158" s="2">
        <f>(ROUND((ROUND((((ET158*1.1))*AV158*I158),2)*BB158),2)+ROUND((ROUND(((AE158-((EU158*1.1)))*AV158*I158),2)*BS158),2))</f>
        <v>1135.69</v>
      </c>
      <c r="R158" s="2">
        <f>(ROUND((ROUND((((EU158*1.1))*AV158*I158),2)*BS158),2)+ROUND((ROUND(((AE158-((EU158*1.1)))*AV158*I158),2)*BS158),2))</f>
        <v>197.29</v>
      </c>
      <c r="S158" s="2">
        <f t="shared" ref="S158:S173" si="153">ROUND((ROUND((AF158*AV158*I158),2)*BA158),2)</f>
        <v>6642.78</v>
      </c>
      <c r="T158" s="2">
        <f t="shared" ref="T158:T173" si="154">ROUND(CU158*I158,2)</f>
        <v>0</v>
      </c>
      <c r="U158" s="2">
        <f t="shared" ref="U158:U173" si="155">CV158*I158</f>
        <v>518.26499999999987</v>
      </c>
      <c r="V158" s="2">
        <f t="shared" ref="V158:V173" si="156">CW158*I158</f>
        <v>0</v>
      </c>
      <c r="W158" s="2">
        <f t="shared" ref="W158:W173" si="157">ROUND(CX158*I158,2)</f>
        <v>0</v>
      </c>
      <c r="X158" s="2">
        <f>(ROUND((((S158+ROUND((ROUND((((EU158*1.1))*AV158*I158),2)*BS158),2))*AT158)/100),2)+ROUND(((ROUND((ROUND(((AE158-((EU158*1.1)))*AV158*I158),2)*BS158),2)*AT158)/100),2))</f>
        <v>6634.87</v>
      </c>
      <c r="Y158" s="2">
        <f>(ROUND((((S158+ROUND((ROUND((((EU158*1.1))*AV158*I158),2)*BS158),2))*AU158)/100),2)+ROUND(((ROUND((ROUND(((AE158-((EU158*1.1)))*AV158*I158),2)*BS158),2)*AU158)/100),2))</f>
        <v>3488.44</v>
      </c>
      <c r="Z158" s="2"/>
      <c r="AA158" s="2">
        <v>60258064</v>
      </c>
      <c r="AB158" s="2">
        <f t="shared" ref="AB158:AB173" si="158">ROUND((AC158+AD158+AF158),6)</f>
        <v>561.93299999999999</v>
      </c>
      <c r="AC158" s="2">
        <f t="shared" ref="AC158:AC173" si="159">ROUND((ES158),6)</f>
        <v>314.29000000000002</v>
      </c>
      <c r="AD158" s="2">
        <f>ROUND(((((ET158*1.1))-((EU158*1.1)))+AE158),6)</f>
        <v>36.156999999999996</v>
      </c>
      <c r="AE158" s="2">
        <f>ROUND(((EU158*1.1)),6)</f>
        <v>6.2809999999999997</v>
      </c>
      <c r="AF158" s="2">
        <f>ROUND(((EV158*1.1)),6)</f>
        <v>211.48599999999999</v>
      </c>
      <c r="AG158" s="2">
        <f t="shared" ref="AG158:AG173" si="160">ROUND((AP158),6)</f>
        <v>0</v>
      </c>
      <c r="AH158" s="2">
        <f>((EW158*1.1))</f>
        <v>16.5</v>
      </c>
      <c r="AI158" s="2">
        <f>((EX158*1.1))</f>
        <v>0</v>
      </c>
      <c r="AJ158" s="2">
        <f t="shared" ref="AJ158:AJ173" si="161">(AS158)</f>
        <v>0</v>
      </c>
      <c r="AK158" s="2">
        <v>539.41999999999996</v>
      </c>
      <c r="AL158" s="2">
        <v>314.29000000000002</v>
      </c>
      <c r="AM158" s="2">
        <v>32.869999999999997</v>
      </c>
      <c r="AN158" s="2">
        <v>5.71</v>
      </c>
      <c r="AO158" s="2">
        <v>192.26</v>
      </c>
      <c r="AP158" s="2">
        <v>0</v>
      </c>
      <c r="AQ158" s="2">
        <v>15</v>
      </c>
      <c r="AR158" s="2">
        <v>0</v>
      </c>
      <c r="AS158" s="2">
        <v>0</v>
      </c>
      <c r="AT158" s="2">
        <v>97</v>
      </c>
      <c r="AU158" s="2">
        <v>51</v>
      </c>
      <c r="AV158" s="2">
        <v>1.0469999999999999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0</v>
      </c>
      <c r="BI158" s="2">
        <v>2</v>
      </c>
      <c r="BJ158" s="2" t="s">
        <v>213</v>
      </c>
      <c r="BK158" s="2"/>
      <c r="BL158" s="2"/>
      <c r="BM158" s="2">
        <v>67</v>
      </c>
      <c r="BN158" s="2">
        <v>58973116</v>
      </c>
      <c r="BO158" s="2" t="s">
        <v>210</v>
      </c>
      <c r="BP158" s="2">
        <v>1</v>
      </c>
      <c r="BQ158" s="2">
        <v>40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97</v>
      </c>
      <c r="CA158" s="2">
        <v>51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377</v>
      </c>
      <c r="CO158" s="2">
        <v>0</v>
      </c>
      <c r="CP158" s="2">
        <f t="shared" ref="CP158:CP173" si="162">(P158+Q158+S158)</f>
        <v>17207.170000000002</v>
      </c>
      <c r="CQ158" s="2">
        <f t="shared" ref="CQ158:CQ169" si="163">ROUND((ROUND((AC158*AW158*1),2)*BC158),2)</f>
        <v>314.29000000000002</v>
      </c>
      <c r="CR158" s="2">
        <f>(ROUND((ROUND((((ET158*1.1))*AV158*1),2)*BB158),2)+ROUND((ROUND(((AE158-((EU158*1.1)))*AV158*1),2)*BS158),2))</f>
        <v>37.86</v>
      </c>
      <c r="CS158" s="2">
        <f>(ROUND((ROUND((((EU158*1.1))*AV158*1),2)*BS158),2)+ROUND((ROUND(((AE158-((EU158*1.1)))*AV158*1),2)*BS158),2))</f>
        <v>6.58</v>
      </c>
      <c r="CT158" s="2">
        <f t="shared" ref="CT158:CT173" si="164">ROUND((ROUND((AF158*AV158*1),2)*BA158),2)</f>
        <v>221.43</v>
      </c>
      <c r="CU158" s="2">
        <f t="shared" ref="CU158:CU173" si="165">AG158</f>
        <v>0</v>
      </c>
      <c r="CV158" s="2">
        <f t="shared" ref="CV158:CV173" si="166">(AH158*AV158)</f>
        <v>17.275499999999997</v>
      </c>
      <c r="CW158" s="2">
        <f t="shared" ref="CW158:CW173" si="167">AI158</f>
        <v>0</v>
      </c>
      <c r="CX158" s="2">
        <f t="shared" ref="CX158:CX173" si="168">AJ158</f>
        <v>0</v>
      </c>
      <c r="CY158" s="2">
        <f>(ROUND((((S158+ROUND((ROUND((((EU158*1.1))*AV158*1),2)*BS158),2))*AT158)/100),2)+ROUND(((ROUND((ROUND(((AE158-((EU158*1.1)))*AV158*1),2)*BS158),2)*AT158)/100),2))</f>
        <v>6449.88</v>
      </c>
      <c r="CZ158" s="2">
        <f>(ROUND((((S158+ROUND((ROUND((((EU158*1.1))*AV158*1),2)*BS158),2))*AU158)/100),2)+ROUND(((ROUND((ROUND(((AE158-((EU158*1.1)))*AV158*1),2)*BS158),2)*AU158)/100),2))</f>
        <v>3391.17</v>
      </c>
      <c r="DA158" s="2"/>
      <c r="DB158" s="2">
        <v>23</v>
      </c>
      <c r="DC158" s="2" t="s">
        <v>3</v>
      </c>
      <c r="DD158" s="2" t="s">
        <v>3</v>
      </c>
      <c r="DE158" s="2" t="s">
        <v>23</v>
      </c>
      <c r="DF158" s="2" t="s">
        <v>23</v>
      </c>
      <c r="DG158" s="2" t="s">
        <v>23</v>
      </c>
      <c r="DH158" s="2" t="s">
        <v>3</v>
      </c>
      <c r="DI158" s="2" t="s">
        <v>23</v>
      </c>
      <c r="DJ158" s="2" t="s">
        <v>23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1003</v>
      </c>
      <c r="DV158" s="2" t="s">
        <v>212</v>
      </c>
      <c r="DW158" s="2" t="s">
        <v>212</v>
      </c>
      <c r="DX158" s="2">
        <v>100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60088531</v>
      </c>
      <c r="EF158" s="2">
        <v>40</v>
      </c>
      <c r="EG158" s="2" t="s">
        <v>24</v>
      </c>
      <c r="EH158" s="2">
        <v>0</v>
      </c>
      <c r="EI158" s="2" t="s">
        <v>3</v>
      </c>
      <c r="EJ158" s="2">
        <v>2</v>
      </c>
      <c r="EK158" s="2">
        <v>67</v>
      </c>
      <c r="EL158" s="2" t="s">
        <v>214</v>
      </c>
      <c r="EM158" s="2" t="s">
        <v>215</v>
      </c>
      <c r="EN158" s="2"/>
      <c r="EO158" s="2" t="s">
        <v>27</v>
      </c>
      <c r="EP158" s="2"/>
      <c r="EQ158" s="2">
        <v>0</v>
      </c>
      <c r="ER158" s="2">
        <v>539.41999999999996</v>
      </c>
      <c r="ES158" s="2">
        <v>314.29000000000002</v>
      </c>
      <c r="ET158" s="2">
        <v>32.869999999999997</v>
      </c>
      <c r="EU158" s="2">
        <v>5.71</v>
      </c>
      <c r="EV158" s="2">
        <v>192.26</v>
      </c>
      <c r="EW158" s="2">
        <v>15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97</v>
      </c>
      <c r="FY158" s="2">
        <v>51</v>
      </c>
      <c r="FZ158" s="2"/>
      <c r="GA158" s="2" t="s">
        <v>3</v>
      </c>
      <c r="GB158" s="2"/>
      <c r="GC158" s="2"/>
      <c r="GD158" s="2">
        <v>1</v>
      </c>
      <c r="GE158" s="2"/>
      <c r="GF158" s="2">
        <v>1705749599</v>
      </c>
      <c r="GG158" s="2">
        <v>2</v>
      </c>
      <c r="GH158" s="2">
        <v>1</v>
      </c>
      <c r="GI158" s="2">
        <v>2</v>
      </c>
      <c r="GJ158" s="2">
        <v>0</v>
      </c>
      <c r="GK158" s="2">
        <v>0</v>
      </c>
      <c r="GL158" s="2">
        <f t="shared" ref="GL158:GL173" si="169">ROUND(IF(AND(BH158=3,BI158=3,FS158&lt;&gt;0),P158,0),2)</f>
        <v>0</v>
      </c>
      <c r="GM158" s="2">
        <f t="shared" ref="GM158:GM173" si="170">ROUND(O158+X158+Y158,2)+GX158</f>
        <v>27330.48</v>
      </c>
      <c r="GN158" s="2">
        <f t="shared" ref="GN158:GN173" si="171">IF(OR(BI158=0,BI158=1),GM158-GX158,0)</f>
        <v>0</v>
      </c>
      <c r="GO158" s="2">
        <f t="shared" ref="GO158:GO173" si="172">IF(BI158=2,GM158-GX158,0)</f>
        <v>27330.48</v>
      </c>
      <c r="GP158" s="2">
        <f t="shared" ref="GP158:GP173" si="173">IF(BI158=4,GM158-GX158,0)</f>
        <v>0</v>
      </c>
      <c r="GQ158" s="2"/>
      <c r="GR158" s="2">
        <v>0</v>
      </c>
      <c r="GS158" s="2">
        <v>3</v>
      </c>
      <c r="GT158" s="2">
        <v>0</v>
      </c>
      <c r="GU158" s="2" t="s">
        <v>3</v>
      </c>
      <c r="GV158" s="2">
        <f t="shared" ref="GV158:GV173" si="174">ROUND((GT158),6)</f>
        <v>0</v>
      </c>
      <c r="GW158" s="2">
        <v>1</v>
      </c>
      <c r="GX158" s="2">
        <f t="shared" ref="GX158:GX173" si="175">ROUND(HC158*I158,2)</f>
        <v>0</v>
      </c>
      <c r="GY158" s="2"/>
      <c r="GZ158" s="2"/>
      <c r="HA158" s="2">
        <v>0</v>
      </c>
      <c r="HB158" s="2">
        <v>0</v>
      </c>
      <c r="HC158" s="2">
        <f t="shared" ref="HC158:HC173" si="176">GV158*GW158</f>
        <v>0</v>
      </c>
      <c r="HD158" s="2"/>
      <c r="HE158" s="2" t="s">
        <v>3</v>
      </c>
      <c r="HF158" s="2" t="s">
        <v>3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">
      <c r="A159">
        <v>17</v>
      </c>
      <c r="B159">
        <v>1</v>
      </c>
      <c r="C159">
        <f>ROW(SmtRes!A88)</f>
        <v>88</v>
      </c>
      <c r="D159">
        <f>ROW(EtalonRes!A116)</f>
        <v>116</v>
      </c>
      <c r="E159" t="s">
        <v>209</v>
      </c>
      <c r="F159" t="s">
        <v>210</v>
      </c>
      <c r="G159" t="s">
        <v>211</v>
      </c>
      <c r="H159" t="s">
        <v>212</v>
      </c>
      <c r="I159">
        <f>ROUND(3000/100,9)</f>
        <v>30</v>
      </c>
      <c r="J159">
        <v>0</v>
      </c>
      <c r="K159">
        <f>ROUND(3000/100,9)</f>
        <v>30</v>
      </c>
      <c r="O159">
        <f t="shared" si="151"/>
        <v>478808.38</v>
      </c>
      <c r="P159">
        <f t="shared" si="152"/>
        <v>93249.84</v>
      </c>
      <c r="Q159">
        <f>(ROUND((ROUND((((ET159*1.1))*AV159*I159),2)*BB159),2)+ROUND((ROUND(((AE159-((EU159*1.1)))*AV159*I159),2)*BS159),2))</f>
        <v>20272.07</v>
      </c>
      <c r="R159">
        <f>(ROUND((ROUND((((EU159*1.1))*AV159*I159),2)*BS159),2)+ROUND((ROUND(((AE159-((EU159*1.1)))*AV159*I159),2)*BS159),2))</f>
        <v>10848.98</v>
      </c>
      <c r="S159">
        <f t="shared" si="153"/>
        <v>365286.47</v>
      </c>
      <c r="T159">
        <f t="shared" si="154"/>
        <v>0</v>
      </c>
      <c r="U159">
        <f t="shared" si="155"/>
        <v>518.26499999999987</v>
      </c>
      <c r="V159">
        <f t="shared" si="156"/>
        <v>0</v>
      </c>
      <c r="W159">
        <f t="shared" si="157"/>
        <v>0</v>
      </c>
      <c r="X159">
        <f>(ROUND((((S159+ROUND((ROUND((((EU159*1.1))*AV159*I159),2)*BS159),2))*AT159)/100),2)+ROUND(((ROUND((ROUND(((AE159-((EU159*1.1)))*AV159*I159),2)*BS159),2)*AT159)/100),2))</f>
        <v>364851.39</v>
      </c>
      <c r="Y159">
        <f>(ROUND((((S159+ROUND((ROUND((((EU159*1.1))*AV159*I159),2)*BS159),2))*AU159)/100),2)+ROUND(((ROUND((ROUND(((AE159-((EU159*1.1)))*AV159*I159),2)*BS159),2)*AU159)/100),2))</f>
        <v>191829.08</v>
      </c>
      <c r="AA159">
        <v>60258061</v>
      </c>
      <c r="AB159">
        <f t="shared" si="158"/>
        <v>561.93299999999999</v>
      </c>
      <c r="AC159">
        <f t="shared" si="159"/>
        <v>314.29000000000002</v>
      </c>
      <c r="AD159">
        <f>ROUND(((((ET159*1.1))-((EU159*1.1)))+AE159),6)</f>
        <v>36.156999999999996</v>
      </c>
      <c r="AE159">
        <f>ROUND(((EU159*1.1)),6)</f>
        <v>6.2809999999999997</v>
      </c>
      <c r="AF159">
        <f>ROUND(((EV159*1.1)),6)</f>
        <v>211.48599999999999</v>
      </c>
      <c r="AG159">
        <f t="shared" si="160"/>
        <v>0</v>
      </c>
      <c r="AH159">
        <f>((EW159*1.1))</f>
        <v>16.5</v>
      </c>
      <c r="AI159">
        <f>((EX159*1.1))</f>
        <v>0</v>
      </c>
      <c r="AJ159">
        <f t="shared" si="161"/>
        <v>0</v>
      </c>
      <c r="AK159">
        <v>539.41999999999996</v>
      </c>
      <c r="AL159">
        <v>314.29000000000002</v>
      </c>
      <c r="AM159">
        <v>32.869999999999997</v>
      </c>
      <c r="AN159">
        <v>5.71</v>
      </c>
      <c r="AO159">
        <v>192.26</v>
      </c>
      <c r="AP159">
        <v>0</v>
      </c>
      <c r="AQ159">
        <v>15</v>
      </c>
      <c r="AR159">
        <v>0</v>
      </c>
      <c r="AS159">
        <v>0</v>
      </c>
      <c r="AT159">
        <v>97</v>
      </c>
      <c r="AU159">
        <v>51</v>
      </c>
      <c r="AV159">
        <v>1.0469999999999999</v>
      </c>
      <c r="AW159">
        <v>1</v>
      </c>
      <c r="AZ159">
        <v>1</v>
      </c>
      <c r="BA159">
        <v>54.99</v>
      </c>
      <c r="BB159">
        <v>17.850000000000001</v>
      </c>
      <c r="BC159">
        <v>9.89</v>
      </c>
      <c r="BD159" t="s">
        <v>3</v>
      </c>
      <c r="BE159" t="s">
        <v>3</v>
      </c>
      <c r="BF159" t="s">
        <v>3</v>
      </c>
      <c r="BG159" t="s">
        <v>3</v>
      </c>
      <c r="BH159">
        <v>0</v>
      </c>
      <c r="BI159">
        <v>2</v>
      </c>
      <c r="BJ159" t="s">
        <v>213</v>
      </c>
      <c r="BM159">
        <v>67</v>
      </c>
      <c r="BN159">
        <v>58973116</v>
      </c>
      <c r="BO159" t="s">
        <v>210</v>
      </c>
      <c r="BP159">
        <v>1</v>
      </c>
      <c r="BQ159">
        <v>40</v>
      </c>
      <c r="BR159">
        <v>0</v>
      </c>
      <c r="BS159">
        <v>54.99</v>
      </c>
      <c r="BT159">
        <v>1</v>
      </c>
      <c r="BU159">
        <v>1</v>
      </c>
      <c r="BV159">
        <v>1</v>
      </c>
      <c r="BW159">
        <v>1</v>
      </c>
      <c r="BX159">
        <v>1</v>
      </c>
      <c r="BY159" t="s">
        <v>3</v>
      </c>
      <c r="BZ159">
        <v>97</v>
      </c>
      <c r="CA159">
        <v>51</v>
      </c>
      <c r="CB159" t="s">
        <v>3</v>
      </c>
      <c r="CE159">
        <v>1566</v>
      </c>
      <c r="CF159">
        <v>0</v>
      </c>
      <c r="CG159">
        <v>0</v>
      </c>
      <c r="CM159">
        <v>0</v>
      </c>
      <c r="CN159" t="s">
        <v>377</v>
      </c>
      <c r="CO159">
        <v>0</v>
      </c>
      <c r="CP159">
        <f t="shared" si="162"/>
        <v>478808.38</v>
      </c>
      <c r="CQ159">
        <f t="shared" si="163"/>
        <v>3108.33</v>
      </c>
      <c r="CR159">
        <f>(ROUND((ROUND((((ET159*1.1))*AV159*1),2)*BB159),2)+ROUND((ROUND(((AE159-((EU159*1.1)))*AV159*1),2)*BS159),2))</f>
        <v>675.8</v>
      </c>
      <c r="CS159">
        <f>(ROUND((ROUND((((EU159*1.1))*AV159*1),2)*BS159),2)+ROUND((ROUND(((AE159-((EU159*1.1)))*AV159*1),2)*BS159),2))</f>
        <v>361.83</v>
      </c>
      <c r="CT159">
        <f t="shared" si="164"/>
        <v>12176.44</v>
      </c>
      <c r="CU159">
        <f t="shared" si="165"/>
        <v>0</v>
      </c>
      <c r="CV159">
        <f t="shared" si="166"/>
        <v>17.275499999999997</v>
      </c>
      <c r="CW159">
        <f t="shared" si="167"/>
        <v>0</v>
      </c>
      <c r="CX159">
        <f t="shared" si="168"/>
        <v>0</v>
      </c>
      <c r="CY159">
        <f>(ROUND((((S159+ROUND((ROUND((((EU159*1.1))*AV159*1),2)*BS159),2))*AT159)/100),2)+ROUND(((ROUND((ROUND(((AE159-((EU159*1.1)))*AV159*1),2)*BS159),2)*AT159)/100),2))</f>
        <v>354678.85</v>
      </c>
      <c r="CZ159">
        <f>(ROUND((((S159+ROUND((ROUND((((EU159*1.1))*AV159*1),2)*BS159),2))*AU159)/100),2)+ROUND(((ROUND((ROUND(((AE159-((EU159*1.1)))*AV159*1),2)*BS159),2)*AU159)/100),2))</f>
        <v>186480.63</v>
      </c>
      <c r="DB159">
        <v>24</v>
      </c>
      <c r="DC159" t="s">
        <v>3</v>
      </c>
      <c r="DD159" t="s">
        <v>3</v>
      </c>
      <c r="DE159" t="s">
        <v>23</v>
      </c>
      <c r="DF159" t="s">
        <v>23</v>
      </c>
      <c r="DG159" t="s">
        <v>23</v>
      </c>
      <c r="DH159" t="s">
        <v>3</v>
      </c>
      <c r="DI159" t="s">
        <v>23</v>
      </c>
      <c r="DJ159" t="s">
        <v>23</v>
      </c>
      <c r="DK159" t="s">
        <v>3</v>
      </c>
      <c r="DL159" t="s">
        <v>3</v>
      </c>
      <c r="DM159" t="s">
        <v>3</v>
      </c>
      <c r="DN159">
        <v>0</v>
      </c>
      <c r="DO159">
        <v>0</v>
      </c>
      <c r="DP159">
        <v>1</v>
      </c>
      <c r="DQ159">
        <v>1</v>
      </c>
      <c r="DU159">
        <v>1003</v>
      </c>
      <c r="DV159" t="s">
        <v>212</v>
      </c>
      <c r="DW159" t="s">
        <v>212</v>
      </c>
      <c r="DX159">
        <v>100</v>
      </c>
      <c r="DZ159" t="s">
        <v>3</v>
      </c>
      <c r="EA159" t="s">
        <v>3</v>
      </c>
      <c r="EB159" t="s">
        <v>3</v>
      </c>
      <c r="EC159" t="s">
        <v>3</v>
      </c>
      <c r="EE159">
        <v>60088531</v>
      </c>
      <c r="EF159">
        <v>40</v>
      </c>
      <c r="EG159" t="s">
        <v>24</v>
      </c>
      <c r="EH159">
        <v>0</v>
      </c>
      <c r="EI159" t="s">
        <v>3</v>
      </c>
      <c r="EJ159">
        <v>2</v>
      </c>
      <c r="EK159">
        <v>67</v>
      </c>
      <c r="EL159" t="s">
        <v>214</v>
      </c>
      <c r="EM159" t="s">
        <v>215</v>
      </c>
      <c r="EO159" t="s">
        <v>27</v>
      </c>
      <c r="EQ159">
        <v>0</v>
      </c>
      <c r="ER159">
        <v>539.41999999999996</v>
      </c>
      <c r="ES159">
        <v>314.29000000000002</v>
      </c>
      <c r="ET159">
        <v>32.869999999999997</v>
      </c>
      <c r="EU159">
        <v>5.71</v>
      </c>
      <c r="EV159">
        <v>192.26</v>
      </c>
      <c r="EW159">
        <v>15</v>
      </c>
      <c r="EX159">
        <v>0</v>
      </c>
      <c r="EY159">
        <v>0</v>
      </c>
      <c r="FQ159">
        <v>0</v>
      </c>
      <c r="FR159">
        <v>0</v>
      </c>
      <c r="FS159">
        <v>0</v>
      </c>
      <c r="FX159">
        <v>97</v>
      </c>
      <c r="FY159">
        <v>51</v>
      </c>
      <c r="GA159" t="s">
        <v>3</v>
      </c>
      <c r="GD159">
        <v>1</v>
      </c>
      <c r="GF159">
        <v>1705749599</v>
      </c>
      <c r="GG159">
        <v>2</v>
      </c>
      <c r="GH159">
        <v>1</v>
      </c>
      <c r="GI159">
        <v>2</v>
      </c>
      <c r="GJ159">
        <v>0</v>
      </c>
      <c r="GK159">
        <v>0</v>
      </c>
      <c r="GL159">
        <f t="shared" si="169"/>
        <v>0</v>
      </c>
      <c r="GM159">
        <f t="shared" si="170"/>
        <v>1035488.85</v>
      </c>
      <c r="GN159">
        <f t="shared" si="171"/>
        <v>0</v>
      </c>
      <c r="GO159">
        <f t="shared" si="172"/>
        <v>1035488.85</v>
      </c>
      <c r="GP159">
        <f t="shared" si="173"/>
        <v>0</v>
      </c>
      <c r="GR159">
        <v>0</v>
      </c>
      <c r="GS159">
        <v>3</v>
      </c>
      <c r="GT159">
        <v>0</v>
      </c>
      <c r="GU159" t="s">
        <v>3</v>
      </c>
      <c r="GV159">
        <f t="shared" si="174"/>
        <v>0</v>
      </c>
      <c r="GW159">
        <v>1</v>
      </c>
      <c r="GX159">
        <f t="shared" si="175"/>
        <v>0</v>
      </c>
      <c r="HA159">
        <v>0</v>
      </c>
      <c r="HB159">
        <v>0</v>
      </c>
      <c r="HC159">
        <f t="shared" si="176"/>
        <v>0</v>
      </c>
      <c r="HE159" t="s">
        <v>3</v>
      </c>
      <c r="HF159" t="s">
        <v>3</v>
      </c>
      <c r="HM159" t="s">
        <v>3</v>
      </c>
      <c r="HN159" t="s">
        <v>3</v>
      </c>
      <c r="HO159" t="s">
        <v>3</v>
      </c>
      <c r="HP159" t="s">
        <v>3</v>
      </c>
      <c r="HQ159" t="s">
        <v>3</v>
      </c>
      <c r="HS159">
        <v>0</v>
      </c>
      <c r="IK159">
        <v>0</v>
      </c>
    </row>
    <row r="160" spans="1:255" x14ac:dyDescent="0.2">
      <c r="A160" s="2">
        <v>18</v>
      </c>
      <c r="B160" s="2">
        <v>1</v>
      </c>
      <c r="C160" s="2">
        <v>86</v>
      </c>
      <c r="D160" s="2"/>
      <c r="E160" s="2" t="s">
        <v>216</v>
      </c>
      <c r="F160" s="2" t="s">
        <v>217</v>
      </c>
      <c r="G160" s="2" t="s">
        <v>218</v>
      </c>
      <c r="H160" s="2" t="s">
        <v>219</v>
      </c>
      <c r="I160" s="2">
        <f>I158*J160</f>
        <v>3060</v>
      </c>
      <c r="J160" s="2">
        <v>102</v>
      </c>
      <c r="K160" s="2">
        <v>102</v>
      </c>
      <c r="L160" s="2"/>
      <c r="M160" s="2"/>
      <c r="N160" s="2"/>
      <c r="O160" s="2">
        <f t="shared" si="151"/>
        <v>10557</v>
      </c>
      <c r="P160" s="2">
        <f t="shared" si="152"/>
        <v>10557</v>
      </c>
      <c r="Q160" s="2">
        <f>(ROUND((ROUND(((ET160)*AV160*I160),2)*BB160),2)+ROUND((ROUND(((AE160-(EU160))*AV160*I160),2)*BS160),2))</f>
        <v>0</v>
      </c>
      <c r="R160" s="2">
        <f>(ROUND((ROUND(((EU160)*AV160*I160),2)*BS160),2)+ROUND((ROUND(((AE160-(EU160))*AV160*I160),2)*BS160),2))</f>
        <v>0</v>
      </c>
      <c r="S160" s="2">
        <f t="shared" si="153"/>
        <v>0</v>
      </c>
      <c r="T160" s="2">
        <f t="shared" si="154"/>
        <v>0</v>
      </c>
      <c r="U160" s="2">
        <f t="shared" si="155"/>
        <v>0</v>
      </c>
      <c r="V160" s="2">
        <f t="shared" si="156"/>
        <v>0</v>
      </c>
      <c r="W160" s="2">
        <f t="shared" si="157"/>
        <v>0</v>
      </c>
      <c r="X160" s="2">
        <f>(ROUND((((S160+ROUND((ROUND(((EU160)*AV160*I160),2)*BS160),2))*AT160)/100),2)+ROUND(((ROUND((ROUND(((AE160-(EU160))*AV160*I160),2)*BS160),2)*AT160)/100),2))</f>
        <v>0</v>
      </c>
      <c r="Y160" s="2">
        <f>(ROUND((((S160+ROUND((ROUND(((EU160)*AV160*I160),2)*BS160),2))*AU160)/100),2)+ROUND(((ROUND((ROUND(((AE160-(EU160))*AV160*I160),2)*BS160),2)*AU160)/100),2))</f>
        <v>0</v>
      </c>
      <c r="Z160" s="2"/>
      <c r="AA160" s="2">
        <v>60258064</v>
      </c>
      <c r="AB160" s="2">
        <f t="shared" si="158"/>
        <v>3.45</v>
      </c>
      <c r="AC160" s="2">
        <f t="shared" si="159"/>
        <v>3.45</v>
      </c>
      <c r="AD160" s="2">
        <f>ROUND((((ET160)-(EU160))+AE160),6)</f>
        <v>0</v>
      </c>
      <c r="AE160" s="2">
        <f>ROUND((EU160),6)</f>
        <v>0</v>
      </c>
      <c r="AF160" s="2">
        <f>ROUND((EV160),6)</f>
        <v>0</v>
      </c>
      <c r="AG160" s="2">
        <f t="shared" si="160"/>
        <v>0</v>
      </c>
      <c r="AH160" s="2">
        <f>(EW160)</f>
        <v>0</v>
      </c>
      <c r="AI160" s="2">
        <f>(EX160)</f>
        <v>0</v>
      </c>
      <c r="AJ160" s="2">
        <f t="shared" si="161"/>
        <v>0</v>
      </c>
      <c r="AK160" s="2">
        <v>3.45</v>
      </c>
      <c r="AL160" s="2">
        <v>3.45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97</v>
      </c>
      <c r="AU160" s="2">
        <v>51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2</v>
      </c>
      <c r="BJ160" s="2" t="s">
        <v>220</v>
      </c>
      <c r="BK160" s="2"/>
      <c r="BL160" s="2"/>
      <c r="BM160" s="2">
        <v>67</v>
      </c>
      <c r="BN160" s="2">
        <v>58973116</v>
      </c>
      <c r="BO160" s="2" t="s">
        <v>3</v>
      </c>
      <c r="BP160" s="2">
        <v>0</v>
      </c>
      <c r="BQ160" s="2">
        <v>40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97</v>
      </c>
      <c r="CA160" s="2">
        <v>51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62"/>
        <v>10557</v>
      </c>
      <c r="CQ160" s="2">
        <f t="shared" si="163"/>
        <v>3.45</v>
      </c>
      <c r="CR160" s="2">
        <f>(ROUND((ROUND(((ET160)*AV160*1),2)*BB160),2)+ROUND((ROUND(((AE160-(EU160))*AV160*1),2)*BS160),2))</f>
        <v>0</v>
      </c>
      <c r="CS160" s="2">
        <f>(ROUND((ROUND(((EU160)*AV160*1),2)*BS160),2)+ROUND((ROUND(((AE160-(EU160))*AV160*1),2)*BS160),2))</f>
        <v>0</v>
      </c>
      <c r="CT160" s="2">
        <f t="shared" si="164"/>
        <v>0</v>
      </c>
      <c r="CU160" s="2">
        <f t="shared" si="165"/>
        <v>0</v>
      </c>
      <c r="CV160" s="2">
        <f t="shared" si="166"/>
        <v>0</v>
      </c>
      <c r="CW160" s="2">
        <f t="shared" si="167"/>
        <v>0</v>
      </c>
      <c r="CX160" s="2">
        <f t="shared" si="168"/>
        <v>0</v>
      </c>
      <c r="CY160" s="2">
        <f>(ROUND((((S160+ROUND((ROUND(((EU160)*AV160*1),2)*BS160),2))*AT160)/100),2)+ROUND(((ROUND((ROUND(((AE160-(EU160))*AV160*1),2)*BS160),2)*AT160)/100),2))</f>
        <v>0</v>
      </c>
      <c r="CZ160" s="2">
        <f>(ROUND((((S160+ROUND((ROUND(((EU160)*AV160*1),2)*BS160),2))*AU160)/100),2)+ROUND(((ROUND((ROUND(((AE160-(EU160))*AV160*1),2)*BS160),2)*AU160)/100),2))</f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1003</v>
      </c>
      <c r="DV160" s="2" t="s">
        <v>219</v>
      </c>
      <c r="DW160" s="2" t="s">
        <v>219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60088531</v>
      </c>
      <c r="EF160" s="2">
        <v>40</v>
      </c>
      <c r="EG160" s="2" t="s">
        <v>24</v>
      </c>
      <c r="EH160" s="2">
        <v>0</v>
      </c>
      <c r="EI160" s="2" t="s">
        <v>3</v>
      </c>
      <c r="EJ160" s="2">
        <v>2</v>
      </c>
      <c r="EK160" s="2">
        <v>67</v>
      </c>
      <c r="EL160" s="2" t="s">
        <v>214</v>
      </c>
      <c r="EM160" s="2" t="s">
        <v>215</v>
      </c>
      <c r="EN160" s="2"/>
      <c r="EO160" s="2" t="s">
        <v>3</v>
      </c>
      <c r="EP160" s="2"/>
      <c r="EQ160" s="2">
        <v>0</v>
      </c>
      <c r="ER160" s="2">
        <v>3.45</v>
      </c>
      <c r="ES160" s="2">
        <v>3.45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v>0</v>
      </c>
      <c r="FS160" s="2">
        <v>0</v>
      </c>
      <c r="FT160" s="2"/>
      <c r="FU160" s="2"/>
      <c r="FV160" s="2"/>
      <c r="FW160" s="2"/>
      <c r="FX160" s="2">
        <v>97</v>
      </c>
      <c r="FY160" s="2">
        <v>51</v>
      </c>
      <c r="FZ160" s="2"/>
      <c r="GA160" s="2" t="s">
        <v>3</v>
      </c>
      <c r="GB160" s="2"/>
      <c r="GC160" s="2"/>
      <c r="GD160" s="2">
        <v>1</v>
      </c>
      <c r="GE160" s="2"/>
      <c r="GF160" s="2">
        <v>-1305428159</v>
      </c>
      <c r="GG160" s="2">
        <v>2</v>
      </c>
      <c r="GH160" s="2">
        <v>1</v>
      </c>
      <c r="GI160" s="2">
        <v>-2</v>
      </c>
      <c r="GJ160" s="2">
        <v>0</v>
      </c>
      <c r="GK160" s="2">
        <v>0</v>
      </c>
      <c r="GL160" s="2">
        <f t="shared" si="169"/>
        <v>0</v>
      </c>
      <c r="GM160" s="2">
        <f t="shared" si="170"/>
        <v>10557</v>
      </c>
      <c r="GN160" s="2">
        <f t="shared" si="171"/>
        <v>0</v>
      </c>
      <c r="GO160" s="2">
        <f t="shared" si="172"/>
        <v>10557</v>
      </c>
      <c r="GP160" s="2">
        <f t="shared" si="173"/>
        <v>0</v>
      </c>
      <c r="GQ160" s="2"/>
      <c r="GR160" s="2">
        <v>0</v>
      </c>
      <c r="GS160" s="2">
        <v>3</v>
      </c>
      <c r="GT160" s="2">
        <v>0</v>
      </c>
      <c r="GU160" s="2" t="s">
        <v>3</v>
      </c>
      <c r="GV160" s="2">
        <f t="shared" si="174"/>
        <v>0</v>
      </c>
      <c r="GW160" s="2">
        <v>1</v>
      </c>
      <c r="GX160" s="2">
        <f t="shared" si="175"/>
        <v>0</v>
      </c>
      <c r="GY160" s="2"/>
      <c r="GZ160" s="2"/>
      <c r="HA160" s="2">
        <v>0</v>
      </c>
      <c r="HB160" s="2">
        <v>0</v>
      </c>
      <c r="HC160" s="2">
        <f t="shared" si="176"/>
        <v>0</v>
      </c>
      <c r="HD160" s="2"/>
      <c r="HE160" s="2" t="s">
        <v>3</v>
      </c>
      <c r="HF160" s="2" t="s">
        <v>3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">
      <c r="A161">
        <v>18</v>
      </c>
      <c r="B161">
        <v>1</v>
      </c>
      <c r="C161">
        <v>88</v>
      </c>
      <c r="E161" t="s">
        <v>216</v>
      </c>
      <c r="F161" t="s">
        <v>217</v>
      </c>
      <c r="G161" t="s">
        <v>218</v>
      </c>
      <c r="H161" t="s">
        <v>219</v>
      </c>
      <c r="I161">
        <f>I159*J161</f>
        <v>3060</v>
      </c>
      <c r="J161">
        <v>102</v>
      </c>
      <c r="K161">
        <v>102</v>
      </c>
      <c r="O161">
        <f t="shared" si="151"/>
        <v>41489.01</v>
      </c>
      <c r="P161">
        <f t="shared" si="152"/>
        <v>41489.01</v>
      </c>
      <c r="Q161">
        <f>(ROUND((ROUND(((ET161)*AV161*I161),2)*BB161),2)+ROUND((ROUND(((AE161-(EU161))*AV161*I161),2)*BS161),2))</f>
        <v>0</v>
      </c>
      <c r="R161">
        <f>(ROUND((ROUND(((EU161)*AV161*I161),2)*BS161),2)+ROUND((ROUND(((AE161-(EU161))*AV161*I161),2)*BS161),2))</f>
        <v>0</v>
      </c>
      <c r="S161">
        <f t="shared" si="153"/>
        <v>0</v>
      </c>
      <c r="T161">
        <f t="shared" si="154"/>
        <v>0</v>
      </c>
      <c r="U161">
        <f t="shared" si="155"/>
        <v>0</v>
      </c>
      <c r="V161">
        <f t="shared" si="156"/>
        <v>0</v>
      </c>
      <c r="W161">
        <f t="shared" si="157"/>
        <v>0</v>
      </c>
      <c r="X161">
        <f>(ROUND((((S161+ROUND((ROUND(((EU161)*AV161*I161),2)*BS161),2))*AT161)/100),2)+ROUND(((ROUND((ROUND(((AE161-(EU161))*AV161*I161),2)*BS161),2)*AT161)/100),2))</f>
        <v>0</v>
      </c>
      <c r="Y161">
        <f>(ROUND((((S161+ROUND((ROUND(((EU161)*AV161*I161),2)*BS161),2))*AU161)/100),2)+ROUND(((ROUND((ROUND(((AE161-(EU161))*AV161*I161),2)*BS161),2)*AU161)/100),2))</f>
        <v>0</v>
      </c>
      <c r="AA161">
        <v>60258061</v>
      </c>
      <c r="AB161">
        <f t="shared" si="158"/>
        <v>3.45</v>
      </c>
      <c r="AC161">
        <f t="shared" si="159"/>
        <v>3.45</v>
      </c>
      <c r="AD161">
        <f>ROUND((((ET161)-(EU161))+AE161),6)</f>
        <v>0</v>
      </c>
      <c r="AE161">
        <f>ROUND((EU161),6)</f>
        <v>0</v>
      </c>
      <c r="AF161">
        <f>ROUND((EV161),6)</f>
        <v>0</v>
      </c>
      <c r="AG161">
        <f t="shared" si="160"/>
        <v>0</v>
      </c>
      <c r="AH161">
        <f>(EW161)</f>
        <v>0</v>
      </c>
      <c r="AI161">
        <f>(EX161)</f>
        <v>0</v>
      </c>
      <c r="AJ161">
        <f t="shared" si="161"/>
        <v>0</v>
      </c>
      <c r="AK161">
        <v>3.45</v>
      </c>
      <c r="AL161">
        <v>3.45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97</v>
      </c>
      <c r="AU161">
        <v>51</v>
      </c>
      <c r="AV161">
        <v>1</v>
      </c>
      <c r="AW161">
        <v>1</v>
      </c>
      <c r="AZ161">
        <v>1</v>
      </c>
      <c r="BA161">
        <v>1</v>
      </c>
      <c r="BB161">
        <v>1</v>
      </c>
      <c r="BC161">
        <v>3.93</v>
      </c>
      <c r="BD161" t="s">
        <v>3</v>
      </c>
      <c r="BE161" t="s">
        <v>3</v>
      </c>
      <c r="BF161" t="s">
        <v>3</v>
      </c>
      <c r="BG161" t="s">
        <v>3</v>
      </c>
      <c r="BH161">
        <v>3</v>
      </c>
      <c r="BI161">
        <v>2</v>
      </c>
      <c r="BJ161" t="s">
        <v>220</v>
      </c>
      <c r="BM161">
        <v>67</v>
      </c>
      <c r="BN161">
        <v>58973116</v>
      </c>
      <c r="BO161" t="s">
        <v>217</v>
      </c>
      <c r="BP161">
        <v>1</v>
      </c>
      <c r="BQ161">
        <v>40</v>
      </c>
      <c r="BR161">
        <v>0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 t="s">
        <v>3</v>
      </c>
      <c r="BZ161">
        <v>97</v>
      </c>
      <c r="CA161">
        <v>51</v>
      </c>
      <c r="CB161" t="s">
        <v>3</v>
      </c>
      <c r="CE161">
        <v>1566</v>
      </c>
      <c r="CF161">
        <v>0</v>
      </c>
      <c r="CG161">
        <v>0</v>
      </c>
      <c r="CM161">
        <v>0</v>
      </c>
      <c r="CN161" t="s">
        <v>3</v>
      </c>
      <c r="CO161">
        <v>0</v>
      </c>
      <c r="CP161">
        <f t="shared" si="162"/>
        <v>41489.01</v>
      </c>
      <c r="CQ161">
        <f t="shared" si="163"/>
        <v>13.56</v>
      </c>
      <c r="CR161">
        <f>(ROUND((ROUND(((ET161)*AV161*1),2)*BB161),2)+ROUND((ROUND(((AE161-(EU161))*AV161*1),2)*BS161),2))</f>
        <v>0</v>
      </c>
      <c r="CS161">
        <f>(ROUND((ROUND(((EU161)*AV161*1),2)*BS161),2)+ROUND((ROUND(((AE161-(EU161))*AV161*1),2)*BS161),2))</f>
        <v>0</v>
      </c>
      <c r="CT161">
        <f t="shared" si="164"/>
        <v>0</v>
      </c>
      <c r="CU161">
        <f t="shared" si="165"/>
        <v>0</v>
      </c>
      <c r="CV161">
        <f t="shared" si="166"/>
        <v>0</v>
      </c>
      <c r="CW161">
        <f t="shared" si="167"/>
        <v>0</v>
      </c>
      <c r="CX161">
        <f t="shared" si="168"/>
        <v>0</v>
      </c>
      <c r="CY161">
        <f>(ROUND((((S161+ROUND((ROUND(((EU161)*AV161*1),2)*BS161),2))*AT161)/100),2)+ROUND(((ROUND((ROUND(((AE161-(EU161))*AV161*1),2)*BS161),2)*AT161)/100),2))</f>
        <v>0</v>
      </c>
      <c r="CZ161">
        <f>(ROUND((((S161+ROUND((ROUND(((EU161)*AV161*1),2)*BS161),2))*AU161)/100),2)+ROUND(((ROUND((ROUND(((AE161-(EU161))*AV161*1),2)*BS161),2)*AU161)/100),2))</f>
        <v>0</v>
      </c>
      <c r="DC161" t="s">
        <v>3</v>
      </c>
      <c r="DD161" t="s">
        <v>3</v>
      </c>
      <c r="DE161" t="s">
        <v>3</v>
      </c>
      <c r="DF161" t="s">
        <v>3</v>
      </c>
      <c r="DG161" t="s">
        <v>3</v>
      </c>
      <c r="DH161" t="s">
        <v>3</v>
      </c>
      <c r="DI161" t="s">
        <v>3</v>
      </c>
      <c r="DJ161" t="s">
        <v>3</v>
      </c>
      <c r="DK161" t="s">
        <v>3</v>
      </c>
      <c r="DL161" t="s">
        <v>3</v>
      </c>
      <c r="DM161" t="s">
        <v>3</v>
      </c>
      <c r="DN161">
        <v>0</v>
      </c>
      <c r="DO161">
        <v>0</v>
      </c>
      <c r="DP161">
        <v>1</v>
      </c>
      <c r="DQ161">
        <v>1</v>
      </c>
      <c r="DU161">
        <v>1003</v>
      </c>
      <c r="DV161" t="s">
        <v>219</v>
      </c>
      <c r="DW161" t="s">
        <v>219</v>
      </c>
      <c r="DX161">
        <v>1</v>
      </c>
      <c r="DZ161" t="s">
        <v>3</v>
      </c>
      <c r="EA161" t="s">
        <v>3</v>
      </c>
      <c r="EB161" t="s">
        <v>3</v>
      </c>
      <c r="EC161" t="s">
        <v>3</v>
      </c>
      <c r="EE161">
        <v>60088531</v>
      </c>
      <c r="EF161">
        <v>40</v>
      </c>
      <c r="EG161" t="s">
        <v>24</v>
      </c>
      <c r="EH161">
        <v>0</v>
      </c>
      <c r="EI161" t="s">
        <v>3</v>
      </c>
      <c r="EJ161">
        <v>2</v>
      </c>
      <c r="EK161">
        <v>67</v>
      </c>
      <c r="EL161" t="s">
        <v>214</v>
      </c>
      <c r="EM161" t="s">
        <v>215</v>
      </c>
      <c r="EO161" t="s">
        <v>3</v>
      </c>
      <c r="EQ161">
        <v>0</v>
      </c>
      <c r="ER161">
        <v>3.45</v>
      </c>
      <c r="ES161">
        <v>3.45</v>
      </c>
      <c r="ET161">
        <v>0</v>
      </c>
      <c r="EU161">
        <v>0</v>
      </c>
      <c r="EV161">
        <v>0</v>
      </c>
      <c r="EW161">
        <v>0</v>
      </c>
      <c r="EX161">
        <v>0</v>
      </c>
      <c r="FQ161">
        <v>0</v>
      </c>
      <c r="FR161">
        <v>0</v>
      </c>
      <c r="FS161">
        <v>0</v>
      </c>
      <c r="FX161">
        <v>97</v>
      </c>
      <c r="FY161">
        <v>51</v>
      </c>
      <c r="GA161" t="s">
        <v>3</v>
      </c>
      <c r="GD161">
        <v>1</v>
      </c>
      <c r="GF161">
        <v>-1305428159</v>
      </c>
      <c r="GG161">
        <v>2</v>
      </c>
      <c r="GH161">
        <v>1</v>
      </c>
      <c r="GI161">
        <v>2</v>
      </c>
      <c r="GJ161">
        <v>0</v>
      </c>
      <c r="GK161">
        <v>0</v>
      </c>
      <c r="GL161">
        <f t="shared" si="169"/>
        <v>0</v>
      </c>
      <c r="GM161">
        <f t="shared" si="170"/>
        <v>41489.01</v>
      </c>
      <c r="GN161">
        <f t="shared" si="171"/>
        <v>0</v>
      </c>
      <c r="GO161">
        <f t="shared" si="172"/>
        <v>41489.01</v>
      </c>
      <c r="GP161">
        <f t="shared" si="173"/>
        <v>0</v>
      </c>
      <c r="GR161">
        <v>0</v>
      </c>
      <c r="GS161">
        <v>3</v>
      </c>
      <c r="GT161">
        <v>0</v>
      </c>
      <c r="GU161" t="s">
        <v>3</v>
      </c>
      <c r="GV161">
        <f t="shared" si="174"/>
        <v>0</v>
      </c>
      <c r="GW161">
        <v>1</v>
      </c>
      <c r="GX161">
        <f t="shared" si="175"/>
        <v>0</v>
      </c>
      <c r="HA161">
        <v>0</v>
      </c>
      <c r="HB161">
        <v>0</v>
      </c>
      <c r="HC161">
        <f t="shared" si="176"/>
        <v>0</v>
      </c>
      <c r="HE161" t="s">
        <v>3</v>
      </c>
      <c r="HF161" t="s">
        <v>3</v>
      </c>
      <c r="HM161" t="s">
        <v>3</v>
      </c>
      <c r="HN161" t="s">
        <v>3</v>
      </c>
      <c r="HO161" t="s">
        <v>3</v>
      </c>
      <c r="HP161" t="s">
        <v>3</v>
      </c>
      <c r="HQ161" t="s">
        <v>3</v>
      </c>
      <c r="HS161">
        <v>0</v>
      </c>
      <c r="IK161">
        <v>0</v>
      </c>
    </row>
    <row r="162" spans="1:255" x14ac:dyDescent="0.2">
      <c r="A162" s="2">
        <v>17</v>
      </c>
      <c r="B162" s="2">
        <v>1</v>
      </c>
      <c r="C162" s="2">
        <f>ROW(SmtRes!A97)</f>
        <v>97</v>
      </c>
      <c r="D162" s="2">
        <f>ROW(EtalonRes!A126)</f>
        <v>126</v>
      </c>
      <c r="E162" s="2" t="s">
        <v>221</v>
      </c>
      <c r="F162" s="2" t="s">
        <v>222</v>
      </c>
      <c r="G162" s="2" t="s">
        <v>223</v>
      </c>
      <c r="H162" s="2" t="s">
        <v>212</v>
      </c>
      <c r="I162" s="2">
        <f>ROUND(3000/100,9)</f>
        <v>30</v>
      </c>
      <c r="J162" s="2">
        <v>0</v>
      </c>
      <c r="K162" s="2">
        <f>ROUND(3000/100,9)</f>
        <v>30</v>
      </c>
      <c r="L162" s="2"/>
      <c r="M162" s="2"/>
      <c r="N162" s="2"/>
      <c r="O162" s="2">
        <f t="shared" si="151"/>
        <v>4331.5200000000004</v>
      </c>
      <c r="P162" s="2">
        <f t="shared" si="152"/>
        <v>1859.4</v>
      </c>
      <c r="Q162" s="2">
        <f>(ROUND((ROUND((((ET162*1.1))*AV162*I162),2)*BB162),2)+ROUND((ROUND(((AE162-((EU162*1.1)))*AV162*I162),2)*BS162),2))</f>
        <v>181.39</v>
      </c>
      <c r="R162" s="2">
        <f>(ROUND((ROUND((((EU162*1.1))*AV162*I162),2)*BS162),2)+ROUND((ROUND(((AE162-((EU162*1.1)))*AV162*I162),2)*BS162),2))</f>
        <v>20.39</v>
      </c>
      <c r="S162" s="2">
        <f t="shared" si="153"/>
        <v>2290.73</v>
      </c>
      <c r="T162" s="2">
        <f t="shared" si="154"/>
        <v>0</v>
      </c>
      <c r="U162" s="2">
        <f t="shared" si="155"/>
        <v>186.22989000000001</v>
      </c>
      <c r="V162" s="2">
        <f t="shared" si="156"/>
        <v>0</v>
      </c>
      <c r="W162" s="2">
        <f t="shared" si="157"/>
        <v>0</v>
      </c>
      <c r="X162" s="2">
        <f>(ROUND((((S162+ROUND((ROUND((((EU162*1.1))*AV162*I162),2)*BS162),2))*AT162)/100),2)+ROUND(((ROUND((ROUND(((AE162-((EU162*1.1)))*AV162*I162),2)*BS162),2)*AT162)/100),2))</f>
        <v>2241.79</v>
      </c>
      <c r="Y162" s="2">
        <f>(ROUND((((S162+ROUND((ROUND((((EU162*1.1))*AV162*I162),2)*BS162),2))*AU162)/100),2)+ROUND(((ROUND((ROUND(((AE162-((EU162*1.1)))*AV162*I162),2)*BS162),2)*AU162)/100),2))</f>
        <v>1178.67</v>
      </c>
      <c r="Z162" s="2"/>
      <c r="AA162" s="2">
        <v>60258064</v>
      </c>
      <c r="AB162" s="2">
        <f t="shared" si="158"/>
        <v>140.685</v>
      </c>
      <c r="AC162" s="2">
        <f t="shared" si="159"/>
        <v>61.98</v>
      </c>
      <c r="AD162" s="2">
        <f>ROUND(((((ET162*1.1))-((EU162*1.1)))+AE162),6)</f>
        <v>5.7750000000000004</v>
      </c>
      <c r="AE162" s="2">
        <f t="shared" ref="AE162:AF165" si="177">ROUND(((EU162*1.1)),6)</f>
        <v>0.64900000000000002</v>
      </c>
      <c r="AF162" s="2">
        <f t="shared" si="177"/>
        <v>72.930000000000007</v>
      </c>
      <c r="AG162" s="2">
        <f t="shared" si="160"/>
        <v>0</v>
      </c>
      <c r="AH162" s="2">
        <f t="shared" ref="AH162:AI165" si="178">((EW162*1.1))</f>
        <v>5.9290000000000003</v>
      </c>
      <c r="AI162" s="2">
        <f t="shared" si="178"/>
        <v>0</v>
      </c>
      <c r="AJ162" s="2">
        <f t="shared" si="161"/>
        <v>0</v>
      </c>
      <c r="AK162" s="2">
        <v>133.53</v>
      </c>
      <c r="AL162" s="2">
        <v>61.98</v>
      </c>
      <c r="AM162" s="2">
        <v>5.25</v>
      </c>
      <c r="AN162" s="2">
        <v>0.59</v>
      </c>
      <c r="AO162" s="2">
        <v>66.3</v>
      </c>
      <c r="AP162" s="2">
        <v>0</v>
      </c>
      <c r="AQ162" s="2">
        <v>5.39</v>
      </c>
      <c r="AR162" s="2">
        <v>0</v>
      </c>
      <c r="AS162" s="2">
        <v>0</v>
      </c>
      <c r="AT162" s="2">
        <v>97</v>
      </c>
      <c r="AU162" s="2">
        <v>51</v>
      </c>
      <c r="AV162" s="2">
        <v>1.0469999999999999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0</v>
      </c>
      <c r="BI162" s="2">
        <v>2</v>
      </c>
      <c r="BJ162" s="2" t="s">
        <v>224</v>
      </c>
      <c r="BK162" s="2"/>
      <c r="BL162" s="2"/>
      <c r="BM162" s="2">
        <v>67</v>
      </c>
      <c r="BN162" s="2">
        <v>58973116</v>
      </c>
      <c r="BO162" s="2" t="s">
        <v>222</v>
      </c>
      <c r="BP162" s="2">
        <v>1</v>
      </c>
      <c r="BQ162" s="2">
        <v>40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97</v>
      </c>
      <c r="CA162" s="2">
        <v>51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377</v>
      </c>
      <c r="CO162" s="2">
        <v>0</v>
      </c>
      <c r="CP162" s="2">
        <f t="shared" si="162"/>
        <v>4331.5200000000004</v>
      </c>
      <c r="CQ162" s="2">
        <f t="shared" si="163"/>
        <v>61.98</v>
      </c>
      <c r="CR162" s="2">
        <f>(ROUND((ROUND((((ET162*1.1))*AV162*1),2)*BB162),2)+ROUND((ROUND(((AE162-((EU162*1.1)))*AV162*1),2)*BS162),2))</f>
        <v>6.05</v>
      </c>
      <c r="CS162" s="2">
        <f>(ROUND((ROUND((((EU162*1.1))*AV162*1),2)*BS162),2)+ROUND((ROUND(((AE162-((EU162*1.1)))*AV162*1),2)*BS162),2))</f>
        <v>0.68</v>
      </c>
      <c r="CT162" s="2">
        <f t="shared" si="164"/>
        <v>76.36</v>
      </c>
      <c r="CU162" s="2">
        <f t="shared" si="165"/>
        <v>0</v>
      </c>
      <c r="CV162" s="2">
        <f t="shared" si="166"/>
        <v>6.2076630000000002</v>
      </c>
      <c r="CW162" s="2">
        <f t="shared" si="167"/>
        <v>0</v>
      </c>
      <c r="CX162" s="2">
        <f t="shared" si="168"/>
        <v>0</v>
      </c>
      <c r="CY162" s="2">
        <f>(ROUND((((S162+ROUND((ROUND((((EU162*1.1))*AV162*1),2)*BS162),2))*AT162)/100),2)+ROUND(((ROUND((ROUND(((AE162-((EU162*1.1)))*AV162*1),2)*BS162),2)*AT162)/100),2))</f>
        <v>2222.67</v>
      </c>
      <c r="CZ162" s="2">
        <f>(ROUND((((S162+ROUND((ROUND((((EU162*1.1))*AV162*1),2)*BS162),2))*AU162)/100),2)+ROUND(((ROUND((ROUND(((AE162-((EU162*1.1)))*AV162*1),2)*BS162),2)*AU162)/100),2))</f>
        <v>1168.6199999999999</v>
      </c>
      <c r="DA162" s="2"/>
      <c r="DB162" s="2">
        <v>25</v>
      </c>
      <c r="DC162" s="2" t="s">
        <v>3</v>
      </c>
      <c r="DD162" s="2" t="s">
        <v>3</v>
      </c>
      <c r="DE162" s="2" t="s">
        <v>23</v>
      </c>
      <c r="DF162" s="2" t="s">
        <v>23</v>
      </c>
      <c r="DG162" s="2" t="s">
        <v>23</v>
      </c>
      <c r="DH162" s="2" t="s">
        <v>3</v>
      </c>
      <c r="DI162" s="2" t="s">
        <v>23</v>
      </c>
      <c r="DJ162" s="2" t="s">
        <v>23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1003</v>
      </c>
      <c r="DV162" s="2" t="s">
        <v>212</v>
      </c>
      <c r="DW162" s="2" t="s">
        <v>212</v>
      </c>
      <c r="DX162" s="2">
        <v>100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60088531</v>
      </c>
      <c r="EF162" s="2">
        <v>40</v>
      </c>
      <c r="EG162" s="2" t="s">
        <v>24</v>
      </c>
      <c r="EH162" s="2">
        <v>0</v>
      </c>
      <c r="EI162" s="2" t="s">
        <v>3</v>
      </c>
      <c r="EJ162" s="2">
        <v>2</v>
      </c>
      <c r="EK162" s="2">
        <v>67</v>
      </c>
      <c r="EL162" s="2" t="s">
        <v>214</v>
      </c>
      <c r="EM162" s="2" t="s">
        <v>215</v>
      </c>
      <c r="EN162" s="2"/>
      <c r="EO162" s="2" t="s">
        <v>27</v>
      </c>
      <c r="EP162" s="2"/>
      <c r="EQ162" s="2">
        <v>0</v>
      </c>
      <c r="ER162" s="2">
        <v>133.53</v>
      </c>
      <c r="ES162" s="2">
        <v>61.98</v>
      </c>
      <c r="ET162" s="2">
        <v>5.25</v>
      </c>
      <c r="EU162" s="2">
        <v>0.59</v>
      </c>
      <c r="EV162" s="2">
        <v>66.3</v>
      </c>
      <c r="EW162" s="2">
        <v>5.39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v>0</v>
      </c>
      <c r="FS162" s="2">
        <v>0</v>
      </c>
      <c r="FT162" s="2"/>
      <c r="FU162" s="2"/>
      <c r="FV162" s="2"/>
      <c r="FW162" s="2"/>
      <c r="FX162" s="2">
        <v>97</v>
      </c>
      <c r="FY162" s="2">
        <v>51</v>
      </c>
      <c r="FZ162" s="2"/>
      <c r="GA162" s="2" t="s">
        <v>3</v>
      </c>
      <c r="GB162" s="2"/>
      <c r="GC162" s="2"/>
      <c r="GD162" s="2">
        <v>1</v>
      </c>
      <c r="GE162" s="2"/>
      <c r="GF162" s="2">
        <v>-1822715932</v>
      </c>
      <c r="GG162" s="2">
        <v>2</v>
      </c>
      <c r="GH162" s="2">
        <v>1</v>
      </c>
      <c r="GI162" s="2">
        <v>2</v>
      </c>
      <c r="GJ162" s="2">
        <v>0</v>
      </c>
      <c r="GK162" s="2">
        <v>0</v>
      </c>
      <c r="GL162" s="2">
        <f t="shared" si="169"/>
        <v>0</v>
      </c>
      <c r="GM162" s="2">
        <f t="shared" si="170"/>
        <v>7751.98</v>
      </c>
      <c r="GN162" s="2">
        <f t="shared" si="171"/>
        <v>0</v>
      </c>
      <c r="GO162" s="2">
        <f t="shared" si="172"/>
        <v>7751.98</v>
      </c>
      <c r="GP162" s="2">
        <f t="shared" si="173"/>
        <v>0</v>
      </c>
      <c r="GQ162" s="2"/>
      <c r="GR162" s="2">
        <v>0</v>
      </c>
      <c r="GS162" s="2">
        <v>3</v>
      </c>
      <c r="GT162" s="2">
        <v>0</v>
      </c>
      <c r="GU162" s="2" t="s">
        <v>3</v>
      </c>
      <c r="GV162" s="2">
        <f t="shared" si="174"/>
        <v>0</v>
      </c>
      <c r="GW162" s="2">
        <v>1</v>
      </c>
      <c r="GX162" s="2">
        <f t="shared" si="175"/>
        <v>0</v>
      </c>
      <c r="GY162" s="2"/>
      <c r="GZ162" s="2"/>
      <c r="HA162" s="2">
        <v>0</v>
      </c>
      <c r="HB162" s="2">
        <v>0</v>
      </c>
      <c r="HC162" s="2">
        <f t="shared" si="176"/>
        <v>0</v>
      </c>
      <c r="HD162" s="2"/>
      <c r="HE162" s="2" t="s">
        <v>3</v>
      </c>
      <c r="HF162" s="2" t="s">
        <v>3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">
      <c r="A163">
        <v>17</v>
      </c>
      <c r="B163">
        <v>1</v>
      </c>
      <c r="C163">
        <f>ROW(SmtRes!A106)</f>
        <v>106</v>
      </c>
      <c r="D163">
        <f>ROW(EtalonRes!A136)</f>
        <v>136</v>
      </c>
      <c r="E163" t="s">
        <v>221</v>
      </c>
      <c r="F163" t="s">
        <v>222</v>
      </c>
      <c r="G163" t="s">
        <v>223</v>
      </c>
      <c r="H163" t="s">
        <v>212</v>
      </c>
      <c r="I163">
        <f>ROUND(3000/100,9)</f>
        <v>30</v>
      </c>
      <c r="J163">
        <v>0</v>
      </c>
      <c r="K163">
        <f>ROUND(3000/100,9)</f>
        <v>30</v>
      </c>
      <c r="O163">
        <f t="shared" si="151"/>
        <v>137027.73000000001</v>
      </c>
      <c r="P163">
        <f t="shared" si="152"/>
        <v>8423.08</v>
      </c>
      <c r="Q163">
        <f>(ROUND((ROUND((((ET163*1.1))*AV163*I163),2)*BB163),2)+ROUND((ROUND(((AE163-((EU163*1.1)))*AV163*I163),2)*BS163),2))</f>
        <v>2637.41</v>
      </c>
      <c r="R163">
        <f>(ROUND((ROUND((((EU163*1.1))*AV163*I163),2)*BS163),2)+ROUND((ROUND(((AE163-((EU163*1.1)))*AV163*I163),2)*BS163),2))</f>
        <v>1121.25</v>
      </c>
      <c r="S163">
        <f t="shared" si="153"/>
        <v>125967.24</v>
      </c>
      <c r="T163">
        <f t="shared" si="154"/>
        <v>0</v>
      </c>
      <c r="U163">
        <f t="shared" si="155"/>
        <v>186.22989000000001</v>
      </c>
      <c r="V163">
        <f t="shared" si="156"/>
        <v>0</v>
      </c>
      <c r="W163">
        <f t="shared" si="157"/>
        <v>0</v>
      </c>
      <c r="X163">
        <f>(ROUND((((S163+ROUND((ROUND((((EU163*1.1))*AV163*I163),2)*BS163),2))*AT163)/100),2)+ROUND(((ROUND((ROUND(((AE163-((EU163*1.1)))*AV163*I163),2)*BS163),2)*AT163)/100),2))</f>
        <v>123275.84</v>
      </c>
      <c r="Y163">
        <f>(ROUND((((S163+ROUND((ROUND((((EU163*1.1))*AV163*I163),2)*BS163),2))*AU163)/100),2)+ROUND(((ROUND((ROUND(((AE163-((EU163*1.1)))*AV163*I163),2)*BS163),2)*AU163)/100),2))</f>
        <v>64815.13</v>
      </c>
      <c r="AA163">
        <v>60258061</v>
      </c>
      <c r="AB163">
        <f t="shared" si="158"/>
        <v>140.685</v>
      </c>
      <c r="AC163">
        <f t="shared" si="159"/>
        <v>61.98</v>
      </c>
      <c r="AD163">
        <f>ROUND(((((ET163*1.1))-((EU163*1.1)))+AE163),6)</f>
        <v>5.7750000000000004</v>
      </c>
      <c r="AE163">
        <f t="shared" si="177"/>
        <v>0.64900000000000002</v>
      </c>
      <c r="AF163">
        <f t="shared" si="177"/>
        <v>72.930000000000007</v>
      </c>
      <c r="AG163">
        <f t="shared" si="160"/>
        <v>0</v>
      </c>
      <c r="AH163">
        <f t="shared" si="178"/>
        <v>5.9290000000000003</v>
      </c>
      <c r="AI163">
        <f t="shared" si="178"/>
        <v>0</v>
      </c>
      <c r="AJ163">
        <f t="shared" si="161"/>
        <v>0</v>
      </c>
      <c r="AK163">
        <v>133.53</v>
      </c>
      <c r="AL163">
        <v>61.98</v>
      </c>
      <c r="AM163">
        <v>5.25</v>
      </c>
      <c r="AN163">
        <v>0.59</v>
      </c>
      <c r="AO163">
        <v>66.3</v>
      </c>
      <c r="AP163">
        <v>0</v>
      </c>
      <c r="AQ163">
        <v>5.39</v>
      </c>
      <c r="AR163">
        <v>0</v>
      </c>
      <c r="AS163">
        <v>0</v>
      </c>
      <c r="AT163">
        <v>97</v>
      </c>
      <c r="AU163">
        <v>51</v>
      </c>
      <c r="AV163">
        <v>1.0469999999999999</v>
      </c>
      <c r="AW163">
        <v>1</v>
      </c>
      <c r="AZ163">
        <v>1</v>
      </c>
      <c r="BA163">
        <v>54.99</v>
      </c>
      <c r="BB163">
        <v>14.54</v>
      </c>
      <c r="BC163">
        <v>4.53</v>
      </c>
      <c r="BD163" t="s">
        <v>3</v>
      </c>
      <c r="BE163" t="s">
        <v>3</v>
      </c>
      <c r="BF163" t="s">
        <v>3</v>
      </c>
      <c r="BG163" t="s">
        <v>3</v>
      </c>
      <c r="BH163">
        <v>0</v>
      </c>
      <c r="BI163">
        <v>2</v>
      </c>
      <c r="BJ163" t="s">
        <v>224</v>
      </c>
      <c r="BM163">
        <v>67</v>
      </c>
      <c r="BN163">
        <v>58973116</v>
      </c>
      <c r="BO163" t="s">
        <v>222</v>
      </c>
      <c r="BP163">
        <v>1</v>
      </c>
      <c r="BQ163">
        <v>40</v>
      </c>
      <c r="BR163">
        <v>0</v>
      </c>
      <c r="BS163">
        <v>54.99</v>
      </c>
      <c r="BT163">
        <v>1</v>
      </c>
      <c r="BU163">
        <v>1</v>
      </c>
      <c r="BV163">
        <v>1</v>
      </c>
      <c r="BW163">
        <v>1</v>
      </c>
      <c r="BX163">
        <v>1</v>
      </c>
      <c r="BY163" t="s">
        <v>3</v>
      </c>
      <c r="BZ163">
        <v>97</v>
      </c>
      <c r="CA163">
        <v>51</v>
      </c>
      <c r="CB163" t="s">
        <v>3</v>
      </c>
      <c r="CE163">
        <v>1566</v>
      </c>
      <c r="CF163">
        <v>0</v>
      </c>
      <c r="CG163">
        <v>0</v>
      </c>
      <c r="CM163">
        <v>0</v>
      </c>
      <c r="CN163" t="s">
        <v>377</v>
      </c>
      <c r="CO163">
        <v>0</v>
      </c>
      <c r="CP163">
        <f t="shared" si="162"/>
        <v>137027.73000000001</v>
      </c>
      <c r="CQ163">
        <f t="shared" si="163"/>
        <v>280.77</v>
      </c>
      <c r="CR163">
        <f>(ROUND((ROUND((((ET163*1.1))*AV163*1),2)*BB163),2)+ROUND((ROUND(((AE163-((EU163*1.1)))*AV163*1),2)*BS163),2))</f>
        <v>87.97</v>
      </c>
      <c r="CS163">
        <f>(ROUND((ROUND((((EU163*1.1))*AV163*1),2)*BS163),2)+ROUND((ROUND(((AE163-((EU163*1.1)))*AV163*1),2)*BS163),2))</f>
        <v>37.39</v>
      </c>
      <c r="CT163">
        <f t="shared" si="164"/>
        <v>4199.04</v>
      </c>
      <c r="CU163">
        <f t="shared" si="165"/>
        <v>0</v>
      </c>
      <c r="CV163">
        <f t="shared" si="166"/>
        <v>6.2076630000000002</v>
      </c>
      <c r="CW163">
        <f t="shared" si="167"/>
        <v>0</v>
      </c>
      <c r="CX163">
        <f t="shared" si="168"/>
        <v>0</v>
      </c>
      <c r="CY163">
        <f>(ROUND((((S163+ROUND((ROUND((((EU163*1.1))*AV163*1),2)*BS163),2))*AT163)/100),2)+ROUND(((ROUND((ROUND(((AE163-((EU163*1.1)))*AV163*1),2)*BS163),2)*AT163)/100),2))</f>
        <v>122224.49</v>
      </c>
      <c r="CZ163">
        <f>(ROUND((((S163+ROUND((ROUND((((EU163*1.1))*AV163*1),2)*BS163),2))*AU163)/100),2)+ROUND(((ROUND((ROUND(((AE163-((EU163*1.1)))*AV163*1),2)*BS163),2)*AU163)/100),2))</f>
        <v>64262.36</v>
      </c>
      <c r="DB163">
        <v>26</v>
      </c>
      <c r="DC163" t="s">
        <v>3</v>
      </c>
      <c r="DD163" t="s">
        <v>3</v>
      </c>
      <c r="DE163" t="s">
        <v>23</v>
      </c>
      <c r="DF163" t="s">
        <v>23</v>
      </c>
      <c r="DG163" t="s">
        <v>23</v>
      </c>
      <c r="DH163" t="s">
        <v>3</v>
      </c>
      <c r="DI163" t="s">
        <v>23</v>
      </c>
      <c r="DJ163" t="s">
        <v>23</v>
      </c>
      <c r="DK163" t="s">
        <v>3</v>
      </c>
      <c r="DL163" t="s">
        <v>3</v>
      </c>
      <c r="DM163" t="s">
        <v>3</v>
      </c>
      <c r="DN163">
        <v>0</v>
      </c>
      <c r="DO163">
        <v>0</v>
      </c>
      <c r="DP163">
        <v>1</v>
      </c>
      <c r="DQ163">
        <v>1</v>
      </c>
      <c r="DU163">
        <v>1003</v>
      </c>
      <c r="DV163" t="s">
        <v>212</v>
      </c>
      <c r="DW163" t="s">
        <v>212</v>
      </c>
      <c r="DX163">
        <v>100</v>
      </c>
      <c r="DZ163" t="s">
        <v>3</v>
      </c>
      <c r="EA163" t="s">
        <v>3</v>
      </c>
      <c r="EB163" t="s">
        <v>3</v>
      </c>
      <c r="EC163" t="s">
        <v>3</v>
      </c>
      <c r="EE163">
        <v>60088531</v>
      </c>
      <c r="EF163">
        <v>40</v>
      </c>
      <c r="EG163" t="s">
        <v>24</v>
      </c>
      <c r="EH163">
        <v>0</v>
      </c>
      <c r="EI163" t="s">
        <v>3</v>
      </c>
      <c r="EJ163">
        <v>2</v>
      </c>
      <c r="EK163">
        <v>67</v>
      </c>
      <c r="EL163" t="s">
        <v>214</v>
      </c>
      <c r="EM163" t="s">
        <v>215</v>
      </c>
      <c r="EO163" t="s">
        <v>27</v>
      </c>
      <c r="EQ163">
        <v>0</v>
      </c>
      <c r="ER163">
        <v>133.53</v>
      </c>
      <c r="ES163">
        <v>61.98</v>
      </c>
      <c r="ET163">
        <v>5.25</v>
      </c>
      <c r="EU163">
        <v>0.59</v>
      </c>
      <c r="EV163">
        <v>66.3</v>
      </c>
      <c r="EW163">
        <v>5.39</v>
      </c>
      <c r="EX163">
        <v>0</v>
      </c>
      <c r="EY163">
        <v>0</v>
      </c>
      <c r="FQ163">
        <v>0</v>
      </c>
      <c r="FR163">
        <v>0</v>
      </c>
      <c r="FS163">
        <v>0</v>
      </c>
      <c r="FX163">
        <v>97</v>
      </c>
      <c r="FY163">
        <v>51</v>
      </c>
      <c r="GA163" t="s">
        <v>3</v>
      </c>
      <c r="GD163">
        <v>1</v>
      </c>
      <c r="GF163">
        <v>-1822715932</v>
      </c>
      <c r="GG163">
        <v>2</v>
      </c>
      <c r="GH163">
        <v>1</v>
      </c>
      <c r="GI163">
        <v>2</v>
      </c>
      <c r="GJ163">
        <v>0</v>
      </c>
      <c r="GK163">
        <v>0</v>
      </c>
      <c r="GL163">
        <f t="shared" si="169"/>
        <v>0</v>
      </c>
      <c r="GM163">
        <f t="shared" si="170"/>
        <v>325118.7</v>
      </c>
      <c r="GN163">
        <f t="shared" si="171"/>
        <v>0</v>
      </c>
      <c r="GO163">
        <f t="shared" si="172"/>
        <v>325118.7</v>
      </c>
      <c r="GP163">
        <f t="shared" si="173"/>
        <v>0</v>
      </c>
      <c r="GR163">
        <v>0</v>
      </c>
      <c r="GS163">
        <v>3</v>
      </c>
      <c r="GT163">
        <v>0</v>
      </c>
      <c r="GU163" t="s">
        <v>3</v>
      </c>
      <c r="GV163">
        <f t="shared" si="174"/>
        <v>0</v>
      </c>
      <c r="GW163">
        <v>1</v>
      </c>
      <c r="GX163">
        <f t="shared" si="175"/>
        <v>0</v>
      </c>
      <c r="HA163">
        <v>0</v>
      </c>
      <c r="HB163">
        <v>0</v>
      </c>
      <c r="HC163">
        <f t="shared" si="176"/>
        <v>0</v>
      </c>
      <c r="HE163" t="s">
        <v>3</v>
      </c>
      <c r="HF163" t="s">
        <v>3</v>
      </c>
      <c r="HM163" t="s">
        <v>3</v>
      </c>
      <c r="HN163" t="s">
        <v>3</v>
      </c>
      <c r="HO163" t="s">
        <v>3</v>
      </c>
      <c r="HP163" t="s">
        <v>3</v>
      </c>
      <c r="HQ163" t="s">
        <v>3</v>
      </c>
      <c r="HS163">
        <v>0</v>
      </c>
      <c r="IK163">
        <v>0</v>
      </c>
    </row>
    <row r="164" spans="1:255" x14ac:dyDescent="0.2">
      <c r="A164" s="2">
        <v>17</v>
      </c>
      <c r="B164" s="2">
        <v>1</v>
      </c>
      <c r="C164" s="2">
        <f>ROW(SmtRes!A114)</f>
        <v>114</v>
      </c>
      <c r="D164" s="2">
        <f>ROW(EtalonRes!A145)</f>
        <v>145</v>
      </c>
      <c r="E164" s="2" t="s">
        <v>225</v>
      </c>
      <c r="F164" s="2" t="s">
        <v>226</v>
      </c>
      <c r="G164" s="2" t="s">
        <v>227</v>
      </c>
      <c r="H164" s="2" t="s">
        <v>212</v>
      </c>
      <c r="I164" s="2">
        <f>ROUND(((500+6320)-3000)/100,9)</f>
        <v>38.200000000000003</v>
      </c>
      <c r="J164" s="2">
        <v>0</v>
      </c>
      <c r="K164" s="2">
        <f>ROUND(((500+6320)-3000)/100,9)</f>
        <v>38.200000000000003</v>
      </c>
      <c r="L164" s="2"/>
      <c r="M164" s="2"/>
      <c r="N164" s="2"/>
      <c r="O164" s="2">
        <f t="shared" si="151"/>
        <v>3224.55</v>
      </c>
      <c r="P164" s="2">
        <f t="shared" si="152"/>
        <v>2118.9499999999998</v>
      </c>
      <c r="Q164" s="2">
        <f>(ROUND((ROUND((((ET164*1.1))*AV164*I164),2)*BB164),2)+ROUND((ROUND(((AE164-((EU164*1.1)))*AV164*I164),2)*BS164),2))</f>
        <v>115.27</v>
      </c>
      <c r="R164" s="2">
        <f>(ROUND((ROUND((((EU164*1.1))*AV164*I164),2)*BS164),2)+ROUND((ROUND(((AE164-((EU164*1.1)))*AV164*I164),2)*BS164),2))</f>
        <v>13.2</v>
      </c>
      <c r="S164" s="2">
        <f t="shared" si="153"/>
        <v>990.33</v>
      </c>
      <c r="T164" s="2">
        <f t="shared" si="154"/>
        <v>0</v>
      </c>
      <c r="U164" s="2">
        <f t="shared" si="155"/>
        <v>80.510740200000015</v>
      </c>
      <c r="V164" s="2">
        <f t="shared" si="156"/>
        <v>0</v>
      </c>
      <c r="W164" s="2">
        <f t="shared" si="157"/>
        <v>0</v>
      </c>
      <c r="X164" s="2">
        <f>(ROUND((((S164+ROUND((ROUND((((EU164*1.1))*AV164*I164),2)*BS164),2))*AT164)/100),2)+ROUND(((ROUND((ROUND(((AE164-((EU164*1.1)))*AV164*I164),2)*BS164),2)*AT164)/100),2))</f>
        <v>973.42</v>
      </c>
      <c r="Y164" s="2">
        <f>(ROUND((((S164+ROUND((ROUND((((EU164*1.1))*AV164*I164),2)*BS164),2))*AU164)/100),2)+ROUND(((ROUND((ROUND(((AE164-((EU164*1.1)))*AV164*I164),2)*BS164),2)*AU164)/100),2))</f>
        <v>511.8</v>
      </c>
      <c r="Z164" s="2"/>
      <c r="AA164" s="2">
        <v>60258064</v>
      </c>
      <c r="AB164" s="2">
        <f t="shared" si="158"/>
        <v>83.113</v>
      </c>
      <c r="AC164" s="2">
        <f t="shared" si="159"/>
        <v>55.47</v>
      </c>
      <c r="AD164" s="2">
        <f>ROUND(((((ET164*1.1))-((EU164*1.1)))+AE164),6)</f>
        <v>2.8820000000000001</v>
      </c>
      <c r="AE164" s="2">
        <f t="shared" si="177"/>
        <v>0.33</v>
      </c>
      <c r="AF164" s="2">
        <f t="shared" si="177"/>
        <v>24.760999999999999</v>
      </c>
      <c r="AG164" s="2">
        <f t="shared" si="160"/>
        <v>0</v>
      </c>
      <c r="AH164" s="2">
        <f t="shared" si="178"/>
        <v>2.0130000000000003</v>
      </c>
      <c r="AI164" s="2">
        <f t="shared" si="178"/>
        <v>0</v>
      </c>
      <c r="AJ164" s="2">
        <f t="shared" si="161"/>
        <v>0</v>
      </c>
      <c r="AK164" s="2">
        <v>80.599999999999994</v>
      </c>
      <c r="AL164" s="2">
        <v>55.47</v>
      </c>
      <c r="AM164" s="2">
        <v>2.62</v>
      </c>
      <c r="AN164" s="2">
        <v>0.3</v>
      </c>
      <c r="AO164" s="2">
        <v>22.51</v>
      </c>
      <c r="AP164" s="2">
        <v>0</v>
      </c>
      <c r="AQ164" s="2">
        <v>1.83</v>
      </c>
      <c r="AR164" s="2">
        <v>0</v>
      </c>
      <c r="AS164" s="2">
        <v>0</v>
      </c>
      <c r="AT164" s="2">
        <v>97</v>
      </c>
      <c r="AU164" s="2">
        <v>51</v>
      </c>
      <c r="AV164" s="2">
        <v>1.0469999999999999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0</v>
      </c>
      <c r="BI164" s="2">
        <v>2</v>
      </c>
      <c r="BJ164" s="2" t="s">
        <v>228</v>
      </c>
      <c r="BK164" s="2"/>
      <c r="BL164" s="2"/>
      <c r="BM164" s="2">
        <v>67</v>
      </c>
      <c r="BN164" s="2">
        <v>58973116</v>
      </c>
      <c r="BO164" s="2" t="s">
        <v>226</v>
      </c>
      <c r="BP164" s="2">
        <v>1</v>
      </c>
      <c r="BQ164" s="2">
        <v>40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97</v>
      </c>
      <c r="CA164" s="2">
        <v>51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377</v>
      </c>
      <c r="CO164" s="2">
        <v>0</v>
      </c>
      <c r="CP164" s="2">
        <f t="shared" si="162"/>
        <v>3224.5499999999997</v>
      </c>
      <c r="CQ164" s="2">
        <f t="shared" si="163"/>
        <v>55.47</v>
      </c>
      <c r="CR164" s="2">
        <f>(ROUND((ROUND((((ET164*1.1))*AV164*1),2)*BB164),2)+ROUND((ROUND(((AE164-((EU164*1.1)))*AV164*1),2)*BS164),2))</f>
        <v>3.02</v>
      </c>
      <c r="CS164" s="2">
        <f>(ROUND((ROUND((((EU164*1.1))*AV164*1),2)*BS164),2)+ROUND((ROUND(((AE164-((EU164*1.1)))*AV164*1),2)*BS164),2))</f>
        <v>0.35</v>
      </c>
      <c r="CT164" s="2">
        <f t="shared" si="164"/>
        <v>25.92</v>
      </c>
      <c r="CU164" s="2">
        <f t="shared" si="165"/>
        <v>0</v>
      </c>
      <c r="CV164" s="2">
        <f t="shared" si="166"/>
        <v>2.1076110000000003</v>
      </c>
      <c r="CW164" s="2">
        <f t="shared" si="167"/>
        <v>0</v>
      </c>
      <c r="CX164" s="2">
        <f t="shared" si="168"/>
        <v>0</v>
      </c>
      <c r="CY164" s="2">
        <f>(ROUND((((S164+ROUND((ROUND((((EU164*1.1))*AV164*1),2)*BS164),2))*AT164)/100),2)+ROUND(((ROUND((ROUND(((AE164-((EU164*1.1)))*AV164*1),2)*BS164),2)*AT164)/100),2))</f>
        <v>960.96</v>
      </c>
      <c r="CZ164" s="2">
        <f>(ROUND((((S164+ROUND((ROUND((((EU164*1.1))*AV164*1),2)*BS164),2))*AU164)/100),2)+ROUND(((ROUND((ROUND(((AE164-((EU164*1.1)))*AV164*1),2)*BS164),2)*AU164)/100),2))</f>
        <v>505.25</v>
      </c>
      <c r="DA164" s="2"/>
      <c r="DB164" s="2">
        <v>27</v>
      </c>
      <c r="DC164" s="2" t="s">
        <v>3</v>
      </c>
      <c r="DD164" s="2" t="s">
        <v>3</v>
      </c>
      <c r="DE164" s="2" t="s">
        <v>23</v>
      </c>
      <c r="DF164" s="2" t="s">
        <v>23</v>
      </c>
      <c r="DG164" s="2" t="s">
        <v>23</v>
      </c>
      <c r="DH164" s="2" t="s">
        <v>3</v>
      </c>
      <c r="DI164" s="2" t="s">
        <v>23</v>
      </c>
      <c r="DJ164" s="2" t="s">
        <v>23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1003</v>
      </c>
      <c r="DV164" s="2" t="s">
        <v>212</v>
      </c>
      <c r="DW164" s="2" t="s">
        <v>212</v>
      </c>
      <c r="DX164" s="2">
        <v>100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60088531</v>
      </c>
      <c r="EF164" s="2">
        <v>40</v>
      </c>
      <c r="EG164" s="2" t="s">
        <v>24</v>
      </c>
      <c r="EH164" s="2">
        <v>0</v>
      </c>
      <c r="EI164" s="2" t="s">
        <v>3</v>
      </c>
      <c r="EJ164" s="2">
        <v>2</v>
      </c>
      <c r="EK164" s="2">
        <v>67</v>
      </c>
      <c r="EL164" s="2" t="s">
        <v>214</v>
      </c>
      <c r="EM164" s="2" t="s">
        <v>215</v>
      </c>
      <c r="EN164" s="2"/>
      <c r="EO164" s="2" t="s">
        <v>27</v>
      </c>
      <c r="EP164" s="2"/>
      <c r="EQ164" s="2">
        <v>0</v>
      </c>
      <c r="ER164" s="2">
        <v>80.599999999999994</v>
      </c>
      <c r="ES164" s="2">
        <v>55.47</v>
      </c>
      <c r="ET164" s="2">
        <v>2.62</v>
      </c>
      <c r="EU164" s="2">
        <v>0.3</v>
      </c>
      <c r="EV164" s="2">
        <v>22.51</v>
      </c>
      <c r="EW164" s="2">
        <v>1.83</v>
      </c>
      <c r="EX164" s="2">
        <v>0</v>
      </c>
      <c r="EY164" s="2">
        <v>0</v>
      </c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v>0</v>
      </c>
      <c r="FS164" s="2">
        <v>0</v>
      </c>
      <c r="FT164" s="2"/>
      <c r="FU164" s="2"/>
      <c r="FV164" s="2"/>
      <c r="FW164" s="2"/>
      <c r="FX164" s="2">
        <v>97</v>
      </c>
      <c r="FY164" s="2">
        <v>51</v>
      </c>
      <c r="FZ164" s="2"/>
      <c r="GA164" s="2" t="s">
        <v>3</v>
      </c>
      <c r="GB164" s="2"/>
      <c r="GC164" s="2"/>
      <c r="GD164" s="2">
        <v>1</v>
      </c>
      <c r="GE164" s="2"/>
      <c r="GF164" s="2">
        <v>1118340632</v>
      </c>
      <c r="GG164" s="2">
        <v>2</v>
      </c>
      <c r="GH164" s="2">
        <v>1</v>
      </c>
      <c r="GI164" s="2">
        <v>2</v>
      </c>
      <c r="GJ164" s="2">
        <v>0</v>
      </c>
      <c r="GK164" s="2">
        <v>0</v>
      </c>
      <c r="GL164" s="2">
        <f t="shared" si="169"/>
        <v>0</v>
      </c>
      <c r="GM164" s="2">
        <f t="shared" si="170"/>
        <v>4709.7700000000004</v>
      </c>
      <c r="GN164" s="2">
        <f t="shared" si="171"/>
        <v>0</v>
      </c>
      <c r="GO164" s="2">
        <f t="shared" si="172"/>
        <v>4709.7700000000004</v>
      </c>
      <c r="GP164" s="2">
        <f t="shared" si="173"/>
        <v>0</v>
      </c>
      <c r="GQ164" s="2"/>
      <c r="GR164" s="2">
        <v>0</v>
      </c>
      <c r="GS164" s="2">
        <v>3</v>
      </c>
      <c r="GT164" s="2">
        <v>0</v>
      </c>
      <c r="GU164" s="2" t="s">
        <v>3</v>
      </c>
      <c r="GV164" s="2">
        <f t="shared" si="174"/>
        <v>0</v>
      </c>
      <c r="GW164" s="2">
        <v>1</v>
      </c>
      <c r="GX164" s="2">
        <f t="shared" si="175"/>
        <v>0</v>
      </c>
      <c r="GY164" s="2"/>
      <c r="GZ164" s="2"/>
      <c r="HA164" s="2">
        <v>0</v>
      </c>
      <c r="HB164" s="2">
        <v>0</v>
      </c>
      <c r="HC164" s="2">
        <f t="shared" si="176"/>
        <v>0</v>
      </c>
      <c r="HD164" s="2"/>
      <c r="HE164" s="2" t="s">
        <v>3</v>
      </c>
      <c r="HF164" s="2" t="s">
        <v>3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">
      <c r="A165">
        <v>17</v>
      </c>
      <c r="B165">
        <v>1</v>
      </c>
      <c r="C165">
        <f>ROW(SmtRes!A122)</f>
        <v>122</v>
      </c>
      <c r="D165">
        <f>ROW(EtalonRes!A154)</f>
        <v>154</v>
      </c>
      <c r="E165" t="s">
        <v>225</v>
      </c>
      <c r="F165" t="s">
        <v>226</v>
      </c>
      <c r="G165" t="s">
        <v>227</v>
      </c>
      <c r="H165" t="s">
        <v>212</v>
      </c>
      <c r="I165">
        <f>ROUND(((500+6320)-3000)/100,9)</f>
        <v>38.200000000000003</v>
      </c>
      <c r="J165">
        <v>0</v>
      </c>
      <c r="K165">
        <f>ROUND(((500+6320)-3000)/100,9)</f>
        <v>38.200000000000003</v>
      </c>
      <c r="O165">
        <f t="shared" si="151"/>
        <v>62685.29</v>
      </c>
      <c r="P165">
        <f t="shared" si="152"/>
        <v>6547.56</v>
      </c>
      <c r="Q165">
        <f>(ROUND((ROUND((((ET165*1.1))*AV165*I165),2)*BB165),2)+ROUND((ROUND(((AE165-((EU165*1.1)))*AV165*I165),2)*BS165),2))</f>
        <v>1679.48</v>
      </c>
      <c r="R165">
        <f>(ROUND((ROUND((((EU165*1.1))*AV165*I165),2)*BS165),2)+ROUND((ROUND(((AE165-((EU165*1.1)))*AV165*I165),2)*BS165),2))</f>
        <v>725.87</v>
      </c>
      <c r="S165">
        <f t="shared" si="153"/>
        <v>54458.25</v>
      </c>
      <c r="T165">
        <f t="shared" si="154"/>
        <v>0</v>
      </c>
      <c r="U165">
        <f t="shared" si="155"/>
        <v>80.510740200000015</v>
      </c>
      <c r="V165">
        <f t="shared" si="156"/>
        <v>0</v>
      </c>
      <c r="W165">
        <f t="shared" si="157"/>
        <v>0</v>
      </c>
      <c r="X165">
        <f>(ROUND((((S165+ROUND((ROUND((((EU165*1.1))*AV165*I165),2)*BS165),2))*AT165)/100),2)+ROUND(((ROUND((ROUND(((AE165-((EU165*1.1)))*AV165*I165),2)*BS165),2)*AT165)/100),2))</f>
        <v>53528.6</v>
      </c>
      <c r="Y165">
        <f>(ROUND((((S165+ROUND((ROUND((((EU165*1.1))*AV165*I165),2)*BS165),2))*AU165)/100),2)+ROUND(((ROUND((ROUND(((AE165-((EU165*1.1)))*AV165*I165),2)*BS165),2)*AU165)/100),2))</f>
        <v>28143.9</v>
      </c>
      <c r="AA165">
        <v>60258061</v>
      </c>
      <c r="AB165">
        <f t="shared" si="158"/>
        <v>83.113</v>
      </c>
      <c r="AC165">
        <f t="shared" si="159"/>
        <v>55.47</v>
      </c>
      <c r="AD165">
        <f>ROUND(((((ET165*1.1))-((EU165*1.1)))+AE165),6)</f>
        <v>2.8820000000000001</v>
      </c>
      <c r="AE165">
        <f t="shared" si="177"/>
        <v>0.33</v>
      </c>
      <c r="AF165">
        <f t="shared" si="177"/>
        <v>24.760999999999999</v>
      </c>
      <c r="AG165">
        <f t="shared" si="160"/>
        <v>0</v>
      </c>
      <c r="AH165">
        <f t="shared" si="178"/>
        <v>2.0130000000000003</v>
      </c>
      <c r="AI165">
        <f t="shared" si="178"/>
        <v>0</v>
      </c>
      <c r="AJ165">
        <f t="shared" si="161"/>
        <v>0</v>
      </c>
      <c r="AK165">
        <v>80.599999999999994</v>
      </c>
      <c r="AL165">
        <v>55.47</v>
      </c>
      <c r="AM165">
        <v>2.62</v>
      </c>
      <c r="AN165">
        <v>0.3</v>
      </c>
      <c r="AO165">
        <v>22.51</v>
      </c>
      <c r="AP165">
        <v>0</v>
      </c>
      <c r="AQ165">
        <v>1.83</v>
      </c>
      <c r="AR165">
        <v>0</v>
      </c>
      <c r="AS165">
        <v>0</v>
      </c>
      <c r="AT165">
        <v>97</v>
      </c>
      <c r="AU165">
        <v>51</v>
      </c>
      <c r="AV165">
        <v>1.0469999999999999</v>
      </c>
      <c r="AW165">
        <v>1</v>
      </c>
      <c r="AZ165">
        <v>1</v>
      </c>
      <c r="BA165">
        <v>54.99</v>
      </c>
      <c r="BB165">
        <v>14.57</v>
      </c>
      <c r="BC165">
        <v>3.09</v>
      </c>
      <c r="BD165" t="s">
        <v>3</v>
      </c>
      <c r="BE165" t="s">
        <v>3</v>
      </c>
      <c r="BF165" t="s">
        <v>3</v>
      </c>
      <c r="BG165" t="s">
        <v>3</v>
      </c>
      <c r="BH165">
        <v>0</v>
      </c>
      <c r="BI165">
        <v>2</v>
      </c>
      <c r="BJ165" t="s">
        <v>228</v>
      </c>
      <c r="BM165">
        <v>67</v>
      </c>
      <c r="BN165">
        <v>58973116</v>
      </c>
      <c r="BO165" t="s">
        <v>226</v>
      </c>
      <c r="BP165">
        <v>1</v>
      </c>
      <c r="BQ165">
        <v>40</v>
      </c>
      <c r="BR165">
        <v>0</v>
      </c>
      <c r="BS165">
        <v>54.99</v>
      </c>
      <c r="BT165">
        <v>1</v>
      </c>
      <c r="BU165">
        <v>1</v>
      </c>
      <c r="BV165">
        <v>1</v>
      </c>
      <c r="BW165">
        <v>1</v>
      </c>
      <c r="BX165">
        <v>1</v>
      </c>
      <c r="BY165" t="s">
        <v>3</v>
      </c>
      <c r="BZ165">
        <v>97</v>
      </c>
      <c r="CA165">
        <v>51</v>
      </c>
      <c r="CB165" t="s">
        <v>3</v>
      </c>
      <c r="CE165">
        <v>1566</v>
      </c>
      <c r="CF165">
        <v>0</v>
      </c>
      <c r="CG165">
        <v>0</v>
      </c>
      <c r="CM165">
        <v>0</v>
      </c>
      <c r="CN165" t="s">
        <v>377</v>
      </c>
      <c r="CO165">
        <v>0</v>
      </c>
      <c r="CP165">
        <f t="shared" si="162"/>
        <v>62685.29</v>
      </c>
      <c r="CQ165">
        <f t="shared" si="163"/>
        <v>171.4</v>
      </c>
      <c r="CR165">
        <f>(ROUND((ROUND((((ET165*1.1))*AV165*1),2)*BB165),2)+ROUND((ROUND(((AE165-((EU165*1.1)))*AV165*1),2)*BS165),2))</f>
        <v>44</v>
      </c>
      <c r="CS165">
        <f>(ROUND((ROUND((((EU165*1.1))*AV165*1),2)*BS165),2)+ROUND((ROUND(((AE165-((EU165*1.1)))*AV165*1),2)*BS165),2))</f>
        <v>19.25</v>
      </c>
      <c r="CT165">
        <f t="shared" si="164"/>
        <v>1425.34</v>
      </c>
      <c r="CU165">
        <f t="shared" si="165"/>
        <v>0</v>
      </c>
      <c r="CV165">
        <f t="shared" si="166"/>
        <v>2.1076110000000003</v>
      </c>
      <c r="CW165">
        <f t="shared" si="167"/>
        <v>0</v>
      </c>
      <c r="CX165">
        <f t="shared" si="168"/>
        <v>0</v>
      </c>
      <c r="CY165">
        <f>(ROUND((((S165+ROUND((ROUND((((EU165*1.1))*AV165*1),2)*BS165),2))*AT165)/100),2)+ROUND(((ROUND((ROUND(((AE165-((EU165*1.1)))*AV165*1),2)*BS165),2)*AT165)/100),2))</f>
        <v>52843.18</v>
      </c>
      <c r="CZ165">
        <f>(ROUND((((S165+ROUND((ROUND((((EU165*1.1))*AV165*1),2)*BS165),2))*AU165)/100),2)+ROUND(((ROUND((ROUND(((AE165-((EU165*1.1)))*AV165*1),2)*BS165),2)*AU165)/100),2))</f>
        <v>27783.53</v>
      </c>
      <c r="DB165">
        <v>28</v>
      </c>
      <c r="DC165" t="s">
        <v>3</v>
      </c>
      <c r="DD165" t="s">
        <v>3</v>
      </c>
      <c r="DE165" t="s">
        <v>23</v>
      </c>
      <c r="DF165" t="s">
        <v>23</v>
      </c>
      <c r="DG165" t="s">
        <v>23</v>
      </c>
      <c r="DH165" t="s">
        <v>3</v>
      </c>
      <c r="DI165" t="s">
        <v>23</v>
      </c>
      <c r="DJ165" t="s">
        <v>23</v>
      </c>
      <c r="DK165" t="s">
        <v>3</v>
      </c>
      <c r="DL165" t="s">
        <v>3</v>
      </c>
      <c r="DM165" t="s">
        <v>3</v>
      </c>
      <c r="DN165">
        <v>0</v>
      </c>
      <c r="DO165">
        <v>0</v>
      </c>
      <c r="DP165">
        <v>1</v>
      </c>
      <c r="DQ165">
        <v>1</v>
      </c>
      <c r="DU165">
        <v>1003</v>
      </c>
      <c r="DV165" t="s">
        <v>212</v>
      </c>
      <c r="DW165" t="s">
        <v>212</v>
      </c>
      <c r="DX165">
        <v>100</v>
      </c>
      <c r="DZ165" t="s">
        <v>3</v>
      </c>
      <c r="EA165" t="s">
        <v>3</v>
      </c>
      <c r="EB165" t="s">
        <v>3</v>
      </c>
      <c r="EC165" t="s">
        <v>3</v>
      </c>
      <c r="EE165">
        <v>60088531</v>
      </c>
      <c r="EF165">
        <v>40</v>
      </c>
      <c r="EG165" t="s">
        <v>24</v>
      </c>
      <c r="EH165">
        <v>0</v>
      </c>
      <c r="EI165" t="s">
        <v>3</v>
      </c>
      <c r="EJ165">
        <v>2</v>
      </c>
      <c r="EK165">
        <v>67</v>
      </c>
      <c r="EL165" t="s">
        <v>214</v>
      </c>
      <c r="EM165" t="s">
        <v>215</v>
      </c>
      <c r="EO165" t="s">
        <v>27</v>
      </c>
      <c r="EQ165">
        <v>0</v>
      </c>
      <c r="ER165">
        <v>80.599999999999994</v>
      </c>
      <c r="ES165">
        <v>55.47</v>
      </c>
      <c r="ET165">
        <v>2.62</v>
      </c>
      <c r="EU165">
        <v>0.3</v>
      </c>
      <c r="EV165">
        <v>22.51</v>
      </c>
      <c r="EW165">
        <v>1.83</v>
      </c>
      <c r="EX165">
        <v>0</v>
      </c>
      <c r="EY165">
        <v>0</v>
      </c>
      <c r="FQ165">
        <v>0</v>
      </c>
      <c r="FR165">
        <v>0</v>
      </c>
      <c r="FS165">
        <v>0</v>
      </c>
      <c r="FX165">
        <v>97</v>
      </c>
      <c r="FY165">
        <v>51</v>
      </c>
      <c r="GA165" t="s">
        <v>3</v>
      </c>
      <c r="GD165">
        <v>1</v>
      </c>
      <c r="GF165">
        <v>1118340632</v>
      </c>
      <c r="GG165">
        <v>2</v>
      </c>
      <c r="GH165">
        <v>1</v>
      </c>
      <c r="GI165">
        <v>2</v>
      </c>
      <c r="GJ165">
        <v>0</v>
      </c>
      <c r="GK165">
        <v>0</v>
      </c>
      <c r="GL165">
        <f t="shared" si="169"/>
        <v>0</v>
      </c>
      <c r="GM165">
        <f t="shared" si="170"/>
        <v>144357.79</v>
      </c>
      <c r="GN165">
        <f t="shared" si="171"/>
        <v>0</v>
      </c>
      <c r="GO165">
        <f t="shared" si="172"/>
        <v>144357.79</v>
      </c>
      <c r="GP165">
        <f t="shared" si="173"/>
        <v>0</v>
      </c>
      <c r="GR165">
        <v>0</v>
      </c>
      <c r="GS165">
        <v>3</v>
      </c>
      <c r="GT165">
        <v>0</v>
      </c>
      <c r="GU165" t="s">
        <v>3</v>
      </c>
      <c r="GV165">
        <f t="shared" si="174"/>
        <v>0</v>
      </c>
      <c r="GW165">
        <v>1</v>
      </c>
      <c r="GX165">
        <f t="shared" si="175"/>
        <v>0</v>
      </c>
      <c r="HA165">
        <v>0</v>
      </c>
      <c r="HB165">
        <v>0</v>
      </c>
      <c r="HC165">
        <f t="shared" si="176"/>
        <v>0</v>
      </c>
      <c r="HE165" t="s">
        <v>3</v>
      </c>
      <c r="HF165" t="s">
        <v>3</v>
      </c>
      <c r="HM165" t="s">
        <v>3</v>
      </c>
      <c r="HN165" t="s">
        <v>3</v>
      </c>
      <c r="HO165" t="s">
        <v>3</v>
      </c>
      <c r="HP165" t="s">
        <v>3</v>
      </c>
      <c r="HQ165" t="s">
        <v>3</v>
      </c>
      <c r="HS165">
        <v>0</v>
      </c>
      <c r="IK165">
        <v>0</v>
      </c>
    </row>
    <row r="166" spans="1:255" x14ac:dyDescent="0.2">
      <c r="A166" s="2">
        <v>17</v>
      </c>
      <c r="B166" s="2">
        <v>1</v>
      </c>
      <c r="C166" s="2"/>
      <c r="D166" s="2"/>
      <c r="E166" s="2" t="s">
        <v>229</v>
      </c>
      <c r="F166" s="2" t="s">
        <v>230</v>
      </c>
      <c r="G166" s="2" t="s">
        <v>231</v>
      </c>
      <c r="H166" s="2" t="s">
        <v>232</v>
      </c>
      <c r="I166" s="2">
        <f>ROUND((500*1.02)/1000,9)</f>
        <v>0.51</v>
      </c>
      <c r="J166" s="2">
        <v>0</v>
      </c>
      <c r="K166" s="2">
        <f>ROUND((500*1.02)/1000,9)</f>
        <v>0.51</v>
      </c>
      <c r="L166" s="2"/>
      <c r="M166" s="2"/>
      <c r="N166" s="2"/>
      <c r="O166" s="2">
        <f t="shared" si="151"/>
        <v>3516.09</v>
      </c>
      <c r="P166" s="2">
        <f t="shared" si="152"/>
        <v>3516.09</v>
      </c>
      <c r="Q166" s="2">
        <f t="shared" ref="Q166:Q173" si="179">(ROUND((ROUND(((ET166)*AV166*I166),2)*BB166),2)+ROUND((ROUND(((AE166-(EU166))*AV166*I166),2)*BS166),2))</f>
        <v>0</v>
      </c>
      <c r="R166" s="2">
        <f t="shared" ref="R166:R173" si="180">(ROUND((ROUND(((EU166)*AV166*I166),2)*BS166),2)+ROUND((ROUND(((AE166-(EU166))*AV166*I166),2)*BS166),2))</f>
        <v>0</v>
      </c>
      <c r="S166" s="2">
        <f t="shared" si="153"/>
        <v>0</v>
      </c>
      <c r="T166" s="2">
        <f t="shared" si="154"/>
        <v>0</v>
      </c>
      <c r="U166" s="2">
        <f t="shared" si="155"/>
        <v>0</v>
      </c>
      <c r="V166" s="2">
        <f t="shared" si="156"/>
        <v>0</v>
      </c>
      <c r="W166" s="2">
        <f t="shared" si="157"/>
        <v>0</v>
      </c>
      <c r="X166" s="2">
        <f t="shared" ref="X166:X173" si="181">(ROUND((((S166+ROUND((ROUND(((EU166)*AV166*I166),2)*BS166),2))*AT166)/100),2)+ROUND(((ROUND((ROUND(((AE166-(EU166))*AV166*I166),2)*BS166),2)*AT166)/100),2))</f>
        <v>0</v>
      </c>
      <c r="Y166" s="2">
        <f t="shared" ref="Y166:Y173" si="182">(ROUND((((S166+ROUND((ROUND(((EU166)*AV166*I166),2)*BS166),2))*AU166)/100),2)+ROUND(((ROUND((ROUND(((AE166-(EU166))*AV166*I166),2)*BS166),2)*AU166)/100),2))</f>
        <v>0</v>
      </c>
      <c r="Z166" s="2"/>
      <c r="AA166" s="2">
        <v>60258064</v>
      </c>
      <c r="AB166" s="2">
        <f t="shared" si="158"/>
        <v>6894.29</v>
      </c>
      <c r="AC166" s="2">
        <f t="shared" si="159"/>
        <v>6894.29</v>
      </c>
      <c r="AD166" s="2">
        <f t="shared" ref="AD166:AD173" si="183">ROUND((((ET166)-(EU166))+AE166),6)</f>
        <v>0</v>
      </c>
      <c r="AE166" s="2">
        <f t="shared" ref="AE166:AF173" si="184">ROUND((EU166),6)</f>
        <v>0</v>
      </c>
      <c r="AF166" s="2">
        <f t="shared" si="184"/>
        <v>0</v>
      </c>
      <c r="AG166" s="2">
        <f t="shared" si="160"/>
        <v>0</v>
      </c>
      <c r="AH166" s="2">
        <f t="shared" ref="AH166:AI173" si="185">(EW166)</f>
        <v>0</v>
      </c>
      <c r="AI166" s="2">
        <f t="shared" si="185"/>
        <v>0</v>
      </c>
      <c r="AJ166" s="2">
        <f t="shared" si="161"/>
        <v>0</v>
      </c>
      <c r="AK166" s="2">
        <v>6894.29</v>
      </c>
      <c r="AL166" s="2">
        <v>6894.29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1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3</v>
      </c>
      <c r="BI166" s="2">
        <v>2</v>
      </c>
      <c r="BJ166" s="2" t="s">
        <v>3</v>
      </c>
      <c r="BK166" s="2"/>
      <c r="BL166" s="2"/>
      <c r="BM166" s="2">
        <v>400002</v>
      </c>
      <c r="BN166" s="2">
        <v>0</v>
      </c>
      <c r="BO166" s="2" t="s">
        <v>3</v>
      </c>
      <c r="BP166" s="2">
        <v>0</v>
      </c>
      <c r="BQ166" s="2">
        <v>202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0</v>
      </c>
      <c r="CA166" s="2">
        <v>0</v>
      </c>
      <c r="CB166" s="2" t="s">
        <v>3</v>
      </c>
      <c r="CC166" s="2"/>
      <c r="CD166" s="2"/>
      <c r="CE166" s="2">
        <v>1566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3</v>
      </c>
      <c r="CO166" s="2">
        <v>0</v>
      </c>
      <c r="CP166" s="2">
        <f t="shared" si="162"/>
        <v>3516.09</v>
      </c>
      <c r="CQ166" s="2">
        <f t="shared" si="163"/>
        <v>6894.29</v>
      </c>
      <c r="CR166" s="2">
        <f t="shared" ref="CR166:CR173" si="186">(ROUND((ROUND(((ET166)*AV166*1),2)*BB166),2)+ROUND((ROUND(((AE166-(EU166))*AV166*1),2)*BS166),2))</f>
        <v>0</v>
      </c>
      <c r="CS166" s="2">
        <f t="shared" ref="CS166:CS173" si="187">(ROUND((ROUND(((EU166)*AV166*1),2)*BS166),2)+ROUND((ROUND(((AE166-(EU166))*AV166*1),2)*BS166),2))</f>
        <v>0</v>
      </c>
      <c r="CT166" s="2">
        <f t="shared" si="164"/>
        <v>0</v>
      </c>
      <c r="CU166" s="2">
        <f t="shared" si="165"/>
        <v>0</v>
      </c>
      <c r="CV166" s="2">
        <f t="shared" si="166"/>
        <v>0</v>
      </c>
      <c r="CW166" s="2">
        <f t="shared" si="167"/>
        <v>0</v>
      </c>
      <c r="CX166" s="2">
        <f t="shared" si="168"/>
        <v>0</v>
      </c>
      <c r="CY166" s="2">
        <f t="shared" ref="CY166:CY173" si="188">(ROUND((((S166+ROUND((ROUND(((EU166)*AV166*1),2)*BS166),2))*AT166)/100),2)+ROUND(((ROUND((ROUND(((AE166-(EU166))*AV166*1),2)*BS166),2)*AT166)/100),2))</f>
        <v>0</v>
      </c>
      <c r="CZ166" s="2">
        <f t="shared" ref="CZ166:CZ173" si="189">(ROUND((((S166+ROUND((ROUND(((EU166)*AV166*1),2)*BS166),2))*AU166)/100),2)+ROUND(((ROUND((ROUND(((AE166-(EU166))*AV166*1),2)*BS166),2)*AU166)/100),2))</f>
        <v>0</v>
      </c>
      <c r="DA166" s="2"/>
      <c r="DB166" s="2"/>
      <c r="DC166" s="2" t="s">
        <v>3</v>
      </c>
      <c r="DD166" s="2" t="s">
        <v>3</v>
      </c>
      <c r="DE166" s="2" t="s">
        <v>3</v>
      </c>
      <c r="DF166" s="2" t="s">
        <v>3</v>
      </c>
      <c r="DG166" s="2" t="s">
        <v>3</v>
      </c>
      <c r="DH166" s="2" t="s">
        <v>3</v>
      </c>
      <c r="DI166" s="2" t="s">
        <v>3</v>
      </c>
      <c r="DJ166" s="2" t="s">
        <v>3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1003</v>
      </c>
      <c r="DV166" s="2" t="s">
        <v>232</v>
      </c>
      <c r="DW166" s="2" t="s">
        <v>232</v>
      </c>
      <c r="DX166" s="2">
        <v>1000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60088644</v>
      </c>
      <c r="EF166" s="2">
        <v>202</v>
      </c>
      <c r="EG166" s="2" t="s">
        <v>46</v>
      </c>
      <c r="EH166" s="2">
        <v>0</v>
      </c>
      <c r="EI166" s="2" t="s">
        <v>3</v>
      </c>
      <c r="EJ166" s="2">
        <v>1</v>
      </c>
      <c r="EK166" s="2">
        <v>400002</v>
      </c>
      <c r="EL166" s="2" t="s">
        <v>47</v>
      </c>
      <c r="EM166" s="2" t="s">
        <v>46</v>
      </c>
      <c r="EN166" s="2"/>
      <c r="EO166" s="2" t="s">
        <v>3</v>
      </c>
      <c r="EP166" s="2"/>
      <c r="EQ166" s="2">
        <v>0</v>
      </c>
      <c r="ER166" s="2">
        <v>0</v>
      </c>
      <c r="ES166" s="2">
        <v>6894.29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v>0</v>
      </c>
      <c r="FS166" s="2">
        <v>0</v>
      </c>
      <c r="FT166" s="2"/>
      <c r="FU166" s="2"/>
      <c r="FV166" s="2"/>
      <c r="FW166" s="2"/>
      <c r="FX166" s="2">
        <v>0</v>
      </c>
      <c r="FY166" s="2">
        <v>0</v>
      </c>
      <c r="FZ166" s="2"/>
      <c r="GA166" s="2" t="s">
        <v>233</v>
      </c>
      <c r="GB166" s="2"/>
      <c r="GC166" s="2"/>
      <c r="GD166" s="2">
        <v>1</v>
      </c>
      <c r="GE166" s="2"/>
      <c r="GF166" s="2">
        <v>-105989561</v>
      </c>
      <c r="GG166" s="2">
        <v>2</v>
      </c>
      <c r="GH166" s="2">
        <v>4</v>
      </c>
      <c r="GI166" s="2">
        <v>-2</v>
      </c>
      <c r="GJ166" s="2">
        <v>0</v>
      </c>
      <c r="GK166" s="2">
        <v>0</v>
      </c>
      <c r="GL166" s="2">
        <f t="shared" si="169"/>
        <v>0</v>
      </c>
      <c r="GM166" s="2">
        <f t="shared" si="170"/>
        <v>3516.09</v>
      </c>
      <c r="GN166" s="2">
        <f t="shared" si="171"/>
        <v>0</v>
      </c>
      <c r="GO166" s="2">
        <f t="shared" si="172"/>
        <v>3516.09</v>
      </c>
      <c r="GP166" s="2">
        <f t="shared" si="173"/>
        <v>0</v>
      </c>
      <c r="GQ166" s="2"/>
      <c r="GR166" s="2">
        <v>0</v>
      </c>
      <c r="GS166" s="2">
        <v>2</v>
      </c>
      <c r="GT166" s="2">
        <v>0</v>
      </c>
      <c r="GU166" s="2" t="s">
        <v>3</v>
      </c>
      <c r="GV166" s="2">
        <f t="shared" si="174"/>
        <v>0</v>
      </c>
      <c r="GW166" s="2">
        <v>1</v>
      </c>
      <c r="GX166" s="2">
        <f t="shared" si="175"/>
        <v>0</v>
      </c>
      <c r="GY166" s="2"/>
      <c r="GZ166" s="2"/>
      <c r="HA166" s="2">
        <v>0</v>
      </c>
      <c r="HB166" s="2">
        <v>0</v>
      </c>
      <c r="HC166" s="2">
        <f t="shared" si="176"/>
        <v>0</v>
      </c>
      <c r="HD166" s="2"/>
      <c r="HE166" s="2" t="s">
        <v>49</v>
      </c>
      <c r="HF166" s="2" t="s">
        <v>28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">
      <c r="A167">
        <v>17</v>
      </c>
      <c r="B167">
        <v>1</v>
      </c>
      <c r="E167" t="s">
        <v>229</v>
      </c>
      <c r="F167" t="s">
        <v>230</v>
      </c>
      <c r="G167" t="s">
        <v>231</v>
      </c>
      <c r="H167" t="s">
        <v>232</v>
      </c>
      <c r="I167">
        <f>ROUND((500*1.02)/1000,9)</f>
        <v>0.51</v>
      </c>
      <c r="J167">
        <v>0</v>
      </c>
      <c r="K167">
        <f>ROUND((500*1.02)/1000,9)</f>
        <v>0.51</v>
      </c>
      <c r="O167">
        <f t="shared" si="151"/>
        <v>34738.97</v>
      </c>
      <c r="P167">
        <f t="shared" si="152"/>
        <v>34738.97</v>
      </c>
      <c r="Q167">
        <f t="shared" si="179"/>
        <v>0</v>
      </c>
      <c r="R167">
        <f t="shared" si="180"/>
        <v>0</v>
      </c>
      <c r="S167">
        <f t="shared" si="153"/>
        <v>0</v>
      </c>
      <c r="T167">
        <f t="shared" si="154"/>
        <v>0</v>
      </c>
      <c r="U167">
        <f t="shared" si="155"/>
        <v>0</v>
      </c>
      <c r="V167">
        <f t="shared" si="156"/>
        <v>0</v>
      </c>
      <c r="W167">
        <f t="shared" si="157"/>
        <v>0</v>
      </c>
      <c r="X167">
        <f t="shared" si="181"/>
        <v>0</v>
      </c>
      <c r="Y167">
        <f t="shared" si="182"/>
        <v>0</v>
      </c>
      <c r="AA167">
        <v>60258061</v>
      </c>
      <c r="AB167">
        <f t="shared" si="158"/>
        <v>6894.29</v>
      </c>
      <c r="AC167">
        <f t="shared" si="159"/>
        <v>6894.29</v>
      </c>
      <c r="AD167">
        <f t="shared" si="183"/>
        <v>0</v>
      </c>
      <c r="AE167">
        <f t="shared" si="184"/>
        <v>0</v>
      </c>
      <c r="AF167">
        <f t="shared" si="184"/>
        <v>0</v>
      </c>
      <c r="AG167">
        <f t="shared" si="160"/>
        <v>0</v>
      </c>
      <c r="AH167">
        <f t="shared" si="185"/>
        <v>0</v>
      </c>
      <c r="AI167">
        <f t="shared" si="185"/>
        <v>0</v>
      </c>
      <c r="AJ167">
        <f t="shared" si="161"/>
        <v>0</v>
      </c>
      <c r="AK167">
        <v>6894.29</v>
      </c>
      <c r="AL167">
        <v>6894.29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1</v>
      </c>
      <c r="AZ167">
        <v>1</v>
      </c>
      <c r="BA167">
        <v>1</v>
      </c>
      <c r="BB167">
        <v>1</v>
      </c>
      <c r="BC167">
        <v>9.8800000000000008</v>
      </c>
      <c r="BD167" t="s">
        <v>3</v>
      </c>
      <c r="BE167" t="s">
        <v>3</v>
      </c>
      <c r="BF167" t="s">
        <v>3</v>
      </c>
      <c r="BG167" t="s">
        <v>3</v>
      </c>
      <c r="BH167">
        <v>3</v>
      </c>
      <c r="BI167">
        <v>2</v>
      </c>
      <c r="BJ167" t="s">
        <v>3</v>
      </c>
      <c r="BM167">
        <v>400002</v>
      </c>
      <c r="BN167">
        <v>0</v>
      </c>
      <c r="BO167" t="s">
        <v>3</v>
      </c>
      <c r="BP167">
        <v>0</v>
      </c>
      <c r="BQ167">
        <v>202</v>
      </c>
      <c r="BR167">
        <v>0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 t="s">
        <v>3</v>
      </c>
      <c r="BZ167">
        <v>0</v>
      </c>
      <c r="CA167">
        <v>0</v>
      </c>
      <c r="CB167" t="s">
        <v>3</v>
      </c>
      <c r="CE167">
        <v>1566</v>
      </c>
      <c r="CF167">
        <v>0</v>
      </c>
      <c r="CG167">
        <v>0</v>
      </c>
      <c r="CM167">
        <v>0</v>
      </c>
      <c r="CN167" t="s">
        <v>3</v>
      </c>
      <c r="CO167">
        <v>0</v>
      </c>
      <c r="CP167">
        <f t="shared" si="162"/>
        <v>34738.97</v>
      </c>
      <c r="CQ167">
        <f t="shared" si="163"/>
        <v>68115.59</v>
      </c>
      <c r="CR167">
        <f t="shared" si="186"/>
        <v>0</v>
      </c>
      <c r="CS167">
        <f t="shared" si="187"/>
        <v>0</v>
      </c>
      <c r="CT167">
        <f t="shared" si="164"/>
        <v>0</v>
      </c>
      <c r="CU167">
        <f t="shared" si="165"/>
        <v>0</v>
      </c>
      <c r="CV167">
        <f t="shared" si="166"/>
        <v>0</v>
      </c>
      <c r="CW167">
        <f t="shared" si="167"/>
        <v>0</v>
      </c>
      <c r="CX167">
        <f t="shared" si="168"/>
        <v>0</v>
      </c>
      <c r="CY167">
        <f t="shared" si="188"/>
        <v>0</v>
      </c>
      <c r="CZ167">
        <f t="shared" si="189"/>
        <v>0</v>
      </c>
      <c r="DC167" t="s">
        <v>3</v>
      </c>
      <c r="DD167" t="s">
        <v>3</v>
      </c>
      <c r="DE167" t="s">
        <v>3</v>
      </c>
      <c r="DF167" t="s">
        <v>3</v>
      </c>
      <c r="DG167" t="s">
        <v>3</v>
      </c>
      <c r="DH167" t="s">
        <v>3</v>
      </c>
      <c r="DI167" t="s">
        <v>3</v>
      </c>
      <c r="DJ167" t="s">
        <v>3</v>
      </c>
      <c r="DK167" t="s">
        <v>3</v>
      </c>
      <c r="DL167" t="s">
        <v>3</v>
      </c>
      <c r="DM167" t="s">
        <v>3</v>
      </c>
      <c r="DN167">
        <v>0</v>
      </c>
      <c r="DO167">
        <v>0</v>
      </c>
      <c r="DP167">
        <v>1</v>
      </c>
      <c r="DQ167">
        <v>1</v>
      </c>
      <c r="DU167">
        <v>1003</v>
      </c>
      <c r="DV167" t="s">
        <v>232</v>
      </c>
      <c r="DW167" t="s">
        <v>232</v>
      </c>
      <c r="DX167">
        <v>1000</v>
      </c>
      <c r="DZ167" t="s">
        <v>3</v>
      </c>
      <c r="EA167" t="s">
        <v>3</v>
      </c>
      <c r="EB167" t="s">
        <v>3</v>
      </c>
      <c r="EC167" t="s">
        <v>3</v>
      </c>
      <c r="EE167">
        <v>60088644</v>
      </c>
      <c r="EF167">
        <v>202</v>
      </c>
      <c r="EG167" t="s">
        <v>46</v>
      </c>
      <c r="EH167">
        <v>0</v>
      </c>
      <c r="EI167" t="s">
        <v>3</v>
      </c>
      <c r="EJ167">
        <v>1</v>
      </c>
      <c r="EK167">
        <v>400002</v>
      </c>
      <c r="EL167" t="s">
        <v>47</v>
      </c>
      <c r="EM167" t="s">
        <v>46</v>
      </c>
      <c r="EO167" t="s">
        <v>3</v>
      </c>
      <c r="EQ167">
        <v>0</v>
      </c>
      <c r="ER167">
        <v>0</v>
      </c>
      <c r="ES167">
        <v>6894.29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5</v>
      </c>
      <c r="FC167">
        <v>1</v>
      </c>
      <c r="FD167">
        <v>18</v>
      </c>
      <c r="FF167">
        <v>80136</v>
      </c>
      <c r="FQ167">
        <v>0</v>
      </c>
      <c r="FR167">
        <v>0</v>
      </c>
      <c r="FS167">
        <v>0</v>
      </c>
      <c r="FX167">
        <v>0</v>
      </c>
      <c r="FY167">
        <v>0</v>
      </c>
      <c r="GA167" t="s">
        <v>233</v>
      </c>
      <c r="GD167">
        <v>1</v>
      </c>
      <c r="GF167">
        <v>-105989561</v>
      </c>
      <c r="GG167">
        <v>2</v>
      </c>
      <c r="GH167">
        <v>3</v>
      </c>
      <c r="GI167">
        <v>5</v>
      </c>
      <c r="GJ167">
        <v>0</v>
      </c>
      <c r="GK167">
        <v>0</v>
      </c>
      <c r="GL167">
        <f t="shared" si="169"/>
        <v>0</v>
      </c>
      <c r="GM167">
        <f t="shared" si="170"/>
        <v>34738.97</v>
      </c>
      <c r="GN167">
        <f t="shared" si="171"/>
        <v>0</v>
      </c>
      <c r="GO167">
        <f t="shared" si="172"/>
        <v>34738.97</v>
      </c>
      <c r="GP167">
        <f t="shared" si="173"/>
        <v>0</v>
      </c>
      <c r="GR167">
        <v>1</v>
      </c>
      <c r="GS167">
        <v>1</v>
      </c>
      <c r="GT167">
        <v>0</v>
      </c>
      <c r="GU167" t="s">
        <v>3</v>
      </c>
      <c r="GV167">
        <f t="shared" si="174"/>
        <v>0</v>
      </c>
      <c r="GW167">
        <v>1</v>
      </c>
      <c r="GX167">
        <f t="shared" si="175"/>
        <v>0</v>
      </c>
      <c r="HA167">
        <v>0</v>
      </c>
      <c r="HB167">
        <v>0</v>
      </c>
      <c r="HC167">
        <f t="shared" si="176"/>
        <v>0</v>
      </c>
      <c r="HE167" t="s">
        <v>49</v>
      </c>
      <c r="HF167" t="s">
        <v>28</v>
      </c>
      <c r="HM167" t="s">
        <v>3</v>
      </c>
      <c r="HN167" t="s">
        <v>3</v>
      </c>
      <c r="HO167" t="s">
        <v>3</v>
      </c>
      <c r="HP167" t="s">
        <v>3</v>
      </c>
      <c r="HQ167" t="s">
        <v>3</v>
      </c>
      <c r="HS167">
        <v>0</v>
      </c>
      <c r="IK167">
        <v>0</v>
      </c>
    </row>
    <row r="168" spans="1:255" x14ac:dyDescent="0.2">
      <c r="A168" s="2">
        <v>17</v>
      </c>
      <c r="B168" s="2">
        <v>1</v>
      </c>
      <c r="C168" s="2"/>
      <c r="D168" s="2"/>
      <c r="E168" s="2" t="s">
        <v>234</v>
      </c>
      <c r="F168" s="2" t="s">
        <v>235</v>
      </c>
      <c r="G168" s="2" t="s">
        <v>236</v>
      </c>
      <c r="H168" s="2" t="s">
        <v>232</v>
      </c>
      <c r="I168" s="2">
        <f>ROUND((6320*1.02)/1000,9)</f>
        <v>6.4463999999999997</v>
      </c>
      <c r="J168" s="2">
        <v>0</v>
      </c>
      <c r="K168" s="2">
        <f>ROUND((6320*1.02)/1000,9)</f>
        <v>6.4463999999999997</v>
      </c>
      <c r="L168" s="2"/>
      <c r="M168" s="2"/>
      <c r="N168" s="2"/>
      <c r="O168" s="2">
        <f t="shared" si="151"/>
        <v>50707</v>
      </c>
      <c r="P168" s="2">
        <f t="shared" si="152"/>
        <v>50707</v>
      </c>
      <c r="Q168" s="2">
        <f t="shared" si="179"/>
        <v>0</v>
      </c>
      <c r="R168" s="2">
        <f t="shared" si="180"/>
        <v>0</v>
      </c>
      <c r="S168" s="2">
        <f t="shared" si="153"/>
        <v>0</v>
      </c>
      <c r="T168" s="2">
        <f t="shared" si="154"/>
        <v>0</v>
      </c>
      <c r="U168" s="2">
        <f t="shared" si="155"/>
        <v>0</v>
      </c>
      <c r="V168" s="2">
        <f t="shared" si="156"/>
        <v>0</v>
      </c>
      <c r="W168" s="2">
        <f t="shared" si="157"/>
        <v>0</v>
      </c>
      <c r="X168" s="2">
        <f t="shared" si="181"/>
        <v>0</v>
      </c>
      <c r="Y168" s="2">
        <f t="shared" si="182"/>
        <v>0</v>
      </c>
      <c r="Z168" s="2"/>
      <c r="AA168" s="2">
        <v>60258064</v>
      </c>
      <c r="AB168" s="2">
        <f t="shared" si="158"/>
        <v>7865.94</v>
      </c>
      <c r="AC168" s="2">
        <f t="shared" si="159"/>
        <v>7865.94</v>
      </c>
      <c r="AD168" s="2">
        <f t="shared" si="183"/>
        <v>0</v>
      </c>
      <c r="AE168" s="2">
        <f t="shared" si="184"/>
        <v>0</v>
      </c>
      <c r="AF168" s="2">
        <f t="shared" si="184"/>
        <v>0</v>
      </c>
      <c r="AG168" s="2">
        <f t="shared" si="160"/>
        <v>0</v>
      </c>
      <c r="AH168" s="2">
        <f t="shared" si="185"/>
        <v>0</v>
      </c>
      <c r="AI168" s="2">
        <f t="shared" si="185"/>
        <v>0</v>
      </c>
      <c r="AJ168" s="2">
        <f t="shared" si="161"/>
        <v>0</v>
      </c>
      <c r="AK168" s="2">
        <v>7865.94</v>
      </c>
      <c r="AL168" s="2">
        <v>7865.94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2</v>
      </c>
      <c r="BJ168" s="2" t="s">
        <v>3</v>
      </c>
      <c r="BK168" s="2"/>
      <c r="BL168" s="2"/>
      <c r="BM168" s="2">
        <v>400002</v>
      </c>
      <c r="BN168" s="2">
        <v>0</v>
      </c>
      <c r="BO168" s="2" t="s">
        <v>3</v>
      </c>
      <c r="BP168" s="2">
        <v>0</v>
      </c>
      <c r="BQ168" s="2">
        <v>202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0</v>
      </c>
      <c r="CA168" s="2">
        <v>0</v>
      </c>
      <c r="CB168" s="2" t="s">
        <v>3</v>
      </c>
      <c r="CC168" s="2"/>
      <c r="CD168" s="2"/>
      <c r="CE168" s="2">
        <v>1566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162"/>
        <v>50707</v>
      </c>
      <c r="CQ168" s="2">
        <f t="shared" si="163"/>
        <v>7865.94</v>
      </c>
      <c r="CR168" s="2">
        <f t="shared" si="186"/>
        <v>0</v>
      </c>
      <c r="CS168" s="2">
        <f t="shared" si="187"/>
        <v>0</v>
      </c>
      <c r="CT168" s="2">
        <f t="shared" si="164"/>
        <v>0</v>
      </c>
      <c r="CU168" s="2">
        <f t="shared" si="165"/>
        <v>0</v>
      </c>
      <c r="CV168" s="2">
        <f t="shared" si="166"/>
        <v>0</v>
      </c>
      <c r="CW168" s="2">
        <f t="shared" si="167"/>
        <v>0</v>
      </c>
      <c r="CX168" s="2">
        <f t="shared" si="168"/>
        <v>0</v>
      </c>
      <c r="CY168" s="2">
        <f t="shared" si="188"/>
        <v>0</v>
      </c>
      <c r="CZ168" s="2">
        <f t="shared" si="189"/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1003</v>
      </c>
      <c r="DV168" s="2" t="s">
        <v>232</v>
      </c>
      <c r="DW168" s="2" t="s">
        <v>232</v>
      </c>
      <c r="DX168" s="2">
        <v>1000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60088644</v>
      </c>
      <c r="EF168" s="2">
        <v>202</v>
      </c>
      <c r="EG168" s="2" t="s">
        <v>46</v>
      </c>
      <c r="EH168" s="2">
        <v>0</v>
      </c>
      <c r="EI168" s="2" t="s">
        <v>3</v>
      </c>
      <c r="EJ168" s="2">
        <v>1</v>
      </c>
      <c r="EK168" s="2">
        <v>400002</v>
      </c>
      <c r="EL168" s="2" t="s">
        <v>47</v>
      </c>
      <c r="EM168" s="2" t="s">
        <v>46</v>
      </c>
      <c r="EN168" s="2"/>
      <c r="EO168" s="2" t="s">
        <v>3</v>
      </c>
      <c r="EP168" s="2"/>
      <c r="EQ168" s="2">
        <v>0</v>
      </c>
      <c r="ER168" s="2">
        <v>0</v>
      </c>
      <c r="ES168" s="2">
        <v>7865.94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v>0</v>
      </c>
      <c r="FS168" s="2">
        <v>0</v>
      </c>
      <c r="FT168" s="2"/>
      <c r="FU168" s="2"/>
      <c r="FV168" s="2"/>
      <c r="FW168" s="2"/>
      <c r="FX168" s="2">
        <v>0</v>
      </c>
      <c r="FY168" s="2">
        <v>0</v>
      </c>
      <c r="FZ168" s="2"/>
      <c r="GA168" s="2" t="s">
        <v>237</v>
      </c>
      <c r="GB168" s="2"/>
      <c r="GC168" s="2"/>
      <c r="GD168" s="2">
        <v>1</v>
      </c>
      <c r="GE168" s="2"/>
      <c r="GF168" s="2">
        <v>-1209743409</v>
      </c>
      <c r="GG168" s="2">
        <v>2</v>
      </c>
      <c r="GH168" s="2">
        <v>4</v>
      </c>
      <c r="GI168" s="2">
        <v>-2</v>
      </c>
      <c r="GJ168" s="2">
        <v>0</v>
      </c>
      <c r="GK168" s="2">
        <v>0</v>
      </c>
      <c r="GL168" s="2">
        <f t="shared" si="169"/>
        <v>0</v>
      </c>
      <c r="GM168" s="2">
        <f t="shared" si="170"/>
        <v>50707</v>
      </c>
      <c r="GN168" s="2">
        <f t="shared" si="171"/>
        <v>0</v>
      </c>
      <c r="GO168" s="2">
        <f t="shared" si="172"/>
        <v>50707</v>
      </c>
      <c r="GP168" s="2">
        <f t="shared" si="173"/>
        <v>0</v>
      </c>
      <c r="GQ168" s="2"/>
      <c r="GR168" s="2">
        <v>0</v>
      </c>
      <c r="GS168" s="2">
        <v>2</v>
      </c>
      <c r="GT168" s="2">
        <v>0</v>
      </c>
      <c r="GU168" s="2" t="s">
        <v>3</v>
      </c>
      <c r="GV168" s="2">
        <f t="shared" si="174"/>
        <v>0</v>
      </c>
      <c r="GW168" s="2">
        <v>1</v>
      </c>
      <c r="GX168" s="2">
        <f t="shared" si="175"/>
        <v>0</v>
      </c>
      <c r="GY168" s="2"/>
      <c r="GZ168" s="2"/>
      <c r="HA168" s="2">
        <v>0</v>
      </c>
      <c r="HB168" s="2">
        <v>0</v>
      </c>
      <c r="HC168" s="2">
        <f t="shared" si="176"/>
        <v>0</v>
      </c>
      <c r="HD168" s="2"/>
      <c r="HE168" s="2" t="s">
        <v>49</v>
      </c>
      <c r="HF168" s="2" t="s">
        <v>28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">
      <c r="A169">
        <v>17</v>
      </c>
      <c r="B169">
        <v>1</v>
      </c>
      <c r="E169" t="s">
        <v>234</v>
      </c>
      <c r="F169" t="s">
        <v>235</v>
      </c>
      <c r="G169" t="s">
        <v>236</v>
      </c>
      <c r="H169" t="s">
        <v>232</v>
      </c>
      <c r="I169">
        <f>ROUND((6320*1.02)/1000,9)</f>
        <v>6.4463999999999997</v>
      </c>
      <c r="J169">
        <v>0</v>
      </c>
      <c r="K169">
        <f>ROUND((6320*1.02)/1000,9)</f>
        <v>6.4463999999999997</v>
      </c>
      <c r="O169">
        <f t="shared" si="151"/>
        <v>500985.16</v>
      </c>
      <c r="P169">
        <f t="shared" si="152"/>
        <v>500985.16</v>
      </c>
      <c r="Q169">
        <f t="shared" si="179"/>
        <v>0</v>
      </c>
      <c r="R169">
        <f t="shared" si="180"/>
        <v>0</v>
      </c>
      <c r="S169">
        <f t="shared" si="153"/>
        <v>0</v>
      </c>
      <c r="T169">
        <f t="shared" si="154"/>
        <v>0</v>
      </c>
      <c r="U169">
        <f t="shared" si="155"/>
        <v>0</v>
      </c>
      <c r="V169">
        <f t="shared" si="156"/>
        <v>0</v>
      </c>
      <c r="W169">
        <f t="shared" si="157"/>
        <v>0</v>
      </c>
      <c r="X169">
        <f t="shared" si="181"/>
        <v>0</v>
      </c>
      <c r="Y169">
        <f t="shared" si="182"/>
        <v>0</v>
      </c>
      <c r="AA169">
        <v>60258061</v>
      </c>
      <c r="AB169">
        <f t="shared" si="158"/>
        <v>7865.94</v>
      </c>
      <c r="AC169">
        <f t="shared" si="159"/>
        <v>7865.94</v>
      </c>
      <c r="AD169">
        <f t="shared" si="183"/>
        <v>0</v>
      </c>
      <c r="AE169">
        <f t="shared" si="184"/>
        <v>0</v>
      </c>
      <c r="AF169">
        <f t="shared" si="184"/>
        <v>0</v>
      </c>
      <c r="AG169">
        <f t="shared" si="160"/>
        <v>0</v>
      </c>
      <c r="AH169">
        <f t="shared" si="185"/>
        <v>0</v>
      </c>
      <c r="AI169">
        <f t="shared" si="185"/>
        <v>0</v>
      </c>
      <c r="AJ169">
        <f t="shared" si="161"/>
        <v>0</v>
      </c>
      <c r="AK169">
        <v>7865.94</v>
      </c>
      <c r="AL169">
        <v>7865.94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1</v>
      </c>
      <c r="AZ169">
        <v>1</v>
      </c>
      <c r="BA169">
        <v>1</v>
      </c>
      <c r="BB169">
        <v>1</v>
      </c>
      <c r="BC169">
        <v>9.8800000000000008</v>
      </c>
      <c r="BD169" t="s">
        <v>3</v>
      </c>
      <c r="BE169" t="s">
        <v>3</v>
      </c>
      <c r="BF169" t="s">
        <v>3</v>
      </c>
      <c r="BG169" t="s">
        <v>3</v>
      </c>
      <c r="BH169">
        <v>3</v>
      </c>
      <c r="BI169">
        <v>2</v>
      </c>
      <c r="BJ169" t="s">
        <v>3</v>
      </c>
      <c r="BM169">
        <v>400002</v>
      </c>
      <c r="BN169">
        <v>0</v>
      </c>
      <c r="BO169" t="s">
        <v>3</v>
      </c>
      <c r="BP169">
        <v>0</v>
      </c>
      <c r="BQ169">
        <v>202</v>
      </c>
      <c r="BR169">
        <v>0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 t="s">
        <v>3</v>
      </c>
      <c r="BZ169">
        <v>0</v>
      </c>
      <c r="CA169">
        <v>0</v>
      </c>
      <c r="CB169" t="s">
        <v>3</v>
      </c>
      <c r="CE169">
        <v>1566</v>
      </c>
      <c r="CF169">
        <v>0</v>
      </c>
      <c r="CG169">
        <v>0</v>
      </c>
      <c r="CM169">
        <v>0</v>
      </c>
      <c r="CN169" t="s">
        <v>3</v>
      </c>
      <c r="CO169">
        <v>0</v>
      </c>
      <c r="CP169">
        <f t="shared" si="162"/>
        <v>500985.16</v>
      </c>
      <c r="CQ169">
        <f t="shared" si="163"/>
        <v>77715.490000000005</v>
      </c>
      <c r="CR169">
        <f t="shared" si="186"/>
        <v>0</v>
      </c>
      <c r="CS169">
        <f t="shared" si="187"/>
        <v>0</v>
      </c>
      <c r="CT169">
        <f t="shared" si="164"/>
        <v>0</v>
      </c>
      <c r="CU169">
        <f t="shared" si="165"/>
        <v>0</v>
      </c>
      <c r="CV169">
        <f t="shared" si="166"/>
        <v>0</v>
      </c>
      <c r="CW169">
        <f t="shared" si="167"/>
        <v>0</v>
      </c>
      <c r="CX169">
        <f t="shared" si="168"/>
        <v>0</v>
      </c>
      <c r="CY169">
        <f t="shared" si="188"/>
        <v>0</v>
      </c>
      <c r="CZ169">
        <f t="shared" si="189"/>
        <v>0</v>
      </c>
      <c r="DC169" t="s">
        <v>3</v>
      </c>
      <c r="DD169" t="s">
        <v>3</v>
      </c>
      <c r="DE169" t="s">
        <v>3</v>
      </c>
      <c r="DF169" t="s">
        <v>3</v>
      </c>
      <c r="DG169" t="s">
        <v>3</v>
      </c>
      <c r="DH169" t="s">
        <v>3</v>
      </c>
      <c r="DI169" t="s">
        <v>3</v>
      </c>
      <c r="DJ169" t="s">
        <v>3</v>
      </c>
      <c r="DK169" t="s">
        <v>3</v>
      </c>
      <c r="DL169" t="s">
        <v>3</v>
      </c>
      <c r="DM169" t="s">
        <v>3</v>
      </c>
      <c r="DN169">
        <v>0</v>
      </c>
      <c r="DO169">
        <v>0</v>
      </c>
      <c r="DP169">
        <v>1</v>
      </c>
      <c r="DQ169">
        <v>1</v>
      </c>
      <c r="DU169">
        <v>1003</v>
      </c>
      <c r="DV169" t="s">
        <v>232</v>
      </c>
      <c r="DW169" t="s">
        <v>232</v>
      </c>
      <c r="DX169">
        <v>1000</v>
      </c>
      <c r="DZ169" t="s">
        <v>3</v>
      </c>
      <c r="EA169" t="s">
        <v>3</v>
      </c>
      <c r="EB169" t="s">
        <v>3</v>
      </c>
      <c r="EC169" t="s">
        <v>3</v>
      </c>
      <c r="EE169">
        <v>60088644</v>
      </c>
      <c r="EF169">
        <v>202</v>
      </c>
      <c r="EG169" t="s">
        <v>46</v>
      </c>
      <c r="EH169">
        <v>0</v>
      </c>
      <c r="EI169" t="s">
        <v>3</v>
      </c>
      <c r="EJ169">
        <v>1</v>
      </c>
      <c r="EK169">
        <v>400002</v>
      </c>
      <c r="EL169" t="s">
        <v>47</v>
      </c>
      <c r="EM169" t="s">
        <v>46</v>
      </c>
      <c r="EO169" t="s">
        <v>3</v>
      </c>
      <c r="EQ169">
        <v>0</v>
      </c>
      <c r="ER169">
        <v>0</v>
      </c>
      <c r="ES169">
        <v>7865.94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5</v>
      </c>
      <c r="FC169">
        <v>1</v>
      </c>
      <c r="FD169">
        <v>18</v>
      </c>
      <c r="FF169">
        <v>91430</v>
      </c>
      <c r="FQ169">
        <v>0</v>
      </c>
      <c r="FR169">
        <v>0</v>
      </c>
      <c r="FS169">
        <v>0</v>
      </c>
      <c r="FX169">
        <v>0</v>
      </c>
      <c r="FY169">
        <v>0</v>
      </c>
      <c r="GA169" t="s">
        <v>237</v>
      </c>
      <c r="GD169">
        <v>1</v>
      </c>
      <c r="GF169">
        <v>-1209743409</v>
      </c>
      <c r="GG169">
        <v>2</v>
      </c>
      <c r="GH169">
        <v>3</v>
      </c>
      <c r="GI169">
        <v>5</v>
      </c>
      <c r="GJ169">
        <v>0</v>
      </c>
      <c r="GK169">
        <v>0</v>
      </c>
      <c r="GL169">
        <f t="shared" si="169"/>
        <v>0</v>
      </c>
      <c r="GM169">
        <f t="shared" si="170"/>
        <v>500985.16</v>
      </c>
      <c r="GN169">
        <f t="shared" si="171"/>
        <v>0</v>
      </c>
      <c r="GO169">
        <f t="shared" si="172"/>
        <v>500985.16</v>
      </c>
      <c r="GP169">
        <f t="shared" si="173"/>
        <v>0</v>
      </c>
      <c r="GR169">
        <v>1</v>
      </c>
      <c r="GS169">
        <v>1</v>
      </c>
      <c r="GT169">
        <v>0</v>
      </c>
      <c r="GU169" t="s">
        <v>3</v>
      </c>
      <c r="GV169">
        <f t="shared" si="174"/>
        <v>0</v>
      </c>
      <c r="GW169">
        <v>1</v>
      </c>
      <c r="GX169">
        <f t="shared" si="175"/>
        <v>0</v>
      </c>
      <c r="HA169">
        <v>0</v>
      </c>
      <c r="HB169">
        <v>0</v>
      </c>
      <c r="HC169">
        <f t="shared" si="176"/>
        <v>0</v>
      </c>
      <c r="HE169" t="s">
        <v>49</v>
      </c>
      <c r="HF169" t="s">
        <v>28</v>
      </c>
      <c r="HM169" t="s">
        <v>3</v>
      </c>
      <c r="HN169" t="s">
        <v>3</v>
      </c>
      <c r="HO169" t="s">
        <v>3</v>
      </c>
      <c r="HP169" t="s">
        <v>3</v>
      </c>
      <c r="HQ169" t="s">
        <v>3</v>
      </c>
      <c r="HS169">
        <v>0</v>
      </c>
      <c r="IK169">
        <v>0</v>
      </c>
    </row>
    <row r="170" spans="1:255" x14ac:dyDescent="0.2">
      <c r="A170" s="2">
        <v>17</v>
      </c>
      <c r="B170" s="2">
        <v>1</v>
      </c>
      <c r="C170" s="2"/>
      <c r="D170" s="2"/>
      <c r="E170" s="2" t="s">
        <v>238</v>
      </c>
      <c r="F170" s="2" t="s">
        <v>239</v>
      </c>
      <c r="G170" s="2" t="s">
        <v>240</v>
      </c>
      <c r="H170" s="2" t="s">
        <v>241</v>
      </c>
      <c r="I170" s="2">
        <v>20</v>
      </c>
      <c r="J170" s="2">
        <v>0</v>
      </c>
      <c r="K170" s="2">
        <v>20</v>
      </c>
      <c r="L170" s="2"/>
      <c r="M170" s="2"/>
      <c r="N170" s="2"/>
      <c r="O170" s="2">
        <f t="shared" si="151"/>
        <v>1094</v>
      </c>
      <c r="P170" s="2">
        <f>ROUND((ROUND((AC170*I170),2)*BC170),2)</f>
        <v>1094</v>
      </c>
      <c r="Q170" s="2">
        <f t="shared" si="179"/>
        <v>0</v>
      </c>
      <c r="R170" s="2">
        <f t="shared" si="180"/>
        <v>0</v>
      </c>
      <c r="S170" s="2">
        <f t="shared" si="153"/>
        <v>0</v>
      </c>
      <c r="T170" s="2">
        <f t="shared" si="154"/>
        <v>0</v>
      </c>
      <c r="U170" s="2">
        <f t="shared" si="155"/>
        <v>0</v>
      </c>
      <c r="V170" s="2">
        <f t="shared" si="156"/>
        <v>0</v>
      </c>
      <c r="W170" s="2">
        <f t="shared" si="157"/>
        <v>0</v>
      </c>
      <c r="X170" s="2">
        <f t="shared" si="181"/>
        <v>0</v>
      </c>
      <c r="Y170" s="2">
        <f t="shared" si="182"/>
        <v>0</v>
      </c>
      <c r="Z170" s="2"/>
      <c r="AA170" s="2">
        <v>60258064</v>
      </c>
      <c r="AB170" s="2">
        <f t="shared" si="158"/>
        <v>54.7</v>
      </c>
      <c r="AC170" s="2">
        <f t="shared" si="159"/>
        <v>54.7</v>
      </c>
      <c r="AD170" s="2">
        <f t="shared" si="183"/>
        <v>0</v>
      </c>
      <c r="AE170" s="2">
        <f t="shared" si="184"/>
        <v>0</v>
      </c>
      <c r="AF170" s="2">
        <f t="shared" si="184"/>
        <v>0</v>
      </c>
      <c r="AG170" s="2">
        <f t="shared" si="160"/>
        <v>0</v>
      </c>
      <c r="AH170" s="2">
        <f t="shared" si="185"/>
        <v>0</v>
      </c>
      <c r="AI170" s="2">
        <f t="shared" si="185"/>
        <v>0</v>
      </c>
      <c r="AJ170" s="2">
        <f t="shared" si="161"/>
        <v>0</v>
      </c>
      <c r="AK170" s="2">
        <v>54.7</v>
      </c>
      <c r="AL170" s="2">
        <v>54.7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1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3</v>
      </c>
      <c r="BI170" s="2">
        <v>3</v>
      </c>
      <c r="BJ170" s="2" t="s">
        <v>3</v>
      </c>
      <c r="BK170" s="2"/>
      <c r="BL170" s="2"/>
      <c r="BM170" s="2">
        <v>746</v>
      </c>
      <c r="BN170" s="2">
        <v>58973116</v>
      </c>
      <c r="BO170" s="2" t="s">
        <v>3</v>
      </c>
      <c r="BP170" s="2">
        <v>0</v>
      </c>
      <c r="BQ170" s="2">
        <v>130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0</v>
      </c>
      <c r="CA170" s="2">
        <v>0</v>
      </c>
      <c r="CB170" s="2" t="s">
        <v>3</v>
      </c>
      <c r="CC170" s="2"/>
      <c r="CD170" s="2"/>
      <c r="CE170" s="2">
        <v>1566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3</v>
      </c>
      <c r="CO170" s="2">
        <v>0</v>
      </c>
      <c r="CP170" s="2">
        <f t="shared" si="162"/>
        <v>1094</v>
      </c>
      <c r="CQ170" s="2">
        <f>ROUND((ROUND((AC170*1),2)*BC170),2)</f>
        <v>54.7</v>
      </c>
      <c r="CR170" s="2">
        <f t="shared" si="186"/>
        <v>0</v>
      </c>
      <c r="CS170" s="2">
        <f t="shared" si="187"/>
        <v>0</v>
      </c>
      <c r="CT170" s="2">
        <f t="shared" si="164"/>
        <v>0</v>
      </c>
      <c r="CU170" s="2">
        <f t="shared" si="165"/>
        <v>0</v>
      </c>
      <c r="CV170" s="2">
        <f t="shared" si="166"/>
        <v>0</v>
      </c>
      <c r="CW170" s="2">
        <f t="shared" si="167"/>
        <v>0</v>
      </c>
      <c r="CX170" s="2">
        <f t="shared" si="168"/>
        <v>0</v>
      </c>
      <c r="CY170" s="2">
        <f t="shared" si="188"/>
        <v>0</v>
      </c>
      <c r="CZ170" s="2">
        <f t="shared" si="189"/>
        <v>0</v>
      </c>
      <c r="DA170" s="2"/>
      <c r="DB170" s="2"/>
      <c r="DC170" s="2" t="s">
        <v>3</v>
      </c>
      <c r="DD170" s="2" t="s">
        <v>3</v>
      </c>
      <c r="DE170" s="2" t="s">
        <v>3</v>
      </c>
      <c r="DF170" s="2" t="s">
        <v>3</v>
      </c>
      <c r="DG170" s="2" t="s">
        <v>3</v>
      </c>
      <c r="DH170" s="2" t="s">
        <v>3</v>
      </c>
      <c r="DI170" s="2" t="s">
        <v>3</v>
      </c>
      <c r="DJ170" s="2" t="s">
        <v>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1010</v>
      </c>
      <c r="DV170" s="2" t="s">
        <v>241</v>
      </c>
      <c r="DW170" s="2" t="s">
        <v>241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60088638</v>
      </c>
      <c r="EF170" s="2">
        <v>130</v>
      </c>
      <c r="EG170" s="2" t="s">
        <v>31</v>
      </c>
      <c r="EH170" s="2">
        <v>0</v>
      </c>
      <c r="EI170" s="2" t="s">
        <v>3</v>
      </c>
      <c r="EJ170" s="2">
        <v>3</v>
      </c>
      <c r="EK170" s="2">
        <v>746</v>
      </c>
      <c r="EL170" s="2" t="s">
        <v>32</v>
      </c>
      <c r="EM170" s="2" t="s">
        <v>33</v>
      </c>
      <c r="EN170" s="2"/>
      <c r="EO170" s="2" t="s">
        <v>3</v>
      </c>
      <c r="EP170" s="2"/>
      <c r="EQ170" s="2">
        <v>0</v>
      </c>
      <c r="ER170" s="2">
        <v>54.7</v>
      </c>
      <c r="ES170" s="2">
        <v>54.7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f>P170</f>
        <v>1094</v>
      </c>
      <c r="FS170" s="2">
        <v>0</v>
      </c>
      <c r="FT170" s="2"/>
      <c r="FU170" s="2"/>
      <c r="FV170" s="2"/>
      <c r="FW170" s="2"/>
      <c r="FX170" s="2">
        <v>0</v>
      </c>
      <c r="FY170" s="2">
        <v>0</v>
      </c>
      <c r="FZ170" s="2"/>
      <c r="GA170" s="2" t="s">
        <v>3</v>
      </c>
      <c r="GB170" s="2"/>
      <c r="GC170" s="2"/>
      <c r="GD170" s="2">
        <v>1</v>
      </c>
      <c r="GE170" s="2"/>
      <c r="GF170" s="2">
        <v>1380498926</v>
      </c>
      <c r="GG170" s="2">
        <v>2</v>
      </c>
      <c r="GH170" s="2">
        <v>1</v>
      </c>
      <c r="GI170" s="2">
        <v>-2</v>
      </c>
      <c r="GJ170" s="2">
        <v>0</v>
      </c>
      <c r="GK170" s="2">
        <v>0</v>
      </c>
      <c r="GL170" s="2">
        <f t="shared" si="169"/>
        <v>0</v>
      </c>
      <c r="GM170" s="2">
        <f t="shared" si="170"/>
        <v>1094</v>
      </c>
      <c r="GN170" s="2">
        <f t="shared" si="171"/>
        <v>0</v>
      </c>
      <c r="GO170" s="2">
        <f t="shared" si="172"/>
        <v>0</v>
      </c>
      <c r="GP170" s="2">
        <f t="shared" si="173"/>
        <v>0</v>
      </c>
      <c r="GQ170" s="2"/>
      <c r="GR170" s="2">
        <v>0</v>
      </c>
      <c r="GS170" s="2">
        <v>3</v>
      </c>
      <c r="GT170" s="2">
        <v>0</v>
      </c>
      <c r="GU170" s="2" t="s">
        <v>3</v>
      </c>
      <c r="GV170" s="2">
        <f t="shared" si="174"/>
        <v>0</v>
      </c>
      <c r="GW170" s="2">
        <v>1</v>
      </c>
      <c r="GX170" s="2">
        <f t="shared" si="175"/>
        <v>0</v>
      </c>
      <c r="GY170" s="2"/>
      <c r="GZ170" s="2"/>
      <c r="HA170" s="2">
        <v>0</v>
      </c>
      <c r="HB170" s="2">
        <v>0</v>
      </c>
      <c r="HC170" s="2">
        <f t="shared" si="176"/>
        <v>0</v>
      </c>
      <c r="HD170" s="2"/>
      <c r="HE170" s="2" t="s">
        <v>3</v>
      </c>
      <c r="HF170" s="2" t="s">
        <v>3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">
      <c r="A171">
        <v>17</v>
      </c>
      <c r="B171">
        <v>1</v>
      </c>
      <c r="E171" t="s">
        <v>238</v>
      </c>
      <c r="F171" t="s">
        <v>239</v>
      </c>
      <c r="G171" t="s">
        <v>240</v>
      </c>
      <c r="H171" t="s">
        <v>241</v>
      </c>
      <c r="I171">
        <v>20</v>
      </c>
      <c r="J171">
        <v>0</v>
      </c>
      <c r="K171">
        <v>20</v>
      </c>
      <c r="O171">
        <f t="shared" si="151"/>
        <v>5349.66</v>
      </c>
      <c r="P171">
        <f>ROUND((ROUND((AC171*I171),2)*BC171),2)</f>
        <v>5349.66</v>
      </c>
      <c r="Q171">
        <f t="shared" si="179"/>
        <v>0</v>
      </c>
      <c r="R171">
        <f t="shared" si="180"/>
        <v>0</v>
      </c>
      <c r="S171">
        <f t="shared" si="153"/>
        <v>0</v>
      </c>
      <c r="T171">
        <f t="shared" si="154"/>
        <v>0</v>
      </c>
      <c r="U171">
        <f t="shared" si="155"/>
        <v>0</v>
      </c>
      <c r="V171">
        <f t="shared" si="156"/>
        <v>0</v>
      </c>
      <c r="W171">
        <f t="shared" si="157"/>
        <v>0</v>
      </c>
      <c r="X171">
        <f t="shared" si="181"/>
        <v>0</v>
      </c>
      <c r="Y171">
        <f t="shared" si="182"/>
        <v>0</v>
      </c>
      <c r="AA171">
        <v>60258061</v>
      </c>
      <c r="AB171">
        <f t="shared" si="158"/>
        <v>54.7</v>
      </c>
      <c r="AC171">
        <f t="shared" si="159"/>
        <v>54.7</v>
      </c>
      <c r="AD171">
        <f t="shared" si="183"/>
        <v>0</v>
      </c>
      <c r="AE171">
        <f t="shared" si="184"/>
        <v>0</v>
      </c>
      <c r="AF171">
        <f t="shared" si="184"/>
        <v>0</v>
      </c>
      <c r="AG171">
        <f t="shared" si="160"/>
        <v>0</v>
      </c>
      <c r="AH171">
        <f t="shared" si="185"/>
        <v>0</v>
      </c>
      <c r="AI171">
        <f t="shared" si="185"/>
        <v>0</v>
      </c>
      <c r="AJ171">
        <f t="shared" si="161"/>
        <v>0</v>
      </c>
      <c r="AK171">
        <v>54.7</v>
      </c>
      <c r="AL171">
        <v>54.7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1</v>
      </c>
      <c r="AZ171">
        <v>1</v>
      </c>
      <c r="BA171">
        <v>1</v>
      </c>
      <c r="BB171">
        <v>1</v>
      </c>
      <c r="BC171">
        <v>4.8899999999999997</v>
      </c>
      <c r="BD171" t="s">
        <v>3</v>
      </c>
      <c r="BE171" t="s">
        <v>3</v>
      </c>
      <c r="BF171" t="s">
        <v>3</v>
      </c>
      <c r="BG171" t="s">
        <v>3</v>
      </c>
      <c r="BH171">
        <v>3</v>
      </c>
      <c r="BI171">
        <v>3</v>
      </c>
      <c r="BJ171" t="s">
        <v>3</v>
      </c>
      <c r="BM171">
        <v>746</v>
      </c>
      <c r="BN171">
        <v>58973116</v>
      </c>
      <c r="BO171" t="s">
        <v>3</v>
      </c>
      <c r="BP171">
        <v>0</v>
      </c>
      <c r="BQ171">
        <v>130</v>
      </c>
      <c r="BR171">
        <v>0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 t="s">
        <v>3</v>
      </c>
      <c r="BZ171">
        <v>0</v>
      </c>
      <c r="CA171">
        <v>0</v>
      </c>
      <c r="CB171" t="s">
        <v>3</v>
      </c>
      <c r="CE171">
        <v>1566</v>
      </c>
      <c r="CF171">
        <v>0</v>
      </c>
      <c r="CG171">
        <v>0</v>
      </c>
      <c r="CM171">
        <v>0</v>
      </c>
      <c r="CN171" t="s">
        <v>3</v>
      </c>
      <c r="CO171">
        <v>0</v>
      </c>
      <c r="CP171">
        <f t="shared" si="162"/>
        <v>5349.66</v>
      </c>
      <c r="CQ171">
        <f>ROUND((ROUND((AC171*1),2)*BC171),2)</f>
        <v>267.48</v>
      </c>
      <c r="CR171">
        <f t="shared" si="186"/>
        <v>0</v>
      </c>
      <c r="CS171">
        <f t="shared" si="187"/>
        <v>0</v>
      </c>
      <c r="CT171">
        <f t="shared" si="164"/>
        <v>0</v>
      </c>
      <c r="CU171">
        <f t="shared" si="165"/>
        <v>0</v>
      </c>
      <c r="CV171">
        <f t="shared" si="166"/>
        <v>0</v>
      </c>
      <c r="CW171">
        <f t="shared" si="167"/>
        <v>0</v>
      </c>
      <c r="CX171">
        <f t="shared" si="168"/>
        <v>0</v>
      </c>
      <c r="CY171">
        <f t="shared" si="188"/>
        <v>0</v>
      </c>
      <c r="CZ171">
        <f t="shared" si="189"/>
        <v>0</v>
      </c>
      <c r="DC171" t="s">
        <v>3</v>
      </c>
      <c r="DD171" t="s">
        <v>3</v>
      </c>
      <c r="DE171" t="s">
        <v>3</v>
      </c>
      <c r="DF171" t="s">
        <v>3</v>
      </c>
      <c r="DG171" t="s">
        <v>3</v>
      </c>
      <c r="DH171" t="s">
        <v>3</v>
      </c>
      <c r="DI171" t="s">
        <v>3</v>
      </c>
      <c r="DJ171" t="s">
        <v>3</v>
      </c>
      <c r="DK171" t="s">
        <v>3</v>
      </c>
      <c r="DL171" t="s">
        <v>3</v>
      </c>
      <c r="DM171" t="s">
        <v>3</v>
      </c>
      <c r="DN171">
        <v>0</v>
      </c>
      <c r="DO171">
        <v>0</v>
      </c>
      <c r="DP171">
        <v>1</v>
      </c>
      <c r="DQ171">
        <v>1</v>
      </c>
      <c r="DU171">
        <v>1010</v>
      </c>
      <c r="DV171" t="s">
        <v>241</v>
      </c>
      <c r="DW171" t="s">
        <v>241</v>
      </c>
      <c r="DX171">
        <v>1</v>
      </c>
      <c r="DZ171" t="s">
        <v>3</v>
      </c>
      <c r="EA171" t="s">
        <v>3</v>
      </c>
      <c r="EB171" t="s">
        <v>3</v>
      </c>
      <c r="EC171" t="s">
        <v>3</v>
      </c>
      <c r="EE171">
        <v>60088638</v>
      </c>
      <c r="EF171">
        <v>130</v>
      </c>
      <c r="EG171" t="s">
        <v>31</v>
      </c>
      <c r="EH171">
        <v>0</v>
      </c>
      <c r="EI171" t="s">
        <v>3</v>
      </c>
      <c r="EJ171">
        <v>3</v>
      </c>
      <c r="EK171">
        <v>746</v>
      </c>
      <c r="EL171" t="s">
        <v>32</v>
      </c>
      <c r="EM171" t="s">
        <v>33</v>
      </c>
      <c r="EO171" t="s">
        <v>3</v>
      </c>
      <c r="EQ171">
        <v>0</v>
      </c>
      <c r="ER171">
        <v>54.7</v>
      </c>
      <c r="ES171">
        <v>54.7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FQ171">
        <v>0</v>
      </c>
      <c r="FR171">
        <f>P171</f>
        <v>5349.66</v>
      </c>
      <c r="FS171">
        <v>0</v>
      </c>
      <c r="FX171">
        <v>0</v>
      </c>
      <c r="FY171">
        <v>0</v>
      </c>
      <c r="GA171" t="s">
        <v>3</v>
      </c>
      <c r="GD171">
        <v>1</v>
      </c>
      <c r="GF171">
        <v>1380498926</v>
      </c>
      <c r="GG171">
        <v>2</v>
      </c>
      <c r="GH171">
        <v>1</v>
      </c>
      <c r="GI171">
        <v>2</v>
      </c>
      <c r="GJ171">
        <v>0</v>
      </c>
      <c r="GK171">
        <v>0</v>
      </c>
      <c r="GL171">
        <f t="shared" si="169"/>
        <v>0</v>
      </c>
      <c r="GM171">
        <f t="shared" si="170"/>
        <v>5349.66</v>
      </c>
      <c r="GN171">
        <f t="shared" si="171"/>
        <v>0</v>
      </c>
      <c r="GO171">
        <f t="shared" si="172"/>
        <v>0</v>
      </c>
      <c r="GP171">
        <f t="shared" si="173"/>
        <v>0</v>
      </c>
      <c r="GR171">
        <v>0</v>
      </c>
      <c r="GS171">
        <v>3</v>
      </c>
      <c r="GT171">
        <v>0</v>
      </c>
      <c r="GU171" t="s">
        <v>3</v>
      </c>
      <c r="GV171">
        <f t="shared" si="174"/>
        <v>0</v>
      </c>
      <c r="GW171">
        <v>1</v>
      </c>
      <c r="GX171">
        <f t="shared" si="175"/>
        <v>0</v>
      </c>
      <c r="HA171">
        <v>0</v>
      </c>
      <c r="HB171">
        <v>0</v>
      </c>
      <c r="HC171">
        <f t="shared" si="176"/>
        <v>0</v>
      </c>
      <c r="HE171" t="s">
        <v>3</v>
      </c>
      <c r="HF171" t="s">
        <v>3</v>
      </c>
      <c r="HM171" t="s">
        <v>3</v>
      </c>
      <c r="HN171" t="s">
        <v>3</v>
      </c>
      <c r="HO171" t="s">
        <v>3</v>
      </c>
      <c r="HP171" t="s">
        <v>3</v>
      </c>
      <c r="HQ171" t="s">
        <v>3</v>
      </c>
      <c r="HS171">
        <v>0</v>
      </c>
      <c r="IK171">
        <v>0</v>
      </c>
    </row>
    <row r="172" spans="1:255" x14ac:dyDescent="0.2">
      <c r="A172" s="2">
        <v>17</v>
      </c>
      <c r="B172" s="2">
        <v>1</v>
      </c>
      <c r="C172" s="2"/>
      <c r="D172" s="2"/>
      <c r="E172" s="2" t="s">
        <v>242</v>
      </c>
      <c r="F172" s="2" t="s">
        <v>243</v>
      </c>
      <c r="G172" s="2" t="s">
        <v>244</v>
      </c>
      <c r="H172" s="2" t="s">
        <v>241</v>
      </c>
      <c r="I172" s="2">
        <v>150</v>
      </c>
      <c r="J172" s="2">
        <v>0</v>
      </c>
      <c r="K172" s="2">
        <v>150</v>
      </c>
      <c r="L172" s="2"/>
      <c r="M172" s="2"/>
      <c r="N172" s="2"/>
      <c r="O172" s="2">
        <f t="shared" si="151"/>
        <v>2368.5</v>
      </c>
      <c r="P172" s="2">
        <f>ROUND((ROUND((AC172*I172),2)*BC172),2)</f>
        <v>2368.5</v>
      </c>
      <c r="Q172" s="2">
        <f t="shared" si="179"/>
        <v>0</v>
      </c>
      <c r="R172" s="2">
        <f t="shared" si="180"/>
        <v>0</v>
      </c>
      <c r="S172" s="2">
        <f t="shared" si="153"/>
        <v>0</v>
      </c>
      <c r="T172" s="2">
        <f t="shared" si="154"/>
        <v>0</v>
      </c>
      <c r="U172" s="2">
        <f t="shared" si="155"/>
        <v>0</v>
      </c>
      <c r="V172" s="2">
        <f t="shared" si="156"/>
        <v>0</v>
      </c>
      <c r="W172" s="2">
        <f t="shared" si="157"/>
        <v>0</v>
      </c>
      <c r="X172" s="2">
        <f t="shared" si="181"/>
        <v>0</v>
      </c>
      <c r="Y172" s="2">
        <f t="shared" si="182"/>
        <v>0</v>
      </c>
      <c r="Z172" s="2"/>
      <c r="AA172" s="2">
        <v>60258064</v>
      </c>
      <c r="AB172" s="2">
        <f t="shared" si="158"/>
        <v>15.79</v>
      </c>
      <c r="AC172" s="2">
        <f t="shared" si="159"/>
        <v>15.79</v>
      </c>
      <c r="AD172" s="2">
        <f t="shared" si="183"/>
        <v>0</v>
      </c>
      <c r="AE172" s="2">
        <f t="shared" si="184"/>
        <v>0</v>
      </c>
      <c r="AF172" s="2">
        <f t="shared" si="184"/>
        <v>0</v>
      </c>
      <c r="AG172" s="2">
        <f t="shared" si="160"/>
        <v>0</v>
      </c>
      <c r="AH172" s="2">
        <f t="shared" si="185"/>
        <v>0</v>
      </c>
      <c r="AI172" s="2">
        <f t="shared" si="185"/>
        <v>0</v>
      </c>
      <c r="AJ172" s="2">
        <f t="shared" si="161"/>
        <v>0</v>
      </c>
      <c r="AK172" s="2">
        <v>15.79</v>
      </c>
      <c r="AL172" s="2">
        <v>15.79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3</v>
      </c>
      <c r="BI172" s="2">
        <v>3</v>
      </c>
      <c r="BJ172" s="2" t="s">
        <v>3</v>
      </c>
      <c r="BK172" s="2"/>
      <c r="BL172" s="2"/>
      <c r="BM172" s="2">
        <v>746</v>
      </c>
      <c r="BN172" s="2">
        <v>58973116</v>
      </c>
      <c r="BO172" s="2" t="s">
        <v>3</v>
      </c>
      <c r="BP172" s="2">
        <v>0</v>
      </c>
      <c r="BQ172" s="2">
        <v>130</v>
      </c>
      <c r="BR172" s="2">
        <v>0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0</v>
      </c>
      <c r="CA172" s="2">
        <v>0</v>
      </c>
      <c r="CB172" s="2" t="s">
        <v>3</v>
      </c>
      <c r="CC172" s="2"/>
      <c r="CD172" s="2"/>
      <c r="CE172" s="2">
        <v>1566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3</v>
      </c>
      <c r="CO172" s="2">
        <v>0</v>
      </c>
      <c r="CP172" s="2">
        <f t="shared" si="162"/>
        <v>2368.5</v>
      </c>
      <c r="CQ172" s="2">
        <f>ROUND((ROUND((AC172*1),2)*BC172),2)</f>
        <v>15.79</v>
      </c>
      <c r="CR172" s="2">
        <f t="shared" si="186"/>
        <v>0</v>
      </c>
      <c r="CS172" s="2">
        <f t="shared" si="187"/>
        <v>0</v>
      </c>
      <c r="CT172" s="2">
        <f t="shared" si="164"/>
        <v>0</v>
      </c>
      <c r="CU172" s="2">
        <f t="shared" si="165"/>
        <v>0</v>
      </c>
      <c r="CV172" s="2">
        <f t="shared" si="166"/>
        <v>0</v>
      </c>
      <c r="CW172" s="2">
        <f t="shared" si="167"/>
        <v>0</v>
      </c>
      <c r="CX172" s="2">
        <f t="shared" si="168"/>
        <v>0</v>
      </c>
      <c r="CY172" s="2">
        <f t="shared" si="188"/>
        <v>0</v>
      </c>
      <c r="CZ172" s="2">
        <f t="shared" si="189"/>
        <v>0</v>
      </c>
      <c r="DA172" s="2"/>
      <c r="DB172" s="2"/>
      <c r="DC172" s="2" t="s">
        <v>3</v>
      </c>
      <c r="DD172" s="2" t="s">
        <v>3</v>
      </c>
      <c r="DE172" s="2" t="s">
        <v>3</v>
      </c>
      <c r="DF172" s="2" t="s">
        <v>3</v>
      </c>
      <c r="DG172" s="2" t="s">
        <v>3</v>
      </c>
      <c r="DH172" s="2" t="s">
        <v>3</v>
      </c>
      <c r="DI172" s="2" t="s">
        <v>3</v>
      </c>
      <c r="DJ172" s="2" t="s">
        <v>3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1010</v>
      </c>
      <c r="DV172" s="2" t="s">
        <v>241</v>
      </c>
      <c r="DW172" s="2" t="s">
        <v>241</v>
      </c>
      <c r="DX172" s="2">
        <v>1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60088638</v>
      </c>
      <c r="EF172" s="2">
        <v>130</v>
      </c>
      <c r="EG172" s="2" t="s">
        <v>31</v>
      </c>
      <c r="EH172" s="2">
        <v>0</v>
      </c>
      <c r="EI172" s="2" t="s">
        <v>3</v>
      </c>
      <c r="EJ172" s="2">
        <v>3</v>
      </c>
      <c r="EK172" s="2">
        <v>746</v>
      </c>
      <c r="EL172" s="2" t="s">
        <v>32</v>
      </c>
      <c r="EM172" s="2" t="s">
        <v>33</v>
      </c>
      <c r="EN172" s="2"/>
      <c r="EO172" s="2" t="s">
        <v>3</v>
      </c>
      <c r="EP172" s="2"/>
      <c r="EQ172" s="2">
        <v>0</v>
      </c>
      <c r="ER172" s="2">
        <v>15.79</v>
      </c>
      <c r="ES172" s="2">
        <v>15.79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f>P172</f>
        <v>2368.5</v>
      </c>
      <c r="FS172" s="2">
        <v>0</v>
      </c>
      <c r="FT172" s="2"/>
      <c r="FU172" s="2"/>
      <c r="FV172" s="2"/>
      <c r="FW172" s="2"/>
      <c r="FX172" s="2">
        <v>0</v>
      </c>
      <c r="FY172" s="2">
        <v>0</v>
      </c>
      <c r="FZ172" s="2"/>
      <c r="GA172" s="2" t="s">
        <v>3</v>
      </c>
      <c r="GB172" s="2"/>
      <c r="GC172" s="2"/>
      <c r="GD172" s="2">
        <v>1</v>
      </c>
      <c r="GE172" s="2"/>
      <c r="GF172" s="2">
        <v>621879152</v>
      </c>
      <c r="GG172" s="2">
        <v>2</v>
      </c>
      <c r="GH172" s="2">
        <v>1</v>
      </c>
      <c r="GI172" s="2">
        <v>-2</v>
      </c>
      <c r="GJ172" s="2">
        <v>0</v>
      </c>
      <c r="GK172" s="2">
        <v>0</v>
      </c>
      <c r="GL172" s="2">
        <f t="shared" si="169"/>
        <v>0</v>
      </c>
      <c r="GM172" s="2">
        <f t="shared" si="170"/>
        <v>2368.5</v>
      </c>
      <c r="GN172" s="2">
        <f t="shared" si="171"/>
        <v>0</v>
      </c>
      <c r="GO172" s="2">
        <f t="shared" si="172"/>
        <v>0</v>
      </c>
      <c r="GP172" s="2">
        <f t="shared" si="173"/>
        <v>0</v>
      </c>
      <c r="GQ172" s="2"/>
      <c r="GR172" s="2">
        <v>0</v>
      </c>
      <c r="GS172" s="2">
        <v>3</v>
      </c>
      <c r="GT172" s="2">
        <v>0</v>
      </c>
      <c r="GU172" s="2" t="s">
        <v>3</v>
      </c>
      <c r="GV172" s="2">
        <f t="shared" si="174"/>
        <v>0</v>
      </c>
      <c r="GW172" s="2">
        <v>1</v>
      </c>
      <c r="GX172" s="2">
        <f t="shared" si="175"/>
        <v>0</v>
      </c>
      <c r="GY172" s="2"/>
      <c r="GZ172" s="2"/>
      <c r="HA172" s="2">
        <v>0</v>
      </c>
      <c r="HB172" s="2">
        <v>0</v>
      </c>
      <c r="HC172" s="2">
        <f t="shared" si="176"/>
        <v>0</v>
      </c>
      <c r="HD172" s="2"/>
      <c r="HE172" s="2" t="s">
        <v>3</v>
      </c>
      <c r="HF172" s="2" t="s">
        <v>3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">
      <c r="A173">
        <v>17</v>
      </c>
      <c r="B173">
        <v>1</v>
      </c>
      <c r="E173" t="s">
        <v>242</v>
      </c>
      <c r="F173" t="s">
        <v>243</v>
      </c>
      <c r="G173" t="s">
        <v>244</v>
      </c>
      <c r="H173" t="s">
        <v>241</v>
      </c>
      <c r="I173">
        <v>150</v>
      </c>
      <c r="J173">
        <v>0</v>
      </c>
      <c r="K173">
        <v>150</v>
      </c>
      <c r="O173">
        <f t="shared" si="151"/>
        <v>16176.86</v>
      </c>
      <c r="P173">
        <f>ROUND((ROUND((AC173*I173),2)*BC173),2)</f>
        <v>16176.86</v>
      </c>
      <c r="Q173">
        <f t="shared" si="179"/>
        <v>0</v>
      </c>
      <c r="R173">
        <f t="shared" si="180"/>
        <v>0</v>
      </c>
      <c r="S173">
        <f t="shared" si="153"/>
        <v>0</v>
      </c>
      <c r="T173">
        <f t="shared" si="154"/>
        <v>0</v>
      </c>
      <c r="U173">
        <f t="shared" si="155"/>
        <v>0</v>
      </c>
      <c r="V173">
        <f t="shared" si="156"/>
        <v>0</v>
      </c>
      <c r="W173">
        <f t="shared" si="157"/>
        <v>0</v>
      </c>
      <c r="X173">
        <f t="shared" si="181"/>
        <v>0</v>
      </c>
      <c r="Y173">
        <f t="shared" si="182"/>
        <v>0</v>
      </c>
      <c r="AA173">
        <v>60258061</v>
      </c>
      <c r="AB173">
        <f t="shared" si="158"/>
        <v>15.79</v>
      </c>
      <c r="AC173">
        <f t="shared" si="159"/>
        <v>15.79</v>
      </c>
      <c r="AD173">
        <f t="shared" si="183"/>
        <v>0</v>
      </c>
      <c r="AE173">
        <f t="shared" si="184"/>
        <v>0</v>
      </c>
      <c r="AF173">
        <f t="shared" si="184"/>
        <v>0</v>
      </c>
      <c r="AG173">
        <f t="shared" si="160"/>
        <v>0</v>
      </c>
      <c r="AH173">
        <f t="shared" si="185"/>
        <v>0</v>
      </c>
      <c r="AI173">
        <f t="shared" si="185"/>
        <v>0</v>
      </c>
      <c r="AJ173">
        <f t="shared" si="161"/>
        <v>0</v>
      </c>
      <c r="AK173">
        <v>15.79</v>
      </c>
      <c r="AL173">
        <v>15.79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1</v>
      </c>
      <c r="AZ173">
        <v>1</v>
      </c>
      <c r="BA173">
        <v>1</v>
      </c>
      <c r="BB173">
        <v>1</v>
      </c>
      <c r="BC173">
        <v>6.83</v>
      </c>
      <c r="BD173" t="s">
        <v>3</v>
      </c>
      <c r="BE173" t="s">
        <v>3</v>
      </c>
      <c r="BF173" t="s">
        <v>3</v>
      </c>
      <c r="BG173" t="s">
        <v>3</v>
      </c>
      <c r="BH173">
        <v>3</v>
      </c>
      <c r="BI173">
        <v>3</v>
      </c>
      <c r="BJ173" t="s">
        <v>3</v>
      </c>
      <c r="BM173">
        <v>746</v>
      </c>
      <c r="BN173">
        <v>58973116</v>
      </c>
      <c r="BO173" t="s">
        <v>3</v>
      </c>
      <c r="BP173">
        <v>0</v>
      </c>
      <c r="BQ173">
        <v>130</v>
      </c>
      <c r="BR173">
        <v>0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 t="s">
        <v>3</v>
      </c>
      <c r="BZ173">
        <v>0</v>
      </c>
      <c r="CA173">
        <v>0</v>
      </c>
      <c r="CB173" t="s">
        <v>3</v>
      </c>
      <c r="CE173">
        <v>1566</v>
      </c>
      <c r="CF173">
        <v>0</v>
      </c>
      <c r="CG173">
        <v>0</v>
      </c>
      <c r="CM173">
        <v>0</v>
      </c>
      <c r="CN173" t="s">
        <v>3</v>
      </c>
      <c r="CO173">
        <v>0</v>
      </c>
      <c r="CP173">
        <f t="shared" si="162"/>
        <v>16176.86</v>
      </c>
      <c r="CQ173">
        <f>ROUND((ROUND((AC173*1),2)*BC173),2)</f>
        <v>107.85</v>
      </c>
      <c r="CR173">
        <f t="shared" si="186"/>
        <v>0</v>
      </c>
      <c r="CS173">
        <f t="shared" si="187"/>
        <v>0</v>
      </c>
      <c r="CT173">
        <f t="shared" si="164"/>
        <v>0</v>
      </c>
      <c r="CU173">
        <f t="shared" si="165"/>
        <v>0</v>
      </c>
      <c r="CV173">
        <f t="shared" si="166"/>
        <v>0</v>
      </c>
      <c r="CW173">
        <f t="shared" si="167"/>
        <v>0</v>
      </c>
      <c r="CX173">
        <f t="shared" si="168"/>
        <v>0</v>
      </c>
      <c r="CY173">
        <f t="shared" si="188"/>
        <v>0</v>
      </c>
      <c r="CZ173">
        <f t="shared" si="189"/>
        <v>0</v>
      </c>
      <c r="DC173" t="s">
        <v>3</v>
      </c>
      <c r="DD173" t="s">
        <v>3</v>
      </c>
      <c r="DE173" t="s">
        <v>3</v>
      </c>
      <c r="DF173" t="s">
        <v>3</v>
      </c>
      <c r="DG173" t="s">
        <v>3</v>
      </c>
      <c r="DH173" t="s">
        <v>3</v>
      </c>
      <c r="DI173" t="s">
        <v>3</v>
      </c>
      <c r="DJ173" t="s">
        <v>3</v>
      </c>
      <c r="DK173" t="s">
        <v>3</v>
      </c>
      <c r="DL173" t="s">
        <v>3</v>
      </c>
      <c r="DM173" t="s">
        <v>3</v>
      </c>
      <c r="DN173">
        <v>0</v>
      </c>
      <c r="DO173">
        <v>0</v>
      </c>
      <c r="DP173">
        <v>1</v>
      </c>
      <c r="DQ173">
        <v>1</v>
      </c>
      <c r="DU173">
        <v>1010</v>
      </c>
      <c r="DV173" t="s">
        <v>241</v>
      </c>
      <c r="DW173" t="s">
        <v>241</v>
      </c>
      <c r="DX173">
        <v>1</v>
      </c>
      <c r="DZ173" t="s">
        <v>3</v>
      </c>
      <c r="EA173" t="s">
        <v>3</v>
      </c>
      <c r="EB173" t="s">
        <v>3</v>
      </c>
      <c r="EC173" t="s">
        <v>3</v>
      </c>
      <c r="EE173">
        <v>60088638</v>
      </c>
      <c r="EF173">
        <v>130</v>
      </c>
      <c r="EG173" t="s">
        <v>31</v>
      </c>
      <c r="EH173">
        <v>0</v>
      </c>
      <c r="EI173" t="s">
        <v>3</v>
      </c>
      <c r="EJ173">
        <v>3</v>
      </c>
      <c r="EK173">
        <v>746</v>
      </c>
      <c r="EL173" t="s">
        <v>32</v>
      </c>
      <c r="EM173" t="s">
        <v>33</v>
      </c>
      <c r="EO173" t="s">
        <v>3</v>
      </c>
      <c r="EQ173">
        <v>0</v>
      </c>
      <c r="ER173">
        <v>15.79</v>
      </c>
      <c r="ES173">
        <v>15.79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FQ173">
        <v>0</v>
      </c>
      <c r="FR173">
        <f>P173</f>
        <v>16176.86</v>
      </c>
      <c r="FS173">
        <v>0</v>
      </c>
      <c r="FX173">
        <v>0</v>
      </c>
      <c r="FY173">
        <v>0</v>
      </c>
      <c r="GA173" t="s">
        <v>3</v>
      </c>
      <c r="GD173">
        <v>1</v>
      </c>
      <c r="GF173">
        <v>621879152</v>
      </c>
      <c r="GG173">
        <v>2</v>
      </c>
      <c r="GH173">
        <v>1</v>
      </c>
      <c r="GI173">
        <v>2</v>
      </c>
      <c r="GJ173">
        <v>0</v>
      </c>
      <c r="GK173">
        <v>0</v>
      </c>
      <c r="GL173">
        <f t="shared" si="169"/>
        <v>0</v>
      </c>
      <c r="GM173">
        <f t="shared" si="170"/>
        <v>16176.86</v>
      </c>
      <c r="GN173">
        <f t="shared" si="171"/>
        <v>0</v>
      </c>
      <c r="GO173">
        <f t="shared" si="172"/>
        <v>0</v>
      </c>
      <c r="GP173">
        <f t="shared" si="173"/>
        <v>0</v>
      </c>
      <c r="GR173">
        <v>0</v>
      </c>
      <c r="GS173">
        <v>3</v>
      </c>
      <c r="GT173">
        <v>0</v>
      </c>
      <c r="GU173" t="s">
        <v>3</v>
      </c>
      <c r="GV173">
        <f t="shared" si="174"/>
        <v>0</v>
      </c>
      <c r="GW173">
        <v>1</v>
      </c>
      <c r="GX173">
        <f t="shared" si="175"/>
        <v>0</v>
      </c>
      <c r="HA173">
        <v>0</v>
      </c>
      <c r="HB173">
        <v>0</v>
      </c>
      <c r="HC173">
        <f t="shared" si="176"/>
        <v>0</v>
      </c>
      <c r="HE173" t="s">
        <v>3</v>
      </c>
      <c r="HF173" t="s">
        <v>3</v>
      </c>
      <c r="HM173" t="s">
        <v>3</v>
      </c>
      <c r="HN173" t="s">
        <v>3</v>
      </c>
      <c r="HO173" t="s">
        <v>3</v>
      </c>
      <c r="HP173" t="s">
        <v>3</v>
      </c>
      <c r="HQ173" t="s">
        <v>3</v>
      </c>
      <c r="HS173">
        <v>0</v>
      </c>
      <c r="IK173">
        <v>0</v>
      </c>
    </row>
    <row r="175" spans="1:255" x14ac:dyDescent="0.2">
      <c r="A175" s="3">
        <v>51</v>
      </c>
      <c r="B175" s="3">
        <f>B154</f>
        <v>1</v>
      </c>
      <c r="C175" s="3">
        <f>A154</f>
        <v>4</v>
      </c>
      <c r="D175" s="3">
        <f>ROW(A154)</f>
        <v>154</v>
      </c>
      <c r="E175" s="3"/>
      <c r="F175" s="3" t="str">
        <f>IF(F154&lt;&gt;"",F154,"")</f>
        <v/>
      </c>
      <c r="G175" s="3" t="str">
        <f>IF(G154&lt;&gt;"",G154,"")</f>
        <v>Кабельные изделия</v>
      </c>
      <c r="H175" s="3">
        <v>0</v>
      </c>
      <c r="I175" s="3"/>
      <c r="J175" s="3"/>
      <c r="K175" s="3"/>
      <c r="L175" s="3"/>
      <c r="M175" s="3"/>
      <c r="N175" s="3"/>
      <c r="O175" s="3">
        <f t="shared" ref="O175:T175" si="190">ROUND(AB175,2)</f>
        <v>93005.83</v>
      </c>
      <c r="P175" s="3">
        <f t="shared" si="190"/>
        <v>81649.64</v>
      </c>
      <c r="Q175" s="3">
        <f t="shared" si="190"/>
        <v>1432.35</v>
      </c>
      <c r="R175" s="3">
        <f t="shared" si="190"/>
        <v>230.88</v>
      </c>
      <c r="S175" s="3">
        <f t="shared" si="190"/>
        <v>9923.84</v>
      </c>
      <c r="T175" s="3">
        <f t="shared" si="190"/>
        <v>0</v>
      </c>
      <c r="U175" s="3">
        <f>AH175</f>
        <v>785.00563019999993</v>
      </c>
      <c r="V175" s="3">
        <f>AI175</f>
        <v>0</v>
      </c>
      <c r="W175" s="3">
        <f>ROUND(AJ175,2)</f>
        <v>0</v>
      </c>
      <c r="X175" s="3">
        <f>ROUND(AK175,2)</f>
        <v>9850.08</v>
      </c>
      <c r="Y175" s="3">
        <f>ROUND(AL175,2)</f>
        <v>5178.91</v>
      </c>
      <c r="Z175" s="3"/>
      <c r="AA175" s="3"/>
      <c r="AB175" s="3">
        <f>ROUND(SUMIF(AA158:AA173,"=60258064",O158:O173),2)</f>
        <v>93005.83</v>
      </c>
      <c r="AC175" s="3">
        <f>ROUND(SUMIF(AA158:AA173,"=60258064",P158:P173),2)</f>
        <v>81649.64</v>
      </c>
      <c r="AD175" s="3">
        <f>ROUND(SUMIF(AA158:AA173,"=60258064",Q158:Q173),2)</f>
        <v>1432.35</v>
      </c>
      <c r="AE175" s="3">
        <f>ROUND(SUMIF(AA158:AA173,"=60258064",R158:R173),2)</f>
        <v>230.88</v>
      </c>
      <c r="AF175" s="3">
        <f>ROUND(SUMIF(AA158:AA173,"=60258064",S158:S173),2)</f>
        <v>9923.84</v>
      </c>
      <c r="AG175" s="3">
        <f>ROUND(SUMIF(AA158:AA173,"=60258064",T158:T173),2)</f>
        <v>0</v>
      </c>
      <c r="AH175" s="3">
        <f>SUMIF(AA158:AA173,"=60258064",U158:U173)</f>
        <v>785.00563019999993</v>
      </c>
      <c r="AI175" s="3">
        <f>SUMIF(AA158:AA173,"=60258064",V158:V173)</f>
        <v>0</v>
      </c>
      <c r="AJ175" s="3">
        <f>ROUND(SUMIF(AA158:AA173,"=60258064",W158:W173),2)</f>
        <v>0</v>
      </c>
      <c r="AK175" s="3">
        <f>ROUND(SUMIF(AA158:AA173,"=60258064",X158:X173),2)</f>
        <v>9850.08</v>
      </c>
      <c r="AL175" s="3">
        <f>ROUND(SUMIF(AA158:AA173,"=60258064",Y158:Y173),2)</f>
        <v>5178.91</v>
      </c>
      <c r="AM175" s="3"/>
      <c r="AN175" s="3"/>
      <c r="AO175" s="3">
        <f t="shared" ref="AO175:BD175" si="191">ROUND(BX175,2)</f>
        <v>0</v>
      </c>
      <c r="AP175" s="3">
        <f t="shared" si="191"/>
        <v>3462.5</v>
      </c>
      <c r="AQ175" s="3">
        <f t="shared" si="191"/>
        <v>0</v>
      </c>
      <c r="AR175" s="3">
        <f t="shared" si="191"/>
        <v>108034.82</v>
      </c>
      <c r="AS175" s="3">
        <f t="shared" si="191"/>
        <v>0</v>
      </c>
      <c r="AT175" s="3">
        <f t="shared" si="191"/>
        <v>104572.32</v>
      </c>
      <c r="AU175" s="3">
        <f t="shared" si="191"/>
        <v>0</v>
      </c>
      <c r="AV175" s="3">
        <f t="shared" si="191"/>
        <v>81649.64</v>
      </c>
      <c r="AW175" s="3">
        <f t="shared" si="191"/>
        <v>78187.14</v>
      </c>
      <c r="AX175" s="3">
        <f t="shared" si="191"/>
        <v>0</v>
      </c>
      <c r="AY175" s="3">
        <f t="shared" si="191"/>
        <v>78187.14</v>
      </c>
      <c r="AZ175" s="3">
        <f t="shared" si="191"/>
        <v>3462.5</v>
      </c>
      <c r="BA175" s="3">
        <f t="shared" si="191"/>
        <v>0</v>
      </c>
      <c r="BB175" s="3">
        <f t="shared" si="191"/>
        <v>0</v>
      </c>
      <c r="BC175" s="3">
        <f t="shared" si="191"/>
        <v>0</v>
      </c>
      <c r="BD175" s="3">
        <f t="shared" si="191"/>
        <v>0</v>
      </c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>
        <f>ROUND(SUMIF(AA158:AA173,"=60258064",FQ158:FQ173),2)</f>
        <v>0</v>
      </c>
      <c r="BY175" s="3">
        <f>ROUND(SUMIF(AA158:AA173,"=60258064",FR158:FR173),2)</f>
        <v>3462.5</v>
      </c>
      <c r="BZ175" s="3">
        <f>ROUND(SUMIF(AA158:AA173,"=60258064",GL158:GL173),2)</f>
        <v>0</v>
      </c>
      <c r="CA175" s="3">
        <f>ROUND(SUMIF(AA158:AA173,"=60258064",GM158:GM173),2)</f>
        <v>108034.82</v>
      </c>
      <c r="CB175" s="3">
        <f>ROUND(SUMIF(AA158:AA173,"=60258064",GN158:GN173),2)</f>
        <v>0</v>
      </c>
      <c r="CC175" s="3">
        <f>ROUND(SUMIF(AA158:AA173,"=60258064",GO158:GO173),2)</f>
        <v>104572.32</v>
      </c>
      <c r="CD175" s="3">
        <f>ROUND(SUMIF(AA158:AA173,"=60258064",GP158:GP173),2)</f>
        <v>0</v>
      </c>
      <c r="CE175" s="3">
        <f>AC175-BX175</f>
        <v>81649.64</v>
      </c>
      <c r="CF175" s="3">
        <f>AC175-BY175</f>
        <v>78187.14</v>
      </c>
      <c r="CG175" s="3">
        <f>BX175-BZ175</f>
        <v>0</v>
      </c>
      <c r="CH175" s="3">
        <f>AC175-BX175-BY175+BZ175</f>
        <v>78187.14</v>
      </c>
      <c r="CI175" s="3">
        <f>BY175-BZ175</f>
        <v>3462.5</v>
      </c>
      <c r="CJ175" s="3">
        <f>ROUND(SUMIF(AA158:AA173,"=60258064",GX158:GX173),2)</f>
        <v>0</v>
      </c>
      <c r="CK175" s="3">
        <f>ROUND(SUMIF(AA158:AA173,"=60258064",GY158:GY173),2)</f>
        <v>0</v>
      </c>
      <c r="CL175" s="3">
        <f>ROUND(SUMIF(AA158:AA173,"=60258064",GZ158:GZ173),2)</f>
        <v>0</v>
      </c>
      <c r="CM175" s="3">
        <f>ROUND(SUMIF(AA158:AA173,"=60258064",HD158:HD173),2)</f>
        <v>0</v>
      </c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4">
        <f t="shared" ref="DG175:DL175" si="192">ROUND(DT175,2)</f>
        <v>1277261.06</v>
      </c>
      <c r="DH175" s="4">
        <f t="shared" si="192"/>
        <v>706960.14</v>
      </c>
      <c r="DI175" s="4">
        <f t="shared" si="192"/>
        <v>24588.959999999999</v>
      </c>
      <c r="DJ175" s="4">
        <f t="shared" si="192"/>
        <v>12696.1</v>
      </c>
      <c r="DK175" s="4">
        <f t="shared" si="192"/>
        <v>545711.96</v>
      </c>
      <c r="DL175" s="4">
        <f t="shared" si="192"/>
        <v>0</v>
      </c>
      <c r="DM175" s="4">
        <f>DZ175</f>
        <v>785.00563019999993</v>
      </c>
      <c r="DN175" s="4">
        <f>EA175</f>
        <v>0</v>
      </c>
      <c r="DO175" s="4">
        <f>ROUND(EB175,2)</f>
        <v>0</v>
      </c>
      <c r="DP175" s="4">
        <f>ROUND(EC175,2)</f>
        <v>541655.82999999996</v>
      </c>
      <c r="DQ175" s="4">
        <f>ROUND(ED175,2)</f>
        <v>284788.11</v>
      </c>
      <c r="DR175" s="4"/>
      <c r="DS175" s="4"/>
      <c r="DT175" s="4">
        <f>ROUND(SUMIF(AA158:AA173,"=60258061",O158:O173),2)</f>
        <v>1277261.06</v>
      </c>
      <c r="DU175" s="4">
        <f>ROUND(SUMIF(AA158:AA173,"=60258061",P158:P173),2)</f>
        <v>706960.14</v>
      </c>
      <c r="DV175" s="4">
        <f>ROUND(SUMIF(AA158:AA173,"=60258061",Q158:Q173),2)</f>
        <v>24588.959999999999</v>
      </c>
      <c r="DW175" s="4">
        <f>ROUND(SUMIF(AA158:AA173,"=60258061",R158:R173),2)</f>
        <v>12696.1</v>
      </c>
      <c r="DX175" s="4">
        <f>ROUND(SUMIF(AA158:AA173,"=60258061",S158:S173),2)</f>
        <v>545711.96</v>
      </c>
      <c r="DY175" s="4">
        <f>ROUND(SUMIF(AA158:AA173,"=60258061",T158:T173),2)</f>
        <v>0</v>
      </c>
      <c r="DZ175" s="4">
        <f>SUMIF(AA158:AA173,"=60258061",U158:U173)</f>
        <v>785.00563019999993</v>
      </c>
      <c r="EA175" s="4">
        <f>SUMIF(AA158:AA173,"=60258061",V158:V173)</f>
        <v>0</v>
      </c>
      <c r="EB175" s="4">
        <f>ROUND(SUMIF(AA158:AA173,"=60258061",W158:W173),2)</f>
        <v>0</v>
      </c>
      <c r="EC175" s="4">
        <f>ROUND(SUMIF(AA158:AA173,"=60258061",X158:X173),2)</f>
        <v>541655.82999999996</v>
      </c>
      <c r="ED175" s="4">
        <f>ROUND(SUMIF(AA158:AA173,"=60258061",Y158:Y173),2)</f>
        <v>284788.11</v>
      </c>
      <c r="EE175" s="4"/>
      <c r="EF175" s="4"/>
      <c r="EG175" s="4">
        <f t="shared" ref="EG175:EV175" si="193">ROUND(FP175,2)</f>
        <v>0</v>
      </c>
      <c r="EH175" s="4">
        <f t="shared" si="193"/>
        <v>21526.52</v>
      </c>
      <c r="EI175" s="4">
        <f t="shared" si="193"/>
        <v>0</v>
      </c>
      <c r="EJ175" s="4">
        <f t="shared" si="193"/>
        <v>2103705</v>
      </c>
      <c r="EK175" s="4">
        <f t="shared" si="193"/>
        <v>0</v>
      </c>
      <c r="EL175" s="4">
        <f t="shared" si="193"/>
        <v>2082178.48</v>
      </c>
      <c r="EM175" s="4">
        <f t="shared" si="193"/>
        <v>0</v>
      </c>
      <c r="EN175" s="4">
        <f t="shared" si="193"/>
        <v>706960.14</v>
      </c>
      <c r="EO175" s="4">
        <f t="shared" si="193"/>
        <v>685433.62</v>
      </c>
      <c r="EP175" s="4">
        <f t="shared" si="193"/>
        <v>0</v>
      </c>
      <c r="EQ175" s="4">
        <f t="shared" si="193"/>
        <v>685433.62</v>
      </c>
      <c r="ER175" s="4">
        <f t="shared" si="193"/>
        <v>21526.52</v>
      </c>
      <c r="ES175" s="4">
        <f t="shared" si="193"/>
        <v>0</v>
      </c>
      <c r="ET175" s="4">
        <f t="shared" si="193"/>
        <v>0</v>
      </c>
      <c r="EU175" s="4">
        <f t="shared" si="193"/>
        <v>0</v>
      </c>
      <c r="EV175" s="4">
        <f t="shared" si="193"/>
        <v>0</v>
      </c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>
        <f>ROUND(SUMIF(AA158:AA173,"=60258061",FQ158:FQ173),2)</f>
        <v>0</v>
      </c>
      <c r="FQ175" s="4">
        <f>ROUND(SUMIF(AA158:AA173,"=60258061",FR158:FR173),2)</f>
        <v>21526.52</v>
      </c>
      <c r="FR175" s="4">
        <f>ROUND(SUMIF(AA158:AA173,"=60258061",GL158:GL173),2)</f>
        <v>0</v>
      </c>
      <c r="FS175" s="4">
        <f>ROUND(SUMIF(AA158:AA173,"=60258061",GM158:GM173),2)</f>
        <v>2103705</v>
      </c>
      <c r="FT175" s="4">
        <f>ROUND(SUMIF(AA158:AA173,"=60258061",GN158:GN173),2)</f>
        <v>0</v>
      </c>
      <c r="FU175" s="4">
        <f>ROUND(SUMIF(AA158:AA173,"=60258061",GO158:GO173),2)</f>
        <v>2082178.48</v>
      </c>
      <c r="FV175" s="4">
        <f>ROUND(SUMIF(AA158:AA173,"=60258061",GP158:GP173),2)</f>
        <v>0</v>
      </c>
      <c r="FW175" s="4">
        <f>DU175-FP175</f>
        <v>706960.14</v>
      </c>
      <c r="FX175" s="4">
        <f>DU175-FQ175</f>
        <v>685433.62</v>
      </c>
      <c r="FY175" s="4">
        <f>FP175-FR175</f>
        <v>0</v>
      </c>
      <c r="FZ175" s="4">
        <f>DU175-FP175-FQ175+FR175</f>
        <v>685433.62</v>
      </c>
      <c r="GA175" s="4">
        <f>FQ175-FR175</f>
        <v>21526.52</v>
      </c>
      <c r="GB175" s="4">
        <f>ROUND(SUMIF(AA158:AA173,"=60258061",GX158:GX173),2)</f>
        <v>0</v>
      </c>
      <c r="GC175" s="4">
        <f>ROUND(SUMIF(AA158:AA173,"=60258061",GY158:GY173),2)</f>
        <v>0</v>
      </c>
      <c r="GD175" s="4">
        <f>ROUND(SUMIF(AA158:AA173,"=60258061",GZ158:GZ173),2)</f>
        <v>0</v>
      </c>
      <c r="GE175" s="4">
        <f>ROUND(SUMIF(AA158:AA173,"=60258061",HD158:HD173),2)</f>
        <v>0</v>
      </c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>
        <v>0</v>
      </c>
    </row>
    <row r="177" spans="1:28" x14ac:dyDescent="0.2">
      <c r="A177" s="5">
        <v>50</v>
      </c>
      <c r="B177" s="5">
        <v>0</v>
      </c>
      <c r="C177" s="5">
        <v>0</v>
      </c>
      <c r="D177" s="5">
        <v>1</v>
      </c>
      <c r="E177" s="5">
        <v>201</v>
      </c>
      <c r="F177" s="5">
        <f>ROUND(Source!O175,O177)</f>
        <v>93005.83</v>
      </c>
      <c r="G177" s="5" t="s">
        <v>131</v>
      </c>
      <c r="H177" s="5" t="s">
        <v>132</v>
      </c>
      <c r="I177" s="5"/>
      <c r="J177" s="5"/>
      <c r="K177" s="5">
        <v>201</v>
      </c>
      <c r="L177" s="5">
        <v>1</v>
      </c>
      <c r="M177" s="5">
        <v>3</v>
      </c>
      <c r="N177" s="5" t="s">
        <v>3</v>
      </c>
      <c r="O177" s="5">
        <v>2</v>
      </c>
      <c r="P177" s="5">
        <f>ROUND(Source!DG175,O177)</f>
        <v>1277261.06</v>
      </c>
      <c r="Q177" s="5"/>
      <c r="R177" s="5"/>
      <c r="S177" s="5"/>
      <c r="T177" s="5"/>
      <c r="U177" s="5"/>
      <c r="V177" s="5"/>
      <c r="W177" s="5">
        <v>93005.83</v>
      </c>
      <c r="X177" s="5">
        <v>1</v>
      </c>
      <c r="Y177" s="5">
        <v>93005.83</v>
      </c>
      <c r="Z177" s="5">
        <v>1277261.06</v>
      </c>
      <c r="AA177" s="5">
        <v>1</v>
      </c>
      <c r="AB177" s="5">
        <v>1277261.06</v>
      </c>
    </row>
    <row r="178" spans="1:28" x14ac:dyDescent="0.2">
      <c r="A178" s="5">
        <v>50</v>
      </c>
      <c r="B178" s="5">
        <v>0</v>
      </c>
      <c r="C178" s="5">
        <v>0</v>
      </c>
      <c r="D178" s="5">
        <v>1</v>
      </c>
      <c r="E178" s="5">
        <v>202</v>
      </c>
      <c r="F178" s="5">
        <f>ROUND(Source!P175,O178)</f>
        <v>81649.64</v>
      </c>
      <c r="G178" s="5" t="s">
        <v>133</v>
      </c>
      <c r="H178" s="5" t="s">
        <v>134</v>
      </c>
      <c r="I178" s="5"/>
      <c r="J178" s="5"/>
      <c r="K178" s="5">
        <v>202</v>
      </c>
      <c r="L178" s="5">
        <v>2</v>
      </c>
      <c r="M178" s="5">
        <v>3</v>
      </c>
      <c r="N178" s="5" t="s">
        <v>3</v>
      </c>
      <c r="O178" s="5">
        <v>2</v>
      </c>
      <c r="P178" s="5">
        <f>ROUND(Source!DH175,O178)</f>
        <v>706960.14</v>
      </c>
      <c r="Q178" s="5"/>
      <c r="R178" s="5"/>
      <c r="S178" s="5"/>
      <c r="T178" s="5"/>
      <c r="U178" s="5"/>
      <c r="V178" s="5"/>
      <c r="W178" s="5">
        <v>81649.64</v>
      </c>
      <c r="X178" s="5">
        <v>1</v>
      </c>
      <c r="Y178" s="5">
        <v>81649.64</v>
      </c>
      <c r="Z178" s="5">
        <v>706960.14</v>
      </c>
      <c r="AA178" s="5">
        <v>1</v>
      </c>
      <c r="AB178" s="5">
        <v>706960.14</v>
      </c>
    </row>
    <row r="179" spans="1:28" x14ac:dyDescent="0.2">
      <c r="A179" s="5">
        <v>50</v>
      </c>
      <c r="B179" s="5">
        <v>0</v>
      </c>
      <c r="C179" s="5">
        <v>0</v>
      </c>
      <c r="D179" s="5">
        <v>1</v>
      </c>
      <c r="E179" s="5">
        <v>222</v>
      </c>
      <c r="F179" s="5">
        <f>ROUND(Source!AO175,O179)</f>
        <v>0</v>
      </c>
      <c r="G179" s="5" t="s">
        <v>135</v>
      </c>
      <c r="H179" s="5" t="s">
        <v>136</v>
      </c>
      <c r="I179" s="5"/>
      <c r="J179" s="5"/>
      <c r="K179" s="5">
        <v>222</v>
      </c>
      <c r="L179" s="5">
        <v>3</v>
      </c>
      <c r="M179" s="5">
        <v>3</v>
      </c>
      <c r="N179" s="5" t="s">
        <v>3</v>
      </c>
      <c r="O179" s="5">
        <v>2</v>
      </c>
      <c r="P179" s="5">
        <f>ROUND(Source!EG175,O179)</f>
        <v>0</v>
      </c>
      <c r="Q179" s="5"/>
      <c r="R179" s="5"/>
      <c r="S179" s="5"/>
      <c r="T179" s="5"/>
      <c r="U179" s="5"/>
      <c r="V179" s="5"/>
      <c r="W179" s="5">
        <v>0</v>
      </c>
      <c r="X179" s="5">
        <v>1</v>
      </c>
      <c r="Y179" s="5">
        <v>0</v>
      </c>
      <c r="Z179" s="5">
        <v>0</v>
      </c>
      <c r="AA179" s="5">
        <v>1</v>
      </c>
      <c r="AB179" s="5">
        <v>0</v>
      </c>
    </row>
    <row r="180" spans="1:28" x14ac:dyDescent="0.2">
      <c r="A180" s="5">
        <v>50</v>
      </c>
      <c r="B180" s="5">
        <v>0</v>
      </c>
      <c r="C180" s="5">
        <v>0</v>
      </c>
      <c r="D180" s="5">
        <v>1</v>
      </c>
      <c r="E180" s="5">
        <v>225</v>
      </c>
      <c r="F180" s="5">
        <f>ROUND(Source!AV175,O180)</f>
        <v>81649.64</v>
      </c>
      <c r="G180" s="5" t="s">
        <v>137</v>
      </c>
      <c r="H180" s="5" t="s">
        <v>138</v>
      </c>
      <c r="I180" s="5"/>
      <c r="J180" s="5"/>
      <c r="K180" s="5">
        <v>225</v>
      </c>
      <c r="L180" s="5">
        <v>4</v>
      </c>
      <c r="M180" s="5">
        <v>3</v>
      </c>
      <c r="N180" s="5" t="s">
        <v>3</v>
      </c>
      <c r="O180" s="5">
        <v>2</v>
      </c>
      <c r="P180" s="5">
        <f>ROUND(Source!EN175,O180)</f>
        <v>706960.14</v>
      </c>
      <c r="Q180" s="5"/>
      <c r="R180" s="5"/>
      <c r="S180" s="5"/>
      <c r="T180" s="5"/>
      <c r="U180" s="5"/>
      <c r="V180" s="5"/>
      <c r="W180" s="5">
        <v>81649.64</v>
      </c>
      <c r="X180" s="5">
        <v>1</v>
      </c>
      <c r="Y180" s="5">
        <v>81649.64</v>
      </c>
      <c r="Z180" s="5">
        <v>706960.14</v>
      </c>
      <c r="AA180" s="5">
        <v>1</v>
      </c>
      <c r="AB180" s="5">
        <v>706960.14</v>
      </c>
    </row>
    <row r="181" spans="1:28" x14ac:dyDescent="0.2">
      <c r="A181" s="5">
        <v>50</v>
      </c>
      <c r="B181" s="5">
        <v>0</v>
      </c>
      <c r="C181" s="5">
        <v>0</v>
      </c>
      <c r="D181" s="5">
        <v>1</v>
      </c>
      <c r="E181" s="5">
        <v>226</v>
      </c>
      <c r="F181" s="5">
        <f>ROUND(Source!AW175,O181)</f>
        <v>78187.14</v>
      </c>
      <c r="G181" s="5" t="s">
        <v>139</v>
      </c>
      <c r="H181" s="5" t="s">
        <v>140</v>
      </c>
      <c r="I181" s="5"/>
      <c r="J181" s="5"/>
      <c r="K181" s="5">
        <v>226</v>
      </c>
      <c r="L181" s="5">
        <v>5</v>
      </c>
      <c r="M181" s="5">
        <v>3</v>
      </c>
      <c r="N181" s="5" t="s">
        <v>3</v>
      </c>
      <c r="O181" s="5">
        <v>2</v>
      </c>
      <c r="P181" s="5">
        <f>ROUND(Source!EO175,O181)</f>
        <v>685433.62</v>
      </c>
      <c r="Q181" s="5"/>
      <c r="R181" s="5"/>
      <c r="S181" s="5"/>
      <c r="T181" s="5"/>
      <c r="U181" s="5"/>
      <c r="V181" s="5"/>
      <c r="W181" s="5">
        <v>78187.14</v>
      </c>
      <c r="X181" s="5">
        <v>1</v>
      </c>
      <c r="Y181" s="5">
        <v>78187.14</v>
      </c>
      <c r="Z181" s="5">
        <v>685433.62</v>
      </c>
      <c r="AA181" s="5">
        <v>1</v>
      </c>
      <c r="AB181" s="5">
        <v>685433.62</v>
      </c>
    </row>
    <row r="182" spans="1:28" x14ac:dyDescent="0.2">
      <c r="A182" s="5">
        <v>50</v>
      </c>
      <c r="B182" s="5">
        <v>0</v>
      </c>
      <c r="C182" s="5">
        <v>0</v>
      </c>
      <c r="D182" s="5">
        <v>1</v>
      </c>
      <c r="E182" s="5">
        <v>227</v>
      </c>
      <c r="F182" s="5">
        <f>ROUND(Source!AX175,O182)</f>
        <v>0</v>
      </c>
      <c r="G182" s="5" t="s">
        <v>141</v>
      </c>
      <c r="H182" s="5" t="s">
        <v>142</v>
      </c>
      <c r="I182" s="5"/>
      <c r="J182" s="5"/>
      <c r="K182" s="5">
        <v>227</v>
      </c>
      <c r="L182" s="5">
        <v>6</v>
      </c>
      <c r="M182" s="5">
        <v>3</v>
      </c>
      <c r="N182" s="5" t="s">
        <v>3</v>
      </c>
      <c r="O182" s="5">
        <v>2</v>
      </c>
      <c r="P182" s="5">
        <f>ROUND(Source!EP175,O182)</f>
        <v>0</v>
      </c>
      <c r="Q182" s="5"/>
      <c r="R182" s="5"/>
      <c r="S182" s="5"/>
      <c r="T182" s="5"/>
      <c r="U182" s="5"/>
      <c r="V182" s="5"/>
      <c r="W182" s="5">
        <v>0</v>
      </c>
      <c r="X182" s="5">
        <v>1</v>
      </c>
      <c r="Y182" s="5">
        <v>0</v>
      </c>
      <c r="Z182" s="5">
        <v>0</v>
      </c>
      <c r="AA182" s="5">
        <v>1</v>
      </c>
      <c r="AB182" s="5">
        <v>0</v>
      </c>
    </row>
    <row r="183" spans="1:28" x14ac:dyDescent="0.2">
      <c r="A183" s="5">
        <v>50</v>
      </c>
      <c r="B183" s="5">
        <v>0</v>
      </c>
      <c r="C183" s="5">
        <v>0</v>
      </c>
      <c r="D183" s="5">
        <v>1</v>
      </c>
      <c r="E183" s="5">
        <v>228</v>
      </c>
      <c r="F183" s="5">
        <f>ROUND(Source!AY175,O183)</f>
        <v>78187.14</v>
      </c>
      <c r="G183" s="5" t="s">
        <v>143</v>
      </c>
      <c r="H183" s="5" t="s">
        <v>144</v>
      </c>
      <c r="I183" s="5"/>
      <c r="J183" s="5"/>
      <c r="K183" s="5">
        <v>228</v>
      </c>
      <c r="L183" s="5">
        <v>7</v>
      </c>
      <c r="M183" s="5">
        <v>3</v>
      </c>
      <c r="N183" s="5" t="s">
        <v>3</v>
      </c>
      <c r="O183" s="5">
        <v>2</v>
      </c>
      <c r="P183" s="5">
        <f>ROUND(Source!EQ175,O183)</f>
        <v>685433.62</v>
      </c>
      <c r="Q183" s="5"/>
      <c r="R183" s="5"/>
      <c r="S183" s="5"/>
      <c r="T183" s="5"/>
      <c r="U183" s="5"/>
      <c r="V183" s="5"/>
      <c r="W183" s="5">
        <v>78187.14</v>
      </c>
      <c r="X183" s="5">
        <v>1</v>
      </c>
      <c r="Y183" s="5">
        <v>78187.14</v>
      </c>
      <c r="Z183" s="5">
        <v>685433.62</v>
      </c>
      <c r="AA183" s="5">
        <v>1</v>
      </c>
      <c r="AB183" s="5">
        <v>685433.62</v>
      </c>
    </row>
    <row r="184" spans="1:28" x14ac:dyDescent="0.2">
      <c r="A184" s="5">
        <v>50</v>
      </c>
      <c r="B184" s="5">
        <v>0</v>
      </c>
      <c r="C184" s="5">
        <v>0</v>
      </c>
      <c r="D184" s="5">
        <v>1</v>
      </c>
      <c r="E184" s="5">
        <v>216</v>
      </c>
      <c r="F184" s="5">
        <f>ROUND(Source!AP175,O184)</f>
        <v>3462.5</v>
      </c>
      <c r="G184" s="5" t="s">
        <v>145</v>
      </c>
      <c r="H184" s="5" t="s">
        <v>146</v>
      </c>
      <c r="I184" s="5"/>
      <c r="J184" s="5"/>
      <c r="K184" s="5">
        <v>216</v>
      </c>
      <c r="L184" s="5">
        <v>8</v>
      </c>
      <c r="M184" s="5">
        <v>3</v>
      </c>
      <c r="N184" s="5" t="s">
        <v>3</v>
      </c>
      <c r="O184" s="5">
        <v>2</v>
      </c>
      <c r="P184" s="5">
        <f>ROUND(Source!EH175,O184)</f>
        <v>21526.52</v>
      </c>
      <c r="Q184" s="5"/>
      <c r="R184" s="5"/>
      <c r="S184" s="5"/>
      <c r="T184" s="5"/>
      <c r="U184" s="5"/>
      <c r="V184" s="5"/>
      <c r="W184" s="5">
        <v>3462.5</v>
      </c>
      <c r="X184" s="5">
        <v>1</v>
      </c>
      <c r="Y184" s="5">
        <v>3462.5</v>
      </c>
      <c r="Z184" s="5">
        <v>21526.52</v>
      </c>
      <c r="AA184" s="5">
        <v>1</v>
      </c>
      <c r="AB184" s="5">
        <v>21526.52</v>
      </c>
    </row>
    <row r="185" spans="1:28" x14ac:dyDescent="0.2">
      <c r="A185" s="5">
        <v>50</v>
      </c>
      <c r="B185" s="5">
        <v>0</v>
      </c>
      <c r="C185" s="5">
        <v>0</v>
      </c>
      <c r="D185" s="5">
        <v>1</v>
      </c>
      <c r="E185" s="5">
        <v>223</v>
      </c>
      <c r="F185" s="5">
        <f>ROUND(Source!AQ175,O185)</f>
        <v>0</v>
      </c>
      <c r="G185" s="5" t="s">
        <v>147</v>
      </c>
      <c r="H185" s="5" t="s">
        <v>148</v>
      </c>
      <c r="I185" s="5"/>
      <c r="J185" s="5"/>
      <c r="K185" s="5">
        <v>223</v>
      </c>
      <c r="L185" s="5">
        <v>9</v>
      </c>
      <c r="M185" s="5">
        <v>3</v>
      </c>
      <c r="N185" s="5" t="s">
        <v>3</v>
      </c>
      <c r="O185" s="5">
        <v>2</v>
      </c>
      <c r="P185" s="5">
        <f>ROUND(Source!EI175,O185)</f>
        <v>0</v>
      </c>
      <c r="Q185" s="5"/>
      <c r="R185" s="5"/>
      <c r="S185" s="5"/>
      <c r="T185" s="5"/>
      <c r="U185" s="5"/>
      <c r="V185" s="5"/>
      <c r="W185" s="5">
        <v>0</v>
      </c>
      <c r="X185" s="5">
        <v>1</v>
      </c>
      <c r="Y185" s="5">
        <v>0</v>
      </c>
      <c r="Z185" s="5">
        <v>0</v>
      </c>
      <c r="AA185" s="5">
        <v>1</v>
      </c>
      <c r="AB185" s="5">
        <v>0</v>
      </c>
    </row>
    <row r="186" spans="1:28" x14ac:dyDescent="0.2">
      <c r="A186" s="5">
        <v>50</v>
      </c>
      <c r="B186" s="5">
        <v>0</v>
      </c>
      <c r="C186" s="5">
        <v>0</v>
      </c>
      <c r="D186" s="5">
        <v>1</v>
      </c>
      <c r="E186" s="5">
        <v>229</v>
      </c>
      <c r="F186" s="5">
        <f>ROUND(Source!AZ175,O186)</f>
        <v>3462.5</v>
      </c>
      <c r="G186" s="5" t="s">
        <v>149</v>
      </c>
      <c r="H186" s="5" t="s">
        <v>150</v>
      </c>
      <c r="I186" s="5"/>
      <c r="J186" s="5"/>
      <c r="K186" s="5">
        <v>229</v>
      </c>
      <c r="L186" s="5">
        <v>10</v>
      </c>
      <c r="M186" s="5">
        <v>3</v>
      </c>
      <c r="N186" s="5" t="s">
        <v>3</v>
      </c>
      <c r="O186" s="5">
        <v>2</v>
      </c>
      <c r="P186" s="5">
        <f>ROUND(Source!ER175,O186)</f>
        <v>21526.52</v>
      </c>
      <c r="Q186" s="5"/>
      <c r="R186" s="5"/>
      <c r="S186" s="5"/>
      <c r="T186" s="5"/>
      <c r="U186" s="5"/>
      <c r="V186" s="5"/>
      <c r="W186" s="5">
        <v>3462.5</v>
      </c>
      <c r="X186" s="5">
        <v>1</v>
      </c>
      <c r="Y186" s="5">
        <v>3462.5</v>
      </c>
      <c r="Z186" s="5">
        <v>21526.52</v>
      </c>
      <c r="AA186" s="5">
        <v>1</v>
      </c>
      <c r="AB186" s="5">
        <v>21526.52</v>
      </c>
    </row>
    <row r="187" spans="1:28" x14ac:dyDescent="0.2">
      <c r="A187" s="5">
        <v>50</v>
      </c>
      <c r="B187" s="5">
        <v>0</v>
      </c>
      <c r="C187" s="5">
        <v>0</v>
      </c>
      <c r="D187" s="5">
        <v>1</v>
      </c>
      <c r="E187" s="5">
        <v>203</v>
      </c>
      <c r="F187" s="5">
        <f>ROUND(Source!Q175,O187)</f>
        <v>1432.35</v>
      </c>
      <c r="G187" s="5" t="s">
        <v>151</v>
      </c>
      <c r="H187" s="5" t="s">
        <v>152</v>
      </c>
      <c r="I187" s="5"/>
      <c r="J187" s="5"/>
      <c r="K187" s="5">
        <v>203</v>
      </c>
      <c r="L187" s="5">
        <v>11</v>
      </c>
      <c r="M187" s="5">
        <v>3</v>
      </c>
      <c r="N187" s="5" t="s">
        <v>3</v>
      </c>
      <c r="O187" s="5">
        <v>2</v>
      </c>
      <c r="P187" s="5">
        <f>ROUND(Source!DI175,O187)</f>
        <v>24588.959999999999</v>
      </c>
      <c r="Q187" s="5"/>
      <c r="R187" s="5"/>
      <c r="S187" s="5"/>
      <c r="T187" s="5"/>
      <c r="U187" s="5"/>
      <c r="V187" s="5"/>
      <c r="W187" s="5">
        <v>1432.35</v>
      </c>
      <c r="X187" s="5">
        <v>1</v>
      </c>
      <c r="Y187" s="5">
        <v>1432.35</v>
      </c>
      <c r="Z187" s="5">
        <v>24588.959999999999</v>
      </c>
      <c r="AA187" s="5">
        <v>1</v>
      </c>
      <c r="AB187" s="5">
        <v>24588.959999999999</v>
      </c>
    </row>
    <row r="188" spans="1:28" x14ac:dyDescent="0.2">
      <c r="A188" s="5">
        <v>50</v>
      </c>
      <c r="B188" s="5">
        <v>0</v>
      </c>
      <c r="C188" s="5">
        <v>0</v>
      </c>
      <c r="D188" s="5">
        <v>1</v>
      </c>
      <c r="E188" s="5">
        <v>231</v>
      </c>
      <c r="F188" s="5">
        <f>ROUND(Source!BB175,O188)</f>
        <v>0</v>
      </c>
      <c r="G188" s="5" t="s">
        <v>153</v>
      </c>
      <c r="H188" s="5" t="s">
        <v>154</v>
      </c>
      <c r="I188" s="5"/>
      <c r="J188" s="5"/>
      <c r="K188" s="5">
        <v>231</v>
      </c>
      <c r="L188" s="5">
        <v>12</v>
      </c>
      <c r="M188" s="5">
        <v>3</v>
      </c>
      <c r="N188" s="5" t="s">
        <v>3</v>
      </c>
      <c r="O188" s="5">
        <v>2</v>
      </c>
      <c r="P188" s="5">
        <f>ROUND(Source!ET175,O188)</f>
        <v>0</v>
      </c>
      <c r="Q188" s="5"/>
      <c r="R188" s="5"/>
      <c r="S188" s="5"/>
      <c r="T188" s="5"/>
      <c r="U188" s="5"/>
      <c r="V188" s="5"/>
      <c r="W188" s="5">
        <v>0</v>
      </c>
      <c r="X188" s="5">
        <v>1</v>
      </c>
      <c r="Y188" s="5">
        <v>0</v>
      </c>
      <c r="Z188" s="5">
        <v>0</v>
      </c>
      <c r="AA188" s="5">
        <v>1</v>
      </c>
      <c r="AB188" s="5">
        <v>0</v>
      </c>
    </row>
    <row r="189" spans="1:28" x14ac:dyDescent="0.2">
      <c r="A189" s="5">
        <v>50</v>
      </c>
      <c r="B189" s="5">
        <v>0</v>
      </c>
      <c r="C189" s="5">
        <v>0</v>
      </c>
      <c r="D189" s="5">
        <v>1</v>
      </c>
      <c r="E189" s="5">
        <v>204</v>
      </c>
      <c r="F189" s="5">
        <f>ROUND(Source!R175,O189)</f>
        <v>230.88</v>
      </c>
      <c r="G189" s="5" t="s">
        <v>155</v>
      </c>
      <c r="H189" s="5" t="s">
        <v>156</v>
      </c>
      <c r="I189" s="5"/>
      <c r="J189" s="5"/>
      <c r="K189" s="5">
        <v>204</v>
      </c>
      <c r="L189" s="5">
        <v>13</v>
      </c>
      <c r="M189" s="5">
        <v>3</v>
      </c>
      <c r="N189" s="5" t="s">
        <v>3</v>
      </c>
      <c r="O189" s="5">
        <v>2</v>
      </c>
      <c r="P189" s="5">
        <f>ROUND(Source!DJ175,O189)</f>
        <v>12696.1</v>
      </c>
      <c r="Q189" s="5"/>
      <c r="R189" s="5"/>
      <c r="S189" s="5"/>
      <c r="T189" s="5"/>
      <c r="U189" s="5"/>
      <c r="V189" s="5"/>
      <c r="W189" s="5">
        <v>230.88</v>
      </c>
      <c r="X189" s="5">
        <v>1</v>
      </c>
      <c r="Y189" s="5">
        <v>230.88</v>
      </c>
      <c r="Z189" s="5">
        <v>12696.1</v>
      </c>
      <c r="AA189" s="5">
        <v>1</v>
      </c>
      <c r="AB189" s="5">
        <v>12696.1</v>
      </c>
    </row>
    <row r="190" spans="1:28" x14ac:dyDescent="0.2">
      <c r="A190" s="5">
        <v>50</v>
      </c>
      <c r="B190" s="5">
        <v>0</v>
      </c>
      <c r="C190" s="5">
        <v>0</v>
      </c>
      <c r="D190" s="5">
        <v>1</v>
      </c>
      <c r="E190" s="5">
        <v>205</v>
      </c>
      <c r="F190" s="5">
        <f>ROUND(Source!S175,O190)</f>
        <v>9923.84</v>
      </c>
      <c r="G190" s="5" t="s">
        <v>157</v>
      </c>
      <c r="H190" s="5" t="s">
        <v>158</v>
      </c>
      <c r="I190" s="5"/>
      <c r="J190" s="5"/>
      <c r="K190" s="5">
        <v>205</v>
      </c>
      <c r="L190" s="5">
        <v>14</v>
      </c>
      <c r="M190" s="5">
        <v>3</v>
      </c>
      <c r="N190" s="5" t="s">
        <v>3</v>
      </c>
      <c r="O190" s="5">
        <v>2</v>
      </c>
      <c r="P190" s="5">
        <f>ROUND(Source!DK175,O190)</f>
        <v>545711.96</v>
      </c>
      <c r="Q190" s="5"/>
      <c r="R190" s="5"/>
      <c r="S190" s="5"/>
      <c r="T190" s="5"/>
      <c r="U190" s="5"/>
      <c r="V190" s="5"/>
      <c r="W190" s="5">
        <v>9923.84</v>
      </c>
      <c r="X190" s="5">
        <v>1</v>
      </c>
      <c r="Y190" s="5">
        <v>9923.84</v>
      </c>
      <c r="Z190" s="5">
        <v>545711.96</v>
      </c>
      <c r="AA190" s="5">
        <v>1</v>
      </c>
      <c r="AB190" s="5">
        <v>545711.96</v>
      </c>
    </row>
    <row r="191" spans="1:28" x14ac:dyDescent="0.2">
      <c r="A191" s="5">
        <v>50</v>
      </c>
      <c r="B191" s="5">
        <v>0</v>
      </c>
      <c r="C191" s="5">
        <v>0</v>
      </c>
      <c r="D191" s="5">
        <v>1</v>
      </c>
      <c r="E191" s="5">
        <v>232</v>
      </c>
      <c r="F191" s="5">
        <f>ROUND(Source!BC175,O191)</f>
        <v>0</v>
      </c>
      <c r="G191" s="5" t="s">
        <v>159</v>
      </c>
      <c r="H191" s="5" t="s">
        <v>160</v>
      </c>
      <c r="I191" s="5"/>
      <c r="J191" s="5"/>
      <c r="K191" s="5">
        <v>232</v>
      </c>
      <c r="L191" s="5">
        <v>15</v>
      </c>
      <c r="M191" s="5">
        <v>3</v>
      </c>
      <c r="N191" s="5" t="s">
        <v>3</v>
      </c>
      <c r="O191" s="5">
        <v>2</v>
      </c>
      <c r="P191" s="5">
        <f>ROUND(Source!EU175,O191)</f>
        <v>0</v>
      </c>
      <c r="Q191" s="5"/>
      <c r="R191" s="5"/>
      <c r="S191" s="5"/>
      <c r="T191" s="5"/>
      <c r="U191" s="5"/>
      <c r="V191" s="5"/>
      <c r="W191" s="5">
        <v>0</v>
      </c>
      <c r="X191" s="5">
        <v>1</v>
      </c>
      <c r="Y191" s="5">
        <v>0</v>
      </c>
      <c r="Z191" s="5">
        <v>0</v>
      </c>
      <c r="AA191" s="5">
        <v>1</v>
      </c>
      <c r="AB191" s="5">
        <v>0</v>
      </c>
    </row>
    <row r="192" spans="1:28" x14ac:dyDescent="0.2">
      <c r="A192" s="5">
        <v>50</v>
      </c>
      <c r="B192" s="5">
        <v>0</v>
      </c>
      <c r="C192" s="5">
        <v>0</v>
      </c>
      <c r="D192" s="5">
        <v>1</v>
      </c>
      <c r="E192" s="5">
        <v>214</v>
      </c>
      <c r="F192" s="5">
        <f>ROUND(Source!AS175,O192)</f>
        <v>0</v>
      </c>
      <c r="G192" s="5" t="s">
        <v>161</v>
      </c>
      <c r="H192" s="5" t="s">
        <v>162</v>
      </c>
      <c r="I192" s="5"/>
      <c r="J192" s="5"/>
      <c r="K192" s="5">
        <v>214</v>
      </c>
      <c r="L192" s="5">
        <v>16</v>
      </c>
      <c r="M192" s="5">
        <v>3</v>
      </c>
      <c r="N192" s="5" t="s">
        <v>3</v>
      </c>
      <c r="O192" s="5">
        <v>2</v>
      </c>
      <c r="P192" s="5">
        <f>ROUND(Source!EK175,O192)</f>
        <v>0</v>
      </c>
      <c r="Q192" s="5"/>
      <c r="R192" s="5"/>
      <c r="S192" s="5"/>
      <c r="T192" s="5"/>
      <c r="U192" s="5"/>
      <c r="V192" s="5"/>
      <c r="W192" s="5">
        <v>0</v>
      </c>
      <c r="X192" s="5">
        <v>1</v>
      </c>
      <c r="Y192" s="5">
        <v>0</v>
      </c>
      <c r="Z192" s="5">
        <v>0</v>
      </c>
      <c r="AA192" s="5">
        <v>1</v>
      </c>
      <c r="AB192" s="5">
        <v>0</v>
      </c>
    </row>
    <row r="193" spans="1:206" x14ac:dyDescent="0.2">
      <c r="A193" s="5">
        <v>50</v>
      </c>
      <c r="B193" s="5">
        <v>0</v>
      </c>
      <c r="C193" s="5">
        <v>0</v>
      </c>
      <c r="D193" s="5">
        <v>1</v>
      </c>
      <c r="E193" s="5">
        <v>215</v>
      </c>
      <c r="F193" s="5">
        <f>ROUND(Source!AT175,O193)</f>
        <v>104572.32</v>
      </c>
      <c r="G193" s="5" t="s">
        <v>163</v>
      </c>
      <c r="H193" s="5" t="s">
        <v>164</v>
      </c>
      <c r="I193" s="5"/>
      <c r="J193" s="5"/>
      <c r="K193" s="5">
        <v>215</v>
      </c>
      <c r="L193" s="5">
        <v>17</v>
      </c>
      <c r="M193" s="5">
        <v>3</v>
      </c>
      <c r="N193" s="5" t="s">
        <v>3</v>
      </c>
      <c r="O193" s="5">
        <v>2</v>
      </c>
      <c r="P193" s="5">
        <f>ROUND(Source!EL175,O193)</f>
        <v>2082178.48</v>
      </c>
      <c r="Q193" s="5"/>
      <c r="R193" s="5"/>
      <c r="S193" s="5"/>
      <c r="T193" s="5"/>
      <c r="U193" s="5"/>
      <c r="V193" s="5"/>
      <c r="W193" s="5">
        <v>104572.32</v>
      </c>
      <c r="X193" s="5">
        <v>1</v>
      </c>
      <c r="Y193" s="5">
        <v>104572.32</v>
      </c>
      <c r="Z193" s="5">
        <v>2082178.48</v>
      </c>
      <c r="AA193" s="5">
        <v>1</v>
      </c>
      <c r="AB193" s="5">
        <v>2082178.48</v>
      </c>
    </row>
    <row r="194" spans="1:206" x14ac:dyDescent="0.2">
      <c r="A194" s="5">
        <v>50</v>
      </c>
      <c r="B194" s="5">
        <v>0</v>
      </c>
      <c r="C194" s="5">
        <v>0</v>
      </c>
      <c r="D194" s="5">
        <v>1</v>
      </c>
      <c r="E194" s="5">
        <v>217</v>
      </c>
      <c r="F194" s="5">
        <f>ROUND(Source!AU175,O194)</f>
        <v>0</v>
      </c>
      <c r="G194" s="5" t="s">
        <v>165</v>
      </c>
      <c r="H194" s="5" t="s">
        <v>166</v>
      </c>
      <c r="I194" s="5"/>
      <c r="J194" s="5"/>
      <c r="K194" s="5">
        <v>217</v>
      </c>
      <c r="L194" s="5">
        <v>18</v>
      </c>
      <c r="M194" s="5">
        <v>3</v>
      </c>
      <c r="N194" s="5" t="s">
        <v>3</v>
      </c>
      <c r="O194" s="5">
        <v>2</v>
      </c>
      <c r="P194" s="5">
        <f>ROUND(Source!EM175,O194)</f>
        <v>0</v>
      </c>
      <c r="Q194" s="5"/>
      <c r="R194" s="5"/>
      <c r="S194" s="5"/>
      <c r="T194" s="5"/>
      <c r="U194" s="5"/>
      <c r="V194" s="5"/>
      <c r="W194" s="5">
        <v>0</v>
      </c>
      <c r="X194" s="5">
        <v>1</v>
      </c>
      <c r="Y194" s="5">
        <v>0</v>
      </c>
      <c r="Z194" s="5">
        <v>0</v>
      </c>
      <c r="AA194" s="5">
        <v>1</v>
      </c>
      <c r="AB194" s="5">
        <v>0</v>
      </c>
    </row>
    <row r="195" spans="1:206" x14ac:dyDescent="0.2">
      <c r="A195" s="5">
        <v>50</v>
      </c>
      <c r="B195" s="5">
        <v>0</v>
      </c>
      <c r="C195" s="5">
        <v>0</v>
      </c>
      <c r="D195" s="5">
        <v>1</v>
      </c>
      <c r="E195" s="5">
        <v>230</v>
      </c>
      <c r="F195" s="5">
        <f>ROUND(Source!BA175,O195)</f>
        <v>0</v>
      </c>
      <c r="G195" s="5" t="s">
        <v>167</v>
      </c>
      <c r="H195" s="5" t="s">
        <v>168</v>
      </c>
      <c r="I195" s="5"/>
      <c r="J195" s="5"/>
      <c r="K195" s="5">
        <v>230</v>
      </c>
      <c r="L195" s="5">
        <v>19</v>
      </c>
      <c r="M195" s="5">
        <v>3</v>
      </c>
      <c r="N195" s="5" t="s">
        <v>3</v>
      </c>
      <c r="O195" s="5">
        <v>2</v>
      </c>
      <c r="P195" s="5">
        <f>ROUND(Source!ES175,O195)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06" x14ac:dyDescent="0.2">
      <c r="A196" s="5">
        <v>50</v>
      </c>
      <c r="B196" s="5">
        <v>0</v>
      </c>
      <c r="C196" s="5">
        <v>0</v>
      </c>
      <c r="D196" s="5">
        <v>1</v>
      </c>
      <c r="E196" s="5">
        <v>206</v>
      </c>
      <c r="F196" s="5">
        <f>ROUND(Source!T175,O196)</f>
        <v>0</v>
      </c>
      <c r="G196" s="5" t="s">
        <v>169</v>
      </c>
      <c r="H196" s="5" t="s">
        <v>170</v>
      </c>
      <c r="I196" s="5"/>
      <c r="J196" s="5"/>
      <c r="K196" s="5">
        <v>206</v>
      </c>
      <c r="L196" s="5">
        <v>20</v>
      </c>
      <c r="M196" s="5">
        <v>3</v>
      </c>
      <c r="N196" s="5" t="s">
        <v>3</v>
      </c>
      <c r="O196" s="5">
        <v>2</v>
      </c>
      <c r="P196" s="5">
        <f>ROUND(Source!DL175,O196)</f>
        <v>0</v>
      </c>
      <c r="Q196" s="5"/>
      <c r="R196" s="5"/>
      <c r="S196" s="5"/>
      <c r="T196" s="5"/>
      <c r="U196" s="5"/>
      <c r="V196" s="5"/>
      <c r="W196" s="5">
        <v>0</v>
      </c>
      <c r="X196" s="5">
        <v>1</v>
      </c>
      <c r="Y196" s="5">
        <v>0</v>
      </c>
      <c r="Z196" s="5">
        <v>0</v>
      </c>
      <c r="AA196" s="5">
        <v>1</v>
      </c>
      <c r="AB196" s="5">
        <v>0</v>
      </c>
    </row>
    <row r="197" spans="1:206" x14ac:dyDescent="0.2">
      <c r="A197" s="5">
        <v>50</v>
      </c>
      <c r="B197" s="5">
        <v>0</v>
      </c>
      <c r="C197" s="5">
        <v>0</v>
      </c>
      <c r="D197" s="5">
        <v>1</v>
      </c>
      <c r="E197" s="5">
        <v>207</v>
      </c>
      <c r="F197" s="5">
        <f>Source!U175</f>
        <v>785.00563019999993</v>
      </c>
      <c r="G197" s="5" t="s">
        <v>171</v>
      </c>
      <c r="H197" s="5" t="s">
        <v>172</v>
      </c>
      <c r="I197" s="5"/>
      <c r="J197" s="5"/>
      <c r="K197" s="5">
        <v>207</v>
      </c>
      <c r="L197" s="5">
        <v>21</v>
      </c>
      <c r="M197" s="5">
        <v>3</v>
      </c>
      <c r="N197" s="5" t="s">
        <v>3</v>
      </c>
      <c r="O197" s="5">
        <v>-1</v>
      </c>
      <c r="P197" s="5">
        <f>Source!DM175</f>
        <v>785.00563019999993</v>
      </c>
      <c r="Q197" s="5"/>
      <c r="R197" s="5"/>
      <c r="S197" s="5"/>
      <c r="T197" s="5"/>
      <c r="U197" s="5"/>
      <c r="V197" s="5"/>
      <c r="W197" s="5">
        <v>785.00563019999993</v>
      </c>
      <c r="X197" s="5">
        <v>1</v>
      </c>
      <c r="Y197" s="5">
        <v>785.00563019999993</v>
      </c>
      <c r="Z197" s="5">
        <v>785.00563019999993</v>
      </c>
      <c r="AA197" s="5">
        <v>1</v>
      </c>
      <c r="AB197" s="5">
        <v>785.00563019999993</v>
      </c>
    </row>
    <row r="198" spans="1:206" x14ac:dyDescent="0.2">
      <c r="A198" s="5">
        <v>50</v>
      </c>
      <c r="B198" s="5">
        <v>0</v>
      </c>
      <c r="C198" s="5">
        <v>0</v>
      </c>
      <c r="D198" s="5">
        <v>1</v>
      </c>
      <c r="E198" s="5">
        <v>208</v>
      </c>
      <c r="F198" s="5">
        <f>Source!V175</f>
        <v>0</v>
      </c>
      <c r="G198" s="5" t="s">
        <v>173</v>
      </c>
      <c r="H198" s="5" t="s">
        <v>174</v>
      </c>
      <c r="I198" s="5"/>
      <c r="J198" s="5"/>
      <c r="K198" s="5">
        <v>208</v>
      </c>
      <c r="L198" s="5">
        <v>22</v>
      </c>
      <c r="M198" s="5">
        <v>3</v>
      </c>
      <c r="N198" s="5" t="s">
        <v>3</v>
      </c>
      <c r="O198" s="5">
        <v>-1</v>
      </c>
      <c r="P198" s="5">
        <f>Source!DN175</f>
        <v>0</v>
      </c>
      <c r="Q198" s="5"/>
      <c r="R198" s="5"/>
      <c r="S198" s="5"/>
      <c r="T198" s="5"/>
      <c r="U198" s="5"/>
      <c r="V198" s="5"/>
      <c r="W198" s="5">
        <v>0</v>
      </c>
      <c r="X198" s="5">
        <v>1</v>
      </c>
      <c r="Y198" s="5">
        <v>0</v>
      </c>
      <c r="Z198" s="5">
        <v>0</v>
      </c>
      <c r="AA198" s="5">
        <v>1</v>
      </c>
      <c r="AB198" s="5">
        <v>0</v>
      </c>
    </row>
    <row r="199" spans="1:206" x14ac:dyDescent="0.2">
      <c r="A199" s="5">
        <v>50</v>
      </c>
      <c r="B199" s="5">
        <v>0</v>
      </c>
      <c r="C199" s="5">
        <v>0</v>
      </c>
      <c r="D199" s="5">
        <v>1</v>
      </c>
      <c r="E199" s="5">
        <v>209</v>
      </c>
      <c r="F199" s="5">
        <f>ROUND(Source!W175,O199)</f>
        <v>0</v>
      </c>
      <c r="G199" s="5" t="s">
        <v>175</v>
      </c>
      <c r="H199" s="5" t="s">
        <v>176</v>
      </c>
      <c r="I199" s="5"/>
      <c r="J199" s="5"/>
      <c r="K199" s="5">
        <v>209</v>
      </c>
      <c r="L199" s="5">
        <v>23</v>
      </c>
      <c r="M199" s="5">
        <v>3</v>
      </c>
      <c r="N199" s="5" t="s">
        <v>3</v>
      </c>
      <c r="O199" s="5">
        <v>2</v>
      </c>
      <c r="P199" s="5">
        <f>ROUND(Source!DO175,O199)</f>
        <v>0</v>
      </c>
      <c r="Q199" s="5"/>
      <c r="R199" s="5"/>
      <c r="S199" s="5"/>
      <c r="T199" s="5"/>
      <c r="U199" s="5"/>
      <c r="V199" s="5"/>
      <c r="W199" s="5">
        <v>0</v>
      </c>
      <c r="X199" s="5">
        <v>1</v>
      </c>
      <c r="Y199" s="5">
        <v>0</v>
      </c>
      <c r="Z199" s="5">
        <v>0</v>
      </c>
      <c r="AA199" s="5">
        <v>1</v>
      </c>
      <c r="AB199" s="5">
        <v>0</v>
      </c>
    </row>
    <row r="200" spans="1:206" x14ac:dyDescent="0.2">
      <c r="A200" s="5">
        <v>50</v>
      </c>
      <c r="B200" s="5">
        <v>0</v>
      </c>
      <c r="C200" s="5">
        <v>0</v>
      </c>
      <c r="D200" s="5">
        <v>1</v>
      </c>
      <c r="E200" s="5">
        <v>233</v>
      </c>
      <c r="F200" s="5">
        <f>ROUND(Source!BD175,O200)</f>
        <v>0</v>
      </c>
      <c r="G200" s="5" t="s">
        <v>177</v>
      </c>
      <c r="H200" s="5" t="s">
        <v>178</v>
      </c>
      <c r="I200" s="5"/>
      <c r="J200" s="5"/>
      <c r="K200" s="5">
        <v>233</v>
      </c>
      <c r="L200" s="5">
        <v>24</v>
      </c>
      <c r="M200" s="5">
        <v>3</v>
      </c>
      <c r="N200" s="5" t="s">
        <v>3</v>
      </c>
      <c r="O200" s="5">
        <v>2</v>
      </c>
      <c r="P200" s="5">
        <f>ROUND(Source!EV175,O200)</f>
        <v>0</v>
      </c>
      <c r="Q200" s="5"/>
      <c r="R200" s="5"/>
      <c r="S200" s="5"/>
      <c r="T200" s="5"/>
      <c r="U200" s="5"/>
      <c r="V200" s="5"/>
      <c r="W200" s="5">
        <v>0</v>
      </c>
      <c r="X200" s="5">
        <v>1</v>
      </c>
      <c r="Y200" s="5">
        <v>0</v>
      </c>
      <c r="Z200" s="5">
        <v>0</v>
      </c>
      <c r="AA200" s="5">
        <v>1</v>
      </c>
      <c r="AB200" s="5">
        <v>0</v>
      </c>
    </row>
    <row r="201" spans="1:206" x14ac:dyDescent="0.2">
      <c r="A201" s="5">
        <v>50</v>
      </c>
      <c r="B201" s="5">
        <v>0</v>
      </c>
      <c r="C201" s="5">
        <v>0</v>
      </c>
      <c r="D201" s="5">
        <v>1</v>
      </c>
      <c r="E201" s="5">
        <v>210</v>
      </c>
      <c r="F201" s="5">
        <f>ROUND(Source!X175,O201)</f>
        <v>9850.08</v>
      </c>
      <c r="G201" s="5" t="s">
        <v>179</v>
      </c>
      <c r="H201" s="5" t="s">
        <v>180</v>
      </c>
      <c r="I201" s="5"/>
      <c r="J201" s="5"/>
      <c r="K201" s="5">
        <v>210</v>
      </c>
      <c r="L201" s="5">
        <v>25</v>
      </c>
      <c r="M201" s="5">
        <v>3</v>
      </c>
      <c r="N201" s="5" t="s">
        <v>3</v>
      </c>
      <c r="O201" s="5">
        <v>2</v>
      </c>
      <c r="P201" s="5">
        <f>ROUND(Source!DP175,O201)</f>
        <v>541655.82999999996</v>
      </c>
      <c r="Q201" s="5"/>
      <c r="R201" s="5"/>
      <c r="S201" s="5"/>
      <c r="T201" s="5"/>
      <c r="U201" s="5"/>
      <c r="V201" s="5"/>
      <c r="W201" s="5">
        <v>9850.08</v>
      </c>
      <c r="X201" s="5">
        <v>1</v>
      </c>
      <c r="Y201" s="5">
        <v>9850.08</v>
      </c>
      <c r="Z201" s="5">
        <v>541655.82999999996</v>
      </c>
      <c r="AA201" s="5">
        <v>1</v>
      </c>
      <c r="AB201" s="5">
        <v>541655.82999999996</v>
      </c>
    </row>
    <row r="202" spans="1:206" x14ac:dyDescent="0.2">
      <c r="A202" s="5">
        <v>50</v>
      </c>
      <c r="B202" s="5">
        <v>0</v>
      </c>
      <c r="C202" s="5">
        <v>0</v>
      </c>
      <c r="D202" s="5">
        <v>1</v>
      </c>
      <c r="E202" s="5">
        <v>211</v>
      </c>
      <c r="F202" s="5">
        <f>ROUND(Source!Y175,O202)</f>
        <v>5178.91</v>
      </c>
      <c r="G202" s="5" t="s">
        <v>181</v>
      </c>
      <c r="H202" s="5" t="s">
        <v>182</v>
      </c>
      <c r="I202" s="5"/>
      <c r="J202" s="5"/>
      <c r="K202" s="5">
        <v>211</v>
      </c>
      <c r="L202" s="5">
        <v>26</v>
      </c>
      <c r="M202" s="5">
        <v>3</v>
      </c>
      <c r="N202" s="5" t="s">
        <v>3</v>
      </c>
      <c r="O202" s="5">
        <v>2</v>
      </c>
      <c r="P202" s="5">
        <f>ROUND(Source!DQ175,O202)</f>
        <v>284788.11</v>
      </c>
      <c r="Q202" s="5"/>
      <c r="R202" s="5"/>
      <c r="S202" s="5"/>
      <c r="T202" s="5"/>
      <c r="U202" s="5"/>
      <c r="V202" s="5"/>
      <c r="W202" s="5">
        <v>5178.91</v>
      </c>
      <c r="X202" s="5">
        <v>1</v>
      </c>
      <c r="Y202" s="5">
        <v>5178.91</v>
      </c>
      <c r="Z202" s="5">
        <v>284788.11</v>
      </c>
      <c r="AA202" s="5">
        <v>1</v>
      </c>
      <c r="AB202" s="5">
        <v>284788.11</v>
      </c>
    </row>
    <row r="203" spans="1:206" x14ac:dyDescent="0.2">
      <c r="A203" s="5">
        <v>50</v>
      </c>
      <c r="B203" s="5">
        <v>0</v>
      </c>
      <c r="C203" s="5">
        <v>0</v>
      </c>
      <c r="D203" s="5">
        <v>1</v>
      </c>
      <c r="E203" s="5">
        <v>224</v>
      </c>
      <c r="F203" s="5">
        <f>ROUND(Source!AR175,O203)</f>
        <v>108034.82</v>
      </c>
      <c r="G203" s="5" t="s">
        <v>183</v>
      </c>
      <c r="H203" s="5" t="s">
        <v>184</v>
      </c>
      <c r="I203" s="5"/>
      <c r="J203" s="5"/>
      <c r="K203" s="5">
        <v>224</v>
      </c>
      <c r="L203" s="5">
        <v>27</v>
      </c>
      <c r="M203" s="5">
        <v>3</v>
      </c>
      <c r="N203" s="5" t="s">
        <v>3</v>
      </c>
      <c r="O203" s="5">
        <v>2</v>
      </c>
      <c r="P203" s="5">
        <f>ROUND(Source!EJ175,O203)</f>
        <v>2103705</v>
      </c>
      <c r="Q203" s="5"/>
      <c r="R203" s="5"/>
      <c r="S203" s="5"/>
      <c r="T203" s="5"/>
      <c r="U203" s="5"/>
      <c r="V203" s="5"/>
      <c r="W203" s="5">
        <v>108034.82</v>
      </c>
      <c r="X203" s="5">
        <v>1</v>
      </c>
      <c r="Y203" s="5">
        <v>108034.82</v>
      </c>
      <c r="Z203" s="5">
        <v>2103705</v>
      </c>
      <c r="AA203" s="5">
        <v>1</v>
      </c>
      <c r="AB203" s="5">
        <v>2103705</v>
      </c>
    </row>
    <row r="205" spans="1:206" x14ac:dyDescent="0.2">
      <c r="A205" s="3">
        <v>51</v>
      </c>
      <c r="B205" s="3">
        <f>B20</f>
        <v>1</v>
      </c>
      <c r="C205" s="3">
        <f>A20</f>
        <v>3</v>
      </c>
      <c r="D205" s="3">
        <f>ROW(A20)</f>
        <v>20</v>
      </c>
      <c r="E205" s="3"/>
      <c r="F205" s="3" t="str">
        <f>IF(F20&lt;&gt;"",F20,"")</f>
        <v>02-01-14</v>
      </c>
      <c r="G205" s="3" t="str">
        <f>IF(G20&lt;&gt;"",G20,"")</f>
        <v>Система охранного теленаблюдения</v>
      </c>
      <c r="H205" s="3">
        <v>0</v>
      </c>
      <c r="I205" s="3"/>
      <c r="J205" s="3"/>
      <c r="K205" s="3"/>
      <c r="L205" s="3"/>
      <c r="M205" s="3"/>
      <c r="N205" s="3"/>
      <c r="O205" s="3">
        <f t="shared" ref="O205:T205" si="194">ROUND(O79+O124+O175+AB205,2)</f>
        <v>1018066.34</v>
      </c>
      <c r="P205" s="3">
        <f t="shared" si="194"/>
        <v>997324.72</v>
      </c>
      <c r="Q205" s="3">
        <f t="shared" si="194"/>
        <v>1999.81</v>
      </c>
      <c r="R205" s="3">
        <f t="shared" si="194"/>
        <v>291.77</v>
      </c>
      <c r="S205" s="3">
        <f t="shared" si="194"/>
        <v>18741.810000000001</v>
      </c>
      <c r="T205" s="3">
        <f t="shared" si="194"/>
        <v>0</v>
      </c>
      <c r="U205" s="3">
        <f>U79+U124+U175+AH205</f>
        <v>1399.7194915</v>
      </c>
      <c r="V205" s="3">
        <f>V79+V124+V175+AI205</f>
        <v>0</v>
      </c>
      <c r="W205" s="3">
        <f>ROUND(W79+W124+W175+AJ205,2)</f>
        <v>0</v>
      </c>
      <c r="X205" s="3">
        <f>ROUND(X79+X124+X175+AK205,2)</f>
        <v>17890.66</v>
      </c>
      <c r="Y205" s="3">
        <f>ROUND(Y79+Y124+Y175+AL205,2)</f>
        <v>9332.65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>
        <f t="shared" ref="AO205:BD205" si="195">ROUND(AO79+AO124+AO175+BX205,2)</f>
        <v>0</v>
      </c>
      <c r="AP205" s="3">
        <f t="shared" si="195"/>
        <v>909976.51</v>
      </c>
      <c r="AQ205" s="3">
        <f t="shared" si="195"/>
        <v>0</v>
      </c>
      <c r="AR205" s="3">
        <f t="shared" si="195"/>
        <v>1045289.65</v>
      </c>
      <c r="AS205" s="3">
        <f t="shared" si="195"/>
        <v>0</v>
      </c>
      <c r="AT205" s="3">
        <f t="shared" si="195"/>
        <v>135313.14000000001</v>
      </c>
      <c r="AU205" s="3">
        <f t="shared" si="195"/>
        <v>0</v>
      </c>
      <c r="AV205" s="3">
        <f t="shared" si="195"/>
        <v>997324.72</v>
      </c>
      <c r="AW205" s="3">
        <f t="shared" si="195"/>
        <v>87348.21</v>
      </c>
      <c r="AX205" s="3">
        <f t="shared" si="195"/>
        <v>0</v>
      </c>
      <c r="AY205" s="3">
        <f t="shared" si="195"/>
        <v>87348.21</v>
      </c>
      <c r="AZ205" s="3">
        <f t="shared" si="195"/>
        <v>909976.51</v>
      </c>
      <c r="BA205" s="3">
        <f t="shared" si="195"/>
        <v>0</v>
      </c>
      <c r="BB205" s="3">
        <f t="shared" si="195"/>
        <v>0</v>
      </c>
      <c r="BC205" s="3">
        <f t="shared" si="195"/>
        <v>0</v>
      </c>
      <c r="BD205" s="3">
        <f t="shared" si="195"/>
        <v>0</v>
      </c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4">
        <f t="shared" ref="DG205:DL205" si="196">ROUND(DG79+DG124+DG175+DT205,2)</f>
        <v>8800992.5899999999</v>
      </c>
      <c r="DH205" s="4">
        <f t="shared" si="196"/>
        <v>7737165.1799999997</v>
      </c>
      <c r="DI205" s="4">
        <f t="shared" si="196"/>
        <v>33215.29</v>
      </c>
      <c r="DJ205" s="4">
        <f t="shared" si="196"/>
        <v>16044.44</v>
      </c>
      <c r="DK205" s="4">
        <f t="shared" si="196"/>
        <v>1030612.12</v>
      </c>
      <c r="DL205" s="4">
        <f t="shared" si="196"/>
        <v>0</v>
      </c>
      <c r="DM205" s="4">
        <f>DM79+DM124+DM175+DZ205</f>
        <v>1399.7194915</v>
      </c>
      <c r="DN205" s="4">
        <f>DN79+DN124+DN175+EA205</f>
        <v>0</v>
      </c>
      <c r="DO205" s="4">
        <f>ROUND(DO79+DO124+DO175+EB205,2)</f>
        <v>0</v>
      </c>
      <c r="DP205" s="4">
        <f>ROUND(DP79+DP124+DP175+EC205,2)</f>
        <v>983807.72</v>
      </c>
      <c r="DQ205" s="4">
        <f>ROUND(DQ79+DQ124+DQ175+ED205,2)</f>
        <v>513201.97</v>
      </c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>
        <f t="shared" ref="EG205:EV205" si="197">ROUND(EG79+EG124+EG175+FP205,2)</f>
        <v>0</v>
      </c>
      <c r="EH205" s="4">
        <f t="shared" si="197"/>
        <v>6965423.8399999999</v>
      </c>
      <c r="EI205" s="4">
        <f t="shared" si="197"/>
        <v>0</v>
      </c>
      <c r="EJ205" s="4">
        <f t="shared" si="197"/>
        <v>10298002.279999999</v>
      </c>
      <c r="EK205" s="4">
        <f t="shared" si="197"/>
        <v>0</v>
      </c>
      <c r="EL205" s="4">
        <f t="shared" si="197"/>
        <v>3332578.44</v>
      </c>
      <c r="EM205" s="4">
        <f t="shared" si="197"/>
        <v>0</v>
      </c>
      <c r="EN205" s="4">
        <f t="shared" si="197"/>
        <v>7737165.1799999997</v>
      </c>
      <c r="EO205" s="4">
        <f t="shared" si="197"/>
        <v>771741.34</v>
      </c>
      <c r="EP205" s="4">
        <f t="shared" si="197"/>
        <v>0</v>
      </c>
      <c r="EQ205" s="4">
        <f t="shared" si="197"/>
        <v>771741.34</v>
      </c>
      <c r="ER205" s="4">
        <f t="shared" si="197"/>
        <v>6965423.8399999999</v>
      </c>
      <c r="ES205" s="4">
        <f t="shared" si="197"/>
        <v>0</v>
      </c>
      <c r="ET205" s="4">
        <f t="shared" si="197"/>
        <v>0</v>
      </c>
      <c r="EU205" s="4">
        <f t="shared" si="197"/>
        <v>0</v>
      </c>
      <c r="EV205" s="4">
        <f t="shared" si="197"/>
        <v>0</v>
      </c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>
        <v>0</v>
      </c>
    </row>
    <row r="207" spans="1:206" x14ac:dyDescent="0.2">
      <c r="A207" s="5">
        <v>50</v>
      </c>
      <c r="B207" s="5">
        <v>0</v>
      </c>
      <c r="C207" s="5">
        <v>0</v>
      </c>
      <c r="D207" s="5">
        <v>1</v>
      </c>
      <c r="E207" s="5">
        <v>201</v>
      </c>
      <c r="F207" s="5">
        <f>ROUND(Source!O205,O207)</f>
        <v>1018066.34</v>
      </c>
      <c r="G207" s="5" t="s">
        <v>131</v>
      </c>
      <c r="H207" s="5" t="s">
        <v>132</v>
      </c>
      <c r="I207" s="5"/>
      <c r="J207" s="5"/>
      <c r="K207" s="5">
        <v>201</v>
      </c>
      <c r="L207" s="5">
        <v>1</v>
      </c>
      <c r="M207" s="5">
        <v>3</v>
      </c>
      <c r="N207" s="5" t="s">
        <v>3</v>
      </c>
      <c r="O207" s="5">
        <v>2</v>
      </c>
      <c r="P207" s="5">
        <f>ROUND(Source!DG205,O207)</f>
        <v>8800992.5899999999</v>
      </c>
      <c r="Q207" s="5"/>
      <c r="R207" s="5"/>
      <c r="S207" s="5"/>
      <c r="T207" s="5"/>
      <c r="U207" s="5"/>
      <c r="V207" s="5"/>
      <c r="W207" s="5">
        <v>1018066.34</v>
      </c>
      <c r="X207" s="5">
        <v>1</v>
      </c>
      <c r="Y207" s="5">
        <v>1018066.34</v>
      </c>
      <c r="Z207" s="5">
        <v>8800992.5899999999</v>
      </c>
      <c r="AA207" s="5">
        <v>1</v>
      </c>
      <c r="AB207" s="5">
        <v>8800992.5899999999</v>
      </c>
    </row>
    <row r="208" spans="1:206" x14ac:dyDescent="0.2">
      <c r="A208" s="5">
        <v>50</v>
      </c>
      <c r="B208" s="5">
        <v>0</v>
      </c>
      <c r="C208" s="5">
        <v>0</v>
      </c>
      <c r="D208" s="5">
        <v>1</v>
      </c>
      <c r="E208" s="5">
        <v>202</v>
      </c>
      <c r="F208" s="5">
        <f>ROUND(Source!P205,O208)</f>
        <v>997324.72</v>
      </c>
      <c r="G208" s="5" t="s">
        <v>133</v>
      </c>
      <c r="H208" s="5" t="s">
        <v>134</v>
      </c>
      <c r="I208" s="5"/>
      <c r="J208" s="5"/>
      <c r="K208" s="5">
        <v>202</v>
      </c>
      <c r="L208" s="5">
        <v>2</v>
      </c>
      <c r="M208" s="5">
        <v>3</v>
      </c>
      <c r="N208" s="5" t="s">
        <v>3</v>
      </c>
      <c r="O208" s="5">
        <v>2</v>
      </c>
      <c r="P208" s="5">
        <f>ROUND(Source!DH205,O208)</f>
        <v>7737165.1799999997</v>
      </c>
      <c r="Q208" s="5"/>
      <c r="R208" s="5"/>
      <c r="S208" s="5"/>
      <c r="T208" s="5"/>
      <c r="U208" s="5"/>
      <c r="V208" s="5"/>
      <c r="W208" s="5">
        <v>997324.72</v>
      </c>
      <c r="X208" s="5">
        <v>1</v>
      </c>
      <c r="Y208" s="5">
        <v>997324.72</v>
      </c>
      <c r="Z208" s="5">
        <v>7737165.1799999997</v>
      </c>
      <c r="AA208" s="5">
        <v>1</v>
      </c>
      <c r="AB208" s="5">
        <v>7737165.1799999997</v>
      </c>
    </row>
    <row r="209" spans="1:28" x14ac:dyDescent="0.2">
      <c r="A209" s="5">
        <v>50</v>
      </c>
      <c r="B209" s="5">
        <v>0</v>
      </c>
      <c r="C209" s="5">
        <v>0</v>
      </c>
      <c r="D209" s="5">
        <v>1</v>
      </c>
      <c r="E209" s="5">
        <v>222</v>
      </c>
      <c r="F209" s="5">
        <f>ROUND(Source!AO205,O209)</f>
        <v>0</v>
      </c>
      <c r="G209" s="5" t="s">
        <v>135</v>
      </c>
      <c r="H209" s="5" t="s">
        <v>136</v>
      </c>
      <c r="I209" s="5"/>
      <c r="J209" s="5"/>
      <c r="K209" s="5">
        <v>222</v>
      </c>
      <c r="L209" s="5">
        <v>3</v>
      </c>
      <c r="M209" s="5">
        <v>3</v>
      </c>
      <c r="N209" s="5" t="s">
        <v>3</v>
      </c>
      <c r="O209" s="5">
        <v>2</v>
      </c>
      <c r="P209" s="5">
        <f>ROUND(Source!EG205,O209)</f>
        <v>0</v>
      </c>
      <c r="Q209" s="5"/>
      <c r="R209" s="5"/>
      <c r="S209" s="5"/>
      <c r="T209" s="5"/>
      <c r="U209" s="5"/>
      <c r="V209" s="5"/>
      <c r="W209" s="5">
        <v>0</v>
      </c>
      <c r="X209" s="5">
        <v>1</v>
      </c>
      <c r="Y209" s="5">
        <v>0</v>
      </c>
      <c r="Z209" s="5">
        <v>0</v>
      </c>
      <c r="AA209" s="5">
        <v>1</v>
      </c>
      <c r="AB209" s="5">
        <v>0</v>
      </c>
    </row>
    <row r="210" spans="1:28" x14ac:dyDescent="0.2">
      <c r="A210" s="5">
        <v>50</v>
      </c>
      <c r="B210" s="5">
        <v>0</v>
      </c>
      <c r="C210" s="5">
        <v>0</v>
      </c>
      <c r="D210" s="5">
        <v>1</v>
      </c>
      <c r="E210" s="5">
        <v>225</v>
      </c>
      <c r="F210" s="5">
        <f>ROUND(Source!AV205,O210)</f>
        <v>997324.72</v>
      </c>
      <c r="G210" s="5" t="s">
        <v>137</v>
      </c>
      <c r="H210" s="5" t="s">
        <v>138</v>
      </c>
      <c r="I210" s="5"/>
      <c r="J210" s="5"/>
      <c r="K210" s="5">
        <v>225</v>
      </c>
      <c r="L210" s="5">
        <v>4</v>
      </c>
      <c r="M210" s="5">
        <v>3</v>
      </c>
      <c r="N210" s="5" t="s">
        <v>3</v>
      </c>
      <c r="O210" s="5">
        <v>2</v>
      </c>
      <c r="P210" s="5">
        <f>ROUND(Source!EN205,O210)</f>
        <v>7737165.1799999997</v>
      </c>
      <c r="Q210" s="5"/>
      <c r="R210" s="5"/>
      <c r="S210" s="5"/>
      <c r="T210" s="5"/>
      <c r="U210" s="5"/>
      <c r="V210" s="5"/>
      <c r="W210" s="5">
        <v>997324.72</v>
      </c>
      <c r="X210" s="5">
        <v>1</v>
      </c>
      <c r="Y210" s="5">
        <v>997324.72</v>
      </c>
      <c r="Z210" s="5">
        <v>7737165.1799999997</v>
      </c>
      <c r="AA210" s="5">
        <v>1</v>
      </c>
      <c r="AB210" s="5">
        <v>7737165.1799999997</v>
      </c>
    </row>
    <row r="211" spans="1:28" x14ac:dyDescent="0.2">
      <c r="A211" s="5">
        <v>50</v>
      </c>
      <c r="B211" s="5">
        <v>0</v>
      </c>
      <c r="C211" s="5">
        <v>0</v>
      </c>
      <c r="D211" s="5">
        <v>1</v>
      </c>
      <c r="E211" s="5">
        <v>226</v>
      </c>
      <c r="F211" s="5">
        <f>ROUND(Source!AW205,O211)</f>
        <v>87348.21</v>
      </c>
      <c r="G211" s="5" t="s">
        <v>139</v>
      </c>
      <c r="H211" s="5" t="s">
        <v>140</v>
      </c>
      <c r="I211" s="5"/>
      <c r="J211" s="5"/>
      <c r="K211" s="5">
        <v>226</v>
      </c>
      <c r="L211" s="5">
        <v>5</v>
      </c>
      <c r="M211" s="5">
        <v>3</v>
      </c>
      <c r="N211" s="5" t="s">
        <v>3</v>
      </c>
      <c r="O211" s="5">
        <v>2</v>
      </c>
      <c r="P211" s="5">
        <f>ROUND(Source!EO205,O211)</f>
        <v>771741.34</v>
      </c>
      <c r="Q211" s="5"/>
      <c r="R211" s="5"/>
      <c r="S211" s="5"/>
      <c r="T211" s="5"/>
      <c r="U211" s="5"/>
      <c r="V211" s="5"/>
      <c r="W211" s="5">
        <v>87348.21</v>
      </c>
      <c r="X211" s="5">
        <v>1</v>
      </c>
      <c r="Y211" s="5">
        <v>87348.21</v>
      </c>
      <c r="Z211" s="5">
        <v>771741.34</v>
      </c>
      <c r="AA211" s="5">
        <v>1</v>
      </c>
      <c r="AB211" s="5">
        <v>771741.34</v>
      </c>
    </row>
    <row r="212" spans="1:28" x14ac:dyDescent="0.2">
      <c r="A212" s="5">
        <v>50</v>
      </c>
      <c r="B212" s="5">
        <v>0</v>
      </c>
      <c r="C212" s="5">
        <v>0</v>
      </c>
      <c r="D212" s="5">
        <v>1</v>
      </c>
      <c r="E212" s="5">
        <v>227</v>
      </c>
      <c r="F212" s="5">
        <f>ROUND(Source!AX205,O212)</f>
        <v>0</v>
      </c>
      <c r="G212" s="5" t="s">
        <v>141</v>
      </c>
      <c r="H212" s="5" t="s">
        <v>142</v>
      </c>
      <c r="I212" s="5"/>
      <c r="J212" s="5"/>
      <c r="K212" s="5">
        <v>227</v>
      </c>
      <c r="L212" s="5">
        <v>6</v>
      </c>
      <c r="M212" s="5">
        <v>3</v>
      </c>
      <c r="N212" s="5" t="s">
        <v>3</v>
      </c>
      <c r="O212" s="5">
        <v>2</v>
      </c>
      <c r="P212" s="5">
        <f>ROUND(Source!EP205,O212)</f>
        <v>0</v>
      </c>
      <c r="Q212" s="5"/>
      <c r="R212" s="5"/>
      <c r="S212" s="5"/>
      <c r="T212" s="5"/>
      <c r="U212" s="5"/>
      <c r="V212" s="5"/>
      <c r="W212" s="5">
        <v>0</v>
      </c>
      <c r="X212" s="5">
        <v>1</v>
      </c>
      <c r="Y212" s="5">
        <v>0</v>
      </c>
      <c r="Z212" s="5">
        <v>0</v>
      </c>
      <c r="AA212" s="5">
        <v>1</v>
      </c>
      <c r="AB212" s="5">
        <v>0</v>
      </c>
    </row>
    <row r="213" spans="1:28" x14ac:dyDescent="0.2">
      <c r="A213" s="5">
        <v>50</v>
      </c>
      <c r="B213" s="5">
        <v>0</v>
      </c>
      <c r="C213" s="5">
        <v>0</v>
      </c>
      <c r="D213" s="5">
        <v>1</v>
      </c>
      <c r="E213" s="5">
        <v>228</v>
      </c>
      <c r="F213" s="5">
        <f>ROUND(Source!AY205,O213)</f>
        <v>87348.21</v>
      </c>
      <c r="G213" s="5" t="s">
        <v>143</v>
      </c>
      <c r="H213" s="5" t="s">
        <v>144</v>
      </c>
      <c r="I213" s="5"/>
      <c r="J213" s="5"/>
      <c r="K213" s="5">
        <v>228</v>
      </c>
      <c r="L213" s="5">
        <v>7</v>
      </c>
      <c r="M213" s="5">
        <v>3</v>
      </c>
      <c r="N213" s="5" t="s">
        <v>3</v>
      </c>
      <c r="O213" s="5">
        <v>2</v>
      </c>
      <c r="P213" s="5">
        <f>ROUND(Source!EQ205,O213)</f>
        <v>771741.34</v>
      </c>
      <c r="Q213" s="5"/>
      <c r="R213" s="5"/>
      <c r="S213" s="5"/>
      <c r="T213" s="5"/>
      <c r="U213" s="5"/>
      <c r="V213" s="5"/>
      <c r="W213" s="5">
        <v>87348.21</v>
      </c>
      <c r="X213" s="5">
        <v>1</v>
      </c>
      <c r="Y213" s="5">
        <v>87348.21</v>
      </c>
      <c r="Z213" s="5">
        <v>771741.34</v>
      </c>
      <c r="AA213" s="5">
        <v>1</v>
      </c>
      <c r="AB213" s="5">
        <v>771741.34</v>
      </c>
    </row>
    <row r="214" spans="1:28" x14ac:dyDescent="0.2">
      <c r="A214" s="5">
        <v>50</v>
      </c>
      <c r="B214" s="5">
        <v>0</v>
      </c>
      <c r="C214" s="5">
        <v>0</v>
      </c>
      <c r="D214" s="5">
        <v>1</v>
      </c>
      <c r="E214" s="5">
        <v>216</v>
      </c>
      <c r="F214" s="5">
        <f>ROUND(Source!AP205,O214)</f>
        <v>909976.51</v>
      </c>
      <c r="G214" s="5" t="s">
        <v>145</v>
      </c>
      <c r="H214" s="5" t="s">
        <v>146</v>
      </c>
      <c r="I214" s="5"/>
      <c r="J214" s="5"/>
      <c r="K214" s="5">
        <v>216</v>
      </c>
      <c r="L214" s="5">
        <v>8</v>
      </c>
      <c r="M214" s="5">
        <v>3</v>
      </c>
      <c r="N214" s="5" t="s">
        <v>3</v>
      </c>
      <c r="O214" s="5">
        <v>2</v>
      </c>
      <c r="P214" s="5">
        <f>ROUND(Source!EH205,O214)</f>
        <v>6965423.8399999999</v>
      </c>
      <c r="Q214" s="5"/>
      <c r="R214" s="5"/>
      <c r="S214" s="5"/>
      <c r="T214" s="5"/>
      <c r="U214" s="5"/>
      <c r="V214" s="5"/>
      <c r="W214" s="5">
        <v>909976.51</v>
      </c>
      <c r="X214" s="5">
        <v>1</v>
      </c>
      <c r="Y214" s="5">
        <v>909976.51</v>
      </c>
      <c r="Z214" s="5">
        <v>6965423.8399999999</v>
      </c>
      <c r="AA214" s="5">
        <v>1</v>
      </c>
      <c r="AB214" s="5">
        <v>6965423.8399999999</v>
      </c>
    </row>
    <row r="215" spans="1:28" x14ac:dyDescent="0.2">
      <c r="A215" s="5">
        <v>50</v>
      </c>
      <c r="B215" s="5">
        <v>0</v>
      </c>
      <c r="C215" s="5">
        <v>0</v>
      </c>
      <c r="D215" s="5">
        <v>1</v>
      </c>
      <c r="E215" s="5">
        <v>223</v>
      </c>
      <c r="F215" s="5">
        <f>ROUND(Source!AQ205,O215)</f>
        <v>0</v>
      </c>
      <c r="G215" s="5" t="s">
        <v>147</v>
      </c>
      <c r="H215" s="5" t="s">
        <v>148</v>
      </c>
      <c r="I215" s="5"/>
      <c r="J215" s="5"/>
      <c r="K215" s="5">
        <v>223</v>
      </c>
      <c r="L215" s="5">
        <v>9</v>
      </c>
      <c r="M215" s="5">
        <v>3</v>
      </c>
      <c r="N215" s="5" t="s">
        <v>3</v>
      </c>
      <c r="O215" s="5">
        <v>2</v>
      </c>
      <c r="P215" s="5">
        <f>ROUND(Source!EI205,O215)</f>
        <v>0</v>
      </c>
      <c r="Q215" s="5"/>
      <c r="R215" s="5"/>
      <c r="S215" s="5"/>
      <c r="T215" s="5"/>
      <c r="U215" s="5"/>
      <c r="V215" s="5"/>
      <c r="W215" s="5">
        <v>0</v>
      </c>
      <c r="X215" s="5">
        <v>1</v>
      </c>
      <c r="Y215" s="5">
        <v>0</v>
      </c>
      <c r="Z215" s="5">
        <v>0</v>
      </c>
      <c r="AA215" s="5">
        <v>1</v>
      </c>
      <c r="AB215" s="5">
        <v>0</v>
      </c>
    </row>
    <row r="216" spans="1:28" x14ac:dyDescent="0.2">
      <c r="A216" s="5">
        <v>50</v>
      </c>
      <c r="B216" s="5">
        <v>0</v>
      </c>
      <c r="C216" s="5">
        <v>0</v>
      </c>
      <c r="D216" s="5">
        <v>1</v>
      </c>
      <c r="E216" s="5">
        <v>229</v>
      </c>
      <c r="F216" s="5">
        <f>ROUND(Source!AZ205,O216)</f>
        <v>909976.51</v>
      </c>
      <c r="G216" s="5" t="s">
        <v>149</v>
      </c>
      <c r="H216" s="5" t="s">
        <v>150</v>
      </c>
      <c r="I216" s="5"/>
      <c r="J216" s="5"/>
      <c r="K216" s="5">
        <v>229</v>
      </c>
      <c r="L216" s="5">
        <v>10</v>
      </c>
      <c r="M216" s="5">
        <v>3</v>
      </c>
      <c r="N216" s="5" t="s">
        <v>3</v>
      </c>
      <c r="O216" s="5">
        <v>2</v>
      </c>
      <c r="P216" s="5">
        <f>ROUND(Source!ER205,O216)</f>
        <v>6965423.8399999999</v>
      </c>
      <c r="Q216" s="5"/>
      <c r="R216" s="5"/>
      <c r="S216" s="5"/>
      <c r="T216" s="5"/>
      <c r="U216" s="5"/>
      <c r="V216" s="5"/>
      <c r="W216" s="5">
        <v>909976.51</v>
      </c>
      <c r="X216" s="5">
        <v>1</v>
      </c>
      <c r="Y216" s="5">
        <v>909976.51</v>
      </c>
      <c r="Z216" s="5">
        <v>6965423.8399999999</v>
      </c>
      <c r="AA216" s="5">
        <v>1</v>
      </c>
      <c r="AB216" s="5">
        <v>6965423.8399999999</v>
      </c>
    </row>
    <row r="217" spans="1:28" x14ac:dyDescent="0.2">
      <c r="A217" s="5">
        <v>50</v>
      </c>
      <c r="B217" s="5">
        <v>0</v>
      </c>
      <c r="C217" s="5">
        <v>0</v>
      </c>
      <c r="D217" s="5">
        <v>1</v>
      </c>
      <c r="E217" s="5">
        <v>203</v>
      </c>
      <c r="F217" s="5">
        <f>ROUND(Source!Q205,O217)</f>
        <v>1999.81</v>
      </c>
      <c r="G217" s="5" t="s">
        <v>151</v>
      </c>
      <c r="H217" s="5" t="s">
        <v>152</v>
      </c>
      <c r="I217" s="5"/>
      <c r="J217" s="5"/>
      <c r="K217" s="5">
        <v>203</v>
      </c>
      <c r="L217" s="5">
        <v>11</v>
      </c>
      <c r="M217" s="5">
        <v>3</v>
      </c>
      <c r="N217" s="5" t="s">
        <v>3</v>
      </c>
      <c r="O217" s="5">
        <v>2</v>
      </c>
      <c r="P217" s="5">
        <f>ROUND(Source!DI205,O217)</f>
        <v>33215.29</v>
      </c>
      <c r="Q217" s="5"/>
      <c r="R217" s="5"/>
      <c r="S217" s="5"/>
      <c r="T217" s="5"/>
      <c r="U217" s="5"/>
      <c r="V217" s="5"/>
      <c r="W217" s="5">
        <v>1999.81</v>
      </c>
      <c r="X217" s="5">
        <v>1</v>
      </c>
      <c r="Y217" s="5">
        <v>1999.81</v>
      </c>
      <c r="Z217" s="5">
        <v>33215.29</v>
      </c>
      <c r="AA217" s="5">
        <v>1</v>
      </c>
      <c r="AB217" s="5">
        <v>33215.29</v>
      </c>
    </row>
    <row r="218" spans="1:28" x14ac:dyDescent="0.2">
      <c r="A218" s="5">
        <v>50</v>
      </c>
      <c r="B218" s="5">
        <v>0</v>
      </c>
      <c r="C218" s="5">
        <v>0</v>
      </c>
      <c r="D218" s="5">
        <v>1</v>
      </c>
      <c r="E218" s="5">
        <v>231</v>
      </c>
      <c r="F218" s="5">
        <f>ROUND(Source!BB205,O218)</f>
        <v>0</v>
      </c>
      <c r="G218" s="5" t="s">
        <v>153</v>
      </c>
      <c r="H218" s="5" t="s">
        <v>154</v>
      </c>
      <c r="I218" s="5"/>
      <c r="J218" s="5"/>
      <c r="K218" s="5">
        <v>231</v>
      </c>
      <c r="L218" s="5">
        <v>12</v>
      </c>
      <c r="M218" s="5">
        <v>3</v>
      </c>
      <c r="N218" s="5" t="s">
        <v>3</v>
      </c>
      <c r="O218" s="5">
        <v>2</v>
      </c>
      <c r="P218" s="5">
        <f>ROUND(Source!ET205,O218)</f>
        <v>0</v>
      </c>
      <c r="Q218" s="5"/>
      <c r="R218" s="5"/>
      <c r="S218" s="5"/>
      <c r="T218" s="5"/>
      <c r="U218" s="5"/>
      <c r="V218" s="5"/>
      <c r="W218" s="5">
        <v>0</v>
      </c>
      <c r="X218" s="5">
        <v>1</v>
      </c>
      <c r="Y218" s="5">
        <v>0</v>
      </c>
      <c r="Z218" s="5">
        <v>0</v>
      </c>
      <c r="AA218" s="5">
        <v>1</v>
      </c>
      <c r="AB218" s="5">
        <v>0</v>
      </c>
    </row>
    <row r="219" spans="1:28" x14ac:dyDescent="0.2">
      <c r="A219" s="5">
        <v>50</v>
      </c>
      <c r="B219" s="5">
        <v>0</v>
      </c>
      <c r="C219" s="5">
        <v>0</v>
      </c>
      <c r="D219" s="5">
        <v>1</v>
      </c>
      <c r="E219" s="5">
        <v>204</v>
      </c>
      <c r="F219" s="5">
        <f>ROUND(Source!R205,O219)</f>
        <v>291.77</v>
      </c>
      <c r="G219" s="5" t="s">
        <v>155</v>
      </c>
      <c r="H219" s="5" t="s">
        <v>156</v>
      </c>
      <c r="I219" s="5"/>
      <c r="J219" s="5"/>
      <c r="K219" s="5">
        <v>204</v>
      </c>
      <c r="L219" s="5">
        <v>13</v>
      </c>
      <c r="M219" s="5">
        <v>3</v>
      </c>
      <c r="N219" s="5" t="s">
        <v>3</v>
      </c>
      <c r="O219" s="5">
        <v>2</v>
      </c>
      <c r="P219" s="5">
        <f>ROUND(Source!DJ205,O219)</f>
        <v>16044.44</v>
      </c>
      <c r="Q219" s="5"/>
      <c r="R219" s="5"/>
      <c r="S219" s="5"/>
      <c r="T219" s="5"/>
      <c r="U219" s="5"/>
      <c r="V219" s="5"/>
      <c r="W219" s="5">
        <v>291.77</v>
      </c>
      <c r="X219" s="5">
        <v>1</v>
      </c>
      <c r="Y219" s="5">
        <v>291.77</v>
      </c>
      <c r="Z219" s="5">
        <v>16044.44</v>
      </c>
      <c r="AA219" s="5">
        <v>1</v>
      </c>
      <c r="AB219" s="5">
        <v>16044.44</v>
      </c>
    </row>
    <row r="220" spans="1:28" x14ac:dyDescent="0.2">
      <c r="A220" s="5">
        <v>50</v>
      </c>
      <c r="B220" s="5">
        <v>0</v>
      </c>
      <c r="C220" s="5">
        <v>0</v>
      </c>
      <c r="D220" s="5">
        <v>1</v>
      </c>
      <c r="E220" s="5">
        <v>205</v>
      </c>
      <c r="F220" s="5">
        <f>ROUND(Source!S205,O220)</f>
        <v>18741.810000000001</v>
      </c>
      <c r="G220" s="5" t="s">
        <v>157</v>
      </c>
      <c r="H220" s="5" t="s">
        <v>158</v>
      </c>
      <c r="I220" s="5"/>
      <c r="J220" s="5"/>
      <c r="K220" s="5">
        <v>205</v>
      </c>
      <c r="L220" s="5">
        <v>14</v>
      </c>
      <c r="M220" s="5">
        <v>3</v>
      </c>
      <c r="N220" s="5" t="s">
        <v>3</v>
      </c>
      <c r="O220" s="5">
        <v>2</v>
      </c>
      <c r="P220" s="5">
        <f>ROUND(Source!DK205,O220)</f>
        <v>1030612.12</v>
      </c>
      <c r="Q220" s="5"/>
      <c r="R220" s="5"/>
      <c r="S220" s="5"/>
      <c r="T220" s="5"/>
      <c r="U220" s="5"/>
      <c r="V220" s="5"/>
      <c r="W220" s="5">
        <v>18741.810000000001</v>
      </c>
      <c r="X220" s="5">
        <v>1</v>
      </c>
      <c r="Y220" s="5">
        <v>18741.810000000001</v>
      </c>
      <c r="Z220" s="5">
        <v>1030612.12</v>
      </c>
      <c r="AA220" s="5">
        <v>1</v>
      </c>
      <c r="AB220" s="5">
        <v>1030612.12</v>
      </c>
    </row>
    <row r="221" spans="1:28" x14ac:dyDescent="0.2">
      <c r="A221" s="5">
        <v>50</v>
      </c>
      <c r="B221" s="5">
        <v>0</v>
      </c>
      <c r="C221" s="5">
        <v>0</v>
      </c>
      <c r="D221" s="5">
        <v>1</v>
      </c>
      <c r="E221" s="5">
        <v>232</v>
      </c>
      <c r="F221" s="5">
        <f>ROUND(Source!BC205,O221)</f>
        <v>0</v>
      </c>
      <c r="G221" s="5" t="s">
        <v>159</v>
      </c>
      <c r="H221" s="5" t="s">
        <v>160</v>
      </c>
      <c r="I221" s="5"/>
      <c r="J221" s="5"/>
      <c r="K221" s="5">
        <v>232</v>
      </c>
      <c r="L221" s="5">
        <v>15</v>
      </c>
      <c r="M221" s="5">
        <v>3</v>
      </c>
      <c r="N221" s="5" t="s">
        <v>3</v>
      </c>
      <c r="O221" s="5">
        <v>2</v>
      </c>
      <c r="P221" s="5">
        <f>ROUND(Source!EU205,O221)</f>
        <v>0</v>
      </c>
      <c r="Q221" s="5"/>
      <c r="R221" s="5"/>
      <c r="S221" s="5"/>
      <c r="T221" s="5"/>
      <c r="U221" s="5"/>
      <c r="V221" s="5"/>
      <c r="W221" s="5">
        <v>0</v>
      </c>
      <c r="X221" s="5">
        <v>1</v>
      </c>
      <c r="Y221" s="5">
        <v>0</v>
      </c>
      <c r="Z221" s="5">
        <v>0</v>
      </c>
      <c r="AA221" s="5">
        <v>1</v>
      </c>
      <c r="AB221" s="5">
        <v>0</v>
      </c>
    </row>
    <row r="222" spans="1:28" x14ac:dyDescent="0.2">
      <c r="A222" s="5">
        <v>50</v>
      </c>
      <c r="B222" s="5">
        <v>0</v>
      </c>
      <c r="C222" s="5">
        <v>0</v>
      </c>
      <c r="D222" s="5">
        <v>1</v>
      </c>
      <c r="E222" s="5">
        <v>214</v>
      </c>
      <c r="F222" s="5">
        <f>ROUND(Source!AS205,O222)</f>
        <v>0</v>
      </c>
      <c r="G222" s="5" t="s">
        <v>161</v>
      </c>
      <c r="H222" s="5" t="s">
        <v>162</v>
      </c>
      <c r="I222" s="5"/>
      <c r="J222" s="5"/>
      <c r="K222" s="5">
        <v>214</v>
      </c>
      <c r="L222" s="5">
        <v>16</v>
      </c>
      <c r="M222" s="5">
        <v>3</v>
      </c>
      <c r="N222" s="5" t="s">
        <v>3</v>
      </c>
      <c r="O222" s="5">
        <v>2</v>
      </c>
      <c r="P222" s="5">
        <f>ROUND(Source!EK205,O222)</f>
        <v>0</v>
      </c>
      <c r="Q222" s="5"/>
      <c r="R222" s="5"/>
      <c r="S222" s="5"/>
      <c r="T222" s="5"/>
      <c r="U222" s="5"/>
      <c r="V222" s="5"/>
      <c r="W222" s="5">
        <v>0</v>
      </c>
      <c r="X222" s="5">
        <v>1</v>
      </c>
      <c r="Y222" s="5">
        <v>0</v>
      </c>
      <c r="Z222" s="5">
        <v>0</v>
      </c>
      <c r="AA222" s="5">
        <v>1</v>
      </c>
      <c r="AB222" s="5">
        <v>0</v>
      </c>
    </row>
    <row r="223" spans="1:28" x14ac:dyDescent="0.2">
      <c r="A223" s="5">
        <v>50</v>
      </c>
      <c r="B223" s="5">
        <v>0</v>
      </c>
      <c r="C223" s="5">
        <v>0</v>
      </c>
      <c r="D223" s="5">
        <v>1</v>
      </c>
      <c r="E223" s="5">
        <v>215</v>
      </c>
      <c r="F223" s="5">
        <f>ROUND(Source!AT205,O223)</f>
        <v>135313.14000000001</v>
      </c>
      <c r="G223" s="5" t="s">
        <v>163</v>
      </c>
      <c r="H223" s="5" t="s">
        <v>164</v>
      </c>
      <c r="I223" s="5"/>
      <c r="J223" s="5"/>
      <c r="K223" s="5">
        <v>215</v>
      </c>
      <c r="L223" s="5">
        <v>17</v>
      </c>
      <c r="M223" s="5">
        <v>3</v>
      </c>
      <c r="N223" s="5" t="s">
        <v>3</v>
      </c>
      <c r="O223" s="5">
        <v>2</v>
      </c>
      <c r="P223" s="5">
        <f>ROUND(Source!EL205,O223)</f>
        <v>3332578.44</v>
      </c>
      <c r="Q223" s="5"/>
      <c r="R223" s="5"/>
      <c r="S223" s="5"/>
      <c r="T223" s="5"/>
      <c r="U223" s="5"/>
      <c r="V223" s="5"/>
      <c r="W223" s="5">
        <v>135313.14000000001</v>
      </c>
      <c r="X223" s="5">
        <v>1</v>
      </c>
      <c r="Y223" s="5">
        <v>135313.14000000001</v>
      </c>
      <c r="Z223" s="5">
        <v>3332578.44</v>
      </c>
      <c r="AA223" s="5">
        <v>1</v>
      </c>
      <c r="AB223" s="5">
        <v>3332578.44</v>
      </c>
    </row>
    <row r="224" spans="1:28" x14ac:dyDescent="0.2">
      <c r="A224" s="5">
        <v>50</v>
      </c>
      <c r="B224" s="5">
        <v>0</v>
      </c>
      <c r="C224" s="5">
        <v>0</v>
      </c>
      <c r="D224" s="5">
        <v>1</v>
      </c>
      <c r="E224" s="5">
        <v>217</v>
      </c>
      <c r="F224" s="5">
        <f>ROUND(Source!AU205,O224)</f>
        <v>0</v>
      </c>
      <c r="G224" s="5" t="s">
        <v>165</v>
      </c>
      <c r="H224" s="5" t="s">
        <v>166</v>
      </c>
      <c r="I224" s="5"/>
      <c r="J224" s="5"/>
      <c r="K224" s="5">
        <v>217</v>
      </c>
      <c r="L224" s="5">
        <v>18</v>
      </c>
      <c r="M224" s="5">
        <v>3</v>
      </c>
      <c r="N224" s="5" t="s">
        <v>3</v>
      </c>
      <c r="O224" s="5">
        <v>2</v>
      </c>
      <c r="P224" s="5">
        <f>ROUND(Source!EM205,O224)</f>
        <v>0</v>
      </c>
      <c r="Q224" s="5"/>
      <c r="R224" s="5"/>
      <c r="S224" s="5"/>
      <c r="T224" s="5"/>
      <c r="U224" s="5"/>
      <c r="V224" s="5"/>
      <c r="W224" s="5">
        <v>0</v>
      </c>
      <c r="X224" s="5">
        <v>1</v>
      </c>
      <c r="Y224" s="5">
        <v>0</v>
      </c>
      <c r="Z224" s="5">
        <v>0</v>
      </c>
      <c r="AA224" s="5">
        <v>1</v>
      </c>
      <c r="AB224" s="5">
        <v>0</v>
      </c>
    </row>
    <row r="225" spans="1:206" x14ac:dyDescent="0.2">
      <c r="A225" s="5">
        <v>50</v>
      </c>
      <c r="B225" s="5">
        <v>0</v>
      </c>
      <c r="C225" s="5">
        <v>0</v>
      </c>
      <c r="D225" s="5">
        <v>1</v>
      </c>
      <c r="E225" s="5">
        <v>230</v>
      </c>
      <c r="F225" s="5">
        <f>ROUND(Source!BA205,O225)</f>
        <v>0</v>
      </c>
      <c r="G225" s="5" t="s">
        <v>167</v>
      </c>
      <c r="H225" s="5" t="s">
        <v>168</v>
      </c>
      <c r="I225" s="5"/>
      <c r="J225" s="5"/>
      <c r="K225" s="5">
        <v>230</v>
      </c>
      <c r="L225" s="5">
        <v>19</v>
      </c>
      <c r="M225" s="5">
        <v>3</v>
      </c>
      <c r="N225" s="5" t="s">
        <v>3</v>
      </c>
      <c r="O225" s="5">
        <v>2</v>
      </c>
      <c r="P225" s="5">
        <f>ROUND(Source!ES205,O225)</f>
        <v>0</v>
      </c>
      <c r="Q225" s="5"/>
      <c r="R225" s="5"/>
      <c r="S225" s="5"/>
      <c r="T225" s="5"/>
      <c r="U225" s="5"/>
      <c r="V225" s="5"/>
      <c r="W225" s="5">
        <v>0</v>
      </c>
      <c r="X225" s="5">
        <v>1</v>
      </c>
      <c r="Y225" s="5">
        <v>0</v>
      </c>
      <c r="Z225" s="5">
        <v>0</v>
      </c>
      <c r="AA225" s="5">
        <v>1</v>
      </c>
      <c r="AB225" s="5">
        <v>0</v>
      </c>
    </row>
    <row r="226" spans="1:206" x14ac:dyDescent="0.2">
      <c r="A226" s="5">
        <v>50</v>
      </c>
      <c r="B226" s="5">
        <v>0</v>
      </c>
      <c r="C226" s="5">
        <v>0</v>
      </c>
      <c r="D226" s="5">
        <v>1</v>
      </c>
      <c r="E226" s="5">
        <v>206</v>
      </c>
      <c r="F226" s="5">
        <f>ROUND(Source!T205,O226)</f>
        <v>0</v>
      </c>
      <c r="G226" s="5" t="s">
        <v>169</v>
      </c>
      <c r="H226" s="5" t="s">
        <v>170</v>
      </c>
      <c r="I226" s="5"/>
      <c r="J226" s="5"/>
      <c r="K226" s="5">
        <v>206</v>
      </c>
      <c r="L226" s="5">
        <v>20</v>
      </c>
      <c r="M226" s="5">
        <v>3</v>
      </c>
      <c r="N226" s="5" t="s">
        <v>3</v>
      </c>
      <c r="O226" s="5">
        <v>2</v>
      </c>
      <c r="P226" s="5">
        <f>ROUND(Source!DL205,O226)</f>
        <v>0</v>
      </c>
      <c r="Q226" s="5"/>
      <c r="R226" s="5"/>
      <c r="S226" s="5"/>
      <c r="T226" s="5"/>
      <c r="U226" s="5"/>
      <c r="V226" s="5"/>
      <c r="W226" s="5">
        <v>0</v>
      </c>
      <c r="X226" s="5">
        <v>1</v>
      </c>
      <c r="Y226" s="5">
        <v>0</v>
      </c>
      <c r="Z226" s="5">
        <v>0</v>
      </c>
      <c r="AA226" s="5">
        <v>1</v>
      </c>
      <c r="AB226" s="5">
        <v>0</v>
      </c>
    </row>
    <row r="227" spans="1:206" x14ac:dyDescent="0.2">
      <c r="A227" s="5">
        <v>50</v>
      </c>
      <c r="B227" s="5">
        <v>0</v>
      </c>
      <c r="C227" s="5">
        <v>0</v>
      </c>
      <c r="D227" s="5">
        <v>1</v>
      </c>
      <c r="E227" s="5">
        <v>207</v>
      </c>
      <c r="F227" s="5">
        <f>Source!U205</f>
        <v>1399.7194915</v>
      </c>
      <c r="G227" s="5" t="s">
        <v>171</v>
      </c>
      <c r="H227" s="5" t="s">
        <v>172</v>
      </c>
      <c r="I227" s="5"/>
      <c r="J227" s="5"/>
      <c r="K227" s="5">
        <v>207</v>
      </c>
      <c r="L227" s="5">
        <v>21</v>
      </c>
      <c r="M227" s="5">
        <v>3</v>
      </c>
      <c r="N227" s="5" t="s">
        <v>3</v>
      </c>
      <c r="O227" s="5">
        <v>-1</v>
      </c>
      <c r="P227" s="5">
        <f>Source!DM205</f>
        <v>1399.7194915</v>
      </c>
      <c r="Q227" s="5"/>
      <c r="R227" s="5"/>
      <c r="S227" s="5"/>
      <c r="T227" s="5"/>
      <c r="U227" s="5"/>
      <c r="V227" s="5"/>
      <c r="W227" s="5">
        <v>1399.7194915000002</v>
      </c>
      <c r="X227" s="5">
        <v>1</v>
      </c>
      <c r="Y227" s="5">
        <v>1399.7194915000002</v>
      </c>
      <c r="Z227" s="5">
        <v>1399.7194915000002</v>
      </c>
      <c r="AA227" s="5">
        <v>1</v>
      </c>
      <c r="AB227" s="5">
        <v>1399.7194915000002</v>
      </c>
    </row>
    <row r="228" spans="1:206" x14ac:dyDescent="0.2">
      <c r="A228" s="5">
        <v>50</v>
      </c>
      <c r="B228" s="5">
        <v>0</v>
      </c>
      <c r="C228" s="5">
        <v>0</v>
      </c>
      <c r="D228" s="5">
        <v>1</v>
      </c>
      <c r="E228" s="5">
        <v>208</v>
      </c>
      <c r="F228" s="5">
        <f>Source!V205</f>
        <v>0</v>
      </c>
      <c r="G228" s="5" t="s">
        <v>173</v>
      </c>
      <c r="H228" s="5" t="s">
        <v>174</v>
      </c>
      <c r="I228" s="5"/>
      <c r="J228" s="5"/>
      <c r="K228" s="5">
        <v>208</v>
      </c>
      <c r="L228" s="5">
        <v>22</v>
      </c>
      <c r="M228" s="5">
        <v>3</v>
      </c>
      <c r="N228" s="5" t="s">
        <v>3</v>
      </c>
      <c r="O228" s="5">
        <v>-1</v>
      </c>
      <c r="P228" s="5">
        <f>Source!DN205</f>
        <v>0</v>
      </c>
      <c r="Q228" s="5"/>
      <c r="R228" s="5"/>
      <c r="S228" s="5"/>
      <c r="T228" s="5"/>
      <c r="U228" s="5"/>
      <c r="V228" s="5"/>
      <c r="W228" s="5">
        <v>0</v>
      </c>
      <c r="X228" s="5">
        <v>1</v>
      </c>
      <c r="Y228" s="5">
        <v>0</v>
      </c>
      <c r="Z228" s="5">
        <v>0</v>
      </c>
      <c r="AA228" s="5">
        <v>1</v>
      </c>
      <c r="AB228" s="5">
        <v>0</v>
      </c>
    </row>
    <row r="229" spans="1:206" x14ac:dyDescent="0.2">
      <c r="A229" s="5">
        <v>50</v>
      </c>
      <c r="B229" s="5">
        <v>0</v>
      </c>
      <c r="C229" s="5">
        <v>0</v>
      </c>
      <c r="D229" s="5">
        <v>1</v>
      </c>
      <c r="E229" s="5">
        <v>209</v>
      </c>
      <c r="F229" s="5">
        <f>ROUND(Source!W205,O229)</f>
        <v>0</v>
      </c>
      <c r="G229" s="5" t="s">
        <v>175</v>
      </c>
      <c r="H229" s="5" t="s">
        <v>176</v>
      </c>
      <c r="I229" s="5"/>
      <c r="J229" s="5"/>
      <c r="K229" s="5">
        <v>209</v>
      </c>
      <c r="L229" s="5">
        <v>23</v>
      </c>
      <c r="M229" s="5">
        <v>3</v>
      </c>
      <c r="N229" s="5" t="s">
        <v>3</v>
      </c>
      <c r="O229" s="5">
        <v>2</v>
      </c>
      <c r="P229" s="5">
        <f>ROUND(Source!DO205,O229)</f>
        <v>0</v>
      </c>
      <c r="Q229" s="5"/>
      <c r="R229" s="5"/>
      <c r="S229" s="5"/>
      <c r="T229" s="5"/>
      <c r="U229" s="5"/>
      <c r="V229" s="5"/>
      <c r="W229" s="5">
        <v>0</v>
      </c>
      <c r="X229" s="5">
        <v>1</v>
      </c>
      <c r="Y229" s="5">
        <v>0</v>
      </c>
      <c r="Z229" s="5">
        <v>0</v>
      </c>
      <c r="AA229" s="5">
        <v>1</v>
      </c>
      <c r="AB229" s="5">
        <v>0</v>
      </c>
    </row>
    <row r="230" spans="1:206" x14ac:dyDescent="0.2">
      <c r="A230" s="5">
        <v>50</v>
      </c>
      <c r="B230" s="5">
        <v>0</v>
      </c>
      <c r="C230" s="5">
        <v>0</v>
      </c>
      <c r="D230" s="5">
        <v>1</v>
      </c>
      <c r="E230" s="5">
        <v>233</v>
      </c>
      <c r="F230" s="5">
        <f>ROUND(Source!BD205,O230)</f>
        <v>0</v>
      </c>
      <c r="G230" s="5" t="s">
        <v>177</v>
      </c>
      <c r="H230" s="5" t="s">
        <v>178</v>
      </c>
      <c r="I230" s="5"/>
      <c r="J230" s="5"/>
      <c r="K230" s="5">
        <v>233</v>
      </c>
      <c r="L230" s="5">
        <v>24</v>
      </c>
      <c r="M230" s="5">
        <v>3</v>
      </c>
      <c r="N230" s="5" t="s">
        <v>3</v>
      </c>
      <c r="O230" s="5">
        <v>2</v>
      </c>
      <c r="P230" s="5">
        <f>ROUND(Source!EV205,O230)</f>
        <v>0</v>
      </c>
      <c r="Q230" s="5"/>
      <c r="R230" s="5"/>
      <c r="S230" s="5"/>
      <c r="T230" s="5"/>
      <c r="U230" s="5"/>
      <c r="V230" s="5"/>
      <c r="W230" s="5">
        <v>0</v>
      </c>
      <c r="X230" s="5">
        <v>1</v>
      </c>
      <c r="Y230" s="5">
        <v>0</v>
      </c>
      <c r="Z230" s="5">
        <v>0</v>
      </c>
      <c r="AA230" s="5">
        <v>1</v>
      </c>
      <c r="AB230" s="5">
        <v>0</v>
      </c>
    </row>
    <row r="231" spans="1:206" x14ac:dyDescent="0.2">
      <c r="A231" s="5">
        <v>50</v>
      </c>
      <c r="B231" s="5">
        <v>0</v>
      </c>
      <c r="C231" s="5">
        <v>0</v>
      </c>
      <c r="D231" s="5">
        <v>1</v>
      </c>
      <c r="E231" s="5">
        <v>210</v>
      </c>
      <c r="F231" s="5">
        <f>ROUND(Source!X205,O231)</f>
        <v>17890.66</v>
      </c>
      <c r="G231" s="5" t="s">
        <v>179</v>
      </c>
      <c r="H231" s="5" t="s">
        <v>180</v>
      </c>
      <c r="I231" s="5"/>
      <c r="J231" s="5"/>
      <c r="K231" s="5">
        <v>210</v>
      </c>
      <c r="L231" s="5">
        <v>25</v>
      </c>
      <c r="M231" s="5">
        <v>3</v>
      </c>
      <c r="N231" s="5" t="s">
        <v>3</v>
      </c>
      <c r="O231" s="5">
        <v>2</v>
      </c>
      <c r="P231" s="5">
        <f>ROUND(Source!DP205,O231)</f>
        <v>983807.72</v>
      </c>
      <c r="Q231" s="5"/>
      <c r="R231" s="5"/>
      <c r="S231" s="5"/>
      <c r="T231" s="5"/>
      <c r="U231" s="5"/>
      <c r="V231" s="5"/>
      <c r="W231" s="5">
        <v>17890.66</v>
      </c>
      <c r="X231" s="5">
        <v>1</v>
      </c>
      <c r="Y231" s="5">
        <v>17890.66</v>
      </c>
      <c r="Z231" s="5">
        <v>983807.72</v>
      </c>
      <c r="AA231" s="5">
        <v>1</v>
      </c>
      <c r="AB231" s="5">
        <v>983807.72</v>
      </c>
    </row>
    <row r="232" spans="1:206" x14ac:dyDescent="0.2">
      <c r="A232" s="5">
        <v>50</v>
      </c>
      <c r="B232" s="5">
        <v>0</v>
      </c>
      <c r="C232" s="5">
        <v>0</v>
      </c>
      <c r="D232" s="5">
        <v>1</v>
      </c>
      <c r="E232" s="5">
        <v>211</v>
      </c>
      <c r="F232" s="5">
        <f>ROUND(Source!Y205,O232)</f>
        <v>9332.65</v>
      </c>
      <c r="G232" s="5" t="s">
        <v>181</v>
      </c>
      <c r="H232" s="5" t="s">
        <v>182</v>
      </c>
      <c r="I232" s="5"/>
      <c r="J232" s="5"/>
      <c r="K232" s="5">
        <v>211</v>
      </c>
      <c r="L232" s="5">
        <v>26</v>
      </c>
      <c r="M232" s="5">
        <v>3</v>
      </c>
      <c r="N232" s="5" t="s">
        <v>3</v>
      </c>
      <c r="O232" s="5">
        <v>2</v>
      </c>
      <c r="P232" s="5">
        <f>ROUND(Source!DQ205,O232)</f>
        <v>513201.97</v>
      </c>
      <c r="Q232" s="5"/>
      <c r="R232" s="5"/>
      <c r="S232" s="5"/>
      <c r="T232" s="5"/>
      <c r="U232" s="5"/>
      <c r="V232" s="5"/>
      <c r="W232" s="5">
        <v>9332.65</v>
      </c>
      <c r="X232" s="5">
        <v>1</v>
      </c>
      <c r="Y232" s="5">
        <v>9332.65</v>
      </c>
      <c r="Z232" s="5">
        <v>513201.97</v>
      </c>
      <c r="AA232" s="5">
        <v>1</v>
      </c>
      <c r="AB232" s="5">
        <v>513201.97</v>
      </c>
    </row>
    <row r="233" spans="1:206" x14ac:dyDescent="0.2">
      <c r="A233" s="5">
        <v>50</v>
      </c>
      <c r="B233" s="5">
        <v>0</v>
      </c>
      <c r="C233" s="5">
        <v>0</v>
      </c>
      <c r="D233" s="5">
        <v>1</v>
      </c>
      <c r="E233" s="5">
        <v>224</v>
      </c>
      <c r="F233" s="5">
        <f>ROUND(Source!AR205,O233)</f>
        <v>1045289.65</v>
      </c>
      <c r="G233" s="5" t="s">
        <v>183</v>
      </c>
      <c r="H233" s="5" t="s">
        <v>184</v>
      </c>
      <c r="I233" s="5"/>
      <c r="J233" s="5"/>
      <c r="K233" s="5">
        <v>224</v>
      </c>
      <c r="L233" s="5">
        <v>27</v>
      </c>
      <c r="M233" s="5">
        <v>3</v>
      </c>
      <c r="N233" s="5" t="s">
        <v>3</v>
      </c>
      <c r="O233" s="5">
        <v>2</v>
      </c>
      <c r="P233" s="5">
        <f>ROUND(Source!EJ205,O233)</f>
        <v>10298002.279999999</v>
      </c>
      <c r="Q233" s="5"/>
      <c r="R233" s="5"/>
      <c r="S233" s="5"/>
      <c r="T233" s="5"/>
      <c r="U233" s="5"/>
      <c r="V233" s="5"/>
      <c r="W233" s="5">
        <v>1045289.65</v>
      </c>
      <c r="X233" s="5">
        <v>1</v>
      </c>
      <c r="Y233" s="5">
        <v>1045289.65</v>
      </c>
      <c r="Z233" s="5">
        <v>10298002.279999999</v>
      </c>
      <c r="AA233" s="5">
        <v>1</v>
      </c>
      <c r="AB233" s="5">
        <v>10298002.279999999</v>
      </c>
    </row>
    <row r="235" spans="1:206" x14ac:dyDescent="0.2">
      <c r="A235" s="3">
        <v>51</v>
      </c>
      <c r="B235" s="3">
        <f>B12</f>
        <v>274</v>
      </c>
      <c r="C235" s="3">
        <f>A12</f>
        <v>1</v>
      </c>
      <c r="D235" s="3">
        <f>ROW(A12)</f>
        <v>12</v>
      </c>
      <c r="E235" s="3"/>
      <c r="F235" s="3" t="str">
        <f>IF(F12&lt;&gt;"",F12,"")</f>
        <v/>
      </c>
      <c r="G235" s="3" t="str">
        <f>IF(G12&lt;&gt;"",G12,"")</f>
        <v>02-01-14 СОТ</v>
      </c>
      <c r="H235" s="3">
        <v>0</v>
      </c>
      <c r="I235" s="3"/>
      <c r="J235" s="3"/>
      <c r="K235" s="3"/>
      <c r="L235" s="3"/>
      <c r="M235" s="3"/>
      <c r="N235" s="3"/>
      <c r="O235" s="3">
        <f t="shared" ref="O235:T235" si="198">ROUND(O205,2)</f>
        <v>1018066.34</v>
      </c>
      <c r="P235" s="3">
        <f t="shared" si="198"/>
        <v>997324.72</v>
      </c>
      <c r="Q235" s="3">
        <f t="shared" si="198"/>
        <v>1999.81</v>
      </c>
      <c r="R235" s="3">
        <f t="shared" si="198"/>
        <v>291.77</v>
      </c>
      <c r="S235" s="3">
        <f t="shared" si="198"/>
        <v>18741.810000000001</v>
      </c>
      <c r="T235" s="3">
        <f t="shared" si="198"/>
        <v>0</v>
      </c>
      <c r="U235" s="3">
        <f>U205</f>
        <v>1399.7194915</v>
      </c>
      <c r="V235" s="3">
        <f>V205</f>
        <v>0</v>
      </c>
      <c r="W235" s="3">
        <f>ROUND(W205,2)</f>
        <v>0</v>
      </c>
      <c r="X235" s="3">
        <f>ROUND(X205,2)</f>
        <v>17890.66</v>
      </c>
      <c r="Y235" s="3">
        <f>ROUND(Y205,2)</f>
        <v>9332.65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>
        <f t="shared" ref="AO235:BD235" si="199">ROUND(AO205,2)</f>
        <v>0</v>
      </c>
      <c r="AP235" s="3">
        <f t="shared" si="199"/>
        <v>909976.51</v>
      </c>
      <c r="AQ235" s="3">
        <f t="shared" si="199"/>
        <v>0</v>
      </c>
      <c r="AR235" s="3">
        <f t="shared" si="199"/>
        <v>1045289.65</v>
      </c>
      <c r="AS235" s="3">
        <f t="shared" si="199"/>
        <v>0</v>
      </c>
      <c r="AT235" s="3">
        <f t="shared" si="199"/>
        <v>135313.14000000001</v>
      </c>
      <c r="AU235" s="3">
        <f t="shared" si="199"/>
        <v>0</v>
      </c>
      <c r="AV235" s="3">
        <f t="shared" si="199"/>
        <v>997324.72</v>
      </c>
      <c r="AW235" s="3">
        <f t="shared" si="199"/>
        <v>87348.21</v>
      </c>
      <c r="AX235" s="3">
        <f t="shared" si="199"/>
        <v>0</v>
      </c>
      <c r="AY235" s="3">
        <f t="shared" si="199"/>
        <v>87348.21</v>
      </c>
      <c r="AZ235" s="3">
        <f t="shared" si="199"/>
        <v>909976.51</v>
      </c>
      <c r="BA235" s="3">
        <f t="shared" si="199"/>
        <v>0</v>
      </c>
      <c r="BB235" s="3">
        <f t="shared" si="199"/>
        <v>0</v>
      </c>
      <c r="BC235" s="3">
        <f t="shared" si="199"/>
        <v>0</v>
      </c>
      <c r="BD235" s="3">
        <f t="shared" si="199"/>
        <v>0</v>
      </c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4">
        <f t="shared" ref="DG235:DL235" si="200">ROUND(DG205,2)</f>
        <v>8800992.5899999999</v>
      </c>
      <c r="DH235" s="4">
        <f t="shared" si="200"/>
        <v>7737165.1799999997</v>
      </c>
      <c r="DI235" s="4">
        <f t="shared" si="200"/>
        <v>33215.29</v>
      </c>
      <c r="DJ235" s="4">
        <f t="shared" si="200"/>
        <v>16044.44</v>
      </c>
      <c r="DK235" s="4">
        <f t="shared" si="200"/>
        <v>1030612.12</v>
      </c>
      <c r="DL235" s="4">
        <f t="shared" si="200"/>
        <v>0</v>
      </c>
      <c r="DM235" s="4">
        <f>DM205</f>
        <v>1399.7194915</v>
      </c>
      <c r="DN235" s="4">
        <f>DN205</f>
        <v>0</v>
      </c>
      <c r="DO235" s="4">
        <f>ROUND(DO205,2)</f>
        <v>0</v>
      </c>
      <c r="DP235" s="4">
        <f>ROUND(DP205,2)</f>
        <v>983807.72</v>
      </c>
      <c r="DQ235" s="4">
        <f>ROUND(DQ205,2)</f>
        <v>513201.97</v>
      </c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>
        <f t="shared" ref="EG235:EV235" si="201">ROUND(EG205,2)</f>
        <v>0</v>
      </c>
      <c r="EH235" s="4">
        <f t="shared" si="201"/>
        <v>6965423.8399999999</v>
      </c>
      <c r="EI235" s="4">
        <f t="shared" si="201"/>
        <v>0</v>
      </c>
      <c r="EJ235" s="4">
        <f t="shared" si="201"/>
        <v>10298002.279999999</v>
      </c>
      <c r="EK235" s="4">
        <f t="shared" si="201"/>
        <v>0</v>
      </c>
      <c r="EL235" s="4">
        <f t="shared" si="201"/>
        <v>3332578.44</v>
      </c>
      <c r="EM235" s="4">
        <f t="shared" si="201"/>
        <v>0</v>
      </c>
      <c r="EN235" s="4">
        <f t="shared" si="201"/>
        <v>7737165.1799999997</v>
      </c>
      <c r="EO235" s="4">
        <f t="shared" si="201"/>
        <v>771741.34</v>
      </c>
      <c r="EP235" s="4">
        <f t="shared" si="201"/>
        <v>0</v>
      </c>
      <c r="EQ235" s="4">
        <f t="shared" si="201"/>
        <v>771741.34</v>
      </c>
      <c r="ER235" s="4">
        <f t="shared" si="201"/>
        <v>6965423.8399999999</v>
      </c>
      <c r="ES235" s="4">
        <f t="shared" si="201"/>
        <v>0</v>
      </c>
      <c r="ET235" s="4">
        <f t="shared" si="201"/>
        <v>0</v>
      </c>
      <c r="EU235" s="4">
        <f t="shared" si="201"/>
        <v>0</v>
      </c>
      <c r="EV235" s="4">
        <f t="shared" si="201"/>
        <v>0</v>
      </c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>
        <v>0</v>
      </c>
    </row>
    <row r="237" spans="1:206" x14ac:dyDescent="0.2">
      <c r="A237" s="5">
        <v>50</v>
      </c>
      <c r="B237" s="5">
        <v>0</v>
      </c>
      <c r="C237" s="5">
        <v>0</v>
      </c>
      <c r="D237" s="5">
        <v>1</v>
      </c>
      <c r="E237" s="5">
        <v>201</v>
      </c>
      <c r="F237" s="5">
        <f>ROUND(Source!O235,O237)</f>
        <v>1018066.34</v>
      </c>
      <c r="G237" s="5" t="s">
        <v>131</v>
      </c>
      <c r="H237" s="5" t="s">
        <v>132</v>
      </c>
      <c r="I237" s="5"/>
      <c r="J237" s="5"/>
      <c r="K237" s="5">
        <v>201</v>
      </c>
      <c r="L237" s="5">
        <v>1</v>
      </c>
      <c r="M237" s="5">
        <v>3</v>
      </c>
      <c r="N237" s="5" t="s">
        <v>3</v>
      </c>
      <c r="O237" s="5">
        <v>2</v>
      </c>
      <c r="P237" s="5">
        <f>ROUND(Source!DG235,O237)</f>
        <v>8800992.5899999999</v>
      </c>
      <c r="Q237" s="5"/>
      <c r="R237" s="5"/>
      <c r="S237" s="5"/>
      <c r="T237" s="5"/>
      <c r="U237" s="5"/>
      <c r="V237" s="5"/>
      <c r="W237" s="5">
        <v>1018066.34</v>
      </c>
      <c r="X237" s="5">
        <v>1</v>
      </c>
      <c r="Y237" s="5">
        <v>1018066.34</v>
      </c>
      <c r="Z237" s="5">
        <v>8800992.5899999999</v>
      </c>
      <c r="AA237" s="5">
        <v>1</v>
      </c>
      <c r="AB237" s="5">
        <v>8800992.5899999999</v>
      </c>
    </row>
    <row r="238" spans="1:206" x14ac:dyDescent="0.2">
      <c r="A238" s="5">
        <v>50</v>
      </c>
      <c r="B238" s="5">
        <v>0</v>
      </c>
      <c r="C238" s="5">
        <v>0</v>
      </c>
      <c r="D238" s="5">
        <v>1</v>
      </c>
      <c r="E238" s="5">
        <v>202</v>
      </c>
      <c r="F238" s="5">
        <f>ROUND(Source!P235,O238)</f>
        <v>997324.72</v>
      </c>
      <c r="G238" s="5" t="s">
        <v>133</v>
      </c>
      <c r="H238" s="5" t="s">
        <v>134</v>
      </c>
      <c r="I238" s="5"/>
      <c r="J238" s="5"/>
      <c r="K238" s="5">
        <v>202</v>
      </c>
      <c r="L238" s="5">
        <v>2</v>
      </c>
      <c r="M238" s="5">
        <v>3</v>
      </c>
      <c r="N238" s="5" t="s">
        <v>3</v>
      </c>
      <c r="O238" s="5">
        <v>2</v>
      </c>
      <c r="P238" s="5">
        <f>ROUND(Source!DH235,O238)</f>
        <v>7737165.1799999997</v>
      </c>
      <c r="Q238" s="5"/>
      <c r="R238" s="5"/>
      <c r="S238" s="5"/>
      <c r="T238" s="5"/>
      <c r="U238" s="5"/>
      <c r="V238" s="5"/>
      <c r="W238" s="5">
        <v>997324.72</v>
      </c>
      <c r="X238" s="5">
        <v>1</v>
      </c>
      <c r="Y238" s="5">
        <v>997324.72</v>
      </c>
      <c r="Z238" s="5">
        <v>7737165.1799999997</v>
      </c>
      <c r="AA238" s="5">
        <v>1</v>
      </c>
      <c r="AB238" s="5">
        <v>7737165.1799999997</v>
      </c>
    </row>
    <row r="239" spans="1:206" x14ac:dyDescent="0.2">
      <c r="A239" s="5">
        <v>50</v>
      </c>
      <c r="B239" s="5">
        <v>0</v>
      </c>
      <c r="C239" s="5">
        <v>0</v>
      </c>
      <c r="D239" s="5">
        <v>1</v>
      </c>
      <c r="E239" s="5">
        <v>222</v>
      </c>
      <c r="F239" s="5">
        <f>ROUND(Source!AO235,O239)</f>
        <v>0</v>
      </c>
      <c r="G239" s="5" t="s">
        <v>135</v>
      </c>
      <c r="H239" s="5" t="s">
        <v>136</v>
      </c>
      <c r="I239" s="5"/>
      <c r="J239" s="5"/>
      <c r="K239" s="5">
        <v>222</v>
      </c>
      <c r="L239" s="5">
        <v>3</v>
      </c>
      <c r="M239" s="5">
        <v>3</v>
      </c>
      <c r="N239" s="5" t="s">
        <v>3</v>
      </c>
      <c r="O239" s="5">
        <v>2</v>
      </c>
      <c r="P239" s="5">
        <f>ROUND(Source!EG235,O239)</f>
        <v>0</v>
      </c>
      <c r="Q239" s="5"/>
      <c r="R239" s="5"/>
      <c r="S239" s="5"/>
      <c r="T239" s="5"/>
      <c r="U239" s="5"/>
      <c r="V239" s="5"/>
      <c r="W239" s="5">
        <v>0</v>
      </c>
      <c r="X239" s="5">
        <v>1</v>
      </c>
      <c r="Y239" s="5">
        <v>0</v>
      </c>
      <c r="Z239" s="5">
        <v>0</v>
      </c>
      <c r="AA239" s="5">
        <v>1</v>
      </c>
      <c r="AB239" s="5">
        <v>0</v>
      </c>
    </row>
    <row r="240" spans="1:206" x14ac:dyDescent="0.2">
      <c r="A240" s="5">
        <v>50</v>
      </c>
      <c r="B240" s="5">
        <v>0</v>
      </c>
      <c r="C240" s="5">
        <v>0</v>
      </c>
      <c r="D240" s="5">
        <v>1</v>
      </c>
      <c r="E240" s="5">
        <v>225</v>
      </c>
      <c r="F240" s="5">
        <f>ROUND(Source!AV235,O240)</f>
        <v>997324.72</v>
      </c>
      <c r="G240" s="5" t="s">
        <v>137</v>
      </c>
      <c r="H240" s="5" t="s">
        <v>138</v>
      </c>
      <c r="I240" s="5"/>
      <c r="J240" s="5"/>
      <c r="K240" s="5">
        <v>225</v>
      </c>
      <c r="L240" s="5">
        <v>4</v>
      </c>
      <c r="M240" s="5">
        <v>3</v>
      </c>
      <c r="N240" s="5" t="s">
        <v>3</v>
      </c>
      <c r="O240" s="5">
        <v>2</v>
      </c>
      <c r="P240" s="5">
        <f>ROUND(Source!EN235,O240)</f>
        <v>7737165.1799999997</v>
      </c>
      <c r="Q240" s="5"/>
      <c r="R240" s="5"/>
      <c r="S240" s="5"/>
      <c r="T240" s="5"/>
      <c r="U240" s="5"/>
      <c r="V240" s="5"/>
      <c r="W240" s="5">
        <v>997324.72</v>
      </c>
      <c r="X240" s="5">
        <v>1</v>
      </c>
      <c r="Y240" s="5">
        <v>997324.72</v>
      </c>
      <c r="Z240" s="5">
        <v>7737165.1799999997</v>
      </c>
      <c r="AA240" s="5">
        <v>1</v>
      </c>
      <c r="AB240" s="5">
        <v>7737165.1799999997</v>
      </c>
    </row>
    <row r="241" spans="1:28" x14ac:dyDescent="0.2">
      <c r="A241" s="5">
        <v>50</v>
      </c>
      <c r="B241" s="5">
        <v>0</v>
      </c>
      <c r="C241" s="5">
        <v>0</v>
      </c>
      <c r="D241" s="5">
        <v>1</v>
      </c>
      <c r="E241" s="5">
        <v>226</v>
      </c>
      <c r="F241" s="5">
        <f>ROUND(Source!AW235,O241)</f>
        <v>87348.21</v>
      </c>
      <c r="G241" s="5" t="s">
        <v>139</v>
      </c>
      <c r="H241" s="5" t="s">
        <v>140</v>
      </c>
      <c r="I241" s="5"/>
      <c r="J241" s="5"/>
      <c r="K241" s="5">
        <v>226</v>
      </c>
      <c r="L241" s="5">
        <v>5</v>
      </c>
      <c r="M241" s="5">
        <v>3</v>
      </c>
      <c r="N241" s="5" t="s">
        <v>3</v>
      </c>
      <c r="O241" s="5">
        <v>2</v>
      </c>
      <c r="P241" s="5">
        <f>ROUND(Source!EO235,O241)</f>
        <v>771741.34</v>
      </c>
      <c r="Q241" s="5"/>
      <c r="R241" s="5"/>
      <c r="S241" s="5"/>
      <c r="T241" s="5"/>
      <c r="U241" s="5"/>
      <c r="V241" s="5"/>
      <c r="W241" s="5">
        <v>87348.21</v>
      </c>
      <c r="X241" s="5">
        <v>1</v>
      </c>
      <c r="Y241" s="5">
        <v>87348.21</v>
      </c>
      <c r="Z241" s="5">
        <v>771741.34</v>
      </c>
      <c r="AA241" s="5">
        <v>1</v>
      </c>
      <c r="AB241" s="5">
        <v>771741.34</v>
      </c>
    </row>
    <row r="242" spans="1:28" x14ac:dyDescent="0.2">
      <c r="A242" s="5">
        <v>50</v>
      </c>
      <c r="B242" s="5">
        <v>0</v>
      </c>
      <c r="C242" s="5">
        <v>0</v>
      </c>
      <c r="D242" s="5">
        <v>1</v>
      </c>
      <c r="E242" s="5">
        <v>227</v>
      </c>
      <c r="F242" s="5">
        <f>ROUND(Source!AX235,O242)</f>
        <v>0</v>
      </c>
      <c r="G242" s="5" t="s">
        <v>141</v>
      </c>
      <c r="H242" s="5" t="s">
        <v>142</v>
      </c>
      <c r="I242" s="5"/>
      <c r="J242" s="5"/>
      <c r="K242" s="5">
        <v>227</v>
      </c>
      <c r="L242" s="5">
        <v>6</v>
      </c>
      <c r="M242" s="5">
        <v>3</v>
      </c>
      <c r="N242" s="5" t="s">
        <v>3</v>
      </c>
      <c r="O242" s="5">
        <v>2</v>
      </c>
      <c r="P242" s="5">
        <f>ROUND(Source!EP235,O242)</f>
        <v>0</v>
      </c>
      <c r="Q242" s="5"/>
      <c r="R242" s="5"/>
      <c r="S242" s="5"/>
      <c r="T242" s="5"/>
      <c r="U242" s="5"/>
      <c r="V242" s="5"/>
      <c r="W242" s="5">
        <v>0</v>
      </c>
      <c r="X242" s="5">
        <v>1</v>
      </c>
      <c r="Y242" s="5">
        <v>0</v>
      </c>
      <c r="Z242" s="5">
        <v>0</v>
      </c>
      <c r="AA242" s="5">
        <v>1</v>
      </c>
      <c r="AB242" s="5">
        <v>0</v>
      </c>
    </row>
    <row r="243" spans="1:28" x14ac:dyDescent="0.2">
      <c r="A243" s="5">
        <v>50</v>
      </c>
      <c r="B243" s="5">
        <v>0</v>
      </c>
      <c r="C243" s="5">
        <v>0</v>
      </c>
      <c r="D243" s="5">
        <v>1</v>
      </c>
      <c r="E243" s="5">
        <v>228</v>
      </c>
      <c r="F243" s="5">
        <f>ROUND(Source!AY235,O243)</f>
        <v>87348.21</v>
      </c>
      <c r="G243" s="5" t="s">
        <v>143</v>
      </c>
      <c r="H243" s="5" t="s">
        <v>144</v>
      </c>
      <c r="I243" s="5"/>
      <c r="J243" s="5"/>
      <c r="K243" s="5">
        <v>228</v>
      </c>
      <c r="L243" s="5">
        <v>7</v>
      </c>
      <c r="M243" s="5">
        <v>3</v>
      </c>
      <c r="N243" s="5" t="s">
        <v>3</v>
      </c>
      <c r="O243" s="5">
        <v>2</v>
      </c>
      <c r="P243" s="5">
        <f>ROUND(Source!EQ235,O243)</f>
        <v>771741.34</v>
      </c>
      <c r="Q243" s="5"/>
      <c r="R243" s="5"/>
      <c r="S243" s="5"/>
      <c r="T243" s="5"/>
      <c r="U243" s="5"/>
      <c r="V243" s="5"/>
      <c r="W243" s="5">
        <v>87348.21</v>
      </c>
      <c r="X243" s="5">
        <v>1</v>
      </c>
      <c r="Y243" s="5">
        <v>87348.21</v>
      </c>
      <c r="Z243" s="5">
        <v>771741.34</v>
      </c>
      <c r="AA243" s="5">
        <v>1</v>
      </c>
      <c r="AB243" s="5">
        <v>771741.34</v>
      </c>
    </row>
    <row r="244" spans="1:28" x14ac:dyDescent="0.2">
      <c r="A244" s="5">
        <v>50</v>
      </c>
      <c r="B244" s="5">
        <v>0</v>
      </c>
      <c r="C244" s="5">
        <v>0</v>
      </c>
      <c r="D244" s="5">
        <v>1</v>
      </c>
      <c r="E244" s="5">
        <v>216</v>
      </c>
      <c r="F244" s="5">
        <f>ROUND(Source!AP235,O244)</f>
        <v>909976.51</v>
      </c>
      <c r="G244" s="5" t="s">
        <v>145</v>
      </c>
      <c r="H244" s="5" t="s">
        <v>146</v>
      </c>
      <c r="I244" s="5"/>
      <c r="J244" s="5"/>
      <c r="K244" s="5">
        <v>216</v>
      </c>
      <c r="L244" s="5">
        <v>8</v>
      </c>
      <c r="M244" s="5">
        <v>3</v>
      </c>
      <c r="N244" s="5" t="s">
        <v>3</v>
      </c>
      <c r="O244" s="5">
        <v>2</v>
      </c>
      <c r="P244" s="5">
        <f>ROUND(Source!EH235,O244)</f>
        <v>6965423.8399999999</v>
      </c>
      <c r="Q244" s="5"/>
      <c r="R244" s="5"/>
      <c r="S244" s="5"/>
      <c r="T244" s="5"/>
      <c r="U244" s="5"/>
      <c r="V244" s="5"/>
      <c r="W244" s="5">
        <v>909976.51</v>
      </c>
      <c r="X244" s="5">
        <v>1</v>
      </c>
      <c r="Y244" s="5">
        <v>909976.51</v>
      </c>
      <c r="Z244" s="5">
        <v>6965423.8399999999</v>
      </c>
      <c r="AA244" s="5">
        <v>1</v>
      </c>
      <c r="AB244" s="5">
        <v>6965423.8399999999</v>
      </c>
    </row>
    <row r="245" spans="1:28" x14ac:dyDescent="0.2">
      <c r="A245" s="5">
        <v>50</v>
      </c>
      <c r="B245" s="5">
        <v>0</v>
      </c>
      <c r="C245" s="5">
        <v>0</v>
      </c>
      <c r="D245" s="5">
        <v>1</v>
      </c>
      <c r="E245" s="5">
        <v>223</v>
      </c>
      <c r="F245" s="5">
        <f>ROUND(Source!AQ235,O245)</f>
        <v>0</v>
      </c>
      <c r="G245" s="5" t="s">
        <v>147</v>
      </c>
      <c r="H245" s="5" t="s">
        <v>148</v>
      </c>
      <c r="I245" s="5"/>
      <c r="J245" s="5"/>
      <c r="K245" s="5">
        <v>223</v>
      </c>
      <c r="L245" s="5">
        <v>9</v>
      </c>
      <c r="M245" s="5">
        <v>3</v>
      </c>
      <c r="N245" s="5" t="s">
        <v>3</v>
      </c>
      <c r="O245" s="5">
        <v>2</v>
      </c>
      <c r="P245" s="5">
        <f>ROUND(Source!EI235,O245)</f>
        <v>0</v>
      </c>
      <c r="Q245" s="5"/>
      <c r="R245" s="5"/>
      <c r="S245" s="5"/>
      <c r="T245" s="5"/>
      <c r="U245" s="5"/>
      <c r="V245" s="5"/>
      <c r="W245" s="5">
        <v>0</v>
      </c>
      <c r="X245" s="5">
        <v>1</v>
      </c>
      <c r="Y245" s="5">
        <v>0</v>
      </c>
      <c r="Z245" s="5">
        <v>0</v>
      </c>
      <c r="AA245" s="5">
        <v>1</v>
      </c>
      <c r="AB245" s="5">
        <v>0</v>
      </c>
    </row>
    <row r="246" spans="1:28" x14ac:dyDescent="0.2">
      <c r="A246" s="5">
        <v>50</v>
      </c>
      <c r="B246" s="5">
        <v>0</v>
      </c>
      <c r="C246" s="5">
        <v>0</v>
      </c>
      <c r="D246" s="5">
        <v>1</v>
      </c>
      <c r="E246" s="5">
        <v>229</v>
      </c>
      <c r="F246" s="5">
        <f>ROUND(Source!AZ235,O246)</f>
        <v>909976.51</v>
      </c>
      <c r="G246" s="5" t="s">
        <v>149</v>
      </c>
      <c r="H246" s="5" t="s">
        <v>150</v>
      </c>
      <c r="I246" s="5"/>
      <c r="J246" s="5"/>
      <c r="K246" s="5">
        <v>229</v>
      </c>
      <c r="L246" s="5">
        <v>10</v>
      </c>
      <c r="M246" s="5">
        <v>3</v>
      </c>
      <c r="N246" s="5" t="s">
        <v>3</v>
      </c>
      <c r="O246" s="5">
        <v>2</v>
      </c>
      <c r="P246" s="5">
        <f>ROUND(Source!ER235,O246)</f>
        <v>6965423.8399999999</v>
      </c>
      <c r="Q246" s="5"/>
      <c r="R246" s="5"/>
      <c r="S246" s="5"/>
      <c r="T246" s="5"/>
      <c r="U246" s="5"/>
      <c r="V246" s="5"/>
      <c r="W246" s="5">
        <v>909976.51</v>
      </c>
      <c r="X246" s="5">
        <v>1</v>
      </c>
      <c r="Y246" s="5">
        <v>909976.51</v>
      </c>
      <c r="Z246" s="5">
        <v>6965423.8399999999</v>
      </c>
      <c r="AA246" s="5">
        <v>1</v>
      </c>
      <c r="AB246" s="5">
        <v>6965423.8399999999</v>
      </c>
    </row>
    <row r="247" spans="1:28" x14ac:dyDescent="0.2">
      <c r="A247" s="5">
        <v>50</v>
      </c>
      <c r="B247" s="5">
        <v>0</v>
      </c>
      <c r="C247" s="5">
        <v>0</v>
      </c>
      <c r="D247" s="5">
        <v>1</v>
      </c>
      <c r="E247" s="5">
        <v>203</v>
      </c>
      <c r="F247" s="5">
        <f>ROUND(Source!Q235,O247)</f>
        <v>1999.81</v>
      </c>
      <c r="G247" s="5" t="s">
        <v>151</v>
      </c>
      <c r="H247" s="5" t="s">
        <v>152</v>
      </c>
      <c r="I247" s="5"/>
      <c r="J247" s="5"/>
      <c r="K247" s="5">
        <v>203</v>
      </c>
      <c r="L247" s="5">
        <v>11</v>
      </c>
      <c r="M247" s="5">
        <v>3</v>
      </c>
      <c r="N247" s="5" t="s">
        <v>3</v>
      </c>
      <c r="O247" s="5">
        <v>2</v>
      </c>
      <c r="P247" s="5">
        <f>ROUND(Source!DI235,O247)</f>
        <v>33215.29</v>
      </c>
      <c r="Q247" s="5"/>
      <c r="R247" s="5"/>
      <c r="S247" s="5"/>
      <c r="T247" s="5"/>
      <c r="U247" s="5"/>
      <c r="V247" s="5"/>
      <c r="W247" s="5">
        <v>1999.81</v>
      </c>
      <c r="X247" s="5">
        <v>1</v>
      </c>
      <c r="Y247" s="5">
        <v>1999.81</v>
      </c>
      <c r="Z247" s="5">
        <v>33215.29</v>
      </c>
      <c r="AA247" s="5">
        <v>1</v>
      </c>
      <c r="AB247" s="5">
        <v>33215.29</v>
      </c>
    </row>
    <row r="248" spans="1:28" x14ac:dyDescent="0.2">
      <c r="A248" s="5">
        <v>50</v>
      </c>
      <c r="B248" s="5">
        <v>0</v>
      </c>
      <c r="C248" s="5">
        <v>0</v>
      </c>
      <c r="D248" s="5">
        <v>1</v>
      </c>
      <c r="E248" s="5">
        <v>231</v>
      </c>
      <c r="F248" s="5">
        <f>ROUND(Source!BB235,O248)</f>
        <v>0</v>
      </c>
      <c r="G248" s="5" t="s">
        <v>153</v>
      </c>
      <c r="H248" s="5" t="s">
        <v>154</v>
      </c>
      <c r="I248" s="5"/>
      <c r="J248" s="5"/>
      <c r="K248" s="5">
        <v>231</v>
      </c>
      <c r="L248" s="5">
        <v>12</v>
      </c>
      <c r="M248" s="5">
        <v>3</v>
      </c>
      <c r="N248" s="5" t="s">
        <v>3</v>
      </c>
      <c r="O248" s="5">
        <v>2</v>
      </c>
      <c r="P248" s="5">
        <f>ROUND(Source!ET235,O248)</f>
        <v>0</v>
      </c>
      <c r="Q248" s="5"/>
      <c r="R248" s="5"/>
      <c r="S248" s="5"/>
      <c r="T248" s="5"/>
      <c r="U248" s="5"/>
      <c r="V248" s="5"/>
      <c r="W248" s="5">
        <v>0</v>
      </c>
      <c r="X248" s="5">
        <v>1</v>
      </c>
      <c r="Y248" s="5">
        <v>0</v>
      </c>
      <c r="Z248" s="5">
        <v>0</v>
      </c>
      <c r="AA248" s="5">
        <v>1</v>
      </c>
      <c r="AB248" s="5">
        <v>0</v>
      </c>
    </row>
    <row r="249" spans="1:28" x14ac:dyDescent="0.2">
      <c r="A249" s="5">
        <v>50</v>
      </c>
      <c r="B249" s="5">
        <v>0</v>
      </c>
      <c r="C249" s="5">
        <v>0</v>
      </c>
      <c r="D249" s="5">
        <v>1</v>
      </c>
      <c r="E249" s="5">
        <v>204</v>
      </c>
      <c r="F249" s="5">
        <f>ROUND(Source!R235,O249)</f>
        <v>291.77</v>
      </c>
      <c r="G249" s="5" t="s">
        <v>155</v>
      </c>
      <c r="H249" s="5" t="s">
        <v>156</v>
      </c>
      <c r="I249" s="5"/>
      <c r="J249" s="5"/>
      <c r="K249" s="5">
        <v>204</v>
      </c>
      <c r="L249" s="5">
        <v>13</v>
      </c>
      <c r="M249" s="5">
        <v>3</v>
      </c>
      <c r="N249" s="5" t="s">
        <v>3</v>
      </c>
      <c r="O249" s="5">
        <v>2</v>
      </c>
      <c r="P249" s="5">
        <f>ROUND(Source!DJ235,O249)</f>
        <v>16044.44</v>
      </c>
      <c r="Q249" s="5"/>
      <c r="R249" s="5"/>
      <c r="S249" s="5"/>
      <c r="T249" s="5"/>
      <c r="U249" s="5"/>
      <c r="V249" s="5"/>
      <c r="W249" s="5">
        <v>291.77</v>
      </c>
      <c r="X249" s="5">
        <v>1</v>
      </c>
      <c r="Y249" s="5">
        <v>291.77</v>
      </c>
      <c r="Z249" s="5">
        <v>16044.44</v>
      </c>
      <c r="AA249" s="5">
        <v>1</v>
      </c>
      <c r="AB249" s="5">
        <v>16044.44</v>
      </c>
    </row>
    <row r="250" spans="1:28" x14ac:dyDescent="0.2">
      <c r="A250" s="5">
        <v>50</v>
      </c>
      <c r="B250" s="5">
        <v>0</v>
      </c>
      <c r="C250" s="5">
        <v>0</v>
      </c>
      <c r="D250" s="5">
        <v>1</v>
      </c>
      <c r="E250" s="5">
        <v>205</v>
      </c>
      <c r="F250" s="5">
        <f>ROUND(Source!S235,O250)</f>
        <v>18741.810000000001</v>
      </c>
      <c r="G250" s="5" t="s">
        <v>157</v>
      </c>
      <c r="H250" s="5" t="s">
        <v>158</v>
      </c>
      <c r="I250" s="5"/>
      <c r="J250" s="5"/>
      <c r="K250" s="5">
        <v>205</v>
      </c>
      <c r="L250" s="5">
        <v>14</v>
      </c>
      <c r="M250" s="5">
        <v>3</v>
      </c>
      <c r="N250" s="5" t="s">
        <v>3</v>
      </c>
      <c r="O250" s="5">
        <v>2</v>
      </c>
      <c r="P250" s="5">
        <f>ROUND(Source!DK235,O250)</f>
        <v>1030612.12</v>
      </c>
      <c r="Q250" s="5"/>
      <c r="R250" s="5"/>
      <c r="S250" s="5"/>
      <c r="T250" s="5"/>
      <c r="U250" s="5"/>
      <c r="V250" s="5"/>
      <c r="W250" s="5">
        <v>18741.810000000001</v>
      </c>
      <c r="X250" s="5">
        <v>1</v>
      </c>
      <c r="Y250" s="5">
        <v>18741.810000000001</v>
      </c>
      <c r="Z250" s="5">
        <v>1030612.12</v>
      </c>
      <c r="AA250" s="5">
        <v>1</v>
      </c>
      <c r="AB250" s="5">
        <v>1030612.12</v>
      </c>
    </row>
    <row r="251" spans="1:28" x14ac:dyDescent="0.2">
      <c r="A251" s="5">
        <v>50</v>
      </c>
      <c r="B251" s="5">
        <v>0</v>
      </c>
      <c r="C251" s="5">
        <v>0</v>
      </c>
      <c r="D251" s="5">
        <v>1</v>
      </c>
      <c r="E251" s="5">
        <v>232</v>
      </c>
      <c r="F251" s="5">
        <f>ROUND(Source!BC235,O251)</f>
        <v>0</v>
      </c>
      <c r="G251" s="5" t="s">
        <v>159</v>
      </c>
      <c r="H251" s="5" t="s">
        <v>160</v>
      </c>
      <c r="I251" s="5"/>
      <c r="J251" s="5"/>
      <c r="K251" s="5">
        <v>232</v>
      </c>
      <c r="L251" s="5">
        <v>15</v>
      </c>
      <c r="M251" s="5">
        <v>3</v>
      </c>
      <c r="N251" s="5" t="s">
        <v>3</v>
      </c>
      <c r="O251" s="5">
        <v>2</v>
      </c>
      <c r="P251" s="5">
        <f>ROUND(Source!EU235,O251)</f>
        <v>0</v>
      </c>
      <c r="Q251" s="5"/>
      <c r="R251" s="5"/>
      <c r="S251" s="5"/>
      <c r="T251" s="5"/>
      <c r="U251" s="5"/>
      <c r="V251" s="5"/>
      <c r="W251" s="5">
        <v>0</v>
      </c>
      <c r="X251" s="5">
        <v>1</v>
      </c>
      <c r="Y251" s="5">
        <v>0</v>
      </c>
      <c r="Z251" s="5">
        <v>0</v>
      </c>
      <c r="AA251" s="5">
        <v>1</v>
      </c>
      <c r="AB251" s="5">
        <v>0</v>
      </c>
    </row>
    <row r="252" spans="1:28" x14ac:dyDescent="0.2">
      <c r="A252" s="5">
        <v>50</v>
      </c>
      <c r="B252" s="5">
        <v>0</v>
      </c>
      <c r="C252" s="5">
        <v>0</v>
      </c>
      <c r="D252" s="5">
        <v>1</v>
      </c>
      <c r="E252" s="5">
        <v>214</v>
      </c>
      <c r="F252" s="5">
        <f>ROUND(Source!AS235,O252)</f>
        <v>0</v>
      </c>
      <c r="G252" s="5" t="s">
        <v>161</v>
      </c>
      <c r="H252" s="5" t="s">
        <v>162</v>
      </c>
      <c r="I252" s="5"/>
      <c r="J252" s="5"/>
      <c r="K252" s="5">
        <v>214</v>
      </c>
      <c r="L252" s="5">
        <v>16</v>
      </c>
      <c r="M252" s="5">
        <v>3</v>
      </c>
      <c r="N252" s="5" t="s">
        <v>3</v>
      </c>
      <c r="O252" s="5">
        <v>2</v>
      </c>
      <c r="P252" s="5">
        <f>ROUND(Source!EK235,O252)</f>
        <v>0</v>
      </c>
      <c r="Q252" s="5"/>
      <c r="R252" s="5"/>
      <c r="S252" s="5"/>
      <c r="T252" s="5"/>
      <c r="U252" s="5"/>
      <c r="V252" s="5"/>
      <c r="W252" s="5">
        <v>0</v>
      </c>
      <c r="X252" s="5">
        <v>1</v>
      </c>
      <c r="Y252" s="5">
        <v>0</v>
      </c>
      <c r="Z252" s="5">
        <v>0</v>
      </c>
      <c r="AA252" s="5">
        <v>1</v>
      </c>
      <c r="AB252" s="5">
        <v>0</v>
      </c>
    </row>
    <row r="253" spans="1:28" x14ac:dyDescent="0.2">
      <c r="A253" s="5">
        <v>50</v>
      </c>
      <c r="B253" s="5">
        <v>0</v>
      </c>
      <c r="C253" s="5">
        <v>0</v>
      </c>
      <c r="D253" s="5">
        <v>1</v>
      </c>
      <c r="E253" s="5">
        <v>215</v>
      </c>
      <c r="F253" s="5">
        <f>ROUND(Source!AT235,O253)</f>
        <v>135313.14000000001</v>
      </c>
      <c r="G253" s="5" t="s">
        <v>163</v>
      </c>
      <c r="H253" s="5" t="s">
        <v>164</v>
      </c>
      <c r="I253" s="5"/>
      <c r="J253" s="5"/>
      <c r="K253" s="5">
        <v>215</v>
      </c>
      <c r="L253" s="5">
        <v>17</v>
      </c>
      <c r="M253" s="5">
        <v>3</v>
      </c>
      <c r="N253" s="5" t="s">
        <v>3</v>
      </c>
      <c r="O253" s="5">
        <v>2</v>
      </c>
      <c r="P253" s="5">
        <f>ROUND(Source!EL235,O253)</f>
        <v>3332578.44</v>
      </c>
      <c r="Q253" s="5"/>
      <c r="R253" s="5"/>
      <c r="S253" s="5"/>
      <c r="T253" s="5"/>
      <c r="U253" s="5"/>
      <c r="V253" s="5"/>
      <c r="W253" s="5">
        <v>135313.14000000001</v>
      </c>
      <c r="X253" s="5">
        <v>1</v>
      </c>
      <c r="Y253" s="5">
        <v>135313.14000000001</v>
      </c>
      <c r="Z253" s="5">
        <v>3332578.44</v>
      </c>
      <c r="AA253" s="5">
        <v>1</v>
      </c>
      <c r="AB253" s="5">
        <v>3332578.44</v>
      </c>
    </row>
    <row r="254" spans="1:28" x14ac:dyDescent="0.2">
      <c r="A254" s="5">
        <v>50</v>
      </c>
      <c r="B254" s="5">
        <v>0</v>
      </c>
      <c r="C254" s="5">
        <v>0</v>
      </c>
      <c r="D254" s="5">
        <v>1</v>
      </c>
      <c r="E254" s="5">
        <v>217</v>
      </c>
      <c r="F254" s="5">
        <f>ROUND(Source!AU235,O254)</f>
        <v>0</v>
      </c>
      <c r="G254" s="5" t="s">
        <v>165</v>
      </c>
      <c r="H254" s="5" t="s">
        <v>166</v>
      </c>
      <c r="I254" s="5"/>
      <c r="J254" s="5"/>
      <c r="K254" s="5">
        <v>217</v>
      </c>
      <c r="L254" s="5">
        <v>18</v>
      </c>
      <c r="M254" s="5">
        <v>3</v>
      </c>
      <c r="N254" s="5" t="s">
        <v>3</v>
      </c>
      <c r="O254" s="5">
        <v>2</v>
      </c>
      <c r="P254" s="5">
        <f>ROUND(Source!EM235,O254)</f>
        <v>0</v>
      </c>
      <c r="Q254" s="5"/>
      <c r="R254" s="5"/>
      <c r="S254" s="5"/>
      <c r="T254" s="5"/>
      <c r="U254" s="5"/>
      <c r="V254" s="5"/>
      <c r="W254" s="5">
        <v>0</v>
      </c>
      <c r="X254" s="5">
        <v>1</v>
      </c>
      <c r="Y254" s="5">
        <v>0</v>
      </c>
      <c r="Z254" s="5">
        <v>0</v>
      </c>
      <c r="AA254" s="5">
        <v>1</v>
      </c>
      <c r="AB254" s="5">
        <v>0</v>
      </c>
    </row>
    <row r="255" spans="1:28" x14ac:dyDescent="0.2">
      <c r="A255" s="5">
        <v>50</v>
      </c>
      <c r="B255" s="5">
        <v>0</v>
      </c>
      <c r="C255" s="5">
        <v>0</v>
      </c>
      <c r="D255" s="5">
        <v>1</v>
      </c>
      <c r="E255" s="5">
        <v>230</v>
      </c>
      <c r="F255" s="5">
        <f>ROUND(Source!BA235,O255)</f>
        <v>0</v>
      </c>
      <c r="G255" s="5" t="s">
        <v>167</v>
      </c>
      <c r="H255" s="5" t="s">
        <v>168</v>
      </c>
      <c r="I255" s="5"/>
      <c r="J255" s="5"/>
      <c r="K255" s="5">
        <v>230</v>
      </c>
      <c r="L255" s="5">
        <v>19</v>
      </c>
      <c r="M255" s="5">
        <v>3</v>
      </c>
      <c r="N255" s="5" t="s">
        <v>3</v>
      </c>
      <c r="O255" s="5">
        <v>2</v>
      </c>
      <c r="P255" s="5">
        <f>ROUND(Source!ES235,O255)</f>
        <v>0</v>
      </c>
      <c r="Q255" s="5"/>
      <c r="R255" s="5"/>
      <c r="S255" s="5"/>
      <c r="T255" s="5"/>
      <c r="U255" s="5"/>
      <c r="V255" s="5"/>
      <c r="W255" s="5">
        <v>0</v>
      </c>
      <c r="X255" s="5">
        <v>1</v>
      </c>
      <c r="Y255" s="5">
        <v>0</v>
      </c>
      <c r="Z255" s="5">
        <v>0</v>
      </c>
      <c r="AA255" s="5">
        <v>1</v>
      </c>
      <c r="AB255" s="5">
        <v>0</v>
      </c>
    </row>
    <row r="256" spans="1:28" x14ac:dyDescent="0.2">
      <c r="A256" s="5">
        <v>50</v>
      </c>
      <c r="B256" s="5">
        <v>0</v>
      </c>
      <c r="C256" s="5">
        <v>0</v>
      </c>
      <c r="D256" s="5">
        <v>1</v>
      </c>
      <c r="E256" s="5">
        <v>206</v>
      </c>
      <c r="F256" s="5">
        <f>ROUND(Source!T235,O256)</f>
        <v>0</v>
      </c>
      <c r="G256" s="5" t="s">
        <v>169</v>
      </c>
      <c r="H256" s="5" t="s">
        <v>170</v>
      </c>
      <c r="I256" s="5"/>
      <c r="J256" s="5"/>
      <c r="K256" s="5">
        <v>206</v>
      </c>
      <c r="L256" s="5">
        <v>20</v>
      </c>
      <c r="M256" s="5">
        <v>3</v>
      </c>
      <c r="N256" s="5" t="s">
        <v>3</v>
      </c>
      <c r="O256" s="5">
        <v>2</v>
      </c>
      <c r="P256" s="5">
        <f>ROUND(Source!DL235,O256)</f>
        <v>0</v>
      </c>
      <c r="Q256" s="5"/>
      <c r="R256" s="5"/>
      <c r="S256" s="5"/>
      <c r="T256" s="5"/>
      <c r="U256" s="5"/>
      <c r="V256" s="5"/>
      <c r="W256" s="5">
        <v>0</v>
      </c>
      <c r="X256" s="5">
        <v>1</v>
      </c>
      <c r="Y256" s="5">
        <v>0</v>
      </c>
      <c r="Z256" s="5">
        <v>0</v>
      </c>
      <c r="AA256" s="5">
        <v>1</v>
      </c>
      <c r="AB256" s="5">
        <v>0</v>
      </c>
    </row>
    <row r="257" spans="1:28" x14ac:dyDescent="0.2">
      <c r="A257" s="5">
        <v>50</v>
      </c>
      <c r="B257" s="5">
        <v>0</v>
      </c>
      <c r="C257" s="5">
        <v>0</v>
      </c>
      <c r="D257" s="5">
        <v>1</v>
      </c>
      <c r="E257" s="5">
        <v>207</v>
      </c>
      <c r="F257" s="5">
        <f>Source!U235</f>
        <v>1399.7194915</v>
      </c>
      <c r="G257" s="5" t="s">
        <v>171</v>
      </c>
      <c r="H257" s="5" t="s">
        <v>172</v>
      </c>
      <c r="I257" s="5"/>
      <c r="J257" s="5"/>
      <c r="K257" s="5">
        <v>207</v>
      </c>
      <c r="L257" s="5">
        <v>21</v>
      </c>
      <c r="M257" s="5">
        <v>3</v>
      </c>
      <c r="N257" s="5" t="s">
        <v>3</v>
      </c>
      <c r="O257" s="5">
        <v>-1</v>
      </c>
      <c r="P257" s="5">
        <f>Source!DM235</f>
        <v>1399.7194915</v>
      </c>
      <c r="Q257" s="5"/>
      <c r="R257" s="5"/>
      <c r="S257" s="5"/>
      <c r="T257" s="5"/>
      <c r="U257" s="5"/>
      <c r="V257" s="5"/>
      <c r="W257" s="5">
        <v>1399.7194915000002</v>
      </c>
      <c r="X257" s="5">
        <v>1</v>
      </c>
      <c r="Y257" s="5">
        <v>1399.7194915000002</v>
      </c>
      <c r="Z257" s="5">
        <v>1399.7194915000002</v>
      </c>
      <c r="AA257" s="5">
        <v>1</v>
      </c>
      <c r="AB257" s="5">
        <v>1399.7194915000002</v>
      </c>
    </row>
    <row r="258" spans="1:28" x14ac:dyDescent="0.2">
      <c r="A258" s="5">
        <v>50</v>
      </c>
      <c r="B258" s="5">
        <v>0</v>
      </c>
      <c r="C258" s="5">
        <v>0</v>
      </c>
      <c r="D258" s="5">
        <v>1</v>
      </c>
      <c r="E258" s="5">
        <v>208</v>
      </c>
      <c r="F258" s="5">
        <f>Source!V235</f>
        <v>0</v>
      </c>
      <c r="G258" s="5" t="s">
        <v>173</v>
      </c>
      <c r="H258" s="5" t="s">
        <v>174</v>
      </c>
      <c r="I258" s="5"/>
      <c r="J258" s="5"/>
      <c r="K258" s="5">
        <v>208</v>
      </c>
      <c r="L258" s="5">
        <v>22</v>
      </c>
      <c r="M258" s="5">
        <v>3</v>
      </c>
      <c r="N258" s="5" t="s">
        <v>3</v>
      </c>
      <c r="O258" s="5">
        <v>-1</v>
      </c>
      <c r="P258" s="5">
        <f>Source!DN235</f>
        <v>0</v>
      </c>
      <c r="Q258" s="5"/>
      <c r="R258" s="5"/>
      <c r="S258" s="5"/>
      <c r="T258" s="5"/>
      <c r="U258" s="5"/>
      <c r="V258" s="5"/>
      <c r="W258" s="5">
        <v>0</v>
      </c>
      <c r="X258" s="5">
        <v>1</v>
      </c>
      <c r="Y258" s="5">
        <v>0</v>
      </c>
      <c r="Z258" s="5">
        <v>0</v>
      </c>
      <c r="AA258" s="5">
        <v>1</v>
      </c>
      <c r="AB258" s="5">
        <v>0</v>
      </c>
    </row>
    <row r="259" spans="1:28" x14ac:dyDescent="0.2">
      <c r="A259" s="5">
        <v>50</v>
      </c>
      <c r="B259" s="5">
        <v>0</v>
      </c>
      <c r="C259" s="5">
        <v>0</v>
      </c>
      <c r="D259" s="5">
        <v>1</v>
      </c>
      <c r="E259" s="5">
        <v>209</v>
      </c>
      <c r="F259" s="5">
        <f>ROUND(Source!W235,O259)</f>
        <v>0</v>
      </c>
      <c r="G259" s="5" t="s">
        <v>175</v>
      </c>
      <c r="H259" s="5" t="s">
        <v>176</v>
      </c>
      <c r="I259" s="5"/>
      <c r="J259" s="5"/>
      <c r="K259" s="5">
        <v>209</v>
      </c>
      <c r="L259" s="5">
        <v>23</v>
      </c>
      <c r="M259" s="5">
        <v>3</v>
      </c>
      <c r="N259" s="5" t="s">
        <v>3</v>
      </c>
      <c r="O259" s="5">
        <v>2</v>
      </c>
      <c r="P259" s="5">
        <f>ROUND(Source!DO235,O259)</f>
        <v>0</v>
      </c>
      <c r="Q259" s="5"/>
      <c r="R259" s="5"/>
      <c r="S259" s="5"/>
      <c r="T259" s="5"/>
      <c r="U259" s="5"/>
      <c r="V259" s="5"/>
      <c r="W259" s="5">
        <v>0</v>
      </c>
      <c r="X259" s="5">
        <v>1</v>
      </c>
      <c r="Y259" s="5">
        <v>0</v>
      </c>
      <c r="Z259" s="5">
        <v>0</v>
      </c>
      <c r="AA259" s="5">
        <v>1</v>
      </c>
      <c r="AB259" s="5">
        <v>0</v>
      </c>
    </row>
    <row r="260" spans="1:28" x14ac:dyDescent="0.2">
      <c r="A260" s="5">
        <v>50</v>
      </c>
      <c r="B260" s="5">
        <v>0</v>
      </c>
      <c r="C260" s="5">
        <v>0</v>
      </c>
      <c r="D260" s="5">
        <v>1</v>
      </c>
      <c r="E260" s="5">
        <v>233</v>
      </c>
      <c r="F260" s="5">
        <f>ROUND(Source!BD235,O260)</f>
        <v>0</v>
      </c>
      <c r="G260" s="5" t="s">
        <v>177</v>
      </c>
      <c r="H260" s="5" t="s">
        <v>178</v>
      </c>
      <c r="I260" s="5"/>
      <c r="J260" s="5"/>
      <c r="K260" s="5">
        <v>233</v>
      </c>
      <c r="L260" s="5">
        <v>24</v>
      </c>
      <c r="M260" s="5">
        <v>3</v>
      </c>
      <c r="N260" s="5" t="s">
        <v>3</v>
      </c>
      <c r="O260" s="5">
        <v>2</v>
      </c>
      <c r="P260" s="5">
        <f>ROUND(Source!EV235,O260)</f>
        <v>0</v>
      </c>
      <c r="Q260" s="5"/>
      <c r="R260" s="5"/>
      <c r="S260" s="5"/>
      <c r="T260" s="5"/>
      <c r="U260" s="5"/>
      <c r="V260" s="5"/>
      <c r="W260" s="5">
        <v>0</v>
      </c>
      <c r="X260" s="5">
        <v>1</v>
      </c>
      <c r="Y260" s="5">
        <v>0</v>
      </c>
      <c r="Z260" s="5">
        <v>0</v>
      </c>
      <c r="AA260" s="5">
        <v>1</v>
      </c>
      <c r="AB260" s="5">
        <v>0</v>
      </c>
    </row>
    <row r="261" spans="1:28" x14ac:dyDescent="0.2">
      <c r="A261" s="5">
        <v>50</v>
      </c>
      <c r="B261" s="5">
        <v>0</v>
      </c>
      <c r="C261" s="5">
        <v>0</v>
      </c>
      <c r="D261" s="5">
        <v>1</v>
      </c>
      <c r="E261" s="5">
        <v>210</v>
      </c>
      <c r="F261" s="5">
        <f>ROUND(Source!X235,O261)</f>
        <v>17890.66</v>
      </c>
      <c r="G261" s="5" t="s">
        <v>179</v>
      </c>
      <c r="H261" s="5" t="s">
        <v>180</v>
      </c>
      <c r="I261" s="5"/>
      <c r="J261" s="5"/>
      <c r="K261" s="5">
        <v>210</v>
      </c>
      <c r="L261" s="5">
        <v>25</v>
      </c>
      <c r="M261" s="5">
        <v>3</v>
      </c>
      <c r="N261" s="5" t="s">
        <v>3</v>
      </c>
      <c r="O261" s="5">
        <v>2</v>
      </c>
      <c r="P261" s="5">
        <f>ROUND(Source!DP235,O261)</f>
        <v>983807.72</v>
      </c>
      <c r="Q261" s="5"/>
      <c r="R261" s="5"/>
      <c r="S261" s="5"/>
      <c r="T261" s="5"/>
      <c r="U261" s="5"/>
      <c r="V261" s="5"/>
      <c r="W261" s="5">
        <v>17890.66</v>
      </c>
      <c r="X261" s="5">
        <v>1</v>
      </c>
      <c r="Y261" s="5">
        <v>17890.66</v>
      </c>
      <c r="Z261" s="5">
        <v>983807.72</v>
      </c>
      <c r="AA261" s="5">
        <v>1</v>
      </c>
      <c r="AB261" s="5">
        <v>983807.72</v>
      </c>
    </row>
    <row r="262" spans="1:28" x14ac:dyDescent="0.2">
      <c r="A262" s="5">
        <v>50</v>
      </c>
      <c r="B262" s="5">
        <v>0</v>
      </c>
      <c r="C262" s="5">
        <v>0</v>
      </c>
      <c r="D262" s="5">
        <v>1</v>
      </c>
      <c r="E262" s="5">
        <v>211</v>
      </c>
      <c r="F262" s="5">
        <f>ROUND(Source!Y235,O262)</f>
        <v>9332.65</v>
      </c>
      <c r="G262" s="5" t="s">
        <v>181</v>
      </c>
      <c r="H262" s="5" t="s">
        <v>182</v>
      </c>
      <c r="I262" s="5"/>
      <c r="J262" s="5"/>
      <c r="K262" s="5">
        <v>211</v>
      </c>
      <c r="L262" s="5">
        <v>26</v>
      </c>
      <c r="M262" s="5">
        <v>3</v>
      </c>
      <c r="N262" s="5" t="s">
        <v>3</v>
      </c>
      <c r="O262" s="5">
        <v>2</v>
      </c>
      <c r="P262" s="5">
        <f>ROUND(Source!DQ235,O262)</f>
        <v>513201.97</v>
      </c>
      <c r="Q262" s="5"/>
      <c r="R262" s="5"/>
      <c r="S262" s="5"/>
      <c r="T262" s="5"/>
      <c r="U262" s="5"/>
      <c r="V262" s="5"/>
      <c r="W262" s="5">
        <v>9332.65</v>
      </c>
      <c r="X262" s="5">
        <v>1</v>
      </c>
      <c r="Y262" s="5">
        <v>9332.65</v>
      </c>
      <c r="Z262" s="5">
        <v>513201.97</v>
      </c>
      <c r="AA262" s="5">
        <v>1</v>
      </c>
      <c r="AB262" s="5">
        <v>513201.97</v>
      </c>
    </row>
    <row r="263" spans="1:28" x14ac:dyDescent="0.2">
      <c r="A263" s="5">
        <v>50</v>
      </c>
      <c r="B263" s="5">
        <v>0</v>
      </c>
      <c r="C263" s="5">
        <v>0</v>
      </c>
      <c r="D263" s="5">
        <v>1</v>
      </c>
      <c r="E263" s="5">
        <v>224</v>
      </c>
      <c r="F263" s="5">
        <f>ROUND(Source!AR235,O263)</f>
        <v>1045289.65</v>
      </c>
      <c r="G263" s="5" t="s">
        <v>183</v>
      </c>
      <c r="H263" s="5" t="s">
        <v>184</v>
      </c>
      <c r="I263" s="5"/>
      <c r="J263" s="5"/>
      <c r="K263" s="5">
        <v>224</v>
      </c>
      <c r="L263" s="5">
        <v>27</v>
      </c>
      <c r="M263" s="5">
        <v>3</v>
      </c>
      <c r="N263" s="5" t="s">
        <v>3</v>
      </c>
      <c r="O263" s="5">
        <v>2</v>
      </c>
      <c r="P263" s="5">
        <f>ROUND(Source!EJ235,O263)</f>
        <v>10298002.279999999</v>
      </c>
      <c r="Q263" s="5"/>
      <c r="R263" s="5"/>
      <c r="S263" s="5"/>
      <c r="T263" s="5"/>
      <c r="U263" s="5"/>
      <c r="V263" s="5"/>
      <c r="W263" s="5">
        <v>1045289.65</v>
      </c>
      <c r="X263" s="5">
        <v>1</v>
      </c>
      <c r="Y263" s="5">
        <v>1045289.65</v>
      </c>
      <c r="Z263" s="5">
        <v>10298002.279999999</v>
      </c>
      <c r="AA263" s="5">
        <v>1</v>
      </c>
      <c r="AB263" s="5">
        <v>10298002.279999999</v>
      </c>
    </row>
    <row r="266" spans="1:28" x14ac:dyDescent="0.2">
      <c r="A266">
        <v>70</v>
      </c>
      <c r="B266">
        <v>1</v>
      </c>
      <c r="D266">
        <v>1</v>
      </c>
      <c r="E266" t="s">
        <v>245</v>
      </c>
      <c r="F266" t="s">
        <v>246</v>
      </c>
      <c r="G266">
        <v>0</v>
      </c>
      <c r="H266">
        <v>0</v>
      </c>
      <c r="I266" t="s">
        <v>3</v>
      </c>
      <c r="J266">
        <v>1</v>
      </c>
      <c r="K266">
        <v>0</v>
      </c>
      <c r="L266" t="s">
        <v>3</v>
      </c>
      <c r="M266" t="s">
        <v>3</v>
      </c>
      <c r="N266">
        <v>0</v>
      </c>
      <c r="O266">
        <v>0</v>
      </c>
      <c r="P266" t="s">
        <v>3</v>
      </c>
    </row>
    <row r="267" spans="1:28" x14ac:dyDescent="0.2">
      <c r="A267">
        <v>70</v>
      </c>
      <c r="B267">
        <v>1</v>
      </c>
      <c r="D267">
        <v>2</v>
      </c>
      <c r="E267" t="s">
        <v>247</v>
      </c>
      <c r="F267" t="s">
        <v>248</v>
      </c>
      <c r="G267">
        <v>1</v>
      </c>
      <c r="H267">
        <v>0</v>
      </c>
      <c r="I267" t="s">
        <v>3</v>
      </c>
      <c r="J267">
        <v>1</v>
      </c>
      <c r="K267">
        <v>0</v>
      </c>
      <c r="L267" t="s">
        <v>3</v>
      </c>
      <c r="M267" t="s">
        <v>3</v>
      </c>
      <c r="N267">
        <v>0</v>
      </c>
      <c r="O267">
        <v>1</v>
      </c>
      <c r="P267" t="s">
        <v>3</v>
      </c>
    </row>
    <row r="268" spans="1:28" x14ac:dyDescent="0.2">
      <c r="A268">
        <v>70</v>
      </c>
      <c r="B268">
        <v>1</v>
      </c>
      <c r="D268">
        <v>3</v>
      </c>
      <c r="E268" t="s">
        <v>249</v>
      </c>
      <c r="F268" t="s">
        <v>250</v>
      </c>
      <c r="G268">
        <v>1</v>
      </c>
      <c r="H268">
        <v>0</v>
      </c>
      <c r="I268" t="s">
        <v>3</v>
      </c>
      <c r="J268">
        <v>0</v>
      </c>
      <c r="K268">
        <v>0</v>
      </c>
      <c r="L268" t="s">
        <v>3</v>
      </c>
      <c r="M268" t="s">
        <v>3</v>
      </c>
      <c r="N268">
        <v>0</v>
      </c>
      <c r="O268">
        <v>1</v>
      </c>
      <c r="P268" t="s">
        <v>3</v>
      </c>
    </row>
    <row r="269" spans="1:28" x14ac:dyDescent="0.2">
      <c r="A269">
        <v>70</v>
      </c>
      <c r="B269">
        <v>1</v>
      </c>
      <c r="D269">
        <v>4</v>
      </c>
      <c r="E269" t="s">
        <v>251</v>
      </c>
      <c r="F269" t="s">
        <v>252</v>
      </c>
      <c r="G269">
        <v>1</v>
      </c>
      <c r="H269">
        <v>0</v>
      </c>
      <c r="I269" t="s">
        <v>3</v>
      </c>
      <c r="J269">
        <v>0</v>
      </c>
      <c r="K269">
        <v>0</v>
      </c>
      <c r="L269" t="s">
        <v>3</v>
      </c>
      <c r="M269" t="s">
        <v>3</v>
      </c>
      <c r="N269">
        <v>0</v>
      </c>
      <c r="O269">
        <v>1</v>
      </c>
      <c r="P269" t="s">
        <v>3</v>
      </c>
    </row>
    <row r="270" spans="1:28" x14ac:dyDescent="0.2">
      <c r="A270">
        <v>70</v>
      </c>
      <c r="B270">
        <v>1</v>
      </c>
      <c r="D270">
        <v>5</v>
      </c>
      <c r="E270" t="s">
        <v>253</v>
      </c>
      <c r="F270" t="s">
        <v>254</v>
      </c>
      <c r="G270">
        <v>0</v>
      </c>
      <c r="H270">
        <v>0</v>
      </c>
      <c r="I270" t="s">
        <v>3</v>
      </c>
      <c r="J270">
        <v>0</v>
      </c>
      <c r="K270">
        <v>0</v>
      </c>
      <c r="L270" t="s">
        <v>3</v>
      </c>
      <c r="M270" t="s">
        <v>3</v>
      </c>
      <c r="N270">
        <v>0</v>
      </c>
      <c r="O270">
        <v>0</v>
      </c>
      <c r="P270" t="s">
        <v>3</v>
      </c>
    </row>
    <row r="272" spans="1:28" x14ac:dyDescent="0.2">
      <c r="A272">
        <v>-1</v>
      </c>
    </row>
    <row r="274" spans="1:50" x14ac:dyDescent="0.2">
      <c r="A274" s="4">
        <v>75</v>
      </c>
      <c r="B274" s="4" t="s">
        <v>255</v>
      </c>
      <c r="C274" s="4">
        <v>2025</v>
      </c>
      <c r="D274" s="4">
        <v>3</v>
      </c>
      <c r="E274" s="4">
        <v>0</v>
      </c>
      <c r="F274" s="4"/>
      <c r="G274" s="4">
        <v>0</v>
      </c>
      <c r="H274" s="4">
        <v>1</v>
      </c>
      <c r="I274" s="4">
        <v>1</v>
      </c>
      <c r="J274" s="4">
        <v>3</v>
      </c>
      <c r="K274" s="4">
        <v>0</v>
      </c>
      <c r="L274" s="4">
        <v>0</v>
      </c>
      <c r="M274" s="4">
        <v>1</v>
      </c>
      <c r="N274" s="4">
        <v>60258061</v>
      </c>
      <c r="O274" s="4">
        <v>1</v>
      </c>
    </row>
    <row r="275" spans="1:50" x14ac:dyDescent="0.2">
      <c r="A275" s="6">
        <v>1</v>
      </c>
      <c r="B275" s="6" t="s">
        <v>256</v>
      </c>
      <c r="C275" s="6" t="s">
        <v>257</v>
      </c>
      <c r="D275" s="6">
        <v>2025</v>
      </c>
      <c r="E275" s="6">
        <v>9</v>
      </c>
      <c r="F275" s="6">
        <v>1</v>
      </c>
      <c r="G275" s="6">
        <v>1</v>
      </c>
      <c r="H275" s="6">
        <v>0</v>
      </c>
      <c r="I275" s="6">
        <v>2</v>
      </c>
      <c r="J275" s="6">
        <v>1</v>
      </c>
      <c r="K275" s="6">
        <v>9.8800000000000008</v>
      </c>
      <c r="L275" s="6">
        <v>7.66</v>
      </c>
      <c r="M275" s="6">
        <v>1</v>
      </c>
      <c r="N275" s="6">
        <v>1</v>
      </c>
      <c r="O275" s="6">
        <v>9.8800000000000008</v>
      </c>
      <c r="P275" s="6">
        <v>7.66</v>
      </c>
      <c r="Q275" s="6">
        <v>1</v>
      </c>
      <c r="R275" s="6" t="s">
        <v>3</v>
      </c>
      <c r="S275" s="6" t="s">
        <v>3</v>
      </c>
      <c r="T275" s="6" t="s">
        <v>3</v>
      </c>
      <c r="U275" s="6" t="s">
        <v>3</v>
      </c>
      <c r="V275" s="6" t="s">
        <v>3</v>
      </c>
      <c r="W275" s="6" t="s">
        <v>3</v>
      </c>
      <c r="X275" s="6" t="s">
        <v>3</v>
      </c>
      <c r="Y275" s="6" t="s">
        <v>3</v>
      </c>
      <c r="Z275" s="6" t="s">
        <v>3</v>
      </c>
      <c r="AA275" s="6" t="s">
        <v>258</v>
      </c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>
        <v>60258062</v>
      </c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spans="1:50" x14ac:dyDescent="0.2">
      <c r="A276" s="6">
        <v>1</v>
      </c>
      <c r="B276" s="6" t="s">
        <v>256</v>
      </c>
      <c r="C276" s="6" t="s">
        <v>259</v>
      </c>
      <c r="D276" s="6">
        <v>2025</v>
      </c>
      <c r="E276" s="6">
        <v>7</v>
      </c>
      <c r="F276" s="6">
        <v>1</v>
      </c>
      <c r="G276" s="6">
        <v>1</v>
      </c>
      <c r="H276" s="6">
        <v>0</v>
      </c>
      <c r="I276" s="6">
        <v>2</v>
      </c>
      <c r="J276" s="6">
        <v>1</v>
      </c>
      <c r="K276" s="6">
        <v>1</v>
      </c>
      <c r="L276" s="6">
        <v>1</v>
      </c>
      <c r="M276" s="6">
        <v>1</v>
      </c>
      <c r="N276" s="6">
        <v>1</v>
      </c>
      <c r="O276" s="6">
        <v>1</v>
      </c>
      <c r="P276" s="6">
        <v>1</v>
      </c>
      <c r="Q276" s="6">
        <v>1</v>
      </c>
      <c r="R276" s="6" t="s">
        <v>3</v>
      </c>
      <c r="S276" s="6" t="s">
        <v>3</v>
      </c>
      <c r="T276" s="6" t="s">
        <v>3</v>
      </c>
      <c r="U276" s="6" t="s">
        <v>3</v>
      </c>
      <c r="V276" s="6" t="s">
        <v>3</v>
      </c>
      <c r="W276" s="6" t="s">
        <v>3</v>
      </c>
      <c r="X276" s="6" t="s">
        <v>3</v>
      </c>
      <c r="Y276" s="6" t="s">
        <v>3</v>
      </c>
      <c r="Z276" s="6" t="s">
        <v>3</v>
      </c>
      <c r="AA276" s="6" t="s">
        <v>260</v>
      </c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>
        <v>60258063</v>
      </c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spans="1:50" x14ac:dyDescent="0.2">
      <c r="A277" s="4">
        <v>75</v>
      </c>
      <c r="B277" s="4" t="s">
        <v>261</v>
      </c>
      <c r="C277" s="4">
        <v>2000</v>
      </c>
      <c r="D277" s="4">
        <v>0</v>
      </c>
      <c r="E277" s="4">
        <v>1</v>
      </c>
      <c r="F277" s="4"/>
      <c r="G277" s="4">
        <v>0</v>
      </c>
      <c r="H277" s="4">
        <v>1</v>
      </c>
      <c r="I277" s="4">
        <v>1</v>
      </c>
      <c r="J277" s="4">
        <v>3</v>
      </c>
      <c r="K277" s="4">
        <v>0</v>
      </c>
      <c r="L277" s="4">
        <v>0</v>
      </c>
      <c r="M277" s="4">
        <v>0</v>
      </c>
      <c r="N277" s="4">
        <v>60258064</v>
      </c>
      <c r="O277" s="4">
        <v>2</v>
      </c>
    </row>
    <row r="278" spans="1:50" x14ac:dyDescent="0.2">
      <c r="A278" s="6">
        <v>1</v>
      </c>
      <c r="B278" s="6" t="s">
        <v>256</v>
      </c>
      <c r="C278" s="6" t="s">
        <v>257</v>
      </c>
      <c r="D278" s="6">
        <v>2000</v>
      </c>
      <c r="E278" s="6">
        <v>1</v>
      </c>
      <c r="F278" s="6">
        <v>1</v>
      </c>
      <c r="G278" s="6">
        <v>1</v>
      </c>
      <c r="H278" s="6">
        <v>0</v>
      </c>
      <c r="I278" s="6">
        <v>2</v>
      </c>
      <c r="J278" s="6">
        <v>1</v>
      </c>
      <c r="K278" s="6">
        <v>1</v>
      </c>
      <c r="L278" s="6">
        <v>1</v>
      </c>
      <c r="M278" s="6">
        <v>1</v>
      </c>
      <c r="N278" s="6">
        <v>1</v>
      </c>
      <c r="O278" s="6">
        <v>1</v>
      </c>
      <c r="P278" s="6">
        <v>1</v>
      </c>
      <c r="Q278" s="6">
        <v>1</v>
      </c>
      <c r="R278" s="6" t="s">
        <v>3</v>
      </c>
      <c r="S278" s="6" t="s">
        <v>3</v>
      </c>
      <c r="T278" s="6" t="s">
        <v>3</v>
      </c>
      <c r="U278" s="6" t="s">
        <v>3</v>
      </c>
      <c r="V278" s="6" t="s">
        <v>3</v>
      </c>
      <c r="W278" s="6" t="s">
        <v>3</v>
      </c>
      <c r="X278" s="6" t="s">
        <v>3</v>
      </c>
      <c r="Y278" s="6" t="s">
        <v>3</v>
      </c>
      <c r="Z278" s="6" t="s">
        <v>3</v>
      </c>
      <c r="AA278" s="6" t="s">
        <v>49</v>
      </c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>
        <v>60258065</v>
      </c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82" spans="1:50" x14ac:dyDescent="0.2">
      <c r="A282">
        <v>65</v>
      </c>
      <c r="C282">
        <v>1</v>
      </c>
      <c r="D282">
        <v>0</v>
      </c>
      <c r="E282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262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60258061</v>
      </c>
      <c r="E14" s="1">
        <v>60258064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ROUND((Source!P222)/1000,2)</f>
        <v>0</v>
      </c>
      <c r="F16" s="8">
        <f>ROUND((Source!P223)/1000,2)</f>
        <v>3332.58</v>
      </c>
      <c r="G16" s="8">
        <f>ROUND((Source!P214)/1000,2)</f>
        <v>6965.42</v>
      </c>
      <c r="H16" s="8">
        <f>ROUND((Source!P224)/1000+(Source!P225)/1000,2)</f>
        <v>0</v>
      </c>
      <c r="I16" s="8">
        <f>E16+F16+G16+H16</f>
        <v>10298</v>
      </c>
      <c r="J16" s="8">
        <f>ROUND((Source!P220+Source!P219)/1000,2)</f>
        <v>1046.6600000000001</v>
      </c>
      <c r="K16" s="8">
        <v>16538.16</v>
      </c>
      <c r="L16" s="8">
        <v>0</v>
      </c>
      <c r="M16" s="8">
        <v>0</v>
      </c>
      <c r="N16" s="8">
        <f>I16+L16+M16</f>
        <v>10298</v>
      </c>
      <c r="T16" s="9">
        <f>ROUND((Source!F222)/1000,2)</f>
        <v>0</v>
      </c>
      <c r="U16" s="9">
        <f>ROUND((Source!F223)/1000,2)</f>
        <v>135.31</v>
      </c>
      <c r="V16" s="9">
        <f>ROUND((Source!F214)/1000,2)</f>
        <v>909.98</v>
      </c>
      <c r="W16" s="9">
        <f>ROUND((Source!F224)/1000+(Source!F225)/1000,2)</f>
        <v>0</v>
      </c>
      <c r="X16" s="9">
        <f>T16+U16+V16+W16</f>
        <v>1045.29</v>
      </c>
      <c r="Y16" s="9">
        <f>ROUND((Source!F220+Source!F219)/1000,2)</f>
        <v>19.03</v>
      </c>
      <c r="Z16" s="9">
        <v>2015.39</v>
      </c>
      <c r="AA16" s="9">
        <v>0</v>
      </c>
      <c r="AB16" s="9">
        <v>0</v>
      </c>
      <c r="AC16" s="9">
        <f>X16+AA16+AB16</f>
        <v>1045.29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8800992.5899999999</v>
      </c>
      <c r="AU16" s="8">
        <v>7737165.1799999997</v>
      </c>
      <c r="AV16" s="8">
        <v>0</v>
      </c>
      <c r="AW16" s="8">
        <v>6965423.8399999999</v>
      </c>
      <c r="AX16" s="8">
        <v>0</v>
      </c>
      <c r="AY16" s="8">
        <v>33215.29</v>
      </c>
      <c r="AZ16" s="8">
        <v>16044.44</v>
      </c>
      <c r="BA16" s="8">
        <v>1030612.12</v>
      </c>
      <c r="BB16" s="8">
        <v>0</v>
      </c>
      <c r="BC16" s="8">
        <v>3332578.44</v>
      </c>
      <c r="BD16" s="8">
        <v>0</v>
      </c>
      <c r="BE16" s="8">
        <v>0</v>
      </c>
      <c r="BF16" s="8">
        <v>1399.7194915000002</v>
      </c>
      <c r="BG16" s="8">
        <v>0</v>
      </c>
      <c r="BH16" s="8">
        <v>0</v>
      </c>
      <c r="BI16" s="8">
        <v>983807.72</v>
      </c>
      <c r="BJ16" s="8">
        <v>513201.97</v>
      </c>
      <c r="BK16" s="8">
        <v>10298002.279999999</v>
      </c>
      <c r="BR16" s="9">
        <v>1018066.34</v>
      </c>
      <c r="BS16" s="9">
        <v>997324.72</v>
      </c>
      <c r="BT16" s="9">
        <v>0</v>
      </c>
      <c r="BU16" s="9">
        <v>909976.51</v>
      </c>
      <c r="BV16" s="9">
        <v>0</v>
      </c>
      <c r="BW16" s="9">
        <v>1999.81</v>
      </c>
      <c r="BX16" s="9">
        <v>291.77</v>
      </c>
      <c r="BY16" s="9">
        <v>18741.810000000001</v>
      </c>
      <c r="BZ16" s="9">
        <v>0</v>
      </c>
      <c r="CA16" s="9">
        <v>135313.14000000001</v>
      </c>
      <c r="CB16" s="9">
        <v>0</v>
      </c>
      <c r="CC16" s="9">
        <v>0</v>
      </c>
      <c r="CD16" s="9">
        <v>1399.7194915000002</v>
      </c>
      <c r="CE16" s="9">
        <v>0</v>
      </c>
      <c r="CF16" s="9">
        <v>0</v>
      </c>
      <c r="CG16" s="9">
        <v>17890.66</v>
      </c>
      <c r="CH16" s="9">
        <v>9332.65</v>
      </c>
      <c r="CI16" s="9">
        <v>1045289.65</v>
      </c>
    </row>
    <row r="18" spans="1:29" x14ac:dyDescent="0.2">
      <c r="A18">
        <v>51</v>
      </c>
      <c r="E18">
        <v>0</v>
      </c>
      <c r="F18">
        <v>3332.58</v>
      </c>
      <c r="G18">
        <v>6965.42</v>
      </c>
      <c r="H18">
        <v>0</v>
      </c>
      <c r="I18">
        <v>10298</v>
      </c>
      <c r="J18">
        <v>1046.6600000000001</v>
      </c>
      <c r="K18">
        <v>16538.16</v>
      </c>
      <c r="L18">
        <v>0</v>
      </c>
      <c r="M18">
        <v>0</v>
      </c>
      <c r="N18">
        <v>10298</v>
      </c>
      <c r="T18">
        <v>0</v>
      </c>
      <c r="U18">
        <v>135.31</v>
      </c>
      <c r="V18">
        <v>909.98</v>
      </c>
      <c r="W18">
        <v>0</v>
      </c>
      <c r="X18">
        <v>1045.29</v>
      </c>
      <c r="Y18">
        <v>19.03</v>
      </c>
      <c r="Z18">
        <v>2015.39</v>
      </c>
      <c r="AA18">
        <v>0</v>
      </c>
      <c r="AB18">
        <v>0</v>
      </c>
      <c r="AC18">
        <v>1045.29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8800992.5899999999</v>
      </c>
      <c r="G20" s="5" t="s">
        <v>131</v>
      </c>
      <c r="H20" s="5" t="s">
        <v>132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1018066.34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7737165.1799999997</v>
      </c>
      <c r="G21" s="5" t="s">
        <v>133</v>
      </c>
      <c r="H21" s="5" t="s">
        <v>134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997324.72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135</v>
      </c>
      <c r="H22" s="5" t="s">
        <v>136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7737165.1799999997</v>
      </c>
      <c r="G23" s="5" t="s">
        <v>137</v>
      </c>
      <c r="H23" s="5" t="s">
        <v>138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997324.72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771741.34</v>
      </c>
      <c r="G24" s="5" t="s">
        <v>139</v>
      </c>
      <c r="H24" s="5" t="s">
        <v>140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87348.21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141</v>
      </c>
      <c r="H25" s="5" t="s">
        <v>142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771741.34</v>
      </c>
      <c r="G26" s="5" t="s">
        <v>143</v>
      </c>
      <c r="H26" s="5" t="s">
        <v>144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87348.21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6965423.8399999999</v>
      </c>
      <c r="G27" s="5" t="s">
        <v>145</v>
      </c>
      <c r="H27" s="5" t="s">
        <v>146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909976.51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147</v>
      </c>
      <c r="H28" s="5" t="s">
        <v>148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6965423.8399999999</v>
      </c>
      <c r="G29" s="5" t="s">
        <v>149</v>
      </c>
      <c r="H29" s="5" t="s">
        <v>150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909976.51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33215.29</v>
      </c>
      <c r="G30" s="5" t="s">
        <v>151</v>
      </c>
      <c r="H30" s="5" t="s">
        <v>152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1999.81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153</v>
      </c>
      <c r="H31" s="5" t="s">
        <v>154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16044.44</v>
      </c>
      <c r="G32" s="5" t="s">
        <v>155</v>
      </c>
      <c r="H32" s="5" t="s">
        <v>156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291.77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1030612.12</v>
      </c>
      <c r="G33" s="5" t="s">
        <v>157</v>
      </c>
      <c r="H33" s="5" t="s">
        <v>158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18741.810000000001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159</v>
      </c>
      <c r="H34" s="5" t="s">
        <v>160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161</v>
      </c>
      <c r="H35" s="5" t="s">
        <v>162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3332578.44</v>
      </c>
      <c r="G36" s="5" t="s">
        <v>163</v>
      </c>
      <c r="H36" s="5" t="s">
        <v>164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135313.14000000001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165</v>
      </c>
      <c r="H37" s="5" t="s">
        <v>166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167</v>
      </c>
      <c r="H38" s="5" t="s">
        <v>168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169</v>
      </c>
      <c r="H39" s="5" t="s">
        <v>170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1399.7194915000002</v>
      </c>
      <c r="G40" s="5" t="s">
        <v>171</v>
      </c>
      <c r="H40" s="5" t="s">
        <v>172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1399.7194915000002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173</v>
      </c>
      <c r="H41" s="5" t="s">
        <v>174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175</v>
      </c>
      <c r="H42" s="5" t="s">
        <v>176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177</v>
      </c>
      <c r="H43" s="5" t="s">
        <v>178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983807.72</v>
      </c>
      <c r="G44" s="5" t="s">
        <v>179</v>
      </c>
      <c r="H44" s="5" t="s">
        <v>180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17890.66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513201.97</v>
      </c>
      <c r="G45" s="5" t="s">
        <v>181</v>
      </c>
      <c r="H45" s="5" t="s">
        <v>182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9332.65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10298002.279999999</v>
      </c>
      <c r="G46" s="5" t="s">
        <v>183</v>
      </c>
      <c r="H46" s="5" t="s">
        <v>184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1045289.65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255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60258061</v>
      </c>
      <c r="O51" s="4">
        <v>1</v>
      </c>
    </row>
    <row r="52" spans="1:50" x14ac:dyDescent="0.2">
      <c r="A52" s="6">
        <v>1</v>
      </c>
      <c r="B52" s="6" t="s">
        <v>256</v>
      </c>
      <c r="C52" s="6" t="s">
        <v>257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258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60258062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256</v>
      </c>
      <c r="C53" s="6" t="s">
        <v>259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260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60258063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261</v>
      </c>
      <c r="C54" s="4">
        <v>2000</v>
      </c>
      <c r="D54" s="4">
        <v>0</v>
      </c>
      <c r="E54" s="4">
        <v>1</v>
      </c>
      <c r="F54" s="4"/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60258064</v>
      </c>
      <c r="O54" s="4">
        <v>2</v>
      </c>
    </row>
    <row r="55" spans="1:50" x14ac:dyDescent="0.2">
      <c r="A55" s="6">
        <v>1</v>
      </c>
      <c r="B55" s="6" t="s">
        <v>256</v>
      </c>
      <c r="C55" s="6" t="s">
        <v>257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49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60258065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2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60258064</v>
      </c>
      <c r="C1">
        <v>60258178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263</v>
      </c>
      <c r="J1" t="s">
        <v>3</v>
      </c>
      <c r="K1" t="s">
        <v>264</v>
      </c>
      <c r="L1">
        <v>1191</v>
      </c>
      <c r="N1">
        <v>1013</v>
      </c>
      <c r="O1" t="s">
        <v>265</v>
      </c>
      <c r="P1" t="s">
        <v>265</v>
      </c>
      <c r="Q1">
        <v>1</v>
      </c>
      <c r="W1">
        <v>0</v>
      </c>
      <c r="X1">
        <v>476480486</v>
      </c>
      <c r="Y1">
        <f>(AT1*1.1)</f>
        <v>17.094000000000001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15.54</v>
      </c>
      <c r="AU1" t="s">
        <v>23</v>
      </c>
      <c r="AV1">
        <v>1</v>
      </c>
      <c r="AW1">
        <v>2</v>
      </c>
      <c r="AX1">
        <v>60258466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47.863199999999999</v>
      </c>
      <c r="CW1">
        <v>0</v>
      </c>
      <c r="CX1">
        <f>ROUND(Y1*Source!I28,9)</f>
        <v>47.863199999999999</v>
      </c>
      <c r="CY1">
        <f>AD1</f>
        <v>0</v>
      </c>
      <c r="CZ1">
        <f>AH1</f>
        <v>0</v>
      </c>
      <c r="DA1">
        <f>AL1</f>
        <v>1</v>
      </c>
      <c r="DB1">
        <f>ROUND((ROUND(AT1*CZ1,2)*1.1),6)</f>
        <v>0</v>
      </c>
      <c r="DC1">
        <f>ROUND((ROUND(AT1*AG1,2)*1.1),6)</f>
        <v>0</v>
      </c>
      <c r="DD1" t="s">
        <v>3</v>
      </c>
      <c r="DE1" t="s">
        <v>3</v>
      </c>
      <c r="DF1">
        <f t="shared" ref="DF1:DF10" si="0">ROUND(ROUND(AE1,2)*CX1,2)</f>
        <v>0</v>
      </c>
      <c r="DG1">
        <f t="shared" ref="DG1:DG7" si="1">ROUND(ROUND(AF1,2)*CX1,2)</f>
        <v>0</v>
      </c>
      <c r="DH1">
        <f t="shared" ref="DH1:DH7" si="2">ROUND(ROUND(AG1,2)*CX1,2)</f>
        <v>0</v>
      </c>
      <c r="DI1">
        <f t="shared" ref="DI1:DI32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60258064</v>
      </c>
      <c r="C2">
        <v>60258178</v>
      </c>
      <c r="D2">
        <v>59070669</v>
      </c>
      <c r="E2">
        <v>1</v>
      </c>
      <c r="F2">
        <v>1</v>
      </c>
      <c r="G2">
        <v>1080</v>
      </c>
      <c r="H2">
        <v>2</v>
      </c>
      <c r="I2" t="s">
        <v>266</v>
      </c>
      <c r="J2" t="s">
        <v>267</v>
      </c>
      <c r="K2" t="s">
        <v>268</v>
      </c>
      <c r="L2">
        <v>1368</v>
      </c>
      <c r="N2">
        <v>1011</v>
      </c>
      <c r="O2" t="s">
        <v>269</v>
      </c>
      <c r="P2" t="s">
        <v>269</v>
      </c>
      <c r="Q2">
        <v>1</v>
      </c>
      <c r="W2">
        <v>0</v>
      </c>
      <c r="X2">
        <v>-1985943078</v>
      </c>
      <c r="Y2">
        <f>(AT2*1.1)</f>
        <v>1.1000000000000001E-2</v>
      </c>
      <c r="AA2">
        <v>0</v>
      </c>
      <c r="AB2">
        <v>87.01</v>
      </c>
      <c r="AC2">
        <v>13.21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0.01</v>
      </c>
      <c r="AU2" t="s">
        <v>23</v>
      </c>
      <c r="AV2">
        <v>0</v>
      </c>
      <c r="AW2">
        <v>2</v>
      </c>
      <c r="AX2">
        <v>60258467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0.38869599999999999</v>
      </c>
      <c r="CX2">
        <f>ROUND(Y2*Source!I28,9)</f>
        <v>3.0800000000000001E-2</v>
      </c>
      <c r="CY2">
        <f>AB2</f>
        <v>87.01</v>
      </c>
      <c r="CZ2">
        <f>AF2</f>
        <v>83.1</v>
      </c>
      <c r="DA2">
        <f>AJ2</f>
        <v>1</v>
      </c>
      <c r="DB2">
        <f>ROUND((ROUND(AT2*CZ2,2)*1.1),6)</f>
        <v>0.91300000000000003</v>
      </c>
      <c r="DC2">
        <f>ROUND((ROUND(AT2*AG2,2)*1.1),6)</f>
        <v>0.14299999999999999</v>
      </c>
      <c r="DD2" t="s">
        <v>3</v>
      </c>
      <c r="DE2" t="s">
        <v>3</v>
      </c>
      <c r="DF2">
        <f t="shared" si="0"/>
        <v>0</v>
      </c>
      <c r="DG2">
        <f t="shared" si="1"/>
        <v>2.56</v>
      </c>
      <c r="DH2">
        <f t="shared" si="2"/>
        <v>0.39</v>
      </c>
      <c r="DI2">
        <f t="shared" si="3"/>
        <v>0</v>
      </c>
      <c r="DJ2">
        <f>DG2</f>
        <v>2.56</v>
      </c>
      <c r="DK2">
        <v>0</v>
      </c>
      <c r="DL2" t="s">
        <v>270</v>
      </c>
      <c r="DM2">
        <v>0</v>
      </c>
      <c r="DN2" t="s">
        <v>265</v>
      </c>
      <c r="DO2">
        <v>12.62</v>
      </c>
    </row>
    <row r="3" spans="1:119" x14ac:dyDescent="0.2">
      <c r="A3">
        <f>ROW(Source!A28)</f>
        <v>28</v>
      </c>
      <c r="B3">
        <v>60258064</v>
      </c>
      <c r="C3">
        <v>60258178</v>
      </c>
      <c r="D3">
        <v>59070721</v>
      </c>
      <c r="E3">
        <v>1</v>
      </c>
      <c r="F3">
        <v>1</v>
      </c>
      <c r="G3">
        <v>1080</v>
      </c>
      <c r="H3">
        <v>2</v>
      </c>
      <c r="I3" t="s">
        <v>271</v>
      </c>
      <c r="J3" t="s">
        <v>272</v>
      </c>
      <c r="K3" t="s">
        <v>273</v>
      </c>
      <c r="L3">
        <v>1368</v>
      </c>
      <c r="N3">
        <v>1011</v>
      </c>
      <c r="O3" t="s">
        <v>269</v>
      </c>
      <c r="P3" t="s">
        <v>269</v>
      </c>
      <c r="Q3">
        <v>1</v>
      </c>
      <c r="W3">
        <v>0</v>
      </c>
      <c r="X3">
        <v>1387779639</v>
      </c>
      <c r="Y3">
        <f>(AT3*1.1)</f>
        <v>2.0570000000000004</v>
      </c>
      <c r="AA3">
        <v>0</v>
      </c>
      <c r="AB3">
        <v>0.81</v>
      </c>
      <c r="AC3">
        <v>0</v>
      </c>
      <c r="AD3">
        <v>0</v>
      </c>
      <c r="AE3">
        <v>0</v>
      </c>
      <c r="AF3">
        <v>0.77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1.87</v>
      </c>
      <c r="AU3" t="s">
        <v>23</v>
      </c>
      <c r="AV3">
        <v>0</v>
      </c>
      <c r="AW3">
        <v>2</v>
      </c>
      <c r="AX3">
        <v>60258468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5.7595999999999998</v>
      </c>
      <c r="CY3">
        <f>AB3</f>
        <v>0.81</v>
      </c>
      <c r="CZ3">
        <f>AF3</f>
        <v>0.77</v>
      </c>
      <c r="DA3">
        <f>AJ3</f>
        <v>1</v>
      </c>
      <c r="DB3">
        <f>ROUND((ROUND(AT3*CZ3,2)*1.1),6)</f>
        <v>1.5840000000000001</v>
      </c>
      <c r="DC3">
        <f>ROUND((ROUND(AT3*AG3,2)*1.1),6)</f>
        <v>0</v>
      </c>
      <c r="DD3" t="s">
        <v>3</v>
      </c>
      <c r="DE3" t="s">
        <v>3</v>
      </c>
      <c r="DF3">
        <f t="shared" si="0"/>
        <v>0</v>
      </c>
      <c r="DG3">
        <f t="shared" si="1"/>
        <v>4.43</v>
      </c>
      <c r="DH3">
        <f t="shared" si="2"/>
        <v>0</v>
      </c>
      <c r="DI3">
        <f t="shared" si="3"/>
        <v>0</v>
      </c>
      <c r="DJ3">
        <f>DG3</f>
        <v>4.43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60258064</v>
      </c>
      <c r="C4">
        <v>60258178</v>
      </c>
      <c r="D4">
        <v>59070754</v>
      </c>
      <c r="E4">
        <v>1</v>
      </c>
      <c r="F4">
        <v>1</v>
      </c>
      <c r="G4">
        <v>1080</v>
      </c>
      <c r="H4">
        <v>2</v>
      </c>
      <c r="I4" t="s">
        <v>274</v>
      </c>
      <c r="J4" t="s">
        <v>275</v>
      </c>
      <c r="K4" t="s">
        <v>276</v>
      </c>
      <c r="L4">
        <v>1368</v>
      </c>
      <c r="N4">
        <v>1011</v>
      </c>
      <c r="O4" t="s">
        <v>269</v>
      </c>
      <c r="P4" t="s">
        <v>269</v>
      </c>
      <c r="Q4">
        <v>1</v>
      </c>
      <c r="W4">
        <v>0</v>
      </c>
      <c r="X4">
        <v>1645565003</v>
      </c>
      <c r="Y4">
        <f>(AT4*1.1)</f>
        <v>0.20900000000000002</v>
      </c>
      <c r="AA4">
        <v>0</v>
      </c>
      <c r="AB4">
        <v>0.49</v>
      </c>
      <c r="AC4">
        <v>0</v>
      </c>
      <c r="AD4">
        <v>0</v>
      </c>
      <c r="AE4">
        <v>0</v>
      </c>
      <c r="AF4">
        <v>0.47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0.19</v>
      </c>
      <c r="AU4" t="s">
        <v>23</v>
      </c>
      <c r="AV4">
        <v>0</v>
      </c>
      <c r="AW4">
        <v>2</v>
      </c>
      <c r="AX4">
        <v>60258469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ROUND(Y4*Source!I28*DO4,9)</f>
        <v>0</v>
      </c>
      <c r="CX4">
        <f>ROUND(Y4*Source!I28,9)</f>
        <v>0.58520000000000005</v>
      </c>
      <c r="CY4">
        <f>AB4</f>
        <v>0.49</v>
      </c>
      <c r="CZ4">
        <f>AF4</f>
        <v>0.47</v>
      </c>
      <c r="DA4">
        <f>AJ4</f>
        <v>1</v>
      </c>
      <c r="DB4">
        <f>ROUND((ROUND(AT4*CZ4,2)*1.1),6)</f>
        <v>9.9000000000000005E-2</v>
      </c>
      <c r="DC4">
        <f>ROUND((ROUND(AT4*AG4,2)*1.1),6)</f>
        <v>0</v>
      </c>
      <c r="DD4" t="s">
        <v>3</v>
      </c>
      <c r="DE4" t="s">
        <v>3</v>
      </c>
      <c r="DF4">
        <f t="shared" si="0"/>
        <v>0</v>
      </c>
      <c r="DG4">
        <f t="shared" si="1"/>
        <v>0.28000000000000003</v>
      </c>
      <c r="DH4">
        <f t="shared" si="2"/>
        <v>0</v>
      </c>
      <c r="DI4">
        <f t="shared" si="3"/>
        <v>0</v>
      </c>
      <c r="DJ4">
        <f>DG4</f>
        <v>0.28000000000000003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60258064</v>
      </c>
      <c r="C5">
        <v>60258178</v>
      </c>
      <c r="D5">
        <v>59039008</v>
      </c>
      <c r="E5">
        <v>1</v>
      </c>
      <c r="F5">
        <v>1</v>
      </c>
      <c r="G5">
        <v>1080</v>
      </c>
      <c r="H5">
        <v>3</v>
      </c>
      <c r="I5" t="s">
        <v>277</v>
      </c>
      <c r="J5" t="s">
        <v>278</v>
      </c>
      <c r="K5" t="s">
        <v>279</v>
      </c>
      <c r="L5">
        <v>1354</v>
      </c>
      <c r="N5">
        <v>1010</v>
      </c>
      <c r="O5" t="s">
        <v>241</v>
      </c>
      <c r="P5" t="s">
        <v>241</v>
      </c>
      <c r="Q5">
        <v>1</v>
      </c>
      <c r="W5">
        <v>0</v>
      </c>
      <c r="X5">
        <v>-40224714</v>
      </c>
      <c r="Y5">
        <f>AT5</f>
        <v>40</v>
      </c>
      <c r="AA5">
        <v>0.89</v>
      </c>
      <c r="AB5">
        <v>0</v>
      </c>
      <c r="AC5">
        <v>0</v>
      </c>
      <c r="AD5">
        <v>0</v>
      </c>
      <c r="AE5">
        <v>0.89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40</v>
      </c>
      <c r="AU5" t="s">
        <v>3</v>
      </c>
      <c r="AV5">
        <v>0</v>
      </c>
      <c r="AW5">
        <v>2</v>
      </c>
      <c r="AX5">
        <v>60258470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112</v>
      </c>
      <c r="CY5">
        <f>AA5</f>
        <v>0.89</v>
      </c>
      <c r="CZ5">
        <f>AE5</f>
        <v>0.89</v>
      </c>
      <c r="DA5">
        <f>AI5</f>
        <v>1</v>
      </c>
      <c r="DB5">
        <f>ROUND(ROUND(AT5*CZ5,2),6)</f>
        <v>35.6</v>
      </c>
      <c r="DC5">
        <f>ROUND(ROUND(AT5*AG5,2),6)</f>
        <v>0</v>
      </c>
      <c r="DD5" t="s">
        <v>3</v>
      </c>
      <c r="DE5" t="s">
        <v>3</v>
      </c>
      <c r="DF5">
        <f t="shared" si="0"/>
        <v>99.68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99.68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ROW(Source!A28)</f>
        <v>28</v>
      </c>
      <c r="B6">
        <v>60258064</v>
      </c>
      <c r="C6">
        <v>60258178</v>
      </c>
      <c r="D6">
        <v>59041172</v>
      </c>
      <c r="E6">
        <v>1</v>
      </c>
      <c r="F6">
        <v>1</v>
      </c>
      <c r="G6">
        <v>1080</v>
      </c>
      <c r="H6">
        <v>3</v>
      </c>
      <c r="I6" t="s">
        <v>280</v>
      </c>
      <c r="J6" t="s">
        <v>281</v>
      </c>
      <c r="K6" t="s">
        <v>282</v>
      </c>
      <c r="L6">
        <v>1355</v>
      </c>
      <c r="N6">
        <v>1010</v>
      </c>
      <c r="O6" t="s">
        <v>283</v>
      </c>
      <c r="P6" t="s">
        <v>283</v>
      </c>
      <c r="Q6">
        <v>100</v>
      </c>
      <c r="W6">
        <v>0</v>
      </c>
      <c r="X6">
        <v>2052604083</v>
      </c>
      <c r="Y6">
        <f>AT6</f>
        <v>0.4</v>
      </c>
      <c r="AA6">
        <v>17.28</v>
      </c>
      <c r="AB6">
        <v>0</v>
      </c>
      <c r="AC6">
        <v>0</v>
      </c>
      <c r="AD6">
        <v>0</v>
      </c>
      <c r="AE6">
        <v>17.28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0.4</v>
      </c>
      <c r="AU6" t="s">
        <v>3</v>
      </c>
      <c r="AV6">
        <v>0</v>
      </c>
      <c r="AW6">
        <v>2</v>
      </c>
      <c r="AX6">
        <v>60258471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ROUND(Y6*Source!I28,9)</f>
        <v>1.1200000000000001</v>
      </c>
      <c r="CY6">
        <f>AA6</f>
        <v>17.28</v>
      </c>
      <c r="CZ6">
        <f>AE6</f>
        <v>17.28</v>
      </c>
      <c r="DA6">
        <f>AI6</f>
        <v>1</v>
      </c>
      <c r="DB6">
        <f>ROUND(ROUND(AT6*CZ6,2),6)</f>
        <v>6.91</v>
      </c>
      <c r="DC6">
        <f>ROUND(ROUND(AT6*AG6,2),6)</f>
        <v>0</v>
      </c>
      <c r="DD6" t="s">
        <v>3</v>
      </c>
      <c r="DE6" t="s">
        <v>3</v>
      </c>
      <c r="DF6">
        <f t="shared" si="0"/>
        <v>19.350000000000001</v>
      </c>
      <c r="DG6">
        <f t="shared" si="1"/>
        <v>0</v>
      </c>
      <c r="DH6">
        <f t="shared" si="2"/>
        <v>0</v>
      </c>
      <c r="DI6">
        <f t="shared" si="3"/>
        <v>0</v>
      </c>
      <c r="DJ6">
        <f>DF6</f>
        <v>19.350000000000001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ROW(Source!A29)</f>
        <v>29</v>
      </c>
      <c r="B7">
        <v>60258061</v>
      </c>
      <c r="C7">
        <v>60258178</v>
      </c>
      <c r="D7">
        <v>58999254</v>
      </c>
      <c r="E7">
        <v>1080</v>
      </c>
      <c r="F7">
        <v>1</v>
      </c>
      <c r="G7">
        <v>1080</v>
      </c>
      <c r="H7">
        <v>1</v>
      </c>
      <c r="I7" t="s">
        <v>263</v>
      </c>
      <c r="J7" t="s">
        <v>3</v>
      </c>
      <c r="K7" t="s">
        <v>264</v>
      </c>
      <c r="L7">
        <v>1191</v>
      </c>
      <c r="N7">
        <v>1013</v>
      </c>
      <c r="O7" t="s">
        <v>265</v>
      </c>
      <c r="P7" t="s">
        <v>265</v>
      </c>
      <c r="Q7">
        <v>1</v>
      </c>
      <c r="W7">
        <v>0</v>
      </c>
      <c r="X7">
        <v>476480486</v>
      </c>
      <c r="Y7">
        <f>(AT7*1.1)</f>
        <v>17.094000000000001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5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15.54</v>
      </c>
      <c r="AU7" t="s">
        <v>23</v>
      </c>
      <c r="AV7">
        <v>1</v>
      </c>
      <c r="AW7">
        <v>2</v>
      </c>
      <c r="AX7">
        <v>60258466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ROUND(AT7*Source!I29*AH7*AL7,2)</f>
        <v>0</v>
      </c>
      <c r="CV7">
        <f>ROUND(Y7*Source!I29,9)</f>
        <v>47.863199999999999</v>
      </c>
      <c r="CW7">
        <v>0</v>
      </c>
      <c r="CX7">
        <f>ROUND(Y7*Source!I29,9)</f>
        <v>47.863199999999999</v>
      </c>
      <c r="CY7">
        <f>AD7</f>
        <v>0</v>
      </c>
      <c r="CZ7">
        <f>AH7</f>
        <v>0</v>
      </c>
      <c r="DA7">
        <f>AL7</f>
        <v>1</v>
      </c>
      <c r="DB7">
        <f>ROUND((ROUND(AT7*CZ7,2)*1.1),6)</f>
        <v>0</v>
      </c>
      <c r="DC7">
        <f>ROUND((ROUND(AT7*AG7,2)*1.1),6)</f>
        <v>0</v>
      </c>
      <c r="DD7" t="s">
        <v>3</v>
      </c>
      <c r="DE7" t="s">
        <v>3</v>
      </c>
      <c r="DF7">
        <f t="shared" si="0"/>
        <v>0</v>
      </c>
      <c r="DG7">
        <f t="shared" si="1"/>
        <v>0</v>
      </c>
      <c r="DH7">
        <f t="shared" si="2"/>
        <v>0</v>
      </c>
      <c r="DI7">
        <f t="shared" si="3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60258061</v>
      </c>
      <c r="C8">
        <v>60258178</v>
      </c>
      <c r="D8">
        <v>59070669</v>
      </c>
      <c r="E8">
        <v>1</v>
      </c>
      <c r="F8">
        <v>1</v>
      </c>
      <c r="G8">
        <v>1080</v>
      </c>
      <c r="H8">
        <v>2</v>
      </c>
      <c r="I8" t="s">
        <v>266</v>
      </c>
      <c r="J8" t="s">
        <v>267</v>
      </c>
      <c r="K8" t="s">
        <v>268</v>
      </c>
      <c r="L8">
        <v>1368</v>
      </c>
      <c r="N8">
        <v>1011</v>
      </c>
      <c r="O8" t="s">
        <v>269</v>
      </c>
      <c r="P8" t="s">
        <v>269</v>
      </c>
      <c r="Q8">
        <v>1</v>
      </c>
      <c r="W8">
        <v>0</v>
      </c>
      <c r="X8">
        <v>-1985943078</v>
      </c>
      <c r="Y8">
        <f>(AT8*1.1)</f>
        <v>1.1000000000000001E-2</v>
      </c>
      <c r="AA8">
        <v>0</v>
      </c>
      <c r="AB8">
        <v>1418.19</v>
      </c>
      <c r="AC8">
        <v>726.59</v>
      </c>
      <c r="AD8">
        <v>0</v>
      </c>
      <c r="AE8">
        <v>0</v>
      </c>
      <c r="AF8">
        <v>83.1</v>
      </c>
      <c r="AG8">
        <v>12.62</v>
      </c>
      <c r="AH8">
        <v>0</v>
      </c>
      <c r="AI8">
        <v>1</v>
      </c>
      <c r="AJ8">
        <v>16.3</v>
      </c>
      <c r="AK8">
        <v>54.99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0.01</v>
      </c>
      <c r="AU8" t="s">
        <v>23</v>
      </c>
      <c r="AV8">
        <v>0</v>
      </c>
      <c r="AW8">
        <v>2</v>
      </c>
      <c r="AX8">
        <v>60258467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ROUND(Y8*Source!I29*DO8,9)</f>
        <v>0.38869599999999999</v>
      </c>
      <c r="CX8">
        <f>ROUND(Y8*Source!I29,9)</f>
        <v>3.0800000000000001E-2</v>
      </c>
      <c r="CY8">
        <f>AB8</f>
        <v>1418.19</v>
      </c>
      <c r="CZ8">
        <f>AF8</f>
        <v>83.1</v>
      </c>
      <c r="DA8">
        <f>AJ8</f>
        <v>16.3</v>
      </c>
      <c r="DB8">
        <f>ROUND((ROUND(AT8*CZ8,2)*1.1),6)</f>
        <v>0.91300000000000003</v>
      </c>
      <c r="DC8">
        <f>ROUND((ROUND(AT8*AG8,2)*1.1),6)</f>
        <v>0.14299999999999999</v>
      </c>
      <c r="DD8" t="s">
        <v>3</v>
      </c>
      <c r="DE8" t="s">
        <v>3</v>
      </c>
      <c r="DF8">
        <f t="shared" si="0"/>
        <v>0</v>
      </c>
      <c r="DG8">
        <f>ROUND(ROUND(AF8*AJ8,2)*CX8,2)</f>
        <v>41.72</v>
      </c>
      <c r="DH8">
        <f>ROUND(ROUND(AG8*AK8,2)*CX8,2)</f>
        <v>21.37</v>
      </c>
      <c r="DI8">
        <f t="shared" si="3"/>
        <v>0</v>
      </c>
      <c r="DJ8">
        <f>DG8</f>
        <v>41.72</v>
      </c>
      <c r="DK8">
        <v>0</v>
      </c>
      <c r="DL8" t="s">
        <v>270</v>
      </c>
      <c r="DM8">
        <v>0</v>
      </c>
      <c r="DN8" t="s">
        <v>265</v>
      </c>
      <c r="DO8">
        <v>12.62</v>
      </c>
    </row>
    <row r="9" spans="1:119" x14ac:dyDescent="0.2">
      <c r="A9">
        <f>ROW(Source!A29)</f>
        <v>29</v>
      </c>
      <c r="B9">
        <v>60258061</v>
      </c>
      <c r="C9">
        <v>60258178</v>
      </c>
      <c r="D9">
        <v>59070721</v>
      </c>
      <c r="E9">
        <v>1</v>
      </c>
      <c r="F9">
        <v>1</v>
      </c>
      <c r="G9">
        <v>1080</v>
      </c>
      <c r="H9">
        <v>2</v>
      </c>
      <c r="I9" t="s">
        <v>271</v>
      </c>
      <c r="J9" t="s">
        <v>272</v>
      </c>
      <c r="K9" t="s">
        <v>273</v>
      </c>
      <c r="L9">
        <v>1368</v>
      </c>
      <c r="N9">
        <v>1011</v>
      </c>
      <c r="O9" t="s">
        <v>269</v>
      </c>
      <c r="P9" t="s">
        <v>269</v>
      </c>
      <c r="Q9">
        <v>1</v>
      </c>
      <c r="W9">
        <v>0</v>
      </c>
      <c r="X9">
        <v>1387779639</v>
      </c>
      <c r="Y9">
        <f>(AT9*1.1)</f>
        <v>2.0570000000000004</v>
      </c>
      <c r="AA9">
        <v>0</v>
      </c>
      <c r="AB9">
        <v>6.98</v>
      </c>
      <c r="AC9">
        <v>0</v>
      </c>
      <c r="AD9">
        <v>0</v>
      </c>
      <c r="AE9">
        <v>0</v>
      </c>
      <c r="AF9">
        <v>0.77</v>
      </c>
      <c r="AG9">
        <v>0</v>
      </c>
      <c r="AH9">
        <v>0</v>
      </c>
      <c r="AI9">
        <v>1</v>
      </c>
      <c r="AJ9">
        <v>8.66</v>
      </c>
      <c r="AK9">
        <v>54.99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1.87</v>
      </c>
      <c r="AU9" t="s">
        <v>23</v>
      </c>
      <c r="AV9">
        <v>0</v>
      </c>
      <c r="AW9">
        <v>2</v>
      </c>
      <c r="AX9">
        <v>60258468</v>
      </c>
      <c r="AY9">
        <v>1</v>
      </c>
      <c r="AZ9">
        <v>0</v>
      </c>
      <c r="BA9">
        <v>10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ROUND(Y9*Source!I29*DO9,9)</f>
        <v>0</v>
      </c>
      <c r="CX9">
        <f>ROUND(Y9*Source!I29,9)</f>
        <v>5.7595999999999998</v>
      </c>
      <c r="CY9">
        <f>AB9</f>
        <v>6.98</v>
      </c>
      <c r="CZ9">
        <f>AF9</f>
        <v>0.77</v>
      </c>
      <c r="DA9">
        <f>AJ9</f>
        <v>8.66</v>
      </c>
      <c r="DB9">
        <f>ROUND((ROUND(AT9*CZ9,2)*1.1),6)</f>
        <v>1.5840000000000001</v>
      </c>
      <c r="DC9">
        <f>ROUND((ROUND(AT9*AG9,2)*1.1),6)</f>
        <v>0</v>
      </c>
      <c r="DD9" t="s">
        <v>3</v>
      </c>
      <c r="DE9" t="s">
        <v>3</v>
      </c>
      <c r="DF9">
        <f t="shared" si="0"/>
        <v>0</v>
      </c>
      <c r="DG9">
        <f>ROUND(ROUND(AF9*AJ9,2)*CX9,2)</f>
        <v>38.42</v>
      </c>
      <c r="DH9">
        <f>ROUND(ROUND(AG9*AK9,2)*CX9,2)</f>
        <v>0</v>
      </c>
      <c r="DI9">
        <f t="shared" si="3"/>
        <v>0</v>
      </c>
      <c r="DJ9">
        <f>DG9</f>
        <v>38.42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ROW(Source!A29)</f>
        <v>29</v>
      </c>
      <c r="B10">
        <v>60258061</v>
      </c>
      <c r="C10">
        <v>60258178</v>
      </c>
      <c r="D10">
        <v>59070754</v>
      </c>
      <c r="E10">
        <v>1</v>
      </c>
      <c r="F10">
        <v>1</v>
      </c>
      <c r="G10">
        <v>1080</v>
      </c>
      <c r="H10">
        <v>2</v>
      </c>
      <c r="I10" t="s">
        <v>274</v>
      </c>
      <c r="J10" t="s">
        <v>275</v>
      </c>
      <c r="K10" t="s">
        <v>276</v>
      </c>
      <c r="L10">
        <v>1368</v>
      </c>
      <c r="N10">
        <v>1011</v>
      </c>
      <c r="O10" t="s">
        <v>269</v>
      </c>
      <c r="P10" t="s">
        <v>269</v>
      </c>
      <c r="Q10">
        <v>1</v>
      </c>
      <c r="W10">
        <v>0</v>
      </c>
      <c r="X10">
        <v>1645565003</v>
      </c>
      <c r="Y10">
        <f>(AT10*1.1)</f>
        <v>0.20900000000000002</v>
      </c>
      <c r="AA10">
        <v>0</v>
      </c>
      <c r="AB10">
        <v>4.3</v>
      </c>
      <c r="AC10">
        <v>0</v>
      </c>
      <c r="AD10">
        <v>0</v>
      </c>
      <c r="AE10">
        <v>0</v>
      </c>
      <c r="AF10">
        <v>0.47</v>
      </c>
      <c r="AG10">
        <v>0</v>
      </c>
      <c r="AH10">
        <v>0</v>
      </c>
      <c r="AI10">
        <v>1</v>
      </c>
      <c r="AJ10">
        <v>8.74</v>
      </c>
      <c r="AK10">
        <v>54.99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0.19</v>
      </c>
      <c r="AU10" t="s">
        <v>23</v>
      </c>
      <c r="AV10">
        <v>0</v>
      </c>
      <c r="AW10">
        <v>2</v>
      </c>
      <c r="AX10">
        <v>60258469</v>
      </c>
      <c r="AY10">
        <v>1</v>
      </c>
      <c r="AZ10">
        <v>0</v>
      </c>
      <c r="BA10">
        <v>11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ROUND(Y10*Source!I29*DO10,9)</f>
        <v>0</v>
      </c>
      <c r="CX10">
        <f>ROUND(Y10*Source!I29,9)</f>
        <v>0.58520000000000005</v>
      </c>
      <c r="CY10">
        <f>AB10</f>
        <v>4.3</v>
      </c>
      <c r="CZ10">
        <f>AF10</f>
        <v>0.47</v>
      </c>
      <c r="DA10">
        <f>AJ10</f>
        <v>8.74</v>
      </c>
      <c r="DB10">
        <f>ROUND((ROUND(AT10*CZ10,2)*1.1),6)</f>
        <v>9.9000000000000005E-2</v>
      </c>
      <c r="DC10">
        <f>ROUND((ROUND(AT10*AG10,2)*1.1),6)</f>
        <v>0</v>
      </c>
      <c r="DD10" t="s">
        <v>3</v>
      </c>
      <c r="DE10" t="s">
        <v>3</v>
      </c>
      <c r="DF10">
        <f t="shared" si="0"/>
        <v>0</v>
      </c>
      <c r="DG10">
        <f>ROUND(ROUND(AF10*AJ10,2)*CX10,2)</f>
        <v>2.41</v>
      </c>
      <c r="DH10">
        <f>ROUND(ROUND(AG10*AK10,2)*CX10,2)</f>
        <v>0</v>
      </c>
      <c r="DI10">
        <f t="shared" si="3"/>
        <v>0</v>
      </c>
      <c r="DJ10">
        <f>DG10</f>
        <v>2.41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ROW(Source!A29)</f>
        <v>29</v>
      </c>
      <c r="B11">
        <v>60258061</v>
      </c>
      <c r="C11">
        <v>60258178</v>
      </c>
      <c r="D11">
        <v>59039008</v>
      </c>
      <c r="E11">
        <v>1</v>
      </c>
      <c r="F11">
        <v>1</v>
      </c>
      <c r="G11">
        <v>1080</v>
      </c>
      <c r="H11">
        <v>3</v>
      </c>
      <c r="I11" t="s">
        <v>277</v>
      </c>
      <c r="J11" t="s">
        <v>278</v>
      </c>
      <c r="K11" t="s">
        <v>279</v>
      </c>
      <c r="L11">
        <v>1354</v>
      </c>
      <c r="N11">
        <v>1010</v>
      </c>
      <c r="O11" t="s">
        <v>241</v>
      </c>
      <c r="P11" t="s">
        <v>241</v>
      </c>
      <c r="Q11">
        <v>1</v>
      </c>
      <c r="W11">
        <v>0</v>
      </c>
      <c r="X11">
        <v>-40224714</v>
      </c>
      <c r="Y11">
        <f>AT11</f>
        <v>40</v>
      </c>
      <c r="AA11">
        <v>0.8</v>
      </c>
      <c r="AB11">
        <v>0</v>
      </c>
      <c r="AC11">
        <v>0</v>
      </c>
      <c r="AD11">
        <v>0</v>
      </c>
      <c r="AE11">
        <v>0.89</v>
      </c>
      <c r="AF11">
        <v>0</v>
      </c>
      <c r="AG11">
        <v>0</v>
      </c>
      <c r="AH11">
        <v>0</v>
      </c>
      <c r="AI11">
        <v>0.9</v>
      </c>
      <c r="AJ11">
        <v>1</v>
      </c>
      <c r="AK11">
        <v>1</v>
      </c>
      <c r="AL11">
        <v>1</v>
      </c>
      <c r="AM11">
        <v>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40</v>
      </c>
      <c r="AU11" t="s">
        <v>3</v>
      </c>
      <c r="AV11">
        <v>0</v>
      </c>
      <c r="AW11">
        <v>2</v>
      </c>
      <c r="AX11">
        <v>60258470</v>
      </c>
      <c r="AY11">
        <v>1</v>
      </c>
      <c r="AZ11">
        <v>0</v>
      </c>
      <c r="BA11">
        <v>12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ROUND(Y11*Source!I29,9)</f>
        <v>112</v>
      </c>
      <c r="CY11">
        <f>AA11</f>
        <v>0.8</v>
      </c>
      <c r="CZ11">
        <f>AE11</f>
        <v>0.89</v>
      </c>
      <c r="DA11">
        <f>AI11</f>
        <v>0.9</v>
      </c>
      <c r="DB11">
        <f>ROUND(ROUND(AT11*CZ11,2),6)</f>
        <v>35.6</v>
      </c>
      <c r="DC11">
        <f>ROUND(ROUND(AT11*AG11,2),6)</f>
        <v>0</v>
      </c>
      <c r="DD11" t="s">
        <v>3</v>
      </c>
      <c r="DE11" t="s">
        <v>3</v>
      </c>
      <c r="DF11">
        <f>ROUND(ROUND(AE11*AI11,2)*CX11,2)</f>
        <v>89.6</v>
      </c>
      <c r="DG11">
        <f t="shared" ref="DG11:DG21" si="4">ROUND(ROUND(AF11,2)*CX11,2)</f>
        <v>0</v>
      </c>
      <c r="DH11">
        <f t="shared" ref="DH11:DH21" si="5">ROUND(ROUND(AG11,2)*CX11,2)</f>
        <v>0</v>
      </c>
      <c r="DI11">
        <f t="shared" si="3"/>
        <v>0</v>
      </c>
      <c r="DJ11">
        <f>DF11</f>
        <v>89.6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ROW(Source!A29)</f>
        <v>29</v>
      </c>
      <c r="B12">
        <v>60258061</v>
      </c>
      <c r="C12">
        <v>60258178</v>
      </c>
      <c r="D12">
        <v>59041172</v>
      </c>
      <c r="E12">
        <v>1</v>
      </c>
      <c r="F12">
        <v>1</v>
      </c>
      <c r="G12">
        <v>1080</v>
      </c>
      <c r="H12">
        <v>3</v>
      </c>
      <c r="I12" t="s">
        <v>280</v>
      </c>
      <c r="J12" t="s">
        <v>281</v>
      </c>
      <c r="K12" t="s">
        <v>282</v>
      </c>
      <c r="L12">
        <v>1355</v>
      </c>
      <c r="N12">
        <v>1010</v>
      </c>
      <c r="O12" t="s">
        <v>283</v>
      </c>
      <c r="P12" t="s">
        <v>283</v>
      </c>
      <c r="Q12">
        <v>100</v>
      </c>
      <c r="W12">
        <v>0</v>
      </c>
      <c r="X12">
        <v>2052604083</v>
      </c>
      <c r="Y12">
        <f>AT12</f>
        <v>0.4</v>
      </c>
      <c r="AA12">
        <v>125.28</v>
      </c>
      <c r="AB12">
        <v>0</v>
      </c>
      <c r="AC12">
        <v>0</v>
      </c>
      <c r="AD12">
        <v>0</v>
      </c>
      <c r="AE12">
        <v>17.28</v>
      </c>
      <c r="AF12">
        <v>0</v>
      </c>
      <c r="AG12">
        <v>0</v>
      </c>
      <c r="AH12">
        <v>0</v>
      </c>
      <c r="AI12">
        <v>7.25</v>
      </c>
      <c r="AJ12">
        <v>1</v>
      </c>
      <c r="AK12">
        <v>1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0.4</v>
      </c>
      <c r="AU12" t="s">
        <v>3</v>
      </c>
      <c r="AV12">
        <v>0</v>
      </c>
      <c r="AW12">
        <v>2</v>
      </c>
      <c r="AX12">
        <v>60258471</v>
      </c>
      <c r="AY12">
        <v>1</v>
      </c>
      <c r="AZ12">
        <v>0</v>
      </c>
      <c r="BA12">
        <v>13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ROUND(Y12*Source!I29,9)</f>
        <v>1.1200000000000001</v>
      </c>
      <c r="CY12">
        <f>AA12</f>
        <v>125.28</v>
      </c>
      <c r="CZ12">
        <f>AE12</f>
        <v>17.28</v>
      </c>
      <c r="DA12">
        <f>AI12</f>
        <v>7.25</v>
      </c>
      <c r="DB12">
        <f>ROUND(ROUND(AT12*CZ12,2),6)</f>
        <v>6.91</v>
      </c>
      <c r="DC12">
        <f>ROUND(ROUND(AT12*AG12,2),6)</f>
        <v>0</v>
      </c>
      <c r="DD12" t="s">
        <v>3</v>
      </c>
      <c r="DE12" t="s">
        <v>3</v>
      </c>
      <c r="DF12">
        <f>ROUND(ROUND(AE12*AI12,2)*CX12,2)</f>
        <v>140.31</v>
      </c>
      <c r="DG12">
        <f t="shared" si="4"/>
        <v>0</v>
      </c>
      <c r="DH12">
        <f t="shared" si="5"/>
        <v>0</v>
      </c>
      <c r="DI12">
        <f t="shared" si="3"/>
        <v>0</v>
      </c>
      <c r="DJ12">
        <f>DF12</f>
        <v>140.31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ROW(Source!A32)</f>
        <v>32</v>
      </c>
      <c r="B13">
        <v>60258064</v>
      </c>
      <c r="C13">
        <v>60258193</v>
      </c>
      <c r="D13">
        <v>58999254</v>
      </c>
      <c r="E13">
        <v>1080</v>
      </c>
      <c r="F13">
        <v>1</v>
      </c>
      <c r="G13">
        <v>1080</v>
      </c>
      <c r="H13">
        <v>1</v>
      </c>
      <c r="I13" t="s">
        <v>263</v>
      </c>
      <c r="J13" t="s">
        <v>3</v>
      </c>
      <c r="K13" t="s">
        <v>264</v>
      </c>
      <c r="L13">
        <v>1191</v>
      </c>
      <c r="N13">
        <v>1013</v>
      </c>
      <c r="O13" t="s">
        <v>265</v>
      </c>
      <c r="P13" t="s">
        <v>265</v>
      </c>
      <c r="Q13">
        <v>1</v>
      </c>
      <c r="W13">
        <v>0</v>
      </c>
      <c r="X13">
        <v>476480486</v>
      </c>
      <c r="Y13">
        <f t="shared" ref="Y13:Y18" si="6">(AT13*1.1)</f>
        <v>0.88000000000000012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0.8</v>
      </c>
      <c r="AU13" t="s">
        <v>23</v>
      </c>
      <c r="AV13">
        <v>1</v>
      </c>
      <c r="AW13">
        <v>2</v>
      </c>
      <c r="AX13">
        <v>60258473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ROUND(AT13*Source!I32*AH13*AL13,2)</f>
        <v>0</v>
      </c>
      <c r="CV13">
        <f>ROUND(Y13*Source!I32,9)</f>
        <v>24.64</v>
      </c>
      <c r="CW13">
        <v>0</v>
      </c>
      <c r="CX13">
        <f>ROUND(Y13*Source!I32,9)</f>
        <v>24.64</v>
      </c>
      <c r="CY13">
        <f>AD13</f>
        <v>0</v>
      </c>
      <c r="CZ13">
        <f>AH13</f>
        <v>0</v>
      </c>
      <c r="DA13">
        <f>AL13</f>
        <v>1</v>
      </c>
      <c r="DB13">
        <f t="shared" ref="DB13:DB18" si="7">ROUND((ROUND(AT13*CZ13,2)*1.1),6)</f>
        <v>0</v>
      </c>
      <c r="DC13">
        <f t="shared" ref="DC13:DC18" si="8">ROUND((ROUND(AT13*AG13,2)*1.1),6)</f>
        <v>0</v>
      </c>
      <c r="DD13" t="s">
        <v>3</v>
      </c>
      <c r="DE13" t="s">
        <v>3</v>
      </c>
      <c r="DF13">
        <f t="shared" ref="DF13:DF24" si="9">ROUND(ROUND(AE13,2)*CX13,2)</f>
        <v>0</v>
      </c>
      <c r="DG13">
        <f t="shared" si="4"/>
        <v>0</v>
      </c>
      <c r="DH13">
        <f t="shared" si="5"/>
        <v>0</v>
      </c>
      <c r="DI13">
        <f t="shared" si="3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ROW(Source!A33)</f>
        <v>33</v>
      </c>
      <c r="B14">
        <v>60258061</v>
      </c>
      <c r="C14">
        <v>60258193</v>
      </c>
      <c r="D14">
        <v>58999254</v>
      </c>
      <c r="E14">
        <v>1080</v>
      </c>
      <c r="F14">
        <v>1</v>
      </c>
      <c r="G14">
        <v>1080</v>
      </c>
      <c r="H14">
        <v>1</v>
      </c>
      <c r="I14" t="s">
        <v>263</v>
      </c>
      <c r="J14" t="s">
        <v>3</v>
      </c>
      <c r="K14" t="s">
        <v>264</v>
      </c>
      <c r="L14">
        <v>1191</v>
      </c>
      <c r="N14">
        <v>1013</v>
      </c>
      <c r="O14" t="s">
        <v>265</v>
      </c>
      <c r="P14" t="s">
        <v>265</v>
      </c>
      <c r="Q14">
        <v>1</v>
      </c>
      <c r="W14">
        <v>0</v>
      </c>
      <c r="X14">
        <v>476480486</v>
      </c>
      <c r="Y14">
        <f t="shared" si="6"/>
        <v>0.88000000000000012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5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0.8</v>
      </c>
      <c r="AU14" t="s">
        <v>23</v>
      </c>
      <c r="AV14">
        <v>1</v>
      </c>
      <c r="AW14">
        <v>2</v>
      </c>
      <c r="AX14">
        <v>60258473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U14">
        <f>ROUND(AT14*Source!I33*AH14*AL14,2)</f>
        <v>0</v>
      </c>
      <c r="CV14">
        <f>ROUND(Y14*Source!I33,9)</f>
        <v>24.64</v>
      </c>
      <c r="CW14">
        <v>0</v>
      </c>
      <c r="CX14">
        <f>ROUND(Y14*Source!I33,9)</f>
        <v>24.64</v>
      </c>
      <c r="CY14">
        <f>AD14</f>
        <v>0</v>
      </c>
      <c r="CZ14">
        <f>AH14</f>
        <v>0</v>
      </c>
      <c r="DA14">
        <f>AL14</f>
        <v>1</v>
      </c>
      <c r="DB14">
        <f t="shared" si="7"/>
        <v>0</v>
      </c>
      <c r="DC14">
        <f t="shared" si="8"/>
        <v>0</v>
      </c>
      <c r="DD14" t="s">
        <v>3</v>
      </c>
      <c r="DE14" t="s">
        <v>3</v>
      </c>
      <c r="DF14">
        <f t="shared" si="9"/>
        <v>0</v>
      </c>
      <c r="DG14">
        <f t="shared" si="4"/>
        <v>0</v>
      </c>
      <c r="DH14">
        <f t="shared" si="5"/>
        <v>0</v>
      </c>
      <c r="DI14">
        <f t="shared" si="3"/>
        <v>0</v>
      </c>
      <c r="DJ14">
        <f>DI14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ROW(Source!A36)</f>
        <v>36</v>
      </c>
      <c r="B15">
        <v>60258064</v>
      </c>
      <c r="C15">
        <v>60258197</v>
      </c>
      <c r="D15">
        <v>58999254</v>
      </c>
      <c r="E15">
        <v>1080</v>
      </c>
      <c r="F15">
        <v>1</v>
      </c>
      <c r="G15">
        <v>1080</v>
      </c>
      <c r="H15">
        <v>1</v>
      </c>
      <c r="I15" t="s">
        <v>263</v>
      </c>
      <c r="J15" t="s">
        <v>3</v>
      </c>
      <c r="K15" t="s">
        <v>264</v>
      </c>
      <c r="L15">
        <v>1191</v>
      </c>
      <c r="N15">
        <v>1013</v>
      </c>
      <c r="O15" t="s">
        <v>265</v>
      </c>
      <c r="P15" t="s">
        <v>265</v>
      </c>
      <c r="Q15">
        <v>1</v>
      </c>
      <c r="W15">
        <v>0</v>
      </c>
      <c r="X15">
        <v>476480486</v>
      </c>
      <c r="Y15">
        <f t="shared" si="6"/>
        <v>27.863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25.33</v>
      </c>
      <c r="AU15" t="s">
        <v>23</v>
      </c>
      <c r="AV15">
        <v>1</v>
      </c>
      <c r="AW15">
        <v>2</v>
      </c>
      <c r="AX15">
        <v>60258474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ROUND(AT15*Source!I36*AH15*AL15,2)</f>
        <v>0</v>
      </c>
      <c r="CV15">
        <f>ROUND(Y15*Source!I36,9)</f>
        <v>303.70670000000001</v>
      </c>
      <c r="CW15">
        <v>0</v>
      </c>
      <c r="CX15">
        <f>ROUND(Y15*Source!I36,9)</f>
        <v>303.70670000000001</v>
      </c>
      <c r="CY15">
        <f>AD15</f>
        <v>0</v>
      </c>
      <c r="CZ15">
        <f>AH15</f>
        <v>0</v>
      </c>
      <c r="DA15">
        <f>AL15</f>
        <v>1</v>
      </c>
      <c r="DB15">
        <f t="shared" si="7"/>
        <v>0</v>
      </c>
      <c r="DC15">
        <f t="shared" si="8"/>
        <v>0</v>
      </c>
      <c r="DD15" t="s">
        <v>3</v>
      </c>
      <c r="DE15" t="s">
        <v>3</v>
      </c>
      <c r="DF15">
        <f t="shared" si="9"/>
        <v>0</v>
      </c>
      <c r="DG15">
        <f t="shared" si="4"/>
        <v>0</v>
      </c>
      <c r="DH15">
        <f t="shared" si="5"/>
        <v>0</v>
      </c>
      <c r="DI15">
        <f t="shared" si="3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ROW(Source!A36)</f>
        <v>36</v>
      </c>
      <c r="B16">
        <v>60258064</v>
      </c>
      <c r="C16">
        <v>60258197</v>
      </c>
      <c r="D16">
        <v>59070669</v>
      </c>
      <c r="E16">
        <v>1</v>
      </c>
      <c r="F16">
        <v>1</v>
      </c>
      <c r="G16">
        <v>1080</v>
      </c>
      <c r="H16">
        <v>2</v>
      </c>
      <c r="I16" t="s">
        <v>266</v>
      </c>
      <c r="J16" t="s">
        <v>267</v>
      </c>
      <c r="K16" t="s">
        <v>268</v>
      </c>
      <c r="L16">
        <v>1368</v>
      </c>
      <c r="N16">
        <v>1011</v>
      </c>
      <c r="O16" t="s">
        <v>269</v>
      </c>
      <c r="P16" t="s">
        <v>269</v>
      </c>
      <c r="Q16">
        <v>1</v>
      </c>
      <c r="W16">
        <v>0</v>
      </c>
      <c r="X16">
        <v>-1985943078</v>
      </c>
      <c r="Y16">
        <f t="shared" si="6"/>
        <v>1.1000000000000001E-2</v>
      </c>
      <c r="AA16">
        <v>0</v>
      </c>
      <c r="AB16">
        <v>87.01</v>
      </c>
      <c r="AC16">
        <v>13.21</v>
      </c>
      <c r="AD16">
        <v>0</v>
      </c>
      <c r="AE16">
        <v>0</v>
      </c>
      <c r="AF16">
        <v>83.1</v>
      </c>
      <c r="AG16">
        <v>12.62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0.01</v>
      </c>
      <c r="AU16" t="s">
        <v>23</v>
      </c>
      <c r="AV16">
        <v>0</v>
      </c>
      <c r="AW16">
        <v>2</v>
      </c>
      <c r="AX16">
        <v>60258475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ROUND(Y16*Source!I36*DO16,9)</f>
        <v>1.5131380000000001</v>
      </c>
      <c r="CX16">
        <f>ROUND(Y16*Source!I36,9)</f>
        <v>0.11990000000000001</v>
      </c>
      <c r="CY16">
        <f>AB16</f>
        <v>87.01</v>
      </c>
      <c r="CZ16">
        <f>AF16</f>
        <v>83.1</v>
      </c>
      <c r="DA16">
        <f>AJ16</f>
        <v>1</v>
      </c>
      <c r="DB16">
        <f t="shared" si="7"/>
        <v>0.91300000000000003</v>
      </c>
      <c r="DC16">
        <f t="shared" si="8"/>
        <v>0.14299999999999999</v>
      </c>
      <c r="DD16" t="s">
        <v>3</v>
      </c>
      <c r="DE16" t="s">
        <v>3</v>
      </c>
      <c r="DF16">
        <f t="shared" si="9"/>
        <v>0</v>
      </c>
      <c r="DG16">
        <f t="shared" si="4"/>
        <v>9.9600000000000009</v>
      </c>
      <c r="DH16">
        <f t="shared" si="5"/>
        <v>1.51</v>
      </c>
      <c r="DI16">
        <f t="shared" si="3"/>
        <v>0</v>
      </c>
      <c r="DJ16">
        <f>DG16</f>
        <v>9.9600000000000009</v>
      </c>
      <c r="DK16">
        <v>0</v>
      </c>
      <c r="DL16" t="s">
        <v>270</v>
      </c>
      <c r="DM16">
        <v>0</v>
      </c>
      <c r="DN16" t="s">
        <v>265</v>
      </c>
      <c r="DO16">
        <v>12.62</v>
      </c>
    </row>
    <row r="17" spans="1:119" x14ac:dyDescent="0.2">
      <c r="A17">
        <f>ROW(Source!A36)</f>
        <v>36</v>
      </c>
      <c r="B17">
        <v>60258064</v>
      </c>
      <c r="C17">
        <v>60258197</v>
      </c>
      <c r="D17">
        <v>59070721</v>
      </c>
      <c r="E17">
        <v>1</v>
      </c>
      <c r="F17">
        <v>1</v>
      </c>
      <c r="G17">
        <v>1080</v>
      </c>
      <c r="H17">
        <v>2</v>
      </c>
      <c r="I17" t="s">
        <v>271</v>
      </c>
      <c r="J17" t="s">
        <v>272</v>
      </c>
      <c r="K17" t="s">
        <v>273</v>
      </c>
      <c r="L17">
        <v>1368</v>
      </c>
      <c r="N17">
        <v>1011</v>
      </c>
      <c r="O17" t="s">
        <v>269</v>
      </c>
      <c r="P17" t="s">
        <v>269</v>
      </c>
      <c r="Q17">
        <v>1</v>
      </c>
      <c r="W17">
        <v>0</v>
      </c>
      <c r="X17">
        <v>1387779639</v>
      </c>
      <c r="Y17">
        <f t="shared" si="6"/>
        <v>2.0570000000000004</v>
      </c>
      <c r="AA17">
        <v>0</v>
      </c>
      <c r="AB17">
        <v>0.81</v>
      </c>
      <c r="AC17">
        <v>0</v>
      </c>
      <c r="AD17">
        <v>0</v>
      </c>
      <c r="AE17">
        <v>0</v>
      </c>
      <c r="AF17">
        <v>0.77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1.87</v>
      </c>
      <c r="AU17" t="s">
        <v>23</v>
      </c>
      <c r="AV17">
        <v>0</v>
      </c>
      <c r="AW17">
        <v>2</v>
      </c>
      <c r="AX17">
        <v>60258476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ROUND(Y17*Source!I36*DO17,9)</f>
        <v>0</v>
      </c>
      <c r="CX17">
        <f>ROUND(Y17*Source!I36,9)</f>
        <v>22.421299999999999</v>
      </c>
      <c r="CY17">
        <f>AB17</f>
        <v>0.81</v>
      </c>
      <c r="CZ17">
        <f>AF17</f>
        <v>0.77</v>
      </c>
      <c r="DA17">
        <f>AJ17</f>
        <v>1</v>
      </c>
      <c r="DB17">
        <f t="shared" si="7"/>
        <v>1.5840000000000001</v>
      </c>
      <c r="DC17">
        <f t="shared" si="8"/>
        <v>0</v>
      </c>
      <c r="DD17" t="s">
        <v>3</v>
      </c>
      <c r="DE17" t="s">
        <v>3</v>
      </c>
      <c r="DF17">
        <f t="shared" si="9"/>
        <v>0</v>
      </c>
      <c r="DG17">
        <f t="shared" si="4"/>
        <v>17.260000000000002</v>
      </c>
      <c r="DH17">
        <f t="shared" si="5"/>
        <v>0</v>
      </c>
      <c r="DI17">
        <f t="shared" si="3"/>
        <v>0</v>
      </c>
      <c r="DJ17">
        <f>DG17</f>
        <v>17.260000000000002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ROW(Source!A36)</f>
        <v>36</v>
      </c>
      <c r="B18">
        <v>60258064</v>
      </c>
      <c r="C18">
        <v>60258197</v>
      </c>
      <c r="D18">
        <v>59070754</v>
      </c>
      <c r="E18">
        <v>1</v>
      </c>
      <c r="F18">
        <v>1</v>
      </c>
      <c r="G18">
        <v>1080</v>
      </c>
      <c r="H18">
        <v>2</v>
      </c>
      <c r="I18" t="s">
        <v>274</v>
      </c>
      <c r="J18" t="s">
        <v>275</v>
      </c>
      <c r="K18" t="s">
        <v>276</v>
      </c>
      <c r="L18">
        <v>1368</v>
      </c>
      <c r="N18">
        <v>1011</v>
      </c>
      <c r="O18" t="s">
        <v>269</v>
      </c>
      <c r="P18" t="s">
        <v>269</v>
      </c>
      <c r="Q18">
        <v>1</v>
      </c>
      <c r="W18">
        <v>0</v>
      </c>
      <c r="X18">
        <v>1645565003</v>
      </c>
      <c r="Y18">
        <f t="shared" si="6"/>
        <v>0.20900000000000002</v>
      </c>
      <c r="AA18">
        <v>0</v>
      </c>
      <c r="AB18">
        <v>0.49</v>
      </c>
      <c r="AC18">
        <v>0</v>
      </c>
      <c r="AD18">
        <v>0</v>
      </c>
      <c r="AE18">
        <v>0</v>
      </c>
      <c r="AF18">
        <v>0.47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0.19</v>
      </c>
      <c r="AU18" t="s">
        <v>23</v>
      </c>
      <c r="AV18">
        <v>0</v>
      </c>
      <c r="AW18">
        <v>2</v>
      </c>
      <c r="AX18">
        <v>60258477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ROUND(Y18*Source!I36*DO18,9)</f>
        <v>0</v>
      </c>
      <c r="CX18">
        <f>ROUND(Y18*Source!I36,9)</f>
        <v>2.2780999999999998</v>
      </c>
      <c r="CY18">
        <f>AB18</f>
        <v>0.49</v>
      </c>
      <c r="CZ18">
        <f>AF18</f>
        <v>0.47</v>
      </c>
      <c r="DA18">
        <f>AJ18</f>
        <v>1</v>
      </c>
      <c r="DB18">
        <f t="shared" si="7"/>
        <v>9.9000000000000005E-2</v>
      </c>
      <c r="DC18">
        <f t="shared" si="8"/>
        <v>0</v>
      </c>
      <c r="DD18" t="s">
        <v>3</v>
      </c>
      <c r="DE18" t="s">
        <v>3</v>
      </c>
      <c r="DF18">
        <f t="shared" si="9"/>
        <v>0</v>
      </c>
      <c r="DG18">
        <f t="shared" si="4"/>
        <v>1.07</v>
      </c>
      <c r="DH18">
        <f t="shared" si="5"/>
        <v>0</v>
      </c>
      <c r="DI18">
        <f t="shared" si="3"/>
        <v>0</v>
      </c>
      <c r="DJ18">
        <f>DG18</f>
        <v>1.07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ROW(Source!A36)</f>
        <v>36</v>
      </c>
      <c r="B19">
        <v>60258064</v>
      </c>
      <c r="C19">
        <v>60258197</v>
      </c>
      <c r="D19">
        <v>59039008</v>
      </c>
      <c r="E19">
        <v>1</v>
      </c>
      <c r="F19">
        <v>1</v>
      </c>
      <c r="G19">
        <v>1080</v>
      </c>
      <c r="H19">
        <v>3</v>
      </c>
      <c r="I19" t="s">
        <v>277</v>
      </c>
      <c r="J19" t="s">
        <v>278</v>
      </c>
      <c r="K19" t="s">
        <v>279</v>
      </c>
      <c r="L19">
        <v>1354</v>
      </c>
      <c r="N19">
        <v>1010</v>
      </c>
      <c r="O19" t="s">
        <v>241</v>
      </c>
      <c r="P19" t="s">
        <v>241</v>
      </c>
      <c r="Q19">
        <v>1</v>
      </c>
      <c r="W19">
        <v>0</v>
      </c>
      <c r="X19">
        <v>-40224714</v>
      </c>
      <c r="Y19">
        <f>AT19</f>
        <v>40</v>
      </c>
      <c r="AA19">
        <v>0.89</v>
      </c>
      <c r="AB19">
        <v>0</v>
      </c>
      <c r="AC19">
        <v>0</v>
      </c>
      <c r="AD19">
        <v>0</v>
      </c>
      <c r="AE19">
        <v>0.89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40</v>
      </c>
      <c r="AU19" t="s">
        <v>3</v>
      </c>
      <c r="AV19">
        <v>0</v>
      </c>
      <c r="AW19">
        <v>2</v>
      </c>
      <c r="AX19">
        <v>60258478</v>
      </c>
      <c r="AY19">
        <v>1</v>
      </c>
      <c r="AZ19">
        <v>0</v>
      </c>
      <c r="BA19">
        <v>21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ROUND(Y19*Source!I36,9)</f>
        <v>436</v>
      </c>
      <c r="CY19">
        <f>AA19</f>
        <v>0.89</v>
      </c>
      <c r="CZ19">
        <f>AE19</f>
        <v>0.89</v>
      </c>
      <c r="DA19">
        <f>AI19</f>
        <v>1</v>
      </c>
      <c r="DB19">
        <f>ROUND(ROUND(AT19*CZ19,2),6)</f>
        <v>35.6</v>
      </c>
      <c r="DC19">
        <f>ROUND(ROUND(AT19*AG19,2),6)</f>
        <v>0</v>
      </c>
      <c r="DD19" t="s">
        <v>3</v>
      </c>
      <c r="DE19" t="s">
        <v>3</v>
      </c>
      <c r="DF19">
        <f t="shared" si="9"/>
        <v>388.04</v>
      </c>
      <c r="DG19">
        <f t="shared" si="4"/>
        <v>0</v>
      </c>
      <c r="DH19">
        <f t="shared" si="5"/>
        <v>0</v>
      </c>
      <c r="DI19">
        <f t="shared" si="3"/>
        <v>0</v>
      </c>
      <c r="DJ19">
        <f>DF19</f>
        <v>388.04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ROW(Source!A36)</f>
        <v>36</v>
      </c>
      <c r="B20">
        <v>60258064</v>
      </c>
      <c r="C20">
        <v>60258197</v>
      </c>
      <c r="D20">
        <v>59041172</v>
      </c>
      <c r="E20">
        <v>1</v>
      </c>
      <c r="F20">
        <v>1</v>
      </c>
      <c r="G20">
        <v>1080</v>
      </c>
      <c r="H20">
        <v>3</v>
      </c>
      <c r="I20" t="s">
        <v>280</v>
      </c>
      <c r="J20" t="s">
        <v>281</v>
      </c>
      <c r="K20" t="s">
        <v>282</v>
      </c>
      <c r="L20">
        <v>1355</v>
      </c>
      <c r="N20">
        <v>1010</v>
      </c>
      <c r="O20" t="s">
        <v>283</v>
      </c>
      <c r="P20" t="s">
        <v>283</v>
      </c>
      <c r="Q20">
        <v>100</v>
      </c>
      <c r="W20">
        <v>0</v>
      </c>
      <c r="X20">
        <v>2052604083</v>
      </c>
      <c r="Y20">
        <f>AT20</f>
        <v>0.4</v>
      </c>
      <c r="AA20">
        <v>17.28</v>
      </c>
      <c r="AB20">
        <v>0</v>
      </c>
      <c r="AC20">
        <v>0</v>
      </c>
      <c r="AD20">
        <v>0</v>
      </c>
      <c r="AE20">
        <v>17.28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0.4</v>
      </c>
      <c r="AU20" t="s">
        <v>3</v>
      </c>
      <c r="AV20">
        <v>0</v>
      </c>
      <c r="AW20">
        <v>2</v>
      </c>
      <c r="AX20">
        <v>60258479</v>
      </c>
      <c r="AY20">
        <v>1</v>
      </c>
      <c r="AZ20">
        <v>0</v>
      </c>
      <c r="BA20">
        <v>22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ROUND(Y20*Source!I36,9)</f>
        <v>4.3600000000000003</v>
      </c>
      <c r="CY20">
        <f>AA20</f>
        <v>17.28</v>
      </c>
      <c r="CZ20">
        <f>AE20</f>
        <v>17.28</v>
      </c>
      <c r="DA20">
        <f>AI20</f>
        <v>1</v>
      </c>
      <c r="DB20">
        <f>ROUND(ROUND(AT20*CZ20,2),6)</f>
        <v>6.91</v>
      </c>
      <c r="DC20">
        <f>ROUND(ROUND(AT20*AG20,2),6)</f>
        <v>0</v>
      </c>
      <c r="DD20" t="s">
        <v>3</v>
      </c>
      <c r="DE20" t="s">
        <v>3</v>
      </c>
      <c r="DF20">
        <f t="shared" si="9"/>
        <v>75.34</v>
      </c>
      <c r="DG20">
        <f t="shared" si="4"/>
        <v>0</v>
      </c>
      <c r="DH20">
        <f t="shared" si="5"/>
        <v>0</v>
      </c>
      <c r="DI20">
        <f t="shared" si="3"/>
        <v>0</v>
      </c>
      <c r="DJ20">
        <f>DF20</f>
        <v>75.34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ROW(Source!A37)</f>
        <v>37</v>
      </c>
      <c r="B21">
        <v>60258061</v>
      </c>
      <c r="C21">
        <v>60258197</v>
      </c>
      <c r="D21">
        <v>58999254</v>
      </c>
      <c r="E21">
        <v>1080</v>
      </c>
      <c r="F21">
        <v>1</v>
      </c>
      <c r="G21">
        <v>1080</v>
      </c>
      <c r="H21">
        <v>1</v>
      </c>
      <c r="I21" t="s">
        <v>263</v>
      </c>
      <c r="J21" t="s">
        <v>3</v>
      </c>
      <c r="K21" t="s">
        <v>264</v>
      </c>
      <c r="L21">
        <v>1191</v>
      </c>
      <c r="N21">
        <v>1013</v>
      </c>
      <c r="O21" t="s">
        <v>265</v>
      </c>
      <c r="P21" t="s">
        <v>265</v>
      </c>
      <c r="Q21">
        <v>1</v>
      </c>
      <c r="W21">
        <v>0</v>
      </c>
      <c r="X21">
        <v>476480486</v>
      </c>
      <c r="Y21">
        <f>(AT21*1.1)</f>
        <v>27.863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5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25.33</v>
      </c>
      <c r="AU21" t="s">
        <v>23</v>
      </c>
      <c r="AV21">
        <v>1</v>
      </c>
      <c r="AW21">
        <v>2</v>
      </c>
      <c r="AX21">
        <v>60258474</v>
      </c>
      <c r="AY21">
        <v>1</v>
      </c>
      <c r="AZ21">
        <v>0</v>
      </c>
      <c r="BA21">
        <v>24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ROUND(AT21*Source!I37*AH21*AL21,2)</f>
        <v>0</v>
      </c>
      <c r="CV21">
        <f>ROUND(Y21*Source!I37,9)</f>
        <v>303.70670000000001</v>
      </c>
      <c r="CW21">
        <v>0</v>
      </c>
      <c r="CX21">
        <f>ROUND(Y21*Source!I37,9)</f>
        <v>303.70670000000001</v>
      </c>
      <c r="CY21">
        <f>AD21</f>
        <v>0</v>
      </c>
      <c r="CZ21">
        <f>AH21</f>
        <v>0</v>
      </c>
      <c r="DA21">
        <f>AL21</f>
        <v>1</v>
      </c>
      <c r="DB21">
        <f>ROUND((ROUND(AT21*CZ21,2)*1.1),6)</f>
        <v>0</v>
      </c>
      <c r="DC21">
        <f>ROUND((ROUND(AT21*AG21,2)*1.1),6)</f>
        <v>0</v>
      </c>
      <c r="DD21" t="s">
        <v>3</v>
      </c>
      <c r="DE21" t="s">
        <v>3</v>
      </c>
      <c r="DF21">
        <f t="shared" si="9"/>
        <v>0</v>
      </c>
      <c r="DG21">
        <f t="shared" si="4"/>
        <v>0</v>
      </c>
      <c r="DH21">
        <f t="shared" si="5"/>
        <v>0</v>
      </c>
      <c r="DI21">
        <f t="shared" si="3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ROW(Source!A37)</f>
        <v>37</v>
      </c>
      <c r="B22">
        <v>60258061</v>
      </c>
      <c r="C22">
        <v>60258197</v>
      </c>
      <c r="D22">
        <v>59070669</v>
      </c>
      <c r="E22">
        <v>1</v>
      </c>
      <c r="F22">
        <v>1</v>
      </c>
      <c r="G22">
        <v>1080</v>
      </c>
      <c r="H22">
        <v>2</v>
      </c>
      <c r="I22" t="s">
        <v>266</v>
      </c>
      <c r="J22" t="s">
        <v>267</v>
      </c>
      <c r="K22" t="s">
        <v>268</v>
      </c>
      <c r="L22">
        <v>1368</v>
      </c>
      <c r="N22">
        <v>1011</v>
      </c>
      <c r="O22" t="s">
        <v>269</v>
      </c>
      <c r="P22" t="s">
        <v>269</v>
      </c>
      <c r="Q22">
        <v>1</v>
      </c>
      <c r="W22">
        <v>0</v>
      </c>
      <c r="X22">
        <v>-1985943078</v>
      </c>
      <c r="Y22">
        <f>(AT22*1.1)</f>
        <v>1.1000000000000001E-2</v>
      </c>
      <c r="AA22">
        <v>0</v>
      </c>
      <c r="AB22">
        <v>1418.19</v>
      </c>
      <c r="AC22">
        <v>726.59</v>
      </c>
      <c r="AD22">
        <v>0</v>
      </c>
      <c r="AE22">
        <v>0</v>
      </c>
      <c r="AF22">
        <v>83.1</v>
      </c>
      <c r="AG22">
        <v>12.62</v>
      </c>
      <c r="AH22">
        <v>0</v>
      </c>
      <c r="AI22">
        <v>1</v>
      </c>
      <c r="AJ22">
        <v>16.3</v>
      </c>
      <c r="AK22">
        <v>54.99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0.01</v>
      </c>
      <c r="AU22" t="s">
        <v>23</v>
      </c>
      <c r="AV22">
        <v>0</v>
      </c>
      <c r="AW22">
        <v>2</v>
      </c>
      <c r="AX22">
        <v>60258475</v>
      </c>
      <c r="AY22">
        <v>1</v>
      </c>
      <c r="AZ22">
        <v>0</v>
      </c>
      <c r="BA22">
        <v>25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ROUND(Y22*Source!I37*DO22,9)</f>
        <v>1.5131380000000001</v>
      </c>
      <c r="CX22">
        <f>ROUND(Y22*Source!I37,9)</f>
        <v>0.11990000000000001</v>
      </c>
      <c r="CY22">
        <f>AB22</f>
        <v>1418.19</v>
      </c>
      <c r="CZ22">
        <f>AF22</f>
        <v>83.1</v>
      </c>
      <c r="DA22">
        <f>AJ22</f>
        <v>16.3</v>
      </c>
      <c r="DB22">
        <f>ROUND((ROUND(AT22*CZ22,2)*1.1),6)</f>
        <v>0.91300000000000003</v>
      </c>
      <c r="DC22">
        <f>ROUND((ROUND(AT22*AG22,2)*1.1),6)</f>
        <v>0.14299999999999999</v>
      </c>
      <c r="DD22" t="s">
        <v>3</v>
      </c>
      <c r="DE22" t="s">
        <v>3</v>
      </c>
      <c r="DF22">
        <f t="shared" si="9"/>
        <v>0</v>
      </c>
      <c r="DG22">
        <f>ROUND(ROUND(AF22*AJ22,2)*CX22,2)</f>
        <v>162.41</v>
      </c>
      <c r="DH22">
        <f>ROUND(ROUND(AG22*AK22,2)*CX22,2)</f>
        <v>83.21</v>
      </c>
      <c r="DI22">
        <f t="shared" si="3"/>
        <v>0</v>
      </c>
      <c r="DJ22">
        <f>DG22</f>
        <v>162.41</v>
      </c>
      <c r="DK22">
        <v>0</v>
      </c>
      <c r="DL22" t="s">
        <v>270</v>
      </c>
      <c r="DM22">
        <v>0</v>
      </c>
      <c r="DN22" t="s">
        <v>265</v>
      </c>
      <c r="DO22">
        <v>12.62</v>
      </c>
    </row>
    <row r="23" spans="1:119" x14ac:dyDescent="0.2">
      <c r="A23">
        <f>ROW(Source!A37)</f>
        <v>37</v>
      </c>
      <c r="B23">
        <v>60258061</v>
      </c>
      <c r="C23">
        <v>60258197</v>
      </c>
      <c r="D23">
        <v>59070721</v>
      </c>
      <c r="E23">
        <v>1</v>
      </c>
      <c r="F23">
        <v>1</v>
      </c>
      <c r="G23">
        <v>1080</v>
      </c>
      <c r="H23">
        <v>2</v>
      </c>
      <c r="I23" t="s">
        <v>271</v>
      </c>
      <c r="J23" t="s">
        <v>272</v>
      </c>
      <c r="K23" t="s">
        <v>273</v>
      </c>
      <c r="L23">
        <v>1368</v>
      </c>
      <c r="N23">
        <v>1011</v>
      </c>
      <c r="O23" t="s">
        <v>269</v>
      </c>
      <c r="P23" t="s">
        <v>269</v>
      </c>
      <c r="Q23">
        <v>1</v>
      </c>
      <c r="W23">
        <v>0</v>
      </c>
      <c r="X23">
        <v>1387779639</v>
      </c>
      <c r="Y23">
        <f>(AT23*1.1)</f>
        <v>2.0570000000000004</v>
      </c>
      <c r="AA23">
        <v>0</v>
      </c>
      <c r="AB23">
        <v>6.98</v>
      </c>
      <c r="AC23">
        <v>0</v>
      </c>
      <c r="AD23">
        <v>0</v>
      </c>
      <c r="AE23">
        <v>0</v>
      </c>
      <c r="AF23">
        <v>0.77</v>
      </c>
      <c r="AG23">
        <v>0</v>
      </c>
      <c r="AH23">
        <v>0</v>
      </c>
      <c r="AI23">
        <v>1</v>
      </c>
      <c r="AJ23">
        <v>8.66</v>
      </c>
      <c r="AK23">
        <v>54.99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1.87</v>
      </c>
      <c r="AU23" t="s">
        <v>23</v>
      </c>
      <c r="AV23">
        <v>0</v>
      </c>
      <c r="AW23">
        <v>2</v>
      </c>
      <c r="AX23">
        <v>60258476</v>
      </c>
      <c r="AY23">
        <v>1</v>
      </c>
      <c r="AZ23">
        <v>0</v>
      </c>
      <c r="BA23">
        <v>26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ROUND(Y23*Source!I37*DO23,9)</f>
        <v>0</v>
      </c>
      <c r="CX23">
        <f>ROUND(Y23*Source!I37,9)</f>
        <v>22.421299999999999</v>
      </c>
      <c r="CY23">
        <f>AB23</f>
        <v>6.98</v>
      </c>
      <c r="CZ23">
        <f>AF23</f>
        <v>0.77</v>
      </c>
      <c r="DA23">
        <f>AJ23</f>
        <v>8.66</v>
      </c>
      <c r="DB23">
        <f>ROUND((ROUND(AT23*CZ23,2)*1.1),6)</f>
        <v>1.5840000000000001</v>
      </c>
      <c r="DC23">
        <f>ROUND((ROUND(AT23*AG23,2)*1.1),6)</f>
        <v>0</v>
      </c>
      <c r="DD23" t="s">
        <v>3</v>
      </c>
      <c r="DE23" t="s">
        <v>3</v>
      </c>
      <c r="DF23">
        <f t="shared" si="9"/>
        <v>0</v>
      </c>
      <c r="DG23">
        <f>ROUND(ROUND(AF23*AJ23,2)*CX23,2)</f>
        <v>149.55000000000001</v>
      </c>
      <c r="DH23">
        <f>ROUND(ROUND(AG23*AK23,2)*CX23,2)</f>
        <v>0</v>
      </c>
      <c r="DI23">
        <f t="shared" si="3"/>
        <v>0</v>
      </c>
      <c r="DJ23">
        <f>DG23</f>
        <v>149.55000000000001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ROW(Source!A37)</f>
        <v>37</v>
      </c>
      <c r="B24">
        <v>60258061</v>
      </c>
      <c r="C24">
        <v>60258197</v>
      </c>
      <c r="D24">
        <v>59070754</v>
      </c>
      <c r="E24">
        <v>1</v>
      </c>
      <c r="F24">
        <v>1</v>
      </c>
      <c r="G24">
        <v>1080</v>
      </c>
      <c r="H24">
        <v>2</v>
      </c>
      <c r="I24" t="s">
        <v>274</v>
      </c>
      <c r="J24" t="s">
        <v>275</v>
      </c>
      <c r="K24" t="s">
        <v>276</v>
      </c>
      <c r="L24">
        <v>1368</v>
      </c>
      <c r="N24">
        <v>1011</v>
      </c>
      <c r="O24" t="s">
        <v>269</v>
      </c>
      <c r="P24" t="s">
        <v>269</v>
      </c>
      <c r="Q24">
        <v>1</v>
      </c>
      <c r="W24">
        <v>0</v>
      </c>
      <c r="X24">
        <v>1645565003</v>
      </c>
      <c r="Y24">
        <f>(AT24*1.1)</f>
        <v>0.20900000000000002</v>
      </c>
      <c r="AA24">
        <v>0</v>
      </c>
      <c r="AB24">
        <v>4.3</v>
      </c>
      <c r="AC24">
        <v>0</v>
      </c>
      <c r="AD24">
        <v>0</v>
      </c>
      <c r="AE24">
        <v>0</v>
      </c>
      <c r="AF24">
        <v>0.47</v>
      </c>
      <c r="AG24">
        <v>0</v>
      </c>
      <c r="AH24">
        <v>0</v>
      </c>
      <c r="AI24">
        <v>1</v>
      </c>
      <c r="AJ24">
        <v>8.74</v>
      </c>
      <c r="AK24">
        <v>54.99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0.19</v>
      </c>
      <c r="AU24" t="s">
        <v>23</v>
      </c>
      <c r="AV24">
        <v>0</v>
      </c>
      <c r="AW24">
        <v>2</v>
      </c>
      <c r="AX24">
        <v>60258477</v>
      </c>
      <c r="AY24">
        <v>1</v>
      </c>
      <c r="AZ24">
        <v>0</v>
      </c>
      <c r="BA24">
        <v>27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ROUND(Y24*Source!I37*DO24,9)</f>
        <v>0</v>
      </c>
      <c r="CX24">
        <f>ROUND(Y24*Source!I37,9)</f>
        <v>2.2780999999999998</v>
      </c>
      <c r="CY24">
        <f>AB24</f>
        <v>4.3</v>
      </c>
      <c r="CZ24">
        <f>AF24</f>
        <v>0.47</v>
      </c>
      <c r="DA24">
        <f>AJ24</f>
        <v>8.74</v>
      </c>
      <c r="DB24">
        <f>ROUND((ROUND(AT24*CZ24,2)*1.1),6)</f>
        <v>9.9000000000000005E-2</v>
      </c>
      <c r="DC24">
        <f>ROUND((ROUND(AT24*AG24,2)*1.1),6)</f>
        <v>0</v>
      </c>
      <c r="DD24" t="s">
        <v>3</v>
      </c>
      <c r="DE24" t="s">
        <v>3</v>
      </c>
      <c r="DF24">
        <f t="shared" si="9"/>
        <v>0</v>
      </c>
      <c r="DG24">
        <f>ROUND(ROUND(AF24*AJ24,2)*CX24,2)</f>
        <v>9.36</v>
      </c>
      <c r="DH24">
        <f>ROUND(ROUND(AG24*AK24,2)*CX24,2)</f>
        <v>0</v>
      </c>
      <c r="DI24">
        <f t="shared" si="3"/>
        <v>0</v>
      </c>
      <c r="DJ24">
        <f>DG24</f>
        <v>9.36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ROW(Source!A37)</f>
        <v>37</v>
      </c>
      <c r="B25">
        <v>60258061</v>
      </c>
      <c r="C25">
        <v>60258197</v>
      </c>
      <c r="D25">
        <v>59039008</v>
      </c>
      <c r="E25">
        <v>1</v>
      </c>
      <c r="F25">
        <v>1</v>
      </c>
      <c r="G25">
        <v>1080</v>
      </c>
      <c r="H25">
        <v>3</v>
      </c>
      <c r="I25" t="s">
        <v>277</v>
      </c>
      <c r="J25" t="s">
        <v>278</v>
      </c>
      <c r="K25" t="s">
        <v>279</v>
      </c>
      <c r="L25">
        <v>1354</v>
      </c>
      <c r="N25">
        <v>1010</v>
      </c>
      <c r="O25" t="s">
        <v>241</v>
      </c>
      <c r="P25" t="s">
        <v>241</v>
      </c>
      <c r="Q25">
        <v>1</v>
      </c>
      <c r="W25">
        <v>0</v>
      </c>
      <c r="X25">
        <v>-40224714</v>
      </c>
      <c r="Y25">
        <f>AT25</f>
        <v>40</v>
      </c>
      <c r="AA25">
        <v>0.8</v>
      </c>
      <c r="AB25">
        <v>0</v>
      </c>
      <c r="AC25">
        <v>0</v>
      </c>
      <c r="AD25">
        <v>0</v>
      </c>
      <c r="AE25">
        <v>0.89</v>
      </c>
      <c r="AF25">
        <v>0</v>
      </c>
      <c r="AG25">
        <v>0</v>
      </c>
      <c r="AH25">
        <v>0</v>
      </c>
      <c r="AI25">
        <v>0.9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40</v>
      </c>
      <c r="AU25" t="s">
        <v>3</v>
      </c>
      <c r="AV25">
        <v>0</v>
      </c>
      <c r="AW25">
        <v>2</v>
      </c>
      <c r="AX25">
        <v>60258478</v>
      </c>
      <c r="AY25">
        <v>1</v>
      </c>
      <c r="AZ25">
        <v>0</v>
      </c>
      <c r="BA25">
        <v>28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ROUND(Y25*Source!I37,9)</f>
        <v>436</v>
      </c>
      <c r="CY25">
        <f>AA25</f>
        <v>0.8</v>
      </c>
      <c r="CZ25">
        <f>AE25</f>
        <v>0.89</v>
      </c>
      <c r="DA25">
        <f>AI25</f>
        <v>0.9</v>
      </c>
      <c r="DB25">
        <f>ROUND(ROUND(AT25*CZ25,2),6)</f>
        <v>35.6</v>
      </c>
      <c r="DC25">
        <f>ROUND(ROUND(AT25*AG25,2),6)</f>
        <v>0</v>
      </c>
      <c r="DD25" t="s">
        <v>3</v>
      </c>
      <c r="DE25" t="s">
        <v>3</v>
      </c>
      <c r="DF25">
        <f>ROUND(ROUND(AE25*AI25,2)*CX25,2)</f>
        <v>348.8</v>
      </c>
      <c r="DG25">
        <f t="shared" ref="DG25:DG41" si="10">ROUND(ROUND(AF25,2)*CX25,2)</f>
        <v>0</v>
      </c>
      <c r="DH25">
        <f t="shared" ref="DH25:DH41" si="11">ROUND(ROUND(AG25,2)*CX25,2)</f>
        <v>0</v>
      </c>
      <c r="DI25">
        <f t="shared" si="3"/>
        <v>0</v>
      </c>
      <c r="DJ25">
        <f>DF25</f>
        <v>348.8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ROW(Source!A37)</f>
        <v>37</v>
      </c>
      <c r="B26">
        <v>60258061</v>
      </c>
      <c r="C26">
        <v>60258197</v>
      </c>
      <c r="D26">
        <v>59041172</v>
      </c>
      <c r="E26">
        <v>1</v>
      </c>
      <c r="F26">
        <v>1</v>
      </c>
      <c r="G26">
        <v>1080</v>
      </c>
      <c r="H26">
        <v>3</v>
      </c>
      <c r="I26" t="s">
        <v>280</v>
      </c>
      <c r="J26" t="s">
        <v>281</v>
      </c>
      <c r="K26" t="s">
        <v>282</v>
      </c>
      <c r="L26">
        <v>1355</v>
      </c>
      <c r="N26">
        <v>1010</v>
      </c>
      <c r="O26" t="s">
        <v>283</v>
      </c>
      <c r="P26" t="s">
        <v>283</v>
      </c>
      <c r="Q26">
        <v>100</v>
      </c>
      <c r="W26">
        <v>0</v>
      </c>
      <c r="X26">
        <v>2052604083</v>
      </c>
      <c r="Y26">
        <f>AT26</f>
        <v>0.4</v>
      </c>
      <c r="AA26">
        <v>125.28</v>
      </c>
      <c r="AB26">
        <v>0</v>
      </c>
      <c r="AC26">
        <v>0</v>
      </c>
      <c r="AD26">
        <v>0</v>
      </c>
      <c r="AE26">
        <v>17.28</v>
      </c>
      <c r="AF26">
        <v>0</v>
      </c>
      <c r="AG26">
        <v>0</v>
      </c>
      <c r="AH26">
        <v>0</v>
      </c>
      <c r="AI26">
        <v>7.25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0.4</v>
      </c>
      <c r="AU26" t="s">
        <v>3</v>
      </c>
      <c r="AV26">
        <v>0</v>
      </c>
      <c r="AW26">
        <v>2</v>
      </c>
      <c r="AX26">
        <v>60258479</v>
      </c>
      <c r="AY26">
        <v>1</v>
      </c>
      <c r="AZ26">
        <v>0</v>
      </c>
      <c r="BA26">
        <v>29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ROUND(Y26*Source!I37,9)</f>
        <v>4.3600000000000003</v>
      </c>
      <c r="CY26">
        <f>AA26</f>
        <v>125.28</v>
      </c>
      <c r="CZ26">
        <f>AE26</f>
        <v>17.28</v>
      </c>
      <c r="DA26">
        <f>AI26</f>
        <v>7.25</v>
      </c>
      <c r="DB26">
        <f>ROUND(ROUND(AT26*CZ26,2),6)</f>
        <v>6.91</v>
      </c>
      <c r="DC26">
        <f>ROUND(ROUND(AT26*AG26,2),6)</f>
        <v>0</v>
      </c>
      <c r="DD26" t="s">
        <v>3</v>
      </c>
      <c r="DE26" t="s">
        <v>3</v>
      </c>
      <c r="DF26">
        <f>ROUND(ROUND(AE26*AI26,2)*CX26,2)</f>
        <v>546.22</v>
      </c>
      <c r="DG26">
        <f t="shared" si="10"/>
        <v>0</v>
      </c>
      <c r="DH26">
        <f t="shared" si="11"/>
        <v>0</v>
      </c>
      <c r="DI26">
        <f t="shared" si="3"/>
        <v>0</v>
      </c>
      <c r="DJ26">
        <f>DF26</f>
        <v>546.22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ROW(Source!A40)</f>
        <v>40</v>
      </c>
      <c r="B27">
        <v>60258064</v>
      </c>
      <c r="C27">
        <v>60258212</v>
      </c>
      <c r="D27">
        <v>58999254</v>
      </c>
      <c r="E27">
        <v>1080</v>
      </c>
      <c r="F27">
        <v>1</v>
      </c>
      <c r="G27">
        <v>1080</v>
      </c>
      <c r="H27">
        <v>1</v>
      </c>
      <c r="I27" t="s">
        <v>263</v>
      </c>
      <c r="J27" t="s">
        <v>3</v>
      </c>
      <c r="K27" t="s">
        <v>264</v>
      </c>
      <c r="L27">
        <v>1191</v>
      </c>
      <c r="N27">
        <v>1013</v>
      </c>
      <c r="O27" t="s">
        <v>265</v>
      </c>
      <c r="P27" t="s">
        <v>265</v>
      </c>
      <c r="Q27">
        <v>1</v>
      </c>
      <c r="W27">
        <v>0</v>
      </c>
      <c r="X27">
        <v>476480486</v>
      </c>
      <c r="Y27">
        <f>(AT27*1.1)</f>
        <v>8.8000000000000007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8</v>
      </c>
      <c r="AU27" t="s">
        <v>23</v>
      </c>
      <c r="AV27">
        <v>1</v>
      </c>
      <c r="AW27">
        <v>2</v>
      </c>
      <c r="AX27">
        <v>60258481</v>
      </c>
      <c r="AY27">
        <v>1</v>
      </c>
      <c r="AZ27">
        <v>0</v>
      </c>
      <c r="BA27">
        <v>31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ROUND(AT27*Source!I40*AH27*AL27,2)</f>
        <v>0</v>
      </c>
      <c r="CV27">
        <f>ROUND(Y27*Source!I40,9)</f>
        <v>8.8000000000000007</v>
      </c>
      <c r="CW27">
        <v>0</v>
      </c>
      <c r="CX27">
        <f>ROUND(Y27*Source!I40,9)</f>
        <v>8.8000000000000007</v>
      </c>
      <c r="CY27">
        <f>AD27</f>
        <v>0</v>
      </c>
      <c r="CZ27">
        <f>AH27</f>
        <v>0</v>
      </c>
      <c r="DA27">
        <f>AL27</f>
        <v>1</v>
      </c>
      <c r="DB27">
        <f>ROUND((ROUND(AT27*CZ27,2)*1.1),6)</f>
        <v>0</v>
      </c>
      <c r="DC27">
        <f>ROUND((ROUND(AT27*AG27,2)*1.1),6)</f>
        <v>0</v>
      </c>
      <c r="DD27" t="s">
        <v>3</v>
      </c>
      <c r="DE27" t="s">
        <v>3</v>
      </c>
      <c r="DF27">
        <f t="shared" ref="DF27:DF32" si="12">ROUND(ROUND(AE27,2)*CX27,2)</f>
        <v>0</v>
      </c>
      <c r="DG27">
        <f t="shared" si="10"/>
        <v>0</v>
      </c>
      <c r="DH27">
        <f t="shared" si="11"/>
        <v>0</v>
      </c>
      <c r="DI27">
        <f t="shared" si="3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ROW(Source!A40)</f>
        <v>40</v>
      </c>
      <c r="B28">
        <v>60258064</v>
      </c>
      <c r="C28">
        <v>60258212</v>
      </c>
      <c r="D28">
        <v>59039461</v>
      </c>
      <c r="E28">
        <v>1</v>
      </c>
      <c r="F28">
        <v>1</v>
      </c>
      <c r="G28">
        <v>1080</v>
      </c>
      <c r="H28">
        <v>3</v>
      </c>
      <c r="I28" t="s">
        <v>284</v>
      </c>
      <c r="J28" t="s">
        <v>285</v>
      </c>
      <c r="K28" t="s">
        <v>286</v>
      </c>
      <c r="L28">
        <v>1348</v>
      </c>
      <c r="N28">
        <v>1009</v>
      </c>
      <c r="O28" t="s">
        <v>287</v>
      </c>
      <c r="P28" t="s">
        <v>287</v>
      </c>
      <c r="Q28">
        <v>1000</v>
      </c>
      <c r="W28">
        <v>0</v>
      </c>
      <c r="X28">
        <v>-108669029</v>
      </c>
      <c r="Y28">
        <f>AT28</f>
        <v>1.0000000000000001E-5</v>
      </c>
      <c r="AA28">
        <v>60960.43</v>
      </c>
      <c r="AB28">
        <v>0</v>
      </c>
      <c r="AC28">
        <v>0</v>
      </c>
      <c r="AD28">
        <v>0</v>
      </c>
      <c r="AE28">
        <v>60960.43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1.0000000000000001E-5</v>
      </c>
      <c r="AU28" t="s">
        <v>3</v>
      </c>
      <c r="AV28">
        <v>0</v>
      </c>
      <c r="AW28">
        <v>2</v>
      </c>
      <c r="AX28">
        <v>60258482</v>
      </c>
      <c r="AY28">
        <v>1</v>
      </c>
      <c r="AZ28">
        <v>0</v>
      </c>
      <c r="BA28">
        <v>32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ROUND(Y28*Source!I40,9)</f>
        <v>1.0000000000000001E-5</v>
      </c>
      <c r="CY28">
        <f>AA28</f>
        <v>60960.43</v>
      </c>
      <c r="CZ28">
        <f>AE28</f>
        <v>60960.43</v>
      </c>
      <c r="DA28">
        <f>AI28</f>
        <v>1</v>
      </c>
      <c r="DB28">
        <f>ROUND(ROUND(AT28*CZ28,2),6)</f>
        <v>0.61</v>
      </c>
      <c r="DC28">
        <f>ROUND(ROUND(AT28*AG28,2),6)</f>
        <v>0</v>
      </c>
      <c r="DD28" t="s">
        <v>3</v>
      </c>
      <c r="DE28" t="s">
        <v>3</v>
      </c>
      <c r="DF28">
        <f t="shared" si="12"/>
        <v>0.61</v>
      </c>
      <c r="DG28">
        <f t="shared" si="10"/>
        <v>0</v>
      </c>
      <c r="DH28">
        <f t="shared" si="11"/>
        <v>0</v>
      </c>
      <c r="DI28">
        <f t="shared" si="3"/>
        <v>0</v>
      </c>
      <c r="DJ28">
        <f>DF28</f>
        <v>0.61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ROW(Source!A40)</f>
        <v>40</v>
      </c>
      <c r="B29">
        <v>60258064</v>
      </c>
      <c r="C29">
        <v>60258212</v>
      </c>
      <c r="D29">
        <v>59045949</v>
      </c>
      <c r="E29">
        <v>1</v>
      </c>
      <c r="F29">
        <v>1</v>
      </c>
      <c r="G29">
        <v>1080</v>
      </c>
      <c r="H29">
        <v>3</v>
      </c>
      <c r="I29" t="s">
        <v>288</v>
      </c>
      <c r="J29" t="s">
        <v>289</v>
      </c>
      <c r="K29" t="s">
        <v>290</v>
      </c>
      <c r="L29">
        <v>1349</v>
      </c>
      <c r="N29">
        <v>1009</v>
      </c>
      <c r="O29" t="s">
        <v>291</v>
      </c>
      <c r="P29" t="s">
        <v>291</v>
      </c>
      <c r="Q29">
        <v>1E-3</v>
      </c>
      <c r="W29">
        <v>0</v>
      </c>
      <c r="X29">
        <v>-2034308505</v>
      </c>
      <c r="Y29">
        <f>AT29</f>
        <v>0.5</v>
      </c>
      <c r="AA29">
        <v>7.0000000000000007E-2</v>
      </c>
      <c r="AB29">
        <v>0</v>
      </c>
      <c r="AC29">
        <v>0</v>
      </c>
      <c r="AD29">
        <v>0</v>
      </c>
      <c r="AE29">
        <v>7.0000000000000007E-2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0.5</v>
      </c>
      <c r="AU29" t="s">
        <v>3</v>
      </c>
      <c r="AV29">
        <v>0</v>
      </c>
      <c r="AW29">
        <v>2</v>
      </c>
      <c r="AX29">
        <v>60258483</v>
      </c>
      <c r="AY29">
        <v>1</v>
      </c>
      <c r="AZ29">
        <v>0</v>
      </c>
      <c r="BA29">
        <v>33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ROUND(Y29*Source!I40,9)</f>
        <v>0.5</v>
      </c>
      <c r="CY29">
        <f>AA29</f>
        <v>7.0000000000000007E-2</v>
      </c>
      <c r="CZ29">
        <f>AE29</f>
        <v>7.0000000000000007E-2</v>
      </c>
      <c r="DA29">
        <f>AI29</f>
        <v>1</v>
      </c>
      <c r="DB29">
        <f>ROUND(ROUND(AT29*CZ29,2),6)</f>
        <v>0.04</v>
      </c>
      <c r="DC29">
        <f>ROUND(ROUND(AT29*AG29,2),6)</f>
        <v>0</v>
      </c>
      <c r="DD29" t="s">
        <v>3</v>
      </c>
      <c r="DE29" t="s">
        <v>3</v>
      </c>
      <c r="DF29">
        <f t="shared" si="12"/>
        <v>0.04</v>
      </c>
      <c r="DG29">
        <f t="shared" si="10"/>
        <v>0</v>
      </c>
      <c r="DH29">
        <f t="shared" si="11"/>
        <v>0</v>
      </c>
      <c r="DI29">
        <f t="shared" si="3"/>
        <v>0</v>
      </c>
      <c r="DJ29">
        <f>DF29</f>
        <v>0.04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ROW(Source!A40)</f>
        <v>40</v>
      </c>
      <c r="B30">
        <v>60258064</v>
      </c>
      <c r="C30">
        <v>60258212</v>
      </c>
      <c r="D30">
        <v>59062734</v>
      </c>
      <c r="E30">
        <v>1</v>
      </c>
      <c r="F30">
        <v>1</v>
      </c>
      <c r="G30">
        <v>1080</v>
      </c>
      <c r="H30">
        <v>3</v>
      </c>
      <c r="I30" t="s">
        <v>292</v>
      </c>
      <c r="J30" t="s">
        <v>293</v>
      </c>
      <c r="K30" t="s">
        <v>294</v>
      </c>
      <c r="L30">
        <v>1356</v>
      </c>
      <c r="N30">
        <v>1010</v>
      </c>
      <c r="O30" t="s">
        <v>295</v>
      </c>
      <c r="P30" t="s">
        <v>295</v>
      </c>
      <c r="Q30">
        <v>1000</v>
      </c>
      <c r="W30">
        <v>0</v>
      </c>
      <c r="X30">
        <v>-1221558404</v>
      </c>
      <c r="Y30">
        <f>AT30</f>
        <v>2E-3</v>
      </c>
      <c r="AA30">
        <v>226.66</v>
      </c>
      <c r="AB30">
        <v>0</v>
      </c>
      <c r="AC30">
        <v>0</v>
      </c>
      <c r="AD30">
        <v>0</v>
      </c>
      <c r="AE30">
        <v>226.66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2E-3</v>
      </c>
      <c r="AU30" t="s">
        <v>3</v>
      </c>
      <c r="AV30">
        <v>0</v>
      </c>
      <c r="AW30">
        <v>2</v>
      </c>
      <c r="AX30">
        <v>60258484</v>
      </c>
      <c r="AY30">
        <v>1</v>
      </c>
      <c r="AZ30">
        <v>0</v>
      </c>
      <c r="BA30">
        <v>34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ROUND(Y30*Source!I40,9)</f>
        <v>2E-3</v>
      </c>
      <c r="CY30">
        <f>AA30</f>
        <v>226.66</v>
      </c>
      <c r="CZ30">
        <f>AE30</f>
        <v>226.66</v>
      </c>
      <c r="DA30">
        <f>AI30</f>
        <v>1</v>
      </c>
      <c r="DB30">
        <f>ROUND(ROUND(AT30*CZ30,2),6)</f>
        <v>0.45</v>
      </c>
      <c r="DC30">
        <f>ROUND(ROUND(AT30*AG30,2),6)</f>
        <v>0</v>
      </c>
      <c r="DD30" t="s">
        <v>3</v>
      </c>
      <c r="DE30" t="s">
        <v>3</v>
      </c>
      <c r="DF30">
        <f t="shared" si="12"/>
        <v>0.45</v>
      </c>
      <c r="DG30">
        <f t="shared" si="10"/>
        <v>0</v>
      </c>
      <c r="DH30">
        <f t="shared" si="11"/>
        <v>0</v>
      </c>
      <c r="DI30">
        <f t="shared" si="3"/>
        <v>0</v>
      </c>
      <c r="DJ30">
        <f>DF30</f>
        <v>0.45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ROW(Source!A40)</f>
        <v>40</v>
      </c>
      <c r="B31">
        <v>60258064</v>
      </c>
      <c r="C31">
        <v>60258212</v>
      </c>
      <c r="D31">
        <v>59004256</v>
      </c>
      <c r="E31">
        <v>1080</v>
      </c>
      <c r="F31">
        <v>1</v>
      </c>
      <c r="G31">
        <v>1080</v>
      </c>
      <c r="H31">
        <v>3</v>
      </c>
      <c r="I31" t="s">
        <v>296</v>
      </c>
      <c r="J31" t="s">
        <v>3</v>
      </c>
      <c r="K31" t="s">
        <v>297</v>
      </c>
      <c r="L31">
        <v>1348</v>
      </c>
      <c r="N31">
        <v>1009</v>
      </c>
      <c r="O31" t="s">
        <v>287</v>
      </c>
      <c r="P31" t="s">
        <v>287</v>
      </c>
      <c r="Q31">
        <v>1000</v>
      </c>
      <c r="W31">
        <v>0</v>
      </c>
      <c r="X31">
        <v>-783086922</v>
      </c>
      <c r="Y31">
        <f>AT31</f>
        <v>3.4000000000000002E-2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3.4000000000000002E-2</v>
      </c>
      <c r="AU31" t="s">
        <v>3</v>
      </c>
      <c r="AV31">
        <v>0</v>
      </c>
      <c r="AW31">
        <v>2</v>
      </c>
      <c r="AX31">
        <v>60258487</v>
      </c>
      <c r="AY31">
        <v>1</v>
      </c>
      <c r="AZ31">
        <v>0</v>
      </c>
      <c r="BA31">
        <v>37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ROUND(Y31*Source!I40,9)</f>
        <v>3.4000000000000002E-2</v>
      </c>
      <c r="CY31">
        <f>AA31</f>
        <v>0</v>
      </c>
      <c r="CZ31">
        <f>AE31</f>
        <v>0</v>
      </c>
      <c r="DA31">
        <f>AI31</f>
        <v>1</v>
      </c>
      <c r="DB31">
        <f>ROUND(ROUND(AT31*CZ31,2),6)</f>
        <v>0</v>
      </c>
      <c r="DC31">
        <f>ROUND(ROUND(AT31*AG31,2),6)</f>
        <v>0</v>
      </c>
      <c r="DD31" t="s">
        <v>3</v>
      </c>
      <c r="DE31" t="s">
        <v>3</v>
      </c>
      <c r="DF31">
        <f t="shared" si="12"/>
        <v>0</v>
      </c>
      <c r="DG31">
        <f t="shared" si="10"/>
        <v>0</v>
      </c>
      <c r="DH31">
        <f t="shared" si="11"/>
        <v>0</v>
      </c>
      <c r="DI31">
        <f t="shared" si="3"/>
        <v>0</v>
      </c>
      <c r="DJ31">
        <f>DF31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ROW(Source!A41)</f>
        <v>41</v>
      </c>
      <c r="B32">
        <v>60258061</v>
      </c>
      <c r="C32">
        <v>60258212</v>
      </c>
      <c r="D32">
        <v>58999254</v>
      </c>
      <c r="E32">
        <v>1080</v>
      </c>
      <c r="F32">
        <v>1</v>
      </c>
      <c r="G32">
        <v>1080</v>
      </c>
      <c r="H32">
        <v>1</v>
      </c>
      <c r="I32" t="s">
        <v>263</v>
      </c>
      <c r="J32" t="s">
        <v>3</v>
      </c>
      <c r="K32" t="s">
        <v>264</v>
      </c>
      <c r="L32">
        <v>1191</v>
      </c>
      <c r="N32">
        <v>1013</v>
      </c>
      <c r="O32" t="s">
        <v>265</v>
      </c>
      <c r="P32" t="s">
        <v>265</v>
      </c>
      <c r="Q32">
        <v>1</v>
      </c>
      <c r="W32">
        <v>0</v>
      </c>
      <c r="X32">
        <v>476480486</v>
      </c>
      <c r="Y32">
        <f>(AT32*1.1)</f>
        <v>8.8000000000000007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5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8</v>
      </c>
      <c r="AU32" t="s">
        <v>23</v>
      </c>
      <c r="AV32">
        <v>1</v>
      </c>
      <c r="AW32">
        <v>2</v>
      </c>
      <c r="AX32">
        <v>60258481</v>
      </c>
      <c r="AY32">
        <v>1</v>
      </c>
      <c r="AZ32">
        <v>0</v>
      </c>
      <c r="BA32">
        <v>38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U32">
        <f>ROUND(AT32*Source!I41*AH32*AL32,2)</f>
        <v>0</v>
      </c>
      <c r="CV32">
        <f>ROUND(Y32*Source!I41,9)</f>
        <v>8.8000000000000007</v>
      </c>
      <c r="CW32">
        <v>0</v>
      </c>
      <c r="CX32">
        <f>ROUND(Y32*Source!I41,9)</f>
        <v>8.8000000000000007</v>
      </c>
      <c r="CY32">
        <f>AD32</f>
        <v>0</v>
      </c>
      <c r="CZ32">
        <f>AH32</f>
        <v>0</v>
      </c>
      <c r="DA32">
        <f>AL32</f>
        <v>1</v>
      </c>
      <c r="DB32">
        <f>ROUND((ROUND(AT32*CZ32,2)*1.1),6)</f>
        <v>0</v>
      </c>
      <c r="DC32">
        <f>ROUND((ROUND(AT32*AG32,2)*1.1),6)</f>
        <v>0</v>
      </c>
      <c r="DD32" t="s">
        <v>3</v>
      </c>
      <c r="DE32" t="s">
        <v>3</v>
      </c>
      <c r="DF32">
        <f t="shared" si="12"/>
        <v>0</v>
      </c>
      <c r="DG32">
        <f t="shared" si="10"/>
        <v>0</v>
      </c>
      <c r="DH32">
        <f t="shared" si="11"/>
        <v>0</v>
      </c>
      <c r="DI32">
        <f t="shared" si="3"/>
        <v>0</v>
      </c>
      <c r="DJ32">
        <f>DI32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ROW(Source!A41)</f>
        <v>41</v>
      </c>
      <c r="B33">
        <v>60258061</v>
      </c>
      <c r="C33">
        <v>60258212</v>
      </c>
      <c r="D33">
        <v>59039461</v>
      </c>
      <c r="E33">
        <v>1</v>
      </c>
      <c r="F33">
        <v>1</v>
      </c>
      <c r="G33">
        <v>1080</v>
      </c>
      <c r="H33">
        <v>3</v>
      </c>
      <c r="I33" t="s">
        <v>284</v>
      </c>
      <c r="J33" t="s">
        <v>285</v>
      </c>
      <c r="K33" t="s">
        <v>286</v>
      </c>
      <c r="L33">
        <v>1348</v>
      </c>
      <c r="N33">
        <v>1009</v>
      </c>
      <c r="O33" t="s">
        <v>287</v>
      </c>
      <c r="P33" t="s">
        <v>287</v>
      </c>
      <c r="Q33">
        <v>1000</v>
      </c>
      <c r="W33">
        <v>0</v>
      </c>
      <c r="X33">
        <v>-108669029</v>
      </c>
      <c r="Y33">
        <f>AT33</f>
        <v>1.0000000000000001E-5</v>
      </c>
      <c r="AA33">
        <v>1496578.56</v>
      </c>
      <c r="AB33">
        <v>0</v>
      </c>
      <c r="AC33">
        <v>0</v>
      </c>
      <c r="AD33">
        <v>0</v>
      </c>
      <c r="AE33">
        <v>60960.43</v>
      </c>
      <c r="AF33">
        <v>0</v>
      </c>
      <c r="AG33">
        <v>0</v>
      </c>
      <c r="AH33">
        <v>0</v>
      </c>
      <c r="AI33">
        <v>24.55</v>
      </c>
      <c r="AJ33">
        <v>1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1.0000000000000001E-5</v>
      </c>
      <c r="AU33" t="s">
        <v>3</v>
      </c>
      <c r="AV33">
        <v>0</v>
      </c>
      <c r="AW33">
        <v>2</v>
      </c>
      <c r="AX33">
        <v>60258482</v>
      </c>
      <c r="AY33">
        <v>1</v>
      </c>
      <c r="AZ33">
        <v>0</v>
      </c>
      <c r="BA33">
        <v>39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ROUND(Y33*Source!I41,9)</f>
        <v>1.0000000000000001E-5</v>
      </c>
      <c r="CY33">
        <f>AA33</f>
        <v>1496578.56</v>
      </c>
      <c r="CZ33">
        <f>AE33</f>
        <v>60960.43</v>
      </c>
      <c r="DA33">
        <f>AI33</f>
        <v>24.55</v>
      </c>
      <c r="DB33">
        <f>ROUND(ROUND(AT33*CZ33,2),6)</f>
        <v>0.61</v>
      </c>
      <c r="DC33">
        <f>ROUND(ROUND(AT33*AG33,2),6)</f>
        <v>0</v>
      </c>
      <c r="DD33" t="s">
        <v>3</v>
      </c>
      <c r="DE33" t="s">
        <v>3</v>
      </c>
      <c r="DF33">
        <f>ROUND(ROUND(AE33*AI33,2)*CX33,2)</f>
        <v>14.97</v>
      </c>
      <c r="DG33">
        <f t="shared" si="10"/>
        <v>0</v>
      </c>
      <c r="DH33">
        <f t="shared" si="11"/>
        <v>0</v>
      </c>
      <c r="DI33">
        <f t="shared" ref="DI33:DI64" si="13">ROUND(ROUND(AH33,2)*CX33,2)</f>
        <v>0</v>
      </c>
      <c r="DJ33">
        <f>DF33</f>
        <v>14.97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ROW(Source!A41)</f>
        <v>41</v>
      </c>
      <c r="B34">
        <v>60258061</v>
      </c>
      <c r="C34">
        <v>60258212</v>
      </c>
      <c r="D34">
        <v>59045949</v>
      </c>
      <c r="E34">
        <v>1</v>
      </c>
      <c r="F34">
        <v>1</v>
      </c>
      <c r="G34">
        <v>1080</v>
      </c>
      <c r="H34">
        <v>3</v>
      </c>
      <c r="I34" t="s">
        <v>288</v>
      </c>
      <c r="J34" t="s">
        <v>289</v>
      </c>
      <c r="K34" t="s">
        <v>290</v>
      </c>
      <c r="L34">
        <v>1349</v>
      </c>
      <c r="N34">
        <v>1009</v>
      </c>
      <c r="O34" t="s">
        <v>291</v>
      </c>
      <c r="P34" t="s">
        <v>291</v>
      </c>
      <c r="Q34">
        <v>1E-3</v>
      </c>
      <c r="W34">
        <v>0</v>
      </c>
      <c r="X34">
        <v>-2034308505</v>
      </c>
      <c r="Y34">
        <f>AT34</f>
        <v>0.5</v>
      </c>
      <c r="AA34">
        <v>0.44</v>
      </c>
      <c r="AB34">
        <v>0</v>
      </c>
      <c r="AC34">
        <v>0</v>
      </c>
      <c r="AD34">
        <v>0</v>
      </c>
      <c r="AE34">
        <v>7.0000000000000007E-2</v>
      </c>
      <c r="AF34">
        <v>0</v>
      </c>
      <c r="AG34">
        <v>0</v>
      </c>
      <c r="AH34">
        <v>0</v>
      </c>
      <c r="AI34">
        <v>6.29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0.5</v>
      </c>
      <c r="AU34" t="s">
        <v>3</v>
      </c>
      <c r="AV34">
        <v>0</v>
      </c>
      <c r="AW34">
        <v>2</v>
      </c>
      <c r="AX34">
        <v>60258483</v>
      </c>
      <c r="AY34">
        <v>1</v>
      </c>
      <c r="AZ34">
        <v>0</v>
      </c>
      <c r="BA34">
        <v>40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ROUND(Y34*Source!I41,9)</f>
        <v>0.5</v>
      </c>
      <c r="CY34">
        <f>AA34</f>
        <v>0.44</v>
      </c>
      <c r="CZ34">
        <f>AE34</f>
        <v>7.0000000000000007E-2</v>
      </c>
      <c r="DA34">
        <f>AI34</f>
        <v>6.29</v>
      </c>
      <c r="DB34">
        <f>ROUND(ROUND(AT34*CZ34,2),6)</f>
        <v>0.04</v>
      </c>
      <c r="DC34">
        <f>ROUND(ROUND(AT34*AG34,2),6)</f>
        <v>0</v>
      </c>
      <c r="DD34" t="s">
        <v>3</v>
      </c>
      <c r="DE34" t="s">
        <v>3</v>
      </c>
      <c r="DF34">
        <f>ROUND(ROUND(AE34*AI34,2)*CX34,2)</f>
        <v>0.22</v>
      </c>
      <c r="DG34">
        <f t="shared" si="10"/>
        <v>0</v>
      </c>
      <c r="DH34">
        <f t="shared" si="11"/>
        <v>0</v>
      </c>
      <c r="DI34">
        <f t="shared" si="13"/>
        <v>0</v>
      </c>
      <c r="DJ34">
        <f>DF34</f>
        <v>0.22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ROW(Source!A41)</f>
        <v>41</v>
      </c>
      <c r="B35">
        <v>60258061</v>
      </c>
      <c r="C35">
        <v>60258212</v>
      </c>
      <c r="D35">
        <v>59062734</v>
      </c>
      <c r="E35">
        <v>1</v>
      </c>
      <c r="F35">
        <v>1</v>
      </c>
      <c r="G35">
        <v>1080</v>
      </c>
      <c r="H35">
        <v>3</v>
      </c>
      <c r="I35" t="s">
        <v>292</v>
      </c>
      <c r="J35" t="s">
        <v>293</v>
      </c>
      <c r="K35" t="s">
        <v>294</v>
      </c>
      <c r="L35">
        <v>1356</v>
      </c>
      <c r="N35">
        <v>1010</v>
      </c>
      <c r="O35" t="s">
        <v>295</v>
      </c>
      <c r="P35" t="s">
        <v>295</v>
      </c>
      <c r="Q35">
        <v>1000</v>
      </c>
      <c r="W35">
        <v>0</v>
      </c>
      <c r="X35">
        <v>-1221558404</v>
      </c>
      <c r="Y35">
        <f>AT35</f>
        <v>2E-3</v>
      </c>
      <c r="AA35">
        <v>1602.49</v>
      </c>
      <c r="AB35">
        <v>0</v>
      </c>
      <c r="AC35">
        <v>0</v>
      </c>
      <c r="AD35">
        <v>0</v>
      </c>
      <c r="AE35">
        <v>226.66</v>
      </c>
      <c r="AF35">
        <v>0</v>
      </c>
      <c r="AG35">
        <v>0</v>
      </c>
      <c r="AH35">
        <v>0</v>
      </c>
      <c r="AI35">
        <v>7.07</v>
      </c>
      <c r="AJ35">
        <v>1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2E-3</v>
      </c>
      <c r="AU35" t="s">
        <v>3</v>
      </c>
      <c r="AV35">
        <v>0</v>
      </c>
      <c r="AW35">
        <v>2</v>
      </c>
      <c r="AX35">
        <v>60258484</v>
      </c>
      <c r="AY35">
        <v>1</v>
      </c>
      <c r="AZ35">
        <v>0</v>
      </c>
      <c r="BA35">
        <v>41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ROUND(Y35*Source!I41,9)</f>
        <v>2E-3</v>
      </c>
      <c r="CY35">
        <f>AA35</f>
        <v>1602.49</v>
      </c>
      <c r="CZ35">
        <f>AE35</f>
        <v>226.66</v>
      </c>
      <c r="DA35">
        <f>AI35</f>
        <v>7.07</v>
      </c>
      <c r="DB35">
        <f>ROUND(ROUND(AT35*CZ35,2),6)</f>
        <v>0.45</v>
      </c>
      <c r="DC35">
        <f>ROUND(ROUND(AT35*AG35,2),6)</f>
        <v>0</v>
      </c>
      <c r="DD35" t="s">
        <v>3</v>
      </c>
      <c r="DE35" t="s">
        <v>3</v>
      </c>
      <c r="DF35">
        <f>ROUND(ROUND(AE35*AI35,2)*CX35,2)</f>
        <v>3.2</v>
      </c>
      <c r="DG35">
        <f t="shared" si="10"/>
        <v>0</v>
      </c>
      <c r="DH35">
        <f t="shared" si="11"/>
        <v>0</v>
      </c>
      <c r="DI35">
        <f t="shared" si="13"/>
        <v>0</v>
      </c>
      <c r="DJ35">
        <f>DF35</f>
        <v>3.2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ROW(Source!A41)</f>
        <v>41</v>
      </c>
      <c r="B36">
        <v>60258061</v>
      </c>
      <c r="C36">
        <v>60258212</v>
      </c>
      <c r="D36">
        <v>59004256</v>
      </c>
      <c r="E36">
        <v>1080</v>
      </c>
      <c r="F36">
        <v>1</v>
      </c>
      <c r="G36">
        <v>1080</v>
      </c>
      <c r="H36">
        <v>3</v>
      </c>
      <c r="I36" t="s">
        <v>296</v>
      </c>
      <c r="J36" t="s">
        <v>3</v>
      </c>
      <c r="K36" t="s">
        <v>297</v>
      </c>
      <c r="L36">
        <v>1348</v>
      </c>
      <c r="N36">
        <v>1009</v>
      </c>
      <c r="O36" t="s">
        <v>287</v>
      </c>
      <c r="P36" t="s">
        <v>287</v>
      </c>
      <c r="Q36">
        <v>1000</v>
      </c>
      <c r="W36">
        <v>0</v>
      </c>
      <c r="X36">
        <v>-783086922</v>
      </c>
      <c r="Y36">
        <f>AT36</f>
        <v>3.4000000000000002E-2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9.8800000000000008</v>
      </c>
      <c r="AJ36">
        <v>1</v>
      </c>
      <c r="AK36">
        <v>1</v>
      </c>
      <c r="AL36">
        <v>1</v>
      </c>
      <c r="AM36">
        <v>5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3.4000000000000002E-2</v>
      </c>
      <c r="AU36" t="s">
        <v>3</v>
      </c>
      <c r="AV36">
        <v>0</v>
      </c>
      <c r="AW36">
        <v>2</v>
      </c>
      <c r="AX36">
        <v>60258487</v>
      </c>
      <c r="AY36">
        <v>1</v>
      </c>
      <c r="AZ36">
        <v>0</v>
      </c>
      <c r="BA36">
        <v>44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ROUND(Y36*Source!I41,9)</f>
        <v>3.4000000000000002E-2</v>
      </c>
      <c r="CY36">
        <f>AA36</f>
        <v>0</v>
      </c>
      <c r="CZ36">
        <f>AE36</f>
        <v>0</v>
      </c>
      <c r="DA36">
        <f>AI36</f>
        <v>9.8800000000000008</v>
      </c>
      <c r="DB36">
        <f>ROUND(ROUND(AT36*CZ36,2),6)</f>
        <v>0</v>
      </c>
      <c r="DC36">
        <f>ROUND(ROUND(AT36*AG36,2),6)</f>
        <v>0</v>
      </c>
      <c r="DD36" t="s">
        <v>3</v>
      </c>
      <c r="DE36" t="s">
        <v>3</v>
      </c>
      <c r="DF36">
        <f>ROUND(ROUND(AE36*AI36,2)*CX36,2)</f>
        <v>0</v>
      </c>
      <c r="DG36">
        <f t="shared" si="10"/>
        <v>0</v>
      </c>
      <c r="DH36">
        <f t="shared" si="11"/>
        <v>0</v>
      </c>
      <c r="DI36">
        <f t="shared" si="13"/>
        <v>0</v>
      </c>
      <c r="DJ36">
        <f>DF36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ROW(Source!A46)</f>
        <v>46</v>
      </c>
      <c r="B37">
        <v>60258064</v>
      </c>
      <c r="C37">
        <v>60258227</v>
      </c>
      <c r="D37">
        <v>58999254</v>
      </c>
      <c r="E37">
        <v>1080</v>
      </c>
      <c r="F37">
        <v>1</v>
      </c>
      <c r="G37">
        <v>1080</v>
      </c>
      <c r="H37">
        <v>1</v>
      </c>
      <c r="I37" t="s">
        <v>263</v>
      </c>
      <c r="J37" t="s">
        <v>3</v>
      </c>
      <c r="K37" t="s">
        <v>264</v>
      </c>
      <c r="L37">
        <v>1191</v>
      </c>
      <c r="N37">
        <v>1013</v>
      </c>
      <c r="O37" t="s">
        <v>265</v>
      </c>
      <c r="P37" t="s">
        <v>265</v>
      </c>
      <c r="Q37">
        <v>1</v>
      </c>
      <c r="W37">
        <v>0</v>
      </c>
      <c r="X37">
        <v>476480486</v>
      </c>
      <c r="Y37">
        <f>(AT37*1.1)</f>
        <v>6.8200000000000012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6.2</v>
      </c>
      <c r="AU37" t="s">
        <v>23</v>
      </c>
      <c r="AV37">
        <v>1</v>
      </c>
      <c r="AW37">
        <v>2</v>
      </c>
      <c r="AX37">
        <v>60258488</v>
      </c>
      <c r="AY37">
        <v>1</v>
      </c>
      <c r="AZ37">
        <v>0</v>
      </c>
      <c r="BA37">
        <v>45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ROUND(AT37*Source!I46*AH37*AL37,2)</f>
        <v>0</v>
      </c>
      <c r="CV37">
        <f>ROUND(Y37*Source!I46,9)</f>
        <v>61.38</v>
      </c>
      <c r="CW37">
        <v>0</v>
      </c>
      <c r="CX37">
        <f>ROUND(Y37*Source!I46,9)</f>
        <v>61.38</v>
      </c>
      <c r="CY37">
        <f>AD37</f>
        <v>0</v>
      </c>
      <c r="CZ37">
        <f>AH37</f>
        <v>0</v>
      </c>
      <c r="DA37">
        <f>AL37</f>
        <v>1</v>
      </c>
      <c r="DB37">
        <f>ROUND((ROUND(AT37*CZ37,2)*1.1),6)</f>
        <v>0</v>
      </c>
      <c r="DC37">
        <f>ROUND((ROUND(AT37*AG37,2)*1.1),6)</f>
        <v>0</v>
      </c>
      <c r="DD37" t="s">
        <v>3</v>
      </c>
      <c r="DE37" t="s">
        <v>3</v>
      </c>
      <c r="DF37">
        <f t="shared" ref="DF37:DF42" si="14">ROUND(ROUND(AE37,2)*CX37,2)</f>
        <v>0</v>
      </c>
      <c r="DG37">
        <f t="shared" si="10"/>
        <v>0</v>
      </c>
      <c r="DH37">
        <f t="shared" si="11"/>
        <v>0</v>
      </c>
      <c r="DI37">
        <f t="shared" si="13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ROW(Source!A46)</f>
        <v>46</v>
      </c>
      <c r="B38">
        <v>60258064</v>
      </c>
      <c r="C38">
        <v>60258227</v>
      </c>
      <c r="D38">
        <v>59069975</v>
      </c>
      <c r="E38">
        <v>1</v>
      </c>
      <c r="F38">
        <v>1</v>
      </c>
      <c r="G38">
        <v>1080</v>
      </c>
      <c r="H38">
        <v>2</v>
      </c>
      <c r="I38" t="s">
        <v>298</v>
      </c>
      <c r="J38" t="s">
        <v>299</v>
      </c>
      <c r="K38" t="s">
        <v>300</v>
      </c>
      <c r="L38">
        <v>1368</v>
      </c>
      <c r="N38">
        <v>1011</v>
      </c>
      <c r="O38" t="s">
        <v>269</v>
      </c>
      <c r="P38" t="s">
        <v>269</v>
      </c>
      <c r="Q38">
        <v>1</v>
      </c>
      <c r="W38">
        <v>0</v>
      </c>
      <c r="X38">
        <v>518089143</v>
      </c>
      <c r="Y38">
        <f>(AT38*1.1)</f>
        <v>0.27500000000000002</v>
      </c>
      <c r="AA38">
        <v>0</v>
      </c>
      <c r="AB38">
        <v>120.23</v>
      </c>
      <c r="AC38">
        <v>13.21</v>
      </c>
      <c r="AD38">
        <v>0</v>
      </c>
      <c r="AE38">
        <v>0</v>
      </c>
      <c r="AF38">
        <v>114.83</v>
      </c>
      <c r="AG38">
        <v>12.62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0.25</v>
      </c>
      <c r="AU38" t="s">
        <v>23</v>
      </c>
      <c r="AV38">
        <v>0</v>
      </c>
      <c r="AW38">
        <v>2</v>
      </c>
      <c r="AX38">
        <v>60258489</v>
      </c>
      <c r="AY38">
        <v>1</v>
      </c>
      <c r="AZ38">
        <v>0</v>
      </c>
      <c r="BA38">
        <v>46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ROUND(Y38*Source!I46*DO38,9)</f>
        <v>31.234500000000001</v>
      </c>
      <c r="CX38">
        <f>ROUND(Y38*Source!I46,9)</f>
        <v>2.4750000000000001</v>
      </c>
      <c r="CY38">
        <f>AB38</f>
        <v>120.23</v>
      </c>
      <c r="CZ38">
        <f>AF38</f>
        <v>114.83</v>
      </c>
      <c r="DA38">
        <f>AJ38</f>
        <v>1</v>
      </c>
      <c r="DB38">
        <f>ROUND((ROUND(AT38*CZ38,2)*1.1),6)</f>
        <v>31.581</v>
      </c>
      <c r="DC38">
        <f>ROUND((ROUND(AT38*AG38,2)*1.1),6)</f>
        <v>3.476</v>
      </c>
      <c r="DD38" t="s">
        <v>3</v>
      </c>
      <c r="DE38" t="s">
        <v>3</v>
      </c>
      <c r="DF38">
        <f t="shared" si="14"/>
        <v>0</v>
      </c>
      <c r="DG38">
        <f t="shared" si="10"/>
        <v>284.2</v>
      </c>
      <c r="DH38">
        <f t="shared" si="11"/>
        <v>31.23</v>
      </c>
      <c r="DI38">
        <f t="shared" si="13"/>
        <v>0</v>
      </c>
      <c r="DJ38">
        <f>DG38</f>
        <v>284.2</v>
      </c>
      <c r="DK38">
        <v>0</v>
      </c>
      <c r="DL38" t="s">
        <v>270</v>
      </c>
      <c r="DM38">
        <v>0</v>
      </c>
      <c r="DN38" t="s">
        <v>265</v>
      </c>
      <c r="DO38">
        <v>12.62</v>
      </c>
    </row>
    <row r="39" spans="1:119" x14ac:dyDescent="0.2">
      <c r="A39">
        <f>ROW(Source!A46)</f>
        <v>46</v>
      </c>
      <c r="B39">
        <v>60258064</v>
      </c>
      <c r="C39">
        <v>60258227</v>
      </c>
      <c r="D39">
        <v>59041389</v>
      </c>
      <c r="E39">
        <v>1</v>
      </c>
      <c r="F39">
        <v>1</v>
      </c>
      <c r="G39">
        <v>1080</v>
      </c>
      <c r="H39">
        <v>3</v>
      </c>
      <c r="I39" t="s">
        <v>301</v>
      </c>
      <c r="J39" t="s">
        <v>302</v>
      </c>
      <c r="K39" t="s">
        <v>303</v>
      </c>
      <c r="L39">
        <v>1348</v>
      </c>
      <c r="N39">
        <v>1009</v>
      </c>
      <c r="O39" t="s">
        <v>287</v>
      </c>
      <c r="P39" t="s">
        <v>287</v>
      </c>
      <c r="Q39">
        <v>1000</v>
      </c>
      <c r="W39">
        <v>0</v>
      </c>
      <c r="X39">
        <v>1940187695</v>
      </c>
      <c r="Y39">
        <f>AT39</f>
        <v>1.1000000000000001E-3</v>
      </c>
      <c r="AA39">
        <v>10643.18</v>
      </c>
      <c r="AB39">
        <v>0</v>
      </c>
      <c r="AC39">
        <v>0</v>
      </c>
      <c r="AD39">
        <v>0</v>
      </c>
      <c r="AE39">
        <v>10643.18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1.1000000000000001E-3</v>
      </c>
      <c r="AU39" t="s">
        <v>3</v>
      </c>
      <c r="AV39">
        <v>0</v>
      </c>
      <c r="AW39">
        <v>2</v>
      </c>
      <c r="AX39">
        <v>60258490</v>
      </c>
      <c r="AY39">
        <v>1</v>
      </c>
      <c r="AZ39">
        <v>0</v>
      </c>
      <c r="BA39">
        <v>47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ROUND(Y39*Source!I46,9)</f>
        <v>9.9000000000000008E-3</v>
      </c>
      <c r="CY39">
        <f>AA39</f>
        <v>10643.18</v>
      </c>
      <c r="CZ39">
        <f>AE39</f>
        <v>10643.18</v>
      </c>
      <c r="DA39">
        <f>AI39</f>
        <v>1</v>
      </c>
      <c r="DB39">
        <f>ROUND(ROUND(AT39*CZ39,2),6)</f>
        <v>11.71</v>
      </c>
      <c r="DC39">
        <f>ROUND(ROUND(AT39*AG39,2),6)</f>
        <v>0</v>
      </c>
      <c r="DD39" t="s">
        <v>3</v>
      </c>
      <c r="DE39" t="s">
        <v>3</v>
      </c>
      <c r="DF39">
        <f t="shared" si="14"/>
        <v>105.37</v>
      </c>
      <c r="DG39">
        <f t="shared" si="10"/>
        <v>0</v>
      </c>
      <c r="DH39">
        <f t="shared" si="11"/>
        <v>0</v>
      </c>
      <c r="DI39">
        <f t="shared" si="13"/>
        <v>0</v>
      </c>
      <c r="DJ39">
        <f>DF39</f>
        <v>105.37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ROW(Source!A46)</f>
        <v>46</v>
      </c>
      <c r="B40">
        <v>60258064</v>
      </c>
      <c r="C40">
        <v>60258227</v>
      </c>
      <c r="D40">
        <v>59039462</v>
      </c>
      <c r="E40">
        <v>1</v>
      </c>
      <c r="F40">
        <v>1</v>
      </c>
      <c r="G40">
        <v>1080</v>
      </c>
      <c r="H40">
        <v>3</v>
      </c>
      <c r="I40" t="s">
        <v>304</v>
      </c>
      <c r="J40" t="s">
        <v>305</v>
      </c>
      <c r="K40" t="s">
        <v>306</v>
      </c>
      <c r="L40">
        <v>1348</v>
      </c>
      <c r="N40">
        <v>1009</v>
      </c>
      <c r="O40" t="s">
        <v>287</v>
      </c>
      <c r="P40" t="s">
        <v>287</v>
      </c>
      <c r="Q40">
        <v>1000</v>
      </c>
      <c r="W40">
        <v>0</v>
      </c>
      <c r="X40">
        <v>-1945031955</v>
      </c>
      <c r="Y40">
        <f>AT40</f>
        <v>1.0000000000000001E-5</v>
      </c>
      <c r="AA40">
        <v>64123.05</v>
      </c>
      <c r="AB40">
        <v>0</v>
      </c>
      <c r="AC40">
        <v>0</v>
      </c>
      <c r="AD40">
        <v>0</v>
      </c>
      <c r="AE40">
        <v>64123.05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1.0000000000000001E-5</v>
      </c>
      <c r="AU40" t="s">
        <v>3</v>
      </c>
      <c r="AV40">
        <v>0</v>
      </c>
      <c r="AW40">
        <v>2</v>
      </c>
      <c r="AX40">
        <v>60258491</v>
      </c>
      <c r="AY40">
        <v>1</v>
      </c>
      <c r="AZ40">
        <v>0</v>
      </c>
      <c r="BA40">
        <v>48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ROUND(Y40*Source!I46,9)</f>
        <v>9.0000000000000006E-5</v>
      </c>
      <c r="CY40">
        <f>AA40</f>
        <v>64123.05</v>
      </c>
      <c r="CZ40">
        <f>AE40</f>
        <v>64123.05</v>
      </c>
      <c r="DA40">
        <f>AI40</f>
        <v>1</v>
      </c>
      <c r="DB40">
        <f>ROUND(ROUND(AT40*CZ40,2),6)</f>
        <v>0.64</v>
      </c>
      <c r="DC40">
        <f>ROUND(ROUND(AT40*AG40,2),6)</f>
        <v>0</v>
      </c>
      <c r="DD40" t="s">
        <v>3</v>
      </c>
      <c r="DE40" t="s">
        <v>3</v>
      </c>
      <c r="DF40">
        <f t="shared" si="14"/>
        <v>5.77</v>
      </c>
      <c r="DG40">
        <f t="shared" si="10"/>
        <v>0</v>
      </c>
      <c r="DH40">
        <f t="shared" si="11"/>
        <v>0</v>
      </c>
      <c r="DI40">
        <f t="shared" si="13"/>
        <v>0</v>
      </c>
      <c r="DJ40">
        <f>DF40</f>
        <v>5.77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ROW(Source!A47)</f>
        <v>47</v>
      </c>
      <c r="B41">
        <v>60258061</v>
      </c>
      <c r="C41">
        <v>60258227</v>
      </c>
      <c r="D41">
        <v>58999254</v>
      </c>
      <c r="E41">
        <v>1080</v>
      </c>
      <c r="F41">
        <v>1</v>
      </c>
      <c r="G41">
        <v>1080</v>
      </c>
      <c r="H41">
        <v>1</v>
      </c>
      <c r="I41" t="s">
        <v>263</v>
      </c>
      <c r="J41" t="s">
        <v>3</v>
      </c>
      <c r="K41" t="s">
        <v>264</v>
      </c>
      <c r="L41">
        <v>1191</v>
      </c>
      <c r="N41">
        <v>1013</v>
      </c>
      <c r="O41" t="s">
        <v>265</v>
      </c>
      <c r="P41" t="s">
        <v>265</v>
      </c>
      <c r="Q41">
        <v>1</v>
      </c>
      <c r="W41">
        <v>0</v>
      </c>
      <c r="X41">
        <v>476480486</v>
      </c>
      <c r="Y41">
        <f>(AT41*1.1)</f>
        <v>6.8200000000000012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5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6.2</v>
      </c>
      <c r="AU41" t="s">
        <v>23</v>
      </c>
      <c r="AV41">
        <v>1</v>
      </c>
      <c r="AW41">
        <v>2</v>
      </c>
      <c r="AX41">
        <v>60258488</v>
      </c>
      <c r="AY41">
        <v>1</v>
      </c>
      <c r="AZ41">
        <v>0</v>
      </c>
      <c r="BA41">
        <v>50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ROUND(AT41*Source!I47*AH41*AL41,2)</f>
        <v>0</v>
      </c>
      <c r="CV41">
        <f>ROUND(Y41*Source!I47,9)</f>
        <v>61.38</v>
      </c>
      <c r="CW41">
        <v>0</v>
      </c>
      <c r="CX41">
        <f>ROUND(Y41*Source!I47,9)</f>
        <v>61.38</v>
      </c>
      <c r="CY41">
        <f>AD41</f>
        <v>0</v>
      </c>
      <c r="CZ41">
        <f>AH41</f>
        <v>0</v>
      </c>
      <c r="DA41">
        <f>AL41</f>
        <v>1</v>
      </c>
      <c r="DB41">
        <f>ROUND((ROUND(AT41*CZ41,2)*1.1),6)</f>
        <v>0</v>
      </c>
      <c r="DC41">
        <f>ROUND((ROUND(AT41*AG41,2)*1.1),6)</f>
        <v>0</v>
      </c>
      <c r="DD41" t="s">
        <v>3</v>
      </c>
      <c r="DE41" t="s">
        <v>3</v>
      </c>
      <c r="DF41">
        <f t="shared" si="14"/>
        <v>0</v>
      </c>
      <c r="DG41">
        <f t="shared" si="10"/>
        <v>0</v>
      </c>
      <c r="DH41">
        <f t="shared" si="11"/>
        <v>0</v>
      </c>
      <c r="DI41">
        <f t="shared" si="13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ROW(Source!A47)</f>
        <v>47</v>
      </c>
      <c r="B42">
        <v>60258061</v>
      </c>
      <c r="C42">
        <v>60258227</v>
      </c>
      <c r="D42">
        <v>59069975</v>
      </c>
      <c r="E42">
        <v>1</v>
      </c>
      <c r="F42">
        <v>1</v>
      </c>
      <c r="G42">
        <v>1080</v>
      </c>
      <c r="H42">
        <v>2</v>
      </c>
      <c r="I42" t="s">
        <v>298</v>
      </c>
      <c r="J42" t="s">
        <v>299</v>
      </c>
      <c r="K42" t="s">
        <v>300</v>
      </c>
      <c r="L42">
        <v>1368</v>
      </c>
      <c r="N42">
        <v>1011</v>
      </c>
      <c r="O42" t="s">
        <v>269</v>
      </c>
      <c r="P42" t="s">
        <v>269</v>
      </c>
      <c r="Q42">
        <v>1</v>
      </c>
      <c r="W42">
        <v>0</v>
      </c>
      <c r="X42">
        <v>518089143</v>
      </c>
      <c r="Y42">
        <f>(AT42*1.1)</f>
        <v>0.27500000000000002</v>
      </c>
      <c r="AA42">
        <v>0</v>
      </c>
      <c r="AB42">
        <v>1858.71</v>
      </c>
      <c r="AC42">
        <v>726.59</v>
      </c>
      <c r="AD42">
        <v>0</v>
      </c>
      <c r="AE42">
        <v>0</v>
      </c>
      <c r="AF42">
        <v>114.83</v>
      </c>
      <c r="AG42">
        <v>12.62</v>
      </c>
      <c r="AH42">
        <v>0</v>
      </c>
      <c r="AI42">
        <v>1</v>
      </c>
      <c r="AJ42">
        <v>15.46</v>
      </c>
      <c r="AK42">
        <v>54.99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0.25</v>
      </c>
      <c r="AU42" t="s">
        <v>23</v>
      </c>
      <c r="AV42">
        <v>0</v>
      </c>
      <c r="AW42">
        <v>2</v>
      </c>
      <c r="AX42">
        <v>60258489</v>
      </c>
      <c r="AY42">
        <v>1</v>
      </c>
      <c r="AZ42">
        <v>0</v>
      </c>
      <c r="BA42">
        <v>51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ROUND(Y42*Source!I47*DO42,9)</f>
        <v>31.234500000000001</v>
      </c>
      <c r="CX42">
        <f>ROUND(Y42*Source!I47,9)</f>
        <v>2.4750000000000001</v>
      </c>
      <c r="CY42">
        <f>AB42</f>
        <v>1858.71</v>
      </c>
      <c r="CZ42">
        <f>AF42</f>
        <v>114.83</v>
      </c>
      <c r="DA42">
        <f>AJ42</f>
        <v>15.46</v>
      </c>
      <c r="DB42">
        <f>ROUND((ROUND(AT42*CZ42,2)*1.1),6)</f>
        <v>31.581</v>
      </c>
      <c r="DC42">
        <f>ROUND((ROUND(AT42*AG42,2)*1.1),6)</f>
        <v>3.476</v>
      </c>
      <c r="DD42" t="s">
        <v>3</v>
      </c>
      <c r="DE42" t="s">
        <v>3</v>
      </c>
      <c r="DF42">
        <f t="shared" si="14"/>
        <v>0</v>
      </c>
      <c r="DG42">
        <f>ROUND(ROUND(AF42*AJ42,2)*CX42,2)</f>
        <v>4393.79</v>
      </c>
      <c r="DH42">
        <f>ROUND(ROUND(AG42*AK42,2)*CX42,2)</f>
        <v>1717.58</v>
      </c>
      <c r="DI42">
        <f t="shared" si="13"/>
        <v>0</v>
      </c>
      <c r="DJ42">
        <f>DG42</f>
        <v>4393.79</v>
      </c>
      <c r="DK42">
        <v>0</v>
      </c>
      <c r="DL42" t="s">
        <v>270</v>
      </c>
      <c r="DM42">
        <v>0</v>
      </c>
      <c r="DN42" t="s">
        <v>265</v>
      </c>
      <c r="DO42">
        <v>12.62</v>
      </c>
    </row>
    <row r="43" spans="1:119" x14ac:dyDescent="0.2">
      <c r="A43">
        <f>ROW(Source!A47)</f>
        <v>47</v>
      </c>
      <c r="B43">
        <v>60258061</v>
      </c>
      <c r="C43">
        <v>60258227</v>
      </c>
      <c r="D43">
        <v>59041389</v>
      </c>
      <c r="E43">
        <v>1</v>
      </c>
      <c r="F43">
        <v>1</v>
      </c>
      <c r="G43">
        <v>1080</v>
      </c>
      <c r="H43">
        <v>3</v>
      </c>
      <c r="I43" t="s">
        <v>301</v>
      </c>
      <c r="J43" t="s">
        <v>302</v>
      </c>
      <c r="K43" t="s">
        <v>303</v>
      </c>
      <c r="L43">
        <v>1348</v>
      </c>
      <c r="N43">
        <v>1009</v>
      </c>
      <c r="O43" t="s">
        <v>287</v>
      </c>
      <c r="P43" t="s">
        <v>287</v>
      </c>
      <c r="Q43">
        <v>1000</v>
      </c>
      <c r="W43">
        <v>0</v>
      </c>
      <c r="X43">
        <v>1940187695</v>
      </c>
      <c r="Y43">
        <f>AT43</f>
        <v>1.1000000000000001E-3</v>
      </c>
      <c r="AA43">
        <v>147514.47</v>
      </c>
      <c r="AB43">
        <v>0</v>
      </c>
      <c r="AC43">
        <v>0</v>
      </c>
      <c r="AD43">
        <v>0</v>
      </c>
      <c r="AE43">
        <v>10643.18</v>
      </c>
      <c r="AF43">
        <v>0</v>
      </c>
      <c r="AG43">
        <v>0</v>
      </c>
      <c r="AH43">
        <v>0</v>
      </c>
      <c r="AI43">
        <v>13.86</v>
      </c>
      <c r="AJ43">
        <v>1</v>
      </c>
      <c r="AK43">
        <v>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1.1000000000000001E-3</v>
      </c>
      <c r="AU43" t="s">
        <v>3</v>
      </c>
      <c r="AV43">
        <v>0</v>
      </c>
      <c r="AW43">
        <v>2</v>
      </c>
      <c r="AX43">
        <v>60258490</v>
      </c>
      <c r="AY43">
        <v>1</v>
      </c>
      <c r="AZ43">
        <v>0</v>
      </c>
      <c r="BA43">
        <v>52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ROUND(Y43*Source!I47,9)</f>
        <v>9.9000000000000008E-3</v>
      </c>
      <c r="CY43">
        <f>AA43</f>
        <v>147514.47</v>
      </c>
      <c r="CZ43">
        <f>AE43</f>
        <v>10643.18</v>
      </c>
      <c r="DA43">
        <f>AI43</f>
        <v>13.86</v>
      </c>
      <c r="DB43">
        <f>ROUND(ROUND(AT43*CZ43,2),6)</f>
        <v>11.71</v>
      </c>
      <c r="DC43">
        <f>ROUND(ROUND(AT43*AG43,2),6)</f>
        <v>0</v>
      </c>
      <c r="DD43" t="s">
        <v>3</v>
      </c>
      <c r="DE43" t="s">
        <v>3</v>
      </c>
      <c r="DF43">
        <f>ROUND(ROUND(AE43*AI43,2)*CX43,2)</f>
        <v>1460.39</v>
      </c>
      <c r="DG43">
        <f>ROUND(ROUND(AF43,2)*CX43,2)</f>
        <v>0</v>
      </c>
      <c r="DH43">
        <f>ROUND(ROUND(AG43,2)*CX43,2)</f>
        <v>0</v>
      </c>
      <c r="DI43">
        <f t="shared" si="13"/>
        <v>0</v>
      </c>
      <c r="DJ43">
        <f>DF43</f>
        <v>1460.39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ROW(Source!A47)</f>
        <v>47</v>
      </c>
      <c r="B44">
        <v>60258061</v>
      </c>
      <c r="C44">
        <v>60258227</v>
      </c>
      <c r="D44">
        <v>59039462</v>
      </c>
      <c r="E44">
        <v>1</v>
      </c>
      <c r="F44">
        <v>1</v>
      </c>
      <c r="G44">
        <v>1080</v>
      </c>
      <c r="H44">
        <v>3</v>
      </c>
      <c r="I44" t="s">
        <v>304</v>
      </c>
      <c r="J44" t="s">
        <v>305</v>
      </c>
      <c r="K44" t="s">
        <v>306</v>
      </c>
      <c r="L44">
        <v>1348</v>
      </c>
      <c r="N44">
        <v>1009</v>
      </c>
      <c r="O44" t="s">
        <v>287</v>
      </c>
      <c r="P44" t="s">
        <v>287</v>
      </c>
      <c r="Q44">
        <v>1000</v>
      </c>
      <c r="W44">
        <v>0</v>
      </c>
      <c r="X44">
        <v>-1945031955</v>
      </c>
      <c r="Y44">
        <f>AT44</f>
        <v>1.0000000000000001E-5</v>
      </c>
      <c r="AA44">
        <v>1930103.81</v>
      </c>
      <c r="AB44">
        <v>0</v>
      </c>
      <c r="AC44">
        <v>0</v>
      </c>
      <c r="AD44">
        <v>0</v>
      </c>
      <c r="AE44">
        <v>64123.05</v>
      </c>
      <c r="AF44">
        <v>0</v>
      </c>
      <c r="AG44">
        <v>0</v>
      </c>
      <c r="AH44">
        <v>0</v>
      </c>
      <c r="AI44">
        <v>30.1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1.0000000000000001E-5</v>
      </c>
      <c r="AU44" t="s">
        <v>3</v>
      </c>
      <c r="AV44">
        <v>0</v>
      </c>
      <c r="AW44">
        <v>2</v>
      </c>
      <c r="AX44">
        <v>60258491</v>
      </c>
      <c r="AY44">
        <v>1</v>
      </c>
      <c r="AZ44">
        <v>0</v>
      </c>
      <c r="BA44">
        <v>53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ROUND(Y44*Source!I47,9)</f>
        <v>9.0000000000000006E-5</v>
      </c>
      <c r="CY44">
        <f>AA44</f>
        <v>1930103.81</v>
      </c>
      <c r="CZ44">
        <f>AE44</f>
        <v>64123.05</v>
      </c>
      <c r="DA44">
        <f>AI44</f>
        <v>30.1</v>
      </c>
      <c r="DB44">
        <f>ROUND(ROUND(AT44*CZ44,2),6)</f>
        <v>0.64</v>
      </c>
      <c r="DC44">
        <f>ROUND(ROUND(AT44*AG44,2),6)</f>
        <v>0</v>
      </c>
      <c r="DD44" t="s">
        <v>3</v>
      </c>
      <c r="DE44" t="s">
        <v>3</v>
      </c>
      <c r="DF44">
        <f>ROUND(ROUND(AE44*AI44,2)*CX44,2)</f>
        <v>173.71</v>
      </c>
      <c r="DG44">
        <f>ROUND(ROUND(AF44,2)*CX44,2)</f>
        <v>0</v>
      </c>
      <c r="DH44">
        <f>ROUND(ROUND(AG44,2)*CX44,2)</f>
        <v>0</v>
      </c>
      <c r="DI44">
        <f t="shared" si="13"/>
        <v>0</v>
      </c>
      <c r="DJ44">
        <f>DF44</f>
        <v>173.71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ROW(Source!A54)</f>
        <v>54</v>
      </c>
      <c r="B45">
        <v>60258064</v>
      </c>
      <c r="C45">
        <v>60258240</v>
      </c>
      <c r="D45">
        <v>58999254</v>
      </c>
      <c r="E45">
        <v>1080</v>
      </c>
      <c r="F45">
        <v>1</v>
      </c>
      <c r="G45">
        <v>1080</v>
      </c>
      <c r="H45">
        <v>1</v>
      </c>
      <c r="I45" t="s">
        <v>263</v>
      </c>
      <c r="J45" t="s">
        <v>3</v>
      </c>
      <c r="K45" t="s">
        <v>264</v>
      </c>
      <c r="L45">
        <v>1191</v>
      </c>
      <c r="N45">
        <v>1013</v>
      </c>
      <c r="O45" t="s">
        <v>265</v>
      </c>
      <c r="P45" t="s">
        <v>265</v>
      </c>
      <c r="Q45">
        <v>1</v>
      </c>
      <c r="W45">
        <v>0</v>
      </c>
      <c r="X45">
        <v>476480486</v>
      </c>
      <c r="Y45">
        <f t="shared" ref="Y45:Y53" si="15">(AT45*1.1)</f>
        <v>2.3100000000000005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2.1</v>
      </c>
      <c r="AU45" t="s">
        <v>23</v>
      </c>
      <c r="AV45">
        <v>1</v>
      </c>
      <c r="AW45">
        <v>2</v>
      </c>
      <c r="AX45">
        <v>60258493</v>
      </c>
      <c r="AY45">
        <v>1</v>
      </c>
      <c r="AZ45">
        <v>0</v>
      </c>
      <c r="BA45">
        <v>55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ROUND(AT45*Source!I54*AH45*AL45,2)</f>
        <v>0</v>
      </c>
      <c r="CV45">
        <f>ROUND(Y45*Source!I54,9)</f>
        <v>41.58</v>
      </c>
      <c r="CW45">
        <v>0</v>
      </c>
      <c r="CX45">
        <f>ROUND(Y45*Source!I54,9)</f>
        <v>41.58</v>
      </c>
      <c r="CY45">
        <f>AD45</f>
        <v>0</v>
      </c>
      <c r="CZ45">
        <f>AH45</f>
        <v>0</v>
      </c>
      <c r="DA45">
        <f>AL45</f>
        <v>1</v>
      </c>
      <c r="DB45">
        <f t="shared" ref="DB45:DB53" si="16">ROUND((ROUND(AT45*CZ45,2)*1.1),6)</f>
        <v>0</v>
      </c>
      <c r="DC45">
        <f t="shared" ref="DC45:DC53" si="17">ROUND((ROUND(AT45*AG45,2)*1.1),6)</f>
        <v>0</v>
      </c>
      <c r="DD45" t="s">
        <v>3</v>
      </c>
      <c r="DE45" t="s">
        <v>3</v>
      </c>
      <c r="DF45">
        <f t="shared" ref="DF45:DF58" si="18">ROUND(ROUND(AE45,2)*CX45,2)</f>
        <v>0</v>
      </c>
      <c r="DG45">
        <f>ROUND(ROUND(AF45,2)*CX45,2)</f>
        <v>0</v>
      </c>
      <c r="DH45">
        <f>ROUND(ROUND(AG45,2)*CX45,2)</f>
        <v>0</v>
      </c>
      <c r="DI45">
        <f t="shared" si="13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ROW(Source!A54)</f>
        <v>54</v>
      </c>
      <c r="B46">
        <v>60258064</v>
      </c>
      <c r="C46">
        <v>60258240</v>
      </c>
      <c r="D46">
        <v>59069975</v>
      </c>
      <c r="E46">
        <v>1</v>
      </c>
      <c r="F46">
        <v>1</v>
      </c>
      <c r="G46">
        <v>1080</v>
      </c>
      <c r="H46">
        <v>2</v>
      </c>
      <c r="I46" t="s">
        <v>298</v>
      </c>
      <c r="J46" t="s">
        <v>299</v>
      </c>
      <c r="K46" t="s">
        <v>300</v>
      </c>
      <c r="L46">
        <v>1368</v>
      </c>
      <c r="N46">
        <v>1011</v>
      </c>
      <c r="O46" t="s">
        <v>269</v>
      </c>
      <c r="P46" t="s">
        <v>269</v>
      </c>
      <c r="Q46">
        <v>1</v>
      </c>
      <c r="W46">
        <v>0</v>
      </c>
      <c r="X46">
        <v>518089143</v>
      </c>
      <c r="Y46">
        <f t="shared" si="15"/>
        <v>8.8000000000000009E-2</v>
      </c>
      <c r="AA46">
        <v>0</v>
      </c>
      <c r="AB46">
        <v>120.23</v>
      </c>
      <c r="AC46">
        <v>13.21</v>
      </c>
      <c r="AD46">
        <v>0</v>
      </c>
      <c r="AE46">
        <v>0</v>
      </c>
      <c r="AF46">
        <v>114.83</v>
      </c>
      <c r="AG46">
        <v>12.62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0.08</v>
      </c>
      <c r="AU46" t="s">
        <v>23</v>
      </c>
      <c r="AV46">
        <v>0</v>
      </c>
      <c r="AW46">
        <v>2</v>
      </c>
      <c r="AX46">
        <v>60258494</v>
      </c>
      <c r="AY46">
        <v>1</v>
      </c>
      <c r="AZ46">
        <v>0</v>
      </c>
      <c r="BA46">
        <v>56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ROUND(Y46*Source!I54*DO46,9)</f>
        <v>19.990079999999999</v>
      </c>
      <c r="CX46">
        <f>ROUND(Y46*Source!I54,9)</f>
        <v>1.5840000000000001</v>
      </c>
      <c r="CY46">
        <f>AB46</f>
        <v>120.23</v>
      </c>
      <c r="CZ46">
        <f>AF46</f>
        <v>114.83</v>
      </c>
      <c r="DA46">
        <f>AJ46</f>
        <v>1</v>
      </c>
      <c r="DB46">
        <f t="shared" si="16"/>
        <v>10.109</v>
      </c>
      <c r="DC46">
        <f t="shared" si="17"/>
        <v>1.111</v>
      </c>
      <c r="DD46" t="s">
        <v>3</v>
      </c>
      <c r="DE46" t="s">
        <v>3</v>
      </c>
      <c r="DF46">
        <f t="shared" si="18"/>
        <v>0</v>
      </c>
      <c r="DG46">
        <f>ROUND(ROUND(AF46,2)*CX46,2)</f>
        <v>181.89</v>
      </c>
      <c r="DH46">
        <f>ROUND(ROUND(AG46,2)*CX46,2)</f>
        <v>19.989999999999998</v>
      </c>
      <c r="DI46">
        <f t="shared" si="13"/>
        <v>0</v>
      </c>
      <c r="DJ46">
        <f>DG46</f>
        <v>181.89</v>
      </c>
      <c r="DK46">
        <v>0</v>
      </c>
      <c r="DL46" t="s">
        <v>270</v>
      </c>
      <c r="DM46">
        <v>0</v>
      </c>
      <c r="DN46" t="s">
        <v>265</v>
      </c>
      <c r="DO46">
        <v>12.62</v>
      </c>
    </row>
    <row r="47" spans="1:119" x14ac:dyDescent="0.2">
      <c r="A47">
        <f>ROW(Source!A55)</f>
        <v>55</v>
      </c>
      <c r="B47">
        <v>60258061</v>
      </c>
      <c r="C47">
        <v>60258240</v>
      </c>
      <c r="D47">
        <v>58999254</v>
      </c>
      <c r="E47">
        <v>1080</v>
      </c>
      <c r="F47">
        <v>1</v>
      </c>
      <c r="G47">
        <v>1080</v>
      </c>
      <c r="H47">
        <v>1</v>
      </c>
      <c r="I47" t="s">
        <v>263</v>
      </c>
      <c r="J47" t="s">
        <v>3</v>
      </c>
      <c r="K47" t="s">
        <v>264</v>
      </c>
      <c r="L47">
        <v>1191</v>
      </c>
      <c r="N47">
        <v>1013</v>
      </c>
      <c r="O47" t="s">
        <v>265</v>
      </c>
      <c r="P47" t="s">
        <v>265</v>
      </c>
      <c r="Q47">
        <v>1</v>
      </c>
      <c r="W47">
        <v>0</v>
      </c>
      <c r="X47">
        <v>476480486</v>
      </c>
      <c r="Y47">
        <f t="shared" si="15"/>
        <v>2.3100000000000005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5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2.1</v>
      </c>
      <c r="AU47" t="s">
        <v>23</v>
      </c>
      <c r="AV47">
        <v>1</v>
      </c>
      <c r="AW47">
        <v>2</v>
      </c>
      <c r="AX47">
        <v>60258493</v>
      </c>
      <c r="AY47">
        <v>1</v>
      </c>
      <c r="AZ47">
        <v>0</v>
      </c>
      <c r="BA47">
        <v>58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ROUND(AT47*Source!I55*AH47*AL47,2)</f>
        <v>0</v>
      </c>
      <c r="CV47">
        <f>ROUND(Y47*Source!I55,9)</f>
        <v>41.58</v>
      </c>
      <c r="CW47">
        <v>0</v>
      </c>
      <c r="CX47">
        <f>ROUND(Y47*Source!I55,9)</f>
        <v>41.58</v>
      </c>
      <c r="CY47">
        <f>AD47</f>
        <v>0</v>
      </c>
      <c r="CZ47">
        <f>AH47</f>
        <v>0</v>
      </c>
      <c r="DA47">
        <f>AL47</f>
        <v>1</v>
      </c>
      <c r="DB47">
        <f t="shared" si="16"/>
        <v>0</v>
      </c>
      <c r="DC47">
        <f t="shared" si="17"/>
        <v>0</v>
      </c>
      <c r="DD47" t="s">
        <v>3</v>
      </c>
      <c r="DE47" t="s">
        <v>3</v>
      </c>
      <c r="DF47">
        <f t="shared" si="18"/>
        <v>0</v>
      </c>
      <c r="DG47">
        <f>ROUND(ROUND(AF47,2)*CX47,2)</f>
        <v>0</v>
      </c>
      <c r="DH47">
        <f>ROUND(ROUND(AG47,2)*CX47,2)</f>
        <v>0</v>
      </c>
      <c r="DI47">
        <f t="shared" si="13"/>
        <v>0</v>
      </c>
      <c r="DJ47">
        <f>DI47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ROW(Source!A55)</f>
        <v>55</v>
      </c>
      <c r="B48">
        <v>60258061</v>
      </c>
      <c r="C48">
        <v>60258240</v>
      </c>
      <c r="D48">
        <v>59069975</v>
      </c>
      <c r="E48">
        <v>1</v>
      </c>
      <c r="F48">
        <v>1</v>
      </c>
      <c r="G48">
        <v>1080</v>
      </c>
      <c r="H48">
        <v>2</v>
      </c>
      <c r="I48" t="s">
        <v>298</v>
      </c>
      <c r="J48" t="s">
        <v>299</v>
      </c>
      <c r="K48" t="s">
        <v>300</v>
      </c>
      <c r="L48">
        <v>1368</v>
      </c>
      <c r="N48">
        <v>1011</v>
      </c>
      <c r="O48" t="s">
        <v>269</v>
      </c>
      <c r="P48" t="s">
        <v>269</v>
      </c>
      <c r="Q48">
        <v>1</v>
      </c>
      <c r="W48">
        <v>0</v>
      </c>
      <c r="X48">
        <v>518089143</v>
      </c>
      <c r="Y48">
        <f t="shared" si="15"/>
        <v>8.8000000000000009E-2</v>
      </c>
      <c r="AA48">
        <v>0</v>
      </c>
      <c r="AB48">
        <v>1858.71</v>
      </c>
      <c r="AC48">
        <v>726.59</v>
      </c>
      <c r="AD48">
        <v>0</v>
      </c>
      <c r="AE48">
        <v>0</v>
      </c>
      <c r="AF48">
        <v>114.83</v>
      </c>
      <c r="AG48">
        <v>12.62</v>
      </c>
      <c r="AH48">
        <v>0</v>
      </c>
      <c r="AI48">
        <v>1</v>
      </c>
      <c r="AJ48">
        <v>15.46</v>
      </c>
      <c r="AK48">
        <v>54.99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0.08</v>
      </c>
      <c r="AU48" t="s">
        <v>23</v>
      </c>
      <c r="AV48">
        <v>0</v>
      </c>
      <c r="AW48">
        <v>2</v>
      </c>
      <c r="AX48">
        <v>60258494</v>
      </c>
      <c r="AY48">
        <v>1</v>
      </c>
      <c r="AZ48">
        <v>0</v>
      </c>
      <c r="BA48">
        <v>59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ROUND(Y48*Source!I55*DO48,9)</f>
        <v>19.990079999999999</v>
      </c>
      <c r="CX48">
        <f>ROUND(Y48*Source!I55,9)</f>
        <v>1.5840000000000001</v>
      </c>
      <c r="CY48">
        <f>AB48</f>
        <v>1858.71</v>
      </c>
      <c r="CZ48">
        <f>AF48</f>
        <v>114.83</v>
      </c>
      <c r="DA48">
        <f>AJ48</f>
        <v>15.46</v>
      </c>
      <c r="DB48">
        <f t="shared" si="16"/>
        <v>10.109</v>
      </c>
      <c r="DC48">
        <f t="shared" si="17"/>
        <v>1.111</v>
      </c>
      <c r="DD48" t="s">
        <v>3</v>
      </c>
      <c r="DE48" t="s">
        <v>3</v>
      </c>
      <c r="DF48">
        <f t="shared" si="18"/>
        <v>0</v>
      </c>
      <c r="DG48">
        <f>ROUND(ROUND(AF48*AJ48,2)*CX48,2)</f>
        <v>2812.03</v>
      </c>
      <c r="DH48">
        <f>ROUND(ROUND(AG48*AK48,2)*CX48,2)</f>
        <v>1099.25</v>
      </c>
      <c r="DI48">
        <f t="shared" si="13"/>
        <v>0</v>
      </c>
      <c r="DJ48">
        <f>DG48</f>
        <v>2812.03</v>
      </c>
      <c r="DK48">
        <v>0</v>
      </c>
      <c r="DL48" t="s">
        <v>270</v>
      </c>
      <c r="DM48">
        <v>0</v>
      </c>
      <c r="DN48" t="s">
        <v>265</v>
      </c>
      <c r="DO48">
        <v>12.62</v>
      </c>
    </row>
    <row r="49" spans="1:119" x14ac:dyDescent="0.2">
      <c r="A49">
        <f>ROW(Source!A58)</f>
        <v>58</v>
      </c>
      <c r="B49">
        <v>60258064</v>
      </c>
      <c r="C49">
        <v>60258247</v>
      </c>
      <c r="D49">
        <v>58999254</v>
      </c>
      <c r="E49">
        <v>1080</v>
      </c>
      <c r="F49">
        <v>1</v>
      </c>
      <c r="G49">
        <v>1080</v>
      </c>
      <c r="H49">
        <v>1</v>
      </c>
      <c r="I49" t="s">
        <v>263</v>
      </c>
      <c r="J49" t="s">
        <v>3</v>
      </c>
      <c r="K49" t="s">
        <v>264</v>
      </c>
      <c r="L49">
        <v>1191</v>
      </c>
      <c r="N49">
        <v>1013</v>
      </c>
      <c r="O49" t="s">
        <v>265</v>
      </c>
      <c r="P49" t="s">
        <v>265</v>
      </c>
      <c r="Q49">
        <v>1</v>
      </c>
      <c r="W49">
        <v>0</v>
      </c>
      <c r="X49">
        <v>476480486</v>
      </c>
      <c r="Y49">
        <f t="shared" si="15"/>
        <v>2.3100000000000005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2.1</v>
      </c>
      <c r="AU49" t="s">
        <v>23</v>
      </c>
      <c r="AV49">
        <v>1</v>
      </c>
      <c r="AW49">
        <v>2</v>
      </c>
      <c r="AX49">
        <v>60258496</v>
      </c>
      <c r="AY49">
        <v>1</v>
      </c>
      <c r="AZ49">
        <v>0</v>
      </c>
      <c r="BA49">
        <v>61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ROUND(AT49*Source!I58*AH49*AL49,2)</f>
        <v>0</v>
      </c>
      <c r="CV49">
        <f>ROUND(Y49*Source!I58,9)</f>
        <v>6.93</v>
      </c>
      <c r="CW49">
        <v>0</v>
      </c>
      <c r="CX49">
        <f>ROUND(Y49*Source!I58,9)</f>
        <v>6.93</v>
      </c>
      <c r="CY49">
        <f>AD49</f>
        <v>0</v>
      </c>
      <c r="CZ49">
        <f>AH49</f>
        <v>0</v>
      </c>
      <c r="DA49">
        <f>AL49</f>
        <v>1</v>
      </c>
      <c r="DB49">
        <f t="shared" si="16"/>
        <v>0</v>
      </c>
      <c r="DC49">
        <f t="shared" si="17"/>
        <v>0</v>
      </c>
      <c r="DD49" t="s">
        <v>3</v>
      </c>
      <c r="DE49" t="s">
        <v>3</v>
      </c>
      <c r="DF49">
        <f t="shared" si="18"/>
        <v>0</v>
      </c>
      <c r="DG49">
        <f>ROUND(ROUND(AF49,2)*CX49,2)</f>
        <v>0</v>
      </c>
      <c r="DH49">
        <f>ROUND(ROUND(AG49,2)*CX49,2)</f>
        <v>0</v>
      </c>
      <c r="DI49">
        <f t="shared" si="13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ROW(Source!A58)</f>
        <v>58</v>
      </c>
      <c r="B50">
        <v>60258064</v>
      </c>
      <c r="C50">
        <v>60258247</v>
      </c>
      <c r="D50">
        <v>59069975</v>
      </c>
      <c r="E50">
        <v>1</v>
      </c>
      <c r="F50">
        <v>1</v>
      </c>
      <c r="G50">
        <v>1080</v>
      </c>
      <c r="H50">
        <v>2</v>
      </c>
      <c r="I50" t="s">
        <v>298</v>
      </c>
      <c r="J50" t="s">
        <v>299</v>
      </c>
      <c r="K50" t="s">
        <v>300</v>
      </c>
      <c r="L50">
        <v>1368</v>
      </c>
      <c r="N50">
        <v>1011</v>
      </c>
      <c r="O50" t="s">
        <v>269</v>
      </c>
      <c r="P50" t="s">
        <v>269</v>
      </c>
      <c r="Q50">
        <v>1</v>
      </c>
      <c r="W50">
        <v>0</v>
      </c>
      <c r="X50">
        <v>518089143</v>
      </c>
      <c r="Y50">
        <f t="shared" si="15"/>
        <v>8.8000000000000009E-2</v>
      </c>
      <c r="AA50">
        <v>0</v>
      </c>
      <c r="AB50">
        <v>120.23</v>
      </c>
      <c r="AC50">
        <v>13.21</v>
      </c>
      <c r="AD50">
        <v>0</v>
      </c>
      <c r="AE50">
        <v>0</v>
      </c>
      <c r="AF50">
        <v>114.83</v>
      </c>
      <c r="AG50">
        <v>12.62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0.08</v>
      </c>
      <c r="AU50" t="s">
        <v>23</v>
      </c>
      <c r="AV50">
        <v>0</v>
      </c>
      <c r="AW50">
        <v>2</v>
      </c>
      <c r="AX50">
        <v>60258497</v>
      </c>
      <c r="AY50">
        <v>1</v>
      </c>
      <c r="AZ50">
        <v>0</v>
      </c>
      <c r="BA50">
        <v>62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ROUND(Y50*Source!I58*DO50,9)</f>
        <v>3.33168</v>
      </c>
      <c r="CX50">
        <f>ROUND(Y50*Source!I58,9)</f>
        <v>0.26400000000000001</v>
      </c>
      <c r="CY50">
        <f>AB50</f>
        <v>120.23</v>
      </c>
      <c r="CZ50">
        <f>AF50</f>
        <v>114.83</v>
      </c>
      <c r="DA50">
        <f>AJ50</f>
        <v>1</v>
      </c>
      <c r="DB50">
        <f t="shared" si="16"/>
        <v>10.109</v>
      </c>
      <c r="DC50">
        <f t="shared" si="17"/>
        <v>1.111</v>
      </c>
      <c r="DD50" t="s">
        <v>3</v>
      </c>
      <c r="DE50" t="s">
        <v>3</v>
      </c>
      <c r="DF50">
        <f t="shared" si="18"/>
        <v>0</v>
      </c>
      <c r="DG50">
        <f>ROUND(ROUND(AF50,2)*CX50,2)</f>
        <v>30.32</v>
      </c>
      <c r="DH50">
        <f>ROUND(ROUND(AG50,2)*CX50,2)</f>
        <v>3.33</v>
      </c>
      <c r="DI50">
        <f t="shared" si="13"/>
        <v>0</v>
      </c>
      <c r="DJ50">
        <f>DG50</f>
        <v>30.32</v>
      </c>
      <c r="DK50">
        <v>0</v>
      </c>
      <c r="DL50" t="s">
        <v>270</v>
      </c>
      <c r="DM50">
        <v>0</v>
      </c>
      <c r="DN50" t="s">
        <v>265</v>
      </c>
      <c r="DO50">
        <v>12.62</v>
      </c>
    </row>
    <row r="51" spans="1:119" x14ac:dyDescent="0.2">
      <c r="A51">
        <f>ROW(Source!A59)</f>
        <v>59</v>
      </c>
      <c r="B51">
        <v>60258061</v>
      </c>
      <c r="C51">
        <v>60258247</v>
      </c>
      <c r="D51">
        <v>58999254</v>
      </c>
      <c r="E51">
        <v>1080</v>
      </c>
      <c r="F51">
        <v>1</v>
      </c>
      <c r="G51">
        <v>1080</v>
      </c>
      <c r="H51">
        <v>1</v>
      </c>
      <c r="I51" t="s">
        <v>263</v>
      </c>
      <c r="J51" t="s">
        <v>3</v>
      </c>
      <c r="K51" t="s">
        <v>264</v>
      </c>
      <c r="L51">
        <v>1191</v>
      </c>
      <c r="N51">
        <v>1013</v>
      </c>
      <c r="O51" t="s">
        <v>265</v>
      </c>
      <c r="P51" t="s">
        <v>265</v>
      </c>
      <c r="Q51">
        <v>1</v>
      </c>
      <c r="W51">
        <v>0</v>
      </c>
      <c r="X51">
        <v>476480486</v>
      </c>
      <c r="Y51">
        <f t="shared" si="15"/>
        <v>2.3100000000000005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5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2.1</v>
      </c>
      <c r="AU51" t="s">
        <v>23</v>
      </c>
      <c r="AV51">
        <v>1</v>
      </c>
      <c r="AW51">
        <v>2</v>
      </c>
      <c r="AX51">
        <v>60258496</v>
      </c>
      <c r="AY51">
        <v>1</v>
      </c>
      <c r="AZ51">
        <v>0</v>
      </c>
      <c r="BA51">
        <v>64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ROUND(AT51*Source!I59*AH51*AL51,2)</f>
        <v>0</v>
      </c>
      <c r="CV51">
        <f>ROUND(Y51*Source!I59,9)</f>
        <v>6.93</v>
      </c>
      <c r="CW51">
        <v>0</v>
      </c>
      <c r="CX51">
        <f>ROUND(Y51*Source!I59,9)</f>
        <v>6.93</v>
      </c>
      <c r="CY51">
        <f>AD51</f>
        <v>0</v>
      </c>
      <c r="CZ51">
        <f>AH51</f>
        <v>0</v>
      </c>
      <c r="DA51">
        <f>AL51</f>
        <v>1</v>
      </c>
      <c r="DB51">
        <f t="shared" si="16"/>
        <v>0</v>
      </c>
      <c r="DC51">
        <f t="shared" si="17"/>
        <v>0</v>
      </c>
      <c r="DD51" t="s">
        <v>3</v>
      </c>
      <c r="DE51" t="s">
        <v>3</v>
      </c>
      <c r="DF51">
        <f t="shared" si="18"/>
        <v>0</v>
      </c>
      <c r="DG51">
        <f>ROUND(ROUND(AF51,2)*CX51,2)</f>
        <v>0</v>
      </c>
      <c r="DH51">
        <f>ROUND(ROUND(AG51,2)*CX51,2)</f>
        <v>0</v>
      </c>
      <c r="DI51">
        <f t="shared" si="13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ROW(Source!A59)</f>
        <v>59</v>
      </c>
      <c r="B52">
        <v>60258061</v>
      </c>
      <c r="C52">
        <v>60258247</v>
      </c>
      <c r="D52">
        <v>59069975</v>
      </c>
      <c r="E52">
        <v>1</v>
      </c>
      <c r="F52">
        <v>1</v>
      </c>
      <c r="G52">
        <v>1080</v>
      </c>
      <c r="H52">
        <v>2</v>
      </c>
      <c r="I52" t="s">
        <v>298</v>
      </c>
      <c r="J52" t="s">
        <v>299</v>
      </c>
      <c r="K52" t="s">
        <v>300</v>
      </c>
      <c r="L52">
        <v>1368</v>
      </c>
      <c r="N52">
        <v>1011</v>
      </c>
      <c r="O52" t="s">
        <v>269</v>
      </c>
      <c r="P52" t="s">
        <v>269</v>
      </c>
      <c r="Q52">
        <v>1</v>
      </c>
      <c r="W52">
        <v>0</v>
      </c>
      <c r="X52">
        <v>518089143</v>
      </c>
      <c r="Y52">
        <f t="shared" si="15"/>
        <v>8.8000000000000009E-2</v>
      </c>
      <c r="AA52">
        <v>0</v>
      </c>
      <c r="AB52">
        <v>1858.71</v>
      </c>
      <c r="AC52">
        <v>726.59</v>
      </c>
      <c r="AD52">
        <v>0</v>
      </c>
      <c r="AE52">
        <v>0</v>
      </c>
      <c r="AF52">
        <v>114.83</v>
      </c>
      <c r="AG52">
        <v>12.62</v>
      </c>
      <c r="AH52">
        <v>0</v>
      </c>
      <c r="AI52">
        <v>1</v>
      </c>
      <c r="AJ52">
        <v>15.46</v>
      </c>
      <c r="AK52">
        <v>54.99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0.08</v>
      </c>
      <c r="AU52" t="s">
        <v>23</v>
      </c>
      <c r="AV52">
        <v>0</v>
      </c>
      <c r="AW52">
        <v>2</v>
      </c>
      <c r="AX52">
        <v>60258497</v>
      </c>
      <c r="AY52">
        <v>1</v>
      </c>
      <c r="AZ52">
        <v>0</v>
      </c>
      <c r="BA52">
        <v>65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ROUND(Y52*Source!I59*DO52,9)</f>
        <v>3.33168</v>
      </c>
      <c r="CX52">
        <f>ROUND(Y52*Source!I59,9)</f>
        <v>0.26400000000000001</v>
      </c>
      <c r="CY52">
        <f>AB52</f>
        <v>1858.71</v>
      </c>
      <c r="CZ52">
        <f>AF52</f>
        <v>114.83</v>
      </c>
      <c r="DA52">
        <f>AJ52</f>
        <v>15.46</v>
      </c>
      <c r="DB52">
        <f t="shared" si="16"/>
        <v>10.109</v>
      </c>
      <c r="DC52">
        <f t="shared" si="17"/>
        <v>1.111</v>
      </c>
      <c r="DD52" t="s">
        <v>3</v>
      </c>
      <c r="DE52" t="s">
        <v>3</v>
      </c>
      <c r="DF52">
        <f t="shared" si="18"/>
        <v>0</v>
      </c>
      <c r="DG52">
        <f>ROUND(ROUND(AF52*AJ52,2)*CX52,2)</f>
        <v>468.67</v>
      </c>
      <c r="DH52">
        <f>ROUND(ROUND(AG52*AK52,2)*CX52,2)</f>
        <v>183.21</v>
      </c>
      <c r="DI52">
        <f t="shared" si="13"/>
        <v>0</v>
      </c>
      <c r="DJ52">
        <f>DG52</f>
        <v>468.67</v>
      </c>
      <c r="DK52">
        <v>0</v>
      </c>
      <c r="DL52" t="s">
        <v>270</v>
      </c>
      <c r="DM52">
        <v>0</v>
      </c>
      <c r="DN52" t="s">
        <v>265</v>
      </c>
      <c r="DO52">
        <v>12.62</v>
      </c>
    </row>
    <row r="53" spans="1:119" x14ac:dyDescent="0.2">
      <c r="A53">
        <f>ROW(Source!A62)</f>
        <v>62</v>
      </c>
      <c r="B53">
        <v>60258064</v>
      </c>
      <c r="C53">
        <v>60258254</v>
      </c>
      <c r="D53">
        <v>58999254</v>
      </c>
      <c r="E53">
        <v>1080</v>
      </c>
      <c r="F53">
        <v>1</v>
      </c>
      <c r="G53">
        <v>1080</v>
      </c>
      <c r="H53">
        <v>1</v>
      </c>
      <c r="I53" t="s">
        <v>263</v>
      </c>
      <c r="J53" t="s">
        <v>3</v>
      </c>
      <c r="K53" t="s">
        <v>264</v>
      </c>
      <c r="L53">
        <v>1191</v>
      </c>
      <c r="N53">
        <v>1013</v>
      </c>
      <c r="O53" t="s">
        <v>265</v>
      </c>
      <c r="P53" t="s">
        <v>265</v>
      </c>
      <c r="Q53">
        <v>1</v>
      </c>
      <c r="W53">
        <v>0</v>
      </c>
      <c r="X53">
        <v>476480486</v>
      </c>
      <c r="Y53">
        <f t="shared" si="15"/>
        <v>8.8000000000000007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8</v>
      </c>
      <c r="AU53" t="s">
        <v>23</v>
      </c>
      <c r="AV53">
        <v>1</v>
      </c>
      <c r="AW53">
        <v>2</v>
      </c>
      <c r="AX53">
        <v>60258499</v>
      </c>
      <c r="AY53">
        <v>1</v>
      </c>
      <c r="AZ53">
        <v>0</v>
      </c>
      <c r="BA53">
        <v>67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U53">
        <f>ROUND(AT53*Source!I62*AH53*AL53,2)</f>
        <v>0</v>
      </c>
      <c r="CV53">
        <f>ROUND(Y53*Source!I62,9)</f>
        <v>35.200000000000003</v>
      </c>
      <c r="CW53">
        <v>0</v>
      </c>
      <c r="CX53">
        <f>ROUND(Y53*Source!I62,9)</f>
        <v>35.200000000000003</v>
      </c>
      <c r="CY53">
        <f>AD53</f>
        <v>0</v>
      </c>
      <c r="CZ53">
        <f>AH53</f>
        <v>0</v>
      </c>
      <c r="DA53">
        <f>AL53</f>
        <v>1</v>
      </c>
      <c r="DB53">
        <f t="shared" si="16"/>
        <v>0</v>
      </c>
      <c r="DC53">
        <f t="shared" si="17"/>
        <v>0</v>
      </c>
      <c r="DD53" t="s">
        <v>3</v>
      </c>
      <c r="DE53" t="s">
        <v>3</v>
      </c>
      <c r="DF53">
        <f t="shared" si="18"/>
        <v>0</v>
      </c>
      <c r="DG53">
        <f t="shared" ref="DG53:DG83" si="19">ROUND(ROUND(AF53,2)*CX53,2)</f>
        <v>0</v>
      </c>
      <c r="DH53">
        <f t="shared" ref="DH53:DH83" si="20">ROUND(ROUND(AG53,2)*CX53,2)</f>
        <v>0</v>
      </c>
      <c r="DI53">
        <f t="shared" si="13"/>
        <v>0</v>
      </c>
      <c r="DJ53">
        <f>DI53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ROW(Source!A62)</f>
        <v>62</v>
      </c>
      <c r="B54">
        <v>60258064</v>
      </c>
      <c r="C54">
        <v>60258254</v>
      </c>
      <c r="D54">
        <v>59039909</v>
      </c>
      <c r="E54">
        <v>1</v>
      </c>
      <c r="F54">
        <v>1</v>
      </c>
      <c r="G54">
        <v>1080</v>
      </c>
      <c r="H54">
        <v>3</v>
      </c>
      <c r="I54" t="s">
        <v>307</v>
      </c>
      <c r="J54" t="s">
        <v>308</v>
      </c>
      <c r="K54" t="s">
        <v>309</v>
      </c>
      <c r="L54">
        <v>1348</v>
      </c>
      <c r="N54">
        <v>1009</v>
      </c>
      <c r="O54" t="s">
        <v>287</v>
      </c>
      <c r="P54" t="s">
        <v>287</v>
      </c>
      <c r="Q54">
        <v>1000</v>
      </c>
      <c r="W54">
        <v>0</v>
      </c>
      <c r="X54">
        <v>-1335589694</v>
      </c>
      <c r="Y54">
        <f>AT54</f>
        <v>5.0000000000000001E-4</v>
      </c>
      <c r="AA54">
        <v>17742.23</v>
      </c>
      <c r="AB54">
        <v>0</v>
      </c>
      <c r="AC54">
        <v>0</v>
      </c>
      <c r="AD54">
        <v>0</v>
      </c>
      <c r="AE54">
        <v>17742.23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5.0000000000000001E-4</v>
      </c>
      <c r="AU54" t="s">
        <v>3</v>
      </c>
      <c r="AV54">
        <v>0</v>
      </c>
      <c r="AW54">
        <v>2</v>
      </c>
      <c r="AX54">
        <v>60258500</v>
      </c>
      <c r="AY54">
        <v>1</v>
      </c>
      <c r="AZ54">
        <v>0</v>
      </c>
      <c r="BA54">
        <v>68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ROUND(Y54*Source!I62,9)</f>
        <v>2E-3</v>
      </c>
      <c r="CY54">
        <f>AA54</f>
        <v>17742.23</v>
      </c>
      <c r="CZ54">
        <f>AE54</f>
        <v>17742.23</v>
      </c>
      <c r="DA54">
        <f>AI54</f>
        <v>1</v>
      </c>
      <c r="DB54">
        <f>ROUND(ROUND(AT54*CZ54,2),6)</f>
        <v>8.8699999999999992</v>
      </c>
      <c r="DC54">
        <f>ROUND(ROUND(AT54*AG54,2),6)</f>
        <v>0</v>
      </c>
      <c r="DD54" t="s">
        <v>3</v>
      </c>
      <c r="DE54" t="s">
        <v>3</v>
      </c>
      <c r="DF54">
        <f t="shared" si="18"/>
        <v>35.479999999999997</v>
      </c>
      <c r="DG54">
        <f t="shared" si="19"/>
        <v>0</v>
      </c>
      <c r="DH54">
        <f t="shared" si="20"/>
        <v>0</v>
      </c>
      <c r="DI54">
        <f t="shared" si="13"/>
        <v>0</v>
      </c>
      <c r="DJ54">
        <f>DF54</f>
        <v>35.479999999999997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ROW(Source!A62)</f>
        <v>62</v>
      </c>
      <c r="B55">
        <v>60258064</v>
      </c>
      <c r="C55">
        <v>60258254</v>
      </c>
      <c r="D55">
        <v>59039462</v>
      </c>
      <c r="E55">
        <v>1</v>
      </c>
      <c r="F55">
        <v>1</v>
      </c>
      <c r="G55">
        <v>1080</v>
      </c>
      <c r="H55">
        <v>3</v>
      </c>
      <c r="I55" t="s">
        <v>304</v>
      </c>
      <c r="J55" t="s">
        <v>305</v>
      </c>
      <c r="K55" t="s">
        <v>306</v>
      </c>
      <c r="L55">
        <v>1348</v>
      </c>
      <c r="N55">
        <v>1009</v>
      </c>
      <c r="O55" t="s">
        <v>287</v>
      </c>
      <c r="P55" t="s">
        <v>287</v>
      </c>
      <c r="Q55">
        <v>1000</v>
      </c>
      <c r="W55">
        <v>0</v>
      </c>
      <c r="X55">
        <v>-1945031955</v>
      </c>
      <c r="Y55">
        <f>AT55</f>
        <v>3.1000000000000001E-5</v>
      </c>
      <c r="AA55">
        <v>64123.05</v>
      </c>
      <c r="AB55">
        <v>0</v>
      </c>
      <c r="AC55">
        <v>0</v>
      </c>
      <c r="AD55">
        <v>0</v>
      </c>
      <c r="AE55">
        <v>64123.05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3.1000000000000001E-5</v>
      </c>
      <c r="AU55" t="s">
        <v>3</v>
      </c>
      <c r="AV55">
        <v>0</v>
      </c>
      <c r="AW55">
        <v>2</v>
      </c>
      <c r="AX55">
        <v>60258501</v>
      </c>
      <c r="AY55">
        <v>1</v>
      </c>
      <c r="AZ55">
        <v>0</v>
      </c>
      <c r="BA55">
        <v>69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ROUND(Y55*Source!I62,9)</f>
        <v>1.2400000000000001E-4</v>
      </c>
      <c r="CY55">
        <f>AA55</f>
        <v>64123.05</v>
      </c>
      <c r="CZ55">
        <f>AE55</f>
        <v>64123.05</v>
      </c>
      <c r="DA55">
        <f>AI55</f>
        <v>1</v>
      </c>
      <c r="DB55">
        <f>ROUND(ROUND(AT55*CZ55,2),6)</f>
        <v>1.99</v>
      </c>
      <c r="DC55">
        <f>ROUND(ROUND(AT55*AG55,2),6)</f>
        <v>0</v>
      </c>
      <c r="DD55" t="s">
        <v>3</v>
      </c>
      <c r="DE55" t="s">
        <v>3</v>
      </c>
      <c r="DF55">
        <f t="shared" si="18"/>
        <v>7.95</v>
      </c>
      <c r="DG55">
        <f t="shared" si="19"/>
        <v>0</v>
      </c>
      <c r="DH55">
        <f t="shared" si="20"/>
        <v>0</v>
      </c>
      <c r="DI55">
        <f t="shared" si="13"/>
        <v>0</v>
      </c>
      <c r="DJ55">
        <f>DF55</f>
        <v>7.95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ROW(Source!A62)</f>
        <v>62</v>
      </c>
      <c r="B56">
        <v>60258064</v>
      </c>
      <c r="C56">
        <v>60258254</v>
      </c>
      <c r="D56">
        <v>59045949</v>
      </c>
      <c r="E56">
        <v>1</v>
      </c>
      <c r="F56">
        <v>1</v>
      </c>
      <c r="G56">
        <v>1080</v>
      </c>
      <c r="H56">
        <v>3</v>
      </c>
      <c r="I56" t="s">
        <v>288</v>
      </c>
      <c r="J56" t="s">
        <v>289</v>
      </c>
      <c r="K56" t="s">
        <v>290</v>
      </c>
      <c r="L56">
        <v>1349</v>
      </c>
      <c r="N56">
        <v>1009</v>
      </c>
      <c r="O56" t="s">
        <v>291</v>
      </c>
      <c r="P56" t="s">
        <v>291</v>
      </c>
      <c r="Q56">
        <v>1E-3</v>
      </c>
      <c r="W56">
        <v>0</v>
      </c>
      <c r="X56">
        <v>-2034308505</v>
      </c>
      <c r="Y56">
        <f>AT56</f>
        <v>6</v>
      </c>
      <c r="AA56">
        <v>7.0000000000000007E-2</v>
      </c>
      <c r="AB56">
        <v>0</v>
      </c>
      <c r="AC56">
        <v>0</v>
      </c>
      <c r="AD56">
        <v>0</v>
      </c>
      <c r="AE56">
        <v>7.0000000000000007E-2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6</v>
      </c>
      <c r="AU56" t="s">
        <v>3</v>
      </c>
      <c r="AV56">
        <v>0</v>
      </c>
      <c r="AW56">
        <v>2</v>
      </c>
      <c r="AX56">
        <v>60258502</v>
      </c>
      <c r="AY56">
        <v>1</v>
      </c>
      <c r="AZ56">
        <v>0</v>
      </c>
      <c r="BA56">
        <v>70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ROUND(Y56*Source!I62,9)</f>
        <v>24</v>
      </c>
      <c r="CY56">
        <f>AA56</f>
        <v>7.0000000000000007E-2</v>
      </c>
      <c r="CZ56">
        <f>AE56</f>
        <v>7.0000000000000007E-2</v>
      </c>
      <c r="DA56">
        <f>AI56</f>
        <v>1</v>
      </c>
      <c r="DB56">
        <f>ROUND(ROUND(AT56*CZ56,2),6)</f>
        <v>0.42</v>
      </c>
      <c r="DC56">
        <f>ROUND(ROUND(AT56*AG56,2),6)</f>
        <v>0</v>
      </c>
      <c r="DD56" t="s">
        <v>3</v>
      </c>
      <c r="DE56" t="s">
        <v>3</v>
      </c>
      <c r="DF56">
        <f t="shared" si="18"/>
        <v>1.68</v>
      </c>
      <c r="DG56">
        <f t="shared" si="19"/>
        <v>0</v>
      </c>
      <c r="DH56">
        <f t="shared" si="20"/>
        <v>0</v>
      </c>
      <c r="DI56">
        <f t="shared" si="13"/>
        <v>0</v>
      </c>
      <c r="DJ56">
        <f>DF56</f>
        <v>1.68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ROW(Source!A62)</f>
        <v>62</v>
      </c>
      <c r="B57">
        <v>60258064</v>
      </c>
      <c r="C57">
        <v>60258254</v>
      </c>
      <c r="D57">
        <v>59062764</v>
      </c>
      <c r="E57">
        <v>1</v>
      </c>
      <c r="F57">
        <v>1</v>
      </c>
      <c r="G57">
        <v>1080</v>
      </c>
      <c r="H57">
        <v>3</v>
      </c>
      <c r="I57" t="s">
        <v>310</v>
      </c>
      <c r="J57" t="s">
        <v>311</v>
      </c>
      <c r="K57" t="s">
        <v>312</v>
      </c>
      <c r="L57">
        <v>1346</v>
      </c>
      <c r="N57">
        <v>1009</v>
      </c>
      <c r="O57" t="s">
        <v>313</v>
      </c>
      <c r="P57" t="s">
        <v>313</v>
      </c>
      <c r="Q57">
        <v>1</v>
      </c>
      <c r="W57">
        <v>0</v>
      </c>
      <c r="X57">
        <v>-164740653</v>
      </c>
      <c r="Y57">
        <f>AT57</f>
        <v>2.5999999999999999E-2</v>
      </c>
      <c r="AA57">
        <v>493.08</v>
      </c>
      <c r="AB57">
        <v>0</v>
      </c>
      <c r="AC57">
        <v>0</v>
      </c>
      <c r="AD57">
        <v>0</v>
      </c>
      <c r="AE57">
        <v>493.08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2.5999999999999999E-2</v>
      </c>
      <c r="AU57" t="s">
        <v>3</v>
      </c>
      <c r="AV57">
        <v>0</v>
      </c>
      <c r="AW57">
        <v>2</v>
      </c>
      <c r="AX57">
        <v>60258503</v>
      </c>
      <c r="AY57">
        <v>1</v>
      </c>
      <c r="AZ57">
        <v>0</v>
      </c>
      <c r="BA57">
        <v>71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ROUND(Y57*Source!I62,9)</f>
        <v>0.104</v>
      </c>
      <c r="CY57">
        <f>AA57</f>
        <v>493.08</v>
      </c>
      <c r="CZ57">
        <f>AE57</f>
        <v>493.08</v>
      </c>
      <c r="DA57">
        <f>AI57</f>
        <v>1</v>
      </c>
      <c r="DB57">
        <f>ROUND(ROUND(AT57*CZ57,2),6)</f>
        <v>12.82</v>
      </c>
      <c r="DC57">
        <f>ROUND(ROUND(AT57*AG57,2),6)</f>
        <v>0</v>
      </c>
      <c r="DD57" t="s">
        <v>3</v>
      </c>
      <c r="DE57" t="s">
        <v>3</v>
      </c>
      <c r="DF57">
        <f t="shared" si="18"/>
        <v>51.28</v>
      </c>
      <c r="DG57">
        <f t="shared" si="19"/>
        <v>0</v>
      </c>
      <c r="DH57">
        <f t="shared" si="20"/>
        <v>0</v>
      </c>
      <c r="DI57">
        <f t="shared" si="13"/>
        <v>0</v>
      </c>
      <c r="DJ57">
        <f>DF57</f>
        <v>51.28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ROW(Source!A63)</f>
        <v>63</v>
      </c>
      <c r="B58">
        <v>60258061</v>
      </c>
      <c r="C58">
        <v>60258254</v>
      </c>
      <c r="D58">
        <v>58999254</v>
      </c>
      <c r="E58">
        <v>1080</v>
      </c>
      <c r="F58">
        <v>1</v>
      </c>
      <c r="G58">
        <v>1080</v>
      </c>
      <c r="H58">
        <v>1</v>
      </c>
      <c r="I58" t="s">
        <v>263</v>
      </c>
      <c r="J58" t="s">
        <v>3</v>
      </c>
      <c r="K58" t="s">
        <v>264</v>
      </c>
      <c r="L58">
        <v>1191</v>
      </c>
      <c r="N58">
        <v>1013</v>
      </c>
      <c r="O58" t="s">
        <v>265</v>
      </c>
      <c r="P58" t="s">
        <v>265</v>
      </c>
      <c r="Q58">
        <v>1</v>
      </c>
      <c r="W58">
        <v>0</v>
      </c>
      <c r="X58">
        <v>476480486</v>
      </c>
      <c r="Y58">
        <f>(AT58*1.1)</f>
        <v>8.8000000000000007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5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8</v>
      </c>
      <c r="AU58" t="s">
        <v>23</v>
      </c>
      <c r="AV58">
        <v>1</v>
      </c>
      <c r="AW58">
        <v>2</v>
      </c>
      <c r="AX58">
        <v>60258499</v>
      </c>
      <c r="AY58">
        <v>1</v>
      </c>
      <c r="AZ58">
        <v>0</v>
      </c>
      <c r="BA58">
        <v>73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U58">
        <f>ROUND(AT58*Source!I63*AH58*AL58,2)</f>
        <v>0</v>
      </c>
      <c r="CV58">
        <f>ROUND(Y58*Source!I63,9)</f>
        <v>35.200000000000003</v>
      </c>
      <c r="CW58">
        <v>0</v>
      </c>
      <c r="CX58">
        <f>ROUND(Y58*Source!I63,9)</f>
        <v>35.200000000000003</v>
      </c>
      <c r="CY58">
        <f>AD58</f>
        <v>0</v>
      </c>
      <c r="CZ58">
        <f>AH58</f>
        <v>0</v>
      </c>
      <c r="DA58">
        <f>AL58</f>
        <v>1</v>
      </c>
      <c r="DB58">
        <f>ROUND((ROUND(AT58*CZ58,2)*1.1),6)</f>
        <v>0</v>
      </c>
      <c r="DC58">
        <f>ROUND((ROUND(AT58*AG58,2)*1.1),6)</f>
        <v>0</v>
      </c>
      <c r="DD58" t="s">
        <v>3</v>
      </c>
      <c r="DE58" t="s">
        <v>3</v>
      </c>
      <c r="DF58">
        <f t="shared" si="18"/>
        <v>0</v>
      </c>
      <c r="DG58">
        <f t="shared" si="19"/>
        <v>0</v>
      </c>
      <c r="DH58">
        <f t="shared" si="20"/>
        <v>0</v>
      </c>
      <c r="DI58">
        <f t="shared" si="13"/>
        <v>0</v>
      </c>
      <c r="DJ58">
        <f>DI58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ROW(Source!A63)</f>
        <v>63</v>
      </c>
      <c r="B59">
        <v>60258061</v>
      </c>
      <c r="C59">
        <v>60258254</v>
      </c>
      <c r="D59">
        <v>59039909</v>
      </c>
      <c r="E59">
        <v>1</v>
      </c>
      <c r="F59">
        <v>1</v>
      </c>
      <c r="G59">
        <v>1080</v>
      </c>
      <c r="H59">
        <v>3</v>
      </c>
      <c r="I59" t="s">
        <v>307</v>
      </c>
      <c r="J59" t="s">
        <v>308</v>
      </c>
      <c r="K59" t="s">
        <v>309</v>
      </c>
      <c r="L59">
        <v>1348</v>
      </c>
      <c r="N59">
        <v>1009</v>
      </c>
      <c r="O59" t="s">
        <v>287</v>
      </c>
      <c r="P59" t="s">
        <v>287</v>
      </c>
      <c r="Q59">
        <v>1000</v>
      </c>
      <c r="W59">
        <v>0</v>
      </c>
      <c r="X59">
        <v>-1335589694</v>
      </c>
      <c r="Y59">
        <f>AT59</f>
        <v>5.0000000000000001E-4</v>
      </c>
      <c r="AA59">
        <v>105034</v>
      </c>
      <c r="AB59">
        <v>0</v>
      </c>
      <c r="AC59">
        <v>0</v>
      </c>
      <c r="AD59">
        <v>0</v>
      </c>
      <c r="AE59">
        <v>17742.23</v>
      </c>
      <c r="AF59">
        <v>0</v>
      </c>
      <c r="AG59">
        <v>0</v>
      </c>
      <c r="AH59">
        <v>0</v>
      </c>
      <c r="AI59">
        <v>5.92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5.0000000000000001E-4</v>
      </c>
      <c r="AU59" t="s">
        <v>3</v>
      </c>
      <c r="AV59">
        <v>0</v>
      </c>
      <c r="AW59">
        <v>2</v>
      </c>
      <c r="AX59">
        <v>60258500</v>
      </c>
      <c r="AY59">
        <v>1</v>
      </c>
      <c r="AZ59">
        <v>0</v>
      </c>
      <c r="BA59">
        <v>74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ROUND(Y59*Source!I63,9)</f>
        <v>2E-3</v>
      </c>
      <c r="CY59">
        <f>AA59</f>
        <v>105034</v>
      </c>
      <c r="CZ59">
        <f>AE59</f>
        <v>17742.23</v>
      </c>
      <c r="DA59">
        <f>AI59</f>
        <v>5.92</v>
      </c>
      <c r="DB59">
        <f>ROUND(ROUND(AT59*CZ59,2),6)</f>
        <v>8.8699999999999992</v>
      </c>
      <c r="DC59">
        <f>ROUND(ROUND(AT59*AG59,2),6)</f>
        <v>0</v>
      </c>
      <c r="DD59" t="s">
        <v>3</v>
      </c>
      <c r="DE59" t="s">
        <v>3</v>
      </c>
      <c r="DF59">
        <f>ROUND(ROUND(AE59*AI59,2)*CX59,2)</f>
        <v>210.07</v>
      </c>
      <c r="DG59">
        <f t="shared" si="19"/>
        <v>0</v>
      </c>
      <c r="DH59">
        <f t="shared" si="20"/>
        <v>0</v>
      </c>
      <c r="DI59">
        <f t="shared" si="13"/>
        <v>0</v>
      </c>
      <c r="DJ59">
        <f>DF59</f>
        <v>210.07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ROW(Source!A63)</f>
        <v>63</v>
      </c>
      <c r="B60">
        <v>60258061</v>
      </c>
      <c r="C60">
        <v>60258254</v>
      </c>
      <c r="D60">
        <v>59039462</v>
      </c>
      <c r="E60">
        <v>1</v>
      </c>
      <c r="F60">
        <v>1</v>
      </c>
      <c r="G60">
        <v>1080</v>
      </c>
      <c r="H60">
        <v>3</v>
      </c>
      <c r="I60" t="s">
        <v>304</v>
      </c>
      <c r="J60" t="s">
        <v>305</v>
      </c>
      <c r="K60" t="s">
        <v>306</v>
      </c>
      <c r="L60">
        <v>1348</v>
      </c>
      <c r="N60">
        <v>1009</v>
      </c>
      <c r="O60" t="s">
        <v>287</v>
      </c>
      <c r="P60" t="s">
        <v>287</v>
      </c>
      <c r="Q60">
        <v>1000</v>
      </c>
      <c r="W60">
        <v>0</v>
      </c>
      <c r="X60">
        <v>-1945031955</v>
      </c>
      <c r="Y60">
        <f>AT60</f>
        <v>3.1000000000000001E-5</v>
      </c>
      <c r="AA60">
        <v>1930103.81</v>
      </c>
      <c r="AB60">
        <v>0</v>
      </c>
      <c r="AC60">
        <v>0</v>
      </c>
      <c r="AD60">
        <v>0</v>
      </c>
      <c r="AE60">
        <v>64123.05</v>
      </c>
      <c r="AF60">
        <v>0</v>
      </c>
      <c r="AG60">
        <v>0</v>
      </c>
      <c r="AH60">
        <v>0</v>
      </c>
      <c r="AI60">
        <v>30.1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3.1000000000000001E-5</v>
      </c>
      <c r="AU60" t="s">
        <v>3</v>
      </c>
      <c r="AV60">
        <v>0</v>
      </c>
      <c r="AW60">
        <v>2</v>
      </c>
      <c r="AX60">
        <v>60258501</v>
      </c>
      <c r="AY60">
        <v>1</v>
      </c>
      <c r="AZ60">
        <v>0</v>
      </c>
      <c r="BA60">
        <v>75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ROUND(Y60*Source!I63,9)</f>
        <v>1.2400000000000001E-4</v>
      </c>
      <c r="CY60">
        <f>AA60</f>
        <v>1930103.81</v>
      </c>
      <c r="CZ60">
        <f>AE60</f>
        <v>64123.05</v>
      </c>
      <c r="DA60">
        <f>AI60</f>
        <v>30.1</v>
      </c>
      <c r="DB60">
        <f>ROUND(ROUND(AT60*CZ60,2),6)</f>
        <v>1.99</v>
      </c>
      <c r="DC60">
        <f>ROUND(ROUND(AT60*AG60,2),6)</f>
        <v>0</v>
      </c>
      <c r="DD60" t="s">
        <v>3</v>
      </c>
      <c r="DE60" t="s">
        <v>3</v>
      </c>
      <c r="DF60">
        <f>ROUND(ROUND(AE60*AI60,2)*CX60,2)</f>
        <v>239.33</v>
      </c>
      <c r="DG60">
        <f t="shared" si="19"/>
        <v>0</v>
      </c>
      <c r="DH60">
        <f t="shared" si="20"/>
        <v>0</v>
      </c>
      <c r="DI60">
        <f t="shared" si="13"/>
        <v>0</v>
      </c>
      <c r="DJ60">
        <f>DF60</f>
        <v>239.33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ROW(Source!A63)</f>
        <v>63</v>
      </c>
      <c r="B61">
        <v>60258061</v>
      </c>
      <c r="C61">
        <v>60258254</v>
      </c>
      <c r="D61">
        <v>59045949</v>
      </c>
      <c r="E61">
        <v>1</v>
      </c>
      <c r="F61">
        <v>1</v>
      </c>
      <c r="G61">
        <v>1080</v>
      </c>
      <c r="H61">
        <v>3</v>
      </c>
      <c r="I61" t="s">
        <v>288</v>
      </c>
      <c r="J61" t="s">
        <v>289</v>
      </c>
      <c r="K61" t="s">
        <v>290</v>
      </c>
      <c r="L61">
        <v>1349</v>
      </c>
      <c r="N61">
        <v>1009</v>
      </c>
      <c r="O61" t="s">
        <v>291</v>
      </c>
      <c r="P61" t="s">
        <v>291</v>
      </c>
      <c r="Q61">
        <v>1E-3</v>
      </c>
      <c r="W61">
        <v>0</v>
      </c>
      <c r="X61">
        <v>-2034308505</v>
      </c>
      <c r="Y61">
        <f>AT61</f>
        <v>6</v>
      </c>
      <c r="AA61">
        <v>0.44</v>
      </c>
      <c r="AB61">
        <v>0</v>
      </c>
      <c r="AC61">
        <v>0</v>
      </c>
      <c r="AD61">
        <v>0</v>
      </c>
      <c r="AE61">
        <v>7.0000000000000007E-2</v>
      </c>
      <c r="AF61">
        <v>0</v>
      </c>
      <c r="AG61">
        <v>0</v>
      </c>
      <c r="AH61">
        <v>0</v>
      </c>
      <c r="AI61">
        <v>6.29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6</v>
      </c>
      <c r="AU61" t="s">
        <v>3</v>
      </c>
      <c r="AV61">
        <v>0</v>
      </c>
      <c r="AW61">
        <v>2</v>
      </c>
      <c r="AX61">
        <v>60258502</v>
      </c>
      <c r="AY61">
        <v>1</v>
      </c>
      <c r="AZ61">
        <v>0</v>
      </c>
      <c r="BA61">
        <v>76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ROUND(Y61*Source!I63,9)</f>
        <v>24</v>
      </c>
      <c r="CY61">
        <f>AA61</f>
        <v>0.44</v>
      </c>
      <c r="CZ61">
        <f>AE61</f>
        <v>7.0000000000000007E-2</v>
      </c>
      <c r="DA61">
        <f>AI61</f>
        <v>6.29</v>
      </c>
      <c r="DB61">
        <f>ROUND(ROUND(AT61*CZ61,2),6)</f>
        <v>0.42</v>
      </c>
      <c r="DC61">
        <f>ROUND(ROUND(AT61*AG61,2),6)</f>
        <v>0</v>
      </c>
      <c r="DD61" t="s">
        <v>3</v>
      </c>
      <c r="DE61" t="s">
        <v>3</v>
      </c>
      <c r="DF61">
        <f>ROUND(ROUND(AE61*AI61,2)*CX61,2)</f>
        <v>10.56</v>
      </c>
      <c r="DG61">
        <f t="shared" si="19"/>
        <v>0</v>
      </c>
      <c r="DH61">
        <f t="shared" si="20"/>
        <v>0</v>
      </c>
      <c r="DI61">
        <f t="shared" si="13"/>
        <v>0</v>
      </c>
      <c r="DJ61">
        <f>DF61</f>
        <v>10.56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ROW(Source!A63)</f>
        <v>63</v>
      </c>
      <c r="B62">
        <v>60258061</v>
      </c>
      <c r="C62">
        <v>60258254</v>
      </c>
      <c r="D62">
        <v>59062764</v>
      </c>
      <c r="E62">
        <v>1</v>
      </c>
      <c r="F62">
        <v>1</v>
      </c>
      <c r="G62">
        <v>1080</v>
      </c>
      <c r="H62">
        <v>3</v>
      </c>
      <c r="I62" t="s">
        <v>310</v>
      </c>
      <c r="J62" t="s">
        <v>311</v>
      </c>
      <c r="K62" t="s">
        <v>312</v>
      </c>
      <c r="L62">
        <v>1346</v>
      </c>
      <c r="N62">
        <v>1009</v>
      </c>
      <c r="O62" t="s">
        <v>313</v>
      </c>
      <c r="P62" t="s">
        <v>313</v>
      </c>
      <c r="Q62">
        <v>1</v>
      </c>
      <c r="W62">
        <v>0</v>
      </c>
      <c r="X62">
        <v>-164740653</v>
      </c>
      <c r="Y62">
        <f>AT62</f>
        <v>2.5999999999999999E-2</v>
      </c>
      <c r="AA62">
        <v>3047.23</v>
      </c>
      <c r="AB62">
        <v>0</v>
      </c>
      <c r="AC62">
        <v>0</v>
      </c>
      <c r="AD62">
        <v>0</v>
      </c>
      <c r="AE62">
        <v>493.08</v>
      </c>
      <c r="AF62">
        <v>0</v>
      </c>
      <c r="AG62">
        <v>0</v>
      </c>
      <c r="AH62">
        <v>0</v>
      </c>
      <c r="AI62">
        <v>6.18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2.5999999999999999E-2</v>
      </c>
      <c r="AU62" t="s">
        <v>3</v>
      </c>
      <c r="AV62">
        <v>0</v>
      </c>
      <c r="AW62">
        <v>2</v>
      </c>
      <c r="AX62">
        <v>60258503</v>
      </c>
      <c r="AY62">
        <v>1</v>
      </c>
      <c r="AZ62">
        <v>0</v>
      </c>
      <c r="BA62">
        <v>77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ROUND(Y62*Source!I63,9)</f>
        <v>0.104</v>
      </c>
      <c r="CY62">
        <f>AA62</f>
        <v>3047.23</v>
      </c>
      <c r="CZ62">
        <f>AE62</f>
        <v>493.08</v>
      </c>
      <c r="DA62">
        <f>AI62</f>
        <v>6.18</v>
      </c>
      <c r="DB62">
        <f>ROUND(ROUND(AT62*CZ62,2),6)</f>
        <v>12.82</v>
      </c>
      <c r="DC62">
        <f>ROUND(ROUND(AT62*AG62,2),6)</f>
        <v>0</v>
      </c>
      <c r="DD62" t="s">
        <v>3</v>
      </c>
      <c r="DE62" t="s">
        <v>3</v>
      </c>
      <c r="DF62">
        <f>ROUND(ROUND(AE62*AI62,2)*CX62,2)</f>
        <v>316.91000000000003</v>
      </c>
      <c r="DG62">
        <f t="shared" si="19"/>
        <v>0</v>
      </c>
      <c r="DH62">
        <f t="shared" si="20"/>
        <v>0</v>
      </c>
      <c r="DI62">
        <f t="shared" si="13"/>
        <v>0</v>
      </c>
      <c r="DJ62">
        <f>DF62</f>
        <v>316.91000000000003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ROW(Source!A68)</f>
        <v>68</v>
      </c>
      <c r="B63">
        <v>60258064</v>
      </c>
      <c r="C63">
        <v>60258268</v>
      </c>
      <c r="D63">
        <v>58999254</v>
      </c>
      <c r="E63">
        <v>1080</v>
      </c>
      <c r="F63">
        <v>1</v>
      </c>
      <c r="G63">
        <v>1080</v>
      </c>
      <c r="H63">
        <v>1</v>
      </c>
      <c r="I63" t="s">
        <v>263</v>
      </c>
      <c r="J63" t="s">
        <v>3</v>
      </c>
      <c r="K63" t="s">
        <v>264</v>
      </c>
      <c r="L63">
        <v>1191</v>
      </c>
      <c r="N63">
        <v>1013</v>
      </c>
      <c r="O63" t="s">
        <v>265</v>
      </c>
      <c r="P63" t="s">
        <v>265</v>
      </c>
      <c r="Q63">
        <v>1</v>
      </c>
      <c r="W63">
        <v>0</v>
      </c>
      <c r="X63">
        <v>476480486</v>
      </c>
      <c r="Y63">
        <f>(AT63*1.1)</f>
        <v>7.7000000000000011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7</v>
      </c>
      <c r="AU63" t="s">
        <v>23</v>
      </c>
      <c r="AV63">
        <v>1</v>
      </c>
      <c r="AW63">
        <v>2</v>
      </c>
      <c r="AX63">
        <v>60258505</v>
      </c>
      <c r="AY63">
        <v>1</v>
      </c>
      <c r="AZ63">
        <v>0</v>
      </c>
      <c r="BA63">
        <v>79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ROUND(AT63*Source!I68*AH63*AL63,2)</f>
        <v>0</v>
      </c>
      <c r="CV63">
        <f>ROUND(Y63*Source!I68,9)</f>
        <v>7.7</v>
      </c>
      <c r="CW63">
        <v>0</v>
      </c>
      <c r="CX63">
        <f>ROUND(Y63*Source!I68,9)</f>
        <v>7.7</v>
      </c>
      <c r="CY63">
        <f>AD63</f>
        <v>0</v>
      </c>
      <c r="CZ63">
        <f>AH63</f>
        <v>0</v>
      </c>
      <c r="DA63">
        <f>AL63</f>
        <v>1</v>
      </c>
      <c r="DB63">
        <f>ROUND((ROUND(AT63*CZ63,2)*1.1),6)</f>
        <v>0</v>
      </c>
      <c r="DC63">
        <f>ROUND((ROUND(AT63*AG63,2)*1.1),6)</f>
        <v>0</v>
      </c>
      <c r="DD63" t="s">
        <v>3</v>
      </c>
      <c r="DE63" t="s">
        <v>3</v>
      </c>
      <c r="DF63">
        <f t="shared" ref="DF63:DF68" si="21">ROUND(ROUND(AE63,2)*CX63,2)</f>
        <v>0</v>
      </c>
      <c r="DG63">
        <f t="shared" si="19"/>
        <v>0</v>
      </c>
      <c r="DH63">
        <f t="shared" si="20"/>
        <v>0</v>
      </c>
      <c r="DI63">
        <f t="shared" si="13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ROW(Source!A68)</f>
        <v>68</v>
      </c>
      <c r="B64">
        <v>60258064</v>
      </c>
      <c r="C64">
        <v>60258268</v>
      </c>
      <c r="D64">
        <v>59039462</v>
      </c>
      <c r="E64">
        <v>1</v>
      </c>
      <c r="F64">
        <v>1</v>
      </c>
      <c r="G64">
        <v>1080</v>
      </c>
      <c r="H64">
        <v>3</v>
      </c>
      <c r="I64" t="s">
        <v>304</v>
      </c>
      <c r="J64" t="s">
        <v>305</v>
      </c>
      <c r="K64" t="s">
        <v>306</v>
      </c>
      <c r="L64">
        <v>1348</v>
      </c>
      <c r="N64">
        <v>1009</v>
      </c>
      <c r="O64" t="s">
        <v>287</v>
      </c>
      <c r="P64" t="s">
        <v>287</v>
      </c>
      <c r="Q64">
        <v>1000</v>
      </c>
      <c r="W64">
        <v>0</v>
      </c>
      <c r="X64">
        <v>-1945031955</v>
      </c>
      <c r="Y64">
        <f>AT64</f>
        <v>1.2E-5</v>
      </c>
      <c r="AA64">
        <v>64123.05</v>
      </c>
      <c r="AB64">
        <v>0</v>
      </c>
      <c r="AC64">
        <v>0</v>
      </c>
      <c r="AD64">
        <v>0</v>
      </c>
      <c r="AE64">
        <v>64123.05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1.2E-5</v>
      </c>
      <c r="AU64" t="s">
        <v>3</v>
      </c>
      <c r="AV64">
        <v>0</v>
      </c>
      <c r="AW64">
        <v>2</v>
      </c>
      <c r="AX64">
        <v>60258506</v>
      </c>
      <c r="AY64">
        <v>1</v>
      </c>
      <c r="AZ64">
        <v>0</v>
      </c>
      <c r="BA64">
        <v>80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ROUND(Y64*Source!I68,9)</f>
        <v>1.2E-5</v>
      </c>
      <c r="CY64">
        <f>AA64</f>
        <v>64123.05</v>
      </c>
      <c r="CZ64">
        <f>AE64</f>
        <v>64123.05</v>
      </c>
      <c r="DA64">
        <f>AI64</f>
        <v>1</v>
      </c>
      <c r="DB64">
        <f>ROUND(ROUND(AT64*CZ64,2),6)</f>
        <v>0.77</v>
      </c>
      <c r="DC64">
        <f>ROUND(ROUND(AT64*AG64,2),6)</f>
        <v>0</v>
      </c>
      <c r="DD64" t="s">
        <v>3</v>
      </c>
      <c r="DE64" t="s">
        <v>3</v>
      </c>
      <c r="DF64">
        <f t="shared" si="21"/>
        <v>0.77</v>
      </c>
      <c r="DG64">
        <f t="shared" si="19"/>
        <v>0</v>
      </c>
      <c r="DH64">
        <f t="shared" si="20"/>
        <v>0</v>
      </c>
      <c r="DI64">
        <f t="shared" si="13"/>
        <v>0</v>
      </c>
      <c r="DJ64">
        <f>DF64</f>
        <v>0.77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ROW(Source!A68)</f>
        <v>68</v>
      </c>
      <c r="B65">
        <v>60258064</v>
      </c>
      <c r="C65">
        <v>60258268</v>
      </c>
      <c r="D65">
        <v>59045949</v>
      </c>
      <c r="E65">
        <v>1</v>
      </c>
      <c r="F65">
        <v>1</v>
      </c>
      <c r="G65">
        <v>1080</v>
      </c>
      <c r="H65">
        <v>3</v>
      </c>
      <c r="I65" t="s">
        <v>288</v>
      </c>
      <c r="J65" t="s">
        <v>289</v>
      </c>
      <c r="K65" t="s">
        <v>290</v>
      </c>
      <c r="L65">
        <v>1349</v>
      </c>
      <c r="N65">
        <v>1009</v>
      </c>
      <c r="O65" t="s">
        <v>291</v>
      </c>
      <c r="P65" t="s">
        <v>291</v>
      </c>
      <c r="Q65">
        <v>1E-3</v>
      </c>
      <c r="W65">
        <v>0</v>
      </c>
      <c r="X65">
        <v>-2034308505</v>
      </c>
      <c r="Y65">
        <f>AT65</f>
        <v>2</v>
      </c>
      <c r="AA65">
        <v>7.0000000000000007E-2</v>
      </c>
      <c r="AB65">
        <v>0</v>
      </c>
      <c r="AC65">
        <v>0</v>
      </c>
      <c r="AD65">
        <v>0</v>
      </c>
      <c r="AE65">
        <v>7.0000000000000007E-2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2</v>
      </c>
      <c r="AU65" t="s">
        <v>3</v>
      </c>
      <c r="AV65">
        <v>0</v>
      </c>
      <c r="AW65">
        <v>2</v>
      </c>
      <c r="AX65">
        <v>60258507</v>
      </c>
      <c r="AY65">
        <v>1</v>
      </c>
      <c r="AZ65">
        <v>0</v>
      </c>
      <c r="BA65">
        <v>81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ROUND(Y65*Source!I68,9)</f>
        <v>2</v>
      </c>
      <c r="CY65">
        <f>AA65</f>
        <v>7.0000000000000007E-2</v>
      </c>
      <c r="CZ65">
        <f>AE65</f>
        <v>7.0000000000000007E-2</v>
      </c>
      <c r="DA65">
        <f>AI65</f>
        <v>1</v>
      </c>
      <c r="DB65">
        <f>ROUND(ROUND(AT65*CZ65,2),6)</f>
        <v>0.14000000000000001</v>
      </c>
      <c r="DC65">
        <f>ROUND(ROUND(AT65*AG65,2),6)</f>
        <v>0</v>
      </c>
      <c r="DD65" t="s">
        <v>3</v>
      </c>
      <c r="DE65" t="s">
        <v>3</v>
      </c>
      <c r="DF65">
        <f t="shared" si="21"/>
        <v>0.14000000000000001</v>
      </c>
      <c r="DG65">
        <f t="shared" si="19"/>
        <v>0</v>
      </c>
      <c r="DH65">
        <f t="shared" si="20"/>
        <v>0</v>
      </c>
      <c r="DI65">
        <f t="shared" ref="DI65:DI96" si="22">ROUND(ROUND(AH65,2)*CX65,2)</f>
        <v>0</v>
      </c>
      <c r="DJ65">
        <f>DF65</f>
        <v>0.14000000000000001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ROW(Source!A68)</f>
        <v>68</v>
      </c>
      <c r="B66">
        <v>60258064</v>
      </c>
      <c r="C66">
        <v>60258268</v>
      </c>
      <c r="D66">
        <v>59062764</v>
      </c>
      <c r="E66">
        <v>1</v>
      </c>
      <c r="F66">
        <v>1</v>
      </c>
      <c r="G66">
        <v>1080</v>
      </c>
      <c r="H66">
        <v>3</v>
      </c>
      <c r="I66" t="s">
        <v>310</v>
      </c>
      <c r="J66" t="s">
        <v>311</v>
      </c>
      <c r="K66" t="s">
        <v>312</v>
      </c>
      <c r="L66">
        <v>1346</v>
      </c>
      <c r="N66">
        <v>1009</v>
      </c>
      <c r="O66" t="s">
        <v>313</v>
      </c>
      <c r="P66" t="s">
        <v>313</v>
      </c>
      <c r="Q66">
        <v>1</v>
      </c>
      <c r="W66">
        <v>0</v>
      </c>
      <c r="X66">
        <v>-164740653</v>
      </c>
      <c r="Y66">
        <f>AT66</f>
        <v>6.0000000000000001E-3</v>
      </c>
      <c r="AA66">
        <v>493.08</v>
      </c>
      <c r="AB66">
        <v>0</v>
      </c>
      <c r="AC66">
        <v>0</v>
      </c>
      <c r="AD66">
        <v>0</v>
      </c>
      <c r="AE66">
        <v>493.08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6.0000000000000001E-3</v>
      </c>
      <c r="AU66" t="s">
        <v>3</v>
      </c>
      <c r="AV66">
        <v>0</v>
      </c>
      <c r="AW66">
        <v>2</v>
      </c>
      <c r="AX66">
        <v>60258508</v>
      </c>
      <c r="AY66">
        <v>1</v>
      </c>
      <c r="AZ66">
        <v>0</v>
      </c>
      <c r="BA66">
        <v>82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ROUND(Y66*Source!I68,9)</f>
        <v>6.0000000000000001E-3</v>
      </c>
      <c r="CY66">
        <f>AA66</f>
        <v>493.08</v>
      </c>
      <c r="CZ66">
        <f>AE66</f>
        <v>493.08</v>
      </c>
      <c r="DA66">
        <f>AI66</f>
        <v>1</v>
      </c>
      <c r="DB66">
        <f>ROUND(ROUND(AT66*CZ66,2),6)</f>
        <v>2.96</v>
      </c>
      <c r="DC66">
        <f>ROUND(ROUND(AT66*AG66,2),6)</f>
        <v>0</v>
      </c>
      <c r="DD66" t="s">
        <v>3</v>
      </c>
      <c r="DE66" t="s">
        <v>3</v>
      </c>
      <c r="DF66">
        <f t="shared" si="21"/>
        <v>2.96</v>
      </c>
      <c r="DG66">
        <f t="shared" si="19"/>
        <v>0</v>
      </c>
      <c r="DH66">
        <f t="shared" si="20"/>
        <v>0</v>
      </c>
      <c r="DI66">
        <f t="shared" si="22"/>
        <v>0</v>
      </c>
      <c r="DJ66">
        <f>DF66</f>
        <v>2.96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ROW(Source!A68)</f>
        <v>68</v>
      </c>
      <c r="B67">
        <v>60258064</v>
      </c>
      <c r="C67">
        <v>60258268</v>
      </c>
      <c r="D67">
        <v>59068402</v>
      </c>
      <c r="E67">
        <v>1</v>
      </c>
      <c r="F67">
        <v>1</v>
      </c>
      <c r="G67">
        <v>1080</v>
      </c>
      <c r="H67">
        <v>3</v>
      </c>
      <c r="I67" t="s">
        <v>314</v>
      </c>
      <c r="J67" t="s">
        <v>315</v>
      </c>
      <c r="K67" t="s">
        <v>316</v>
      </c>
      <c r="L67">
        <v>1303</v>
      </c>
      <c r="N67">
        <v>1003</v>
      </c>
      <c r="O67" t="s">
        <v>232</v>
      </c>
      <c r="P67" t="s">
        <v>232</v>
      </c>
      <c r="Q67">
        <v>1000</v>
      </c>
      <c r="W67">
        <v>0</v>
      </c>
      <c r="X67">
        <v>-1667960223</v>
      </c>
      <c r="Y67">
        <f>AT67</f>
        <v>0.06</v>
      </c>
      <c r="AA67">
        <v>516.63</v>
      </c>
      <c r="AB67">
        <v>0</v>
      </c>
      <c r="AC67">
        <v>0</v>
      </c>
      <c r="AD67">
        <v>0</v>
      </c>
      <c r="AE67">
        <v>516.63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0.06</v>
      </c>
      <c r="AU67" t="s">
        <v>3</v>
      </c>
      <c r="AV67">
        <v>0</v>
      </c>
      <c r="AW67">
        <v>2</v>
      </c>
      <c r="AX67">
        <v>60258509</v>
      </c>
      <c r="AY67">
        <v>1</v>
      </c>
      <c r="AZ67">
        <v>0</v>
      </c>
      <c r="BA67">
        <v>83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ROUND(Y67*Source!I68,9)</f>
        <v>0.06</v>
      </c>
      <c r="CY67">
        <f>AA67</f>
        <v>516.63</v>
      </c>
      <c r="CZ67">
        <f>AE67</f>
        <v>516.63</v>
      </c>
      <c r="DA67">
        <f>AI67</f>
        <v>1</v>
      </c>
      <c r="DB67">
        <f>ROUND(ROUND(AT67*CZ67,2),6)</f>
        <v>31</v>
      </c>
      <c r="DC67">
        <f>ROUND(ROUND(AT67*AG67,2),6)</f>
        <v>0</v>
      </c>
      <c r="DD67" t="s">
        <v>3</v>
      </c>
      <c r="DE67" t="s">
        <v>3</v>
      </c>
      <c r="DF67">
        <f t="shared" si="21"/>
        <v>31</v>
      </c>
      <c r="DG67">
        <f t="shared" si="19"/>
        <v>0</v>
      </c>
      <c r="DH67">
        <f t="shared" si="20"/>
        <v>0</v>
      </c>
      <c r="DI67">
        <f t="shared" si="22"/>
        <v>0</v>
      </c>
      <c r="DJ67">
        <f>DF67</f>
        <v>31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ROW(Source!A69)</f>
        <v>69</v>
      </c>
      <c r="B68">
        <v>60258061</v>
      </c>
      <c r="C68">
        <v>60258268</v>
      </c>
      <c r="D68">
        <v>58999254</v>
      </c>
      <c r="E68">
        <v>1080</v>
      </c>
      <c r="F68">
        <v>1</v>
      </c>
      <c r="G68">
        <v>1080</v>
      </c>
      <c r="H68">
        <v>1</v>
      </c>
      <c r="I68" t="s">
        <v>263</v>
      </c>
      <c r="J68" t="s">
        <v>3</v>
      </c>
      <c r="K68" t="s">
        <v>264</v>
      </c>
      <c r="L68">
        <v>1191</v>
      </c>
      <c r="N68">
        <v>1013</v>
      </c>
      <c r="O68" t="s">
        <v>265</v>
      </c>
      <c r="P68" t="s">
        <v>265</v>
      </c>
      <c r="Q68">
        <v>1</v>
      </c>
      <c r="W68">
        <v>0</v>
      </c>
      <c r="X68">
        <v>476480486</v>
      </c>
      <c r="Y68">
        <f>(AT68*1.1)</f>
        <v>7.7000000000000011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7</v>
      </c>
      <c r="AU68" t="s">
        <v>23</v>
      </c>
      <c r="AV68">
        <v>1</v>
      </c>
      <c r="AW68">
        <v>2</v>
      </c>
      <c r="AX68">
        <v>60258505</v>
      </c>
      <c r="AY68">
        <v>1</v>
      </c>
      <c r="AZ68">
        <v>0</v>
      </c>
      <c r="BA68">
        <v>86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U68">
        <f>ROUND(AT68*Source!I69*AH68*AL68,2)</f>
        <v>0</v>
      </c>
      <c r="CV68">
        <f>ROUND(Y68*Source!I69,9)</f>
        <v>7.7</v>
      </c>
      <c r="CW68">
        <v>0</v>
      </c>
      <c r="CX68">
        <f>ROUND(Y68*Source!I69,9)</f>
        <v>7.7</v>
      </c>
      <c r="CY68">
        <f>AD68</f>
        <v>0</v>
      </c>
      <c r="CZ68">
        <f>AH68</f>
        <v>0</v>
      </c>
      <c r="DA68">
        <f>AL68</f>
        <v>1</v>
      </c>
      <c r="DB68">
        <f>ROUND((ROUND(AT68*CZ68,2)*1.1),6)</f>
        <v>0</v>
      </c>
      <c r="DC68">
        <f>ROUND((ROUND(AT68*AG68,2)*1.1),6)</f>
        <v>0</v>
      </c>
      <c r="DD68" t="s">
        <v>3</v>
      </c>
      <c r="DE68" t="s">
        <v>3</v>
      </c>
      <c r="DF68">
        <f t="shared" si="21"/>
        <v>0</v>
      </c>
      <c r="DG68">
        <f t="shared" si="19"/>
        <v>0</v>
      </c>
      <c r="DH68">
        <f t="shared" si="20"/>
        <v>0</v>
      </c>
      <c r="DI68">
        <f t="shared" si="22"/>
        <v>0</v>
      </c>
      <c r="DJ68">
        <f>DI68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ROW(Source!A69)</f>
        <v>69</v>
      </c>
      <c r="B69">
        <v>60258061</v>
      </c>
      <c r="C69">
        <v>60258268</v>
      </c>
      <c r="D69">
        <v>59039462</v>
      </c>
      <c r="E69">
        <v>1</v>
      </c>
      <c r="F69">
        <v>1</v>
      </c>
      <c r="G69">
        <v>1080</v>
      </c>
      <c r="H69">
        <v>3</v>
      </c>
      <c r="I69" t="s">
        <v>304</v>
      </c>
      <c r="J69" t="s">
        <v>305</v>
      </c>
      <c r="K69" t="s">
        <v>306</v>
      </c>
      <c r="L69">
        <v>1348</v>
      </c>
      <c r="N69">
        <v>1009</v>
      </c>
      <c r="O69" t="s">
        <v>287</v>
      </c>
      <c r="P69" t="s">
        <v>287</v>
      </c>
      <c r="Q69">
        <v>1000</v>
      </c>
      <c r="W69">
        <v>0</v>
      </c>
      <c r="X69">
        <v>-1945031955</v>
      </c>
      <c r="Y69">
        <f>AT69</f>
        <v>1.2E-5</v>
      </c>
      <c r="AA69">
        <v>1930103.81</v>
      </c>
      <c r="AB69">
        <v>0</v>
      </c>
      <c r="AC69">
        <v>0</v>
      </c>
      <c r="AD69">
        <v>0</v>
      </c>
      <c r="AE69">
        <v>64123.05</v>
      </c>
      <c r="AF69">
        <v>0</v>
      </c>
      <c r="AG69">
        <v>0</v>
      </c>
      <c r="AH69">
        <v>0</v>
      </c>
      <c r="AI69">
        <v>30.1</v>
      </c>
      <c r="AJ69">
        <v>1</v>
      </c>
      <c r="AK69">
        <v>1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1.2E-5</v>
      </c>
      <c r="AU69" t="s">
        <v>3</v>
      </c>
      <c r="AV69">
        <v>0</v>
      </c>
      <c r="AW69">
        <v>2</v>
      </c>
      <c r="AX69">
        <v>60258506</v>
      </c>
      <c r="AY69">
        <v>1</v>
      </c>
      <c r="AZ69">
        <v>0</v>
      </c>
      <c r="BA69">
        <v>87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v>0</v>
      </c>
      <c r="CX69">
        <f>ROUND(Y69*Source!I69,9)</f>
        <v>1.2E-5</v>
      </c>
      <c r="CY69">
        <f>AA69</f>
        <v>1930103.81</v>
      </c>
      <c r="CZ69">
        <f>AE69</f>
        <v>64123.05</v>
      </c>
      <c r="DA69">
        <f>AI69</f>
        <v>30.1</v>
      </c>
      <c r="DB69">
        <f>ROUND(ROUND(AT69*CZ69,2),6)</f>
        <v>0.77</v>
      </c>
      <c r="DC69">
        <f>ROUND(ROUND(AT69*AG69,2),6)</f>
        <v>0</v>
      </c>
      <c r="DD69" t="s">
        <v>3</v>
      </c>
      <c r="DE69" t="s">
        <v>3</v>
      </c>
      <c r="DF69">
        <f>ROUND(ROUND(AE69*AI69,2)*CX69,2)</f>
        <v>23.16</v>
      </c>
      <c r="DG69">
        <f t="shared" si="19"/>
        <v>0</v>
      </c>
      <c r="DH69">
        <f t="shared" si="20"/>
        <v>0</v>
      </c>
      <c r="DI69">
        <f t="shared" si="22"/>
        <v>0</v>
      </c>
      <c r="DJ69">
        <f>DF69</f>
        <v>23.16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ROW(Source!A69)</f>
        <v>69</v>
      </c>
      <c r="B70">
        <v>60258061</v>
      </c>
      <c r="C70">
        <v>60258268</v>
      </c>
      <c r="D70">
        <v>59045949</v>
      </c>
      <c r="E70">
        <v>1</v>
      </c>
      <c r="F70">
        <v>1</v>
      </c>
      <c r="G70">
        <v>1080</v>
      </c>
      <c r="H70">
        <v>3</v>
      </c>
      <c r="I70" t="s">
        <v>288</v>
      </c>
      <c r="J70" t="s">
        <v>289</v>
      </c>
      <c r="K70" t="s">
        <v>290</v>
      </c>
      <c r="L70">
        <v>1349</v>
      </c>
      <c r="N70">
        <v>1009</v>
      </c>
      <c r="O70" t="s">
        <v>291</v>
      </c>
      <c r="P70" t="s">
        <v>291</v>
      </c>
      <c r="Q70">
        <v>1E-3</v>
      </c>
      <c r="W70">
        <v>0</v>
      </c>
      <c r="X70">
        <v>-2034308505</v>
      </c>
      <c r="Y70">
        <f>AT70</f>
        <v>2</v>
      </c>
      <c r="AA70">
        <v>0.44</v>
      </c>
      <c r="AB70">
        <v>0</v>
      </c>
      <c r="AC70">
        <v>0</v>
      </c>
      <c r="AD70">
        <v>0</v>
      </c>
      <c r="AE70">
        <v>7.0000000000000007E-2</v>
      </c>
      <c r="AF70">
        <v>0</v>
      </c>
      <c r="AG70">
        <v>0</v>
      </c>
      <c r="AH70">
        <v>0</v>
      </c>
      <c r="AI70">
        <v>6.29</v>
      </c>
      <c r="AJ70">
        <v>1</v>
      </c>
      <c r="AK70">
        <v>1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2</v>
      </c>
      <c r="AU70" t="s">
        <v>3</v>
      </c>
      <c r="AV70">
        <v>0</v>
      </c>
      <c r="AW70">
        <v>2</v>
      </c>
      <c r="AX70">
        <v>60258507</v>
      </c>
      <c r="AY70">
        <v>1</v>
      </c>
      <c r="AZ70">
        <v>0</v>
      </c>
      <c r="BA70">
        <v>88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ROUND(Y70*Source!I69,9)</f>
        <v>2</v>
      </c>
      <c r="CY70">
        <f>AA70</f>
        <v>0.44</v>
      </c>
      <c r="CZ70">
        <f>AE70</f>
        <v>7.0000000000000007E-2</v>
      </c>
      <c r="DA70">
        <f>AI70</f>
        <v>6.29</v>
      </c>
      <c r="DB70">
        <f>ROUND(ROUND(AT70*CZ70,2),6)</f>
        <v>0.14000000000000001</v>
      </c>
      <c r="DC70">
        <f>ROUND(ROUND(AT70*AG70,2),6)</f>
        <v>0</v>
      </c>
      <c r="DD70" t="s">
        <v>3</v>
      </c>
      <c r="DE70" t="s">
        <v>3</v>
      </c>
      <c r="DF70">
        <f>ROUND(ROUND(AE70*AI70,2)*CX70,2)</f>
        <v>0.88</v>
      </c>
      <c r="DG70">
        <f t="shared" si="19"/>
        <v>0</v>
      </c>
      <c r="DH70">
        <f t="shared" si="20"/>
        <v>0</v>
      </c>
      <c r="DI70">
        <f t="shared" si="22"/>
        <v>0</v>
      </c>
      <c r="DJ70">
        <f>DF70</f>
        <v>0.88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ROW(Source!A69)</f>
        <v>69</v>
      </c>
      <c r="B71">
        <v>60258061</v>
      </c>
      <c r="C71">
        <v>60258268</v>
      </c>
      <c r="D71">
        <v>59062764</v>
      </c>
      <c r="E71">
        <v>1</v>
      </c>
      <c r="F71">
        <v>1</v>
      </c>
      <c r="G71">
        <v>1080</v>
      </c>
      <c r="H71">
        <v>3</v>
      </c>
      <c r="I71" t="s">
        <v>310</v>
      </c>
      <c r="J71" t="s">
        <v>311</v>
      </c>
      <c r="K71" t="s">
        <v>312</v>
      </c>
      <c r="L71">
        <v>1346</v>
      </c>
      <c r="N71">
        <v>1009</v>
      </c>
      <c r="O71" t="s">
        <v>313</v>
      </c>
      <c r="P71" t="s">
        <v>313</v>
      </c>
      <c r="Q71">
        <v>1</v>
      </c>
      <c r="W71">
        <v>0</v>
      </c>
      <c r="X71">
        <v>-164740653</v>
      </c>
      <c r="Y71">
        <f>AT71</f>
        <v>6.0000000000000001E-3</v>
      </c>
      <c r="AA71">
        <v>3047.23</v>
      </c>
      <c r="AB71">
        <v>0</v>
      </c>
      <c r="AC71">
        <v>0</v>
      </c>
      <c r="AD71">
        <v>0</v>
      </c>
      <c r="AE71">
        <v>493.08</v>
      </c>
      <c r="AF71">
        <v>0</v>
      </c>
      <c r="AG71">
        <v>0</v>
      </c>
      <c r="AH71">
        <v>0</v>
      </c>
      <c r="AI71">
        <v>6.18</v>
      </c>
      <c r="AJ71">
        <v>1</v>
      </c>
      <c r="AK71">
        <v>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6.0000000000000001E-3</v>
      </c>
      <c r="AU71" t="s">
        <v>3</v>
      </c>
      <c r="AV71">
        <v>0</v>
      </c>
      <c r="AW71">
        <v>2</v>
      </c>
      <c r="AX71">
        <v>60258508</v>
      </c>
      <c r="AY71">
        <v>1</v>
      </c>
      <c r="AZ71">
        <v>0</v>
      </c>
      <c r="BA71">
        <v>89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ROUND(Y71*Source!I69,9)</f>
        <v>6.0000000000000001E-3</v>
      </c>
      <c r="CY71">
        <f>AA71</f>
        <v>3047.23</v>
      </c>
      <c r="CZ71">
        <f>AE71</f>
        <v>493.08</v>
      </c>
      <c r="DA71">
        <f>AI71</f>
        <v>6.18</v>
      </c>
      <c r="DB71">
        <f>ROUND(ROUND(AT71*CZ71,2),6)</f>
        <v>2.96</v>
      </c>
      <c r="DC71">
        <f>ROUND(ROUND(AT71*AG71,2),6)</f>
        <v>0</v>
      </c>
      <c r="DD71" t="s">
        <v>3</v>
      </c>
      <c r="DE71" t="s">
        <v>3</v>
      </c>
      <c r="DF71">
        <f>ROUND(ROUND(AE71*AI71,2)*CX71,2)</f>
        <v>18.28</v>
      </c>
      <c r="DG71">
        <f t="shared" si="19"/>
        <v>0</v>
      </c>
      <c r="DH71">
        <f t="shared" si="20"/>
        <v>0</v>
      </c>
      <c r="DI71">
        <f t="shared" si="22"/>
        <v>0</v>
      </c>
      <c r="DJ71">
        <f>DF71</f>
        <v>18.28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ROW(Source!A69)</f>
        <v>69</v>
      </c>
      <c r="B72">
        <v>60258061</v>
      </c>
      <c r="C72">
        <v>60258268</v>
      </c>
      <c r="D72">
        <v>59068402</v>
      </c>
      <c r="E72">
        <v>1</v>
      </c>
      <c r="F72">
        <v>1</v>
      </c>
      <c r="G72">
        <v>1080</v>
      </c>
      <c r="H72">
        <v>3</v>
      </c>
      <c r="I72" t="s">
        <v>314</v>
      </c>
      <c r="J72" t="s">
        <v>315</v>
      </c>
      <c r="K72" t="s">
        <v>316</v>
      </c>
      <c r="L72">
        <v>1303</v>
      </c>
      <c r="N72">
        <v>1003</v>
      </c>
      <c r="O72" t="s">
        <v>232</v>
      </c>
      <c r="P72" t="s">
        <v>232</v>
      </c>
      <c r="Q72">
        <v>1000</v>
      </c>
      <c r="W72">
        <v>0</v>
      </c>
      <c r="X72">
        <v>-1667960223</v>
      </c>
      <c r="Y72">
        <f>AT72</f>
        <v>0.06</v>
      </c>
      <c r="AA72">
        <v>5889.58</v>
      </c>
      <c r="AB72">
        <v>0</v>
      </c>
      <c r="AC72">
        <v>0</v>
      </c>
      <c r="AD72">
        <v>0</v>
      </c>
      <c r="AE72">
        <v>516.63</v>
      </c>
      <c r="AF72">
        <v>0</v>
      </c>
      <c r="AG72">
        <v>0</v>
      </c>
      <c r="AH72">
        <v>0</v>
      </c>
      <c r="AI72">
        <v>11.4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0.06</v>
      </c>
      <c r="AU72" t="s">
        <v>3</v>
      </c>
      <c r="AV72">
        <v>0</v>
      </c>
      <c r="AW72">
        <v>2</v>
      </c>
      <c r="AX72">
        <v>60258509</v>
      </c>
      <c r="AY72">
        <v>1</v>
      </c>
      <c r="AZ72">
        <v>0</v>
      </c>
      <c r="BA72">
        <v>90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ROUND(Y72*Source!I69,9)</f>
        <v>0.06</v>
      </c>
      <c r="CY72">
        <f>AA72</f>
        <v>5889.58</v>
      </c>
      <c r="CZ72">
        <f>AE72</f>
        <v>516.63</v>
      </c>
      <c r="DA72">
        <f>AI72</f>
        <v>11.4</v>
      </c>
      <c r="DB72">
        <f>ROUND(ROUND(AT72*CZ72,2),6)</f>
        <v>31</v>
      </c>
      <c r="DC72">
        <f>ROUND(ROUND(AT72*AG72,2),6)</f>
        <v>0</v>
      </c>
      <c r="DD72" t="s">
        <v>3</v>
      </c>
      <c r="DE72" t="s">
        <v>3</v>
      </c>
      <c r="DF72">
        <f>ROUND(ROUND(AE72*AI72,2)*CX72,2)</f>
        <v>353.37</v>
      </c>
      <c r="DG72">
        <f t="shared" si="19"/>
        <v>0</v>
      </c>
      <c r="DH72">
        <f t="shared" si="20"/>
        <v>0</v>
      </c>
      <c r="DI72">
        <f t="shared" si="22"/>
        <v>0</v>
      </c>
      <c r="DJ72">
        <f>DF72</f>
        <v>353.37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ROW(Source!A72)</f>
        <v>72</v>
      </c>
      <c r="B73">
        <v>60258064</v>
      </c>
      <c r="C73">
        <v>60258282</v>
      </c>
      <c r="D73">
        <v>58999254</v>
      </c>
      <c r="E73">
        <v>1080</v>
      </c>
      <c r="F73">
        <v>1</v>
      </c>
      <c r="G73">
        <v>1080</v>
      </c>
      <c r="H73">
        <v>1</v>
      </c>
      <c r="I73" t="s">
        <v>263</v>
      </c>
      <c r="J73" t="s">
        <v>3</v>
      </c>
      <c r="K73" t="s">
        <v>264</v>
      </c>
      <c r="L73">
        <v>1191</v>
      </c>
      <c r="N73">
        <v>1013</v>
      </c>
      <c r="O73" t="s">
        <v>265</v>
      </c>
      <c r="P73" t="s">
        <v>265</v>
      </c>
      <c r="Q73">
        <v>1</v>
      </c>
      <c r="W73">
        <v>0</v>
      </c>
      <c r="X73">
        <v>476480486</v>
      </c>
      <c r="Y73">
        <f>(AT73*1.1)</f>
        <v>3.4980000000000007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3.18</v>
      </c>
      <c r="AU73" t="s">
        <v>23</v>
      </c>
      <c r="AV73">
        <v>1</v>
      </c>
      <c r="AW73">
        <v>2</v>
      </c>
      <c r="AX73">
        <v>60258512</v>
      </c>
      <c r="AY73">
        <v>1</v>
      </c>
      <c r="AZ73">
        <v>0</v>
      </c>
      <c r="BA73">
        <v>93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ROUND(AT73*Source!I72*AH73*AL73,2)</f>
        <v>0</v>
      </c>
      <c r="CV73">
        <f>ROUND(Y73*Source!I72,9)</f>
        <v>27.984000000000002</v>
      </c>
      <c r="CW73">
        <v>0</v>
      </c>
      <c r="CX73">
        <f>ROUND(Y73*Source!I72,9)</f>
        <v>27.984000000000002</v>
      </c>
      <c r="CY73">
        <f>AD73</f>
        <v>0</v>
      </c>
      <c r="CZ73">
        <f>AH73</f>
        <v>0</v>
      </c>
      <c r="DA73">
        <f>AL73</f>
        <v>1</v>
      </c>
      <c r="DB73">
        <f>ROUND((ROUND(AT73*CZ73,2)*1.1),6)</f>
        <v>0</v>
      </c>
      <c r="DC73">
        <f>ROUND((ROUND(AT73*AG73,2)*1.1),6)</f>
        <v>0</v>
      </c>
      <c r="DD73" t="s">
        <v>3</v>
      </c>
      <c r="DE73" t="s">
        <v>3</v>
      </c>
      <c r="DF73">
        <f>ROUND(ROUND(AE73,2)*CX73,2)</f>
        <v>0</v>
      </c>
      <c r="DG73">
        <f t="shared" si="19"/>
        <v>0</v>
      </c>
      <c r="DH73">
        <f t="shared" si="20"/>
        <v>0</v>
      </c>
      <c r="DI73">
        <f t="shared" si="22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ROW(Source!A72)</f>
        <v>72</v>
      </c>
      <c r="B74">
        <v>60258064</v>
      </c>
      <c r="C74">
        <v>60258282</v>
      </c>
      <c r="D74">
        <v>59040743</v>
      </c>
      <c r="E74">
        <v>1</v>
      </c>
      <c r="F74">
        <v>1</v>
      </c>
      <c r="G74">
        <v>1080</v>
      </c>
      <c r="H74">
        <v>3</v>
      </c>
      <c r="I74" t="s">
        <v>317</v>
      </c>
      <c r="J74" t="s">
        <v>318</v>
      </c>
      <c r="K74" t="s">
        <v>319</v>
      </c>
      <c r="L74">
        <v>1346</v>
      </c>
      <c r="N74">
        <v>1009</v>
      </c>
      <c r="O74" t="s">
        <v>313</v>
      </c>
      <c r="P74" t="s">
        <v>313</v>
      </c>
      <c r="Q74">
        <v>1</v>
      </c>
      <c r="W74">
        <v>0</v>
      </c>
      <c r="X74">
        <v>1225168167</v>
      </c>
      <c r="Y74">
        <f>AT74</f>
        <v>6.2700000000000004E-3</v>
      </c>
      <c r="AA74">
        <v>27.62</v>
      </c>
      <c r="AB74">
        <v>0</v>
      </c>
      <c r="AC74">
        <v>0</v>
      </c>
      <c r="AD74">
        <v>0</v>
      </c>
      <c r="AE74">
        <v>27.62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6.2700000000000004E-3</v>
      </c>
      <c r="AU74" t="s">
        <v>3</v>
      </c>
      <c r="AV74">
        <v>0</v>
      </c>
      <c r="AW74">
        <v>2</v>
      </c>
      <c r="AX74">
        <v>60258513</v>
      </c>
      <c r="AY74">
        <v>1</v>
      </c>
      <c r="AZ74">
        <v>0</v>
      </c>
      <c r="BA74">
        <v>94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ROUND(Y74*Source!I72,9)</f>
        <v>5.0160000000000003E-2</v>
      </c>
      <c r="CY74">
        <f>AA74</f>
        <v>27.62</v>
      </c>
      <c r="CZ74">
        <f>AE74</f>
        <v>27.62</v>
      </c>
      <c r="DA74">
        <f>AI74</f>
        <v>1</v>
      </c>
      <c r="DB74">
        <f>ROUND(ROUND(AT74*CZ74,2),6)</f>
        <v>0.17</v>
      </c>
      <c r="DC74">
        <f>ROUND(ROUND(AT74*AG74,2),6)</f>
        <v>0</v>
      </c>
      <c r="DD74" t="s">
        <v>3</v>
      </c>
      <c r="DE74" t="s">
        <v>3</v>
      </c>
      <c r="DF74">
        <f>ROUND(ROUND(AE74,2)*CX74,2)</f>
        <v>1.39</v>
      </c>
      <c r="DG74">
        <f t="shared" si="19"/>
        <v>0</v>
      </c>
      <c r="DH74">
        <f t="shared" si="20"/>
        <v>0</v>
      </c>
      <c r="DI74">
        <f t="shared" si="22"/>
        <v>0</v>
      </c>
      <c r="DJ74">
        <f>DF74</f>
        <v>1.39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ROW(Source!A72)</f>
        <v>72</v>
      </c>
      <c r="B75">
        <v>60258064</v>
      </c>
      <c r="C75">
        <v>60258282</v>
      </c>
      <c r="D75">
        <v>59039462</v>
      </c>
      <c r="E75">
        <v>1</v>
      </c>
      <c r="F75">
        <v>1</v>
      </c>
      <c r="G75">
        <v>1080</v>
      </c>
      <c r="H75">
        <v>3</v>
      </c>
      <c r="I75" t="s">
        <v>304</v>
      </c>
      <c r="J75" t="s">
        <v>305</v>
      </c>
      <c r="K75" t="s">
        <v>306</v>
      </c>
      <c r="L75">
        <v>1348</v>
      </c>
      <c r="N75">
        <v>1009</v>
      </c>
      <c r="O75" t="s">
        <v>287</v>
      </c>
      <c r="P75" t="s">
        <v>287</v>
      </c>
      <c r="Q75">
        <v>1000</v>
      </c>
      <c r="W75">
        <v>0</v>
      </c>
      <c r="X75">
        <v>-1945031955</v>
      </c>
      <c r="Y75">
        <f>AT75</f>
        <v>1.0000000000000001E-5</v>
      </c>
      <c r="AA75">
        <v>64123.05</v>
      </c>
      <c r="AB75">
        <v>0</v>
      </c>
      <c r="AC75">
        <v>0</v>
      </c>
      <c r="AD75">
        <v>0</v>
      </c>
      <c r="AE75">
        <v>64123.05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1.0000000000000001E-5</v>
      </c>
      <c r="AU75" t="s">
        <v>3</v>
      </c>
      <c r="AV75">
        <v>0</v>
      </c>
      <c r="AW75">
        <v>2</v>
      </c>
      <c r="AX75">
        <v>60258514</v>
      </c>
      <c r="AY75">
        <v>1</v>
      </c>
      <c r="AZ75">
        <v>0</v>
      </c>
      <c r="BA75">
        <v>95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ROUND(Y75*Source!I72,9)</f>
        <v>8.0000000000000007E-5</v>
      </c>
      <c r="CY75">
        <f>AA75</f>
        <v>64123.05</v>
      </c>
      <c r="CZ75">
        <f>AE75</f>
        <v>64123.05</v>
      </c>
      <c r="DA75">
        <f>AI75</f>
        <v>1</v>
      </c>
      <c r="DB75">
        <f>ROUND(ROUND(AT75*CZ75,2),6)</f>
        <v>0.64</v>
      </c>
      <c r="DC75">
        <f>ROUND(ROUND(AT75*AG75,2),6)</f>
        <v>0</v>
      </c>
      <c r="DD75" t="s">
        <v>3</v>
      </c>
      <c r="DE75" t="s">
        <v>3</v>
      </c>
      <c r="DF75">
        <f>ROUND(ROUND(AE75,2)*CX75,2)</f>
        <v>5.13</v>
      </c>
      <c r="DG75">
        <f t="shared" si="19"/>
        <v>0</v>
      </c>
      <c r="DH75">
        <f t="shared" si="20"/>
        <v>0</v>
      </c>
      <c r="DI75">
        <f t="shared" si="22"/>
        <v>0</v>
      </c>
      <c r="DJ75">
        <f>DF75</f>
        <v>5.13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ROW(Source!A72)</f>
        <v>72</v>
      </c>
      <c r="B76">
        <v>60258064</v>
      </c>
      <c r="C76">
        <v>60258282</v>
      </c>
      <c r="D76">
        <v>59049354</v>
      </c>
      <c r="E76">
        <v>1</v>
      </c>
      <c r="F76">
        <v>1</v>
      </c>
      <c r="G76">
        <v>1080</v>
      </c>
      <c r="H76">
        <v>3</v>
      </c>
      <c r="I76" t="s">
        <v>320</v>
      </c>
      <c r="J76" t="s">
        <v>321</v>
      </c>
      <c r="K76" t="s">
        <v>322</v>
      </c>
      <c r="L76">
        <v>1354</v>
      </c>
      <c r="N76">
        <v>1010</v>
      </c>
      <c r="O76" t="s">
        <v>241</v>
      </c>
      <c r="P76" t="s">
        <v>241</v>
      </c>
      <c r="Q76">
        <v>1</v>
      </c>
      <c r="W76">
        <v>0</v>
      </c>
      <c r="X76">
        <v>314181591</v>
      </c>
      <c r="Y76">
        <f>AT76</f>
        <v>0.1</v>
      </c>
      <c r="AA76">
        <v>15.25</v>
      </c>
      <c r="AB76">
        <v>0</v>
      </c>
      <c r="AC76">
        <v>0</v>
      </c>
      <c r="AD76">
        <v>0</v>
      </c>
      <c r="AE76">
        <v>15.25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0.1</v>
      </c>
      <c r="AU76" t="s">
        <v>3</v>
      </c>
      <c r="AV76">
        <v>0</v>
      </c>
      <c r="AW76">
        <v>2</v>
      </c>
      <c r="AX76">
        <v>60258515</v>
      </c>
      <c r="AY76">
        <v>1</v>
      </c>
      <c r="AZ76">
        <v>0</v>
      </c>
      <c r="BA76">
        <v>96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ROUND(Y76*Source!I72,9)</f>
        <v>0.8</v>
      </c>
      <c r="CY76">
        <f>AA76</f>
        <v>15.25</v>
      </c>
      <c r="CZ76">
        <f>AE76</f>
        <v>15.25</v>
      </c>
      <c r="DA76">
        <f>AI76</f>
        <v>1</v>
      </c>
      <c r="DB76">
        <f>ROUND(ROUND(AT76*CZ76,2),6)</f>
        <v>1.53</v>
      </c>
      <c r="DC76">
        <f>ROUND(ROUND(AT76*AG76,2),6)</f>
        <v>0</v>
      </c>
      <c r="DD76" t="s">
        <v>3</v>
      </c>
      <c r="DE76" t="s">
        <v>3</v>
      </c>
      <c r="DF76">
        <f>ROUND(ROUND(AE76,2)*CX76,2)</f>
        <v>12.2</v>
      </c>
      <c r="DG76">
        <f t="shared" si="19"/>
        <v>0</v>
      </c>
      <c r="DH76">
        <f t="shared" si="20"/>
        <v>0</v>
      </c>
      <c r="DI76">
        <f t="shared" si="22"/>
        <v>0</v>
      </c>
      <c r="DJ76">
        <f>DF76</f>
        <v>12.2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ROW(Source!A73)</f>
        <v>73</v>
      </c>
      <c r="B77">
        <v>60258061</v>
      </c>
      <c r="C77">
        <v>60258282</v>
      </c>
      <c r="D77">
        <v>58999254</v>
      </c>
      <c r="E77">
        <v>1080</v>
      </c>
      <c r="F77">
        <v>1</v>
      </c>
      <c r="G77">
        <v>1080</v>
      </c>
      <c r="H77">
        <v>1</v>
      </c>
      <c r="I77" t="s">
        <v>263</v>
      </c>
      <c r="J77" t="s">
        <v>3</v>
      </c>
      <c r="K77" t="s">
        <v>264</v>
      </c>
      <c r="L77">
        <v>1191</v>
      </c>
      <c r="N77">
        <v>1013</v>
      </c>
      <c r="O77" t="s">
        <v>265</v>
      </c>
      <c r="P77" t="s">
        <v>265</v>
      </c>
      <c r="Q77">
        <v>1</v>
      </c>
      <c r="W77">
        <v>0</v>
      </c>
      <c r="X77">
        <v>476480486</v>
      </c>
      <c r="Y77">
        <f>(AT77*1.1)</f>
        <v>3.4980000000000007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5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3.18</v>
      </c>
      <c r="AU77" t="s">
        <v>23</v>
      </c>
      <c r="AV77">
        <v>1</v>
      </c>
      <c r="AW77">
        <v>2</v>
      </c>
      <c r="AX77">
        <v>60258512</v>
      </c>
      <c r="AY77">
        <v>1</v>
      </c>
      <c r="AZ77">
        <v>0</v>
      </c>
      <c r="BA77">
        <v>98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ROUND(AT77*Source!I73*AH77*AL77,2)</f>
        <v>0</v>
      </c>
      <c r="CV77">
        <f>ROUND(Y77*Source!I73,9)</f>
        <v>27.984000000000002</v>
      </c>
      <c r="CW77">
        <v>0</v>
      </c>
      <c r="CX77">
        <f>ROUND(Y77*Source!I73,9)</f>
        <v>27.984000000000002</v>
      </c>
      <c r="CY77">
        <f>AD77</f>
        <v>0</v>
      </c>
      <c r="CZ77">
        <f>AH77</f>
        <v>0</v>
      </c>
      <c r="DA77">
        <f>AL77</f>
        <v>1</v>
      </c>
      <c r="DB77">
        <f>ROUND((ROUND(AT77*CZ77,2)*1.1),6)</f>
        <v>0</v>
      </c>
      <c r="DC77">
        <f>ROUND((ROUND(AT77*AG77,2)*1.1),6)</f>
        <v>0</v>
      </c>
      <c r="DD77" t="s">
        <v>3</v>
      </c>
      <c r="DE77" t="s">
        <v>3</v>
      </c>
      <c r="DF77">
        <f>ROUND(ROUND(AE77,2)*CX77,2)</f>
        <v>0</v>
      </c>
      <c r="DG77">
        <f t="shared" si="19"/>
        <v>0</v>
      </c>
      <c r="DH77">
        <f t="shared" si="20"/>
        <v>0</v>
      </c>
      <c r="DI77">
        <f t="shared" si="22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ROW(Source!A73)</f>
        <v>73</v>
      </c>
      <c r="B78">
        <v>60258061</v>
      </c>
      <c r="C78">
        <v>60258282</v>
      </c>
      <c r="D78">
        <v>59040743</v>
      </c>
      <c r="E78">
        <v>1</v>
      </c>
      <c r="F78">
        <v>1</v>
      </c>
      <c r="G78">
        <v>1080</v>
      </c>
      <c r="H78">
        <v>3</v>
      </c>
      <c r="I78" t="s">
        <v>317</v>
      </c>
      <c r="J78" t="s">
        <v>318</v>
      </c>
      <c r="K78" t="s">
        <v>319</v>
      </c>
      <c r="L78">
        <v>1346</v>
      </c>
      <c r="N78">
        <v>1009</v>
      </c>
      <c r="O78" t="s">
        <v>313</v>
      </c>
      <c r="P78" t="s">
        <v>313</v>
      </c>
      <c r="Q78">
        <v>1</v>
      </c>
      <c r="W78">
        <v>0</v>
      </c>
      <c r="X78">
        <v>1225168167</v>
      </c>
      <c r="Y78">
        <f>AT78</f>
        <v>6.2700000000000004E-3</v>
      </c>
      <c r="AA78">
        <v>172.35</v>
      </c>
      <c r="AB78">
        <v>0</v>
      </c>
      <c r="AC78">
        <v>0</v>
      </c>
      <c r="AD78">
        <v>0</v>
      </c>
      <c r="AE78">
        <v>27.62</v>
      </c>
      <c r="AF78">
        <v>0</v>
      </c>
      <c r="AG78">
        <v>0</v>
      </c>
      <c r="AH78">
        <v>0</v>
      </c>
      <c r="AI78">
        <v>6.24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6.2700000000000004E-3</v>
      </c>
      <c r="AU78" t="s">
        <v>3</v>
      </c>
      <c r="AV78">
        <v>0</v>
      </c>
      <c r="AW78">
        <v>2</v>
      </c>
      <c r="AX78">
        <v>60258513</v>
      </c>
      <c r="AY78">
        <v>1</v>
      </c>
      <c r="AZ78">
        <v>0</v>
      </c>
      <c r="BA78">
        <v>99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ROUND(Y78*Source!I73,9)</f>
        <v>5.0160000000000003E-2</v>
      </c>
      <c r="CY78">
        <f>AA78</f>
        <v>172.35</v>
      </c>
      <c r="CZ78">
        <f>AE78</f>
        <v>27.62</v>
      </c>
      <c r="DA78">
        <f>AI78</f>
        <v>6.24</v>
      </c>
      <c r="DB78">
        <f>ROUND(ROUND(AT78*CZ78,2),6)</f>
        <v>0.17</v>
      </c>
      <c r="DC78">
        <f>ROUND(ROUND(AT78*AG78,2),6)</f>
        <v>0</v>
      </c>
      <c r="DD78" t="s">
        <v>3</v>
      </c>
      <c r="DE78" t="s">
        <v>3</v>
      </c>
      <c r="DF78">
        <f>ROUND(ROUND(AE78*AI78,2)*CX78,2)</f>
        <v>8.65</v>
      </c>
      <c r="DG78">
        <f t="shared" si="19"/>
        <v>0</v>
      </c>
      <c r="DH78">
        <f t="shared" si="20"/>
        <v>0</v>
      </c>
      <c r="DI78">
        <f t="shared" si="22"/>
        <v>0</v>
      </c>
      <c r="DJ78">
        <f>DF78</f>
        <v>8.65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ROW(Source!A73)</f>
        <v>73</v>
      </c>
      <c r="B79">
        <v>60258061</v>
      </c>
      <c r="C79">
        <v>60258282</v>
      </c>
      <c r="D79">
        <v>59039462</v>
      </c>
      <c r="E79">
        <v>1</v>
      </c>
      <c r="F79">
        <v>1</v>
      </c>
      <c r="G79">
        <v>1080</v>
      </c>
      <c r="H79">
        <v>3</v>
      </c>
      <c r="I79" t="s">
        <v>304</v>
      </c>
      <c r="J79" t="s">
        <v>305</v>
      </c>
      <c r="K79" t="s">
        <v>306</v>
      </c>
      <c r="L79">
        <v>1348</v>
      </c>
      <c r="N79">
        <v>1009</v>
      </c>
      <c r="O79" t="s">
        <v>287</v>
      </c>
      <c r="P79" t="s">
        <v>287</v>
      </c>
      <c r="Q79">
        <v>1000</v>
      </c>
      <c r="W79">
        <v>0</v>
      </c>
      <c r="X79">
        <v>-1945031955</v>
      </c>
      <c r="Y79">
        <f>AT79</f>
        <v>1.0000000000000001E-5</v>
      </c>
      <c r="AA79">
        <v>1930103.81</v>
      </c>
      <c r="AB79">
        <v>0</v>
      </c>
      <c r="AC79">
        <v>0</v>
      </c>
      <c r="AD79">
        <v>0</v>
      </c>
      <c r="AE79">
        <v>64123.05</v>
      </c>
      <c r="AF79">
        <v>0</v>
      </c>
      <c r="AG79">
        <v>0</v>
      </c>
      <c r="AH79">
        <v>0</v>
      </c>
      <c r="AI79">
        <v>30.1</v>
      </c>
      <c r="AJ79">
        <v>1</v>
      </c>
      <c r="AK79">
        <v>1</v>
      </c>
      <c r="AL79">
        <v>1</v>
      </c>
      <c r="AM79">
        <v>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1.0000000000000001E-5</v>
      </c>
      <c r="AU79" t="s">
        <v>3</v>
      </c>
      <c r="AV79">
        <v>0</v>
      </c>
      <c r="AW79">
        <v>2</v>
      </c>
      <c r="AX79">
        <v>60258514</v>
      </c>
      <c r="AY79">
        <v>1</v>
      </c>
      <c r="AZ79">
        <v>0</v>
      </c>
      <c r="BA79">
        <v>100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ROUND(Y79*Source!I73,9)</f>
        <v>8.0000000000000007E-5</v>
      </c>
      <c r="CY79">
        <f>AA79</f>
        <v>1930103.81</v>
      </c>
      <c r="CZ79">
        <f>AE79</f>
        <v>64123.05</v>
      </c>
      <c r="DA79">
        <f>AI79</f>
        <v>30.1</v>
      </c>
      <c r="DB79">
        <f>ROUND(ROUND(AT79*CZ79,2),6)</f>
        <v>0.64</v>
      </c>
      <c r="DC79">
        <f>ROUND(ROUND(AT79*AG79,2),6)</f>
        <v>0</v>
      </c>
      <c r="DD79" t="s">
        <v>3</v>
      </c>
      <c r="DE79" t="s">
        <v>3</v>
      </c>
      <c r="DF79">
        <f>ROUND(ROUND(AE79*AI79,2)*CX79,2)</f>
        <v>154.41</v>
      </c>
      <c r="DG79">
        <f t="shared" si="19"/>
        <v>0</v>
      </c>
      <c r="DH79">
        <f t="shared" si="20"/>
        <v>0</v>
      </c>
      <c r="DI79">
        <f t="shared" si="22"/>
        <v>0</v>
      </c>
      <c r="DJ79">
        <f>DF79</f>
        <v>154.41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ROW(Source!A73)</f>
        <v>73</v>
      </c>
      <c r="B80">
        <v>60258061</v>
      </c>
      <c r="C80">
        <v>60258282</v>
      </c>
      <c r="D80">
        <v>59049354</v>
      </c>
      <c r="E80">
        <v>1</v>
      </c>
      <c r="F80">
        <v>1</v>
      </c>
      <c r="G80">
        <v>1080</v>
      </c>
      <c r="H80">
        <v>3</v>
      </c>
      <c r="I80" t="s">
        <v>320</v>
      </c>
      <c r="J80" t="s">
        <v>321</v>
      </c>
      <c r="K80" t="s">
        <v>322</v>
      </c>
      <c r="L80">
        <v>1354</v>
      </c>
      <c r="N80">
        <v>1010</v>
      </c>
      <c r="O80" t="s">
        <v>241</v>
      </c>
      <c r="P80" t="s">
        <v>241</v>
      </c>
      <c r="Q80">
        <v>1</v>
      </c>
      <c r="W80">
        <v>0</v>
      </c>
      <c r="X80">
        <v>314181591</v>
      </c>
      <c r="Y80">
        <f>AT80</f>
        <v>0.1</v>
      </c>
      <c r="AA80">
        <v>36.14</v>
      </c>
      <c r="AB80">
        <v>0</v>
      </c>
      <c r="AC80">
        <v>0</v>
      </c>
      <c r="AD80">
        <v>0</v>
      </c>
      <c r="AE80">
        <v>15.25</v>
      </c>
      <c r="AF80">
        <v>0</v>
      </c>
      <c r="AG80">
        <v>0</v>
      </c>
      <c r="AH80">
        <v>0</v>
      </c>
      <c r="AI80">
        <v>2.37</v>
      </c>
      <c r="AJ80">
        <v>1</v>
      </c>
      <c r="AK80">
        <v>1</v>
      </c>
      <c r="AL80">
        <v>1</v>
      </c>
      <c r="AM80">
        <v>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0.1</v>
      </c>
      <c r="AU80" t="s">
        <v>3</v>
      </c>
      <c r="AV80">
        <v>0</v>
      </c>
      <c r="AW80">
        <v>2</v>
      </c>
      <c r="AX80">
        <v>60258515</v>
      </c>
      <c r="AY80">
        <v>1</v>
      </c>
      <c r="AZ80">
        <v>0</v>
      </c>
      <c r="BA80">
        <v>101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ROUND(Y80*Source!I73,9)</f>
        <v>0.8</v>
      </c>
      <c r="CY80">
        <f>AA80</f>
        <v>36.14</v>
      </c>
      <c r="CZ80">
        <f>AE80</f>
        <v>15.25</v>
      </c>
      <c r="DA80">
        <f>AI80</f>
        <v>2.37</v>
      </c>
      <c r="DB80">
        <f>ROUND(ROUND(AT80*CZ80,2),6)</f>
        <v>1.53</v>
      </c>
      <c r="DC80">
        <f>ROUND(ROUND(AT80*AG80,2),6)</f>
        <v>0</v>
      </c>
      <c r="DD80" t="s">
        <v>3</v>
      </c>
      <c r="DE80" t="s">
        <v>3</v>
      </c>
      <c r="DF80">
        <f>ROUND(ROUND(AE80*AI80,2)*CX80,2)</f>
        <v>28.91</v>
      </c>
      <c r="DG80">
        <f t="shared" si="19"/>
        <v>0</v>
      </c>
      <c r="DH80">
        <f t="shared" si="20"/>
        <v>0</v>
      </c>
      <c r="DI80">
        <f t="shared" si="22"/>
        <v>0</v>
      </c>
      <c r="DJ80">
        <f>DF80</f>
        <v>28.91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ROW(Source!A113)</f>
        <v>113</v>
      </c>
      <c r="B81">
        <v>60258064</v>
      </c>
      <c r="C81">
        <v>60258350</v>
      </c>
      <c r="D81">
        <v>58999254</v>
      </c>
      <c r="E81">
        <v>1080</v>
      </c>
      <c r="F81">
        <v>1</v>
      </c>
      <c r="G81">
        <v>1080</v>
      </c>
      <c r="H81">
        <v>1</v>
      </c>
      <c r="I81" t="s">
        <v>263</v>
      </c>
      <c r="J81" t="s">
        <v>3</v>
      </c>
      <c r="K81" t="s">
        <v>264</v>
      </c>
      <c r="L81">
        <v>1191</v>
      </c>
      <c r="N81">
        <v>1013</v>
      </c>
      <c r="O81" t="s">
        <v>265</v>
      </c>
      <c r="P81" t="s">
        <v>265</v>
      </c>
      <c r="Q81">
        <v>1</v>
      </c>
      <c r="W81">
        <v>0</v>
      </c>
      <c r="X81">
        <v>476480486</v>
      </c>
      <c r="Y81">
        <f>(AT81*1.1)</f>
        <v>1.1330000000000002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1.03</v>
      </c>
      <c r="AU81" t="s">
        <v>23</v>
      </c>
      <c r="AV81">
        <v>1</v>
      </c>
      <c r="AW81">
        <v>2</v>
      </c>
      <c r="AX81">
        <v>60258517</v>
      </c>
      <c r="AY81">
        <v>1</v>
      </c>
      <c r="AZ81">
        <v>0</v>
      </c>
      <c r="BA81">
        <v>103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ROUND(AT81*Source!I113*AH81*AL81,2)</f>
        <v>0</v>
      </c>
      <c r="CV81">
        <f>ROUND(Y81*Source!I113,9)</f>
        <v>20.393999999999998</v>
      </c>
      <c r="CW81">
        <v>0</v>
      </c>
      <c r="CX81">
        <f>ROUND(Y81*Source!I113,9)</f>
        <v>20.393999999999998</v>
      </c>
      <c r="CY81">
        <f>AD81</f>
        <v>0</v>
      </c>
      <c r="CZ81">
        <f>AH81</f>
        <v>0</v>
      </c>
      <c r="DA81">
        <f>AL81</f>
        <v>1</v>
      </c>
      <c r="DB81">
        <f>ROUND((ROUND(AT81*CZ81,2)*1.1),6)</f>
        <v>0</v>
      </c>
      <c r="DC81">
        <f>ROUND((ROUND(AT81*AG81,2)*1.1),6)</f>
        <v>0</v>
      </c>
      <c r="DD81" t="s">
        <v>3</v>
      </c>
      <c r="DE81" t="s">
        <v>3</v>
      </c>
      <c r="DF81">
        <f t="shared" ref="DF81:DF87" si="23">ROUND(ROUND(AE81,2)*CX81,2)</f>
        <v>0</v>
      </c>
      <c r="DG81">
        <f t="shared" si="19"/>
        <v>0</v>
      </c>
      <c r="DH81">
        <f t="shared" si="20"/>
        <v>0</v>
      </c>
      <c r="DI81">
        <f t="shared" si="22"/>
        <v>0</v>
      </c>
      <c r="DJ81">
        <f>DI81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ROW(Source!A113)</f>
        <v>113</v>
      </c>
      <c r="B82">
        <v>60258064</v>
      </c>
      <c r="C82">
        <v>60258350</v>
      </c>
      <c r="D82">
        <v>59070669</v>
      </c>
      <c r="E82">
        <v>1</v>
      </c>
      <c r="F82">
        <v>1</v>
      </c>
      <c r="G82">
        <v>1080</v>
      </c>
      <c r="H82">
        <v>2</v>
      </c>
      <c r="I82" t="s">
        <v>266</v>
      </c>
      <c r="J82" t="s">
        <v>267</v>
      </c>
      <c r="K82" t="s">
        <v>268</v>
      </c>
      <c r="L82">
        <v>1368</v>
      </c>
      <c r="N82">
        <v>1011</v>
      </c>
      <c r="O82" t="s">
        <v>269</v>
      </c>
      <c r="P82" t="s">
        <v>269</v>
      </c>
      <c r="Q82">
        <v>1</v>
      </c>
      <c r="W82">
        <v>0</v>
      </c>
      <c r="X82">
        <v>-1985943078</v>
      </c>
      <c r="Y82">
        <f>(AT82*1.1)</f>
        <v>6.6000000000000008E-3</v>
      </c>
      <c r="AA82">
        <v>0</v>
      </c>
      <c r="AB82">
        <v>87.01</v>
      </c>
      <c r="AC82">
        <v>13.21</v>
      </c>
      <c r="AD82">
        <v>0</v>
      </c>
      <c r="AE82">
        <v>0</v>
      </c>
      <c r="AF82">
        <v>83.1</v>
      </c>
      <c r="AG82">
        <v>12.62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6.0000000000000001E-3</v>
      </c>
      <c r="AU82" t="s">
        <v>23</v>
      </c>
      <c r="AV82">
        <v>0</v>
      </c>
      <c r="AW82">
        <v>2</v>
      </c>
      <c r="AX82">
        <v>60258518</v>
      </c>
      <c r="AY82">
        <v>1</v>
      </c>
      <c r="AZ82">
        <v>0</v>
      </c>
      <c r="BA82">
        <v>104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ROUND(Y82*Source!I113*DO82,9)</f>
        <v>1.4992559999999999</v>
      </c>
      <c r="CX82">
        <f>ROUND(Y82*Source!I113,9)</f>
        <v>0.1188</v>
      </c>
      <c r="CY82">
        <f>AB82</f>
        <v>87.01</v>
      </c>
      <c r="CZ82">
        <f>AF82</f>
        <v>83.1</v>
      </c>
      <c r="DA82">
        <f>AJ82</f>
        <v>1</v>
      </c>
      <c r="DB82">
        <f>ROUND((ROUND(AT82*CZ82,2)*1.1),6)</f>
        <v>0.55000000000000004</v>
      </c>
      <c r="DC82">
        <f>ROUND((ROUND(AT82*AG82,2)*1.1),6)</f>
        <v>8.7999999999999995E-2</v>
      </c>
      <c r="DD82" t="s">
        <v>3</v>
      </c>
      <c r="DE82" t="s">
        <v>3</v>
      </c>
      <c r="DF82">
        <f t="shared" si="23"/>
        <v>0</v>
      </c>
      <c r="DG82">
        <f t="shared" si="19"/>
        <v>9.8699999999999992</v>
      </c>
      <c r="DH82">
        <f t="shared" si="20"/>
        <v>1.5</v>
      </c>
      <c r="DI82">
        <f t="shared" si="22"/>
        <v>0</v>
      </c>
      <c r="DJ82">
        <f>DG82</f>
        <v>9.8699999999999992</v>
      </c>
      <c r="DK82">
        <v>0</v>
      </c>
      <c r="DL82" t="s">
        <v>270</v>
      </c>
      <c r="DM82">
        <v>0</v>
      </c>
      <c r="DN82" t="s">
        <v>265</v>
      </c>
      <c r="DO82">
        <v>12.62</v>
      </c>
    </row>
    <row r="83" spans="1:119" x14ac:dyDescent="0.2">
      <c r="A83">
        <f>ROW(Source!A114)</f>
        <v>114</v>
      </c>
      <c r="B83">
        <v>60258061</v>
      </c>
      <c r="C83">
        <v>60258350</v>
      </c>
      <c r="D83">
        <v>58999254</v>
      </c>
      <c r="E83">
        <v>1080</v>
      </c>
      <c r="F83">
        <v>1</v>
      </c>
      <c r="G83">
        <v>1080</v>
      </c>
      <c r="H83">
        <v>1</v>
      </c>
      <c r="I83" t="s">
        <v>263</v>
      </c>
      <c r="J83" t="s">
        <v>3</v>
      </c>
      <c r="K83" t="s">
        <v>264</v>
      </c>
      <c r="L83">
        <v>1191</v>
      </c>
      <c r="N83">
        <v>1013</v>
      </c>
      <c r="O83" t="s">
        <v>265</v>
      </c>
      <c r="P83" t="s">
        <v>265</v>
      </c>
      <c r="Q83">
        <v>1</v>
      </c>
      <c r="W83">
        <v>0</v>
      </c>
      <c r="X83">
        <v>476480486</v>
      </c>
      <c r="Y83">
        <f>(AT83*1.1)</f>
        <v>1.1330000000000002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5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1.03</v>
      </c>
      <c r="AU83" t="s">
        <v>23</v>
      </c>
      <c r="AV83">
        <v>1</v>
      </c>
      <c r="AW83">
        <v>2</v>
      </c>
      <c r="AX83">
        <v>60258517</v>
      </c>
      <c r="AY83">
        <v>1</v>
      </c>
      <c r="AZ83">
        <v>0</v>
      </c>
      <c r="BA83">
        <v>106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ROUND(AT83*Source!I114*AH83*AL83,2)</f>
        <v>0</v>
      </c>
      <c r="CV83">
        <f>ROUND(Y83*Source!I114,9)</f>
        <v>20.393999999999998</v>
      </c>
      <c r="CW83">
        <v>0</v>
      </c>
      <c r="CX83">
        <f>ROUND(Y83*Source!I114,9)</f>
        <v>20.393999999999998</v>
      </c>
      <c r="CY83">
        <f>AD83</f>
        <v>0</v>
      </c>
      <c r="CZ83">
        <f>AH83</f>
        <v>0</v>
      </c>
      <c r="DA83">
        <f>AL83</f>
        <v>1</v>
      </c>
      <c r="DB83">
        <f>ROUND((ROUND(AT83*CZ83,2)*1.1),6)</f>
        <v>0</v>
      </c>
      <c r="DC83">
        <f>ROUND((ROUND(AT83*AG83,2)*1.1),6)</f>
        <v>0</v>
      </c>
      <c r="DD83" t="s">
        <v>3</v>
      </c>
      <c r="DE83" t="s">
        <v>3</v>
      </c>
      <c r="DF83">
        <f t="shared" si="23"/>
        <v>0</v>
      </c>
      <c r="DG83">
        <f t="shared" si="19"/>
        <v>0</v>
      </c>
      <c r="DH83">
        <f t="shared" si="20"/>
        <v>0</v>
      </c>
      <c r="DI83">
        <f t="shared" si="22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ROW(Source!A114)</f>
        <v>114</v>
      </c>
      <c r="B84">
        <v>60258061</v>
      </c>
      <c r="C84">
        <v>60258350</v>
      </c>
      <c r="D84">
        <v>59070669</v>
      </c>
      <c r="E84">
        <v>1</v>
      </c>
      <c r="F84">
        <v>1</v>
      </c>
      <c r="G84">
        <v>1080</v>
      </c>
      <c r="H84">
        <v>2</v>
      </c>
      <c r="I84" t="s">
        <v>266</v>
      </c>
      <c r="J84" t="s">
        <v>267</v>
      </c>
      <c r="K84" t="s">
        <v>268</v>
      </c>
      <c r="L84">
        <v>1368</v>
      </c>
      <c r="N84">
        <v>1011</v>
      </c>
      <c r="O84" t="s">
        <v>269</v>
      </c>
      <c r="P84" t="s">
        <v>269</v>
      </c>
      <c r="Q84">
        <v>1</v>
      </c>
      <c r="W84">
        <v>0</v>
      </c>
      <c r="X84">
        <v>-1985943078</v>
      </c>
      <c r="Y84">
        <f>(AT84*1.1)</f>
        <v>6.6000000000000008E-3</v>
      </c>
      <c r="AA84">
        <v>0</v>
      </c>
      <c r="AB84">
        <v>1418.19</v>
      </c>
      <c r="AC84">
        <v>726.59</v>
      </c>
      <c r="AD84">
        <v>0</v>
      </c>
      <c r="AE84">
        <v>0</v>
      </c>
      <c r="AF84">
        <v>83.1</v>
      </c>
      <c r="AG84">
        <v>12.62</v>
      </c>
      <c r="AH84">
        <v>0</v>
      </c>
      <c r="AI84">
        <v>1</v>
      </c>
      <c r="AJ84">
        <v>16.3</v>
      </c>
      <c r="AK84">
        <v>54.99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6.0000000000000001E-3</v>
      </c>
      <c r="AU84" t="s">
        <v>23</v>
      </c>
      <c r="AV84">
        <v>0</v>
      </c>
      <c r="AW84">
        <v>2</v>
      </c>
      <c r="AX84">
        <v>60258518</v>
      </c>
      <c r="AY84">
        <v>1</v>
      </c>
      <c r="AZ84">
        <v>0</v>
      </c>
      <c r="BA84">
        <v>107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f>ROUND(Y84*Source!I114*DO84,9)</f>
        <v>1.4992559999999999</v>
      </c>
      <c r="CX84">
        <f>ROUND(Y84*Source!I114,9)</f>
        <v>0.1188</v>
      </c>
      <c r="CY84">
        <f>AB84</f>
        <v>1418.19</v>
      </c>
      <c r="CZ84">
        <f>AF84</f>
        <v>83.1</v>
      </c>
      <c r="DA84">
        <f>AJ84</f>
        <v>16.3</v>
      </c>
      <c r="DB84">
        <f>ROUND((ROUND(AT84*CZ84,2)*1.1),6)</f>
        <v>0.55000000000000004</v>
      </c>
      <c r="DC84">
        <f>ROUND((ROUND(AT84*AG84,2)*1.1),6)</f>
        <v>8.7999999999999995E-2</v>
      </c>
      <c r="DD84" t="s">
        <v>3</v>
      </c>
      <c r="DE84" t="s">
        <v>3</v>
      </c>
      <c r="DF84">
        <f t="shared" si="23"/>
        <v>0</v>
      </c>
      <c r="DG84">
        <f>ROUND(ROUND(AF84*AJ84,2)*CX84,2)</f>
        <v>160.91999999999999</v>
      </c>
      <c r="DH84">
        <f>ROUND(ROUND(AG84*AK84,2)*CX84,2)</f>
        <v>82.44</v>
      </c>
      <c r="DI84">
        <f t="shared" si="22"/>
        <v>0</v>
      </c>
      <c r="DJ84">
        <f>DG84</f>
        <v>160.91999999999999</v>
      </c>
      <c r="DK84">
        <v>0</v>
      </c>
      <c r="DL84" t="s">
        <v>270</v>
      </c>
      <c r="DM84">
        <v>0</v>
      </c>
      <c r="DN84" t="s">
        <v>265</v>
      </c>
      <c r="DO84">
        <v>12.62</v>
      </c>
    </row>
    <row r="85" spans="1:119" x14ac:dyDescent="0.2">
      <c r="A85">
        <f>ROW(Source!A158)</f>
        <v>158</v>
      </c>
      <c r="B85">
        <v>60258064</v>
      </c>
      <c r="C85">
        <v>60258416</v>
      </c>
      <c r="D85">
        <v>58999254</v>
      </c>
      <c r="E85">
        <v>1080</v>
      </c>
      <c r="F85">
        <v>1</v>
      </c>
      <c r="G85">
        <v>1080</v>
      </c>
      <c r="H85">
        <v>1</v>
      </c>
      <c r="I85" t="s">
        <v>263</v>
      </c>
      <c r="J85" t="s">
        <v>3</v>
      </c>
      <c r="K85" t="s">
        <v>264</v>
      </c>
      <c r="L85">
        <v>1191</v>
      </c>
      <c r="N85">
        <v>1013</v>
      </c>
      <c r="O85" t="s">
        <v>265</v>
      </c>
      <c r="P85" t="s">
        <v>265</v>
      </c>
      <c r="Q85">
        <v>1</v>
      </c>
      <c r="W85">
        <v>0</v>
      </c>
      <c r="X85">
        <v>476480486</v>
      </c>
      <c r="Y85">
        <f>(AT85*1.1)</f>
        <v>16.5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15</v>
      </c>
      <c r="AU85" t="s">
        <v>23</v>
      </c>
      <c r="AV85">
        <v>1</v>
      </c>
      <c r="AW85">
        <v>2</v>
      </c>
      <c r="AX85">
        <v>60258520</v>
      </c>
      <c r="AY85">
        <v>1</v>
      </c>
      <c r="AZ85">
        <v>0</v>
      </c>
      <c r="BA85">
        <v>109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ROUND(AT85*Source!I158*AH85*AL85,2)</f>
        <v>0</v>
      </c>
      <c r="CV85">
        <f>ROUND(Y85*Source!I158,9)</f>
        <v>495</v>
      </c>
      <c r="CW85">
        <v>0</v>
      </c>
      <c r="CX85">
        <f>ROUND(Y85*Source!I158,9)</f>
        <v>495</v>
      </c>
      <c r="CY85">
        <f>AD85</f>
        <v>0</v>
      </c>
      <c r="CZ85">
        <f>AH85</f>
        <v>0</v>
      </c>
      <c r="DA85">
        <f>AL85</f>
        <v>1</v>
      </c>
      <c r="DB85">
        <f>ROUND((ROUND(AT85*CZ85,2)*1.1),6)</f>
        <v>0</v>
      </c>
      <c r="DC85">
        <f>ROUND((ROUND(AT85*AG85,2)*1.1),6)</f>
        <v>0</v>
      </c>
      <c r="DD85" t="s">
        <v>3</v>
      </c>
      <c r="DE85" t="s">
        <v>3</v>
      </c>
      <c r="DF85">
        <f t="shared" si="23"/>
        <v>0</v>
      </c>
      <c r="DG85">
        <f t="shared" ref="DG85:DG98" si="24">ROUND(ROUND(AF85,2)*CX85,2)</f>
        <v>0</v>
      </c>
      <c r="DH85">
        <f t="shared" ref="DH85:DH98" si="25">ROUND(ROUND(AG85,2)*CX85,2)</f>
        <v>0</v>
      </c>
      <c r="DI85">
        <f t="shared" si="22"/>
        <v>0</v>
      </c>
      <c r="DJ85">
        <f>DI85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ROW(Source!A158)</f>
        <v>158</v>
      </c>
      <c r="B86">
        <v>60258064</v>
      </c>
      <c r="C86">
        <v>60258416</v>
      </c>
      <c r="D86">
        <v>59052976</v>
      </c>
      <c r="E86">
        <v>1</v>
      </c>
      <c r="F86">
        <v>1</v>
      </c>
      <c r="G86">
        <v>1080</v>
      </c>
      <c r="H86">
        <v>3</v>
      </c>
      <c r="I86" t="s">
        <v>217</v>
      </c>
      <c r="J86" t="s">
        <v>220</v>
      </c>
      <c r="K86" t="s">
        <v>218</v>
      </c>
      <c r="L86">
        <v>1301</v>
      </c>
      <c r="N86">
        <v>1003</v>
      </c>
      <c r="O86" t="s">
        <v>219</v>
      </c>
      <c r="P86" t="s">
        <v>219</v>
      </c>
      <c r="Q86">
        <v>1</v>
      </c>
      <c r="W86">
        <v>0</v>
      </c>
      <c r="X86">
        <v>-1305428159</v>
      </c>
      <c r="Y86">
        <f>AT86</f>
        <v>102</v>
      </c>
      <c r="AA86">
        <v>3.45</v>
      </c>
      <c r="AB86">
        <v>0</v>
      </c>
      <c r="AC86">
        <v>0</v>
      </c>
      <c r="AD86">
        <v>0</v>
      </c>
      <c r="AE86">
        <v>3.45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 t="s">
        <v>3</v>
      </c>
      <c r="AT86">
        <v>102</v>
      </c>
      <c r="AU86" t="s">
        <v>3</v>
      </c>
      <c r="AV86">
        <v>0</v>
      </c>
      <c r="AW86">
        <v>1</v>
      </c>
      <c r="AX86">
        <v>-1</v>
      </c>
      <c r="AY86">
        <v>0</v>
      </c>
      <c r="AZ86">
        <v>0</v>
      </c>
      <c r="BA86" t="s">
        <v>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ROUND(Y86*Source!I158,9)</f>
        <v>3060</v>
      </c>
      <c r="CY86">
        <f>AA86</f>
        <v>3.45</v>
      </c>
      <c r="CZ86">
        <f>AE86</f>
        <v>3.45</v>
      </c>
      <c r="DA86">
        <f>AI86</f>
        <v>1</v>
      </c>
      <c r="DB86">
        <f>ROUND(ROUND(AT86*CZ86,2),6)</f>
        <v>351.9</v>
      </c>
      <c r="DC86">
        <f>ROUND(ROUND(AT86*AG86,2),6)</f>
        <v>0</v>
      </c>
      <c r="DD86" t="s">
        <v>3</v>
      </c>
      <c r="DE86" t="s">
        <v>3</v>
      </c>
      <c r="DF86">
        <f t="shared" si="23"/>
        <v>10557</v>
      </c>
      <c r="DG86">
        <f t="shared" si="24"/>
        <v>0</v>
      </c>
      <c r="DH86">
        <f t="shared" si="25"/>
        <v>0</v>
      </c>
      <c r="DI86">
        <f t="shared" si="22"/>
        <v>0</v>
      </c>
      <c r="DJ86">
        <f>DF86</f>
        <v>10557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ROW(Source!A159)</f>
        <v>159</v>
      </c>
      <c r="B87">
        <v>60258061</v>
      </c>
      <c r="C87">
        <v>60258416</v>
      </c>
      <c r="D87">
        <v>58999254</v>
      </c>
      <c r="E87">
        <v>1080</v>
      </c>
      <c r="F87">
        <v>1</v>
      </c>
      <c r="G87">
        <v>1080</v>
      </c>
      <c r="H87">
        <v>1</v>
      </c>
      <c r="I87" t="s">
        <v>263</v>
      </c>
      <c r="J87" t="s">
        <v>3</v>
      </c>
      <c r="K87" t="s">
        <v>264</v>
      </c>
      <c r="L87">
        <v>1191</v>
      </c>
      <c r="N87">
        <v>1013</v>
      </c>
      <c r="O87" t="s">
        <v>265</v>
      </c>
      <c r="P87" t="s">
        <v>265</v>
      </c>
      <c r="Q87">
        <v>1</v>
      </c>
      <c r="W87">
        <v>0</v>
      </c>
      <c r="X87">
        <v>476480486</v>
      </c>
      <c r="Y87">
        <f>(AT87*1.1)</f>
        <v>16.5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5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15</v>
      </c>
      <c r="AU87" t="s">
        <v>23</v>
      </c>
      <c r="AV87">
        <v>1</v>
      </c>
      <c r="AW87">
        <v>2</v>
      </c>
      <c r="AX87">
        <v>60258520</v>
      </c>
      <c r="AY87">
        <v>1</v>
      </c>
      <c r="AZ87">
        <v>0</v>
      </c>
      <c r="BA87">
        <v>113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ROUND(AT87*Source!I159*AH87*AL87,2)</f>
        <v>0</v>
      </c>
      <c r="CV87">
        <f>ROUND(Y87*Source!I159,9)</f>
        <v>495</v>
      </c>
      <c r="CW87">
        <v>0</v>
      </c>
      <c r="CX87">
        <f>ROUND(Y87*Source!I159,9)</f>
        <v>495</v>
      </c>
      <c r="CY87">
        <f>AD87</f>
        <v>0</v>
      </c>
      <c r="CZ87">
        <f>AH87</f>
        <v>0</v>
      </c>
      <c r="DA87">
        <f>AL87</f>
        <v>1</v>
      </c>
      <c r="DB87">
        <f>ROUND((ROUND(AT87*CZ87,2)*1.1),6)</f>
        <v>0</v>
      </c>
      <c r="DC87">
        <f>ROUND((ROUND(AT87*AG87,2)*1.1),6)</f>
        <v>0</v>
      </c>
      <c r="DD87" t="s">
        <v>3</v>
      </c>
      <c r="DE87" t="s">
        <v>3</v>
      </c>
      <c r="DF87">
        <f t="shared" si="23"/>
        <v>0</v>
      </c>
      <c r="DG87">
        <f t="shared" si="24"/>
        <v>0</v>
      </c>
      <c r="DH87">
        <f t="shared" si="25"/>
        <v>0</v>
      </c>
      <c r="DI87">
        <f t="shared" si="22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ROW(Source!A159)</f>
        <v>159</v>
      </c>
      <c r="B88">
        <v>60258061</v>
      </c>
      <c r="C88">
        <v>60258416</v>
      </c>
      <c r="D88">
        <v>59052976</v>
      </c>
      <c r="E88">
        <v>1</v>
      </c>
      <c r="F88">
        <v>1</v>
      </c>
      <c r="G88">
        <v>1080</v>
      </c>
      <c r="H88">
        <v>3</v>
      </c>
      <c r="I88" t="s">
        <v>217</v>
      </c>
      <c r="J88" t="s">
        <v>220</v>
      </c>
      <c r="K88" t="s">
        <v>218</v>
      </c>
      <c r="L88">
        <v>1301</v>
      </c>
      <c r="N88">
        <v>1003</v>
      </c>
      <c r="O88" t="s">
        <v>219</v>
      </c>
      <c r="P88" t="s">
        <v>219</v>
      </c>
      <c r="Q88">
        <v>1</v>
      </c>
      <c r="W88">
        <v>0</v>
      </c>
      <c r="X88">
        <v>-1305428159</v>
      </c>
      <c r="Y88">
        <f>AT88</f>
        <v>102</v>
      </c>
      <c r="AA88">
        <v>13.56</v>
      </c>
      <c r="AB88">
        <v>0</v>
      </c>
      <c r="AC88">
        <v>0</v>
      </c>
      <c r="AD88">
        <v>0</v>
      </c>
      <c r="AE88">
        <v>3.45</v>
      </c>
      <c r="AF88">
        <v>0</v>
      </c>
      <c r="AG88">
        <v>0</v>
      </c>
      <c r="AH88">
        <v>0</v>
      </c>
      <c r="AI88">
        <v>3.93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 t="s">
        <v>3</v>
      </c>
      <c r="AT88">
        <v>102</v>
      </c>
      <c r="AU88" t="s">
        <v>3</v>
      </c>
      <c r="AV88">
        <v>0</v>
      </c>
      <c r="AW88">
        <v>1</v>
      </c>
      <c r="AX88">
        <v>-1</v>
      </c>
      <c r="AY88">
        <v>0</v>
      </c>
      <c r="AZ88">
        <v>0</v>
      </c>
      <c r="BA88" t="s">
        <v>3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ROUND(Y88*Source!I159,9)</f>
        <v>3060</v>
      </c>
      <c r="CY88">
        <f>AA88</f>
        <v>13.56</v>
      </c>
      <c r="CZ88">
        <f>AE88</f>
        <v>3.45</v>
      </c>
      <c r="DA88">
        <f>AI88</f>
        <v>3.93</v>
      </c>
      <c r="DB88">
        <f>ROUND(ROUND(AT88*CZ88,2),6)</f>
        <v>351.9</v>
      </c>
      <c r="DC88">
        <f>ROUND(ROUND(AT88*AG88,2),6)</f>
        <v>0</v>
      </c>
      <c r="DD88" t="s">
        <v>3</v>
      </c>
      <c r="DE88" t="s">
        <v>3</v>
      </c>
      <c r="DF88">
        <f>ROUND(ROUND(AE88*AI88,2)*CX88,2)</f>
        <v>41493.599999999999</v>
      </c>
      <c r="DG88">
        <f t="shared" si="24"/>
        <v>0</v>
      </c>
      <c r="DH88">
        <f t="shared" si="25"/>
        <v>0</v>
      </c>
      <c r="DI88">
        <f t="shared" si="22"/>
        <v>0</v>
      </c>
      <c r="DJ88">
        <f>DF88</f>
        <v>41493.599999999999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ROW(Source!A162)</f>
        <v>162</v>
      </c>
      <c r="B89">
        <v>60258064</v>
      </c>
      <c r="C89">
        <v>60258424</v>
      </c>
      <c r="D89">
        <v>58999254</v>
      </c>
      <c r="E89">
        <v>1080</v>
      </c>
      <c r="F89">
        <v>1</v>
      </c>
      <c r="G89">
        <v>1080</v>
      </c>
      <c r="H89">
        <v>1</v>
      </c>
      <c r="I89" t="s">
        <v>263</v>
      </c>
      <c r="J89" t="s">
        <v>3</v>
      </c>
      <c r="K89" t="s">
        <v>264</v>
      </c>
      <c r="L89">
        <v>1191</v>
      </c>
      <c r="N89">
        <v>1013</v>
      </c>
      <c r="O89" t="s">
        <v>265</v>
      </c>
      <c r="P89" t="s">
        <v>265</v>
      </c>
      <c r="Q89">
        <v>1</v>
      </c>
      <c r="W89">
        <v>0</v>
      </c>
      <c r="X89">
        <v>476480486</v>
      </c>
      <c r="Y89">
        <f>(AT89*1.1)</f>
        <v>5.9290000000000003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5.39</v>
      </c>
      <c r="AU89" t="s">
        <v>23</v>
      </c>
      <c r="AV89">
        <v>1</v>
      </c>
      <c r="AW89">
        <v>2</v>
      </c>
      <c r="AX89">
        <v>60258524</v>
      </c>
      <c r="AY89">
        <v>1</v>
      </c>
      <c r="AZ89">
        <v>0</v>
      </c>
      <c r="BA89">
        <v>117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ROUND(AT89*Source!I162*AH89*AL89,2)</f>
        <v>0</v>
      </c>
      <c r="CV89">
        <f>ROUND(Y89*Source!I162,9)</f>
        <v>177.87</v>
      </c>
      <c r="CW89">
        <v>0</v>
      </c>
      <c r="CX89">
        <f>ROUND(Y89*Source!I162,9)</f>
        <v>177.87</v>
      </c>
      <c r="CY89">
        <f>AD89</f>
        <v>0</v>
      </c>
      <c r="CZ89">
        <f>AH89</f>
        <v>0</v>
      </c>
      <c r="DA89">
        <f>AL89</f>
        <v>1</v>
      </c>
      <c r="DB89">
        <f>ROUND((ROUND(AT89*CZ89,2)*1.1),6)</f>
        <v>0</v>
      </c>
      <c r="DC89">
        <f>ROUND((ROUND(AT89*AG89,2)*1.1),6)</f>
        <v>0</v>
      </c>
      <c r="DD89" t="s">
        <v>3</v>
      </c>
      <c r="DE89" t="s">
        <v>3</v>
      </c>
      <c r="DF89">
        <f t="shared" ref="DF89:DF100" si="26">ROUND(ROUND(AE89,2)*CX89,2)</f>
        <v>0</v>
      </c>
      <c r="DG89">
        <f t="shared" si="24"/>
        <v>0</v>
      </c>
      <c r="DH89">
        <f t="shared" si="25"/>
        <v>0</v>
      </c>
      <c r="DI89">
        <f t="shared" si="22"/>
        <v>0</v>
      </c>
      <c r="DJ89">
        <f>DI89</f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ROW(Source!A162)</f>
        <v>162</v>
      </c>
      <c r="B90">
        <v>60258064</v>
      </c>
      <c r="C90">
        <v>60258424</v>
      </c>
      <c r="D90">
        <v>59070669</v>
      </c>
      <c r="E90">
        <v>1</v>
      </c>
      <c r="F90">
        <v>1</v>
      </c>
      <c r="G90">
        <v>1080</v>
      </c>
      <c r="H90">
        <v>2</v>
      </c>
      <c r="I90" t="s">
        <v>266</v>
      </c>
      <c r="J90" t="s">
        <v>267</v>
      </c>
      <c r="K90" t="s">
        <v>268</v>
      </c>
      <c r="L90">
        <v>1368</v>
      </c>
      <c r="N90">
        <v>1011</v>
      </c>
      <c r="O90" t="s">
        <v>269</v>
      </c>
      <c r="P90" t="s">
        <v>269</v>
      </c>
      <c r="Q90">
        <v>1</v>
      </c>
      <c r="W90">
        <v>0</v>
      </c>
      <c r="X90">
        <v>-1985943078</v>
      </c>
      <c r="Y90">
        <f>(AT90*1.1)</f>
        <v>2.2000000000000002E-2</v>
      </c>
      <c r="AA90">
        <v>0</v>
      </c>
      <c r="AB90">
        <v>87.01</v>
      </c>
      <c r="AC90">
        <v>13.21</v>
      </c>
      <c r="AD90">
        <v>0</v>
      </c>
      <c r="AE90">
        <v>0</v>
      </c>
      <c r="AF90">
        <v>83.1</v>
      </c>
      <c r="AG90">
        <v>12.62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0.02</v>
      </c>
      <c r="AU90" t="s">
        <v>23</v>
      </c>
      <c r="AV90">
        <v>0</v>
      </c>
      <c r="AW90">
        <v>2</v>
      </c>
      <c r="AX90">
        <v>60258525</v>
      </c>
      <c r="AY90">
        <v>1</v>
      </c>
      <c r="AZ90">
        <v>0</v>
      </c>
      <c r="BA90">
        <v>118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ROUND(Y90*Source!I162*DO90,9)</f>
        <v>8.3292000000000002</v>
      </c>
      <c r="CX90">
        <f>ROUND(Y90*Source!I162,9)</f>
        <v>0.66</v>
      </c>
      <c r="CY90">
        <f>AB90</f>
        <v>87.01</v>
      </c>
      <c r="CZ90">
        <f>AF90</f>
        <v>83.1</v>
      </c>
      <c r="DA90">
        <f>AJ90</f>
        <v>1</v>
      </c>
      <c r="DB90">
        <f>ROUND((ROUND(AT90*CZ90,2)*1.1),6)</f>
        <v>1.8260000000000001</v>
      </c>
      <c r="DC90">
        <f>ROUND((ROUND(AT90*AG90,2)*1.1),6)</f>
        <v>0.27500000000000002</v>
      </c>
      <c r="DD90" t="s">
        <v>3</v>
      </c>
      <c r="DE90" t="s">
        <v>3</v>
      </c>
      <c r="DF90">
        <f t="shared" si="26"/>
        <v>0</v>
      </c>
      <c r="DG90">
        <f t="shared" si="24"/>
        <v>54.85</v>
      </c>
      <c r="DH90">
        <f t="shared" si="25"/>
        <v>8.33</v>
      </c>
      <c r="DI90">
        <f t="shared" si="22"/>
        <v>0</v>
      </c>
      <c r="DJ90">
        <f>DG90</f>
        <v>54.85</v>
      </c>
      <c r="DK90">
        <v>0</v>
      </c>
      <c r="DL90" t="s">
        <v>270</v>
      </c>
      <c r="DM90">
        <v>0</v>
      </c>
      <c r="DN90" t="s">
        <v>265</v>
      </c>
      <c r="DO90">
        <v>12.62</v>
      </c>
    </row>
    <row r="91" spans="1:119" x14ac:dyDescent="0.2">
      <c r="A91">
        <f>ROW(Source!A162)</f>
        <v>162</v>
      </c>
      <c r="B91">
        <v>60258064</v>
      </c>
      <c r="C91">
        <v>60258424</v>
      </c>
      <c r="D91">
        <v>59069905</v>
      </c>
      <c r="E91">
        <v>1</v>
      </c>
      <c r="F91">
        <v>1</v>
      </c>
      <c r="G91">
        <v>1080</v>
      </c>
      <c r="H91">
        <v>2</v>
      </c>
      <c r="I91" t="s">
        <v>323</v>
      </c>
      <c r="J91" t="s">
        <v>324</v>
      </c>
      <c r="K91" t="s">
        <v>325</v>
      </c>
      <c r="L91">
        <v>1368</v>
      </c>
      <c r="N91">
        <v>1011</v>
      </c>
      <c r="O91" t="s">
        <v>269</v>
      </c>
      <c r="P91" t="s">
        <v>269</v>
      </c>
      <c r="Q91">
        <v>1</v>
      </c>
      <c r="W91">
        <v>0</v>
      </c>
      <c r="X91">
        <v>1087580389</v>
      </c>
      <c r="Y91">
        <f>(AT91*1.1)</f>
        <v>2.2000000000000002E-2</v>
      </c>
      <c r="AA91">
        <v>0</v>
      </c>
      <c r="AB91">
        <v>187.59</v>
      </c>
      <c r="AC91">
        <v>17.73</v>
      </c>
      <c r="AD91">
        <v>0</v>
      </c>
      <c r="AE91">
        <v>0</v>
      </c>
      <c r="AF91">
        <v>179.17</v>
      </c>
      <c r="AG91">
        <v>16.93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0.02</v>
      </c>
      <c r="AU91" t="s">
        <v>23</v>
      </c>
      <c r="AV91">
        <v>0</v>
      </c>
      <c r="AW91">
        <v>2</v>
      </c>
      <c r="AX91">
        <v>60258526</v>
      </c>
      <c r="AY91">
        <v>1</v>
      </c>
      <c r="AZ91">
        <v>0</v>
      </c>
      <c r="BA91">
        <v>119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ROUND(Y91*Source!I162*DO91,9)</f>
        <v>11.1738</v>
      </c>
      <c r="CX91">
        <f>ROUND(Y91*Source!I162,9)</f>
        <v>0.66</v>
      </c>
      <c r="CY91">
        <f>AB91</f>
        <v>187.59</v>
      </c>
      <c r="CZ91">
        <f>AF91</f>
        <v>179.17</v>
      </c>
      <c r="DA91">
        <f>AJ91</f>
        <v>1</v>
      </c>
      <c r="DB91">
        <f>ROUND((ROUND(AT91*CZ91,2)*1.1),6)</f>
        <v>3.9380000000000002</v>
      </c>
      <c r="DC91">
        <f>ROUND((ROUND(AT91*AG91,2)*1.1),6)</f>
        <v>0.374</v>
      </c>
      <c r="DD91" t="s">
        <v>3</v>
      </c>
      <c r="DE91" t="s">
        <v>3</v>
      </c>
      <c r="DF91">
        <f t="shared" si="26"/>
        <v>0</v>
      </c>
      <c r="DG91">
        <f t="shared" si="24"/>
        <v>118.25</v>
      </c>
      <c r="DH91">
        <f t="shared" si="25"/>
        <v>11.17</v>
      </c>
      <c r="DI91">
        <f t="shared" si="22"/>
        <v>0</v>
      </c>
      <c r="DJ91">
        <f>DG91</f>
        <v>118.25</v>
      </c>
      <c r="DK91">
        <v>0</v>
      </c>
      <c r="DL91" t="s">
        <v>270</v>
      </c>
      <c r="DM91">
        <v>0</v>
      </c>
      <c r="DN91" t="s">
        <v>265</v>
      </c>
      <c r="DO91">
        <v>16.93</v>
      </c>
    </row>
    <row r="92" spans="1:119" x14ac:dyDescent="0.2">
      <c r="A92">
        <f>ROW(Source!A162)</f>
        <v>162</v>
      </c>
      <c r="B92">
        <v>60258064</v>
      </c>
      <c r="C92">
        <v>60258424</v>
      </c>
      <c r="D92">
        <v>59039702</v>
      </c>
      <c r="E92">
        <v>1</v>
      </c>
      <c r="F92">
        <v>1</v>
      </c>
      <c r="G92">
        <v>1080</v>
      </c>
      <c r="H92">
        <v>3</v>
      </c>
      <c r="I92" t="s">
        <v>326</v>
      </c>
      <c r="J92" t="s">
        <v>327</v>
      </c>
      <c r="K92" t="s">
        <v>328</v>
      </c>
      <c r="L92">
        <v>1346</v>
      </c>
      <c r="N92">
        <v>1009</v>
      </c>
      <c r="O92" t="s">
        <v>313</v>
      </c>
      <c r="P92" t="s">
        <v>313</v>
      </c>
      <c r="Q92">
        <v>1</v>
      </c>
      <c r="W92">
        <v>0</v>
      </c>
      <c r="X92">
        <v>1770006655</v>
      </c>
      <c r="Y92">
        <f t="shared" ref="Y92:Y97" si="27">AT92</f>
        <v>0.6</v>
      </c>
      <c r="AA92">
        <v>1.38</v>
      </c>
      <c r="AB92">
        <v>0</v>
      </c>
      <c r="AC92">
        <v>0</v>
      </c>
      <c r="AD92">
        <v>0</v>
      </c>
      <c r="AE92">
        <v>1.38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0.6</v>
      </c>
      <c r="AU92" t="s">
        <v>3</v>
      </c>
      <c r="AV92">
        <v>0</v>
      </c>
      <c r="AW92">
        <v>2</v>
      </c>
      <c r="AX92">
        <v>60258527</v>
      </c>
      <c r="AY92">
        <v>1</v>
      </c>
      <c r="AZ92">
        <v>0</v>
      </c>
      <c r="BA92">
        <v>120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ROUND(Y92*Source!I162,9)</f>
        <v>18</v>
      </c>
      <c r="CY92">
        <f t="shared" ref="CY92:CY97" si="28">AA92</f>
        <v>1.38</v>
      </c>
      <c r="CZ92">
        <f t="shared" ref="CZ92:CZ97" si="29">AE92</f>
        <v>1.38</v>
      </c>
      <c r="DA92">
        <f t="shared" ref="DA92:DA97" si="30">AI92</f>
        <v>1</v>
      </c>
      <c r="DB92">
        <f t="shared" ref="DB92:DB97" si="31">ROUND(ROUND(AT92*CZ92,2),6)</f>
        <v>0.83</v>
      </c>
      <c r="DC92">
        <f t="shared" ref="DC92:DC97" si="32">ROUND(ROUND(AT92*AG92,2),6)</f>
        <v>0</v>
      </c>
      <c r="DD92" t="s">
        <v>3</v>
      </c>
      <c r="DE92" t="s">
        <v>3</v>
      </c>
      <c r="DF92">
        <f t="shared" si="26"/>
        <v>24.84</v>
      </c>
      <c r="DG92">
        <f t="shared" si="24"/>
        <v>0</v>
      </c>
      <c r="DH92">
        <f t="shared" si="25"/>
        <v>0</v>
      </c>
      <c r="DI92">
        <f t="shared" si="22"/>
        <v>0</v>
      </c>
      <c r="DJ92">
        <f t="shared" ref="DJ92:DJ97" si="33">DF92</f>
        <v>24.84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ROW(Source!A162)</f>
        <v>162</v>
      </c>
      <c r="B93">
        <v>60258064</v>
      </c>
      <c r="C93">
        <v>60258424</v>
      </c>
      <c r="D93">
        <v>59040093</v>
      </c>
      <c r="E93">
        <v>1</v>
      </c>
      <c r="F93">
        <v>1</v>
      </c>
      <c r="G93">
        <v>1080</v>
      </c>
      <c r="H93">
        <v>3</v>
      </c>
      <c r="I93" t="s">
        <v>329</v>
      </c>
      <c r="J93" t="s">
        <v>330</v>
      </c>
      <c r="K93" t="s">
        <v>331</v>
      </c>
      <c r="L93">
        <v>1346</v>
      </c>
      <c r="N93">
        <v>1009</v>
      </c>
      <c r="O93" t="s">
        <v>313</v>
      </c>
      <c r="P93" t="s">
        <v>313</v>
      </c>
      <c r="Q93">
        <v>1</v>
      </c>
      <c r="W93">
        <v>0</v>
      </c>
      <c r="X93">
        <v>-878159893</v>
      </c>
      <c r="Y93">
        <f t="shared" si="27"/>
        <v>0.16</v>
      </c>
      <c r="AA93">
        <v>159.06</v>
      </c>
      <c r="AB93">
        <v>0</v>
      </c>
      <c r="AC93">
        <v>0</v>
      </c>
      <c r="AD93">
        <v>0</v>
      </c>
      <c r="AE93">
        <v>159.06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0.16</v>
      </c>
      <c r="AU93" t="s">
        <v>3</v>
      </c>
      <c r="AV93">
        <v>0</v>
      </c>
      <c r="AW93">
        <v>2</v>
      </c>
      <c r="AX93">
        <v>60258528</v>
      </c>
      <c r="AY93">
        <v>1</v>
      </c>
      <c r="AZ93">
        <v>0</v>
      </c>
      <c r="BA93">
        <v>121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ROUND(Y93*Source!I162,9)</f>
        <v>4.8</v>
      </c>
      <c r="CY93">
        <f t="shared" si="28"/>
        <v>159.06</v>
      </c>
      <c r="CZ93">
        <f t="shared" si="29"/>
        <v>159.06</v>
      </c>
      <c r="DA93">
        <f t="shared" si="30"/>
        <v>1</v>
      </c>
      <c r="DB93">
        <f t="shared" si="31"/>
        <v>25.45</v>
      </c>
      <c r="DC93">
        <f t="shared" si="32"/>
        <v>0</v>
      </c>
      <c r="DD93" t="s">
        <v>3</v>
      </c>
      <c r="DE93" t="s">
        <v>3</v>
      </c>
      <c r="DF93">
        <f t="shared" si="26"/>
        <v>763.49</v>
      </c>
      <c r="DG93">
        <f t="shared" si="24"/>
        <v>0</v>
      </c>
      <c r="DH93">
        <f t="shared" si="25"/>
        <v>0</v>
      </c>
      <c r="DI93">
        <f t="shared" si="22"/>
        <v>0</v>
      </c>
      <c r="DJ93">
        <f t="shared" si="33"/>
        <v>763.49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ROW(Source!A162)</f>
        <v>162</v>
      </c>
      <c r="B94">
        <v>60258064</v>
      </c>
      <c r="C94">
        <v>60258424</v>
      </c>
      <c r="D94">
        <v>59063037</v>
      </c>
      <c r="E94">
        <v>1</v>
      </c>
      <c r="F94">
        <v>1</v>
      </c>
      <c r="G94">
        <v>1080</v>
      </c>
      <c r="H94">
        <v>3</v>
      </c>
      <c r="I94" t="s">
        <v>332</v>
      </c>
      <c r="J94" t="s">
        <v>333</v>
      </c>
      <c r="K94" t="s">
        <v>334</v>
      </c>
      <c r="L94">
        <v>1355</v>
      </c>
      <c r="N94">
        <v>1010</v>
      </c>
      <c r="O94" t="s">
        <v>283</v>
      </c>
      <c r="P94" t="s">
        <v>283</v>
      </c>
      <c r="Q94">
        <v>100</v>
      </c>
      <c r="W94">
        <v>0</v>
      </c>
      <c r="X94">
        <v>938266694</v>
      </c>
      <c r="Y94">
        <f t="shared" si="27"/>
        <v>0.05</v>
      </c>
      <c r="AA94">
        <v>130.15</v>
      </c>
      <c r="AB94">
        <v>0</v>
      </c>
      <c r="AC94">
        <v>0</v>
      </c>
      <c r="AD94">
        <v>0</v>
      </c>
      <c r="AE94">
        <v>130.15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0.05</v>
      </c>
      <c r="AU94" t="s">
        <v>3</v>
      </c>
      <c r="AV94">
        <v>0</v>
      </c>
      <c r="AW94">
        <v>2</v>
      </c>
      <c r="AX94">
        <v>60258529</v>
      </c>
      <c r="AY94">
        <v>1</v>
      </c>
      <c r="AZ94">
        <v>0</v>
      </c>
      <c r="BA94">
        <v>122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ROUND(Y94*Source!I162,9)</f>
        <v>1.5</v>
      </c>
      <c r="CY94">
        <f t="shared" si="28"/>
        <v>130.15</v>
      </c>
      <c r="CZ94">
        <f t="shared" si="29"/>
        <v>130.15</v>
      </c>
      <c r="DA94">
        <f t="shared" si="30"/>
        <v>1</v>
      </c>
      <c r="DB94">
        <f t="shared" si="31"/>
        <v>6.51</v>
      </c>
      <c r="DC94">
        <f t="shared" si="32"/>
        <v>0</v>
      </c>
      <c r="DD94" t="s">
        <v>3</v>
      </c>
      <c r="DE94" t="s">
        <v>3</v>
      </c>
      <c r="DF94">
        <f t="shared" si="26"/>
        <v>195.23</v>
      </c>
      <c r="DG94">
        <f t="shared" si="24"/>
        <v>0</v>
      </c>
      <c r="DH94">
        <f t="shared" si="25"/>
        <v>0</v>
      </c>
      <c r="DI94">
        <f t="shared" si="22"/>
        <v>0</v>
      </c>
      <c r="DJ94">
        <f t="shared" si="33"/>
        <v>195.23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ROW(Source!A162)</f>
        <v>162</v>
      </c>
      <c r="B95">
        <v>60258064</v>
      </c>
      <c r="C95">
        <v>60258424</v>
      </c>
      <c r="D95">
        <v>59063048</v>
      </c>
      <c r="E95">
        <v>1</v>
      </c>
      <c r="F95">
        <v>1</v>
      </c>
      <c r="G95">
        <v>1080</v>
      </c>
      <c r="H95">
        <v>3</v>
      </c>
      <c r="I95" t="s">
        <v>335</v>
      </c>
      <c r="J95" t="s">
        <v>336</v>
      </c>
      <c r="K95" t="s">
        <v>337</v>
      </c>
      <c r="L95">
        <v>1356</v>
      </c>
      <c r="N95">
        <v>1010</v>
      </c>
      <c r="O95" t="s">
        <v>295</v>
      </c>
      <c r="P95" t="s">
        <v>295</v>
      </c>
      <c r="Q95">
        <v>1000</v>
      </c>
      <c r="W95">
        <v>0</v>
      </c>
      <c r="X95">
        <v>-422648154</v>
      </c>
      <c r="Y95">
        <f t="shared" si="27"/>
        <v>1.2200000000000001E-2</v>
      </c>
      <c r="AA95">
        <v>226.86</v>
      </c>
      <c r="AB95">
        <v>0</v>
      </c>
      <c r="AC95">
        <v>0</v>
      </c>
      <c r="AD95">
        <v>0</v>
      </c>
      <c r="AE95">
        <v>226.86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1.2200000000000001E-2</v>
      </c>
      <c r="AU95" t="s">
        <v>3</v>
      </c>
      <c r="AV95">
        <v>0</v>
      </c>
      <c r="AW95">
        <v>2</v>
      </c>
      <c r="AX95">
        <v>60258530</v>
      </c>
      <c r="AY95">
        <v>1</v>
      </c>
      <c r="AZ95">
        <v>0</v>
      </c>
      <c r="BA95">
        <v>123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ROUND(Y95*Source!I162,9)</f>
        <v>0.36599999999999999</v>
      </c>
      <c r="CY95">
        <f t="shared" si="28"/>
        <v>226.86</v>
      </c>
      <c r="CZ95">
        <f t="shared" si="29"/>
        <v>226.86</v>
      </c>
      <c r="DA95">
        <f t="shared" si="30"/>
        <v>1</v>
      </c>
      <c r="DB95">
        <f t="shared" si="31"/>
        <v>2.77</v>
      </c>
      <c r="DC95">
        <f t="shared" si="32"/>
        <v>0</v>
      </c>
      <c r="DD95" t="s">
        <v>3</v>
      </c>
      <c r="DE95" t="s">
        <v>3</v>
      </c>
      <c r="DF95">
        <f t="shared" si="26"/>
        <v>83.03</v>
      </c>
      <c r="DG95">
        <f t="shared" si="24"/>
        <v>0</v>
      </c>
      <c r="DH95">
        <f t="shared" si="25"/>
        <v>0</v>
      </c>
      <c r="DI95">
        <f t="shared" si="22"/>
        <v>0</v>
      </c>
      <c r="DJ95">
        <f t="shared" si="33"/>
        <v>83.03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ROW(Source!A162)</f>
        <v>162</v>
      </c>
      <c r="B96">
        <v>60258064</v>
      </c>
      <c r="C96">
        <v>60258424</v>
      </c>
      <c r="D96">
        <v>59062373</v>
      </c>
      <c r="E96">
        <v>1</v>
      </c>
      <c r="F96">
        <v>1</v>
      </c>
      <c r="G96">
        <v>1080</v>
      </c>
      <c r="H96">
        <v>3</v>
      </c>
      <c r="I96" t="s">
        <v>338</v>
      </c>
      <c r="J96" t="s">
        <v>339</v>
      </c>
      <c r="K96" t="s">
        <v>340</v>
      </c>
      <c r="L96">
        <v>1354</v>
      </c>
      <c r="N96">
        <v>1010</v>
      </c>
      <c r="O96" t="s">
        <v>241</v>
      </c>
      <c r="P96" t="s">
        <v>241</v>
      </c>
      <c r="Q96">
        <v>1</v>
      </c>
      <c r="W96">
        <v>0</v>
      </c>
      <c r="X96">
        <v>145081611</v>
      </c>
      <c r="Y96">
        <f t="shared" si="27"/>
        <v>3.1</v>
      </c>
      <c r="AA96">
        <v>6.94</v>
      </c>
      <c r="AB96">
        <v>0</v>
      </c>
      <c r="AC96">
        <v>0</v>
      </c>
      <c r="AD96">
        <v>0</v>
      </c>
      <c r="AE96">
        <v>6.94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3.1</v>
      </c>
      <c r="AU96" t="s">
        <v>3</v>
      </c>
      <c r="AV96">
        <v>0</v>
      </c>
      <c r="AW96">
        <v>2</v>
      </c>
      <c r="AX96">
        <v>60258531</v>
      </c>
      <c r="AY96">
        <v>1</v>
      </c>
      <c r="AZ96">
        <v>0</v>
      </c>
      <c r="BA96">
        <v>124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ROUND(Y96*Source!I162,9)</f>
        <v>93</v>
      </c>
      <c r="CY96">
        <f t="shared" si="28"/>
        <v>6.94</v>
      </c>
      <c r="CZ96">
        <f t="shared" si="29"/>
        <v>6.94</v>
      </c>
      <c r="DA96">
        <f t="shared" si="30"/>
        <v>1</v>
      </c>
      <c r="DB96">
        <f t="shared" si="31"/>
        <v>21.51</v>
      </c>
      <c r="DC96">
        <f t="shared" si="32"/>
        <v>0</v>
      </c>
      <c r="DD96" t="s">
        <v>3</v>
      </c>
      <c r="DE96" t="s">
        <v>3</v>
      </c>
      <c r="DF96">
        <f t="shared" si="26"/>
        <v>645.41999999999996</v>
      </c>
      <c r="DG96">
        <f t="shared" si="24"/>
        <v>0</v>
      </c>
      <c r="DH96">
        <f t="shared" si="25"/>
        <v>0</v>
      </c>
      <c r="DI96">
        <f t="shared" si="22"/>
        <v>0</v>
      </c>
      <c r="DJ96">
        <f t="shared" si="33"/>
        <v>645.41999999999996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ROW(Source!A162)</f>
        <v>162</v>
      </c>
      <c r="B97">
        <v>60258064</v>
      </c>
      <c r="C97">
        <v>60258424</v>
      </c>
      <c r="D97">
        <v>59062381</v>
      </c>
      <c r="E97">
        <v>1</v>
      </c>
      <c r="F97">
        <v>1</v>
      </c>
      <c r="G97">
        <v>1080</v>
      </c>
      <c r="H97">
        <v>3</v>
      </c>
      <c r="I97" t="s">
        <v>341</v>
      </c>
      <c r="J97" t="s">
        <v>342</v>
      </c>
      <c r="K97" t="s">
        <v>343</v>
      </c>
      <c r="L97">
        <v>1356</v>
      </c>
      <c r="N97">
        <v>1010</v>
      </c>
      <c r="O97" t="s">
        <v>295</v>
      </c>
      <c r="P97" t="s">
        <v>295</v>
      </c>
      <c r="Q97">
        <v>1000</v>
      </c>
      <c r="W97">
        <v>0</v>
      </c>
      <c r="X97">
        <v>807379832</v>
      </c>
      <c r="Y97">
        <f t="shared" si="27"/>
        <v>8.0000000000000002E-3</v>
      </c>
      <c r="AA97">
        <v>614.09</v>
      </c>
      <c r="AB97">
        <v>0</v>
      </c>
      <c r="AC97">
        <v>0</v>
      </c>
      <c r="AD97">
        <v>0</v>
      </c>
      <c r="AE97">
        <v>614.09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8.0000000000000002E-3</v>
      </c>
      <c r="AU97" t="s">
        <v>3</v>
      </c>
      <c r="AV97">
        <v>0</v>
      </c>
      <c r="AW97">
        <v>2</v>
      </c>
      <c r="AX97">
        <v>60258532</v>
      </c>
      <c r="AY97">
        <v>1</v>
      </c>
      <c r="AZ97">
        <v>0</v>
      </c>
      <c r="BA97">
        <v>125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ROUND(Y97*Source!I162,9)</f>
        <v>0.24</v>
      </c>
      <c r="CY97">
        <f t="shared" si="28"/>
        <v>614.09</v>
      </c>
      <c r="CZ97">
        <f t="shared" si="29"/>
        <v>614.09</v>
      </c>
      <c r="DA97">
        <f t="shared" si="30"/>
        <v>1</v>
      </c>
      <c r="DB97">
        <f t="shared" si="31"/>
        <v>4.91</v>
      </c>
      <c r="DC97">
        <f t="shared" si="32"/>
        <v>0</v>
      </c>
      <c r="DD97" t="s">
        <v>3</v>
      </c>
      <c r="DE97" t="s">
        <v>3</v>
      </c>
      <c r="DF97">
        <f t="shared" si="26"/>
        <v>147.38</v>
      </c>
      <c r="DG97">
        <f t="shared" si="24"/>
        <v>0</v>
      </c>
      <c r="DH97">
        <f t="shared" si="25"/>
        <v>0</v>
      </c>
      <c r="DI97">
        <f t="shared" ref="DI97:DI122" si="34">ROUND(ROUND(AH97,2)*CX97,2)</f>
        <v>0</v>
      </c>
      <c r="DJ97">
        <f t="shared" si="33"/>
        <v>147.38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ROW(Source!A163)</f>
        <v>163</v>
      </c>
      <c r="B98">
        <v>60258061</v>
      </c>
      <c r="C98">
        <v>60258424</v>
      </c>
      <c r="D98">
        <v>58999254</v>
      </c>
      <c r="E98">
        <v>1080</v>
      </c>
      <c r="F98">
        <v>1</v>
      </c>
      <c r="G98">
        <v>1080</v>
      </c>
      <c r="H98">
        <v>1</v>
      </c>
      <c r="I98" t="s">
        <v>263</v>
      </c>
      <c r="J98" t="s">
        <v>3</v>
      </c>
      <c r="K98" t="s">
        <v>264</v>
      </c>
      <c r="L98">
        <v>1191</v>
      </c>
      <c r="N98">
        <v>1013</v>
      </c>
      <c r="O98" t="s">
        <v>265</v>
      </c>
      <c r="P98" t="s">
        <v>265</v>
      </c>
      <c r="Q98">
        <v>1</v>
      </c>
      <c r="W98">
        <v>0</v>
      </c>
      <c r="X98">
        <v>476480486</v>
      </c>
      <c r="Y98">
        <f>(AT98*1.1)</f>
        <v>5.9290000000000003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5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5.39</v>
      </c>
      <c r="AU98" t="s">
        <v>23</v>
      </c>
      <c r="AV98">
        <v>1</v>
      </c>
      <c r="AW98">
        <v>2</v>
      </c>
      <c r="AX98">
        <v>60258524</v>
      </c>
      <c r="AY98">
        <v>1</v>
      </c>
      <c r="AZ98">
        <v>0</v>
      </c>
      <c r="BA98">
        <v>127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U98">
        <f>ROUND(AT98*Source!I163*AH98*AL98,2)</f>
        <v>0</v>
      </c>
      <c r="CV98">
        <f>ROUND(Y98*Source!I163,9)</f>
        <v>177.87</v>
      </c>
      <c r="CW98">
        <v>0</v>
      </c>
      <c r="CX98">
        <f>ROUND(Y98*Source!I163,9)</f>
        <v>177.87</v>
      </c>
      <c r="CY98">
        <f>AD98</f>
        <v>0</v>
      </c>
      <c r="CZ98">
        <f>AH98</f>
        <v>0</v>
      </c>
      <c r="DA98">
        <f>AL98</f>
        <v>1</v>
      </c>
      <c r="DB98">
        <f>ROUND((ROUND(AT98*CZ98,2)*1.1),6)</f>
        <v>0</v>
      </c>
      <c r="DC98">
        <f>ROUND((ROUND(AT98*AG98,2)*1.1),6)</f>
        <v>0</v>
      </c>
      <c r="DD98" t="s">
        <v>3</v>
      </c>
      <c r="DE98" t="s">
        <v>3</v>
      </c>
      <c r="DF98">
        <f t="shared" si="26"/>
        <v>0</v>
      </c>
      <c r="DG98">
        <f t="shared" si="24"/>
        <v>0</v>
      </c>
      <c r="DH98">
        <f t="shared" si="25"/>
        <v>0</v>
      </c>
      <c r="DI98">
        <f t="shared" si="34"/>
        <v>0</v>
      </c>
      <c r="DJ98">
        <f>DI98</f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ROW(Source!A163)</f>
        <v>163</v>
      </c>
      <c r="B99">
        <v>60258061</v>
      </c>
      <c r="C99">
        <v>60258424</v>
      </c>
      <c r="D99">
        <v>59070669</v>
      </c>
      <c r="E99">
        <v>1</v>
      </c>
      <c r="F99">
        <v>1</v>
      </c>
      <c r="G99">
        <v>1080</v>
      </c>
      <c r="H99">
        <v>2</v>
      </c>
      <c r="I99" t="s">
        <v>266</v>
      </c>
      <c r="J99" t="s">
        <v>267</v>
      </c>
      <c r="K99" t="s">
        <v>268</v>
      </c>
      <c r="L99">
        <v>1368</v>
      </c>
      <c r="N99">
        <v>1011</v>
      </c>
      <c r="O99" t="s">
        <v>269</v>
      </c>
      <c r="P99" t="s">
        <v>269</v>
      </c>
      <c r="Q99">
        <v>1</v>
      </c>
      <c r="W99">
        <v>0</v>
      </c>
      <c r="X99">
        <v>-1985943078</v>
      </c>
      <c r="Y99">
        <f>(AT99*1.1)</f>
        <v>2.2000000000000002E-2</v>
      </c>
      <c r="AA99">
        <v>0</v>
      </c>
      <c r="AB99">
        <v>1418.19</v>
      </c>
      <c r="AC99">
        <v>726.59</v>
      </c>
      <c r="AD99">
        <v>0</v>
      </c>
      <c r="AE99">
        <v>0</v>
      </c>
      <c r="AF99">
        <v>83.1</v>
      </c>
      <c r="AG99">
        <v>12.62</v>
      </c>
      <c r="AH99">
        <v>0</v>
      </c>
      <c r="AI99">
        <v>1</v>
      </c>
      <c r="AJ99">
        <v>16.3</v>
      </c>
      <c r="AK99">
        <v>54.99</v>
      </c>
      <c r="AL99">
        <v>1</v>
      </c>
      <c r="AM99">
        <v>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0.02</v>
      </c>
      <c r="AU99" t="s">
        <v>23</v>
      </c>
      <c r="AV99">
        <v>0</v>
      </c>
      <c r="AW99">
        <v>2</v>
      </c>
      <c r="AX99">
        <v>60258525</v>
      </c>
      <c r="AY99">
        <v>1</v>
      </c>
      <c r="AZ99">
        <v>0</v>
      </c>
      <c r="BA99">
        <v>128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ROUND(Y99*Source!I163*DO99,9)</f>
        <v>8.3292000000000002</v>
      </c>
      <c r="CX99">
        <f>ROUND(Y99*Source!I163,9)</f>
        <v>0.66</v>
      </c>
      <c r="CY99">
        <f>AB99</f>
        <v>1418.19</v>
      </c>
      <c r="CZ99">
        <f>AF99</f>
        <v>83.1</v>
      </c>
      <c r="DA99">
        <f>AJ99</f>
        <v>16.3</v>
      </c>
      <c r="DB99">
        <f>ROUND((ROUND(AT99*CZ99,2)*1.1),6)</f>
        <v>1.8260000000000001</v>
      </c>
      <c r="DC99">
        <f>ROUND((ROUND(AT99*AG99,2)*1.1),6)</f>
        <v>0.27500000000000002</v>
      </c>
      <c r="DD99" t="s">
        <v>3</v>
      </c>
      <c r="DE99" t="s">
        <v>3</v>
      </c>
      <c r="DF99">
        <f t="shared" si="26"/>
        <v>0</v>
      </c>
      <c r="DG99">
        <f>ROUND(ROUND(AF99*AJ99,2)*CX99,2)</f>
        <v>893.99</v>
      </c>
      <c r="DH99">
        <f>ROUND(ROUND(AG99*AK99,2)*CX99,2)</f>
        <v>458.02</v>
      </c>
      <c r="DI99">
        <f t="shared" si="34"/>
        <v>0</v>
      </c>
      <c r="DJ99">
        <f>DG99</f>
        <v>893.99</v>
      </c>
      <c r="DK99">
        <v>0</v>
      </c>
      <c r="DL99" t="s">
        <v>270</v>
      </c>
      <c r="DM99">
        <v>0</v>
      </c>
      <c r="DN99" t="s">
        <v>265</v>
      </c>
      <c r="DO99">
        <v>12.62</v>
      </c>
    </row>
    <row r="100" spans="1:119" x14ac:dyDescent="0.2">
      <c r="A100">
        <f>ROW(Source!A163)</f>
        <v>163</v>
      </c>
      <c r="B100">
        <v>60258061</v>
      </c>
      <c r="C100">
        <v>60258424</v>
      </c>
      <c r="D100">
        <v>59069905</v>
      </c>
      <c r="E100">
        <v>1</v>
      </c>
      <c r="F100">
        <v>1</v>
      </c>
      <c r="G100">
        <v>1080</v>
      </c>
      <c r="H100">
        <v>2</v>
      </c>
      <c r="I100" t="s">
        <v>323</v>
      </c>
      <c r="J100" t="s">
        <v>324</v>
      </c>
      <c r="K100" t="s">
        <v>325</v>
      </c>
      <c r="L100">
        <v>1368</v>
      </c>
      <c r="N100">
        <v>1011</v>
      </c>
      <c r="O100" t="s">
        <v>269</v>
      </c>
      <c r="P100" t="s">
        <v>269</v>
      </c>
      <c r="Q100">
        <v>1</v>
      </c>
      <c r="W100">
        <v>0</v>
      </c>
      <c r="X100">
        <v>1087580389</v>
      </c>
      <c r="Y100">
        <f>(AT100*1.1)</f>
        <v>2.2000000000000002E-2</v>
      </c>
      <c r="AA100">
        <v>0</v>
      </c>
      <c r="AB100">
        <v>2579.38</v>
      </c>
      <c r="AC100">
        <v>974.74</v>
      </c>
      <c r="AD100">
        <v>0</v>
      </c>
      <c r="AE100">
        <v>0</v>
      </c>
      <c r="AF100">
        <v>179.17</v>
      </c>
      <c r="AG100">
        <v>16.93</v>
      </c>
      <c r="AH100">
        <v>0</v>
      </c>
      <c r="AI100">
        <v>1</v>
      </c>
      <c r="AJ100">
        <v>13.75</v>
      </c>
      <c r="AK100">
        <v>54.99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0.02</v>
      </c>
      <c r="AU100" t="s">
        <v>23</v>
      </c>
      <c r="AV100">
        <v>0</v>
      </c>
      <c r="AW100">
        <v>2</v>
      </c>
      <c r="AX100">
        <v>60258526</v>
      </c>
      <c r="AY100">
        <v>1</v>
      </c>
      <c r="AZ100">
        <v>0</v>
      </c>
      <c r="BA100">
        <v>129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f>ROUND(Y100*Source!I163*DO100,9)</f>
        <v>11.1738</v>
      </c>
      <c r="CX100">
        <f>ROUND(Y100*Source!I163,9)</f>
        <v>0.66</v>
      </c>
      <c r="CY100">
        <f>AB100</f>
        <v>2579.38</v>
      </c>
      <c r="CZ100">
        <f>AF100</f>
        <v>179.17</v>
      </c>
      <c r="DA100">
        <f>AJ100</f>
        <v>13.75</v>
      </c>
      <c r="DB100">
        <f>ROUND((ROUND(AT100*CZ100,2)*1.1),6)</f>
        <v>3.9380000000000002</v>
      </c>
      <c r="DC100">
        <f>ROUND((ROUND(AT100*AG100,2)*1.1),6)</f>
        <v>0.374</v>
      </c>
      <c r="DD100" t="s">
        <v>3</v>
      </c>
      <c r="DE100" t="s">
        <v>3</v>
      </c>
      <c r="DF100">
        <f t="shared" si="26"/>
        <v>0</v>
      </c>
      <c r="DG100">
        <f>ROUND(ROUND(AF100*AJ100,2)*CX100,2)</f>
        <v>1625.97</v>
      </c>
      <c r="DH100">
        <f>ROUND(ROUND(AG100*AK100,2)*CX100,2)</f>
        <v>614.45000000000005</v>
      </c>
      <c r="DI100">
        <f t="shared" si="34"/>
        <v>0</v>
      </c>
      <c r="DJ100">
        <f>DG100</f>
        <v>1625.97</v>
      </c>
      <c r="DK100">
        <v>0</v>
      </c>
      <c r="DL100" t="s">
        <v>270</v>
      </c>
      <c r="DM100">
        <v>0</v>
      </c>
      <c r="DN100" t="s">
        <v>265</v>
      </c>
      <c r="DO100">
        <v>16.93</v>
      </c>
    </row>
    <row r="101" spans="1:119" x14ac:dyDescent="0.2">
      <c r="A101">
        <f>ROW(Source!A163)</f>
        <v>163</v>
      </c>
      <c r="B101">
        <v>60258061</v>
      </c>
      <c r="C101">
        <v>60258424</v>
      </c>
      <c r="D101">
        <v>59039702</v>
      </c>
      <c r="E101">
        <v>1</v>
      </c>
      <c r="F101">
        <v>1</v>
      </c>
      <c r="G101">
        <v>1080</v>
      </c>
      <c r="H101">
        <v>3</v>
      </c>
      <c r="I101" t="s">
        <v>326</v>
      </c>
      <c r="J101" t="s">
        <v>327</v>
      </c>
      <c r="K101" t="s">
        <v>328</v>
      </c>
      <c r="L101">
        <v>1346</v>
      </c>
      <c r="N101">
        <v>1009</v>
      </c>
      <c r="O101" t="s">
        <v>313</v>
      </c>
      <c r="P101" t="s">
        <v>313</v>
      </c>
      <c r="Q101">
        <v>1</v>
      </c>
      <c r="W101">
        <v>0</v>
      </c>
      <c r="X101">
        <v>1770006655</v>
      </c>
      <c r="Y101">
        <f t="shared" ref="Y101:Y106" si="35">AT101</f>
        <v>0.6</v>
      </c>
      <c r="AA101">
        <v>29.73</v>
      </c>
      <c r="AB101">
        <v>0</v>
      </c>
      <c r="AC101">
        <v>0</v>
      </c>
      <c r="AD101">
        <v>0</v>
      </c>
      <c r="AE101">
        <v>1.38</v>
      </c>
      <c r="AF101">
        <v>0</v>
      </c>
      <c r="AG101">
        <v>0</v>
      </c>
      <c r="AH101">
        <v>0</v>
      </c>
      <c r="AI101">
        <v>21.54</v>
      </c>
      <c r="AJ101">
        <v>1</v>
      </c>
      <c r="AK101">
        <v>1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0.6</v>
      </c>
      <c r="AU101" t="s">
        <v>3</v>
      </c>
      <c r="AV101">
        <v>0</v>
      </c>
      <c r="AW101">
        <v>2</v>
      </c>
      <c r="AX101">
        <v>60258527</v>
      </c>
      <c r="AY101">
        <v>1</v>
      </c>
      <c r="AZ101">
        <v>0</v>
      </c>
      <c r="BA101">
        <v>130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ROUND(Y101*Source!I163,9)</f>
        <v>18</v>
      </c>
      <c r="CY101">
        <f t="shared" ref="CY101:CY106" si="36">AA101</f>
        <v>29.73</v>
      </c>
      <c r="CZ101">
        <f t="shared" ref="CZ101:CZ106" si="37">AE101</f>
        <v>1.38</v>
      </c>
      <c r="DA101">
        <f t="shared" ref="DA101:DA106" si="38">AI101</f>
        <v>21.54</v>
      </c>
      <c r="DB101">
        <f t="shared" ref="DB101:DB106" si="39">ROUND(ROUND(AT101*CZ101,2),6)</f>
        <v>0.83</v>
      </c>
      <c r="DC101">
        <f t="shared" ref="DC101:DC106" si="40">ROUND(ROUND(AT101*AG101,2),6)</f>
        <v>0</v>
      </c>
      <c r="DD101" t="s">
        <v>3</v>
      </c>
      <c r="DE101" t="s">
        <v>3</v>
      </c>
      <c r="DF101">
        <f t="shared" ref="DF101:DF106" si="41">ROUND(ROUND(AE101*AI101,2)*CX101,2)</f>
        <v>535.14</v>
      </c>
      <c r="DG101">
        <f t="shared" ref="DG101:DG115" si="42">ROUND(ROUND(AF101,2)*CX101,2)</f>
        <v>0</v>
      </c>
      <c r="DH101">
        <f t="shared" ref="DH101:DH115" si="43">ROUND(ROUND(AG101,2)*CX101,2)</f>
        <v>0</v>
      </c>
      <c r="DI101">
        <f t="shared" si="34"/>
        <v>0</v>
      </c>
      <c r="DJ101">
        <f t="shared" ref="DJ101:DJ106" si="44">DF101</f>
        <v>535.14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ROW(Source!A163)</f>
        <v>163</v>
      </c>
      <c r="B102">
        <v>60258061</v>
      </c>
      <c r="C102">
        <v>60258424</v>
      </c>
      <c r="D102">
        <v>59040093</v>
      </c>
      <c r="E102">
        <v>1</v>
      </c>
      <c r="F102">
        <v>1</v>
      </c>
      <c r="G102">
        <v>1080</v>
      </c>
      <c r="H102">
        <v>3</v>
      </c>
      <c r="I102" t="s">
        <v>329</v>
      </c>
      <c r="J102" t="s">
        <v>330</v>
      </c>
      <c r="K102" t="s">
        <v>331</v>
      </c>
      <c r="L102">
        <v>1346</v>
      </c>
      <c r="N102">
        <v>1009</v>
      </c>
      <c r="O102" t="s">
        <v>313</v>
      </c>
      <c r="P102" t="s">
        <v>313</v>
      </c>
      <c r="Q102">
        <v>1</v>
      </c>
      <c r="W102">
        <v>0</v>
      </c>
      <c r="X102">
        <v>-878159893</v>
      </c>
      <c r="Y102">
        <f t="shared" si="35"/>
        <v>0.16</v>
      </c>
      <c r="AA102">
        <v>286.31</v>
      </c>
      <c r="AB102">
        <v>0</v>
      </c>
      <c r="AC102">
        <v>0</v>
      </c>
      <c r="AD102">
        <v>0</v>
      </c>
      <c r="AE102">
        <v>159.06</v>
      </c>
      <c r="AF102">
        <v>0</v>
      </c>
      <c r="AG102">
        <v>0</v>
      </c>
      <c r="AH102">
        <v>0</v>
      </c>
      <c r="AI102">
        <v>1.8</v>
      </c>
      <c r="AJ102">
        <v>1</v>
      </c>
      <c r="AK102">
        <v>1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0.16</v>
      </c>
      <c r="AU102" t="s">
        <v>3</v>
      </c>
      <c r="AV102">
        <v>0</v>
      </c>
      <c r="AW102">
        <v>2</v>
      </c>
      <c r="AX102">
        <v>60258528</v>
      </c>
      <c r="AY102">
        <v>1</v>
      </c>
      <c r="AZ102">
        <v>0</v>
      </c>
      <c r="BA102">
        <v>131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ROUND(Y102*Source!I163,9)</f>
        <v>4.8</v>
      </c>
      <c r="CY102">
        <f t="shared" si="36"/>
        <v>286.31</v>
      </c>
      <c r="CZ102">
        <f t="shared" si="37"/>
        <v>159.06</v>
      </c>
      <c r="DA102">
        <f t="shared" si="38"/>
        <v>1.8</v>
      </c>
      <c r="DB102">
        <f t="shared" si="39"/>
        <v>25.45</v>
      </c>
      <c r="DC102">
        <f t="shared" si="40"/>
        <v>0</v>
      </c>
      <c r="DD102" t="s">
        <v>3</v>
      </c>
      <c r="DE102" t="s">
        <v>3</v>
      </c>
      <c r="DF102">
        <f t="shared" si="41"/>
        <v>1374.29</v>
      </c>
      <c r="DG102">
        <f t="shared" si="42"/>
        <v>0</v>
      </c>
      <c r="DH102">
        <f t="shared" si="43"/>
        <v>0</v>
      </c>
      <c r="DI102">
        <f t="shared" si="34"/>
        <v>0</v>
      </c>
      <c r="DJ102">
        <f t="shared" si="44"/>
        <v>1374.29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ROW(Source!A163)</f>
        <v>163</v>
      </c>
      <c r="B103">
        <v>60258061</v>
      </c>
      <c r="C103">
        <v>60258424</v>
      </c>
      <c r="D103">
        <v>59063037</v>
      </c>
      <c r="E103">
        <v>1</v>
      </c>
      <c r="F103">
        <v>1</v>
      </c>
      <c r="G103">
        <v>1080</v>
      </c>
      <c r="H103">
        <v>3</v>
      </c>
      <c r="I103" t="s">
        <v>332</v>
      </c>
      <c r="J103" t="s">
        <v>333</v>
      </c>
      <c r="K103" t="s">
        <v>334</v>
      </c>
      <c r="L103">
        <v>1355</v>
      </c>
      <c r="N103">
        <v>1010</v>
      </c>
      <c r="O103" t="s">
        <v>283</v>
      </c>
      <c r="P103" t="s">
        <v>283</v>
      </c>
      <c r="Q103">
        <v>100</v>
      </c>
      <c r="W103">
        <v>0</v>
      </c>
      <c r="X103">
        <v>938266694</v>
      </c>
      <c r="Y103">
        <f t="shared" si="35"/>
        <v>0.05</v>
      </c>
      <c r="AA103">
        <v>2189.12</v>
      </c>
      <c r="AB103">
        <v>0</v>
      </c>
      <c r="AC103">
        <v>0</v>
      </c>
      <c r="AD103">
        <v>0</v>
      </c>
      <c r="AE103">
        <v>130.15</v>
      </c>
      <c r="AF103">
        <v>0</v>
      </c>
      <c r="AG103">
        <v>0</v>
      </c>
      <c r="AH103">
        <v>0</v>
      </c>
      <c r="AI103">
        <v>16.82</v>
      </c>
      <c r="AJ103">
        <v>1</v>
      </c>
      <c r="AK103">
        <v>1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0.05</v>
      </c>
      <c r="AU103" t="s">
        <v>3</v>
      </c>
      <c r="AV103">
        <v>0</v>
      </c>
      <c r="AW103">
        <v>2</v>
      </c>
      <c r="AX103">
        <v>60258529</v>
      </c>
      <c r="AY103">
        <v>1</v>
      </c>
      <c r="AZ103">
        <v>0</v>
      </c>
      <c r="BA103">
        <v>132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ROUND(Y103*Source!I163,9)</f>
        <v>1.5</v>
      </c>
      <c r="CY103">
        <f t="shared" si="36"/>
        <v>2189.12</v>
      </c>
      <c r="CZ103">
        <f t="shared" si="37"/>
        <v>130.15</v>
      </c>
      <c r="DA103">
        <f t="shared" si="38"/>
        <v>16.82</v>
      </c>
      <c r="DB103">
        <f t="shared" si="39"/>
        <v>6.51</v>
      </c>
      <c r="DC103">
        <f t="shared" si="40"/>
        <v>0</v>
      </c>
      <c r="DD103" t="s">
        <v>3</v>
      </c>
      <c r="DE103" t="s">
        <v>3</v>
      </c>
      <c r="DF103">
        <f t="shared" si="41"/>
        <v>3283.68</v>
      </c>
      <c r="DG103">
        <f t="shared" si="42"/>
        <v>0</v>
      </c>
      <c r="DH103">
        <f t="shared" si="43"/>
        <v>0</v>
      </c>
      <c r="DI103">
        <f t="shared" si="34"/>
        <v>0</v>
      </c>
      <c r="DJ103">
        <f t="shared" si="44"/>
        <v>3283.68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ROW(Source!A163)</f>
        <v>163</v>
      </c>
      <c r="B104">
        <v>60258061</v>
      </c>
      <c r="C104">
        <v>60258424</v>
      </c>
      <c r="D104">
        <v>59063048</v>
      </c>
      <c r="E104">
        <v>1</v>
      </c>
      <c r="F104">
        <v>1</v>
      </c>
      <c r="G104">
        <v>1080</v>
      </c>
      <c r="H104">
        <v>3</v>
      </c>
      <c r="I104" t="s">
        <v>335</v>
      </c>
      <c r="J104" t="s">
        <v>336</v>
      </c>
      <c r="K104" t="s">
        <v>337</v>
      </c>
      <c r="L104">
        <v>1356</v>
      </c>
      <c r="N104">
        <v>1010</v>
      </c>
      <c r="O104" t="s">
        <v>295</v>
      </c>
      <c r="P104" t="s">
        <v>295</v>
      </c>
      <c r="Q104">
        <v>1000</v>
      </c>
      <c r="W104">
        <v>0</v>
      </c>
      <c r="X104">
        <v>-422648154</v>
      </c>
      <c r="Y104">
        <f t="shared" si="35"/>
        <v>1.2200000000000001E-2</v>
      </c>
      <c r="AA104">
        <v>1599.36</v>
      </c>
      <c r="AB104">
        <v>0</v>
      </c>
      <c r="AC104">
        <v>0</v>
      </c>
      <c r="AD104">
        <v>0</v>
      </c>
      <c r="AE104">
        <v>226.86</v>
      </c>
      <c r="AF104">
        <v>0</v>
      </c>
      <c r="AG104">
        <v>0</v>
      </c>
      <c r="AH104">
        <v>0</v>
      </c>
      <c r="AI104">
        <v>7.05</v>
      </c>
      <c r="AJ104">
        <v>1</v>
      </c>
      <c r="AK104">
        <v>1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1.2200000000000001E-2</v>
      </c>
      <c r="AU104" t="s">
        <v>3</v>
      </c>
      <c r="AV104">
        <v>0</v>
      </c>
      <c r="AW104">
        <v>2</v>
      </c>
      <c r="AX104">
        <v>60258530</v>
      </c>
      <c r="AY104">
        <v>1</v>
      </c>
      <c r="AZ104">
        <v>0</v>
      </c>
      <c r="BA104">
        <v>133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ROUND(Y104*Source!I163,9)</f>
        <v>0.36599999999999999</v>
      </c>
      <c r="CY104">
        <f t="shared" si="36"/>
        <v>1599.36</v>
      </c>
      <c r="CZ104">
        <f t="shared" si="37"/>
        <v>226.86</v>
      </c>
      <c r="DA104">
        <f t="shared" si="38"/>
        <v>7.05</v>
      </c>
      <c r="DB104">
        <f t="shared" si="39"/>
        <v>2.77</v>
      </c>
      <c r="DC104">
        <f t="shared" si="40"/>
        <v>0</v>
      </c>
      <c r="DD104" t="s">
        <v>3</v>
      </c>
      <c r="DE104" t="s">
        <v>3</v>
      </c>
      <c r="DF104">
        <f t="shared" si="41"/>
        <v>585.37</v>
      </c>
      <c r="DG104">
        <f t="shared" si="42"/>
        <v>0</v>
      </c>
      <c r="DH104">
        <f t="shared" si="43"/>
        <v>0</v>
      </c>
      <c r="DI104">
        <f t="shared" si="34"/>
        <v>0</v>
      </c>
      <c r="DJ104">
        <f t="shared" si="44"/>
        <v>585.37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ROW(Source!A163)</f>
        <v>163</v>
      </c>
      <c r="B105">
        <v>60258061</v>
      </c>
      <c r="C105">
        <v>60258424</v>
      </c>
      <c r="D105">
        <v>59062373</v>
      </c>
      <c r="E105">
        <v>1</v>
      </c>
      <c r="F105">
        <v>1</v>
      </c>
      <c r="G105">
        <v>1080</v>
      </c>
      <c r="H105">
        <v>3</v>
      </c>
      <c r="I105" t="s">
        <v>338</v>
      </c>
      <c r="J105" t="s">
        <v>339</v>
      </c>
      <c r="K105" t="s">
        <v>340</v>
      </c>
      <c r="L105">
        <v>1354</v>
      </c>
      <c r="N105">
        <v>1010</v>
      </c>
      <c r="O105" t="s">
        <v>241</v>
      </c>
      <c r="P105" t="s">
        <v>241</v>
      </c>
      <c r="Q105">
        <v>1</v>
      </c>
      <c r="W105">
        <v>0</v>
      </c>
      <c r="X105">
        <v>145081611</v>
      </c>
      <c r="Y105">
        <f t="shared" si="35"/>
        <v>3.1</v>
      </c>
      <c r="AA105">
        <v>25.47</v>
      </c>
      <c r="AB105">
        <v>0</v>
      </c>
      <c r="AC105">
        <v>0</v>
      </c>
      <c r="AD105">
        <v>0</v>
      </c>
      <c r="AE105">
        <v>6.94</v>
      </c>
      <c r="AF105">
        <v>0</v>
      </c>
      <c r="AG105">
        <v>0</v>
      </c>
      <c r="AH105">
        <v>0</v>
      </c>
      <c r="AI105">
        <v>3.67</v>
      </c>
      <c r="AJ105">
        <v>1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3.1</v>
      </c>
      <c r="AU105" t="s">
        <v>3</v>
      </c>
      <c r="AV105">
        <v>0</v>
      </c>
      <c r="AW105">
        <v>2</v>
      </c>
      <c r="AX105">
        <v>60258531</v>
      </c>
      <c r="AY105">
        <v>1</v>
      </c>
      <c r="AZ105">
        <v>0</v>
      </c>
      <c r="BA105">
        <v>134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ROUND(Y105*Source!I163,9)</f>
        <v>93</v>
      </c>
      <c r="CY105">
        <f t="shared" si="36"/>
        <v>25.47</v>
      </c>
      <c r="CZ105">
        <f t="shared" si="37"/>
        <v>6.94</v>
      </c>
      <c r="DA105">
        <f t="shared" si="38"/>
        <v>3.67</v>
      </c>
      <c r="DB105">
        <f t="shared" si="39"/>
        <v>21.51</v>
      </c>
      <c r="DC105">
        <f t="shared" si="40"/>
        <v>0</v>
      </c>
      <c r="DD105" t="s">
        <v>3</v>
      </c>
      <c r="DE105" t="s">
        <v>3</v>
      </c>
      <c r="DF105">
        <f t="shared" si="41"/>
        <v>2368.71</v>
      </c>
      <c r="DG105">
        <f t="shared" si="42"/>
        <v>0</v>
      </c>
      <c r="DH105">
        <f t="shared" si="43"/>
        <v>0</v>
      </c>
      <c r="DI105">
        <f t="shared" si="34"/>
        <v>0</v>
      </c>
      <c r="DJ105">
        <f t="shared" si="44"/>
        <v>2368.71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ROW(Source!A163)</f>
        <v>163</v>
      </c>
      <c r="B106">
        <v>60258061</v>
      </c>
      <c r="C106">
        <v>60258424</v>
      </c>
      <c r="D106">
        <v>59062381</v>
      </c>
      <c r="E106">
        <v>1</v>
      </c>
      <c r="F106">
        <v>1</v>
      </c>
      <c r="G106">
        <v>1080</v>
      </c>
      <c r="H106">
        <v>3</v>
      </c>
      <c r="I106" t="s">
        <v>341</v>
      </c>
      <c r="J106" t="s">
        <v>342</v>
      </c>
      <c r="K106" t="s">
        <v>343</v>
      </c>
      <c r="L106">
        <v>1356</v>
      </c>
      <c r="N106">
        <v>1010</v>
      </c>
      <c r="O106" t="s">
        <v>295</v>
      </c>
      <c r="P106" t="s">
        <v>295</v>
      </c>
      <c r="Q106">
        <v>1000</v>
      </c>
      <c r="W106">
        <v>0</v>
      </c>
      <c r="X106">
        <v>807379832</v>
      </c>
      <c r="Y106">
        <f t="shared" si="35"/>
        <v>8.0000000000000002E-3</v>
      </c>
      <c r="AA106">
        <v>1197.48</v>
      </c>
      <c r="AB106">
        <v>0</v>
      </c>
      <c r="AC106">
        <v>0</v>
      </c>
      <c r="AD106">
        <v>0</v>
      </c>
      <c r="AE106">
        <v>614.09</v>
      </c>
      <c r="AF106">
        <v>0</v>
      </c>
      <c r="AG106">
        <v>0</v>
      </c>
      <c r="AH106">
        <v>0</v>
      </c>
      <c r="AI106">
        <v>1.95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8.0000000000000002E-3</v>
      </c>
      <c r="AU106" t="s">
        <v>3</v>
      </c>
      <c r="AV106">
        <v>0</v>
      </c>
      <c r="AW106">
        <v>2</v>
      </c>
      <c r="AX106">
        <v>60258532</v>
      </c>
      <c r="AY106">
        <v>1</v>
      </c>
      <c r="AZ106">
        <v>0</v>
      </c>
      <c r="BA106">
        <v>135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ROUND(Y106*Source!I163,9)</f>
        <v>0.24</v>
      </c>
      <c r="CY106">
        <f t="shared" si="36"/>
        <v>1197.48</v>
      </c>
      <c r="CZ106">
        <f t="shared" si="37"/>
        <v>614.09</v>
      </c>
      <c r="DA106">
        <f t="shared" si="38"/>
        <v>1.95</v>
      </c>
      <c r="DB106">
        <f t="shared" si="39"/>
        <v>4.91</v>
      </c>
      <c r="DC106">
        <f t="shared" si="40"/>
        <v>0</v>
      </c>
      <c r="DD106" t="s">
        <v>3</v>
      </c>
      <c r="DE106" t="s">
        <v>3</v>
      </c>
      <c r="DF106">
        <f t="shared" si="41"/>
        <v>287.39999999999998</v>
      </c>
      <c r="DG106">
        <f t="shared" si="42"/>
        <v>0</v>
      </c>
      <c r="DH106">
        <f t="shared" si="43"/>
        <v>0</v>
      </c>
      <c r="DI106">
        <f t="shared" si="34"/>
        <v>0</v>
      </c>
      <c r="DJ106">
        <f t="shared" si="44"/>
        <v>287.39999999999998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ROW(Source!A164)</f>
        <v>164</v>
      </c>
      <c r="B107">
        <v>60258064</v>
      </c>
      <c r="C107">
        <v>60258444</v>
      </c>
      <c r="D107">
        <v>58999254</v>
      </c>
      <c r="E107">
        <v>1080</v>
      </c>
      <c r="F107">
        <v>1</v>
      </c>
      <c r="G107">
        <v>1080</v>
      </c>
      <c r="H107">
        <v>1</v>
      </c>
      <c r="I107" t="s">
        <v>263</v>
      </c>
      <c r="J107" t="s">
        <v>3</v>
      </c>
      <c r="K107" t="s">
        <v>264</v>
      </c>
      <c r="L107">
        <v>1191</v>
      </c>
      <c r="N107">
        <v>1013</v>
      </c>
      <c r="O107" t="s">
        <v>265</v>
      </c>
      <c r="P107" t="s">
        <v>265</v>
      </c>
      <c r="Q107">
        <v>1</v>
      </c>
      <c r="W107">
        <v>0</v>
      </c>
      <c r="X107">
        <v>476480486</v>
      </c>
      <c r="Y107">
        <f>(AT107*1.1)</f>
        <v>2.0130000000000003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1.83</v>
      </c>
      <c r="AU107" t="s">
        <v>23</v>
      </c>
      <c r="AV107">
        <v>1</v>
      </c>
      <c r="AW107">
        <v>2</v>
      </c>
      <c r="AX107">
        <v>60258534</v>
      </c>
      <c r="AY107">
        <v>1</v>
      </c>
      <c r="AZ107">
        <v>0</v>
      </c>
      <c r="BA107">
        <v>137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U107">
        <f>ROUND(AT107*Source!I164*AH107*AL107,2)</f>
        <v>0</v>
      </c>
      <c r="CV107">
        <f>ROUND(Y107*Source!I164,9)</f>
        <v>76.896600000000007</v>
      </c>
      <c r="CW107">
        <v>0</v>
      </c>
      <c r="CX107">
        <f>ROUND(Y107*Source!I164,9)</f>
        <v>76.896600000000007</v>
      </c>
      <c r="CY107">
        <f>AD107</f>
        <v>0</v>
      </c>
      <c r="CZ107">
        <f>AH107</f>
        <v>0</v>
      </c>
      <c r="DA107">
        <f>AL107</f>
        <v>1</v>
      </c>
      <c r="DB107">
        <f>ROUND((ROUND(AT107*CZ107,2)*1.1),6)</f>
        <v>0</v>
      </c>
      <c r="DC107">
        <f>ROUND((ROUND(AT107*AG107,2)*1.1),6)</f>
        <v>0</v>
      </c>
      <c r="DD107" t="s">
        <v>3</v>
      </c>
      <c r="DE107" t="s">
        <v>3</v>
      </c>
      <c r="DF107">
        <f t="shared" ref="DF107:DF117" si="45">ROUND(ROUND(AE107,2)*CX107,2)</f>
        <v>0</v>
      </c>
      <c r="DG107">
        <f t="shared" si="42"/>
        <v>0</v>
      </c>
      <c r="DH107">
        <f t="shared" si="43"/>
        <v>0</v>
      </c>
      <c r="DI107">
        <f t="shared" si="34"/>
        <v>0</v>
      </c>
      <c r="DJ107">
        <f>DI107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ROW(Source!A164)</f>
        <v>164</v>
      </c>
      <c r="B108">
        <v>60258064</v>
      </c>
      <c r="C108">
        <v>60258444</v>
      </c>
      <c r="D108">
        <v>59070669</v>
      </c>
      <c r="E108">
        <v>1</v>
      </c>
      <c r="F108">
        <v>1</v>
      </c>
      <c r="G108">
        <v>1080</v>
      </c>
      <c r="H108">
        <v>2</v>
      </c>
      <c r="I108" t="s">
        <v>266</v>
      </c>
      <c r="J108" t="s">
        <v>267</v>
      </c>
      <c r="K108" t="s">
        <v>268</v>
      </c>
      <c r="L108">
        <v>1368</v>
      </c>
      <c r="N108">
        <v>1011</v>
      </c>
      <c r="O108" t="s">
        <v>269</v>
      </c>
      <c r="P108" t="s">
        <v>269</v>
      </c>
      <c r="Q108">
        <v>1</v>
      </c>
      <c r="W108">
        <v>0</v>
      </c>
      <c r="X108">
        <v>-1985943078</v>
      </c>
      <c r="Y108">
        <f>(AT108*1.1)</f>
        <v>1.1000000000000001E-2</v>
      </c>
      <c r="AA108">
        <v>0</v>
      </c>
      <c r="AB108">
        <v>87.01</v>
      </c>
      <c r="AC108">
        <v>13.21</v>
      </c>
      <c r="AD108">
        <v>0</v>
      </c>
      <c r="AE108">
        <v>0</v>
      </c>
      <c r="AF108">
        <v>83.1</v>
      </c>
      <c r="AG108">
        <v>12.62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-2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0.01</v>
      </c>
      <c r="AU108" t="s">
        <v>23</v>
      </c>
      <c r="AV108">
        <v>0</v>
      </c>
      <c r="AW108">
        <v>2</v>
      </c>
      <c r="AX108">
        <v>60258535</v>
      </c>
      <c r="AY108">
        <v>1</v>
      </c>
      <c r="AZ108">
        <v>0</v>
      </c>
      <c r="BA108">
        <v>138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f>ROUND(Y108*Source!I164*DO108,9)</f>
        <v>5.302924</v>
      </c>
      <c r="CX108">
        <f>ROUND(Y108*Source!I164,9)</f>
        <v>0.42020000000000002</v>
      </c>
      <c r="CY108">
        <f>AB108</f>
        <v>87.01</v>
      </c>
      <c r="CZ108">
        <f>AF108</f>
        <v>83.1</v>
      </c>
      <c r="DA108">
        <f>AJ108</f>
        <v>1</v>
      </c>
      <c r="DB108">
        <f>ROUND((ROUND(AT108*CZ108,2)*1.1),6)</f>
        <v>0.91300000000000003</v>
      </c>
      <c r="DC108">
        <f>ROUND((ROUND(AT108*AG108,2)*1.1),6)</f>
        <v>0.14299999999999999</v>
      </c>
      <c r="DD108" t="s">
        <v>3</v>
      </c>
      <c r="DE108" t="s">
        <v>3</v>
      </c>
      <c r="DF108">
        <f t="shared" si="45"/>
        <v>0</v>
      </c>
      <c r="DG108">
        <f t="shared" si="42"/>
        <v>34.92</v>
      </c>
      <c r="DH108">
        <f t="shared" si="43"/>
        <v>5.3</v>
      </c>
      <c r="DI108">
        <f t="shared" si="34"/>
        <v>0</v>
      </c>
      <c r="DJ108">
        <f>DG108</f>
        <v>34.92</v>
      </c>
      <c r="DK108">
        <v>0</v>
      </c>
      <c r="DL108" t="s">
        <v>270</v>
      </c>
      <c r="DM108">
        <v>0</v>
      </c>
      <c r="DN108" t="s">
        <v>265</v>
      </c>
      <c r="DO108">
        <v>12.62</v>
      </c>
    </row>
    <row r="109" spans="1:119" x14ac:dyDescent="0.2">
      <c r="A109">
        <f>ROW(Source!A164)</f>
        <v>164</v>
      </c>
      <c r="B109">
        <v>60258064</v>
      </c>
      <c r="C109">
        <v>60258444</v>
      </c>
      <c r="D109">
        <v>59069905</v>
      </c>
      <c r="E109">
        <v>1</v>
      </c>
      <c r="F109">
        <v>1</v>
      </c>
      <c r="G109">
        <v>1080</v>
      </c>
      <c r="H109">
        <v>2</v>
      </c>
      <c r="I109" t="s">
        <v>323</v>
      </c>
      <c r="J109" t="s">
        <v>324</v>
      </c>
      <c r="K109" t="s">
        <v>325</v>
      </c>
      <c r="L109">
        <v>1368</v>
      </c>
      <c r="N109">
        <v>1011</v>
      </c>
      <c r="O109" t="s">
        <v>269</v>
      </c>
      <c r="P109" t="s">
        <v>269</v>
      </c>
      <c r="Q109">
        <v>1</v>
      </c>
      <c r="W109">
        <v>0</v>
      </c>
      <c r="X109">
        <v>1087580389</v>
      </c>
      <c r="Y109">
        <f>(AT109*1.1)</f>
        <v>1.1000000000000001E-2</v>
      </c>
      <c r="AA109">
        <v>0</v>
      </c>
      <c r="AB109">
        <v>187.59</v>
      </c>
      <c r="AC109">
        <v>17.73</v>
      </c>
      <c r="AD109">
        <v>0</v>
      </c>
      <c r="AE109">
        <v>0</v>
      </c>
      <c r="AF109">
        <v>179.17</v>
      </c>
      <c r="AG109">
        <v>16.93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0.01</v>
      </c>
      <c r="AU109" t="s">
        <v>23</v>
      </c>
      <c r="AV109">
        <v>0</v>
      </c>
      <c r="AW109">
        <v>2</v>
      </c>
      <c r="AX109">
        <v>60258536</v>
      </c>
      <c r="AY109">
        <v>1</v>
      </c>
      <c r="AZ109">
        <v>0</v>
      </c>
      <c r="BA109">
        <v>139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f>ROUND(Y109*Source!I164*DO109,9)</f>
        <v>7.1139859999999997</v>
      </c>
      <c r="CX109">
        <f>ROUND(Y109*Source!I164,9)</f>
        <v>0.42020000000000002</v>
      </c>
      <c r="CY109">
        <f>AB109</f>
        <v>187.59</v>
      </c>
      <c r="CZ109">
        <f>AF109</f>
        <v>179.17</v>
      </c>
      <c r="DA109">
        <f>AJ109</f>
        <v>1</v>
      </c>
      <c r="DB109">
        <f>ROUND((ROUND(AT109*CZ109,2)*1.1),6)</f>
        <v>1.9690000000000001</v>
      </c>
      <c r="DC109">
        <f>ROUND((ROUND(AT109*AG109,2)*1.1),6)</f>
        <v>0.187</v>
      </c>
      <c r="DD109" t="s">
        <v>3</v>
      </c>
      <c r="DE109" t="s">
        <v>3</v>
      </c>
      <c r="DF109">
        <f t="shared" si="45"/>
        <v>0</v>
      </c>
      <c r="DG109">
        <f t="shared" si="42"/>
        <v>75.290000000000006</v>
      </c>
      <c r="DH109">
        <f t="shared" si="43"/>
        <v>7.11</v>
      </c>
      <c r="DI109">
        <f t="shared" si="34"/>
        <v>0</v>
      </c>
      <c r="DJ109">
        <f>DG109</f>
        <v>75.290000000000006</v>
      </c>
      <c r="DK109">
        <v>0</v>
      </c>
      <c r="DL109" t="s">
        <v>270</v>
      </c>
      <c r="DM109">
        <v>0</v>
      </c>
      <c r="DN109" t="s">
        <v>265</v>
      </c>
      <c r="DO109">
        <v>16.93</v>
      </c>
    </row>
    <row r="110" spans="1:119" x14ac:dyDescent="0.2">
      <c r="A110">
        <f>ROW(Source!A164)</f>
        <v>164</v>
      </c>
      <c r="B110">
        <v>60258064</v>
      </c>
      <c r="C110">
        <v>60258444</v>
      </c>
      <c r="D110">
        <v>59039702</v>
      </c>
      <c r="E110">
        <v>1</v>
      </c>
      <c r="F110">
        <v>1</v>
      </c>
      <c r="G110">
        <v>1080</v>
      </c>
      <c r="H110">
        <v>3</v>
      </c>
      <c r="I110" t="s">
        <v>326</v>
      </c>
      <c r="J110" t="s">
        <v>327</v>
      </c>
      <c r="K110" t="s">
        <v>328</v>
      </c>
      <c r="L110">
        <v>1346</v>
      </c>
      <c r="N110">
        <v>1009</v>
      </c>
      <c r="O110" t="s">
        <v>313</v>
      </c>
      <c r="P110" t="s">
        <v>313</v>
      </c>
      <c r="Q110">
        <v>1</v>
      </c>
      <c r="W110">
        <v>0</v>
      </c>
      <c r="X110">
        <v>1770006655</v>
      </c>
      <c r="Y110">
        <f>AT110</f>
        <v>0.6</v>
      </c>
      <c r="AA110">
        <v>1.38</v>
      </c>
      <c r="AB110">
        <v>0</v>
      </c>
      <c r="AC110">
        <v>0</v>
      </c>
      <c r="AD110">
        <v>0</v>
      </c>
      <c r="AE110">
        <v>1.38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0.6</v>
      </c>
      <c r="AU110" t="s">
        <v>3</v>
      </c>
      <c r="AV110">
        <v>0</v>
      </c>
      <c r="AW110">
        <v>2</v>
      </c>
      <c r="AX110">
        <v>60258537</v>
      </c>
      <c r="AY110">
        <v>1</v>
      </c>
      <c r="AZ110">
        <v>0</v>
      </c>
      <c r="BA110">
        <v>140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ROUND(Y110*Source!I164,9)</f>
        <v>22.92</v>
      </c>
      <c r="CY110">
        <f>AA110</f>
        <v>1.38</v>
      </c>
      <c r="CZ110">
        <f>AE110</f>
        <v>1.38</v>
      </c>
      <c r="DA110">
        <f>AI110</f>
        <v>1</v>
      </c>
      <c r="DB110">
        <f>ROUND(ROUND(AT110*CZ110,2),6)</f>
        <v>0.83</v>
      </c>
      <c r="DC110">
        <f>ROUND(ROUND(AT110*AG110,2),6)</f>
        <v>0</v>
      </c>
      <c r="DD110" t="s">
        <v>3</v>
      </c>
      <c r="DE110" t="s">
        <v>3</v>
      </c>
      <c r="DF110">
        <f t="shared" si="45"/>
        <v>31.63</v>
      </c>
      <c r="DG110">
        <f t="shared" si="42"/>
        <v>0</v>
      </c>
      <c r="DH110">
        <f t="shared" si="43"/>
        <v>0</v>
      </c>
      <c r="DI110">
        <f t="shared" si="34"/>
        <v>0</v>
      </c>
      <c r="DJ110">
        <f>DF110</f>
        <v>31.63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ROW(Source!A164)</f>
        <v>164</v>
      </c>
      <c r="B111">
        <v>60258064</v>
      </c>
      <c r="C111">
        <v>60258444</v>
      </c>
      <c r="D111">
        <v>59040093</v>
      </c>
      <c r="E111">
        <v>1</v>
      </c>
      <c r="F111">
        <v>1</v>
      </c>
      <c r="G111">
        <v>1080</v>
      </c>
      <c r="H111">
        <v>3</v>
      </c>
      <c r="I111" t="s">
        <v>329</v>
      </c>
      <c r="J111" t="s">
        <v>330</v>
      </c>
      <c r="K111" t="s">
        <v>331</v>
      </c>
      <c r="L111">
        <v>1346</v>
      </c>
      <c r="N111">
        <v>1009</v>
      </c>
      <c r="O111" t="s">
        <v>313</v>
      </c>
      <c r="P111" t="s">
        <v>313</v>
      </c>
      <c r="Q111">
        <v>1</v>
      </c>
      <c r="W111">
        <v>0</v>
      </c>
      <c r="X111">
        <v>-878159893</v>
      </c>
      <c r="Y111">
        <f>AT111</f>
        <v>0.16</v>
      </c>
      <c r="AA111">
        <v>159.06</v>
      </c>
      <c r="AB111">
        <v>0</v>
      </c>
      <c r="AC111">
        <v>0</v>
      </c>
      <c r="AD111">
        <v>0</v>
      </c>
      <c r="AE111">
        <v>159.06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0.16</v>
      </c>
      <c r="AU111" t="s">
        <v>3</v>
      </c>
      <c r="AV111">
        <v>0</v>
      </c>
      <c r="AW111">
        <v>2</v>
      </c>
      <c r="AX111">
        <v>60258538</v>
      </c>
      <c r="AY111">
        <v>1</v>
      </c>
      <c r="AZ111">
        <v>0</v>
      </c>
      <c r="BA111">
        <v>141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ROUND(Y111*Source!I164,9)</f>
        <v>6.1120000000000001</v>
      </c>
      <c r="CY111">
        <f>AA111</f>
        <v>159.06</v>
      </c>
      <c r="CZ111">
        <f>AE111</f>
        <v>159.06</v>
      </c>
      <c r="DA111">
        <f>AI111</f>
        <v>1</v>
      </c>
      <c r="DB111">
        <f>ROUND(ROUND(AT111*CZ111,2),6)</f>
        <v>25.45</v>
      </c>
      <c r="DC111">
        <f>ROUND(ROUND(AT111*AG111,2),6)</f>
        <v>0</v>
      </c>
      <c r="DD111" t="s">
        <v>3</v>
      </c>
      <c r="DE111" t="s">
        <v>3</v>
      </c>
      <c r="DF111">
        <f t="shared" si="45"/>
        <v>972.17</v>
      </c>
      <c r="DG111">
        <f t="shared" si="42"/>
        <v>0</v>
      </c>
      <c r="DH111">
        <f t="shared" si="43"/>
        <v>0</v>
      </c>
      <c r="DI111">
        <f t="shared" si="34"/>
        <v>0</v>
      </c>
      <c r="DJ111">
        <f>DF111</f>
        <v>972.17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ROW(Source!A164)</f>
        <v>164</v>
      </c>
      <c r="B112">
        <v>60258064</v>
      </c>
      <c r="C112">
        <v>60258444</v>
      </c>
      <c r="D112">
        <v>59063048</v>
      </c>
      <c r="E112">
        <v>1</v>
      </c>
      <c r="F112">
        <v>1</v>
      </c>
      <c r="G112">
        <v>1080</v>
      </c>
      <c r="H112">
        <v>3</v>
      </c>
      <c r="I112" t="s">
        <v>335</v>
      </c>
      <c r="J112" t="s">
        <v>336</v>
      </c>
      <c r="K112" t="s">
        <v>337</v>
      </c>
      <c r="L112">
        <v>1356</v>
      </c>
      <c r="N112">
        <v>1010</v>
      </c>
      <c r="O112" t="s">
        <v>295</v>
      </c>
      <c r="P112" t="s">
        <v>295</v>
      </c>
      <c r="Q112">
        <v>1000</v>
      </c>
      <c r="W112">
        <v>0</v>
      </c>
      <c r="X112">
        <v>-422648154</v>
      </c>
      <c r="Y112">
        <f>AT112</f>
        <v>1.2200000000000001E-2</v>
      </c>
      <c r="AA112">
        <v>226.86</v>
      </c>
      <c r="AB112">
        <v>0</v>
      </c>
      <c r="AC112">
        <v>0</v>
      </c>
      <c r="AD112">
        <v>0</v>
      </c>
      <c r="AE112">
        <v>226.86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1.2200000000000001E-2</v>
      </c>
      <c r="AU112" t="s">
        <v>3</v>
      </c>
      <c r="AV112">
        <v>0</v>
      </c>
      <c r="AW112">
        <v>2</v>
      </c>
      <c r="AX112">
        <v>60258539</v>
      </c>
      <c r="AY112">
        <v>1</v>
      </c>
      <c r="AZ112">
        <v>0</v>
      </c>
      <c r="BA112">
        <v>142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ROUND(Y112*Source!I164,9)</f>
        <v>0.46604000000000001</v>
      </c>
      <c r="CY112">
        <f>AA112</f>
        <v>226.86</v>
      </c>
      <c r="CZ112">
        <f>AE112</f>
        <v>226.86</v>
      </c>
      <c r="DA112">
        <f>AI112</f>
        <v>1</v>
      </c>
      <c r="DB112">
        <f>ROUND(ROUND(AT112*CZ112,2),6)</f>
        <v>2.77</v>
      </c>
      <c r="DC112">
        <f>ROUND(ROUND(AT112*AG112,2),6)</f>
        <v>0</v>
      </c>
      <c r="DD112" t="s">
        <v>3</v>
      </c>
      <c r="DE112" t="s">
        <v>3</v>
      </c>
      <c r="DF112">
        <f t="shared" si="45"/>
        <v>105.73</v>
      </c>
      <c r="DG112">
        <f t="shared" si="42"/>
        <v>0</v>
      </c>
      <c r="DH112">
        <f t="shared" si="43"/>
        <v>0</v>
      </c>
      <c r="DI112">
        <f t="shared" si="34"/>
        <v>0</v>
      </c>
      <c r="DJ112">
        <f>DF112</f>
        <v>105.73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ROW(Source!A164)</f>
        <v>164</v>
      </c>
      <c r="B113">
        <v>60258064</v>
      </c>
      <c r="C113">
        <v>60258444</v>
      </c>
      <c r="D113">
        <v>59062373</v>
      </c>
      <c r="E113">
        <v>1</v>
      </c>
      <c r="F113">
        <v>1</v>
      </c>
      <c r="G113">
        <v>1080</v>
      </c>
      <c r="H113">
        <v>3</v>
      </c>
      <c r="I113" t="s">
        <v>338</v>
      </c>
      <c r="J113" t="s">
        <v>339</v>
      </c>
      <c r="K113" t="s">
        <v>340</v>
      </c>
      <c r="L113">
        <v>1354</v>
      </c>
      <c r="N113">
        <v>1010</v>
      </c>
      <c r="O113" t="s">
        <v>241</v>
      </c>
      <c r="P113" t="s">
        <v>241</v>
      </c>
      <c r="Q113">
        <v>1</v>
      </c>
      <c r="W113">
        <v>0</v>
      </c>
      <c r="X113">
        <v>145081611</v>
      </c>
      <c r="Y113">
        <f>AT113</f>
        <v>3.1</v>
      </c>
      <c r="AA113">
        <v>6.94</v>
      </c>
      <c r="AB113">
        <v>0</v>
      </c>
      <c r="AC113">
        <v>0</v>
      </c>
      <c r="AD113">
        <v>0</v>
      </c>
      <c r="AE113">
        <v>6.94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3.1</v>
      </c>
      <c r="AU113" t="s">
        <v>3</v>
      </c>
      <c r="AV113">
        <v>0</v>
      </c>
      <c r="AW113">
        <v>2</v>
      </c>
      <c r="AX113">
        <v>60258540</v>
      </c>
      <c r="AY113">
        <v>1</v>
      </c>
      <c r="AZ113">
        <v>0</v>
      </c>
      <c r="BA113">
        <v>143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ROUND(Y113*Source!I164,9)</f>
        <v>118.42</v>
      </c>
      <c r="CY113">
        <f>AA113</f>
        <v>6.94</v>
      </c>
      <c r="CZ113">
        <f>AE113</f>
        <v>6.94</v>
      </c>
      <c r="DA113">
        <f>AI113</f>
        <v>1</v>
      </c>
      <c r="DB113">
        <f>ROUND(ROUND(AT113*CZ113,2),6)</f>
        <v>21.51</v>
      </c>
      <c r="DC113">
        <f>ROUND(ROUND(AT113*AG113,2),6)</f>
        <v>0</v>
      </c>
      <c r="DD113" t="s">
        <v>3</v>
      </c>
      <c r="DE113" t="s">
        <v>3</v>
      </c>
      <c r="DF113">
        <f t="shared" si="45"/>
        <v>821.83</v>
      </c>
      <c r="DG113">
        <f t="shared" si="42"/>
        <v>0</v>
      </c>
      <c r="DH113">
        <f t="shared" si="43"/>
        <v>0</v>
      </c>
      <c r="DI113">
        <f t="shared" si="34"/>
        <v>0</v>
      </c>
      <c r="DJ113">
        <f>DF113</f>
        <v>821.83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ROW(Source!A164)</f>
        <v>164</v>
      </c>
      <c r="B114">
        <v>60258064</v>
      </c>
      <c r="C114">
        <v>60258444</v>
      </c>
      <c r="D114">
        <v>59062381</v>
      </c>
      <c r="E114">
        <v>1</v>
      </c>
      <c r="F114">
        <v>1</v>
      </c>
      <c r="G114">
        <v>1080</v>
      </c>
      <c r="H114">
        <v>3</v>
      </c>
      <c r="I114" t="s">
        <v>341</v>
      </c>
      <c r="J114" t="s">
        <v>342</v>
      </c>
      <c r="K114" t="s">
        <v>343</v>
      </c>
      <c r="L114">
        <v>1356</v>
      </c>
      <c r="N114">
        <v>1010</v>
      </c>
      <c r="O114" t="s">
        <v>295</v>
      </c>
      <c r="P114" t="s">
        <v>295</v>
      </c>
      <c r="Q114">
        <v>1000</v>
      </c>
      <c r="W114">
        <v>0</v>
      </c>
      <c r="X114">
        <v>807379832</v>
      </c>
      <c r="Y114">
        <f>AT114</f>
        <v>8.0000000000000002E-3</v>
      </c>
      <c r="AA114">
        <v>614.09</v>
      </c>
      <c r="AB114">
        <v>0</v>
      </c>
      <c r="AC114">
        <v>0</v>
      </c>
      <c r="AD114">
        <v>0</v>
      </c>
      <c r="AE114">
        <v>614.09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8.0000000000000002E-3</v>
      </c>
      <c r="AU114" t="s">
        <v>3</v>
      </c>
      <c r="AV114">
        <v>0</v>
      </c>
      <c r="AW114">
        <v>2</v>
      </c>
      <c r="AX114">
        <v>60258541</v>
      </c>
      <c r="AY114">
        <v>1</v>
      </c>
      <c r="AZ114">
        <v>0</v>
      </c>
      <c r="BA114">
        <v>144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ROUND(Y114*Source!I164,9)</f>
        <v>0.30559999999999998</v>
      </c>
      <c r="CY114">
        <f>AA114</f>
        <v>614.09</v>
      </c>
      <c r="CZ114">
        <f>AE114</f>
        <v>614.09</v>
      </c>
      <c r="DA114">
        <f>AI114</f>
        <v>1</v>
      </c>
      <c r="DB114">
        <f>ROUND(ROUND(AT114*CZ114,2),6)</f>
        <v>4.91</v>
      </c>
      <c r="DC114">
        <f>ROUND(ROUND(AT114*AG114,2),6)</f>
        <v>0</v>
      </c>
      <c r="DD114" t="s">
        <v>3</v>
      </c>
      <c r="DE114" t="s">
        <v>3</v>
      </c>
      <c r="DF114">
        <f t="shared" si="45"/>
        <v>187.67</v>
      </c>
      <c r="DG114">
        <f t="shared" si="42"/>
        <v>0</v>
      </c>
      <c r="DH114">
        <f t="shared" si="43"/>
        <v>0</v>
      </c>
      <c r="DI114">
        <f t="shared" si="34"/>
        <v>0</v>
      </c>
      <c r="DJ114">
        <f>DF114</f>
        <v>187.67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ROW(Source!A165)</f>
        <v>165</v>
      </c>
      <c r="B115">
        <v>60258061</v>
      </c>
      <c r="C115">
        <v>60258444</v>
      </c>
      <c r="D115">
        <v>58999254</v>
      </c>
      <c r="E115">
        <v>1080</v>
      </c>
      <c r="F115">
        <v>1</v>
      </c>
      <c r="G115">
        <v>1080</v>
      </c>
      <c r="H115">
        <v>1</v>
      </c>
      <c r="I115" t="s">
        <v>263</v>
      </c>
      <c r="J115" t="s">
        <v>3</v>
      </c>
      <c r="K115" t="s">
        <v>264</v>
      </c>
      <c r="L115">
        <v>1191</v>
      </c>
      <c r="N115">
        <v>1013</v>
      </c>
      <c r="O115" t="s">
        <v>265</v>
      </c>
      <c r="P115" t="s">
        <v>265</v>
      </c>
      <c r="Q115">
        <v>1</v>
      </c>
      <c r="W115">
        <v>0</v>
      </c>
      <c r="X115">
        <v>476480486</v>
      </c>
      <c r="Y115">
        <f>(AT115*1.1)</f>
        <v>2.0130000000000003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5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1.83</v>
      </c>
      <c r="AU115" t="s">
        <v>23</v>
      </c>
      <c r="AV115">
        <v>1</v>
      </c>
      <c r="AW115">
        <v>2</v>
      </c>
      <c r="AX115">
        <v>60258534</v>
      </c>
      <c r="AY115">
        <v>1</v>
      </c>
      <c r="AZ115">
        <v>0</v>
      </c>
      <c r="BA115">
        <v>146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ROUND(AT115*Source!I165*AH115*AL115,2)</f>
        <v>0</v>
      </c>
      <c r="CV115">
        <f>ROUND(Y115*Source!I165,9)</f>
        <v>76.896600000000007</v>
      </c>
      <c r="CW115">
        <v>0</v>
      </c>
      <c r="CX115">
        <f>ROUND(Y115*Source!I165,9)</f>
        <v>76.896600000000007</v>
      </c>
      <c r="CY115">
        <f>AD115</f>
        <v>0</v>
      </c>
      <c r="CZ115">
        <f>AH115</f>
        <v>0</v>
      </c>
      <c r="DA115">
        <f>AL115</f>
        <v>1</v>
      </c>
      <c r="DB115">
        <f>ROUND((ROUND(AT115*CZ115,2)*1.1),6)</f>
        <v>0</v>
      </c>
      <c r="DC115">
        <f>ROUND((ROUND(AT115*AG115,2)*1.1),6)</f>
        <v>0</v>
      </c>
      <c r="DD115" t="s">
        <v>3</v>
      </c>
      <c r="DE115" t="s">
        <v>3</v>
      </c>
      <c r="DF115">
        <f t="shared" si="45"/>
        <v>0</v>
      </c>
      <c r="DG115">
        <f t="shared" si="42"/>
        <v>0</v>
      </c>
      <c r="DH115">
        <f t="shared" si="43"/>
        <v>0</v>
      </c>
      <c r="DI115">
        <f t="shared" si="34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ROW(Source!A165)</f>
        <v>165</v>
      </c>
      <c r="B116">
        <v>60258061</v>
      </c>
      <c r="C116">
        <v>60258444</v>
      </c>
      <c r="D116">
        <v>59070669</v>
      </c>
      <c r="E116">
        <v>1</v>
      </c>
      <c r="F116">
        <v>1</v>
      </c>
      <c r="G116">
        <v>1080</v>
      </c>
      <c r="H116">
        <v>2</v>
      </c>
      <c r="I116" t="s">
        <v>266</v>
      </c>
      <c r="J116" t="s">
        <v>267</v>
      </c>
      <c r="K116" t="s">
        <v>268</v>
      </c>
      <c r="L116">
        <v>1368</v>
      </c>
      <c r="N116">
        <v>1011</v>
      </c>
      <c r="O116" t="s">
        <v>269</v>
      </c>
      <c r="P116" t="s">
        <v>269</v>
      </c>
      <c r="Q116">
        <v>1</v>
      </c>
      <c r="W116">
        <v>0</v>
      </c>
      <c r="X116">
        <v>-1985943078</v>
      </c>
      <c r="Y116">
        <f>(AT116*1.1)</f>
        <v>1.1000000000000001E-2</v>
      </c>
      <c r="AA116">
        <v>0</v>
      </c>
      <c r="AB116">
        <v>1418.19</v>
      </c>
      <c r="AC116">
        <v>726.59</v>
      </c>
      <c r="AD116">
        <v>0</v>
      </c>
      <c r="AE116">
        <v>0</v>
      </c>
      <c r="AF116">
        <v>83.1</v>
      </c>
      <c r="AG116">
        <v>12.62</v>
      </c>
      <c r="AH116">
        <v>0</v>
      </c>
      <c r="AI116">
        <v>1</v>
      </c>
      <c r="AJ116">
        <v>16.3</v>
      </c>
      <c r="AK116">
        <v>54.99</v>
      </c>
      <c r="AL116">
        <v>1</v>
      </c>
      <c r="AM116">
        <v>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0.01</v>
      </c>
      <c r="AU116" t="s">
        <v>23</v>
      </c>
      <c r="AV116">
        <v>0</v>
      </c>
      <c r="AW116">
        <v>2</v>
      </c>
      <c r="AX116">
        <v>60258535</v>
      </c>
      <c r="AY116">
        <v>1</v>
      </c>
      <c r="AZ116">
        <v>0</v>
      </c>
      <c r="BA116">
        <v>147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f>ROUND(Y116*Source!I165*DO116,9)</f>
        <v>5.302924</v>
      </c>
      <c r="CX116">
        <f>ROUND(Y116*Source!I165,9)</f>
        <v>0.42020000000000002</v>
      </c>
      <c r="CY116">
        <f>AB116</f>
        <v>1418.19</v>
      </c>
      <c r="CZ116">
        <f>AF116</f>
        <v>83.1</v>
      </c>
      <c r="DA116">
        <f>AJ116</f>
        <v>16.3</v>
      </c>
      <c r="DB116">
        <f>ROUND((ROUND(AT116*CZ116,2)*1.1),6)</f>
        <v>0.91300000000000003</v>
      </c>
      <c r="DC116">
        <f>ROUND((ROUND(AT116*AG116,2)*1.1),6)</f>
        <v>0.14299999999999999</v>
      </c>
      <c r="DD116" t="s">
        <v>3</v>
      </c>
      <c r="DE116" t="s">
        <v>3</v>
      </c>
      <c r="DF116">
        <f t="shared" si="45"/>
        <v>0</v>
      </c>
      <c r="DG116">
        <f>ROUND(ROUND(AF116*AJ116,2)*CX116,2)</f>
        <v>569.16999999999996</v>
      </c>
      <c r="DH116">
        <f>ROUND(ROUND(AG116*AK116,2)*CX116,2)</f>
        <v>291.61</v>
      </c>
      <c r="DI116">
        <f t="shared" si="34"/>
        <v>0</v>
      </c>
      <c r="DJ116">
        <f>DG116</f>
        <v>569.16999999999996</v>
      </c>
      <c r="DK116">
        <v>0</v>
      </c>
      <c r="DL116" t="s">
        <v>270</v>
      </c>
      <c r="DM116">
        <v>0</v>
      </c>
      <c r="DN116" t="s">
        <v>265</v>
      </c>
      <c r="DO116">
        <v>12.62</v>
      </c>
    </row>
    <row r="117" spans="1:119" x14ac:dyDescent="0.2">
      <c r="A117">
        <f>ROW(Source!A165)</f>
        <v>165</v>
      </c>
      <c r="B117">
        <v>60258061</v>
      </c>
      <c r="C117">
        <v>60258444</v>
      </c>
      <c r="D117">
        <v>59069905</v>
      </c>
      <c r="E117">
        <v>1</v>
      </c>
      <c r="F117">
        <v>1</v>
      </c>
      <c r="G117">
        <v>1080</v>
      </c>
      <c r="H117">
        <v>2</v>
      </c>
      <c r="I117" t="s">
        <v>323</v>
      </c>
      <c r="J117" t="s">
        <v>324</v>
      </c>
      <c r="K117" t="s">
        <v>325</v>
      </c>
      <c r="L117">
        <v>1368</v>
      </c>
      <c r="N117">
        <v>1011</v>
      </c>
      <c r="O117" t="s">
        <v>269</v>
      </c>
      <c r="P117" t="s">
        <v>269</v>
      </c>
      <c r="Q117">
        <v>1</v>
      </c>
      <c r="W117">
        <v>0</v>
      </c>
      <c r="X117">
        <v>1087580389</v>
      </c>
      <c r="Y117">
        <f>(AT117*1.1)</f>
        <v>1.1000000000000001E-2</v>
      </c>
      <c r="AA117">
        <v>0</v>
      </c>
      <c r="AB117">
        <v>2579.38</v>
      </c>
      <c r="AC117">
        <v>974.74</v>
      </c>
      <c r="AD117">
        <v>0</v>
      </c>
      <c r="AE117">
        <v>0</v>
      </c>
      <c r="AF117">
        <v>179.17</v>
      </c>
      <c r="AG117">
        <v>16.93</v>
      </c>
      <c r="AH117">
        <v>0</v>
      </c>
      <c r="AI117">
        <v>1</v>
      </c>
      <c r="AJ117">
        <v>13.75</v>
      </c>
      <c r="AK117">
        <v>54.99</v>
      </c>
      <c r="AL117">
        <v>1</v>
      </c>
      <c r="AM117">
        <v>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0.01</v>
      </c>
      <c r="AU117" t="s">
        <v>23</v>
      </c>
      <c r="AV117">
        <v>0</v>
      </c>
      <c r="AW117">
        <v>2</v>
      </c>
      <c r="AX117">
        <v>60258536</v>
      </c>
      <c r="AY117">
        <v>1</v>
      </c>
      <c r="AZ117">
        <v>0</v>
      </c>
      <c r="BA117">
        <v>148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f>ROUND(Y117*Source!I165*DO117,9)</f>
        <v>7.1139859999999997</v>
      </c>
      <c r="CX117">
        <f>ROUND(Y117*Source!I165,9)</f>
        <v>0.42020000000000002</v>
      </c>
      <c r="CY117">
        <f>AB117</f>
        <v>2579.38</v>
      </c>
      <c r="CZ117">
        <f>AF117</f>
        <v>179.17</v>
      </c>
      <c r="DA117">
        <f>AJ117</f>
        <v>13.75</v>
      </c>
      <c r="DB117">
        <f>ROUND((ROUND(AT117*CZ117,2)*1.1),6)</f>
        <v>1.9690000000000001</v>
      </c>
      <c r="DC117">
        <f>ROUND((ROUND(AT117*AG117,2)*1.1),6)</f>
        <v>0.187</v>
      </c>
      <c r="DD117" t="s">
        <v>3</v>
      </c>
      <c r="DE117" t="s">
        <v>3</v>
      </c>
      <c r="DF117">
        <f t="shared" si="45"/>
        <v>0</v>
      </c>
      <c r="DG117">
        <f>ROUND(ROUND(AF117*AJ117,2)*CX117,2)</f>
        <v>1035.2</v>
      </c>
      <c r="DH117">
        <f>ROUND(ROUND(AG117*AK117,2)*CX117,2)</f>
        <v>391.2</v>
      </c>
      <c r="DI117">
        <f t="shared" si="34"/>
        <v>0</v>
      </c>
      <c r="DJ117">
        <f>DG117</f>
        <v>1035.2</v>
      </c>
      <c r="DK117">
        <v>0</v>
      </c>
      <c r="DL117" t="s">
        <v>270</v>
      </c>
      <c r="DM117">
        <v>0</v>
      </c>
      <c r="DN117" t="s">
        <v>265</v>
      </c>
      <c r="DO117">
        <v>16.93</v>
      </c>
    </row>
    <row r="118" spans="1:119" x14ac:dyDescent="0.2">
      <c r="A118">
        <f>ROW(Source!A165)</f>
        <v>165</v>
      </c>
      <c r="B118">
        <v>60258061</v>
      </c>
      <c r="C118">
        <v>60258444</v>
      </c>
      <c r="D118">
        <v>59039702</v>
      </c>
      <c r="E118">
        <v>1</v>
      </c>
      <c r="F118">
        <v>1</v>
      </c>
      <c r="G118">
        <v>1080</v>
      </c>
      <c r="H118">
        <v>3</v>
      </c>
      <c r="I118" t="s">
        <v>326</v>
      </c>
      <c r="J118" t="s">
        <v>327</v>
      </c>
      <c r="K118" t="s">
        <v>328</v>
      </c>
      <c r="L118">
        <v>1346</v>
      </c>
      <c r="N118">
        <v>1009</v>
      </c>
      <c r="O118" t="s">
        <v>313</v>
      </c>
      <c r="P118" t="s">
        <v>313</v>
      </c>
      <c r="Q118">
        <v>1</v>
      </c>
      <c r="W118">
        <v>0</v>
      </c>
      <c r="X118">
        <v>1770006655</v>
      </c>
      <c r="Y118">
        <f>AT118</f>
        <v>0.6</v>
      </c>
      <c r="AA118">
        <v>29.73</v>
      </c>
      <c r="AB118">
        <v>0</v>
      </c>
      <c r="AC118">
        <v>0</v>
      </c>
      <c r="AD118">
        <v>0</v>
      </c>
      <c r="AE118">
        <v>1.38</v>
      </c>
      <c r="AF118">
        <v>0</v>
      </c>
      <c r="AG118">
        <v>0</v>
      </c>
      <c r="AH118">
        <v>0</v>
      </c>
      <c r="AI118">
        <v>21.54</v>
      </c>
      <c r="AJ118">
        <v>1</v>
      </c>
      <c r="AK118">
        <v>1</v>
      </c>
      <c r="AL118">
        <v>1</v>
      </c>
      <c r="AM118">
        <v>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0.6</v>
      </c>
      <c r="AU118" t="s">
        <v>3</v>
      </c>
      <c r="AV118">
        <v>0</v>
      </c>
      <c r="AW118">
        <v>2</v>
      </c>
      <c r="AX118">
        <v>60258537</v>
      </c>
      <c r="AY118">
        <v>1</v>
      </c>
      <c r="AZ118">
        <v>0</v>
      </c>
      <c r="BA118">
        <v>149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ROUND(Y118*Source!I165,9)</f>
        <v>22.92</v>
      </c>
      <c r="CY118">
        <f>AA118</f>
        <v>29.73</v>
      </c>
      <c r="CZ118">
        <f>AE118</f>
        <v>1.38</v>
      </c>
      <c r="DA118">
        <f>AI118</f>
        <v>21.54</v>
      </c>
      <c r="DB118">
        <f>ROUND(ROUND(AT118*CZ118,2),6)</f>
        <v>0.83</v>
      </c>
      <c r="DC118">
        <f>ROUND(ROUND(AT118*AG118,2),6)</f>
        <v>0</v>
      </c>
      <c r="DD118" t="s">
        <v>3</v>
      </c>
      <c r="DE118" t="s">
        <v>3</v>
      </c>
      <c r="DF118">
        <f>ROUND(ROUND(AE118*AI118,2)*CX118,2)</f>
        <v>681.41</v>
      </c>
      <c r="DG118">
        <f>ROUND(ROUND(AF118,2)*CX118,2)</f>
        <v>0</v>
      </c>
      <c r="DH118">
        <f>ROUND(ROUND(AG118,2)*CX118,2)</f>
        <v>0</v>
      </c>
      <c r="DI118">
        <f t="shared" si="34"/>
        <v>0</v>
      </c>
      <c r="DJ118">
        <f>DF118</f>
        <v>681.41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ROW(Source!A165)</f>
        <v>165</v>
      </c>
      <c r="B119">
        <v>60258061</v>
      </c>
      <c r="C119">
        <v>60258444</v>
      </c>
      <c r="D119">
        <v>59040093</v>
      </c>
      <c r="E119">
        <v>1</v>
      </c>
      <c r="F119">
        <v>1</v>
      </c>
      <c r="G119">
        <v>1080</v>
      </c>
      <c r="H119">
        <v>3</v>
      </c>
      <c r="I119" t="s">
        <v>329</v>
      </c>
      <c r="J119" t="s">
        <v>330</v>
      </c>
      <c r="K119" t="s">
        <v>331</v>
      </c>
      <c r="L119">
        <v>1346</v>
      </c>
      <c r="N119">
        <v>1009</v>
      </c>
      <c r="O119" t="s">
        <v>313</v>
      </c>
      <c r="P119" t="s">
        <v>313</v>
      </c>
      <c r="Q119">
        <v>1</v>
      </c>
      <c r="W119">
        <v>0</v>
      </c>
      <c r="X119">
        <v>-878159893</v>
      </c>
      <c r="Y119">
        <f>AT119</f>
        <v>0.16</v>
      </c>
      <c r="AA119">
        <v>286.31</v>
      </c>
      <c r="AB119">
        <v>0</v>
      </c>
      <c r="AC119">
        <v>0</v>
      </c>
      <c r="AD119">
        <v>0</v>
      </c>
      <c r="AE119">
        <v>159.06</v>
      </c>
      <c r="AF119">
        <v>0</v>
      </c>
      <c r="AG119">
        <v>0</v>
      </c>
      <c r="AH119">
        <v>0</v>
      </c>
      <c r="AI119">
        <v>1.8</v>
      </c>
      <c r="AJ119">
        <v>1</v>
      </c>
      <c r="AK119">
        <v>1</v>
      </c>
      <c r="AL119">
        <v>1</v>
      </c>
      <c r="AM119">
        <v>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0.16</v>
      </c>
      <c r="AU119" t="s">
        <v>3</v>
      </c>
      <c r="AV119">
        <v>0</v>
      </c>
      <c r="AW119">
        <v>2</v>
      </c>
      <c r="AX119">
        <v>60258538</v>
      </c>
      <c r="AY119">
        <v>1</v>
      </c>
      <c r="AZ119">
        <v>0</v>
      </c>
      <c r="BA119">
        <v>150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ROUND(Y119*Source!I165,9)</f>
        <v>6.1120000000000001</v>
      </c>
      <c r="CY119">
        <f>AA119</f>
        <v>286.31</v>
      </c>
      <c r="CZ119">
        <f>AE119</f>
        <v>159.06</v>
      </c>
      <c r="DA119">
        <f>AI119</f>
        <v>1.8</v>
      </c>
      <c r="DB119">
        <f>ROUND(ROUND(AT119*CZ119,2),6)</f>
        <v>25.45</v>
      </c>
      <c r="DC119">
        <f>ROUND(ROUND(AT119*AG119,2),6)</f>
        <v>0</v>
      </c>
      <c r="DD119" t="s">
        <v>3</v>
      </c>
      <c r="DE119" t="s">
        <v>3</v>
      </c>
      <c r="DF119">
        <f>ROUND(ROUND(AE119*AI119,2)*CX119,2)</f>
        <v>1749.93</v>
      </c>
      <c r="DG119">
        <f>ROUND(ROUND(AF119,2)*CX119,2)</f>
        <v>0</v>
      </c>
      <c r="DH119">
        <f>ROUND(ROUND(AG119,2)*CX119,2)</f>
        <v>0</v>
      </c>
      <c r="DI119">
        <f t="shared" si="34"/>
        <v>0</v>
      </c>
      <c r="DJ119">
        <f>DF119</f>
        <v>1749.93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ROW(Source!A165)</f>
        <v>165</v>
      </c>
      <c r="B120">
        <v>60258061</v>
      </c>
      <c r="C120">
        <v>60258444</v>
      </c>
      <c r="D120">
        <v>59063048</v>
      </c>
      <c r="E120">
        <v>1</v>
      </c>
      <c r="F120">
        <v>1</v>
      </c>
      <c r="G120">
        <v>1080</v>
      </c>
      <c r="H120">
        <v>3</v>
      </c>
      <c r="I120" t="s">
        <v>335</v>
      </c>
      <c r="J120" t="s">
        <v>336</v>
      </c>
      <c r="K120" t="s">
        <v>337</v>
      </c>
      <c r="L120">
        <v>1356</v>
      </c>
      <c r="N120">
        <v>1010</v>
      </c>
      <c r="O120" t="s">
        <v>295</v>
      </c>
      <c r="P120" t="s">
        <v>295</v>
      </c>
      <c r="Q120">
        <v>1000</v>
      </c>
      <c r="W120">
        <v>0</v>
      </c>
      <c r="X120">
        <v>-422648154</v>
      </c>
      <c r="Y120">
        <f>AT120</f>
        <v>1.2200000000000001E-2</v>
      </c>
      <c r="AA120">
        <v>1599.36</v>
      </c>
      <c r="AB120">
        <v>0</v>
      </c>
      <c r="AC120">
        <v>0</v>
      </c>
      <c r="AD120">
        <v>0</v>
      </c>
      <c r="AE120">
        <v>226.86</v>
      </c>
      <c r="AF120">
        <v>0</v>
      </c>
      <c r="AG120">
        <v>0</v>
      </c>
      <c r="AH120">
        <v>0</v>
      </c>
      <c r="AI120">
        <v>7.05</v>
      </c>
      <c r="AJ120">
        <v>1</v>
      </c>
      <c r="AK120">
        <v>1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1.2200000000000001E-2</v>
      </c>
      <c r="AU120" t="s">
        <v>3</v>
      </c>
      <c r="AV120">
        <v>0</v>
      </c>
      <c r="AW120">
        <v>2</v>
      </c>
      <c r="AX120">
        <v>60258539</v>
      </c>
      <c r="AY120">
        <v>1</v>
      </c>
      <c r="AZ120">
        <v>0</v>
      </c>
      <c r="BA120">
        <v>151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ROUND(Y120*Source!I165,9)</f>
        <v>0.46604000000000001</v>
      </c>
      <c r="CY120">
        <f>AA120</f>
        <v>1599.36</v>
      </c>
      <c r="CZ120">
        <f>AE120</f>
        <v>226.86</v>
      </c>
      <c r="DA120">
        <f>AI120</f>
        <v>7.05</v>
      </c>
      <c r="DB120">
        <f>ROUND(ROUND(AT120*CZ120,2),6)</f>
        <v>2.77</v>
      </c>
      <c r="DC120">
        <f>ROUND(ROUND(AT120*AG120,2),6)</f>
        <v>0</v>
      </c>
      <c r="DD120" t="s">
        <v>3</v>
      </c>
      <c r="DE120" t="s">
        <v>3</v>
      </c>
      <c r="DF120">
        <f>ROUND(ROUND(AE120*AI120,2)*CX120,2)</f>
        <v>745.37</v>
      </c>
      <c r="DG120">
        <f>ROUND(ROUND(AF120,2)*CX120,2)</f>
        <v>0</v>
      </c>
      <c r="DH120">
        <f>ROUND(ROUND(AG120,2)*CX120,2)</f>
        <v>0</v>
      </c>
      <c r="DI120">
        <f t="shared" si="34"/>
        <v>0</v>
      </c>
      <c r="DJ120">
        <f>DF120</f>
        <v>745.37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ROW(Source!A165)</f>
        <v>165</v>
      </c>
      <c r="B121">
        <v>60258061</v>
      </c>
      <c r="C121">
        <v>60258444</v>
      </c>
      <c r="D121">
        <v>59062373</v>
      </c>
      <c r="E121">
        <v>1</v>
      </c>
      <c r="F121">
        <v>1</v>
      </c>
      <c r="G121">
        <v>1080</v>
      </c>
      <c r="H121">
        <v>3</v>
      </c>
      <c r="I121" t="s">
        <v>338</v>
      </c>
      <c r="J121" t="s">
        <v>339</v>
      </c>
      <c r="K121" t="s">
        <v>340</v>
      </c>
      <c r="L121">
        <v>1354</v>
      </c>
      <c r="N121">
        <v>1010</v>
      </c>
      <c r="O121" t="s">
        <v>241</v>
      </c>
      <c r="P121" t="s">
        <v>241</v>
      </c>
      <c r="Q121">
        <v>1</v>
      </c>
      <c r="W121">
        <v>0</v>
      </c>
      <c r="X121">
        <v>145081611</v>
      </c>
      <c r="Y121">
        <f>AT121</f>
        <v>3.1</v>
      </c>
      <c r="AA121">
        <v>25.47</v>
      </c>
      <c r="AB121">
        <v>0</v>
      </c>
      <c r="AC121">
        <v>0</v>
      </c>
      <c r="AD121">
        <v>0</v>
      </c>
      <c r="AE121">
        <v>6.94</v>
      </c>
      <c r="AF121">
        <v>0</v>
      </c>
      <c r="AG121">
        <v>0</v>
      </c>
      <c r="AH121">
        <v>0</v>
      </c>
      <c r="AI121">
        <v>3.67</v>
      </c>
      <c r="AJ121">
        <v>1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3.1</v>
      </c>
      <c r="AU121" t="s">
        <v>3</v>
      </c>
      <c r="AV121">
        <v>0</v>
      </c>
      <c r="AW121">
        <v>2</v>
      </c>
      <c r="AX121">
        <v>60258540</v>
      </c>
      <c r="AY121">
        <v>1</v>
      </c>
      <c r="AZ121">
        <v>0</v>
      </c>
      <c r="BA121">
        <v>152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ROUND(Y121*Source!I165,9)</f>
        <v>118.42</v>
      </c>
      <c r="CY121">
        <f>AA121</f>
        <v>25.47</v>
      </c>
      <c r="CZ121">
        <f>AE121</f>
        <v>6.94</v>
      </c>
      <c r="DA121">
        <f>AI121</f>
        <v>3.67</v>
      </c>
      <c r="DB121">
        <f>ROUND(ROUND(AT121*CZ121,2),6)</f>
        <v>21.51</v>
      </c>
      <c r="DC121">
        <f>ROUND(ROUND(AT121*AG121,2),6)</f>
        <v>0</v>
      </c>
      <c r="DD121" t="s">
        <v>3</v>
      </c>
      <c r="DE121" t="s">
        <v>3</v>
      </c>
      <c r="DF121">
        <f>ROUND(ROUND(AE121*AI121,2)*CX121,2)</f>
        <v>3016.16</v>
      </c>
      <c r="DG121">
        <f>ROUND(ROUND(AF121,2)*CX121,2)</f>
        <v>0</v>
      </c>
      <c r="DH121">
        <f>ROUND(ROUND(AG121,2)*CX121,2)</f>
        <v>0</v>
      </c>
      <c r="DI121">
        <f t="shared" si="34"/>
        <v>0</v>
      </c>
      <c r="DJ121">
        <f>DF121</f>
        <v>3016.16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ROW(Source!A165)</f>
        <v>165</v>
      </c>
      <c r="B122">
        <v>60258061</v>
      </c>
      <c r="C122">
        <v>60258444</v>
      </c>
      <c r="D122">
        <v>59062381</v>
      </c>
      <c r="E122">
        <v>1</v>
      </c>
      <c r="F122">
        <v>1</v>
      </c>
      <c r="G122">
        <v>1080</v>
      </c>
      <c r="H122">
        <v>3</v>
      </c>
      <c r="I122" t="s">
        <v>341</v>
      </c>
      <c r="J122" t="s">
        <v>342</v>
      </c>
      <c r="K122" t="s">
        <v>343</v>
      </c>
      <c r="L122">
        <v>1356</v>
      </c>
      <c r="N122">
        <v>1010</v>
      </c>
      <c r="O122" t="s">
        <v>295</v>
      </c>
      <c r="P122" t="s">
        <v>295</v>
      </c>
      <c r="Q122">
        <v>1000</v>
      </c>
      <c r="W122">
        <v>0</v>
      </c>
      <c r="X122">
        <v>807379832</v>
      </c>
      <c r="Y122">
        <f>AT122</f>
        <v>8.0000000000000002E-3</v>
      </c>
      <c r="AA122">
        <v>1197.48</v>
      </c>
      <c r="AB122">
        <v>0</v>
      </c>
      <c r="AC122">
        <v>0</v>
      </c>
      <c r="AD122">
        <v>0</v>
      </c>
      <c r="AE122">
        <v>614.09</v>
      </c>
      <c r="AF122">
        <v>0</v>
      </c>
      <c r="AG122">
        <v>0</v>
      </c>
      <c r="AH122">
        <v>0</v>
      </c>
      <c r="AI122">
        <v>1.95</v>
      </c>
      <c r="AJ122">
        <v>1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8.0000000000000002E-3</v>
      </c>
      <c r="AU122" t="s">
        <v>3</v>
      </c>
      <c r="AV122">
        <v>0</v>
      </c>
      <c r="AW122">
        <v>2</v>
      </c>
      <c r="AX122">
        <v>60258541</v>
      </c>
      <c r="AY122">
        <v>1</v>
      </c>
      <c r="AZ122">
        <v>0</v>
      </c>
      <c r="BA122">
        <v>153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ROUND(Y122*Source!I165,9)</f>
        <v>0.30559999999999998</v>
      </c>
      <c r="CY122">
        <f>AA122</f>
        <v>1197.48</v>
      </c>
      <c r="CZ122">
        <f>AE122</f>
        <v>614.09</v>
      </c>
      <c r="DA122">
        <f>AI122</f>
        <v>1.95</v>
      </c>
      <c r="DB122">
        <f>ROUND(ROUND(AT122*CZ122,2),6)</f>
        <v>4.91</v>
      </c>
      <c r="DC122">
        <f>ROUND(ROUND(AT122*AG122,2),6)</f>
        <v>0</v>
      </c>
      <c r="DD122" t="s">
        <v>3</v>
      </c>
      <c r="DE122" t="s">
        <v>3</v>
      </c>
      <c r="DF122">
        <f>ROUND(ROUND(AE122*AI122,2)*CX122,2)</f>
        <v>365.95</v>
      </c>
      <c r="DG122">
        <f>ROUND(ROUND(AF122,2)*CX122,2)</f>
        <v>0</v>
      </c>
      <c r="DH122">
        <f>ROUND(ROUND(AG122,2)*CX122,2)</f>
        <v>0</v>
      </c>
      <c r="DI122">
        <f t="shared" si="34"/>
        <v>0</v>
      </c>
      <c r="DJ122">
        <f>DF122</f>
        <v>365.95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60258466</v>
      </c>
      <c r="C1">
        <v>60258178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263</v>
      </c>
      <c r="J1" t="s">
        <v>3</v>
      </c>
      <c r="K1" t="s">
        <v>264</v>
      </c>
      <c r="L1">
        <v>1191</v>
      </c>
      <c r="N1">
        <v>1013</v>
      </c>
      <c r="O1" t="s">
        <v>265</v>
      </c>
      <c r="P1" t="s">
        <v>265</v>
      </c>
      <c r="Q1">
        <v>1</v>
      </c>
      <c r="X1">
        <v>15.54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23</v>
      </c>
      <c r="AG1">
        <v>17.094000000000001</v>
      </c>
      <c r="AH1">
        <v>2</v>
      </c>
      <c r="AI1">
        <v>60258179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60258467</v>
      </c>
      <c r="C2">
        <v>60258178</v>
      </c>
      <c r="D2">
        <v>59070669</v>
      </c>
      <c r="E2">
        <v>1</v>
      </c>
      <c r="F2">
        <v>1</v>
      </c>
      <c r="G2">
        <v>1080</v>
      </c>
      <c r="H2">
        <v>2</v>
      </c>
      <c r="I2" t="s">
        <v>266</v>
      </c>
      <c r="J2" t="s">
        <v>267</v>
      </c>
      <c r="K2" t="s">
        <v>268</v>
      </c>
      <c r="L2">
        <v>1368</v>
      </c>
      <c r="N2">
        <v>1011</v>
      </c>
      <c r="O2" t="s">
        <v>269</v>
      </c>
      <c r="P2" t="s">
        <v>269</v>
      </c>
      <c r="Q2">
        <v>1</v>
      </c>
      <c r="X2">
        <v>0.01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23</v>
      </c>
      <c r="AG2">
        <v>1.1000000000000001E-2</v>
      </c>
      <c r="AH2">
        <v>2</v>
      </c>
      <c r="AI2">
        <v>60258180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60258468</v>
      </c>
      <c r="C3">
        <v>60258178</v>
      </c>
      <c r="D3">
        <v>59070721</v>
      </c>
      <c r="E3">
        <v>1</v>
      </c>
      <c r="F3">
        <v>1</v>
      </c>
      <c r="G3">
        <v>1080</v>
      </c>
      <c r="H3">
        <v>2</v>
      </c>
      <c r="I3" t="s">
        <v>271</v>
      </c>
      <c r="J3" t="s">
        <v>272</v>
      </c>
      <c r="K3" t="s">
        <v>273</v>
      </c>
      <c r="L3">
        <v>1368</v>
      </c>
      <c r="N3">
        <v>1011</v>
      </c>
      <c r="O3" t="s">
        <v>269</v>
      </c>
      <c r="P3" t="s">
        <v>269</v>
      </c>
      <c r="Q3">
        <v>1</v>
      </c>
      <c r="X3">
        <v>1.87</v>
      </c>
      <c r="Y3">
        <v>0</v>
      </c>
      <c r="Z3">
        <v>0.77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23</v>
      </c>
      <c r="AG3">
        <v>2.0570000000000004</v>
      </c>
      <c r="AH3">
        <v>2</v>
      </c>
      <c r="AI3">
        <v>60258181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60258469</v>
      </c>
      <c r="C4">
        <v>60258178</v>
      </c>
      <c r="D4">
        <v>59070754</v>
      </c>
      <c r="E4">
        <v>1</v>
      </c>
      <c r="F4">
        <v>1</v>
      </c>
      <c r="G4">
        <v>1080</v>
      </c>
      <c r="H4">
        <v>2</v>
      </c>
      <c r="I4" t="s">
        <v>274</v>
      </c>
      <c r="J4" t="s">
        <v>275</v>
      </c>
      <c r="K4" t="s">
        <v>276</v>
      </c>
      <c r="L4">
        <v>1368</v>
      </c>
      <c r="N4">
        <v>1011</v>
      </c>
      <c r="O4" t="s">
        <v>269</v>
      </c>
      <c r="P4" t="s">
        <v>269</v>
      </c>
      <c r="Q4">
        <v>1</v>
      </c>
      <c r="X4">
        <v>0.19</v>
      </c>
      <c r="Y4">
        <v>0</v>
      </c>
      <c r="Z4">
        <v>0.47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23</v>
      </c>
      <c r="AG4">
        <v>0.20900000000000002</v>
      </c>
      <c r="AH4">
        <v>2</v>
      </c>
      <c r="AI4">
        <v>60258182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60258470</v>
      </c>
      <c r="C5">
        <v>60258178</v>
      </c>
      <c r="D5">
        <v>59039008</v>
      </c>
      <c r="E5">
        <v>1</v>
      </c>
      <c r="F5">
        <v>1</v>
      </c>
      <c r="G5">
        <v>1080</v>
      </c>
      <c r="H5">
        <v>3</v>
      </c>
      <c r="I5" t="s">
        <v>277</v>
      </c>
      <c r="J5" t="s">
        <v>278</v>
      </c>
      <c r="K5" t="s">
        <v>279</v>
      </c>
      <c r="L5">
        <v>1354</v>
      </c>
      <c r="N5">
        <v>1010</v>
      </c>
      <c r="O5" t="s">
        <v>241</v>
      </c>
      <c r="P5" t="s">
        <v>241</v>
      </c>
      <c r="Q5">
        <v>1</v>
      </c>
      <c r="X5">
        <v>40</v>
      </c>
      <c r="Y5">
        <v>0.89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3</v>
      </c>
      <c r="AG5">
        <v>40</v>
      </c>
      <c r="AH5">
        <v>2</v>
      </c>
      <c r="AI5">
        <v>60258183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ROW(Source!A28)</f>
        <v>28</v>
      </c>
      <c r="B6">
        <v>60258471</v>
      </c>
      <c r="C6">
        <v>60258178</v>
      </c>
      <c r="D6">
        <v>59041172</v>
      </c>
      <c r="E6">
        <v>1</v>
      </c>
      <c r="F6">
        <v>1</v>
      </c>
      <c r="G6">
        <v>1080</v>
      </c>
      <c r="H6">
        <v>3</v>
      </c>
      <c r="I6" t="s">
        <v>280</v>
      </c>
      <c r="J6" t="s">
        <v>281</v>
      </c>
      <c r="K6" t="s">
        <v>282</v>
      </c>
      <c r="L6">
        <v>1355</v>
      </c>
      <c r="N6">
        <v>1010</v>
      </c>
      <c r="O6" t="s">
        <v>283</v>
      </c>
      <c r="P6" t="s">
        <v>283</v>
      </c>
      <c r="Q6">
        <v>100</v>
      </c>
      <c r="X6">
        <v>0.4</v>
      </c>
      <c r="Y6">
        <v>17.28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</v>
      </c>
      <c r="AG6">
        <v>0.4</v>
      </c>
      <c r="AH6">
        <v>2</v>
      </c>
      <c r="AI6">
        <v>60258184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ROW(Source!A28)</f>
        <v>28</v>
      </c>
      <c r="B7">
        <v>60258472</v>
      </c>
      <c r="C7">
        <v>60258178</v>
      </c>
      <c r="D7">
        <v>59021320</v>
      </c>
      <c r="E7">
        <v>1080</v>
      </c>
      <c r="F7">
        <v>1</v>
      </c>
      <c r="G7">
        <v>1080</v>
      </c>
      <c r="H7">
        <v>3</v>
      </c>
      <c r="I7" t="s">
        <v>344</v>
      </c>
      <c r="J7" t="s">
        <v>3</v>
      </c>
      <c r="K7" t="s">
        <v>345</v>
      </c>
      <c r="L7">
        <v>1358</v>
      </c>
      <c r="N7">
        <v>1010</v>
      </c>
      <c r="O7" t="s">
        <v>21</v>
      </c>
      <c r="P7" t="s">
        <v>21</v>
      </c>
      <c r="Q7">
        <v>10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3</v>
      </c>
      <c r="AG7">
        <v>1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ROW(Source!A29)</f>
        <v>29</v>
      </c>
      <c r="B8">
        <v>60258466</v>
      </c>
      <c r="C8">
        <v>60258178</v>
      </c>
      <c r="D8">
        <v>58999254</v>
      </c>
      <c r="E8">
        <v>1080</v>
      </c>
      <c r="F8">
        <v>1</v>
      </c>
      <c r="G8">
        <v>1080</v>
      </c>
      <c r="H8">
        <v>1</v>
      </c>
      <c r="I8" t="s">
        <v>263</v>
      </c>
      <c r="J8" t="s">
        <v>3</v>
      </c>
      <c r="K8" t="s">
        <v>264</v>
      </c>
      <c r="L8">
        <v>1191</v>
      </c>
      <c r="N8">
        <v>1013</v>
      </c>
      <c r="O8" t="s">
        <v>265</v>
      </c>
      <c r="P8" t="s">
        <v>265</v>
      </c>
      <c r="Q8">
        <v>1</v>
      </c>
      <c r="X8">
        <v>15.54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23</v>
      </c>
      <c r="AG8">
        <v>17.094000000000001</v>
      </c>
      <c r="AH8">
        <v>2</v>
      </c>
      <c r="AI8">
        <v>60258179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60258467</v>
      </c>
      <c r="C9">
        <v>60258178</v>
      </c>
      <c r="D9">
        <v>59070669</v>
      </c>
      <c r="E9">
        <v>1</v>
      </c>
      <c r="F9">
        <v>1</v>
      </c>
      <c r="G9">
        <v>1080</v>
      </c>
      <c r="H9">
        <v>2</v>
      </c>
      <c r="I9" t="s">
        <v>266</v>
      </c>
      <c r="J9" t="s">
        <v>267</v>
      </c>
      <c r="K9" t="s">
        <v>268</v>
      </c>
      <c r="L9">
        <v>1368</v>
      </c>
      <c r="N9">
        <v>1011</v>
      </c>
      <c r="O9" t="s">
        <v>269</v>
      </c>
      <c r="P9" t="s">
        <v>269</v>
      </c>
      <c r="Q9">
        <v>1</v>
      </c>
      <c r="X9">
        <v>0.01</v>
      </c>
      <c r="Y9">
        <v>0</v>
      </c>
      <c r="Z9">
        <v>83.1</v>
      </c>
      <c r="AA9">
        <v>12.62</v>
      </c>
      <c r="AB9">
        <v>0</v>
      </c>
      <c r="AC9">
        <v>0</v>
      </c>
      <c r="AD9">
        <v>1</v>
      </c>
      <c r="AE9">
        <v>0</v>
      </c>
      <c r="AF9" t="s">
        <v>23</v>
      </c>
      <c r="AG9">
        <v>1.1000000000000001E-2</v>
      </c>
      <c r="AH9">
        <v>2</v>
      </c>
      <c r="AI9">
        <v>60258180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60258468</v>
      </c>
      <c r="C10">
        <v>60258178</v>
      </c>
      <c r="D10">
        <v>59070721</v>
      </c>
      <c r="E10">
        <v>1</v>
      </c>
      <c r="F10">
        <v>1</v>
      </c>
      <c r="G10">
        <v>1080</v>
      </c>
      <c r="H10">
        <v>2</v>
      </c>
      <c r="I10" t="s">
        <v>271</v>
      </c>
      <c r="J10" t="s">
        <v>272</v>
      </c>
      <c r="K10" t="s">
        <v>273</v>
      </c>
      <c r="L10">
        <v>1368</v>
      </c>
      <c r="N10">
        <v>1011</v>
      </c>
      <c r="O10" t="s">
        <v>269</v>
      </c>
      <c r="P10" t="s">
        <v>269</v>
      </c>
      <c r="Q10">
        <v>1</v>
      </c>
      <c r="X10">
        <v>1.87</v>
      </c>
      <c r="Y10">
        <v>0</v>
      </c>
      <c r="Z10">
        <v>0.77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23</v>
      </c>
      <c r="AG10">
        <v>2.0570000000000004</v>
      </c>
      <c r="AH10">
        <v>2</v>
      </c>
      <c r="AI10">
        <v>60258181</v>
      </c>
      <c r="AJ10">
        <v>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ROW(Source!A29)</f>
        <v>29</v>
      </c>
      <c r="B11">
        <v>60258469</v>
      </c>
      <c r="C11">
        <v>60258178</v>
      </c>
      <c r="D11">
        <v>59070754</v>
      </c>
      <c r="E11">
        <v>1</v>
      </c>
      <c r="F11">
        <v>1</v>
      </c>
      <c r="G11">
        <v>1080</v>
      </c>
      <c r="H11">
        <v>2</v>
      </c>
      <c r="I11" t="s">
        <v>274</v>
      </c>
      <c r="J11" t="s">
        <v>275</v>
      </c>
      <c r="K11" t="s">
        <v>276</v>
      </c>
      <c r="L11">
        <v>1368</v>
      </c>
      <c r="N11">
        <v>1011</v>
      </c>
      <c r="O11" t="s">
        <v>269</v>
      </c>
      <c r="P11" t="s">
        <v>269</v>
      </c>
      <c r="Q11">
        <v>1</v>
      </c>
      <c r="X11">
        <v>0.19</v>
      </c>
      <c r="Y11">
        <v>0</v>
      </c>
      <c r="Z11">
        <v>0.47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23</v>
      </c>
      <c r="AG11">
        <v>0.20900000000000002</v>
      </c>
      <c r="AH11">
        <v>2</v>
      </c>
      <c r="AI11">
        <v>60258182</v>
      </c>
      <c r="AJ11">
        <v>10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ROW(Source!A29)</f>
        <v>29</v>
      </c>
      <c r="B12">
        <v>60258470</v>
      </c>
      <c r="C12">
        <v>60258178</v>
      </c>
      <c r="D12">
        <v>59039008</v>
      </c>
      <c r="E12">
        <v>1</v>
      </c>
      <c r="F12">
        <v>1</v>
      </c>
      <c r="G12">
        <v>1080</v>
      </c>
      <c r="H12">
        <v>3</v>
      </c>
      <c r="I12" t="s">
        <v>277</v>
      </c>
      <c r="J12" t="s">
        <v>278</v>
      </c>
      <c r="K12" t="s">
        <v>279</v>
      </c>
      <c r="L12">
        <v>1354</v>
      </c>
      <c r="N12">
        <v>1010</v>
      </c>
      <c r="O12" t="s">
        <v>241</v>
      </c>
      <c r="P12" t="s">
        <v>241</v>
      </c>
      <c r="Q12">
        <v>1</v>
      </c>
      <c r="X12">
        <v>40</v>
      </c>
      <c r="Y12">
        <v>0.89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</v>
      </c>
      <c r="AG12">
        <v>40</v>
      </c>
      <c r="AH12">
        <v>2</v>
      </c>
      <c r="AI12">
        <v>60258183</v>
      </c>
      <c r="AJ12">
        <v>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ROW(Source!A29)</f>
        <v>29</v>
      </c>
      <c r="B13">
        <v>60258471</v>
      </c>
      <c r="C13">
        <v>60258178</v>
      </c>
      <c r="D13">
        <v>59041172</v>
      </c>
      <c r="E13">
        <v>1</v>
      </c>
      <c r="F13">
        <v>1</v>
      </c>
      <c r="G13">
        <v>1080</v>
      </c>
      <c r="H13">
        <v>3</v>
      </c>
      <c r="I13" t="s">
        <v>280</v>
      </c>
      <c r="J13" t="s">
        <v>281</v>
      </c>
      <c r="K13" t="s">
        <v>282</v>
      </c>
      <c r="L13">
        <v>1355</v>
      </c>
      <c r="N13">
        <v>1010</v>
      </c>
      <c r="O13" t="s">
        <v>283</v>
      </c>
      <c r="P13" t="s">
        <v>283</v>
      </c>
      <c r="Q13">
        <v>100</v>
      </c>
      <c r="X13">
        <v>0.4</v>
      </c>
      <c r="Y13">
        <v>17.28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</v>
      </c>
      <c r="AG13">
        <v>0.4</v>
      </c>
      <c r="AH13">
        <v>2</v>
      </c>
      <c r="AI13">
        <v>60258184</v>
      </c>
      <c r="AJ13">
        <v>12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ROW(Source!A29)</f>
        <v>29</v>
      </c>
      <c r="B14">
        <v>60258472</v>
      </c>
      <c r="C14">
        <v>60258178</v>
      </c>
      <c r="D14">
        <v>59021320</v>
      </c>
      <c r="E14">
        <v>1080</v>
      </c>
      <c r="F14">
        <v>1</v>
      </c>
      <c r="G14">
        <v>1080</v>
      </c>
      <c r="H14">
        <v>3</v>
      </c>
      <c r="I14" t="s">
        <v>344</v>
      </c>
      <c r="J14" t="s">
        <v>3</v>
      </c>
      <c r="K14" t="s">
        <v>345</v>
      </c>
      <c r="L14">
        <v>1358</v>
      </c>
      <c r="N14">
        <v>1010</v>
      </c>
      <c r="O14" t="s">
        <v>21</v>
      </c>
      <c r="P14" t="s">
        <v>21</v>
      </c>
      <c r="Q14">
        <v>10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3</v>
      </c>
      <c r="AG14">
        <v>1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ROW(Source!A32)</f>
        <v>32</v>
      </c>
      <c r="B15">
        <v>60258473</v>
      </c>
      <c r="C15">
        <v>60258193</v>
      </c>
      <c r="D15">
        <v>58999254</v>
      </c>
      <c r="E15">
        <v>1080</v>
      </c>
      <c r="F15">
        <v>1</v>
      </c>
      <c r="G15">
        <v>1080</v>
      </c>
      <c r="H15">
        <v>1</v>
      </c>
      <c r="I15" t="s">
        <v>263</v>
      </c>
      <c r="J15" t="s">
        <v>3</v>
      </c>
      <c r="K15" t="s">
        <v>264</v>
      </c>
      <c r="L15">
        <v>1191</v>
      </c>
      <c r="N15">
        <v>1013</v>
      </c>
      <c r="O15" t="s">
        <v>265</v>
      </c>
      <c r="P15" t="s">
        <v>265</v>
      </c>
      <c r="Q15">
        <v>1</v>
      </c>
      <c r="X15">
        <v>0.8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23</v>
      </c>
      <c r="AG15">
        <v>0.88000000000000012</v>
      </c>
      <c r="AH15">
        <v>2</v>
      </c>
      <c r="AI15">
        <v>60258194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ROW(Source!A33)</f>
        <v>33</v>
      </c>
      <c r="B16">
        <v>60258473</v>
      </c>
      <c r="C16">
        <v>60258193</v>
      </c>
      <c r="D16">
        <v>58999254</v>
      </c>
      <c r="E16">
        <v>1080</v>
      </c>
      <c r="F16">
        <v>1</v>
      </c>
      <c r="G16">
        <v>1080</v>
      </c>
      <c r="H16">
        <v>1</v>
      </c>
      <c r="I16" t="s">
        <v>263</v>
      </c>
      <c r="J16" t="s">
        <v>3</v>
      </c>
      <c r="K16" t="s">
        <v>264</v>
      </c>
      <c r="L16">
        <v>1191</v>
      </c>
      <c r="N16">
        <v>1013</v>
      </c>
      <c r="O16" t="s">
        <v>265</v>
      </c>
      <c r="P16" t="s">
        <v>265</v>
      </c>
      <c r="Q16">
        <v>1</v>
      </c>
      <c r="X16">
        <v>0.8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23</v>
      </c>
      <c r="AG16">
        <v>0.88000000000000012</v>
      </c>
      <c r="AH16">
        <v>2</v>
      </c>
      <c r="AI16">
        <v>60258194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ROW(Source!A36)</f>
        <v>36</v>
      </c>
      <c r="B17">
        <v>60258474</v>
      </c>
      <c r="C17">
        <v>60258197</v>
      </c>
      <c r="D17">
        <v>58999254</v>
      </c>
      <c r="E17">
        <v>1080</v>
      </c>
      <c r="F17">
        <v>1</v>
      </c>
      <c r="G17">
        <v>1080</v>
      </c>
      <c r="H17">
        <v>1</v>
      </c>
      <c r="I17" t="s">
        <v>263</v>
      </c>
      <c r="J17" t="s">
        <v>3</v>
      </c>
      <c r="K17" t="s">
        <v>264</v>
      </c>
      <c r="L17">
        <v>1191</v>
      </c>
      <c r="N17">
        <v>1013</v>
      </c>
      <c r="O17" t="s">
        <v>265</v>
      </c>
      <c r="P17" t="s">
        <v>265</v>
      </c>
      <c r="Q17">
        <v>1</v>
      </c>
      <c r="X17">
        <v>25.33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23</v>
      </c>
      <c r="AG17">
        <v>27.863</v>
      </c>
      <c r="AH17">
        <v>2</v>
      </c>
      <c r="AI17">
        <v>60258198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ROW(Source!A36)</f>
        <v>36</v>
      </c>
      <c r="B18">
        <v>60258475</v>
      </c>
      <c r="C18">
        <v>60258197</v>
      </c>
      <c r="D18">
        <v>59070669</v>
      </c>
      <c r="E18">
        <v>1</v>
      </c>
      <c r="F18">
        <v>1</v>
      </c>
      <c r="G18">
        <v>1080</v>
      </c>
      <c r="H18">
        <v>2</v>
      </c>
      <c r="I18" t="s">
        <v>266</v>
      </c>
      <c r="J18" t="s">
        <v>267</v>
      </c>
      <c r="K18" t="s">
        <v>268</v>
      </c>
      <c r="L18">
        <v>1368</v>
      </c>
      <c r="N18">
        <v>1011</v>
      </c>
      <c r="O18" t="s">
        <v>269</v>
      </c>
      <c r="P18" t="s">
        <v>269</v>
      </c>
      <c r="Q18">
        <v>1</v>
      </c>
      <c r="X18">
        <v>0.01</v>
      </c>
      <c r="Y18">
        <v>0</v>
      </c>
      <c r="Z18">
        <v>83.1</v>
      </c>
      <c r="AA18">
        <v>12.62</v>
      </c>
      <c r="AB18">
        <v>0</v>
      </c>
      <c r="AC18">
        <v>0</v>
      </c>
      <c r="AD18">
        <v>1</v>
      </c>
      <c r="AE18">
        <v>0</v>
      </c>
      <c r="AF18" t="s">
        <v>23</v>
      </c>
      <c r="AG18">
        <v>1.1000000000000001E-2</v>
      </c>
      <c r="AH18">
        <v>2</v>
      </c>
      <c r="AI18">
        <v>60258199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ROW(Source!A36)</f>
        <v>36</v>
      </c>
      <c r="B19">
        <v>60258476</v>
      </c>
      <c r="C19">
        <v>60258197</v>
      </c>
      <c r="D19">
        <v>59070721</v>
      </c>
      <c r="E19">
        <v>1</v>
      </c>
      <c r="F19">
        <v>1</v>
      </c>
      <c r="G19">
        <v>1080</v>
      </c>
      <c r="H19">
        <v>2</v>
      </c>
      <c r="I19" t="s">
        <v>271</v>
      </c>
      <c r="J19" t="s">
        <v>272</v>
      </c>
      <c r="K19" t="s">
        <v>273</v>
      </c>
      <c r="L19">
        <v>1368</v>
      </c>
      <c r="N19">
        <v>1011</v>
      </c>
      <c r="O19" t="s">
        <v>269</v>
      </c>
      <c r="P19" t="s">
        <v>269</v>
      </c>
      <c r="Q19">
        <v>1</v>
      </c>
      <c r="X19">
        <v>1.87</v>
      </c>
      <c r="Y19">
        <v>0</v>
      </c>
      <c r="Z19">
        <v>0.77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23</v>
      </c>
      <c r="AG19">
        <v>2.0570000000000004</v>
      </c>
      <c r="AH19">
        <v>2</v>
      </c>
      <c r="AI19">
        <v>60258200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ROW(Source!A36)</f>
        <v>36</v>
      </c>
      <c r="B20">
        <v>60258477</v>
      </c>
      <c r="C20">
        <v>60258197</v>
      </c>
      <c r="D20">
        <v>59070754</v>
      </c>
      <c r="E20">
        <v>1</v>
      </c>
      <c r="F20">
        <v>1</v>
      </c>
      <c r="G20">
        <v>1080</v>
      </c>
      <c r="H20">
        <v>2</v>
      </c>
      <c r="I20" t="s">
        <v>274</v>
      </c>
      <c r="J20" t="s">
        <v>275</v>
      </c>
      <c r="K20" t="s">
        <v>276</v>
      </c>
      <c r="L20">
        <v>1368</v>
      </c>
      <c r="N20">
        <v>1011</v>
      </c>
      <c r="O20" t="s">
        <v>269</v>
      </c>
      <c r="P20" t="s">
        <v>269</v>
      </c>
      <c r="Q20">
        <v>1</v>
      </c>
      <c r="X20">
        <v>0.19</v>
      </c>
      <c r="Y20">
        <v>0</v>
      </c>
      <c r="Z20">
        <v>0.47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23</v>
      </c>
      <c r="AG20">
        <v>0.20900000000000002</v>
      </c>
      <c r="AH20">
        <v>2</v>
      </c>
      <c r="AI20">
        <v>60258201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ROW(Source!A36)</f>
        <v>36</v>
      </c>
      <c r="B21">
        <v>60258478</v>
      </c>
      <c r="C21">
        <v>60258197</v>
      </c>
      <c r="D21">
        <v>59039008</v>
      </c>
      <c r="E21">
        <v>1</v>
      </c>
      <c r="F21">
        <v>1</v>
      </c>
      <c r="G21">
        <v>1080</v>
      </c>
      <c r="H21">
        <v>3</v>
      </c>
      <c r="I21" t="s">
        <v>277</v>
      </c>
      <c r="J21" t="s">
        <v>278</v>
      </c>
      <c r="K21" t="s">
        <v>279</v>
      </c>
      <c r="L21">
        <v>1354</v>
      </c>
      <c r="N21">
        <v>1010</v>
      </c>
      <c r="O21" t="s">
        <v>241</v>
      </c>
      <c r="P21" t="s">
        <v>241</v>
      </c>
      <c r="Q21">
        <v>1</v>
      </c>
      <c r="X21">
        <v>40</v>
      </c>
      <c r="Y21">
        <v>0.89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</v>
      </c>
      <c r="AG21">
        <v>40</v>
      </c>
      <c r="AH21">
        <v>2</v>
      </c>
      <c r="AI21">
        <v>60258202</v>
      </c>
      <c r="AJ21">
        <v>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ROW(Source!A36)</f>
        <v>36</v>
      </c>
      <c r="B22">
        <v>60258479</v>
      </c>
      <c r="C22">
        <v>60258197</v>
      </c>
      <c r="D22">
        <v>59041172</v>
      </c>
      <c r="E22">
        <v>1</v>
      </c>
      <c r="F22">
        <v>1</v>
      </c>
      <c r="G22">
        <v>1080</v>
      </c>
      <c r="H22">
        <v>3</v>
      </c>
      <c r="I22" t="s">
        <v>280</v>
      </c>
      <c r="J22" t="s">
        <v>281</v>
      </c>
      <c r="K22" t="s">
        <v>282</v>
      </c>
      <c r="L22">
        <v>1355</v>
      </c>
      <c r="N22">
        <v>1010</v>
      </c>
      <c r="O22" t="s">
        <v>283</v>
      </c>
      <c r="P22" t="s">
        <v>283</v>
      </c>
      <c r="Q22">
        <v>100</v>
      </c>
      <c r="X22">
        <v>0.4</v>
      </c>
      <c r="Y22">
        <v>17.28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0.4</v>
      </c>
      <c r="AH22">
        <v>2</v>
      </c>
      <c r="AI22">
        <v>60258203</v>
      </c>
      <c r="AJ22">
        <v>20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ROW(Source!A36)</f>
        <v>36</v>
      </c>
      <c r="B23">
        <v>60258480</v>
      </c>
      <c r="C23">
        <v>60258197</v>
      </c>
      <c r="D23">
        <v>59021321</v>
      </c>
      <c r="E23">
        <v>1080</v>
      </c>
      <c r="F23">
        <v>1</v>
      </c>
      <c r="G23">
        <v>1080</v>
      </c>
      <c r="H23">
        <v>3</v>
      </c>
      <c r="I23" t="s">
        <v>344</v>
      </c>
      <c r="J23" t="s">
        <v>3</v>
      </c>
      <c r="K23" t="s">
        <v>346</v>
      </c>
      <c r="L23">
        <v>1358</v>
      </c>
      <c r="N23">
        <v>1010</v>
      </c>
      <c r="O23" t="s">
        <v>21</v>
      </c>
      <c r="P23" t="s">
        <v>21</v>
      </c>
      <c r="Q23">
        <v>10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3</v>
      </c>
      <c r="AG23">
        <v>1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ROW(Source!A37)</f>
        <v>37</v>
      </c>
      <c r="B24">
        <v>60258474</v>
      </c>
      <c r="C24">
        <v>60258197</v>
      </c>
      <c r="D24">
        <v>58999254</v>
      </c>
      <c r="E24">
        <v>1080</v>
      </c>
      <c r="F24">
        <v>1</v>
      </c>
      <c r="G24">
        <v>1080</v>
      </c>
      <c r="H24">
        <v>1</v>
      </c>
      <c r="I24" t="s">
        <v>263</v>
      </c>
      <c r="J24" t="s">
        <v>3</v>
      </c>
      <c r="K24" t="s">
        <v>264</v>
      </c>
      <c r="L24">
        <v>1191</v>
      </c>
      <c r="N24">
        <v>1013</v>
      </c>
      <c r="O24" t="s">
        <v>265</v>
      </c>
      <c r="P24" t="s">
        <v>265</v>
      </c>
      <c r="Q24">
        <v>1</v>
      </c>
      <c r="X24">
        <v>25.33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 t="s">
        <v>23</v>
      </c>
      <c r="AG24">
        <v>27.863</v>
      </c>
      <c r="AH24">
        <v>2</v>
      </c>
      <c r="AI24">
        <v>60258198</v>
      </c>
      <c r="AJ24">
        <v>21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ROW(Source!A37)</f>
        <v>37</v>
      </c>
      <c r="B25">
        <v>60258475</v>
      </c>
      <c r="C25">
        <v>60258197</v>
      </c>
      <c r="D25">
        <v>59070669</v>
      </c>
      <c r="E25">
        <v>1</v>
      </c>
      <c r="F25">
        <v>1</v>
      </c>
      <c r="G25">
        <v>1080</v>
      </c>
      <c r="H25">
        <v>2</v>
      </c>
      <c r="I25" t="s">
        <v>266</v>
      </c>
      <c r="J25" t="s">
        <v>267</v>
      </c>
      <c r="K25" t="s">
        <v>268</v>
      </c>
      <c r="L25">
        <v>1368</v>
      </c>
      <c r="N25">
        <v>1011</v>
      </c>
      <c r="O25" t="s">
        <v>269</v>
      </c>
      <c r="P25" t="s">
        <v>269</v>
      </c>
      <c r="Q25">
        <v>1</v>
      </c>
      <c r="X25">
        <v>0.01</v>
      </c>
      <c r="Y25">
        <v>0</v>
      </c>
      <c r="Z25">
        <v>83.1</v>
      </c>
      <c r="AA25">
        <v>12.62</v>
      </c>
      <c r="AB25">
        <v>0</v>
      </c>
      <c r="AC25">
        <v>0</v>
      </c>
      <c r="AD25">
        <v>1</v>
      </c>
      <c r="AE25">
        <v>0</v>
      </c>
      <c r="AF25" t="s">
        <v>23</v>
      </c>
      <c r="AG25">
        <v>1.1000000000000001E-2</v>
      </c>
      <c r="AH25">
        <v>2</v>
      </c>
      <c r="AI25">
        <v>60258199</v>
      </c>
      <c r="AJ25">
        <v>22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ROW(Source!A37)</f>
        <v>37</v>
      </c>
      <c r="B26">
        <v>60258476</v>
      </c>
      <c r="C26">
        <v>60258197</v>
      </c>
      <c r="D26">
        <v>59070721</v>
      </c>
      <c r="E26">
        <v>1</v>
      </c>
      <c r="F26">
        <v>1</v>
      </c>
      <c r="G26">
        <v>1080</v>
      </c>
      <c r="H26">
        <v>2</v>
      </c>
      <c r="I26" t="s">
        <v>271</v>
      </c>
      <c r="J26" t="s">
        <v>272</v>
      </c>
      <c r="K26" t="s">
        <v>273</v>
      </c>
      <c r="L26">
        <v>1368</v>
      </c>
      <c r="N26">
        <v>1011</v>
      </c>
      <c r="O26" t="s">
        <v>269</v>
      </c>
      <c r="P26" t="s">
        <v>269</v>
      </c>
      <c r="Q26">
        <v>1</v>
      </c>
      <c r="X26">
        <v>1.87</v>
      </c>
      <c r="Y26">
        <v>0</v>
      </c>
      <c r="Z26">
        <v>0.77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23</v>
      </c>
      <c r="AG26">
        <v>2.0570000000000004</v>
      </c>
      <c r="AH26">
        <v>2</v>
      </c>
      <c r="AI26">
        <v>60258200</v>
      </c>
      <c r="AJ26">
        <v>23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ROW(Source!A37)</f>
        <v>37</v>
      </c>
      <c r="B27">
        <v>60258477</v>
      </c>
      <c r="C27">
        <v>60258197</v>
      </c>
      <c r="D27">
        <v>59070754</v>
      </c>
      <c r="E27">
        <v>1</v>
      </c>
      <c r="F27">
        <v>1</v>
      </c>
      <c r="G27">
        <v>1080</v>
      </c>
      <c r="H27">
        <v>2</v>
      </c>
      <c r="I27" t="s">
        <v>274</v>
      </c>
      <c r="J27" t="s">
        <v>275</v>
      </c>
      <c r="K27" t="s">
        <v>276</v>
      </c>
      <c r="L27">
        <v>1368</v>
      </c>
      <c r="N27">
        <v>1011</v>
      </c>
      <c r="O27" t="s">
        <v>269</v>
      </c>
      <c r="P27" t="s">
        <v>269</v>
      </c>
      <c r="Q27">
        <v>1</v>
      </c>
      <c r="X27">
        <v>0.19</v>
      </c>
      <c r="Y27">
        <v>0</v>
      </c>
      <c r="Z27">
        <v>0.47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23</v>
      </c>
      <c r="AG27">
        <v>0.20900000000000002</v>
      </c>
      <c r="AH27">
        <v>2</v>
      </c>
      <c r="AI27">
        <v>60258201</v>
      </c>
      <c r="AJ27">
        <v>24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ROW(Source!A37)</f>
        <v>37</v>
      </c>
      <c r="B28">
        <v>60258478</v>
      </c>
      <c r="C28">
        <v>60258197</v>
      </c>
      <c r="D28">
        <v>59039008</v>
      </c>
      <c r="E28">
        <v>1</v>
      </c>
      <c r="F28">
        <v>1</v>
      </c>
      <c r="G28">
        <v>1080</v>
      </c>
      <c r="H28">
        <v>3</v>
      </c>
      <c r="I28" t="s">
        <v>277</v>
      </c>
      <c r="J28" t="s">
        <v>278</v>
      </c>
      <c r="K28" t="s">
        <v>279</v>
      </c>
      <c r="L28">
        <v>1354</v>
      </c>
      <c r="N28">
        <v>1010</v>
      </c>
      <c r="O28" t="s">
        <v>241</v>
      </c>
      <c r="P28" t="s">
        <v>241</v>
      </c>
      <c r="Q28">
        <v>1</v>
      </c>
      <c r="X28">
        <v>40</v>
      </c>
      <c r="Y28">
        <v>0.89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</v>
      </c>
      <c r="AG28">
        <v>40</v>
      </c>
      <c r="AH28">
        <v>2</v>
      </c>
      <c r="AI28">
        <v>60258202</v>
      </c>
      <c r="AJ28">
        <v>25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ROW(Source!A37)</f>
        <v>37</v>
      </c>
      <c r="B29">
        <v>60258479</v>
      </c>
      <c r="C29">
        <v>60258197</v>
      </c>
      <c r="D29">
        <v>59041172</v>
      </c>
      <c r="E29">
        <v>1</v>
      </c>
      <c r="F29">
        <v>1</v>
      </c>
      <c r="G29">
        <v>1080</v>
      </c>
      <c r="H29">
        <v>3</v>
      </c>
      <c r="I29" t="s">
        <v>280</v>
      </c>
      <c r="J29" t="s">
        <v>281</v>
      </c>
      <c r="K29" t="s">
        <v>282</v>
      </c>
      <c r="L29">
        <v>1355</v>
      </c>
      <c r="N29">
        <v>1010</v>
      </c>
      <c r="O29" t="s">
        <v>283</v>
      </c>
      <c r="P29" t="s">
        <v>283</v>
      </c>
      <c r="Q29">
        <v>100</v>
      </c>
      <c r="X29">
        <v>0.4</v>
      </c>
      <c r="Y29">
        <v>17.28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</v>
      </c>
      <c r="AG29">
        <v>0.4</v>
      </c>
      <c r="AH29">
        <v>2</v>
      </c>
      <c r="AI29">
        <v>60258203</v>
      </c>
      <c r="AJ29">
        <v>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ROW(Source!A37)</f>
        <v>37</v>
      </c>
      <c r="B30">
        <v>60258480</v>
      </c>
      <c r="C30">
        <v>60258197</v>
      </c>
      <c r="D30">
        <v>59021321</v>
      </c>
      <c r="E30">
        <v>1080</v>
      </c>
      <c r="F30">
        <v>1</v>
      </c>
      <c r="G30">
        <v>1080</v>
      </c>
      <c r="H30">
        <v>3</v>
      </c>
      <c r="I30" t="s">
        <v>344</v>
      </c>
      <c r="J30" t="s">
        <v>3</v>
      </c>
      <c r="K30" t="s">
        <v>346</v>
      </c>
      <c r="L30">
        <v>1358</v>
      </c>
      <c r="N30">
        <v>1010</v>
      </c>
      <c r="O30" t="s">
        <v>21</v>
      </c>
      <c r="P30" t="s">
        <v>21</v>
      </c>
      <c r="Q30">
        <v>10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</v>
      </c>
      <c r="AG30">
        <v>1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ROW(Source!A40)</f>
        <v>40</v>
      </c>
      <c r="B31">
        <v>60258481</v>
      </c>
      <c r="C31">
        <v>60258212</v>
      </c>
      <c r="D31">
        <v>58999254</v>
      </c>
      <c r="E31">
        <v>1080</v>
      </c>
      <c r="F31">
        <v>1</v>
      </c>
      <c r="G31">
        <v>1080</v>
      </c>
      <c r="H31">
        <v>1</v>
      </c>
      <c r="I31" t="s">
        <v>263</v>
      </c>
      <c r="J31" t="s">
        <v>3</v>
      </c>
      <c r="K31" t="s">
        <v>264</v>
      </c>
      <c r="L31">
        <v>1191</v>
      </c>
      <c r="N31">
        <v>1013</v>
      </c>
      <c r="O31" t="s">
        <v>265</v>
      </c>
      <c r="P31" t="s">
        <v>265</v>
      </c>
      <c r="Q31">
        <v>1</v>
      </c>
      <c r="X31">
        <v>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23</v>
      </c>
      <c r="AG31">
        <v>8.8000000000000007</v>
      </c>
      <c r="AH31">
        <v>2</v>
      </c>
      <c r="AI31">
        <v>60258213</v>
      </c>
      <c r="AJ31">
        <v>27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ROW(Source!A40)</f>
        <v>40</v>
      </c>
      <c r="B32">
        <v>60258482</v>
      </c>
      <c r="C32">
        <v>60258212</v>
      </c>
      <c r="D32">
        <v>59039461</v>
      </c>
      <c r="E32">
        <v>1</v>
      </c>
      <c r="F32">
        <v>1</v>
      </c>
      <c r="G32">
        <v>1080</v>
      </c>
      <c r="H32">
        <v>3</v>
      </c>
      <c r="I32" t="s">
        <v>284</v>
      </c>
      <c r="J32" t="s">
        <v>285</v>
      </c>
      <c r="K32" t="s">
        <v>286</v>
      </c>
      <c r="L32">
        <v>1348</v>
      </c>
      <c r="N32">
        <v>1009</v>
      </c>
      <c r="O32" t="s">
        <v>287</v>
      </c>
      <c r="P32" t="s">
        <v>287</v>
      </c>
      <c r="Q32">
        <v>1000</v>
      </c>
      <c r="X32">
        <v>1.0000000000000001E-5</v>
      </c>
      <c r="Y32">
        <v>60960.43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3</v>
      </c>
      <c r="AG32">
        <v>1.0000000000000001E-5</v>
      </c>
      <c r="AH32">
        <v>2</v>
      </c>
      <c r="AI32">
        <v>60258214</v>
      </c>
      <c r="AJ32">
        <v>28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ROW(Source!A40)</f>
        <v>40</v>
      </c>
      <c r="B33">
        <v>60258483</v>
      </c>
      <c r="C33">
        <v>60258212</v>
      </c>
      <c r="D33">
        <v>59045949</v>
      </c>
      <c r="E33">
        <v>1</v>
      </c>
      <c r="F33">
        <v>1</v>
      </c>
      <c r="G33">
        <v>1080</v>
      </c>
      <c r="H33">
        <v>3</v>
      </c>
      <c r="I33" t="s">
        <v>288</v>
      </c>
      <c r="J33" t="s">
        <v>289</v>
      </c>
      <c r="K33" t="s">
        <v>290</v>
      </c>
      <c r="L33">
        <v>1349</v>
      </c>
      <c r="N33">
        <v>1009</v>
      </c>
      <c r="O33" t="s">
        <v>291</v>
      </c>
      <c r="P33" t="s">
        <v>291</v>
      </c>
      <c r="Q33">
        <v>1E-3</v>
      </c>
      <c r="X33">
        <v>0.5</v>
      </c>
      <c r="Y33">
        <v>7.0000000000000007E-2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3</v>
      </c>
      <c r="AG33">
        <v>0.5</v>
      </c>
      <c r="AH33">
        <v>2</v>
      </c>
      <c r="AI33">
        <v>60258215</v>
      </c>
      <c r="AJ33">
        <v>29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ROW(Source!A40)</f>
        <v>40</v>
      </c>
      <c r="B34">
        <v>60258484</v>
      </c>
      <c r="C34">
        <v>60258212</v>
      </c>
      <c r="D34">
        <v>59062734</v>
      </c>
      <c r="E34">
        <v>1</v>
      </c>
      <c r="F34">
        <v>1</v>
      </c>
      <c r="G34">
        <v>1080</v>
      </c>
      <c r="H34">
        <v>3</v>
      </c>
      <c r="I34" t="s">
        <v>292</v>
      </c>
      <c r="J34" t="s">
        <v>293</v>
      </c>
      <c r="K34" t="s">
        <v>294</v>
      </c>
      <c r="L34">
        <v>1356</v>
      </c>
      <c r="N34">
        <v>1010</v>
      </c>
      <c r="O34" t="s">
        <v>295</v>
      </c>
      <c r="P34" t="s">
        <v>295</v>
      </c>
      <c r="Q34">
        <v>1000</v>
      </c>
      <c r="X34">
        <v>2E-3</v>
      </c>
      <c r="Y34">
        <v>226.66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3</v>
      </c>
      <c r="AG34">
        <v>2E-3</v>
      </c>
      <c r="AH34">
        <v>2</v>
      </c>
      <c r="AI34">
        <v>60258216</v>
      </c>
      <c r="AJ34">
        <v>30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ROW(Source!A40)</f>
        <v>40</v>
      </c>
      <c r="B35">
        <v>60258485</v>
      </c>
      <c r="C35">
        <v>60258212</v>
      </c>
      <c r="D35">
        <v>59013590</v>
      </c>
      <c r="E35">
        <v>1080</v>
      </c>
      <c r="F35">
        <v>1</v>
      </c>
      <c r="G35">
        <v>1080</v>
      </c>
      <c r="H35">
        <v>3</v>
      </c>
      <c r="I35" t="s">
        <v>347</v>
      </c>
      <c r="J35" t="s">
        <v>3</v>
      </c>
      <c r="K35" t="s">
        <v>348</v>
      </c>
      <c r="L35">
        <v>1354</v>
      </c>
      <c r="N35">
        <v>1010</v>
      </c>
      <c r="O35" t="s">
        <v>241</v>
      </c>
      <c r="P35" t="s">
        <v>241</v>
      </c>
      <c r="Q35">
        <v>1</v>
      </c>
      <c r="X35">
        <v>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3</v>
      </c>
      <c r="AG35">
        <v>2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ROW(Source!A40)</f>
        <v>40</v>
      </c>
      <c r="B36">
        <v>60258486</v>
      </c>
      <c r="C36">
        <v>60258212</v>
      </c>
      <c r="D36">
        <v>59037325</v>
      </c>
      <c r="E36">
        <v>1080</v>
      </c>
      <c r="F36">
        <v>1</v>
      </c>
      <c r="G36">
        <v>1080</v>
      </c>
      <c r="H36">
        <v>3</v>
      </c>
      <c r="I36" t="s">
        <v>349</v>
      </c>
      <c r="J36" t="s">
        <v>3</v>
      </c>
      <c r="K36" t="s">
        <v>350</v>
      </c>
      <c r="L36">
        <v>1052</v>
      </c>
      <c r="N36">
        <v>1013</v>
      </c>
      <c r="O36" t="s">
        <v>351</v>
      </c>
      <c r="P36" t="s">
        <v>351</v>
      </c>
      <c r="Q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3</v>
      </c>
      <c r="AG36">
        <v>1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ROW(Source!A40)</f>
        <v>40</v>
      </c>
      <c r="B37">
        <v>60258487</v>
      </c>
      <c r="C37">
        <v>60258212</v>
      </c>
      <c r="D37">
        <v>59004256</v>
      </c>
      <c r="E37">
        <v>1080</v>
      </c>
      <c r="F37">
        <v>1</v>
      </c>
      <c r="G37">
        <v>1080</v>
      </c>
      <c r="H37">
        <v>3</v>
      </c>
      <c r="I37" t="s">
        <v>296</v>
      </c>
      <c r="J37" t="s">
        <v>3</v>
      </c>
      <c r="K37" t="s">
        <v>297</v>
      </c>
      <c r="L37">
        <v>1348</v>
      </c>
      <c r="N37">
        <v>1009</v>
      </c>
      <c r="O37" t="s">
        <v>287</v>
      </c>
      <c r="P37" t="s">
        <v>287</v>
      </c>
      <c r="Q37">
        <v>1000</v>
      </c>
      <c r="X37">
        <v>3.4000000000000002E-2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3</v>
      </c>
      <c r="AG37">
        <v>3.4000000000000002E-2</v>
      </c>
      <c r="AH37">
        <v>2</v>
      </c>
      <c r="AI37">
        <v>60258217</v>
      </c>
      <c r="AJ37">
        <v>31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ROW(Source!A41)</f>
        <v>41</v>
      </c>
      <c r="B38">
        <v>60258481</v>
      </c>
      <c r="C38">
        <v>60258212</v>
      </c>
      <c r="D38">
        <v>58999254</v>
      </c>
      <c r="E38">
        <v>1080</v>
      </c>
      <c r="F38">
        <v>1</v>
      </c>
      <c r="G38">
        <v>1080</v>
      </c>
      <c r="H38">
        <v>1</v>
      </c>
      <c r="I38" t="s">
        <v>263</v>
      </c>
      <c r="J38" t="s">
        <v>3</v>
      </c>
      <c r="K38" t="s">
        <v>264</v>
      </c>
      <c r="L38">
        <v>1191</v>
      </c>
      <c r="N38">
        <v>1013</v>
      </c>
      <c r="O38" t="s">
        <v>265</v>
      </c>
      <c r="P38" t="s">
        <v>265</v>
      </c>
      <c r="Q38">
        <v>1</v>
      </c>
      <c r="X38">
        <v>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 t="s">
        <v>23</v>
      </c>
      <c r="AG38">
        <v>8.8000000000000007</v>
      </c>
      <c r="AH38">
        <v>2</v>
      </c>
      <c r="AI38">
        <v>60258213</v>
      </c>
      <c r="AJ38">
        <v>32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ROW(Source!A41)</f>
        <v>41</v>
      </c>
      <c r="B39">
        <v>60258482</v>
      </c>
      <c r="C39">
        <v>60258212</v>
      </c>
      <c r="D39">
        <v>59039461</v>
      </c>
      <c r="E39">
        <v>1</v>
      </c>
      <c r="F39">
        <v>1</v>
      </c>
      <c r="G39">
        <v>1080</v>
      </c>
      <c r="H39">
        <v>3</v>
      </c>
      <c r="I39" t="s">
        <v>284</v>
      </c>
      <c r="J39" t="s">
        <v>285</v>
      </c>
      <c r="K39" t="s">
        <v>286</v>
      </c>
      <c r="L39">
        <v>1348</v>
      </c>
      <c r="N39">
        <v>1009</v>
      </c>
      <c r="O39" t="s">
        <v>287</v>
      </c>
      <c r="P39" t="s">
        <v>287</v>
      </c>
      <c r="Q39">
        <v>1000</v>
      </c>
      <c r="X39">
        <v>1.0000000000000001E-5</v>
      </c>
      <c r="Y39">
        <v>60960.43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3</v>
      </c>
      <c r="AG39">
        <v>1.0000000000000001E-5</v>
      </c>
      <c r="AH39">
        <v>2</v>
      </c>
      <c r="AI39">
        <v>60258214</v>
      </c>
      <c r="AJ39">
        <v>33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ROW(Source!A41)</f>
        <v>41</v>
      </c>
      <c r="B40">
        <v>60258483</v>
      </c>
      <c r="C40">
        <v>60258212</v>
      </c>
      <c r="D40">
        <v>59045949</v>
      </c>
      <c r="E40">
        <v>1</v>
      </c>
      <c r="F40">
        <v>1</v>
      </c>
      <c r="G40">
        <v>1080</v>
      </c>
      <c r="H40">
        <v>3</v>
      </c>
      <c r="I40" t="s">
        <v>288</v>
      </c>
      <c r="J40" t="s">
        <v>289</v>
      </c>
      <c r="K40" t="s">
        <v>290</v>
      </c>
      <c r="L40">
        <v>1349</v>
      </c>
      <c r="N40">
        <v>1009</v>
      </c>
      <c r="O40" t="s">
        <v>291</v>
      </c>
      <c r="P40" t="s">
        <v>291</v>
      </c>
      <c r="Q40">
        <v>1E-3</v>
      </c>
      <c r="X40">
        <v>0.5</v>
      </c>
      <c r="Y40">
        <v>7.0000000000000007E-2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</v>
      </c>
      <c r="AG40">
        <v>0.5</v>
      </c>
      <c r="AH40">
        <v>2</v>
      </c>
      <c r="AI40">
        <v>60258215</v>
      </c>
      <c r="AJ40">
        <v>34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ROW(Source!A41)</f>
        <v>41</v>
      </c>
      <c r="B41">
        <v>60258484</v>
      </c>
      <c r="C41">
        <v>60258212</v>
      </c>
      <c r="D41">
        <v>59062734</v>
      </c>
      <c r="E41">
        <v>1</v>
      </c>
      <c r="F41">
        <v>1</v>
      </c>
      <c r="G41">
        <v>1080</v>
      </c>
      <c r="H41">
        <v>3</v>
      </c>
      <c r="I41" t="s">
        <v>292</v>
      </c>
      <c r="J41" t="s">
        <v>293</v>
      </c>
      <c r="K41" t="s">
        <v>294</v>
      </c>
      <c r="L41">
        <v>1356</v>
      </c>
      <c r="N41">
        <v>1010</v>
      </c>
      <c r="O41" t="s">
        <v>295</v>
      </c>
      <c r="P41" t="s">
        <v>295</v>
      </c>
      <c r="Q41">
        <v>1000</v>
      </c>
      <c r="X41">
        <v>2E-3</v>
      </c>
      <c r="Y41">
        <v>226.66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3</v>
      </c>
      <c r="AG41">
        <v>2E-3</v>
      </c>
      <c r="AH41">
        <v>2</v>
      </c>
      <c r="AI41">
        <v>60258216</v>
      </c>
      <c r="AJ41">
        <v>35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ROW(Source!A41)</f>
        <v>41</v>
      </c>
      <c r="B42">
        <v>60258485</v>
      </c>
      <c r="C42">
        <v>60258212</v>
      </c>
      <c r="D42">
        <v>59013590</v>
      </c>
      <c r="E42">
        <v>1080</v>
      </c>
      <c r="F42">
        <v>1</v>
      </c>
      <c r="G42">
        <v>1080</v>
      </c>
      <c r="H42">
        <v>3</v>
      </c>
      <c r="I42" t="s">
        <v>347</v>
      </c>
      <c r="J42" t="s">
        <v>3</v>
      </c>
      <c r="K42" t="s">
        <v>348</v>
      </c>
      <c r="L42">
        <v>1354</v>
      </c>
      <c r="N42">
        <v>1010</v>
      </c>
      <c r="O42" t="s">
        <v>241</v>
      </c>
      <c r="P42" t="s">
        <v>241</v>
      </c>
      <c r="Q42">
        <v>1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</v>
      </c>
      <c r="AG42">
        <v>2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ROW(Source!A41)</f>
        <v>41</v>
      </c>
      <c r="B43">
        <v>60258486</v>
      </c>
      <c r="C43">
        <v>60258212</v>
      </c>
      <c r="D43">
        <v>59037325</v>
      </c>
      <c r="E43">
        <v>1080</v>
      </c>
      <c r="F43">
        <v>1</v>
      </c>
      <c r="G43">
        <v>1080</v>
      </c>
      <c r="H43">
        <v>3</v>
      </c>
      <c r="I43" t="s">
        <v>349</v>
      </c>
      <c r="J43" t="s">
        <v>3</v>
      </c>
      <c r="K43" t="s">
        <v>350</v>
      </c>
      <c r="L43">
        <v>1052</v>
      </c>
      <c r="N43">
        <v>1013</v>
      </c>
      <c r="O43" t="s">
        <v>351</v>
      </c>
      <c r="P43" t="s">
        <v>351</v>
      </c>
      <c r="Q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3</v>
      </c>
      <c r="AG43">
        <v>1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ROW(Source!A41)</f>
        <v>41</v>
      </c>
      <c r="B44">
        <v>60258487</v>
      </c>
      <c r="C44">
        <v>60258212</v>
      </c>
      <c r="D44">
        <v>59004256</v>
      </c>
      <c r="E44">
        <v>1080</v>
      </c>
      <c r="F44">
        <v>1</v>
      </c>
      <c r="G44">
        <v>1080</v>
      </c>
      <c r="H44">
        <v>3</v>
      </c>
      <c r="I44" t="s">
        <v>296</v>
      </c>
      <c r="J44" t="s">
        <v>3</v>
      </c>
      <c r="K44" t="s">
        <v>297</v>
      </c>
      <c r="L44">
        <v>1348</v>
      </c>
      <c r="N44">
        <v>1009</v>
      </c>
      <c r="O44" t="s">
        <v>287</v>
      </c>
      <c r="P44" t="s">
        <v>287</v>
      </c>
      <c r="Q44">
        <v>1000</v>
      </c>
      <c r="X44">
        <v>3.4000000000000002E-2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3</v>
      </c>
      <c r="AG44">
        <v>3.4000000000000002E-2</v>
      </c>
      <c r="AH44">
        <v>2</v>
      </c>
      <c r="AI44">
        <v>60258217</v>
      </c>
      <c r="AJ44">
        <v>36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ROW(Source!A46)</f>
        <v>46</v>
      </c>
      <c r="B45">
        <v>60258488</v>
      </c>
      <c r="C45">
        <v>60258227</v>
      </c>
      <c r="D45">
        <v>58999254</v>
      </c>
      <c r="E45">
        <v>1080</v>
      </c>
      <c r="F45">
        <v>1</v>
      </c>
      <c r="G45">
        <v>1080</v>
      </c>
      <c r="H45">
        <v>1</v>
      </c>
      <c r="I45" t="s">
        <v>263</v>
      </c>
      <c r="J45" t="s">
        <v>3</v>
      </c>
      <c r="K45" t="s">
        <v>264</v>
      </c>
      <c r="L45">
        <v>1191</v>
      </c>
      <c r="N45">
        <v>1013</v>
      </c>
      <c r="O45" t="s">
        <v>265</v>
      </c>
      <c r="P45" t="s">
        <v>265</v>
      </c>
      <c r="Q45">
        <v>1</v>
      </c>
      <c r="X45">
        <v>6.2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23</v>
      </c>
      <c r="AG45">
        <v>6.8200000000000012</v>
      </c>
      <c r="AH45">
        <v>2</v>
      </c>
      <c r="AI45">
        <v>60258228</v>
      </c>
      <c r="AJ45">
        <v>37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ROW(Source!A46)</f>
        <v>46</v>
      </c>
      <c r="B46">
        <v>60258489</v>
      </c>
      <c r="C46">
        <v>60258227</v>
      </c>
      <c r="D46">
        <v>59069975</v>
      </c>
      <c r="E46">
        <v>1</v>
      </c>
      <c r="F46">
        <v>1</v>
      </c>
      <c r="G46">
        <v>1080</v>
      </c>
      <c r="H46">
        <v>2</v>
      </c>
      <c r="I46" t="s">
        <v>298</v>
      </c>
      <c r="J46" t="s">
        <v>299</v>
      </c>
      <c r="K46" t="s">
        <v>300</v>
      </c>
      <c r="L46">
        <v>1368</v>
      </c>
      <c r="N46">
        <v>1011</v>
      </c>
      <c r="O46" t="s">
        <v>269</v>
      </c>
      <c r="P46" t="s">
        <v>269</v>
      </c>
      <c r="Q46">
        <v>1</v>
      </c>
      <c r="X46">
        <v>0.25</v>
      </c>
      <c r="Y46">
        <v>0</v>
      </c>
      <c r="Z46">
        <v>114.83</v>
      </c>
      <c r="AA46">
        <v>12.62</v>
      </c>
      <c r="AB46">
        <v>0</v>
      </c>
      <c r="AC46">
        <v>0</v>
      </c>
      <c r="AD46">
        <v>1</v>
      </c>
      <c r="AE46">
        <v>0</v>
      </c>
      <c r="AF46" t="s">
        <v>23</v>
      </c>
      <c r="AG46">
        <v>0.27500000000000002</v>
      </c>
      <c r="AH46">
        <v>2</v>
      </c>
      <c r="AI46">
        <v>60258229</v>
      </c>
      <c r="AJ46">
        <v>38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ROW(Source!A46)</f>
        <v>46</v>
      </c>
      <c r="B47">
        <v>60258490</v>
      </c>
      <c r="C47">
        <v>60258227</v>
      </c>
      <c r="D47">
        <v>59041389</v>
      </c>
      <c r="E47">
        <v>1</v>
      </c>
      <c r="F47">
        <v>1</v>
      </c>
      <c r="G47">
        <v>1080</v>
      </c>
      <c r="H47">
        <v>3</v>
      </c>
      <c r="I47" t="s">
        <v>301</v>
      </c>
      <c r="J47" t="s">
        <v>302</v>
      </c>
      <c r="K47" t="s">
        <v>303</v>
      </c>
      <c r="L47">
        <v>1348</v>
      </c>
      <c r="N47">
        <v>1009</v>
      </c>
      <c r="O47" t="s">
        <v>287</v>
      </c>
      <c r="P47" t="s">
        <v>287</v>
      </c>
      <c r="Q47">
        <v>1000</v>
      </c>
      <c r="X47">
        <v>1.1000000000000001E-3</v>
      </c>
      <c r="Y47">
        <v>10643.18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3</v>
      </c>
      <c r="AG47">
        <v>1.1000000000000001E-3</v>
      </c>
      <c r="AH47">
        <v>2</v>
      </c>
      <c r="AI47">
        <v>60258230</v>
      </c>
      <c r="AJ47">
        <v>39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ROW(Source!A46)</f>
        <v>46</v>
      </c>
      <c r="B48">
        <v>60258491</v>
      </c>
      <c r="C48">
        <v>60258227</v>
      </c>
      <c r="D48">
        <v>59039462</v>
      </c>
      <c r="E48">
        <v>1</v>
      </c>
      <c r="F48">
        <v>1</v>
      </c>
      <c r="G48">
        <v>1080</v>
      </c>
      <c r="H48">
        <v>3</v>
      </c>
      <c r="I48" t="s">
        <v>304</v>
      </c>
      <c r="J48" t="s">
        <v>305</v>
      </c>
      <c r="K48" t="s">
        <v>306</v>
      </c>
      <c r="L48">
        <v>1348</v>
      </c>
      <c r="N48">
        <v>1009</v>
      </c>
      <c r="O48" t="s">
        <v>287</v>
      </c>
      <c r="P48" t="s">
        <v>287</v>
      </c>
      <c r="Q48">
        <v>1000</v>
      </c>
      <c r="X48">
        <v>1.0000000000000001E-5</v>
      </c>
      <c r="Y48">
        <v>64123.05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3</v>
      </c>
      <c r="AG48">
        <v>1.0000000000000001E-5</v>
      </c>
      <c r="AH48">
        <v>2</v>
      </c>
      <c r="AI48">
        <v>60258231</v>
      </c>
      <c r="AJ48">
        <v>40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ROW(Source!A46)</f>
        <v>46</v>
      </c>
      <c r="B49">
        <v>60258492</v>
      </c>
      <c r="C49">
        <v>60258227</v>
      </c>
      <c r="D49">
        <v>59029760</v>
      </c>
      <c r="E49">
        <v>1080</v>
      </c>
      <c r="F49">
        <v>1</v>
      </c>
      <c r="G49">
        <v>1080</v>
      </c>
      <c r="H49">
        <v>3</v>
      </c>
      <c r="I49" t="s">
        <v>352</v>
      </c>
      <c r="J49" t="s">
        <v>3</v>
      </c>
      <c r="K49" t="s">
        <v>353</v>
      </c>
      <c r="L49">
        <v>1354</v>
      </c>
      <c r="N49">
        <v>1010</v>
      </c>
      <c r="O49" t="s">
        <v>241</v>
      </c>
      <c r="P49" t="s">
        <v>241</v>
      </c>
      <c r="Q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3</v>
      </c>
      <c r="AG49">
        <v>1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ROW(Source!A47)</f>
        <v>47</v>
      </c>
      <c r="B50">
        <v>60258488</v>
      </c>
      <c r="C50">
        <v>60258227</v>
      </c>
      <c r="D50">
        <v>58999254</v>
      </c>
      <c r="E50">
        <v>1080</v>
      </c>
      <c r="F50">
        <v>1</v>
      </c>
      <c r="G50">
        <v>1080</v>
      </c>
      <c r="H50">
        <v>1</v>
      </c>
      <c r="I50" t="s">
        <v>263</v>
      </c>
      <c r="J50" t="s">
        <v>3</v>
      </c>
      <c r="K50" t="s">
        <v>264</v>
      </c>
      <c r="L50">
        <v>1191</v>
      </c>
      <c r="N50">
        <v>1013</v>
      </c>
      <c r="O50" t="s">
        <v>265</v>
      </c>
      <c r="P50" t="s">
        <v>265</v>
      </c>
      <c r="Q50">
        <v>1</v>
      </c>
      <c r="X50">
        <v>6.2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 t="s">
        <v>23</v>
      </c>
      <c r="AG50">
        <v>6.8200000000000012</v>
      </c>
      <c r="AH50">
        <v>2</v>
      </c>
      <c r="AI50">
        <v>60258228</v>
      </c>
      <c r="AJ50">
        <v>41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ROW(Source!A47)</f>
        <v>47</v>
      </c>
      <c r="B51">
        <v>60258489</v>
      </c>
      <c r="C51">
        <v>60258227</v>
      </c>
      <c r="D51">
        <v>59069975</v>
      </c>
      <c r="E51">
        <v>1</v>
      </c>
      <c r="F51">
        <v>1</v>
      </c>
      <c r="G51">
        <v>1080</v>
      </c>
      <c r="H51">
        <v>2</v>
      </c>
      <c r="I51" t="s">
        <v>298</v>
      </c>
      <c r="J51" t="s">
        <v>299</v>
      </c>
      <c r="K51" t="s">
        <v>300</v>
      </c>
      <c r="L51">
        <v>1368</v>
      </c>
      <c r="N51">
        <v>1011</v>
      </c>
      <c r="O51" t="s">
        <v>269</v>
      </c>
      <c r="P51" t="s">
        <v>269</v>
      </c>
      <c r="Q51">
        <v>1</v>
      </c>
      <c r="X51">
        <v>0.25</v>
      </c>
      <c r="Y51">
        <v>0</v>
      </c>
      <c r="Z51">
        <v>114.83</v>
      </c>
      <c r="AA51">
        <v>12.62</v>
      </c>
      <c r="AB51">
        <v>0</v>
      </c>
      <c r="AC51">
        <v>0</v>
      </c>
      <c r="AD51">
        <v>1</v>
      </c>
      <c r="AE51">
        <v>0</v>
      </c>
      <c r="AF51" t="s">
        <v>23</v>
      </c>
      <c r="AG51">
        <v>0.27500000000000002</v>
      </c>
      <c r="AH51">
        <v>2</v>
      </c>
      <c r="AI51">
        <v>60258229</v>
      </c>
      <c r="AJ51">
        <v>42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ROW(Source!A47)</f>
        <v>47</v>
      </c>
      <c r="B52">
        <v>60258490</v>
      </c>
      <c r="C52">
        <v>60258227</v>
      </c>
      <c r="D52">
        <v>59041389</v>
      </c>
      <c r="E52">
        <v>1</v>
      </c>
      <c r="F52">
        <v>1</v>
      </c>
      <c r="G52">
        <v>1080</v>
      </c>
      <c r="H52">
        <v>3</v>
      </c>
      <c r="I52" t="s">
        <v>301</v>
      </c>
      <c r="J52" t="s">
        <v>302</v>
      </c>
      <c r="K52" t="s">
        <v>303</v>
      </c>
      <c r="L52">
        <v>1348</v>
      </c>
      <c r="N52">
        <v>1009</v>
      </c>
      <c r="O52" t="s">
        <v>287</v>
      </c>
      <c r="P52" t="s">
        <v>287</v>
      </c>
      <c r="Q52">
        <v>1000</v>
      </c>
      <c r="X52">
        <v>1.1000000000000001E-3</v>
      </c>
      <c r="Y52">
        <v>10643.18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3</v>
      </c>
      <c r="AG52">
        <v>1.1000000000000001E-3</v>
      </c>
      <c r="AH52">
        <v>2</v>
      </c>
      <c r="AI52">
        <v>60258230</v>
      </c>
      <c r="AJ52">
        <v>43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ROW(Source!A47)</f>
        <v>47</v>
      </c>
      <c r="B53">
        <v>60258491</v>
      </c>
      <c r="C53">
        <v>60258227</v>
      </c>
      <c r="D53">
        <v>59039462</v>
      </c>
      <c r="E53">
        <v>1</v>
      </c>
      <c r="F53">
        <v>1</v>
      </c>
      <c r="G53">
        <v>1080</v>
      </c>
      <c r="H53">
        <v>3</v>
      </c>
      <c r="I53" t="s">
        <v>304</v>
      </c>
      <c r="J53" t="s">
        <v>305</v>
      </c>
      <c r="K53" t="s">
        <v>306</v>
      </c>
      <c r="L53">
        <v>1348</v>
      </c>
      <c r="N53">
        <v>1009</v>
      </c>
      <c r="O53" t="s">
        <v>287</v>
      </c>
      <c r="P53" t="s">
        <v>287</v>
      </c>
      <c r="Q53">
        <v>1000</v>
      </c>
      <c r="X53">
        <v>1.0000000000000001E-5</v>
      </c>
      <c r="Y53">
        <v>64123.05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3</v>
      </c>
      <c r="AG53">
        <v>1.0000000000000001E-5</v>
      </c>
      <c r="AH53">
        <v>2</v>
      </c>
      <c r="AI53">
        <v>60258231</v>
      </c>
      <c r="AJ53">
        <v>44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ROW(Source!A47)</f>
        <v>47</v>
      </c>
      <c r="B54">
        <v>60258492</v>
      </c>
      <c r="C54">
        <v>60258227</v>
      </c>
      <c r="D54">
        <v>59029760</v>
      </c>
      <c r="E54">
        <v>1080</v>
      </c>
      <c r="F54">
        <v>1</v>
      </c>
      <c r="G54">
        <v>1080</v>
      </c>
      <c r="H54">
        <v>3</v>
      </c>
      <c r="I54" t="s">
        <v>352</v>
      </c>
      <c r="J54" t="s">
        <v>3</v>
      </c>
      <c r="K54" t="s">
        <v>353</v>
      </c>
      <c r="L54">
        <v>1354</v>
      </c>
      <c r="N54">
        <v>1010</v>
      </c>
      <c r="O54" t="s">
        <v>241</v>
      </c>
      <c r="P54" t="s">
        <v>241</v>
      </c>
      <c r="Q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</v>
      </c>
      <c r="AG54">
        <v>1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ROW(Source!A54)</f>
        <v>54</v>
      </c>
      <c r="B55">
        <v>60258493</v>
      </c>
      <c r="C55">
        <v>60258240</v>
      </c>
      <c r="D55">
        <v>58999254</v>
      </c>
      <c r="E55">
        <v>1080</v>
      </c>
      <c r="F55">
        <v>1</v>
      </c>
      <c r="G55">
        <v>1080</v>
      </c>
      <c r="H55">
        <v>1</v>
      </c>
      <c r="I55" t="s">
        <v>263</v>
      </c>
      <c r="J55" t="s">
        <v>3</v>
      </c>
      <c r="K55" t="s">
        <v>264</v>
      </c>
      <c r="L55">
        <v>1191</v>
      </c>
      <c r="N55">
        <v>1013</v>
      </c>
      <c r="O55" t="s">
        <v>265</v>
      </c>
      <c r="P55" t="s">
        <v>265</v>
      </c>
      <c r="Q55">
        <v>1</v>
      </c>
      <c r="X55">
        <v>2.1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 t="s">
        <v>23</v>
      </c>
      <c r="AG55">
        <v>2.3100000000000005</v>
      </c>
      <c r="AH55">
        <v>2</v>
      </c>
      <c r="AI55">
        <v>60258241</v>
      </c>
      <c r="AJ55">
        <v>45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ROW(Source!A54)</f>
        <v>54</v>
      </c>
      <c r="B56">
        <v>60258494</v>
      </c>
      <c r="C56">
        <v>60258240</v>
      </c>
      <c r="D56">
        <v>59069975</v>
      </c>
      <c r="E56">
        <v>1</v>
      </c>
      <c r="F56">
        <v>1</v>
      </c>
      <c r="G56">
        <v>1080</v>
      </c>
      <c r="H56">
        <v>2</v>
      </c>
      <c r="I56" t="s">
        <v>298</v>
      </c>
      <c r="J56" t="s">
        <v>299</v>
      </c>
      <c r="K56" t="s">
        <v>300</v>
      </c>
      <c r="L56">
        <v>1368</v>
      </c>
      <c r="N56">
        <v>1011</v>
      </c>
      <c r="O56" t="s">
        <v>269</v>
      </c>
      <c r="P56" t="s">
        <v>269</v>
      </c>
      <c r="Q56">
        <v>1</v>
      </c>
      <c r="X56">
        <v>0.08</v>
      </c>
      <c r="Y56">
        <v>0</v>
      </c>
      <c r="Z56">
        <v>114.83</v>
      </c>
      <c r="AA56">
        <v>12.62</v>
      </c>
      <c r="AB56">
        <v>0</v>
      </c>
      <c r="AC56">
        <v>0</v>
      </c>
      <c r="AD56">
        <v>1</v>
      </c>
      <c r="AE56">
        <v>0</v>
      </c>
      <c r="AF56" t="s">
        <v>23</v>
      </c>
      <c r="AG56">
        <v>8.8000000000000009E-2</v>
      </c>
      <c r="AH56">
        <v>2</v>
      </c>
      <c r="AI56">
        <v>60258242</v>
      </c>
      <c r="AJ56">
        <v>46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ROW(Source!A54)</f>
        <v>54</v>
      </c>
      <c r="B57">
        <v>60258495</v>
      </c>
      <c r="C57">
        <v>60258240</v>
      </c>
      <c r="D57">
        <v>59021002</v>
      </c>
      <c r="E57">
        <v>1080</v>
      </c>
      <c r="F57">
        <v>1</v>
      </c>
      <c r="G57">
        <v>1080</v>
      </c>
      <c r="H57">
        <v>3</v>
      </c>
      <c r="I57" t="s">
        <v>354</v>
      </c>
      <c r="J57" t="s">
        <v>3</v>
      </c>
      <c r="K57" t="s">
        <v>355</v>
      </c>
      <c r="L57">
        <v>1354</v>
      </c>
      <c r="N57">
        <v>1010</v>
      </c>
      <c r="O57" t="s">
        <v>241</v>
      </c>
      <c r="P57" t="s">
        <v>241</v>
      </c>
      <c r="Q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3</v>
      </c>
      <c r="AG57">
        <v>1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ROW(Source!A55)</f>
        <v>55</v>
      </c>
      <c r="B58">
        <v>60258493</v>
      </c>
      <c r="C58">
        <v>60258240</v>
      </c>
      <c r="D58">
        <v>58999254</v>
      </c>
      <c r="E58">
        <v>1080</v>
      </c>
      <c r="F58">
        <v>1</v>
      </c>
      <c r="G58">
        <v>1080</v>
      </c>
      <c r="H58">
        <v>1</v>
      </c>
      <c r="I58" t="s">
        <v>263</v>
      </c>
      <c r="J58" t="s">
        <v>3</v>
      </c>
      <c r="K58" t="s">
        <v>264</v>
      </c>
      <c r="L58">
        <v>1191</v>
      </c>
      <c r="N58">
        <v>1013</v>
      </c>
      <c r="O58" t="s">
        <v>265</v>
      </c>
      <c r="P58" t="s">
        <v>265</v>
      </c>
      <c r="Q58">
        <v>1</v>
      </c>
      <c r="X58">
        <v>2.1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 t="s">
        <v>23</v>
      </c>
      <c r="AG58">
        <v>2.3100000000000005</v>
      </c>
      <c r="AH58">
        <v>2</v>
      </c>
      <c r="AI58">
        <v>60258241</v>
      </c>
      <c r="AJ58">
        <v>47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ROW(Source!A55)</f>
        <v>55</v>
      </c>
      <c r="B59">
        <v>60258494</v>
      </c>
      <c r="C59">
        <v>60258240</v>
      </c>
      <c r="D59">
        <v>59069975</v>
      </c>
      <c r="E59">
        <v>1</v>
      </c>
      <c r="F59">
        <v>1</v>
      </c>
      <c r="G59">
        <v>1080</v>
      </c>
      <c r="H59">
        <v>2</v>
      </c>
      <c r="I59" t="s">
        <v>298</v>
      </c>
      <c r="J59" t="s">
        <v>299</v>
      </c>
      <c r="K59" t="s">
        <v>300</v>
      </c>
      <c r="L59">
        <v>1368</v>
      </c>
      <c r="N59">
        <v>1011</v>
      </c>
      <c r="O59" t="s">
        <v>269</v>
      </c>
      <c r="P59" t="s">
        <v>269</v>
      </c>
      <c r="Q59">
        <v>1</v>
      </c>
      <c r="X59">
        <v>0.08</v>
      </c>
      <c r="Y59">
        <v>0</v>
      </c>
      <c r="Z59">
        <v>114.83</v>
      </c>
      <c r="AA59">
        <v>12.62</v>
      </c>
      <c r="AB59">
        <v>0</v>
      </c>
      <c r="AC59">
        <v>0</v>
      </c>
      <c r="AD59">
        <v>1</v>
      </c>
      <c r="AE59">
        <v>0</v>
      </c>
      <c r="AF59" t="s">
        <v>23</v>
      </c>
      <c r="AG59">
        <v>8.8000000000000009E-2</v>
      </c>
      <c r="AH59">
        <v>2</v>
      </c>
      <c r="AI59">
        <v>60258242</v>
      </c>
      <c r="AJ59">
        <v>48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ROW(Source!A55)</f>
        <v>55</v>
      </c>
      <c r="B60">
        <v>60258495</v>
      </c>
      <c r="C60">
        <v>60258240</v>
      </c>
      <c r="D60">
        <v>59021002</v>
      </c>
      <c r="E60">
        <v>1080</v>
      </c>
      <c r="F60">
        <v>1</v>
      </c>
      <c r="G60">
        <v>1080</v>
      </c>
      <c r="H60">
        <v>3</v>
      </c>
      <c r="I60" t="s">
        <v>354</v>
      </c>
      <c r="J60" t="s">
        <v>3</v>
      </c>
      <c r="K60" t="s">
        <v>355</v>
      </c>
      <c r="L60">
        <v>1354</v>
      </c>
      <c r="N60">
        <v>1010</v>
      </c>
      <c r="O60" t="s">
        <v>241</v>
      </c>
      <c r="P60" t="s">
        <v>241</v>
      </c>
      <c r="Q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3</v>
      </c>
      <c r="AG60">
        <v>1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ROW(Source!A58)</f>
        <v>58</v>
      </c>
      <c r="B61">
        <v>60258496</v>
      </c>
      <c r="C61">
        <v>60258247</v>
      </c>
      <c r="D61">
        <v>58999254</v>
      </c>
      <c r="E61">
        <v>1080</v>
      </c>
      <c r="F61">
        <v>1</v>
      </c>
      <c r="G61">
        <v>1080</v>
      </c>
      <c r="H61">
        <v>1</v>
      </c>
      <c r="I61" t="s">
        <v>263</v>
      </c>
      <c r="J61" t="s">
        <v>3</v>
      </c>
      <c r="K61" t="s">
        <v>264</v>
      </c>
      <c r="L61">
        <v>1191</v>
      </c>
      <c r="N61">
        <v>1013</v>
      </c>
      <c r="O61" t="s">
        <v>265</v>
      </c>
      <c r="P61" t="s">
        <v>265</v>
      </c>
      <c r="Q61">
        <v>1</v>
      </c>
      <c r="X61">
        <v>2.1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 t="s">
        <v>23</v>
      </c>
      <c r="AG61">
        <v>2.3100000000000005</v>
      </c>
      <c r="AH61">
        <v>2</v>
      </c>
      <c r="AI61">
        <v>60258248</v>
      </c>
      <c r="AJ61">
        <v>49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ROW(Source!A58)</f>
        <v>58</v>
      </c>
      <c r="B62">
        <v>60258497</v>
      </c>
      <c r="C62">
        <v>60258247</v>
      </c>
      <c r="D62">
        <v>59069975</v>
      </c>
      <c r="E62">
        <v>1</v>
      </c>
      <c r="F62">
        <v>1</v>
      </c>
      <c r="G62">
        <v>1080</v>
      </c>
      <c r="H62">
        <v>2</v>
      </c>
      <c r="I62" t="s">
        <v>298</v>
      </c>
      <c r="J62" t="s">
        <v>299</v>
      </c>
      <c r="K62" t="s">
        <v>300</v>
      </c>
      <c r="L62">
        <v>1368</v>
      </c>
      <c r="N62">
        <v>1011</v>
      </c>
      <c r="O62" t="s">
        <v>269</v>
      </c>
      <c r="P62" t="s">
        <v>269</v>
      </c>
      <c r="Q62">
        <v>1</v>
      </c>
      <c r="X62">
        <v>0.08</v>
      </c>
      <c r="Y62">
        <v>0</v>
      </c>
      <c r="Z62">
        <v>114.83</v>
      </c>
      <c r="AA62">
        <v>12.62</v>
      </c>
      <c r="AB62">
        <v>0</v>
      </c>
      <c r="AC62">
        <v>0</v>
      </c>
      <c r="AD62">
        <v>1</v>
      </c>
      <c r="AE62">
        <v>0</v>
      </c>
      <c r="AF62" t="s">
        <v>23</v>
      </c>
      <c r="AG62">
        <v>8.8000000000000009E-2</v>
      </c>
      <c r="AH62">
        <v>2</v>
      </c>
      <c r="AI62">
        <v>60258249</v>
      </c>
      <c r="AJ62">
        <v>50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ROW(Source!A58)</f>
        <v>58</v>
      </c>
      <c r="B63">
        <v>60258498</v>
      </c>
      <c r="C63">
        <v>60258247</v>
      </c>
      <c r="D63">
        <v>59021002</v>
      </c>
      <c r="E63">
        <v>1080</v>
      </c>
      <c r="F63">
        <v>1</v>
      </c>
      <c r="G63">
        <v>1080</v>
      </c>
      <c r="H63">
        <v>3</v>
      </c>
      <c r="I63" t="s">
        <v>354</v>
      </c>
      <c r="J63" t="s">
        <v>3</v>
      </c>
      <c r="K63" t="s">
        <v>355</v>
      </c>
      <c r="L63">
        <v>1354</v>
      </c>
      <c r="N63">
        <v>1010</v>
      </c>
      <c r="O63" t="s">
        <v>241</v>
      </c>
      <c r="P63" t="s">
        <v>241</v>
      </c>
      <c r="Q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3</v>
      </c>
      <c r="AG63">
        <v>1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ROW(Source!A59)</f>
        <v>59</v>
      </c>
      <c r="B64">
        <v>60258496</v>
      </c>
      <c r="C64">
        <v>60258247</v>
      </c>
      <c r="D64">
        <v>58999254</v>
      </c>
      <c r="E64">
        <v>1080</v>
      </c>
      <c r="F64">
        <v>1</v>
      </c>
      <c r="G64">
        <v>1080</v>
      </c>
      <c r="H64">
        <v>1</v>
      </c>
      <c r="I64" t="s">
        <v>263</v>
      </c>
      <c r="J64" t="s">
        <v>3</v>
      </c>
      <c r="K64" t="s">
        <v>264</v>
      </c>
      <c r="L64">
        <v>1191</v>
      </c>
      <c r="N64">
        <v>1013</v>
      </c>
      <c r="O64" t="s">
        <v>265</v>
      </c>
      <c r="P64" t="s">
        <v>265</v>
      </c>
      <c r="Q64">
        <v>1</v>
      </c>
      <c r="X64">
        <v>2.1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 t="s">
        <v>23</v>
      </c>
      <c r="AG64">
        <v>2.3100000000000005</v>
      </c>
      <c r="AH64">
        <v>2</v>
      </c>
      <c r="AI64">
        <v>60258248</v>
      </c>
      <c r="AJ64">
        <v>51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ROW(Source!A59)</f>
        <v>59</v>
      </c>
      <c r="B65">
        <v>60258497</v>
      </c>
      <c r="C65">
        <v>60258247</v>
      </c>
      <c r="D65">
        <v>59069975</v>
      </c>
      <c r="E65">
        <v>1</v>
      </c>
      <c r="F65">
        <v>1</v>
      </c>
      <c r="G65">
        <v>1080</v>
      </c>
      <c r="H65">
        <v>2</v>
      </c>
      <c r="I65" t="s">
        <v>298</v>
      </c>
      <c r="J65" t="s">
        <v>299</v>
      </c>
      <c r="K65" t="s">
        <v>300</v>
      </c>
      <c r="L65">
        <v>1368</v>
      </c>
      <c r="N65">
        <v>1011</v>
      </c>
      <c r="O65" t="s">
        <v>269</v>
      </c>
      <c r="P65" t="s">
        <v>269</v>
      </c>
      <c r="Q65">
        <v>1</v>
      </c>
      <c r="X65">
        <v>0.08</v>
      </c>
      <c r="Y65">
        <v>0</v>
      </c>
      <c r="Z65">
        <v>114.83</v>
      </c>
      <c r="AA65">
        <v>12.62</v>
      </c>
      <c r="AB65">
        <v>0</v>
      </c>
      <c r="AC65">
        <v>0</v>
      </c>
      <c r="AD65">
        <v>1</v>
      </c>
      <c r="AE65">
        <v>0</v>
      </c>
      <c r="AF65" t="s">
        <v>23</v>
      </c>
      <c r="AG65">
        <v>8.8000000000000009E-2</v>
      </c>
      <c r="AH65">
        <v>2</v>
      </c>
      <c r="AI65">
        <v>60258249</v>
      </c>
      <c r="AJ65">
        <v>52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ROW(Source!A59)</f>
        <v>59</v>
      </c>
      <c r="B66">
        <v>60258498</v>
      </c>
      <c r="C66">
        <v>60258247</v>
      </c>
      <c r="D66">
        <v>59021002</v>
      </c>
      <c r="E66">
        <v>1080</v>
      </c>
      <c r="F66">
        <v>1</v>
      </c>
      <c r="G66">
        <v>1080</v>
      </c>
      <c r="H66">
        <v>3</v>
      </c>
      <c r="I66" t="s">
        <v>354</v>
      </c>
      <c r="J66" t="s">
        <v>3</v>
      </c>
      <c r="K66" t="s">
        <v>355</v>
      </c>
      <c r="L66">
        <v>1354</v>
      </c>
      <c r="N66">
        <v>1010</v>
      </c>
      <c r="O66" t="s">
        <v>241</v>
      </c>
      <c r="P66" t="s">
        <v>241</v>
      </c>
      <c r="Q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3</v>
      </c>
      <c r="AG66">
        <v>1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ROW(Source!A62)</f>
        <v>62</v>
      </c>
      <c r="B67">
        <v>60258499</v>
      </c>
      <c r="C67">
        <v>60258254</v>
      </c>
      <c r="D67">
        <v>58999254</v>
      </c>
      <c r="E67">
        <v>1080</v>
      </c>
      <c r="F67">
        <v>1</v>
      </c>
      <c r="G67">
        <v>1080</v>
      </c>
      <c r="H67">
        <v>1</v>
      </c>
      <c r="I67" t="s">
        <v>263</v>
      </c>
      <c r="J67" t="s">
        <v>3</v>
      </c>
      <c r="K67" t="s">
        <v>264</v>
      </c>
      <c r="L67">
        <v>1191</v>
      </c>
      <c r="N67">
        <v>1013</v>
      </c>
      <c r="O67" t="s">
        <v>265</v>
      </c>
      <c r="P67" t="s">
        <v>265</v>
      </c>
      <c r="Q67">
        <v>1</v>
      </c>
      <c r="X67">
        <v>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23</v>
      </c>
      <c r="AG67">
        <v>8.8000000000000007</v>
      </c>
      <c r="AH67">
        <v>2</v>
      </c>
      <c r="AI67">
        <v>60258255</v>
      </c>
      <c r="AJ67">
        <v>53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ROW(Source!A62)</f>
        <v>62</v>
      </c>
      <c r="B68">
        <v>60258500</v>
      </c>
      <c r="C68">
        <v>60258254</v>
      </c>
      <c r="D68">
        <v>59039909</v>
      </c>
      <c r="E68">
        <v>1</v>
      </c>
      <c r="F68">
        <v>1</v>
      </c>
      <c r="G68">
        <v>1080</v>
      </c>
      <c r="H68">
        <v>3</v>
      </c>
      <c r="I68" t="s">
        <v>307</v>
      </c>
      <c r="J68" t="s">
        <v>308</v>
      </c>
      <c r="K68" t="s">
        <v>309</v>
      </c>
      <c r="L68">
        <v>1348</v>
      </c>
      <c r="N68">
        <v>1009</v>
      </c>
      <c r="O68" t="s">
        <v>287</v>
      </c>
      <c r="P68" t="s">
        <v>287</v>
      </c>
      <c r="Q68">
        <v>1000</v>
      </c>
      <c r="X68">
        <v>5.0000000000000001E-4</v>
      </c>
      <c r="Y68">
        <v>17742.23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3</v>
      </c>
      <c r="AG68">
        <v>5.0000000000000001E-4</v>
      </c>
      <c r="AH68">
        <v>2</v>
      </c>
      <c r="AI68">
        <v>60258256</v>
      </c>
      <c r="AJ68">
        <v>54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ROW(Source!A62)</f>
        <v>62</v>
      </c>
      <c r="B69">
        <v>60258501</v>
      </c>
      <c r="C69">
        <v>60258254</v>
      </c>
      <c r="D69">
        <v>59039462</v>
      </c>
      <c r="E69">
        <v>1</v>
      </c>
      <c r="F69">
        <v>1</v>
      </c>
      <c r="G69">
        <v>1080</v>
      </c>
      <c r="H69">
        <v>3</v>
      </c>
      <c r="I69" t="s">
        <v>304</v>
      </c>
      <c r="J69" t="s">
        <v>305</v>
      </c>
      <c r="K69" t="s">
        <v>306</v>
      </c>
      <c r="L69">
        <v>1348</v>
      </c>
      <c r="N69">
        <v>1009</v>
      </c>
      <c r="O69" t="s">
        <v>287</v>
      </c>
      <c r="P69" t="s">
        <v>287</v>
      </c>
      <c r="Q69">
        <v>1000</v>
      </c>
      <c r="X69">
        <v>3.1000000000000001E-5</v>
      </c>
      <c r="Y69">
        <v>64123.05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3</v>
      </c>
      <c r="AG69">
        <v>3.1000000000000001E-5</v>
      </c>
      <c r="AH69">
        <v>2</v>
      </c>
      <c r="AI69">
        <v>60258257</v>
      </c>
      <c r="AJ69">
        <v>55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ROW(Source!A62)</f>
        <v>62</v>
      </c>
      <c r="B70">
        <v>60258502</v>
      </c>
      <c r="C70">
        <v>60258254</v>
      </c>
      <c r="D70">
        <v>59045949</v>
      </c>
      <c r="E70">
        <v>1</v>
      </c>
      <c r="F70">
        <v>1</v>
      </c>
      <c r="G70">
        <v>1080</v>
      </c>
      <c r="H70">
        <v>3</v>
      </c>
      <c r="I70" t="s">
        <v>288</v>
      </c>
      <c r="J70" t="s">
        <v>289</v>
      </c>
      <c r="K70" t="s">
        <v>290</v>
      </c>
      <c r="L70">
        <v>1349</v>
      </c>
      <c r="N70">
        <v>1009</v>
      </c>
      <c r="O70" t="s">
        <v>291</v>
      </c>
      <c r="P70" t="s">
        <v>291</v>
      </c>
      <c r="Q70">
        <v>1E-3</v>
      </c>
      <c r="X70">
        <v>6</v>
      </c>
      <c r="Y70">
        <v>7.0000000000000007E-2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3</v>
      </c>
      <c r="AG70">
        <v>6</v>
      </c>
      <c r="AH70">
        <v>2</v>
      </c>
      <c r="AI70">
        <v>60258258</v>
      </c>
      <c r="AJ70">
        <v>56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ROW(Source!A62)</f>
        <v>62</v>
      </c>
      <c r="B71">
        <v>60258503</v>
      </c>
      <c r="C71">
        <v>60258254</v>
      </c>
      <c r="D71">
        <v>59062764</v>
      </c>
      <c r="E71">
        <v>1</v>
      </c>
      <c r="F71">
        <v>1</v>
      </c>
      <c r="G71">
        <v>1080</v>
      </c>
      <c r="H71">
        <v>3</v>
      </c>
      <c r="I71" t="s">
        <v>310</v>
      </c>
      <c r="J71" t="s">
        <v>311</v>
      </c>
      <c r="K71" t="s">
        <v>312</v>
      </c>
      <c r="L71">
        <v>1346</v>
      </c>
      <c r="N71">
        <v>1009</v>
      </c>
      <c r="O71" t="s">
        <v>313</v>
      </c>
      <c r="P71" t="s">
        <v>313</v>
      </c>
      <c r="Q71">
        <v>1</v>
      </c>
      <c r="X71">
        <v>2.5999999999999999E-2</v>
      </c>
      <c r="Y71">
        <v>493.08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3</v>
      </c>
      <c r="AG71">
        <v>2.5999999999999999E-2</v>
      </c>
      <c r="AH71">
        <v>2</v>
      </c>
      <c r="AI71">
        <v>60258259</v>
      </c>
      <c r="AJ71">
        <v>57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ROW(Source!A62)</f>
        <v>62</v>
      </c>
      <c r="B72">
        <v>60258504</v>
      </c>
      <c r="C72">
        <v>60258254</v>
      </c>
      <c r="D72">
        <v>59029844</v>
      </c>
      <c r="E72">
        <v>1080</v>
      </c>
      <c r="F72">
        <v>1</v>
      </c>
      <c r="G72">
        <v>1080</v>
      </c>
      <c r="H72">
        <v>3</v>
      </c>
      <c r="I72" t="s">
        <v>356</v>
      </c>
      <c r="J72" t="s">
        <v>3</v>
      </c>
      <c r="K72" t="s">
        <v>357</v>
      </c>
      <c r="L72">
        <v>1354</v>
      </c>
      <c r="N72">
        <v>1010</v>
      </c>
      <c r="O72" t="s">
        <v>241</v>
      </c>
      <c r="P72" t="s">
        <v>241</v>
      </c>
      <c r="Q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3</v>
      </c>
      <c r="AG72">
        <v>1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ROW(Source!A63)</f>
        <v>63</v>
      </c>
      <c r="B73">
        <v>60258499</v>
      </c>
      <c r="C73">
        <v>60258254</v>
      </c>
      <c r="D73">
        <v>58999254</v>
      </c>
      <c r="E73">
        <v>1080</v>
      </c>
      <c r="F73">
        <v>1</v>
      </c>
      <c r="G73">
        <v>1080</v>
      </c>
      <c r="H73">
        <v>1</v>
      </c>
      <c r="I73" t="s">
        <v>263</v>
      </c>
      <c r="J73" t="s">
        <v>3</v>
      </c>
      <c r="K73" t="s">
        <v>264</v>
      </c>
      <c r="L73">
        <v>1191</v>
      </c>
      <c r="N73">
        <v>1013</v>
      </c>
      <c r="O73" t="s">
        <v>265</v>
      </c>
      <c r="P73" t="s">
        <v>265</v>
      </c>
      <c r="Q73">
        <v>1</v>
      </c>
      <c r="X73">
        <v>8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 t="s">
        <v>23</v>
      </c>
      <c r="AG73">
        <v>8.8000000000000007</v>
      </c>
      <c r="AH73">
        <v>2</v>
      </c>
      <c r="AI73">
        <v>60258255</v>
      </c>
      <c r="AJ73">
        <v>58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ROW(Source!A63)</f>
        <v>63</v>
      </c>
      <c r="B74">
        <v>60258500</v>
      </c>
      <c r="C74">
        <v>60258254</v>
      </c>
      <c r="D74">
        <v>59039909</v>
      </c>
      <c r="E74">
        <v>1</v>
      </c>
      <c r="F74">
        <v>1</v>
      </c>
      <c r="G74">
        <v>1080</v>
      </c>
      <c r="H74">
        <v>3</v>
      </c>
      <c r="I74" t="s">
        <v>307</v>
      </c>
      <c r="J74" t="s">
        <v>308</v>
      </c>
      <c r="K74" t="s">
        <v>309</v>
      </c>
      <c r="L74">
        <v>1348</v>
      </c>
      <c r="N74">
        <v>1009</v>
      </c>
      <c r="O74" t="s">
        <v>287</v>
      </c>
      <c r="P74" t="s">
        <v>287</v>
      </c>
      <c r="Q74">
        <v>1000</v>
      </c>
      <c r="X74">
        <v>5.0000000000000001E-4</v>
      </c>
      <c r="Y74">
        <v>17742.23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3</v>
      </c>
      <c r="AG74">
        <v>5.0000000000000001E-4</v>
      </c>
      <c r="AH74">
        <v>2</v>
      </c>
      <c r="AI74">
        <v>60258256</v>
      </c>
      <c r="AJ74">
        <v>59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ROW(Source!A63)</f>
        <v>63</v>
      </c>
      <c r="B75">
        <v>60258501</v>
      </c>
      <c r="C75">
        <v>60258254</v>
      </c>
      <c r="D75">
        <v>59039462</v>
      </c>
      <c r="E75">
        <v>1</v>
      </c>
      <c r="F75">
        <v>1</v>
      </c>
      <c r="G75">
        <v>1080</v>
      </c>
      <c r="H75">
        <v>3</v>
      </c>
      <c r="I75" t="s">
        <v>304</v>
      </c>
      <c r="J75" t="s">
        <v>305</v>
      </c>
      <c r="K75" t="s">
        <v>306</v>
      </c>
      <c r="L75">
        <v>1348</v>
      </c>
      <c r="N75">
        <v>1009</v>
      </c>
      <c r="O75" t="s">
        <v>287</v>
      </c>
      <c r="P75" t="s">
        <v>287</v>
      </c>
      <c r="Q75">
        <v>1000</v>
      </c>
      <c r="X75">
        <v>3.1000000000000001E-5</v>
      </c>
      <c r="Y75">
        <v>64123.05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3</v>
      </c>
      <c r="AG75">
        <v>3.1000000000000001E-5</v>
      </c>
      <c r="AH75">
        <v>2</v>
      </c>
      <c r="AI75">
        <v>60258257</v>
      </c>
      <c r="AJ75">
        <v>60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ROW(Source!A63)</f>
        <v>63</v>
      </c>
      <c r="B76">
        <v>60258502</v>
      </c>
      <c r="C76">
        <v>60258254</v>
      </c>
      <c r="D76">
        <v>59045949</v>
      </c>
      <c r="E76">
        <v>1</v>
      </c>
      <c r="F76">
        <v>1</v>
      </c>
      <c r="G76">
        <v>1080</v>
      </c>
      <c r="H76">
        <v>3</v>
      </c>
      <c r="I76" t="s">
        <v>288</v>
      </c>
      <c r="J76" t="s">
        <v>289</v>
      </c>
      <c r="K76" t="s">
        <v>290</v>
      </c>
      <c r="L76">
        <v>1349</v>
      </c>
      <c r="N76">
        <v>1009</v>
      </c>
      <c r="O76" t="s">
        <v>291</v>
      </c>
      <c r="P76" t="s">
        <v>291</v>
      </c>
      <c r="Q76">
        <v>1E-3</v>
      </c>
      <c r="X76">
        <v>6</v>
      </c>
      <c r="Y76">
        <v>7.0000000000000007E-2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3</v>
      </c>
      <c r="AG76">
        <v>6</v>
      </c>
      <c r="AH76">
        <v>2</v>
      </c>
      <c r="AI76">
        <v>60258258</v>
      </c>
      <c r="AJ76">
        <v>61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ROW(Source!A63)</f>
        <v>63</v>
      </c>
      <c r="B77">
        <v>60258503</v>
      </c>
      <c r="C77">
        <v>60258254</v>
      </c>
      <c r="D77">
        <v>59062764</v>
      </c>
      <c r="E77">
        <v>1</v>
      </c>
      <c r="F77">
        <v>1</v>
      </c>
      <c r="G77">
        <v>1080</v>
      </c>
      <c r="H77">
        <v>3</v>
      </c>
      <c r="I77" t="s">
        <v>310</v>
      </c>
      <c r="J77" t="s">
        <v>311</v>
      </c>
      <c r="K77" t="s">
        <v>312</v>
      </c>
      <c r="L77">
        <v>1346</v>
      </c>
      <c r="N77">
        <v>1009</v>
      </c>
      <c r="O77" t="s">
        <v>313</v>
      </c>
      <c r="P77" t="s">
        <v>313</v>
      </c>
      <c r="Q77">
        <v>1</v>
      </c>
      <c r="X77">
        <v>2.5999999999999999E-2</v>
      </c>
      <c r="Y77">
        <v>493.08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3</v>
      </c>
      <c r="AG77">
        <v>2.5999999999999999E-2</v>
      </c>
      <c r="AH77">
        <v>2</v>
      </c>
      <c r="AI77">
        <v>60258259</v>
      </c>
      <c r="AJ77">
        <v>62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ROW(Source!A63)</f>
        <v>63</v>
      </c>
      <c r="B78">
        <v>60258504</v>
      </c>
      <c r="C78">
        <v>60258254</v>
      </c>
      <c r="D78">
        <v>59029844</v>
      </c>
      <c r="E78">
        <v>1080</v>
      </c>
      <c r="F78">
        <v>1</v>
      </c>
      <c r="G78">
        <v>1080</v>
      </c>
      <c r="H78">
        <v>3</v>
      </c>
      <c r="I78" t="s">
        <v>356</v>
      </c>
      <c r="J78" t="s">
        <v>3</v>
      </c>
      <c r="K78" t="s">
        <v>357</v>
      </c>
      <c r="L78">
        <v>1354</v>
      </c>
      <c r="N78">
        <v>1010</v>
      </c>
      <c r="O78" t="s">
        <v>241</v>
      </c>
      <c r="P78" t="s">
        <v>241</v>
      </c>
      <c r="Q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3</v>
      </c>
      <c r="AG78">
        <v>1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ROW(Source!A68)</f>
        <v>68</v>
      </c>
      <c r="B79">
        <v>60258505</v>
      </c>
      <c r="C79">
        <v>60258268</v>
      </c>
      <c r="D79">
        <v>58999254</v>
      </c>
      <c r="E79">
        <v>1080</v>
      </c>
      <c r="F79">
        <v>1</v>
      </c>
      <c r="G79">
        <v>1080</v>
      </c>
      <c r="H79">
        <v>1</v>
      </c>
      <c r="I79" t="s">
        <v>263</v>
      </c>
      <c r="J79" t="s">
        <v>3</v>
      </c>
      <c r="K79" t="s">
        <v>264</v>
      </c>
      <c r="L79">
        <v>1191</v>
      </c>
      <c r="N79">
        <v>1013</v>
      </c>
      <c r="O79" t="s">
        <v>265</v>
      </c>
      <c r="P79" t="s">
        <v>265</v>
      </c>
      <c r="Q79">
        <v>1</v>
      </c>
      <c r="X79">
        <v>7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 t="s">
        <v>23</v>
      </c>
      <c r="AG79">
        <v>7.7000000000000011</v>
      </c>
      <c r="AH79">
        <v>2</v>
      </c>
      <c r="AI79">
        <v>60258269</v>
      </c>
      <c r="AJ79">
        <v>63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ROW(Source!A68)</f>
        <v>68</v>
      </c>
      <c r="B80">
        <v>60258506</v>
      </c>
      <c r="C80">
        <v>60258268</v>
      </c>
      <c r="D80">
        <v>59039462</v>
      </c>
      <c r="E80">
        <v>1</v>
      </c>
      <c r="F80">
        <v>1</v>
      </c>
      <c r="G80">
        <v>1080</v>
      </c>
      <c r="H80">
        <v>3</v>
      </c>
      <c r="I80" t="s">
        <v>304</v>
      </c>
      <c r="J80" t="s">
        <v>305</v>
      </c>
      <c r="K80" t="s">
        <v>306</v>
      </c>
      <c r="L80">
        <v>1348</v>
      </c>
      <c r="N80">
        <v>1009</v>
      </c>
      <c r="O80" t="s">
        <v>287</v>
      </c>
      <c r="P80" t="s">
        <v>287</v>
      </c>
      <c r="Q80">
        <v>1000</v>
      </c>
      <c r="X80">
        <v>1.2E-5</v>
      </c>
      <c r="Y80">
        <v>64123.05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</v>
      </c>
      <c r="AG80">
        <v>1.2E-5</v>
      </c>
      <c r="AH80">
        <v>2</v>
      </c>
      <c r="AI80">
        <v>60258270</v>
      </c>
      <c r="AJ80">
        <v>64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ROW(Source!A68)</f>
        <v>68</v>
      </c>
      <c r="B81">
        <v>60258507</v>
      </c>
      <c r="C81">
        <v>60258268</v>
      </c>
      <c r="D81">
        <v>59045949</v>
      </c>
      <c r="E81">
        <v>1</v>
      </c>
      <c r="F81">
        <v>1</v>
      </c>
      <c r="G81">
        <v>1080</v>
      </c>
      <c r="H81">
        <v>3</v>
      </c>
      <c r="I81" t="s">
        <v>288</v>
      </c>
      <c r="J81" t="s">
        <v>289</v>
      </c>
      <c r="K81" t="s">
        <v>290</v>
      </c>
      <c r="L81">
        <v>1349</v>
      </c>
      <c r="N81">
        <v>1009</v>
      </c>
      <c r="O81" t="s">
        <v>291</v>
      </c>
      <c r="P81" t="s">
        <v>291</v>
      </c>
      <c r="Q81">
        <v>1E-3</v>
      </c>
      <c r="X81">
        <v>2</v>
      </c>
      <c r="Y81">
        <v>7.0000000000000007E-2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3</v>
      </c>
      <c r="AG81">
        <v>2</v>
      </c>
      <c r="AH81">
        <v>2</v>
      </c>
      <c r="AI81">
        <v>60258271</v>
      </c>
      <c r="AJ81">
        <v>65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ROW(Source!A68)</f>
        <v>68</v>
      </c>
      <c r="B82">
        <v>60258508</v>
      </c>
      <c r="C82">
        <v>60258268</v>
      </c>
      <c r="D82">
        <v>59062764</v>
      </c>
      <c r="E82">
        <v>1</v>
      </c>
      <c r="F82">
        <v>1</v>
      </c>
      <c r="G82">
        <v>1080</v>
      </c>
      <c r="H82">
        <v>3</v>
      </c>
      <c r="I82" t="s">
        <v>310</v>
      </c>
      <c r="J82" t="s">
        <v>311</v>
      </c>
      <c r="K82" t="s">
        <v>312</v>
      </c>
      <c r="L82">
        <v>1346</v>
      </c>
      <c r="N82">
        <v>1009</v>
      </c>
      <c r="O82" t="s">
        <v>313</v>
      </c>
      <c r="P82" t="s">
        <v>313</v>
      </c>
      <c r="Q82">
        <v>1</v>
      </c>
      <c r="X82">
        <v>6.0000000000000001E-3</v>
      </c>
      <c r="Y82">
        <v>493.08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3</v>
      </c>
      <c r="AG82">
        <v>6.0000000000000001E-3</v>
      </c>
      <c r="AH82">
        <v>2</v>
      </c>
      <c r="AI82">
        <v>60258272</v>
      </c>
      <c r="AJ82">
        <v>66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ROW(Source!A68)</f>
        <v>68</v>
      </c>
      <c r="B83">
        <v>60258509</v>
      </c>
      <c r="C83">
        <v>60258268</v>
      </c>
      <c r="D83">
        <v>59068402</v>
      </c>
      <c r="E83">
        <v>1</v>
      </c>
      <c r="F83">
        <v>1</v>
      </c>
      <c r="G83">
        <v>1080</v>
      </c>
      <c r="H83">
        <v>3</v>
      </c>
      <c r="I83" t="s">
        <v>314</v>
      </c>
      <c r="J83" t="s">
        <v>315</v>
      </c>
      <c r="K83" t="s">
        <v>316</v>
      </c>
      <c r="L83">
        <v>1303</v>
      </c>
      <c r="N83">
        <v>1003</v>
      </c>
      <c r="O83" t="s">
        <v>232</v>
      </c>
      <c r="P83" t="s">
        <v>232</v>
      </c>
      <c r="Q83">
        <v>1000</v>
      </c>
      <c r="X83">
        <v>0.06</v>
      </c>
      <c r="Y83">
        <v>516.63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3</v>
      </c>
      <c r="AG83">
        <v>0.06</v>
      </c>
      <c r="AH83">
        <v>2</v>
      </c>
      <c r="AI83">
        <v>60258273</v>
      </c>
      <c r="AJ83">
        <v>67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ROW(Source!A68)</f>
        <v>68</v>
      </c>
      <c r="B84">
        <v>60258510</v>
      </c>
      <c r="C84">
        <v>60258268</v>
      </c>
      <c r="D84">
        <v>59029738</v>
      </c>
      <c r="E84">
        <v>1080</v>
      </c>
      <c r="F84">
        <v>1</v>
      </c>
      <c r="G84">
        <v>1080</v>
      </c>
      <c r="H84">
        <v>3</v>
      </c>
      <c r="I84" t="s">
        <v>358</v>
      </c>
      <c r="J84" t="s">
        <v>3</v>
      </c>
      <c r="K84" t="s">
        <v>359</v>
      </c>
      <c r="L84">
        <v>1346</v>
      </c>
      <c r="N84">
        <v>1009</v>
      </c>
      <c r="O84" t="s">
        <v>313</v>
      </c>
      <c r="P84" t="s">
        <v>313</v>
      </c>
      <c r="Q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3</v>
      </c>
      <c r="AG84">
        <v>0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ROW(Source!A68)</f>
        <v>68</v>
      </c>
      <c r="B85">
        <v>60258511</v>
      </c>
      <c r="C85">
        <v>60258268</v>
      </c>
      <c r="D85">
        <v>59029796</v>
      </c>
      <c r="E85">
        <v>1080</v>
      </c>
      <c r="F85">
        <v>1</v>
      </c>
      <c r="G85">
        <v>1080</v>
      </c>
      <c r="H85">
        <v>3</v>
      </c>
      <c r="I85" t="s">
        <v>360</v>
      </c>
      <c r="J85" t="s">
        <v>3</v>
      </c>
      <c r="K85" t="s">
        <v>361</v>
      </c>
      <c r="L85">
        <v>1354</v>
      </c>
      <c r="N85">
        <v>1010</v>
      </c>
      <c r="O85" t="s">
        <v>241</v>
      </c>
      <c r="P85" t="s">
        <v>241</v>
      </c>
      <c r="Q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3</v>
      </c>
      <c r="AG85">
        <v>1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ROW(Source!A69)</f>
        <v>69</v>
      </c>
      <c r="B86">
        <v>60258505</v>
      </c>
      <c r="C86">
        <v>60258268</v>
      </c>
      <c r="D86">
        <v>58999254</v>
      </c>
      <c r="E86">
        <v>1080</v>
      </c>
      <c r="F86">
        <v>1</v>
      </c>
      <c r="G86">
        <v>1080</v>
      </c>
      <c r="H86">
        <v>1</v>
      </c>
      <c r="I86" t="s">
        <v>263</v>
      </c>
      <c r="J86" t="s">
        <v>3</v>
      </c>
      <c r="K86" t="s">
        <v>264</v>
      </c>
      <c r="L86">
        <v>1191</v>
      </c>
      <c r="N86">
        <v>1013</v>
      </c>
      <c r="O86" t="s">
        <v>265</v>
      </c>
      <c r="P86" t="s">
        <v>265</v>
      </c>
      <c r="Q86">
        <v>1</v>
      </c>
      <c r="X86">
        <v>7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 t="s">
        <v>23</v>
      </c>
      <c r="AG86">
        <v>7.7000000000000011</v>
      </c>
      <c r="AH86">
        <v>2</v>
      </c>
      <c r="AI86">
        <v>60258269</v>
      </c>
      <c r="AJ86">
        <v>68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ROW(Source!A69)</f>
        <v>69</v>
      </c>
      <c r="B87">
        <v>60258506</v>
      </c>
      <c r="C87">
        <v>60258268</v>
      </c>
      <c r="D87">
        <v>59039462</v>
      </c>
      <c r="E87">
        <v>1</v>
      </c>
      <c r="F87">
        <v>1</v>
      </c>
      <c r="G87">
        <v>1080</v>
      </c>
      <c r="H87">
        <v>3</v>
      </c>
      <c r="I87" t="s">
        <v>304</v>
      </c>
      <c r="J87" t="s">
        <v>305</v>
      </c>
      <c r="K87" t="s">
        <v>306</v>
      </c>
      <c r="L87">
        <v>1348</v>
      </c>
      <c r="N87">
        <v>1009</v>
      </c>
      <c r="O87" t="s">
        <v>287</v>
      </c>
      <c r="P87" t="s">
        <v>287</v>
      </c>
      <c r="Q87">
        <v>1000</v>
      </c>
      <c r="X87">
        <v>1.2E-5</v>
      </c>
      <c r="Y87">
        <v>64123.05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3</v>
      </c>
      <c r="AG87">
        <v>1.2E-5</v>
      </c>
      <c r="AH87">
        <v>2</v>
      </c>
      <c r="AI87">
        <v>60258270</v>
      </c>
      <c r="AJ87">
        <v>69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ROW(Source!A69)</f>
        <v>69</v>
      </c>
      <c r="B88">
        <v>60258507</v>
      </c>
      <c r="C88">
        <v>60258268</v>
      </c>
      <c r="D88">
        <v>59045949</v>
      </c>
      <c r="E88">
        <v>1</v>
      </c>
      <c r="F88">
        <v>1</v>
      </c>
      <c r="G88">
        <v>1080</v>
      </c>
      <c r="H88">
        <v>3</v>
      </c>
      <c r="I88" t="s">
        <v>288</v>
      </c>
      <c r="J88" t="s">
        <v>289</v>
      </c>
      <c r="K88" t="s">
        <v>290</v>
      </c>
      <c r="L88">
        <v>1349</v>
      </c>
      <c r="N88">
        <v>1009</v>
      </c>
      <c r="O88" t="s">
        <v>291</v>
      </c>
      <c r="P88" t="s">
        <v>291</v>
      </c>
      <c r="Q88">
        <v>1E-3</v>
      </c>
      <c r="X88">
        <v>2</v>
      </c>
      <c r="Y88">
        <v>7.0000000000000007E-2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3</v>
      </c>
      <c r="AG88">
        <v>2</v>
      </c>
      <c r="AH88">
        <v>2</v>
      </c>
      <c r="AI88">
        <v>60258271</v>
      </c>
      <c r="AJ88">
        <v>70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ROW(Source!A69)</f>
        <v>69</v>
      </c>
      <c r="B89">
        <v>60258508</v>
      </c>
      <c r="C89">
        <v>60258268</v>
      </c>
      <c r="D89">
        <v>59062764</v>
      </c>
      <c r="E89">
        <v>1</v>
      </c>
      <c r="F89">
        <v>1</v>
      </c>
      <c r="G89">
        <v>1080</v>
      </c>
      <c r="H89">
        <v>3</v>
      </c>
      <c r="I89" t="s">
        <v>310</v>
      </c>
      <c r="J89" t="s">
        <v>311</v>
      </c>
      <c r="K89" t="s">
        <v>312</v>
      </c>
      <c r="L89">
        <v>1346</v>
      </c>
      <c r="N89">
        <v>1009</v>
      </c>
      <c r="O89" t="s">
        <v>313</v>
      </c>
      <c r="P89" t="s">
        <v>313</v>
      </c>
      <c r="Q89">
        <v>1</v>
      </c>
      <c r="X89">
        <v>6.0000000000000001E-3</v>
      </c>
      <c r="Y89">
        <v>493.08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3</v>
      </c>
      <c r="AG89">
        <v>6.0000000000000001E-3</v>
      </c>
      <c r="AH89">
        <v>2</v>
      </c>
      <c r="AI89">
        <v>60258272</v>
      </c>
      <c r="AJ89">
        <v>71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ROW(Source!A69)</f>
        <v>69</v>
      </c>
      <c r="B90">
        <v>60258509</v>
      </c>
      <c r="C90">
        <v>60258268</v>
      </c>
      <c r="D90">
        <v>59068402</v>
      </c>
      <c r="E90">
        <v>1</v>
      </c>
      <c r="F90">
        <v>1</v>
      </c>
      <c r="G90">
        <v>1080</v>
      </c>
      <c r="H90">
        <v>3</v>
      </c>
      <c r="I90" t="s">
        <v>314</v>
      </c>
      <c r="J90" t="s">
        <v>315</v>
      </c>
      <c r="K90" t="s">
        <v>316</v>
      </c>
      <c r="L90">
        <v>1303</v>
      </c>
      <c r="N90">
        <v>1003</v>
      </c>
      <c r="O90" t="s">
        <v>232</v>
      </c>
      <c r="P90" t="s">
        <v>232</v>
      </c>
      <c r="Q90">
        <v>1000</v>
      </c>
      <c r="X90">
        <v>0.06</v>
      </c>
      <c r="Y90">
        <v>516.63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0.06</v>
      </c>
      <c r="AH90">
        <v>2</v>
      </c>
      <c r="AI90">
        <v>60258273</v>
      </c>
      <c r="AJ90">
        <v>72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ROW(Source!A69)</f>
        <v>69</v>
      </c>
      <c r="B91">
        <v>60258510</v>
      </c>
      <c r="C91">
        <v>60258268</v>
      </c>
      <c r="D91">
        <v>59029738</v>
      </c>
      <c r="E91">
        <v>1080</v>
      </c>
      <c r="F91">
        <v>1</v>
      </c>
      <c r="G91">
        <v>1080</v>
      </c>
      <c r="H91">
        <v>3</v>
      </c>
      <c r="I91" t="s">
        <v>358</v>
      </c>
      <c r="J91" t="s">
        <v>3</v>
      </c>
      <c r="K91" t="s">
        <v>359</v>
      </c>
      <c r="L91">
        <v>1346</v>
      </c>
      <c r="N91">
        <v>1009</v>
      </c>
      <c r="O91" t="s">
        <v>313</v>
      </c>
      <c r="P91" t="s">
        <v>313</v>
      </c>
      <c r="Q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3</v>
      </c>
      <c r="AG91">
        <v>0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ROW(Source!A69)</f>
        <v>69</v>
      </c>
      <c r="B92">
        <v>60258511</v>
      </c>
      <c r="C92">
        <v>60258268</v>
      </c>
      <c r="D92">
        <v>59029796</v>
      </c>
      <c r="E92">
        <v>1080</v>
      </c>
      <c r="F92">
        <v>1</v>
      </c>
      <c r="G92">
        <v>1080</v>
      </c>
      <c r="H92">
        <v>3</v>
      </c>
      <c r="I92" t="s">
        <v>360</v>
      </c>
      <c r="J92" t="s">
        <v>3</v>
      </c>
      <c r="K92" t="s">
        <v>361</v>
      </c>
      <c r="L92">
        <v>1354</v>
      </c>
      <c r="N92">
        <v>1010</v>
      </c>
      <c r="O92" t="s">
        <v>241</v>
      </c>
      <c r="P92" t="s">
        <v>241</v>
      </c>
      <c r="Q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3</v>
      </c>
      <c r="AG92">
        <v>1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ROW(Source!A72)</f>
        <v>72</v>
      </c>
      <c r="B93">
        <v>60258512</v>
      </c>
      <c r="C93">
        <v>60258282</v>
      </c>
      <c r="D93">
        <v>58999254</v>
      </c>
      <c r="E93">
        <v>1080</v>
      </c>
      <c r="F93">
        <v>1</v>
      </c>
      <c r="G93">
        <v>1080</v>
      </c>
      <c r="H93">
        <v>1</v>
      </c>
      <c r="I93" t="s">
        <v>263</v>
      </c>
      <c r="J93" t="s">
        <v>3</v>
      </c>
      <c r="K93" t="s">
        <v>264</v>
      </c>
      <c r="L93">
        <v>1191</v>
      </c>
      <c r="N93">
        <v>1013</v>
      </c>
      <c r="O93" t="s">
        <v>265</v>
      </c>
      <c r="P93" t="s">
        <v>265</v>
      </c>
      <c r="Q93">
        <v>1</v>
      </c>
      <c r="X93">
        <v>3.18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23</v>
      </c>
      <c r="AG93">
        <v>3.4980000000000007</v>
      </c>
      <c r="AH93">
        <v>2</v>
      </c>
      <c r="AI93">
        <v>60258283</v>
      </c>
      <c r="AJ93">
        <v>73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ROW(Source!A72)</f>
        <v>72</v>
      </c>
      <c r="B94">
        <v>60258513</v>
      </c>
      <c r="C94">
        <v>60258282</v>
      </c>
      <c r="D94">
        <v>59040743</v>
      </c>
      <c r="E94">
        <v>1</v>
      </c>
      <c r="F94">
        <v>1</v>
      </c>
      <c r="G94">
        <v>1080</v>
      </c>
      <c r="H94">
        <v>3</v>
      </c>
      <c r="I94" t="s">
        <v>317</v>
      </c>
      <c r="J94" t="s">
        <v>318</v>
      </c>
      <c r="K94" t="s">
        <v>319</v>
      </c>
      <c r="L94">
        <v>1346</v>
      </c>
      <c r="N94">
        <v>1009</v>
      </c>
      <c r="O94" t="s">
        <v>313</v>
      </c>
      <c r="P94" t="s">
        <v>313</v>
      </c>
      <c r="Q94">
        <v>1</v>
      </c>
      <c r="X94">
        <v>6.2700000000000004E-3</v>
      </c>
      <c r="Y94">
        <v>27.62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6.2700000000000004E-3</v>
      </c>
      <c r="AH94">
        <v>2</v>
      </c>
      <c r="AI94">
        <v>60258284</v>
      </c>
      <c r="AJ94">
        <v>74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ROW(Source!A72)</f>
        <v>72</v>
      </c>
      <c r="B95">
        <v>60258514</v>
      </c>
      <c r="C95">
        <v>60258282</v>
      </c>
      <c r="D95">
        <v>59039462</v>
      </c>
      <c r="E95">
        <v>1</v>
      </c>
      <c r="F95">
        <v>1</v>
      </c>
      <c r="G95">
        <v>1080</v>
      </c>
      <c r="H95">
        <v>3</v>
      </c>
      <c r="I95" t="s">
        <v>304</v>
      </c>
      <c r="J95" t="s">
        <v>305</v>
      </c>
      <c r="K95" t="s">
        <v>306</v>
      </c>
      <c r="L95">
        <v>1348</v>
      </c>
      <c r="N95">
        <v>1009</v>
      </c>
      <c r="O95" t="s">
        <v>287</v>
      </c>
      <c r="P95" t="s">
        <v>287</v>
      </c>
      <c r="Q95">
        <v>1000</v>
      </c>
      <c r="X95">
        <v>1.0000000000000001E-5</v>
      </c>
      <c r="Y95">
        <v>64123.05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</v>
      </c>
      <c r="AG95">
        <v>1.0000000000000001E-5</v>
      </c>
      <c r="AH95">
        <v>2</v>
      </c>
      <c r="AI95">
        <v>60258285</v>
      </c>
      <c r="AJ95">
        <v>75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ROW(Source!A72)</f>
        <v>72</v>
      </c>
      <c r="B96">
        <v>60258515</v>
      </c>
      <c r="C96">
        <v>60258282</v>
      </c>
      <c r="D96">
        <v>59049354</v>
      </c>
      <c r="E96">
        <v>1</v>
      </c>
      <c r="F96">
        <v>1</v>
      </c>
      <c r="G96">
        <v>1080</v>
      </c>
      <c r="H96">
        <v>3</v>
      </c>
      <c r="I96" t="s">
        <v>320</v>
      </c>
      <c r="J96" t="s">
        <v>321</v>
      </c>
      <c r="K96" t="s">
        <v>322</v>
      </c>
      <c r="L96">
        <v>1354</v>
      </c>
      <c r="N96">
        <v>1010</v>
      </c>
      <c r="O96" t="s">
        <v>241</v>
      </c>
      <c r="P96" t="s">
        <v>241</v>
      </c>
      <c r="Q96">
        <v>1</v>
      </c>
      <c r="X96">
        <v>0.1</v>
      </c>
      <c r="Y96">
        <v>15.25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3</v>
      </c>
      <c r="AG96">
        <v>0.1</v>
      </c>
      <c r="AH96">
        <v>2</v>
      </c>
      <c r="AI96">
        <v>60258286</v>
      </c>
      <c r="AJ96">
        <v>76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ROW(Source!A72)</f>
        <v>72</v>
      </c>
      <c r="B97">
        <v>60258516</v>
      </c>
      <c r="C97">
        <v>60258282</v>
      </c>
      <c r="D97">
        <v>59021314</v>
      </c>
      <c r="E97">
        <v>1080</v>
      </c>
      <c r="F97">
        <v>1</v>
      </c>
      <c r="G97">
        <v>1080</v>
      </c>
      <c r="H97">
        <v>3</v>
      </c>
      <c r="I97" t="s">
        <v>362</v>
      </c>
      <c r="J97" t="s">
        <v>3</v>
      </c>
      <c r="K97" t="s">
        <v>363</v>
      </c>
      <c r="L97">
        <v>1354</v>
      </c>
      <c r="N97">
        <v>1010</v>
      </c>
      <c r="O97" t="s">
        <v>241</v>
      </c>
      <c r="P97" t="s">
        <v>241</v>
      </c>
      <c r="Q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3</v>
      </c>
      <c r="AG97">
        <v>1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ROW(Source!A73)</f>
        <v>73</v>
      </c>
      <c r="B98">
        <v>60258512</v>
      </c>
      <c r="C98">
        <v>60258282</v>
      </c>
      <c r="D98">
        <v>58999254</v>
      </c>
      <c r="E98">
        <v>1080</v>
      </c>
      <c r="F98">
        <v>1</v>
      </c>
      <c r="G98">
        <v>1080</v>
      </c>
      <c r="H98">
        <v>1</v>
      </c>
      <c r="I98" t="s">
        <v>263</v>
      </c>
      <c r="J98" t="s">
        <v>3</v>
      </c>
      <c r="K98" t="s">
        <v>264</v>
      </c>
      <c r="L98">
        <v>1191</v>
      </c>
      <c r="N98">
        <v>1013</v>
      </c>
      <c r="O98" t="s">
        <v>265</v>
      </c>
      <c r="P98" t="s">
        <v>265</v>
      </c>
      <c r="Q98">
        <v>1</v>
      </c>
      <c r="X98">
        <v>3.18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 t="s">
        <v>23</v>
      </c>
      <c r="AG98">
        <v>3.4980000000000007</v>
      </c>
      <c r="AH98">
        <v>2</v>
      </c>
      <c r="AI98">
        <v>60258283</v>
      </c>
      <c r="AJ98">
        <v>77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ROW(Source!A73)</f>
        <v>73</v>
      </c>
      <c r="B99">
        <v>60258513</v>
      </c>
      <c r="C99">
        <v>60258282</v>
      </c>
      <c r="D99">
        <v>59040743</v>
      </c>
      <c r="E99">
        <v>1</v>
      </c>
      <c r="F99">
        <v>1</v>
      </c>
      <c r="G99">
        <v>1080</v>
      </c>
      <c r="H99">
        <v>3</v>
      </c>
      <c r="I99" t="s">
        <v>317</v>
      </c>
      <c r="J99" t="s">
        <v>318</v>
      </c>
      <c r="K99" t="s">
        <v>319</v>
      </c>
      <c r="L99">
        <v>1346</v>
      </c>
      <c r="N99">
        <v>1009</v>
      </c>
      <c r="O99" t="s">
        <v>313</v>
      </c>
      <c r="P99" t="s">
        <v>313</v>
      </c>
      <c r="Q99">
        <v>1</v>
      </c>
      <c r="X99">
        <v>6.2700000000000004E-3</v>
      </c>
      <c r="Y99">
        <v>27.62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3</v>
      </c>
      <c r="AG99">
        <v>6.2700000000000004E-3</v>
      </c>
      <c r="AH99">
        <v>2</v>
      </c>
      <c r="AI99">
        <v>60258284</v>
      </c>
      <c r="AJ99">
        <v>78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ROW(Source!A73)</f>
        <v>73</v>
      </c>
      <c r="B100">
        <v>60258514</v>
      </c>
      <c r="C100">
        <v>60258282</v>
      </c>
      <c r="D100">
        <v>59039462</v>
      </c>
      <c r="E100">
        <v>1</v>
      </c>
      <c r="F100">
        <v>1</v>
      </c>
      <c r="G100">
        <v>1080</v>
      </c>
      <c r="H100">
        <v>3</v>
      </c>
      <c r="I100" t="s">
        <v>304</v>
      </c>
      <c r="J100" t="s">
        <v>305</v>
      </c>
      <c r="K100" t="s">
        <v>306</v>
      </c>
      <c r="L100">
        <v>1348</v>
      </c>
      <c r="N100">
        <v>1009</v>
      </c>
      <c r="O100" t="s">
        <v>287</v>
      </c>
      <c r="P100" t="s">
        <v>287</v>
      </c>
      <c r="Q100">
        <v>1000</v>
      </c>
      <c r="X100">
        <v>1.0000000000000001E-5</v>
      </c>
      <c r="Y100">
        <v>64123.05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3</v>
      </c>
      <c r="AG100">
        <v>1.0000000000000001E-5</v>
      </c>
      <c r="AH100">
        <v>2</v>
      </c>
      <c r="AI100">
        <v>60258285</v>
      </c>
      <c r="AJ100">
        <v>79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ROW(Source!A73)</f>
        <v>73</v>
      </c>
      <c r="B101">
        <v>60258515</v>
      </c>
      <c r="C101">
        <v>60258282</v>
      </c>
      <c r="D101">
        <v>59049354</v>
      </c>
      <c r="E101">
        <v>1</v>
      </c>
      <c r="F101">
        <v>1</v>
      </c>
      <c r="G101">
        <v>1080</v>
      </c>
      <c r="H101">
        <v>3</v>
      </c>
      <c r="I101" t="s">
        <v>320</v>
      </c>
      <c r="J101" t="s">
        <v>321</v>
      </c>
      <c r="K101" t="s">
        <v>322</v>
      </c>
      <c r="L101">
        <v>1354</v>
      </c>
      <c r="N101">
        <v>1010</v>
      </c>
      <c r="O101" t="s">
        <v>241</v>
      </c>
      <c r="P101" t="s">
        <v>241</v>
      </c>
      <c r="Q101">
        <v>1</v>
      </c>
      <c r="X101">
        <v>0.1</v>
      </c>
      <c r="Y101">
        <v>15.25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3</v>
      </c>
      <c r="AG101">
        <v>0.1</v>
      </c>
      <c r="AH101">
        <v>2</v>
      </c>
      <c r="AI101">
        <v>60258286</v>
      </c>
      <c r="AJ101">
        <v>80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ROW(Source!A73)</f>
        <v>73</v>
      </c>
      <c r="B102">
        <v>60258516</v>
      </c>
      <c r="C102">
        <v>60258282</v>
      </c>
      <c r="D102">
        <v>59021314</v>
      </c>
      <c r="E102">
        <v>1080</v>
      </c>
      <c r="F102">
        <v>1</v>
      </c>
      <c r="G102">
        <v>1080</v>
      </c>
      <c r="H102">
        <v>3</v>
      </c>
      <c r="I102" t="s">
        <v>362</v>
      </c>
      <c r="J102" t="s">
        <v>3</v>
      </c>
      <c r="K102" t="s">
        <v>363</v>
      </c>
      <c r="L102">
        <v>1354</v>
      </c>
      <c r="N102">
        <v>1010</v>
      </c>
      <c r="O102" t="s">
        <v>241</v>
      </c>
      <c r="P102" t="s">
        <v>241</v>
      </c>
      <c r="Q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3</v>
      </c>
      <c r="AG102">
        <v>1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ROW(Source!A113)</f>
        <v>113</v>
      </c>
      <c r="B103">
        <v>60258517</v>
      </c>
      <c r="C103">
        <v>60258350</v>
      </c>
      <c r="D103">
        <v>58999254</v>
      </c>
      <c r="E103">
        <v>1080</v>
      </c>
      <c r="F103">
        <v>1</v>
      </c>
      <c r="G103">
        <v>1080</v>
      </c>
      <c r="H103">
        <v>1</v>
      </c>
      <c r="I103" t="s">
        <v>263</v>
      </c>
      <c r="J103" t="s">
        <v>3</v>
      </c>
      <c r="K103" t="s">
        <v>264</v>
      </c>
      <c r="L103">
        <v>1191</v>
      </c>
      <c r="N103">
        <v>1013</v>
      </c>
      <c r="O103" t="s">
        <v>265</v>
      </c>
      <c r="P103" t="s">
        <v>265</v>
      </c>
      <c r="Q103">
        <v>1</v>
      </c>
      <c r="X103">
        <v>1.03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23</v>
      </c>
      <c r="AG103">
        <v>1.1330000000000002</v>
      </c>
      <c r="AH103">
        <v>2</v>
      </c>
      <c r="AI103">
        <v>60258351</v>
      </c>
      <c r="AJ103">
        <v>81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ROW(Source!A113)</f>
        <v>113</v>
      </c>
      <c r="B104">
        <v>60258518</v>
      </c>
      <c r="C104">
        <v>60258350</v>
      </c>
      <c r="D104">
        <v>59070669</v>
      </c>
      <c r="E104">
        <v>1</v>
      </c>
      <c r="F104">
        <v>1</v>
      </c>
      <c r="G104">
        <v>1080</v>
      </c>
      <c r="H104">
        <v>2</v>
      </c>
      <c r="I104" t="s">
        <v>266</v>
      </c>
      <c r="J104" t="s">
        <v>267</v>
      </c>
      <c r="K104" t="s">
        <v>268</v>
      </c>
      <c r="L104">
        <v>1368</v>
      </c>
      <c r="N104">
        <v>1011</v>
      </c>
      <c r="O104" t="s">
        <v>269</v>
      </c>
      <c r="P104" t="s">
        <v>269</v>
      </c>
      <c r="Q104">
        <v>1</v>
      </c>
      <c r="X104">
        <v>6.0000000000000001E-3</v>
      </c>
      <c r="Y104">
        <v>0</v>
      </c>
      <c r="Z104">
        <v>83.1</v>
      </c>
      <c r="AA104">
        <v>12.62</v>
      </c>
      <c r="AB104">
        <v>0</v>
      </c>
      <c r="AC104">
        <v>0</v>
      </c>
      <c r="AD104">
        <v>1</v>
      </c>
      <c r="AE104">
        <v>0</v>
      </c>
      <c r="AF104" t="s">
        <v>23</v>
      </c>
      <c r="AG104">
        <v>6.6000000000000008E-3</v>
      </c>
      <c r="AH104">
        <v>2</v>
      </c>
      <c r="AI104">
        <v>60258352</v>
      </c>
      <c r="AJ104">
        <v>82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ROW(Source!A113)</f>
        <v>113</v>
      </c>
      <c r="B105">
        <v>60258519</v>
      </c>
      <c r="C105">
        <v>60258350</v>
      </c>
      <c r="D105">
        <v>59021131</v>
      </c>
      <c r="E105">
        <v>1080</v>
      </c>
      <c r="F105">
        <v>1</v>
      </c>
      <c r="G105">
        <v>1080</v>
      </c>
      <c r="H105">
        <v>3</v>
      </c>
      <c r="I105" t="s">
        <v>364</v>
      </c>
      <c r="J105" t="s">
        <v>3</v>
      </c>
      <c r="K105" t="s">
        <v>365</v>
      </c>
      <c r="L105">
        <v>1354</v>
      </c>
      <c r="N105">
        <v>1010</v>
      </c>
      <c r="O105" t="s">
        <v>241</v>
      </c>
      <c r="P105" t="s">
        <v>241</v>
      </c>
      <c r="Q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3</v>
      </c>
      <c r="AG105">
        <v>1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ROW(Source!A114)</f>
        <v>114</v>
      </c>
      <c r="B106">
        <v>60258517</v>
      </c>
      <c r="C106">
        <v>60258350</v>
      </c>
      <c r="D106">
        <v>58999254</v>
      </c>
      <c r="E106">
        <v>1080</v>
      </c>
      <c r="F106">
        <v>1</v>
      </c>
      <c r="G106">
        <v>1080</v>
      </c>
      <c r="H106">
        <v>1</v>
      </c>
      <c r="I106" t="s">
        <v>263</v>
      </c>
      <c r="J106" t="s">
        <v>3</v>
      </c>
      <c r="K106" t="s">
        <v>264</v>
      </c>
      <c r="L106">
        <v>1191</v>
      </c>
      <c r="N106">
        <v>1013</v>
      </c>
      <c r="O106" t="s">
        <v>265</v>
      </c>
      <c r="P106" t="s">
        <v>265</v>
      </c>
      <c r="Q106">
        <v>1</v>
      </c>
      <c r="X106">
        <v>1.03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 t="s">
        <v>23</v>
      </c>
      <c r="AG106">
        <v>1.1330000000000002</v>
      </c>
      <c r="AH106">
        <v>2</v>
      </c>
      <c r="AI106">
        <v>60258351</v>
      </c>
      <c r="AJ106">
        <v>83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ROW(Source!A114)</f>
        <v>114</v>
      </c>
      <c r="B107">
        <v>60258518</v>
      </c>
      <c r="C107">
        <v>60258350</v>
      </c>
      <c r="D107">
        <v>59070669</v>
      </c>
      <c r="E107">
        <v>1</v>
      </c>
      <c r="F107">
        <v>1</v>
      </c>
      <c r="G107">
        <v>1080</v>
      </c>
      <c r="H107">
        <v>2</v>
      </c>
      <c r="I107" t="s">
        <v>266</v>
      </c>
      <c r="J107" t="s">
        <v>267</v>
      </c>
      <c r="K107" t="s">
        <v>268</v>
      </c>
      <c r="L107">
        <v>1368</v>
      </c>
      <c r="N107">
        <v>1011</v>
      </c>
      <c r="O107" t="s">
        <v>269</v>
      </c>
      <c r="P107" t="s">
        <v>269</v>
      </c>
      <c r="Q107">
        <v>1</v>
      </c>
      <c r="X107">
        <v>6.0000000000000001E-3</v>
      </c>
      <c r="Y107">
        <v>0</v>
      </c>
      <c r="Z107">
        <v>83.1</v>
      </c>
      <c r="AA107">
        <v>12.62</v>
      </c>
      <c r="AB107">
        <v>0</v>
      </c>
      <c r="AC107">
        <v>0</v>
      </c>
      <c r="AD107">
        <v>1</v>
      </c>
      <c r="AE107">
        <v>0</v>
      </c>
      <c r="AF107" t="s">
        <v>23</v>
      </c>
      <c r="AG107">
        <v>6.6000000000000008E-3</v>
      </c>
      <c r="AH107">
        <v>2</v>
      </c>
      <c r="AI107">
        <v>60258352</v>
      </c>
      <c r="AJ107">
        <v>84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ROW(Source!A114)</f>
        <v>114</v>
      </c>
      <c r="B108">
        <v>60258519</v>
      </c>
      <c r="C108">
        <v>60258350</v>
      </c>
      <c r="D108">
        <v>59021131</v>
      </c>
      <c r="E108">
        <v>1080</v>
      </c>
      <c r="F108">
        <v>1</v>
      </c>
      <c r="G108">
        <v>1080</v>
      </c>
      <c r="H108">
        <v>3</v>
      </c>
      <c r="I108" t="s">
        <v>364</v>
      </c>
      <c r="J108" t="s">
        <v>3</v>
      </c>
      <c r="K108" t="s">
        <v>365</v>
      </c>
      <c r="L108">
        <v>1354</v>
      </c>
      <c r="N108">
        <v>1010</v>
      </c>
      <c r="O108" t="s">
        <v>241</v>
      </c>
      <c r="P108" t="s">
        <v>241</v>
      </c>
      <c r="Q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3</v>
      </c>
      <c r="AG108">
        <v>1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ROW(Source!A158)</f>
        <v>158</v>
      </c>
      <c r="B109">
        <v>60258520</v>
      </c>
      <c r="C109">
        <v>60258416</v>
      </c>
      <c r="D109">
        <v>58999254</v>
      </c>
      <c r="E109">
        <v>1080</v>
      </c>
      <c r="F109">
        <v>1</v>
      </c>
      <c r="G109">
        <v>1080</v>
      </c>
      <c r="H109">
        <v>1</v>
      </c>
      <c r="I109" t="s">
        <v>263</v>
      </c>
      <c r="J109" t="s">
        <v>3</v>
      </c>
      <c r="K109" t="s">
        <v>264</v>
      </c>
      <c r="L109">
        <v>1191</v>
      </c>
      <c r="N109">
        <v>1013</v>
      </c>
      <c r="O109" t="s">
        <v>265</v>
      </c>
      <c r="P109" t="s">
        <v>265</v>
      </c>
      <c r="Q109">
        <v>1</v>
      </c>
      <c r="X109">
        <v>15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23</v>
      </c>
      <c r="AG109">
        <v>16.5</v>
      </c>
      <c r="AH109">
        <v>2</v>
      </c>
      <c r="AI109">
        <v>60258417</v>
      </c>
      <c r="AJ109">
        <v>85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ROW(Source!A158)</f>
        <v>158</v>
      </c>
      <c r="B110">
        <v>60258521</v>
      </c>
      <c r="C110">
        <v>60258416</v>
      </c>
      <c r="D110">
        <v>59008656</v>
      </c>
      <c r="E110">
        <v>1080</v>
      </c>
      <c r="F110">
        <v>1</v>
      </c>
      <c r="G110">
        <v>1080</v>
      </c>
      <c r="H110">
        <v>3</v>
      </c>
      <c r="I110" t="s">
        <v>366</v>
      </c>
      <c r="J110" t="s">
        <v>3</v>
      </c>
      <c r="K110" t="s">
        <v>367</v>
      </c>
      <c r="L110">
        <v>1301</v>
      </c>
      <c r="N110">
        <v>1003</v>
      </c>
      <c r="O110" t="s">
        <v>219</v>
      </c>
      <c r="P110" t="s">
        <v>219</v>
      </c>
      <c r="Q110">
        <v>1</v>
      </c>
      <c r="X110">
        <v>102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3</v>
      </c>
      <c r="AG110">
        <v>102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ROW(Source!A158)</f>
        <v>158</v>
      </c>
      <c r="B111">
        <v>60258522</v>
      </c>
      <c r="C111">
        <v>60258416</v>
      </c>
      <c r="D111">
        <v>59011823</v>
      </c>
      <c r="E111">
        <v>1080</v>
      </c>
      <c r="F111">
        <v>1</v>
      </c>
      <c r="G111">
        <v>1080</v>
      </c>
      <c r="H111">
        <v>3</v>
      </c>
      <c r="I111" t="s">
        <v>368</v>
      </c>
      <c r="J111" t="s">
        <v>3</v>
      </c>
      <c r="K111" t="s">
        <v>369</v>
      </c>
      <c r="L111">
        <v>1354</v>
      </c>
      <c r="N111">
        <v>1010</v>
      </c>
      <c r="O111" t="s">
        <v>241</v>
      </c>
      <c r="P111" t="s">
        <v>241</v>
      </c>
      <c r="Q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t="s">
        <v>3</v>
      </c>
      <c r="AG111">
        <v>0</v>
      </c>
      <c r="AH111">
        <v>3</v>
      </c>
      <c r="AI111">
        <v>-1</v>
      </c>
      <c r="AJ111" t="s">
        <v>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ROW(Source!A158)</f>
        <v>158</v>
      </c>
      <c r="B112">
        <v>60258523</v>
      </c>
      <c r="C112">
        <v>60258416</v>
      </c>
      <c r="D112">
        <v>59012395</v>
      </c>
      <c r="E112">
        <v>1080</v>
      </c>
      <c r="F112">
        <v>1</v>
      </c>
      <c r="G112">
        <v>1080</v>
      </c>
      <c r="H112">
        <v>3</v>
      </c>
      <c r="I112" t="s">
        <v>370</v>
      </c>
      <c r="J112" t="s">
        <v>3</v>
      </c>
      <c r="K112" t="s">
        <v>371</v>
      </c>
      <c r="L112">
        <v>1354</v>
      </c>
      <c r="N112">
        <v>1010</v>
      </c>
      <c r="O112" t="s">
        <v>241</v>
      </c>
      <c r="P112" t="s">
        <v>241</v>
      </c>
      <c r="Q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3</v>
      </c>
      <c r="AG112">
        <v>0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ROW(Source!A159)</f>
        <v>159</v>
      </c>
      <c r="B113">
        <v>60258520</v>
      </c>
      <c r="C113">
        <v>60258416</v>
      </c>
      <c r="D113">
        <v>58999254</v>
      </c>
      <c r="E113">
        <v>1080</v>
      </c>
      <c r="F113">
        <v>1</v>
      </c>
      <c r="G113">
        <v>1080</v>
      </c>
      <c r="H113">
        <v>1</v>
      </c>
      <c r="I113" t="s">
        <v>263</v>
      </c>
      <c r="J113" t="s">
        <v>3</v>
      </c>
      <c r="K113" t="s">
        <v>264</v>
      </c>
      <c r="L113">
        <v>1191</v>
      </c>
      <c r="N113">
        <v>1013</v>
      </c>
      <c r="O113" t="s">
        <v>265</v>
      </c>
      <c r="P113" t="s">
        <v>265</v>
      </c>
      <c r="Q113">
        <v>1</v>
      </c>
      <c r="X113">
        <v>15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23</v>
      </c>
      <c r="AG113">
        <v>16.5</v>
      </c>
      <c r="AH113">
        <v>2</v>
      </c>
      <c r="AI113">
        <v>60258417</v>
      </c>
      <c r="AJ113">
        <v>87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ROW(Source!A159)</f>
        <v>159</v>
      </c>
      <c r="B114">
        <v>60258521</v>
      </c>
      <c r="C114">
        <v>60258416</v>
      </c>
      <c r="D114">
        <v>59008656</v>
      </c>
      <c r="E114">
        <v>1080</v>
      </c>
      <c r="F114">
        <v>1</v>
      </c>
      <c r="G114">
        <v>1080</v>
      </c>
      <c r="H114">
        <v>3</v>
      </c>
      <c r="I114" t="s">
        <v>366</v>
      </c>
      <c r="J114" t="s">
        <v>3</v>
      </c>
      <c r="K114" t="s">
        <v>367</v>
      </c>
      <c r="L114">
        <v>1301</v>
      </c>
      <c r="N114">
        <v>1003</v>
      </c>
      <c r="O114" t="s">
        <v>219</v>
      </c>
      <c r="P114" t="s">
        <v>219</v>
      </c>
      <c r="Q114">
        <v>1</v>
      </c>
      <c r="X114">
        <v>102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3</v>
      </c>
      <c r="AG114">
        <v>102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ROW(Source!A159)</f>
        <v>159</v>
      </c>
      <c r="B115">
        <v>60258522</v>
      </c>
      <c r="C115">
        <v>60258416</v>
      </c>
      <c r="D115">
        <v>59011823</v>
      </c>
      <c r="E115">
        <v>1080</v>
      </c>
      <c r="F115">
        <v>1</v>
      </c>
      <c r="G115">
        <v>1080</v>
      </c>
      <c r="H115">
        <v>3</v>
      </c>
      <c r="I115" t="s">
        <v>368</v>
      </c>
      <c r="J115" t="s">
        <v>3</v>
      </c>
      <c r="K115" t="s">
        <v>369</v>
      </c>
      <c r="L115">
        <v>1354</v>
      </c>
      <c r="N115">
        <v>1010</v>
      </c>
      <c r="O115" t="s">
        <v>241</v>
      </c>
      <c r="P115" t="s">
        <v>241</v>
      </c>
      <c r="Q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3</v>
      </c>
      <c r="AG115">
        <v>0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ROW(Source!A159)</f>
        <v>159</v>
      </c>
      <c r="B116">
        <v>60258523</v>
      </c>
      <c r="C116">
        <v>60258416</v>
      </c>
      <c r="D116">
        <v>59012395</v>
      </c>
      <c r="E116">
        <v>1080</v>
      </c>
      <c r="F116">
        <v>1</v>
      </c>
      <c r="G116">
        <v>1080</v>
      </c>
      <c r="H116">
        <v>3</v>
      </c>
      <c r="I116" t="s">
        <v>370</v>
      </c>
      <c r="J116" t="s">
        <v>3</v>
      </c>
      <c r="K116" t="s">
        <v>371</v>
      </c>
      <c r="L116">
        <v>1354</v>
      </c>
      <c r="N116">
        <v>1010</v>
      </c>
      <c r="O116" t="s">
        <v>241</v>
      </c>
      <c r="P116" t="s">
        <v>241</v>
      </c>
      <c r="Q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</v>
      </c>
      <c r="AG116">
        <v>0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ROW(Source!A162)</f>
        <v>162</v>
      </c>
      <c r="B117">
        <v>60258524</v>
      </c>
      <c r="C117">
        <v>60258424</v>
      </c>
      <c r="D117">
        <v>58999254</v>
      </c>
      <c r="E117">
        <v>1080</v>
      </c>
      <c r="F117">
        <v>1</v>
      </c>
      <c r="G117">
        <v>1080</v>
      </c>
      <c r="H117">
        <v>1</v>
      </c>
      <c r="I117" t="s">
        <v>263</v>
      </c>
      <c r="J117" t="s">
        <v>3</v>
      </c>
      <c r="K117" t="s">
        <v>264</v>
      </c>
      <c r="L117">
        <v>1191</v>
      </c>
      <c r="N117">
        <v>1013</v>
      </c>
      <c r="O117" t="s">
        <v>265</v>
      </c>
      <c r="P117" t="s">
        <v>265</v>
      </c>
      <c r="Q117">
        <v>1</v>
      </c>
      <c r="X117">
        <v>5.39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23</v>
      </c>
      <c r="AG117">
        <v>5.9290000000000003</v>
      </c>
      <c r="AH117">
        <v>2</v>
      </c>
      <c r="AI117">
        <v>60258425</v>
      </c>
      <c r="AJ117">
        <v>89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ROW(Source!A162)</f>
        <v>162</v>
      </c>
      <c r="B118">
        <v>60258525</v>
      </c>
      <c r="C118">
        <v>60258424</v>
      </c>
      <c r="D118">
        <v>59070669</v>
      </c>
      <c r="E118">
        <v>1</v>
      </c>
      <c r="F118">
        <v>1</v>
      </c>
      <c r="G118">
        <v>1080</v>
      </c>
      <c r="H118">
        <v>2</v>
      </c>
      <c r="I118" t="s">
        <v>266</v>
      </c>
      <c r="J118" t="s">
        <v>267</v>
      </c>
      <c r="K118" t="s">
        <v>268</v>
      </c>
      <c r="L118">
        <v>1368</v>
      </c>
      <c r="N118">
        <v>1011</v>
      </c>
      <c r="O118" t="s">
        <v>269</v>
      </c>
      <c r="P118" t="s">
        <v>269</v>
      </c>
      <c r="Q118">
        <v>1</v>
      </c>
      <c r="X118">
        <v>0.02</v>
      </c>
      <c r="Y118">
        <v>0</v>
      </c>
      <c r="Z118">
        <v>83.1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23</v>
      </c>
      <c r="AG118">
        <v>2.2000000000000002E-2</v>
      </c>
      <c r="AH118">
        <v>2</v>
      </c>
      <c r="AI118">
        <v>60258426</v>
      </c>
      <c r="AJ118">
        <v>90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ROW(Source!A162)</f>
        <v>162</v>
      </c>
      <c r="B119">
        <v>60258526</v>
      </c>
      <c r="C119">
        <v>60258424</v>
      </c>
      <c r="D119">
        <v>59069905</v>
      </c>
      <c r="E119">
        <v>1</v>
      </c>
      <c r="F119">
        <v>1</v>
      </c>
      <c r="G119">
        <v>1080</v>
      </c>
      <c r="H119">
        <v>2</v>
      </c>
      <c r="I119" t="s">
        <v>323</v>
      </c>
      <c r="J119" t="s">
        <v>324</v>
      </c>
      <c r="K119" t="s">
        <v>325</v>
      </c>
      <c r="L119">
        <v>1368</v>
      </c>
      <c r="N119">
        <v>1011</v>
      </c>
      <c r="O119" t="s">
        <v>269</v>
      </c>
      <c r="P119" t="s">
        <v>269</v>
      </c>
      <c r="Q119">
        <v>1</v>
      </c>
      <c r="X119">
        <v>0.02</v>
      </c>
      <c r="Y119">
        <v>0</v>
      </c>
      <c r="Z119">
        <v>179.17</v>
      </c>
      <c r="AA119">
        <v>16.93</v>
      </c>
      <c r="AB119">
        <v>0</v>
      </c>
      <c r="AC119">
        <v>0</v>
      </c>
      <c r="AD119">
        <v>1</v>
      </c>
      <c r="AE119">
        <v>0</v>
      </c>
      <c r="AF119" t="s">
        <v>23</v>
      </c>
      <c r="AG119">
        <v>2.2000000000000002E-2</v>
      </c>
      <c r="AH119">
        <v>2</v>
      </c>
      <c r="AI119">
        <v>60258427</v>
      </c>
      <c r="AJ119">
        <v>91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ROW(Source!A162)</f>
        <v>162</v>
      </c>
      <c r="B120">
        <v>60258527</v>
      </c>
      <c r="C120">
        <v>60258424</v>
      </c>
      <c r="D120">
        <v>59039702</v>
      </c>
      <c r="E120">
        <v>1</v>
      </c>
      <c r="F120">
        <v>1</v>
      </c>
      <c r="G120">
        <v>1080</v>
      </c>
      <c r="H120">
        <v>3</v>
      </c>
      <c r="I120" t="s">
        <v>326</v>
      </c>
      <c r="J120" t="s">
        <v>327</v>
      </c>
      <c r="K120" t="s">
        <v>328</v>
      </c>
      <c r="L120">
        <v>1346</v>
      </c>
      <c r="N120">
        <v>1009</v>
      </c>
      <c r="O120" t="s">
        <v>313</v>
      </c>
      <c r="P120" t="s">
        <v>313</v>
      </c>
      <c r="Q120">
        <v>1</v>
      </c>
      <c r="X120">
        <v>0.6</v>
      </c>
      <c r="Y120">
        <v>1.38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3</v>
      </c>
      <c r="AG120">
        <v>0.6</v>
      </c>
      <c r="AH120">
        <v>2</v>
      </c>
      <c r="AI120">
        <v>60258428</v>
      </c>
      <c r="AJ120">
        <v>92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ROW(Source!A162)</f>
        <v>162</v>
      </c>
      <c r="B121">
        <v>60258528</v>
      </c>
      <c r="C121">
        <v>60258424</v>
      </c>
      <c r="D121">
        <v>59040093</v>
      </c>
      <c r="E121">
        <v>1</v>
      </c>
      <c r="F121">
        <v>1</v>
      </c>
      <c r="G121">
        <v>1080</v>
      </c>
      <c r="H121">
        <v>3</v>
      </c>
      <c r="I121" t="s">
        <v>329</v>
      </c>
      <c r="J121" t="s">
        <v>330</v>
      </c>
      <c r="K121" t="s">
        <v>331</v>
      </c>
      <c r="L121">
        <v>1346</v>
      </c>
      <c r="N121">
        <v>1009</v>
      </c>
      <c r="O121" t="s">
        <v>313</v>
      </c>
      <c r="P121" t="s">
        <v>313</v>
      </c>
      <c r="Q121">
        <v>1</v>
      </c>
      <c r="X121">
        <v>0.16</v>
      </c>
      <c r="Y121">
        <v>159.06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3</v>
      </c>
      <c r="AG121">
        <v>0.16</v>
      </c>
      <c r="AH121">
        <v>2</v>
      </c>
      <c r="AI121">
        <v>60258429</v>
      </c>
      <c r="AJ121">
        <v>93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ROW(Source!A162)</f>
        <v>162</v>
      </c>
      <c r="B122">
        <v>60258529</v>
      </c>
      <c r="C122">
        <v>60258424</v>
      </c>
      <c r="D122">
        <v>59063037</v>
      </c>
      <c r="E122">
        <v>1</v>
      </c>
      <c r="F122">
        <v>1</v>
      </c>
      <c r="G122">
        <v>1080</v>
      </c>
      <c r="H122">
        <v>3</v>
      </c>
      <c r="I122" t="s">
        <v>332</v>
      </c>
      <c r="J122" t="s">
        <v>333</v>
      </c>
      <c r="K122" t="s">
        <v>334</v>
      </c>
      <c r="L122">
        <v>1355</v>
      </c>
      <c r="N122">
        <v>1010</v>
      </c>
      <c r="O122" t="s">
        <v>283</v>
      </c>
      <c r="P122" t="s">
        <v>283</v>
      </c>
      <c r="Q122">
        <v>100</v>
      </c>
      <c r="X122">
        <v>0.05</v>
      </c>
      <c r="Y122">
        <v>130.15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</v>
      </c>
      <c r="AG122">
        <v>0.05</v>
      </c>
      <c r="AH122">
        <v>2</v>
      </c>
      <c r="AI122">
        <v>60258430</v>
      </c>
      <c r="AJ122">
        <v>94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ROW(Source!A162)</f>
        <v>162</v>
      </c>
      <c r="B123">
        <v>60258530</v>
      </c>
      <c r="C123">
        <v>60258424</v>
      </c>
      <c r="D123">
        <v>59063048</v>
      </c>
      <c r="E123">
        <v>1</v>
      </c>
      <c r="F123">
        <v>1</v>
      </c>
      <c r="G123">
        <v>1080</v>
      </c>
      <c r="H123">
        <v>3</v>
      </c>
      <c r="I123" t="s">
        <v>335</v>
      </c>
      <c r="J123" t="s">
        <v>336</v>
      </c>
      <c r="K123" t="s">
        <v>337</v>
      </c>
      <c r="L123">
        <v>1356</v>
      </c>
      <c r="N123">
        <v>1010</v>
      </c>
      <c r="O123" t="s">
        <v>295</v>
      </c>
      <c r="P123" t="s">
        <v>295</v>
      </c>
      <c r="Q123">
        <v>1000</v>
      </c>
      <c r="X123">
        <v>1.2200000000000001E-2</v>
      </c>
      <c r="Y123">
        <v>226.86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</v>
      </c>
      <c r="AG123">
        <v>1.2200000000000001E-2</v>
      </c>
      <c r="AH123">
        <v>2</v>
      </c>
      <c r="AI123">
        <v>60258431</v>
      </c>
      <c r="AJ123">
        <v>95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ROW(Source!A162)</f>
        <v>162</v>
      </c>
      <c r="B124">
        <v>60258531</v>
      </c>
      <c r="C124">
        <v>60258424</v>
      </c>
      <c r="D124">
        <v>59062373</v>
      </c>
      <c r="E124">
        <v>1</v>
      </c>
      <c r="F124">
        <v>1</v>
      </c>
      <c r="G124">
        <v>1080</v>
      </c>
      <c r="H124">
        <v>3</v>
      </c>
      <c r="I124" t="s">
        <v>338</v>
      </c>
      <c r="J124" t="s">
        <v>339</v>
      </c>
      <c r="K124" t="s">
        <v>340</v>
      </c>
      <c r="L124">
        <v>1354</v>
      </c>
      <c r="N124">
        <v>1010</v>
      </c>
      <c r="O124" t="s">
        <v>241</v>
      </c>
      <c r="P124" t="s">
        <v>241</v>
      </c>
      <c r="Q124">
        <v>1</v>
      </c>
      <c r="X124">
        <v>3.1</v>
      </c>
      <c r="Y124">
        <v>6.94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3</v>
      </c>
      <c r="AG124">
        <v>3.1</v>
      </c>
      <c r="AH124">
        <v>2</v>
      </c>
      <c r="AI124">
        <v>60258432</v>
      </c>
      <c r="AJ124">
        <v>96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ROW(Source!A162)</f>
        <v>162</v>
      </c>
      <c r="B125">
        <v>60258532</v>
      </c>
      <c r="C125">
        <v>60258424</v>
      </c>
      <c r="D125">
        <v>59062381</v>
      </c>
      <c r="E125">
        <v>1</v>
      </c>
      <c r="F125">
        <v>1</v>
      </c>
      <c r="G125">
        <v>1080</v>
      </c>
      <c r="H125">
        <v>3</v>
      </c>
      <c r="I125" t="s">
        <v>341</v>
      </c>
      <c r="J125" t="s">
        <v>342</v>
      </c>
      <c r="K125" t="s">
        <v>343</v>
      </c>
      <c r="L125">
        <v>1356</v>
      </c>
      <c r="N125">
        <v>1010</v>
      </c>
      <c r="O125" t="s">
        <v>295</v>
      </c>
      <c r="P125" t="s">
        <v>295</v>
      </c>
      <c r="Q125">
        <v>1000</v>
      </c>
      <c r="X125">
        <v>8.0000000000000002E-3</v>
      </c>
      <c r="Y125">
        <v>614.09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</v>
      </c>
      <c r="AG125">
        <v>8.0000000000000002E-3</v>
      </c>
      <c r="AH125">
        <v>2</v>
      </c>
      <c r="AI125">
        <v>60258433</v>
      </c>
      <c r="AJ125">
        <v>97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ROW(Source!A162)</f>
        <v>162</v>
      </c>
      <c r="B126">
        <v>60258533</v>
      </c>
      <c r="C126">
        <v>60258424</v>
      </c>
      <c r="D126">
        <v>59014724</v>
      </c>
      <c r="E126">
        <v>1080</v>
      </c>
      <c r="F126">
        <v>1</v>
      </c>
      <c r="G126">
        <v>1080</v>
      </c>
      <c r="H126">
        <v>3</v>
      </c>
      <c r="I126" t="s">
        <v>372</v>
      </c>
      <c r="J126" t="s">
        <v>3</v>
      </c>
      <c r="K126" t="s">
        <v>373</v>
      </c>
      <c r="L126">
        <v>1303</v>
      </c>
      <c r="N126">
        <v>1003</v>
      </c>
      <c r="O126" t="s">
        <v>232</v>
      </c>
      <c r="P126" t="s">
        <v>232</v>
      </c>
      <c r="Q126">
        <v>1000</v>
      </c>
      <c r="X126">
        <v>0.10299999999999999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3</v>
      </c>
      <c r="AG126">
        <v>0.10299999999999999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ROW(Source!A163)</f>
        <v>163</v>
      </c>
      <c r="B127">
        <v>60258524</v>
      </c>
      <c r="C127">
        <v>60258424</v>
      </c>
      <c r="D127">
        <v>58999254</v>
      </c>
      <c r="E127">
        <v>1080</v>
      </c>
      <c r="F127">
        <v>1</v>
      </c>
      <c r="G127">
        <v>1080</v>
      </c>
      <c r="H127">
        <v>1</v>
      </c>
      <c r="I127" t="s">
        <v>263</v>
      </c>
      <c r="J127" t="s">
        <v>3</v>
      </c>
      <c r="K127" t="s">
        <v>264</v>
      </c>
      <c r="L127">
        <v>1191</v>
      </c>
      <c r="N127">
        <v>1013</v>
      </c>
      <c r="O127" t="s">
        <v>265</v>
      </c>
      <c r="P127" t="s">
        <v>265</v>
      </c>
      <c r="Q127">
        <v>1</v>
      </c>
      <c r="X127">
        <v>5.39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 t="s">
        <v>23</v>
      </c>
      <c r="AG127">
        <v>5.9290000000000003</v>
      </c>
      <c r="AH127">
        <v>2</v>
      </c>
      <c r="AI127">
        <v>60258425</v>
      </c>
      <c r="AJ127">
        <v>98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ROW(Source!A163)</f>
        <v>163</v>
      </c>
      <c r="B128">
        <v>60258525</v>
      </c>
      <c r="C128">
        <v>60258424</v>
      </c>
      <c r="D128">
        <v>59070669</v>
      </c>
      <c r="E128">
        <v>1</v>
      </c>
      <c r="F128">
        <v>1</v>
      </c>
      <c r="G128">
        <v>1080</v>
      </c>
      <c r="H128">
        <v>2</v>
      </c>
      <c r="I128" t="s">
        <v>266</v>
      </c>
      <c r="J128" t="s">
        <v>267</v>
      </c>
      <c r="K128" t="s">
        <v>268</v>
      </c>
      <c r="L128">
        <v>1368</v>
      </c>
      <c r="N128">
        <v>1011</v>
      </c>
      <c r="O128" t="s">
        <v>269</v>
      </c>
      <c r="P128" t="s">
        <v>269</v>
      </c>
      <c r="Q128">
        <v>1</v>
      </c>
      <c r="X128">
        <v>0.02</v>
      </c>
      <c r="Y128">
        <v>0</v>
      </c>
      <c r="Z128">
        <v>83.1</v>
      </c>
      <c r="AA128">
        <v>12.62</v>
      </c>
      <c r="AB128">
        <v>0</v>
      </c>
      <c r="AC128">
        <v>0</v>
      </c>
      <c r="AD128">
        <v>1</v>
      </c>
      <c r="AE128">
        <v>0</v>
      </c>
      <c r="AF128" t="s">
        <v>23</v>
      </c>
      <c r="AG128">
        <v>2.2000000000000002E-2</v>
      </c>
      <c r="AH128">
        <v>2</v>
      </c>
      <c r="AI128">
        <v>60258426</v>
      </c>
      <c r="AJ128">
        <v>99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ROW(Source!A163)</f>
        <v>163</v>
      </c>
      <c r="B129">
        <v>60258526</v>
      </c>
      <c r="C129">
        <v>60258424</v>
      </c>
      <c r="D129">
        <v>59069905</v>
      </c>
      <c r="E129">
        <v>1</v>
      </c>
      <c r="F129">
        <v>1</v>
      </c>
      <c r="G129">
        <v>1080</v>
      </c>
      <c r="H129">
        <v>2</v>
      </c>
      <c r="I129" t="s">
        <v>323</v>
      </c>
      <c r="J129" t="s">
        <v>324</v>
      </c>
      <c r="K129" t="s">
        <v>325</v>
      </c>
      <c r="L129">
        <v>1368</v>
      </c>
      <c r="N129">
        <v>1011</v>
      </c>
      <c r="O129" t="s">
        <v>269</v>
      </c>
      <c r="P129" t="s">
        <v>269</v>
      </c>
      <c r="Q129">
        <v>1</v>
      </c>
      <c r="X129">
        <v>0.02</v>
      </c>
      <c r="Y129">
        <v>0</v>
      </c>
      <c r="Z129">
        <v>179.17</v>
      </c>
      <c r="AA129">
        <v>16.93</v>
      </c>
      <c r="AB129">
        <v>0</v>
      </c>
      <c r="AC129">
        <v>0</v>
      </c>
      <c r="AD129">
        <v>1</v>
      </c>
      <c r="AE129">
        <v>0</v>
      </c>
      <c r="AF129" t="s">
        <v>23</v>
      </c>
      <c r="AG129">
        <v>2.2000000000000002E-2</v>
      </c>
      <c r="AH129">
        <v>2</v>
      </c>
      <c r="AI129">
        <v>60258427</v>
      </c>
      <c r="AJ129">
        <v>100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ROW(Source!A163)</f>
        <v>163</v>
      </c>
      <c r="B130">
        <v>60258527</v>
      </c>
      <c r="C130">
        <v>60258424</v>
      </c>
      <c r="D130">
        <v>59039702</v>
      </c>
      <c r="E130">
        <v>1</v>
      </c>
      <c r="F130">
        <v>1</v>
      </c>
      <c r="G130">
        <v>1080</v>
      </c>
      <c r="H130">
        <v>3</v>
      </c>
      <c r="I130" t="s">
        <v>326</v>
      </c>
      <c r="J130" t="s">
        <v>327</v>
      </c>
      <c r="K130" t="s">
        <v>328</v>
      </c>
      <c r="L130">
        <v>1346</v>
      </c>
      <c r="N130">
        <v>1009</v>
      </c>
      <c r="O130" t="s">
        <v>313</v>
      </c>
      <c r="P130" t="s">
        <v>313</v>
      </c>
      <c r="Q130">
        <v>1</v>
      </c>
      <c r="X130">
        <v>0.6</v>
      </c>
      <c r="Y130">
        <v>1.38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3</v>
      </c>
      <c r="AG130">
        <v>0.6</v>
      </c>
      <c r="AH130">
        <v>2</v>
      </c>
      <c r="AI130">
        <v>60258428</v>
      </c>
      <c r="AJ130">
        <v>101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ROW(Source!A163)</f>
        <v>163</v>
      </c>
      <c r="B131">
        <v>60258528</v>
      </c>
      <c r="C131">
        <v>60258424</v>
      </c>
      <c r="D131">
        <v>59040093</v>
      </c>
      <c r="E131">
        <v>1</v>
      </c>
      <c r="F131">
        <v>1</v>
      </c>
      <c r="G131">
        <v>1080</v>
      </c>
      <c r="H131">
        <v>3</v>
      </c>
      <c r="I131" t="s">
        <v>329</v>
      </c>
      <c r="J131" t="s">
        <v>330</v>
      </c>
      <c r="K131" t="s">
        <v>331</v>
      </c>
      <c r="L131">
        <v>1346</v>
      </c>
      <c r="N131">
        <v>1009</v>
      </c>
      <c r="O131" t="s">
        <v>313</v>
      </c>
      <c r="P131" t="s">
        <v>313</v>
      </c>
      <c r="Q131">
        <v>1</v>
      </c>
      <c r="X131">
        <v>0.16</v>
      </c>
      <c r="Y131">
        <v>159.06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3</v>
      </c>
      <c r="AG131">
        <v>0.16</v>
      </c>
      <c r="AH131">
        <v>2</v>
      </c>
      <c r="AI131">
        <v>60258429</v>
      </c>
      <c r="AJ131">
        <v>102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ROW(Source!A163)</f>
        <v>163</v>
      </c>
      <c r="B132">
        <v>60258529</v>
      </c>
      <c r="C132">
        <v>60258424</v>
      </c>
      <c r="D132">
        <v>59063037</v>
      </c>
      <c r="E132">
        <v>1</v>
      </c>
      <c r="F132">
        <v>1</v>
      </c>
      <c r="G132">
        <v>1080</v>
      </c>
      <c r="H132">
        <v>3</v>
      </c>
      <c r="I132" t="s">
        <v>332</v>
      </c>
      <c r="J132" t="s">
        <v>333</v>
      </c>
      <c r="K132" t="s">
        <v>334</v>
      </c>
      <c r="L132">
        <v>1355</v>
      </c>
      <c r="N132">
        <v>1010</v>
      </c>
      <c r="O132" t="s">
        <v>283</v>
      </c>
      <c r="P132" t="s">
        <v>283</v>
      </c>
      <c r="Q132">
        <v>100</v>
      </c>
      <c r="X132">
        <v>0.05</v>
      </c>
      <c r="Y132">
        <v>130.15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3</v>
      </c>
      <c r="AG132">
        <v>0.05</v>
      </c>
      <c r="AH132">
        <v>2</v>
      </c>
      <c r="AI132">
        <v>60258430</v>
      </c>
      <c r="AJ132">
        <v>103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ROW(Source!A163)</f>
        <v>163</v>
      </c>
      <c r="B133">
        <v>60258530</v>
      </c>
      <c r="C133">
        <v>60258424</v>
      </c>
      <c r="D133">
        <v>59063048</v>
      </c>
      <c r="E133">
        <v>1</v>
      </c>
      <c r="F133">
        <v>1</v>
      </c>
      <c r="G133">
        <v>1080</v>
      </c>
      <c r="H133">
        <v>3</v>
      </c>
      <c r="I133" t="s">
        <v>335</v>
      </c>
      <c r="J133" t="s">
        <v>336</v>
      </c>
      <c r="K133" t="s">
        <v>337</v>
      </c>
      <c r="L133">
        <v>1356</v>
      </c>
      <c r="N133">
        <v>1010</v>
      </c>
      <c r="O133" t="s">
        <v>295</v>
      </c>
      <c r="P133" t="s">
        <v>295</v>
      </c>
      <c r="Q133">
        <v>1000</v>
      </c>
      <c r="X133">
        <v>1.2200000000000001E-2</v>
      </c>
      <c r="Y133">
        <v>226.86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</v>
      </c>
      <c r="AG133">
        <v>1.2200000000000001E-2</v>
      </c>
      <c r="AH133">
        <v>2</v>
      </c>
      <c r="AI133">
        <v>60258431</v>
      </c>
      <c r="AJ133">
        <v>104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ROW(Source!A163)</f>
        <v>163</v>
      </c>
      <c r="B134">
        <v>60258531</v>
      </c>
      <c r="C134">
        <v>60258424</v>
      </c>
      <c r="D134">
        <v>59062373</v>
      </c>
      <c r="E134">
        <v>1</v>
      </c>
      <c r="F134">
        <v>1</v>
      </c>
      <c r="G134">
        <v>1080</v>
      </c>
      <c r="H134">
        <v>3</v>
      </c>
      <c r="I134" t="s">
        <v>338</v>
      </c>
      <c r="J134" t="s">
        <v>339</v>
      </c>
      <c r="K134" t="s">
        <v>340</v>
      </c>
      <c r="L134">
        <v>1354</v>
      </c>
      <c r="N134">
        <v>1010</v>
      </c>
      <c r="O134" t="s">
        <v>241</v>
      </c>
      <c r="P134" t="s">
        <v>241</v>
      </c>
      <c r="Q134">
        <v>1</v>
      </c>
      <c r="X134">
        <v>3.1</v>
      </c>
      <c r="Y134">
        <v>6.94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3</v>
      </c>
      <c r="AG134">
        <v>3.1</v>
      </c>
      <c r="AH134">
        <v>2</v>
      </c>
      <c r="AI134">
        <v>60258432</v>
      </c>
      <c r="AJ134">
        <v>105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ROW(Source!A163)</f>
        <v>163</v>
      </c>
      <c r="B135">
        <v>60258532</v>
      </c>
      <c r="C135">
        <v>60258424</v>
      </c>
      <c r="D135">
        <v>59062381</v>
      </c>
      <c r="E135">
        <v>1</v>
      </c>
      <c r="F135">
        <v>1</v>
      </c>
      <c r="G135">
        <v>1080</v>
      </c>
      <c r="H135">
        <v>3</v>
      </c>
      <c r="I135" t="s">
        <v>341</v>
      </c>
      <c r="J135" t="s">
        <v>342</v>
      </c>
      <c r="K135" t="s">
        <v>343</v>
      </c>
      <c r="L135">
        <v>1356</v>
      </c>
      <c r="N135">
        <v>1010</v>
      </c>
      <c r="O135" t="s">
        <v>295</v>
      </c>
      <c r="P135" t="s">
        <v>295</v>
      </c>
      <c r="Q135">
        <v>1000</v>
      </c>
      <c r="X135">
        <v>8.0000000000000002E-3</v>
      </c>
      <c r="Y135">
        <v>614.09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</v>
      </c>
      <c r="AG135">
        <v>8.0000000000000002E-3</v>
      </c>
      <c r="AH135">
        <v>2</v>
      </c>
      <c r="AI135">
        <v>60258433</v>
      </c>
      <c r="AJ135">
        <v>106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ROW(Source!A163)</f>
        <v>163</v>
      </c>
      <c r="B136">
        <v>60258533</v>
      </c>
      <c r="C136">
        <v>60258424</v>
      </c>
      <c r="D136">
        <v>59014724</v>
      </c>
      <c r="E136">
        <v>1080</v>
      </c>
      <c r="F136">
        <v>1</v>
      </c>
      <c r="G136">
        <v>1080</v>
      </c>
      <c r="H136">
        <v>3</v>
      </c>
      <c r="I136" t="s">
        <v>372</v>
      </c>
      <c r="J136" t="s">
        <v>3</v>
      </c>
      <c r="K136" t="s">
        <v>373</v>
      </c>
      <c r="L136">
        <v>1303</v>
      </c>
      <c r="N136">
        <v>1003</v>
      </c>
      <c r="O136" t="s">
        <v>232</v>
      </c>
      <c r="P136" t="s">
        <v>232</v>
      </c>
      <c r="Q136">
        <v>1000</v>
      </c>
      <c r="X136">
        <v>0.10299999999999999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3</v>
      </c>
      <c r="AG136">
        <v>0.10299999999999999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ROW(Source!A164)</f>
        <v>164</v>
      </c>
      <c r="B137">
        <v>60258534</v>
      </c>
      <c r="C137">
        <v>60258444</v>
      </c>
      <c r="D137">
        <v>58999254</v>
      </c>
      <c r="E137">
        <v>1080</v>
      </c>
      <c r="F137">
        <v>1</v>
      </c>
      <c r="G137">
        <v>1080</v>
      </c>
      <c r="H137">
        <v>1</v>
      </c>
      <c r="I137" t="s">
        <v>263</v>
      </c>
      <c r="J137" t="s">
        <v>3</v>
      </c>
      <c r="K137" t="s">
        <v>264</v>
      </c>
      <c r="L137">
        <v>1191</v>
      </c>
      <c r="N137">
        <v>1013</v>
      </c>
      <c r="O137" t="s">
        <v>265</v>
      </c>
      <c r="P137" t="s">
        <v>265</v>
      </c>
      <c r="Q137">
        <v>1</v>
      </c>
      <c r="X137">
        <v>1.83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23</v>
      </c>
      <c r="AG137">
        <v>2.0130000000000003</v>
      </c>
      <c r="AH137">
        <v>2</v>
      </c>
      <c r="AI137">
        <v>60258445</v>
      </c>
      <c r="AJ137">
        <v>107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ROW(Source!A164)</f>
        <v>164</v>
      </c>
      <c r="B138">
        <v>60258535</v>
      </c>
      <c r="C138">
        <v>60258444</v>
      </c>
      <c r="D138">
        <v>59070669</v>
      </c>
      <c r="E138">
        <v>1</v>
      </c>
      <c r="F138">
        <v>1</v>
      </c>
      <c r="G138">
        <v>1080</v>
      </c>
      <c r="H138">
        <v>2</v>
      </c>
      <c r="I138" t="s">
        <v>266</v>
      </c>
      <c r="J138" t="s">
        <v>267</v>
      </c>
      <c r="K138" t="s">
        <v>268</v>
      </c>
      <c r="L138">
        <v>1368</v>
      </c>
      <c r="N138">
        <v>1011</v>
      </c>
      <c r="O138" t="s">
        <v>269</v>
      </c>
      <c r="P138" t="s">
        <v>269</v>
      </c>
      <c r="Q138">
        <v>1</v>
      </c>
      <c r="X138">
        <v>0.01</v>
      </c>
      <c r="Y138">
        <v>0</v>
      </c>
      <c r="Z138">
        <v>83.1</v>
      </c>
      <c r="AA138">
        <v>12.62</v>
      </c>
      <c r="AB138">
        <v>0</v>
      </c>
      <c r="AC138">
        <v>0</v>
      </c>
      <c r="AD138">
        <v>1</v>
      </c>
      <c r="AE138">
        <v>0</v>
      </c>
      <c r="AF138" t="s">
        <v>23</v>
      </c>
      <c r="AG138">
        <v>1.1000000000000001E-2</v>
      </c>
      <c r="AH138">
        <v>2</v>
      </c>
      <c r="AI138">
        <v>60258446</v>
      </c>
      <c r="AJ138">
        <v>108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ROW(Source!A164)</f>
        <v>164</v>
      </c>
      <c r="B139">
        <v>60258536</v>
      </c>
      <c r="C139">
        <v>60258444</v>
      </c>
      <c r="D139">
        <v>59069905</v>
      </c>
      <c r="E139">
        <v>1</v>
      </c>
      <c r="F139">
        <v>1</v>
      </c>
      <c r="G139">
        <v>1080</v>
      </c>
      <c r="H139">
        <v>2</v>
      </c>
      <c r="I139" t="s">
        <v>323</v>
      </c>
      <c r="J139" t="s">
        <v>324</v>
      </c>
      <c r="K139" t="s">
        <v>325</v>
      </c>
      <c r="L139">
        <v>1368</v>
      </c>
      <c r="N139">
        <v>1011</v>
      </c>
      <c r="O139" t="s">
        <v>269</v>
      </c>
      <c r="P139" t="s">
        <v>269</v>
      </c>
      <c r="Q139">
        <v>1</v>
      </c>
      <c r="X139">
        <v>0.01</v>
      </c>
      <c r="Y139">
        <v>0</v>
      </c>
      <c r="Z139">
        <v>179.17</v>
      </c>
      <c r="AA139">
        <v>16.93</v>
      </c>
      <c r="AB139">
        <v>0</v>
      </c>
      <c r="AC139">
        <v>0</v>
      </c>
      <c r="AD139">
        <v>1</v>
      </c>
      <c r="AE139">
        <v>0</v>
      </c>
      <c r="AF139" t="s">
        <v>23</v>
      </c>
      <c r="AG139">
        <v>1.1000000000000001E-2</v>
      </c>
      <c r="AH139">
        <v>2</v>
      </c>
      <c r="AI139">
        <v>60258447</v>
      </c>
      <c r="AJ139">
        <v>109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ROW(Source!A164)</f>
        <v>164</v>
      </c>
      <c r="B140">
        <v>60258537</v>
      </c>
      <c r="C140">
        <v>60258444</v>
      </c>
      <c r="D140">
        <v>59039702</v>
      </c>
      <c r="E140">
        <v>1</v>
      </c>
      <c r="F140">
        <v>1</v>
      </c>
      <c r="G140">
        <v>1080</v>
      </c>
      <c r="H140">
        <v>3</v>
      </c>
      <c r="I140" t="s">
        <v>326</v>
      </c>
      <c r="J140" t="s">
        <v>327</v>
      </c>
      <c r="K140" t="s">
        <v>328</v>
      </c>
      <c r="L140">
        <v>1346</v>
      </c>
      <c r="N140">
        <v>1009</v>
      </c>
      <c r="O140" t="s">
        <v>313</v>
      </c>
      <c r="P140" t="s">
        <v>313</v>
      </c>
      <c r="Q140">
        <v>1</v>
      </c>
      <c r="X140">
        <v>0.6</v>
      </c>
      <c r="Y140">
        <v>1.38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</v>
      </c>
      <c r="AG140">
        <v>0.6</v>
      </c>
      <c r="AH140">
        <v>2</v>
      </c>
      <c r="AI140">
        <v>60258448</v>
      </c>
      <c r="AJ140">
        <v>110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ROW(Source!A164)</f>
        <v>164</v>
      </c>
      <c r="B141">
        <v>60258538</v>
      </c>
      <c r="C141">
        <v>60258444</v>
      </c>
      <c r="D141">
        <v>59040093</v>
      </c>
      <c r="E141">
        <v>1</v>
      </c>
      <c r="F141">
        <v>1</v>
      </c>
      <c r="G141">
        <v>1080</v>
      </c>
      <c r="H141">
        <v>3</v>
      </c>
      <c r="I141" t="s">
        <v>329</v>
      </c>
      <c r="J141" t="s">
        <v>330</v>
      </c>
      <c r="K141" t="s">
        <v>331</v>
      </c>
      <c r="L141">
        <v>1346</v>
      </c>
      <c r="N141">
        <v>1009</v>
      </c>
      <c r="O141" t="s">
        <v>313</v>
      </c>
      <c r="P141" t="s">
        <v>313</v>
      </c>
      <c r="Q141">
        <v>1</v>
      </c>
      <c r="X141">
        <v>0.16</v>
      </c>
      <c r="Y141">
        <v>159.06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0.16</v>
      </c>
      <c r="AH141">
        <v>2</v>
      </c>
      <c r="AI141">
        <v>60258449</v>
      </c>
      <c r="AJ141">
        <v>111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ROW(Source!A164)</f>
        <v>164</v>
      </c>
      <c r="B142">
        <v>60258539</v>
      </c>
      <c r="C142">
        <v>60258444</v>
      </c>
      <c r="D142">
        <v>59063048</v>
      </c>
      <c r="E142">
        <v>1</v>
      </c>
      <c r="F142">
        <v>1</v>
      </c>
      <c r="G142">
        <v>1080</v>
      </c>
      <c r="H142">
        <v>3</v>
      </c>
      <c r="I142" t="s">
        <v>335</v>
      </c>
      <c r="J142" t="s">
        <v>336</v>
      </c>
      <c r="K142" t="s">
        <v>337</v>
      </c>
      <c r="L142">
        <v>1356</v>
      </c>
      <c r="N142">
        <v>1010</v>
      </c>
      <c r="O142" t="s">
        <v>295</v>
      </c>
      <c r="P142" t="s">
        <v>295</v>
      </c>
      <c r="Q142">
        <v>1000</v>
      </c>
      <c r="X142">
        <v>1.2200000000000001E-2</v>
      </c>
      <c r="Y142">
        <v>226.86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1.2200000000000001E-2</v>
      </c>
      <c r="AH142">
        <v>2</v>
      </c>
      <c r="AI142">
        <v>60258450</v>
      </c>
      <c r="AJ142">
        <v>112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ROW(Source!A164)</f>
        <v>164</v>
      </c>
      <c r="B143">
        <v>60258540</v>
      </c>
      <c r="C143">
        <v>60258444</v>
      </c>
      <c r="D143">
        <v>59062373</v>
      </c>
      <c r="E143">
        <v>1</v>
      </c>
      <c r="F143">
        <v>1</v>
      </c>
      <c r="G143">
        <v>1080</v>
      </c>
      <c r="H143">
        <v>3</v>
      </c>
      <c r="I143" t="s">
        <v>338</v>
      </c>
      <c r="J143" t="s">
        <v>339</v>
      </c>
      <c r="K143" t="s">
        <v>340</v>
      </c>
      <c r="L143">
        <v>1354</v>
      </c>
      <c r="N143">
        <v>1010</v>
      </c>
      <c r="O143" t="s">
        <v>241</v>
      </c>
      <c r="P143" t="s">
        <v>241</v>
      </c>
      <c r="Q143">
        <v>1</v>
      </c>
      <c r="X143">
        <v>3.1</v>
      </c>
      <c r="Y143">
        <v>6.94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</v>
      </c>
      <c r="AG143">
        <v>3.1</v>
      </c>
      <c r="AH143">
        <v>2</v>
      </c>
      <c r="AI143">
        <v>60258451</v>
      </c>
      <c r="AJ143">
        <v>113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ROW(Source!A164)</f>
        <v>164</v>
      </c>
      <c r="B144">
        <v>60258541</v>
      </c>
      <c r="C144">
        <v>60258444</v>
      </c>
      <c r="D144">
        <v>59062381</v>
      </c>
      <c r="E144">
        <v>1</v>
      </c>
      <c r="F144">
        <v>1</v>
      </c>
      <c r="G144">
        <v>1080</v>
      </c>
      <c r="H144">
        <v>3</v>
      </c>
      <c r="I144" t="s">
        <v>341</v>
      </c>
      <c r="J144" t="s">
        <v>342</v>
      </c>
      <c r="K144" t="s">
        <v>343</v>
      </c>
      <c r="L144">
        <v>1356</v>
      </c>
      <c r="N144">
        <v>1010</v>
      </c>
      <c r="O144" t="s">
        <v>295</v>
      </c>
      <c r="P144" t="s">
        <v>295</v>
      </c>
      <c r="Q144">
        <v>1000</v>
      </c>
      <c r="X144">
        <v>8.0000000000000002E-3</v>
      </c>
      <c r="Y144">
        <v>614.09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3</v>
      </c>
      <c r="AG144">
        <v>8.0000000000000002E-3</v>
      </c>
      <c r="AH144">
        <v>2</v>
      </c>
      <c r="AI144">
        <v>60258452</v>
      </c>
      <c r="AJ144">
        <v>114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ROW(Source!A164)</f>
        <v>164</v>
      </c>
      <c r="B145">
        <v>60258542</v>
      </c>
      <c r="C145">
        <v>60258444</v>
      </c>
      <c r="D145">
        <v>59014724</v>
      </c>
      <c r="E145">
        <v>1080</v>
      </c>
      <c r="F145">
        <v>1</v>
      </c>
      <c r="G145">
        <v>1080</v>
      </c>
      <c r="H145">
        <v>3</v>
      </c>
      <c r="I145" t="s">
        <v>372</v>
      </c>
      <c r="J145" t="s">
        <v>3</v>
      </c>
      <c r="K145" t="s">
        <v>373</v>
      </c>
      <c r="L145">
        <v>1303</v>
      </c>
      <c r="N145">
        <v>1003</v>
      </c>
      <c r="O145" t="s">
        <v>232</v>
      </c>
      <c r="P145" t="s">
        <v>232</v>
      </c>
      <c r="Q145">
        <v>1000</v>
      </c>
      <c r="X145">
        <v>0.10299999999999999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3</v>
      </c>
      <c r="AG145">
        <v>0.10299999999999999</v>
      </c>
      <c r="AH145">
        <v>3</v>
      </c>
      <c r="AI145">
        <v>-1</v>
      </c>
      <c r="AJ145" t="s">
        <v>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ROW(Source!A165)</f>
        <v>165</v>
      </c>
      <c r="B146">
        <v>60258534</v>
      </c>
      <c r="C146">
        <v>60258444</v>
      </c>
      <c r="D146">
        <v>58999254</v>
      </c>
      <c r="E146">
        <v>1080</v>
      </c>
      <c r="F146">
        <v>1</v>
      </c>
      <c r="G146">
        <v>1080</v>
      </c>
      <c r="H146">
        <v>1</v>
      </c>
      <c r="I146" t="s">
        <v>263</v>
      </c>
      <c r="J146" t="s">
        <v>3</v>
      </c>
      <c r="K146" t="s">
        <v>264</v>
      </c>
      <c r="L146">
        <v>1191</v>
      </c>
      <c r="N146">
        <v>1013</v>
      </c>
      <c r="O146" t="s">
        <v>265</v>
      </c>
      <c r="P146" t="s">
        <v>265</v>
      </c>
      <c r="Q146">
        <v>1</v>
      </c>
      <c r="X146">
        <v>1.83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1</v>
      </c>
      <c r="AF146" t="s">
        <v>23</v>
      </c>
      <c r="AG146">
        <v>2.0130000000000003</v>
      </c>
      <c r="AH146">
        <v>2</v>
      </c>
      <c r="AI146">
        <v>60258445</v>
      </c>
      <c r="AJ146">
        <v>115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ROW(Source!A165)</f>
        <v>165</v>
      </c>
      <c r="B147">
        <v>60258535</v>
      </c>
      <c r="C147">
        <v>60258444</v>
      </c>
      <c r="D147">
        <v>59070669</v>
      </c>
      <c r="E147">
        <v>1</v>
      </c>
      <c r="F147">
        <v>1</v>
      </c>
      <c r="G147">
        <v>1080</v>
      </c>
      <c r="H147">
        <v>2</v>
      </c>
      <c r="I147" t="s">
        <v>266</v>
      </c>
      <c r="J147" t="s">
        <v>267</v>
      </c>
      <c r="K147" t="s">
        <v>268</v>
      </c>
      <c r="L147">
        <v>1368</v>
      </c>
      <c r="N147">
        <v>1011</v>
      </c>
      <c r="O147" t="s">
        <v>269</v>
      </c>
      <c r="P147" t="s">
        <v>269</v>
      </c>
      <c r="Q147">
        <v>1</v>
      </c>
      <c r="X147">
        <v>0.01</v>
      </c>
      <c r="Y147">
        <v>0</v>
      </c>
      <c r="Z147">
        <v>83.1</v>
      </c>
      <c r="AA147">
        <v>12.62</v>
      </c>
      <c r="AB147">
        <v>0</v>
      </c>
      <c r="AC147">
        <v>0</v>
      </c>
      <c r="AD147">
        <v>1</v>
      </c>
      <c r="AE147">
        <v>0</v>
      </c>
      <c r="AF147" t="s">
        <v>23</v>
      </c>
      <c r="AG147">
        <v>1.1000000000000001E-2</v>
      </c>
      <c r="AH147">
        <v>2</v>
      </c>
      <c r="AI147">
        <v>60258446</v>
      </c>
      <c r="AJ147">
        <v>116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ROW(Source!A165)</f>
        <v>165</v>
      </c>
      <c r="B148">
        <v>60258536</v>
      </c>
      <c r="C148">
        <v>60258444</v>
      </c>
      <c r="D148">
        <v>59069905</v>
      </c>
      <c r="E148">
        <v>1</v>
      </c>
      <c r="F148">
        <v>1</v>
      </c>
      <c r="G148">
        <v>1080</v>
      </c>
      <c r="H148">
        <v>2</v>
      </c>
      <c r="I148" t="s">
        <v>323</v>
      </c>
      <c r="J148" t="s">
        <v>324</v>
      </c>
      <c r="K148" t="s">
        <v>325</v>
      </c>
      <c r="L148">
        <v>1368</v>
      </c>
      <c r="N148">
        <v>1011</v>
      </c>
      <c r="O148" t="s">
        <v>269</v>
      </c>
      <c r="P148" t="s">
        <v>269</v>
      </c>
      <c r="Q148">
        <v>1</v>
      </c>
      <c r="X148">
        <v>0.01</v>
      </c>
      <c r="Y148">
        <v>0</v>
      </c>
      <c r="Z148">
        <v>179.17</v>
      </c>
      <c r="AA148">
        <v>16.93</v>
      </c>
      <c r="AB148">
        <v>0</v>
      </c>
      <c r="AC148">
        <v>0</v>
      </c>
      <c r="AD148">
        <v>1</v>
      </c>
      <c r="AE148">
        <v>0</v>
      </c>
      <c r="AF148" t="s">
        <v>23</v>
      </c>
      <c r="AG148">
        <v>1.1000000000000001E-2</v>
      </c>
      <c r="AH148">
        <v>2</v>
      </c>
      <c r="AI148">
        <v>60258447</v>
      </c>
      <c r="AJ148">
        <v>117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ROW(Source!A165)</f>
        <v>165</v>
      </c>
      <c r="B149">
        <v>60258537</v>
      </c>
      <c r="C149">
        <v>60258444</v>
      </c>
      <c r="D149">
        <v>59039702</v>
      </c>
      <c r="E149">
        <v>1</v>
      </c>
      <c r="F149">
        <v>1</v>
      </c>
      <c r="G149">
        <v>1080</v>
      </c>
      <c r="H149">
        <v>3</v>
      </c>
      <c r="I149" t="s">
        <v>326</v>
      </c>
      <c r="J149" t="s">
        <v>327</v>
      </c>
      <c r="K149" t="s">
        <v>328</v>
      </c>
      <c r="L149">
        <v>1346</v>
      </c>
      <c r="N149">
        <v>1009</v>
      </c>
      <c r="O149" t="s">
        <v>313</v>
      </c>
      <c r="P149" t="s">
        <v>313</v>
      </c>
      <c r="Q149">
        <v>1</v>
      </c>
      <c r="X149">
        <v>0.6</v>
      </c>
      <c r="Y149">
        <v>1.38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</v>
      </c>
      <c r="AG149">
        <v>0.6</v>
      </c>
      <c r="AH149">
        <v>2</v>
      </c>
      <c r="AI149">
        <v>60258448</v>
      </c>
      <c r="AJ149">
        <v>118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ROW(Source!A165)</f>
        <v>165</v>
      </c>
      <c r="B150">
        <v>60258538</v>
      </c>
      <c r="C150">
        <v>60258444</v>
      </c>
      <c r="D150">
        <v>59040093</v>
      </c>
      <c r="E150">
        <v>1</v>
      </c>
      <c r="F150">
        <v>1</v>
      </c>
      <c r="G150">
        <v>1080</v>
      </c>
      <c r="H150">
        <v>3</v>
      </c>
      <c r="I150" t="s">
        <v>329</v>
      </c>
      <c r="J150" t="s">
        <v>330</v>
      </c>
      <c r="K150" t="s">
        <v>331</v>
      </c>
      <c r="L150">
        <v>1346</v>
      </c>
      <c r="N150">
        <v>1009</v>
      </c>
      <c r="O150" t="s">
        <v>313</v>
      </c>
      <c r="P150" t="s">
        <v>313</v>
      </c>
      <c r="Q150">
        <v>1</v>
      </c>
      <c r="X150">
        <v>0.16</v>
      </c>
      <c r="Y150">
        <v>159.06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</v>
      </c>
      <c r="AG150">
        <v>0.16</v>
      </c>
      <c r="AH150">
        <v>2</v>
      </c>
      <c r="AI150">
        <v>60258449</v>
      </c>
      <c r="AJ150">
        <v>119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ROW(Source!A165)</f>
        <v>165</v>
      </c>
      <c r="B151">
        <v>60258539</v>
      </c>
      <c r="C151">
        <v>60258444</v>
      </c>
      <c r="D151">
        <v>59063048</v>
      </c>
      <c r="E151">
        <v>1</v>
      </c>
      <c r="F151">
        <v>1</v>
      </c>
      <c r="G151">
        <v>1080</v>
      </c>
      <c r="H151">
        <v>3</v>
      </c>
      <c r="I151" t="s">
        <v>335</v>
      </c>
      <c r="J151" t="s">
        <v>336</v>
      </c>
      <c r="K151" t="s">
        <v>337</v>
      </c>
      <c r="L151">
        <v>1356</v>
      </c>
      <c r="N151">
        <v>1010</v>
      </c>
      <c r="O151" t="s">
        <v>295</v>
      </c>
      <c r="P151" t="s">
        <v>295</v>
      </c>
      <c r="Q151">
        <v>1000</v>
      </c>
      <c r="X151">
        <v>1.2200000000000001E-2</v>
      </c>
      <c r="Y151">
        <v>226.86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</v>
      </c>
      <c r="AG151">
        <v>1.2200000000000001E-2</v>
      </c>
      <c r="AH151">
        <v>2</v>
      </c>
      <c r="AI151">
        <v>60258450</v>
      </c>
      <c r="AJ151">
        <v>120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ROW(Source!A165)</f>
        <v>165</v>
      </c>
      <c r="B152">
        <v>60258540</v>
      </c>
      <c r="C152">
        <v>60258444</v>
      </c>
      <c r="D152">
        <v>59062373</v>
      </c>
      <c r="E152">
        <v>1</v>
      </c>
      <c r="F152">
        <v>1</v>
      </c>
      <c r="G152">
        <v>1080</v>
      </c>
      <c r="H152">
        <v>3</v>
      </c>
      <c r="I152" t="s">
        <v>338</v>
      </c>
      <c r="J152" t="s">
        <v>339</v>
      </c>
      <c r="K152" t="s">
        <v>340</v>
      </c>
      <c r="L152">
        <v>1354</v>
      </c>
      <c r="N152">
        <v>1010</v>
      </c>
      <c r="O152" t="s">
        <v>241</v>
      </c>
      <c r="P152" t="s">
        <v>241</v>
      </c>
      <c r="Q152">
        <v>1</v>
      </c>
      <c r="X152">
        <v>3.1</v>
      </c>
      <c r="Y152">
        <v>6.94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</v>
      </c>
      <c r="AG152">
        <v>3.1</v>
      </c>
      <c r="AH152">
        <v>2</v>
      </c>
      <c r="AI152">
        <v>60258451</v>
      </c>
      <c r="AJ152">
        <v>121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ROW(Source!A165)</f>
        <v>165</v>
      </c>
      <c r="B153">
        <v>60258541</v>
      </c>
      <c r="C153">
        <v>60258444</v>
      </c>
      <c r="D153">
        <v>59062381</v>
      </c>
      <c r="E153">
        <v>1</v>
      </c>
      <c r="F153">
        <v>1</v>
      </c>
      <c r="G153">
        <v>1080</v>
      </c>
      <c r="H153">
        <v>3</v>
      </c>
      <c r="I153" t="s">
        <v>341</v>
      </c>
      <c r="J153" t="s">
        <v>342</v>
      </c>
      <c r="K153" t="s">
        <v>343</v>
      </c>
      <c r="L153">
        <v>1356</v>
      </c>
      <c r="N153">
        <v>1010</v>
      </c>
      <c r="O153" t="s">
        <v>295</v>
      </c>
      <c r="P153" t="s">
        <v>295</v>
      </c>
      <c r="Q153">
        <v>1000</v>
      </c>
      <c r="X153">
        <v>8.0000000000000002E-3</v>
      </c>
      <c r="Y153">
        <v>614.09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3</v>
      </c>
      <c r="AG153">
        <v>8.0000000000000002E-3</v>
      </c>
      <c r="AH153">
        <v>2</v>
      </c>
      <c r="AI153">
        <v>60258452</v>
      </c>
      <c r="AJ153">
        <v>122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ROW(Source!A165)</f>
        <v>165</v>
      </c>
      <c r="B154">
        <v>60258542</v>
      </c>
      <c r="C154">
        <v>60258444</v>
      </c>
      <c r="D154">
        <v>59014724</v>
      </c>
      <c r="E154">
        <v>1080</v>
      </c>
      <c r="F154">
        <v>1</v>
      </c>
      <c r="G154">
        <v>1080</v>
      </c>
      <c r="H154">
        <v>3</v>
      </c>
      <c r="I154" t="s">
        <v>372</v>
      </c>
      <c r="J154" t="s">
        <v>3</v>
      </c>
      <c r="K154" t="s">
        <v>373</v>
      </c>
      <c r="L154">
        <v>1303</v>
      </c>
      <c r="N154">
        <v>1003</v>
      </c>
      <c r="O154" t="s">
        <v>232</v>
      </c>
      <c r="P154" t="s">
        <v>232</v>
      </c>
      <c r="Q154">
        <v>1000</v>
      </c>
      <c r="X154">
        <v>0.10299999999999999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3</v>
      </c>
      <c r="AG154">
        <v>0.10299999999999999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3</v>
      </c>
      <c r="E1" t="s">
        <v>23</v>
      </c>
      <c r="F1" t="s">
        <v>23</v>
      </c>
      <c r="G1" t="s">
        <v>23</v>
      </c>
      <c r="H1" t="s">
        <v>3</v>
      </c>
      <c r="I1" t="s">
        <v>23</v>
      </c>
      <c r="J1" t="s">
        <v>23</v>
      </c>
      <c r="K1" t="s">
        <v>3</v>
      </c>
      <c r="L1" t="s">
        <v>3</v>
      </c>
      <c r="M1" t="s">
        <v>3</v>
      </c>
      <c r="N1" t="s">
        <v>3</v>
      </c>
      <c r="O1" t="s">
        <v>23</v>
      </c>
      <c r="P1" t="s">
        <v>3</v>
      </c>
      <c r="Q1" t="s">
        <v>3</v>
      </c>
      <c r="R1" t="s">
        <v>3</v>
      </c>
      <c r="S1" t="s">
        <v>374</v>
      </c>
      <c r="T1" t="s">
        <v>376</v>
      </c>
      <c r="U1" t="s">
        <v>375</v>
      </c>
    </row>
    <row r="2" spans="1:21" x14ac:dyDescent="0.2">
      <c r="A2">
        <v>29</v>
      </c>
      <c r="B2">
        <v>1</v>
      </c>
      <c r="C2" t="s">
        <v>3</v>
      </c>
      <c r="D2" t="s">
        <v>3</v>
      </c>
      <c r="E2" t="s">
        <v>23</v>
      </c>
      <c r="F2" t="s">
        <v>23</v>
      </c>
      <c r="G2" t="s">
        <v>23</v>
      </c>
      <c r="H2" t="s">
        <v>3</v>
      </c>
      <c r="I2" t="s">
        <v>23</v>
      </c>
      <c r="J2" t="s">
        <v>23</v>
      </c>
      <c r="K2" t="s">
        <v>3</v>
      </c>
      <c r="L2" t="s">
        <v>3</v>
      </c>
      <c r="M2" t="s">
        <v>3</v>
      </c>
      <c r="N2" t="s">
        <v>3</v>
      </c>
      <c r="O2" t="s">
        <v>23</v>
      </c>
      <c r="P2" t="s">
        <v>3</v>
      </c>
      <c r="Q2" t="s">
        <v>3</v>
      </c>
      <c r="R2" t="s">
        <v>3</v>
      </c>
      <c r="S2" t="s">
        <v>374</v>
      </c>
      <c r="T2" t="s">
        <v>376</v>
      </c>
      <c r="U2" t="s">
        <v>375</v>
      </c>
    </row>
    <row r="3" spans="1:21" x14ac:dyDescent="0.2">
      <c r="A3">
        <v>32</v>
      </c>
      <c r="B3">
        <v>1</v>
      </c>
      <c r="C3" t="s">
        <v>3</v>
      </c>
      <c r="D3" t="s">
        <v>3</v>
      </c>
      <c r="E3" t="s">
        <v>23</v>
      </c>
      <c r="F3" t="s">
        <v>23</v>
      </c>
      <c r="G3" t="s">
        <v>23</v>
      </c>
      <c r="H3" t="s">
        <v>3</v>
      </c>
      <c r="I3" t="s">
        <v>23</v>
      </c>
      <c r="J3" t="s">
        <v>23</v>
      </c>
      <c r="K3" t="s">
        <v>3</v>
      </c>
      <c r="L3" t="s">
        <v>3</v>
      </c>
      <c r="M3" t="s">
        <v>3</v>
      </c>
      <c r="N3" t="s">
        <v>3</v>
      </c>
      <c r="O3" t="s">
        <v>23</v>
      </c>
      <c r="P3" t="s">
        <v>3</v>
      </c>
      <c r="Q3" t="s">
        <v>3</v>
      </c>
      <c r="R3" t="s">
        <v>3</v>
      </c>
      <c r="S3" t="s">
        <v>374</v>
      </c>
      <c r="T3" t="s">
        <v>376</v>
      </c>
      <c r="U3" t="s">
        <v>375</v>
      </c>
    </row>
    <row r="4" spans="1:21" x14ac:dyDescent="0.2">
      <c r="A4">
        <v>33</v>
      </c>
      <c r="B4">
        <v>1</v>
      </c>
      <c r="C4" t="s">
        <v>3</v>
      </c>
      <c r="D4" t="s">
        <v>3</v>
      </c>
      <c r="E4" t="s">
        <v>23</v>
      </c>
      <c r="F4" t="s">
        <v>23</v>
      </c>
      <c r="G4" t="s">
        <v>23</v>
      </c>
      <c r="H4" t="s">
        <v>3</v>
      </c>
      <c r="I4" t="s">
        <v>23</v>
      </c>
      <c r="J4" t="s">
        <v>23</v>
      </c>
      <c r="K4" t="s">
        <v>3</v>
      </c>
      <c r="L4" t="s">
        <v>3</v>
      </c>
      <c r="M4" t="s">
        <v>3</v>
      </c>
      <c r="N4" t="s">
        <v>3</v>
      </c>
      <c r="O4" t="s">
        <v>23</v>
      </c>
      <c r="P4" t="s">
        <v>3</v>
      </c>
      <c r="Q4" t="s">
        <v>3</v>
      </c>
      <c r="R4" t="s">
        <v>3</v>
      </c>
      <c r="S4" t="s">
        <v>374</v>
      </c>
      <c r="T4" t="s">
        <v>376</v>
      </c>
      <c r="U4" t="s">
        <v>375</v>
      </c>
    </row>
    <row r="5" spans="1:21" x14ac:dyDescent="0.2">
      <c r="A5">
        <v>36</v>
      </c>
      <c r="B5">
        <v>1</v>
      </c>
      <c r="C5" t="s">
        <v>3</v>
      </c>
      <c r="D5" t="s">
        <v>3</v>
      </c>
      <c r="E5" t="s">
        <v>23</v>
      </c>
      <c r="F5" t="s">
        <v>23</v>
      </c>
      <c r="G5" t="s">
        <v>23</v>
      </c>
      <c r="H5" t="s">
        <v>3</v>
      </c>
      <c r="I5" t="s">
        <v>23</v>
      </c>
      <c r="J5" t="s">
        <v>23</v>
      </c>
      <c r="K5" t="s">
        <v>3</v>
      </c>
      <c r="L5" t="s">
        <v>3</v>
      </c>
      <c r="M5" t="s">
        <v>3</v>
      </c>
      <c r="N5" t="s">
        <v>3</v>
      </c>
      <c r="O5" t="s">
        <v>23</v>
      </c>
      <c r="P5" t="s">
        <v>3</v>
      </c>
      <c r="Q5" t="s">
        <v>3</v>
      </c>
      <c r="R5" t="s">
        <v>3</v>
      </c>
      <c r="S5" t="s">
        <v>374</v>
      </c>
      <c r="T5" t="s">
        <v>376</v>
      </c>
      <c r="U5" t="s">
        <v>375</v>
      </c>
    </row>
    <row r="6" spans="1:21" x14ac:dyDescent="0.2">
      <c r="A6">
        <v>37</v>
      </c>
      <c r="B6">
        <v>1</v>
      </c>
      <c r="C6" t="s">
        <v>3</v>
      </c>
      <c r="D6" t="s">
        <v>3</v>
      </c>
      <c r="E6" t="s">
        <v>23</v>
      </c>
      <c r="F6" t="s">
        <v>23</v>
      </c>
      <c r="G6" t="s">
        <v>23</v>
      </c>
      <c r="H6" t="s">
        <v>3</v>
      </c>
      <c r="I6" t="s">
        <v>23</v>
      </c>
      <c r="J6" t="s">
        <v>23</v>
      </c>
      <c r="K6" t="s">
        <v>3</v>
      </c>
      <c r="L6" t="s">
        <v>3</v>
      </c>
      <c r="M6" t="s">
        <v>3</v>
      </c>
      <c r="N6" t="s">
        <v>3</v>
      </c>
      <c r="O6" t="s">
        <v>23</v>
      </c>
      <c r="P6" t="s">
        <v>3</v>
      </c>
      <c r="Q6" t="s">
        <v>3</v>
      </c>
      <c r="R6" t="s">
        <v>3</v>
      </c>
      <c r="S6" t="s">
        <v>374</v>
      </c>
      <c r="T6" t="s">
        <v>376</v>
      </c>
      <c r="U6" t="s">
        <v>375</v>
      </c>
    </row>
    <row r="7" spans="1:21" x14ac:dyDescent="0.2">
      <c r="A7">
        <v>40</v>
      </c>
      <c r="B7">
        <v>1</v>
      </c>
      <c r="C7" t="s">
        <v>3</v>
      </c>
      <c r="D7" t="s">
        <v>3</v>
      </c>
      <c r="E7" t="s">
        <v>23</v>
      </c>
      <c r="F7" t="s">
        <v>23</v>
      </c>
      <c r="G7" t="s">
        <v>23</v>
      </c>
      <c r="H7" t="s">
        <v>3</v>
      </c>
      <c r="I7" t="s">
        <v>23</v>
      </c>
      <c r="J7" t="s">
        <v>23</v>
      </c>
      <c r="K7" t="s">
        <v>3</v>
      </c>
      <c r="L7" t="s">
        <v>3</v>
      </c>
      <c r="M7" t="s">
        <v>3</v>
      </c>
      <c r="N7" t="s">
        <v>3</v>
      </c>
      <c r="O7" t="s">
        <v>23</v>
      </c>
      <c r="P7" t="s">
        <v>3</v>
      </c>
      <c r="Q7" t="s">
        <v>3</v>
      </c>
      <c r="R7" t="s">
        <v>3</v>
      </c>
      <c r="S7" t="s">
        <v>374</v>
      </c>
      <c r="T7" t="s">
        <v>376</v>
      </c>
      <c r="U7" t="s">
        <v>375</v>
      </c>
    </row>
    <row r="8" spans="1:21" x14ac:dyDescent="0.2">
      <c r="A8">
        <v>41</v>
      </c>
      <c r="B8">
        <v>1</v>
      </c>
      <c r="C8" t="s">
        <v>3</v>
      </c>
      <c r="D8" t="s">
        <v>3</v>
      </c>
      <c r="E8" t="s">
        <v>23</v>
      </c>
      <c r="F8" t="s">
        <v>23</v>
      </c>
      <c r="G8" t="s">
        <v>23</v>
      </c>
      <c r="H8" t="s">
        <v>3</v>
      </c>
      <c r="I8" t="s">
        <v>23</v>
      </c>
      <c r="J8" t="s">
        <v>23</v>
      </c>
      <c r="K8" t="s">
        <v>3</v>
      </c>
      <c r="L8" t="s">
        <v>3</v>
      </c>
      <c r="M8" t="s">
        <v>3</v>
      </c>
      <c r="N8" t="s">
        <v>3</v>
      </c>
      <c r="O8" t="s">
        <v>23</v>
      </c>
      <c r="P8" t="s">
        <v>3</v>
      </c>
      <c r="Q8" t="s">
        <v>3</v>
      </c>
      <c r="R8" t="s">
        <v>3</v>
      </c>
      <c r="S8" t="s">
        <v>374</v>
      </c>
      <c r="T8" t="s">
        <v>376</v>
      </c>
      <c r="U8" t="s">
        <v>375</v>
      </c>
    </row>
    <row r="9" spans="1:21" x14ac:dyDescent="0.2">
      <c r="A9">
        <v>46</v>
      </c>
      <c r="B9">
        <v>1</v>
      </c>
      <c r="C9" t="s">
        <v>3</v>
      </c>
      <c r="D9" t="s">
        <v>3</v>
      </c>
      <c r="E9" t="s">
        <v>23</v>
      </c>
      <c r="F9" t="s">
        <v>23</v>
      </c>
      <c r="G9" t="s">
        <v>23</v>
      </c>
      <c r="H9" t="s">
        <v>3</v>
      </c>
      <c r="I9" t="s">
        <v>23</v>
      </c>
      <c r="J9" t="s">
        <v>23</v>
      </c>
      <c r="K9" t="s">
        <v>3</v>
      </c>
      <c r="L9" t="s">
        <v>3</v>
      </c>
      <c r="M9" t="s">
        <v>3</v>
      </c>
      <c r="N9" t="s">
        <v>3</v>
      </c>
      <c r="O9" t="s">
        <v>23</v>
      </c>
      <c r="P9" t="s">
        <v>3</v>
      </c>
      <c r="Q9" t="s">
        <v>3</v>
      </c>
      <c r="R9" t="s">
        <v>3</v>
      </c>
      <c r="S9" t="s">
        <v>374</v>
      </c>
      <c r="T9" t="s">
        <v>376</v>
      </c>
      <c r="U9" t="s">
        <v>375</v>
      </c>
    </row>
    <row r="10" spans="1:21" x14ac:dyDescent="0.2">
      <c r="A10">
        <v>47</v>
      </c>
      <c r="B10">
        <v>1</v>
      </c>
      <c r="C10" t="s">
        <v>3</v>
      </c>
      <c r="D10" t="s">
        <v>3</v>
      </c>
      <c r="E10" t="s">
        <v>23</v>
      </c>
      <c r="F10" t="s">
        <v>23</v>
      </c>
      <c r="G10" t="s">
        <v>23</v>
      </c>
      <c r="H10" t="s">
        <v>3</v>
      </c>
      <c r="I10" t="s">
        <v>23</v>
      </c>
      <c r="J10" t="s">
        <v>23</v>
      </c>
      <c r="K10" t="s">
        <v>3</v>
      </c>
      <c r="L10" t="s">
        <v>3</v>
      </c>
      <c r="M10" t="s">
        <v>3</v>
      </c>
      <c r="N10" t="s">
        <v>3</v>
      </c>
      <c r="O10" t="s">
        <v>23</v>
      </c>
      <c r="P10" t="s">
        <v>3</v>
      </c>
      <c r="Q10" t="s">
        <v>3</v>
      </c>
      <c r="R10" t="s">
        <v>3</v>
      </c>
      <c r="S10" t="s">
        <v>374</v>
      </c>
      <c r="T10" t="s">
        <v>376</v>
      </c>
      <c r="U10" t="s">
        <v>375</v>
      </c>
    </row>
    <row r="11" spans="1:21" x14ac:dyDescent="0.2">
      <c r="A11">
        <v>54</v>
      </c>
      <c r="B11">
        <v>1</v>
      </c>
      <c r="C11" t="s">
        <v>3</v>
      </c>
      <c r="D11" t="s">
        <v>3</v>
      </c>
      <c r="E11" t="s">
        <v>23</v>
      </c>
      <c r="F11" t="s">
        <v>23</v>
      </c>
      <c r="G11" t="s">
        <v>23</v>
      </c>
      <c r="H11" t="s">
        <v>3</v>
      </c>
      <c r="I11" t="s">
        <v>23</v>
      </c>
      <c r="J11" t="s">
        <v>23</v>
      </c>
      <c r="K11" t="s">
        <v>3</v>
      </c>
      <c r="L11" t="s">
        <v>3</v>
      </c>
      <c r="M11" t="s">
        <v>3</v>
      </c>
      <c r="N11" t="s">
        <v>3</v>
      </c>
      <c r="O11" t="s">
        <v>23</v>
      </c>
      <c r="P11" t="s">
        <v>3</v>
      </c>
      <c r="Q11" t="s">
        <v>3</v>
      </c>
      <c r="R11" t="s">
        <v>3</v>
      </c>
      <c r="S11" t="s">
        <v>374</v>
      </c>
      <c r="T11" t="s">
        <v>376</v>
      </c>
      <c r="U11" t="s">
        <v>375</v>
      </c>
    </row>
    <row r="12" spans="1:21" x14ac:dyDescent="0.2">
      <c r="A12">
        <v>55</v>
      </c>
      <c r="B12">
        <v>1</v>
      </c>
      <c r="C12" t="s">
        <v>3</v>
      </c>
      <c r="D12" t="s">
        <v>3</v>
      </c>
      <c r="E12" t="s">
        <v>23</v>
      </c>
      <c r="F12" t="s">
        <v>23</v>
      </c>
      <c r="G12" t="s">
        <v>23</v>
      </c>
      <c r="H12" t="s">
        <v>3</v>
      </c>
      <c r="I12" t="s">
        <v>23</v>
      </c>
      <c r="J12" t="s">
        <v>23</v>
      </c>
      <c r="K12" t="s">
        <v>3</v>
      </c>
      <c r="L12" t="s">
        <v>3</v>
      </c>
      <c r="M12" t="s">
        <v>3</v>
      </c>
      <c r="N12" t="s">
        <v>3</v>
      </c>
      <c r="O12" t="s">
        <v>23</v>
      </c>
      <c r="P12" t="s">
        <v>3</v>
      </c>
      <c r="Q12" t="s">
        <v>3</v>
      </c>
      <c r="R12" t="s">
        <v>3</v>
      </c>
      <c r="S12" t="s">
        <v>374</v>
      </c>
      <c r="T12" t="s">
        <v>376</v>
      </c>
      <c r="U12" t="s">
        <v>375</v>
      </c>
    </row>
    <row r="13" spans="1:21" x14ac:dyDescent="0.2">
      <c r="A13">
        <v>58</v>
      </c>
      <c r="B13">
        <v>1</v>
      </c>
      <c r="C13" t="s">
        <v>3</v>
      </c>
      <c r="D13" t="s">
        <v>3</v>
      </c>
      <c r="E13" t="s">
        <v>23</v>
      </c>
      <c r="F13" t="s">
        <v>23</v>
      </c>
      <c r="G13" t="s">
        <v>23</v>
      </c>
      <c r="H13" t="s">
        <v>3</v>
      </c>
      <c r="I13" t="s">
        <v>23</v>
      </c>
      <c r="J13" t="s">
        <v>23</v>
      </c>
      <c r="K13" t="s">
        <v>3</v>
      </c>
      <c r="L13" t="s">
        <v>3</v>
      </c>
      <c r="M13" t="s">
        <v>3</v>
      </c>
      <c r="N13" t="s">
        <v>3</v>
      </c>
      <c r="O13" t="s">
        <v>23</v>
      </c>
      <c r="P13" t="s">
        <v>3</v>
      </c>
      <c r="Q13" t="s">
        <v>3</v>
      </c>
      <c r="R13" t="s">
        <v>3</v>
      </c>
      <c r="S13" t="s">
        <v>374</v>
      </c>
      <c r="T13" t="s">
        <v>376</v>
      </c>
      <c r="U13" t="s">
        <v>375</v>
      </c>
    </row>
    <row r="14" spans="1:21" x14ac:dyDescent="0.2">
      <c r="A14">
        <v>59</v>
      </c>
      <c r="B14">
        <v>1</v>
      </c>
      <c r="C14" t="s">
        <v>3</v>
      </c>
      <c r="D14" t="s">
        <v>3</v>
      </c>
      <c r="E14" t="s">
        <v>23</v>
      </c>
      <c r="F14" t="s">
        <v>23</v>
      </c>
      <c r="G14" t="s">
        <v>23</v>
      </c>
      <c r="H14" t="s">
        <v>3</v>
      </c>
      <c r="I14" t="s">
        <v>23</v>
      </c>
      <c r="J14" t="s">
        <v>23</v>
      </c>
      <c r="K14" t="s">
        <v>3</v>
      </c>
      <c r="L14" t="s">
        <v>3</v>
      </c>
      <c r="M14" t="s">
        <v>3</v>
      </c>
      <c r="N14" t="s">
        <v>3</v>
      </c>
      <c r="O14" t="s">
        <v>23</v>
      </c>
      <c r="P14" t="s">
        <v>3</v>
      </c>
      <c r="Q14" t="s">
        <v>3</v>
      </c>
      <c r="R14" t="s">
        <v>3</v>
      </c>
      <c r="S14" t="s">
        <v>374</v>
      </c>
      <c r="T14" t="s">
        <v>376</v>
      </c>
      <c r="U14" t="s">
        <v>375</v>
      </c>
    </row>
    <row r="15" spans="1:21" x14ac:dyDescent="0.2">
      <c r="A15">
        <v>62</v>
      </c>
      <c r="B15">
        <v>1</v>
      </c>
      <c r="C15" t="s">
        <v>3</v>
      </c>
      <c r="D15" t="s">
        <v>3</v>
      </c>
      <c r="E15" t="s">
        <v>23</v>
      </c>
      <c r="F15" t="s">
        <v>23</v>
      </c>
      <c r="G15" t="s">
        <v>23</v>
      </c>
      <c r="H15" t="s">
        <v>3</v>
      </c>
      <c r="I15" t="s">
        <v>23</v>
      </c>
      <c r="J15" t="s">
        <v>23</v>
      </c>
      <c r="K15" t="s">
        <v>3</v>
      </c>
      <c r="L15" t="s">
        <v>3</v>
      </c>
      <c r="M15" t="s">
        <v>3</v>
      </c>
      <c r="N15" t="s">
        <v>3</v>
      </c>
      <c r="O15" t="s">
        <v>23</v>
      </c>
      <c r="P15" t="s">
        <v>3</v>
      </c>
      <c r="Q15" t="s">
        <v>3</v>
      </c>
      <c r="R15" t="s">
        <v>3</v>
      </c>
      <c r="S15" t="s">
        <v>374</v>
      </c>
      <c r="T15" t="s">
        <v>376</v>
      </c>
      <c r="U15" t="s">
        <v>375</v>
      </c>
    </row>
    <row r="16" spans="1:21" x14ac:dyDescent="0.2">
      <c r="A16">
        <v>63</v>
      </c>
      <c r="B16">
        <v>1</v>
      </c>
      <c r="C16" t="s">
        <v>3</v>
      </c>
      <c r="D16" t="s">
        <v>3</v>
      </c>
      <c r="E16" t="s">
        <v>23</v>
      </c>
      <c r="F16" t="s">
        <v>23</v>
      </c>
      <c r="G16" t="s">
        <v>23</v>
      </c>
      <c r="H16" t="s">
        <v>3</v>
      </c>
      <c r="I16" t="s">
        <v>23</v>
      </c>
      <c r="J16" t="s">
        <v>23</v>
      </c>
      <c r="K16" t="s">
        <v>3</v>
      </c>
      <c r="L16" t="s">
        <v>3</v>
      </c>
      <c r="M16" t="s">
        <v>3</v>
      </c>
      <c r="N16" t="s">
        <v>3</v>
      </c>
      <c r="O16" t="s">
        <v>23</v>
      </c>
      <c r="P16" t="s">
        <v>3</v>
      </c>
      <c r="Q16" t="s">
        <v>3</v>
      </c>
      <c r="R16" t="s">
        <v>3</v>
      </c>
      <c r="S16" t="s">
        <v>374</v>
      </c>
      <c r="T16" t="s">
        <v>376</v>
      </c>
      <c r="U16" t="s">
        <v>375</v>
      </c>
    </row>
    <row r="17" spans="1:21" x14ac:dyDescent="0.2">
      <c r="A17">
        <v>68</v>
      </c>
      <c r="B17">
        <v>1</v>
      </c>
      <c r="C17" t="s">
        <v>3</v>
      </c>
      <c r="D17" t="s">
        <v>3</v>
      </c>
      <c r="E17" t="s">
        <v>23</v>
      </c>
      <c r="F17" t="s">
        <v>23</v>
      </c>
      <c r="G17" t="s">
        <v>23</v>
      </c>
      <c r="H17" t="s">
        <v>3</v>
      </c>
      <c r="I17" t="s">
        <v>23</v>
      </c>
      <c r="J17" t="s">
        <v>23</v>
      </c>
      <c r="K17" t="s">
        <v>3</v>
      </c>
      <c r="L17" t="s">
        <v>3</v>
      </c>
      <c r="M17" t="s">
        <v>3</v>
      </c>
      <c r="N17" t="s">
        <v>3</v>
      </c>
      <c r="O17" t="s">
        <v>23</v>
      </c>
      <c r="P17" t="s">
        <v>3</v>
      </c>
      <c r="Q17" t="s">
        <v>3</v>
      </c>
      <c r="R17" t="s">
        <v>3</v>
      </c>
      <c r="S17" t="s">
        <v>374</v>
      </c>
      <c r="T17" t="s">
        <v>376</v>
      </c>
      <c r="U17" t="s">
        <v>375</v>
      </c>
    </row>
    <row r="18" spans="1:21" x14ac:dyDescent="0.2">
      <c r="A18">
        <v>69</v>
      </c>
      <c r="B18">
        <v>1</v>
      </c>
      <c r="C18" t="s">
        <v>3</v>
      </c>
      <c r="D18" t="s">
        <v>3</v>
      </c>
      <c r="E18" t="s">
        <v>23</v>
      </c>
      <c r="F18" t="s">
        <v>23</v>
      </c>
      <c r="G18" t="s">
        <v>23</v>
      </c>
      <c r="H18" t="s">
        <v>3</v>
      </c>
      <c r="I18" t="s">
        <v>23</v>
      </c>
      <c r="J18" t="s">
        <v>23</v>
      </c>
      <c r="K18" t="s">
        <v>3</v>
      </c>
      <c r="L18" t="s">
        <v>3</v>
      </c>
      <c r="M18" t="s">
        <v>3</v>
      </c>
      <c r="N18" t="s">
        <v>3</v>
      </c>
      <c r="O18" t="s">
        <v>23</v>
      </c>
      <c r="P18" t="s">
        <v>3</v>
      </c>
      <c r="Q18" t="s">
        <v>3</v>
      </c>
      <c r="R18" t="s">
        <v>3</v>
      </c>
      <c r="S18" t="s">
        <v>374</v>
      </c>
      <c r="T18" t="s">
        <v>376</v>
      </c>
      <c r="U18" t="s">
        <v>375</v>
      </c>
    </row>
    <row r="19" spans="1:21" x14ac:dyDescent="0.2">
      <c r="A19">
        <v>72</v>
      </c>
      <c r="B19">
        <v>1</v>
      </c>
      <c r="C19" t="s">
        <v>3</v>
      </c>
      <c r="D19" t="s">
        <v>3</v>
      </c>
      <c r="E19" t="s">
        <v>23</v>
      </c>
      <c r="F19" t="s">
        <v>23</v>
      </c>
      <c r="G19" t="s">
        <v>23</v>
      </c>
      <c r="H19" t="s">
        <v>3</v>
      </c>
      <c r="I19" t="s">
        <v>23</v>
      </c>
      <c r="J19" t="s">
        <v>23</v>
      </c>
      <c r="K19" t="s">
        <v>3</v>
      </c>
      <c r="L19" t="s">
        <v>3</v>
      </c>
      <c r="M19" t="s">
        <v>3</v>
      </c>
      <c r="N19" t="s">
        <v>3</v>
      </c>
      <c r="O19" t="s">
        <v>23</v>
      </c>
      <c r="P19" t="s">
        <v>3</v>
      </c>
      <c r="Q19" t="s">
        <v>3</v>
      </c>
      <c r="R19" t="s">
        <v>3</v>
      </c>
      <c r="S19" t="s">
        <v>374</v>
      </c>
      <c r="T19" t="s">
        <v>376</v>
      </c>
      <c r="U19" t="s">
        <v>375</v>
      </c>
    </row>
    <row r="20" spans="1:21" x14ac:dyDescent="0.2">
      <c r="A20">
        <v>73</v>
      </c>
      <c r="B20">
        <v>1</v>
      </c>
      <c r="C20" t="s">
        <v>3</v>
      </c>
      <c r="D20" t="s">
        <v>3</v>
      </c>
      <c r="E20" t="s">
        <v>23</v>
      </c>
      <c r="F20" t="s">
        <v>23</v>
      </c>
      <c r="G20" t="s">
        <v>23</v>
      </c>
      <c r="H20" t="s">
        <v>3</v>
      </c>
      <c r="I20" t="s">
        <v>23</v>
      </c>
      <c r="J20" t="s">
        <v>23</v>
      </c>
      <c r="K20" t="s">
        <v>3</v>
      </c>
      <c r="L20" t="s">
        <v>3</v>
      </c>
      <c r="M20" t="s">
        <v>3</v>
      </c>
      <c r="N20" t="s">
        <v>3</v>
      </c>
      <c r="O20" t="s">
        <v>23</v>
      </c>
      <c r="P20" t="s">
        <v>3</v>
      </c>
      <c r="Q20" t="s">
        <v>3</v>
      </c>
      <c r="R20" t="s">
        <v>3</v>
      </c>
      <c r="S20" t="s">
        <v>374</v>
      </c>
      <c r="T20" t="s">
        <v>376</v>
      </c>
      <c r="U20" t="s">
        <v>375</v>
      </c>
    </row>
    <row r="21" spans="1:21" x14ac:dyDescent="0.2">
      <c r="A21">
        <v>113</v>
      </c>
      <c r="B21">
        <v>1</v>
      </c>
      <c r="C21" t="s">
        <v>3</v>
      </c>
      <c r="D21" t="s">
        <v>3</v>
      </c>
      <c r="E21" t="s">
        <v>23</v>
      </c>
      <c r="F21" t="s">
        <v>23</v>
      </c>
      <c r="G21" t="s">
        <v>23</v>
      </c>
      <c r="H21" t="s">
        <v>3</v>
      </c>
      <c r="I21" t="s">
        <v>23</v>
      </c>
      <c r="J21" t="s">
        <v>23</v>
      </c>
      <c r="K21" t="s">
        <v>3</v>
      </c>
      <c r="L21" t="s">
        <v>3</v>
      </c>
      <c r="M21" t="s">
        <v>3</v>
      </c>
      <c r="N21" t="s">
        <v>3</v>
      </c>
      <c r="O21" t="s">
        <v>23</v>
      </c>
      <c r="P21" t="s">
        <v>3</v>
      </c>
      <c r="Q21" t="s">
        <v>3</v>
      </c>
      <c r="R21" t="s">
        <v>3</v>
      </c>
      <c r="S21" t="s">
        <v>374</v>
      </c>
      <c r="T21" t="s">
        <v>376</v>
      </c>
      <c r="U21" t="s">
        <v>375</v>
      </c>
    </row>
    <row r="22" spans="1:21" x14ac:dyDescent="0.2">
      <c r="A22">
        <v>114</v>
      </c>
      <c r="B22">
        <v>1</v>
      </c>
      <c r="C22" t="s">
        <v>3</v>
      </c>
      <c r="D22" t="s">
        <v>3</v>
      </c>
      <c r="E22" t="s">
        <v>23</v>
      </c>
      <c r="F22" t="s">
        <v>23</v>
      </c>
      <c r="G22" t="s">
        <v>23</v>
      </c>
      <c r="H22" t="s">
        <v>3</v>
      </c>
      <c r="I22" t="s">
        <v>23</v>
      </c>
      <c r="J22" t="s">
        <v>23</v>
      </c>
      <c r="K22" t="s">
        <v>3</v>
      </c>
      <c r="L22" t="s">
        <v>3</v>
      </c>
      <c r="M22" t="s">
        <v>3</v>
      </c>
      <c r="N22" t="s">
        <v>3</v>
      </c>
      <c r="O22" t="s">
        <v>23</v>
      </c>
      <c r="P22" t="s">
        <v>3</v>
      </c>
      <c r="Q22" t="s">
        <v>3</v>
      </c>
      <c r="R22" t="s">
        <v>3</v>
      </c>
      <c r="S22" t="s">
        <v>374</v>
      </c>
      <c r="T22" t="s">
        <v>376</v>
      </c>
      <c r="U22" t="s">
        <v>375</v>
      </c>
    </row>
    <row r="23" spans="1:21" x14ac:dyDescent="0.2">
      <c r="A23">
        <v>158</v>
      </c>
      <c r="B23">
        <v>1</v>
      </c>
      <c r="C23" t="s">
        <v>3</v>
      </c>
      <c r="D23" t="s">
        <v>3</v>
      </c>
      <c r="E23" t="s">
        <v>23</v>
      </c>
      <c r="F23" t="s">
        <v>23</v>
      </c>
      <c r="G23" t="s">
        <v>23</v>
      </c>
      <c r="H23" t="s">
        <v>3</v>
      </c>
      <c r="I23" t="s">
        <v>23</v>
      </c>
      <c r="J23" t="s">
        <v>23</v>
      </c>
      <c r="K23" t="s">
        <v>3</v>
      </c>
      <c r="L23" t="s">
        <v>3</v>
      </c>
      <c r="M23" t="s">
        <v>3</v>
      </c>
      <c r="N23" t="s">
        <v>3</v>
      </c>
      <c r="O23" t="s">
        <v>23</v>
      </c>
      <c r="P23" t="s">
        <v>3</v>
      </c>
      <c r="Q23" t="s">
        <v>3</v>
      </c>
      <c r="R23" t="s">
        <v>3</v>
      </c>
      <c r="S23" t="s">
        <v>374</v>
      </c>
      <c r="T23" t="s">
        <v>376</v>
      </c>
      <c r="U23" t="s">
        <v>375</v>
      </c>
    </row>
    <row r="24" spans="1:21" x14ac:dyDescent="0.2">
      <c r="A24">
        <v>159</v>
      </c>
      <c r="B24">
        <v>1</v>
      </c>
      <c r="C24" t="s">
        <v>3</v>
      </c>
      <c r="D24" t="s">
        <v>3</v>
      </c>
      <c r="E24" t="s">
        <v>23</v>
      </c>
      <c r="F24" t="s">
        <v>23</v>
      </c>
      <c r="G24" t="s">
        <v>23</v>
      </c>
      <c r="H24" t="s">
        <v>3</v>
      </c>
      <c r="I24" t="s">
        <v>23</v>
      </c>
      <c r="J24" t="s">
        <v>23</v>
      </c>
      <c r="K24" t="s">
        <v>3</v>
      </c>
      <c r="L24" t="s">
        <v>3</v>
      </c>
      <c r="M24" t="s">
        <v>3</v>
      </c>
      <c r="N24" t="s">
        <v>3</v>
      </c>
      <c r="O24" t="s">
        <v>23</v>
      </c>
      <c r="P24" t="s">
        <v>3</v>
      </c>
      <c r="Q24" t="s">
        <v>3</v>
      </c>
      <c r="R24" t="s">
        <v>3</v>
      </c>
      <c r="S24" t="s">
        <v>374</v>
      </c>
      <c r="T24" t="s">
        <v>376</v>
      </c>
      <c r="U24" t="s">
        <v>375</v>
      </c>
    </row>
    <row r="25" spans="1:21" x14ac:dyDescent="0.2">
      <c r="A25">
        <v>162</v>
      </c>
      <c r="B25">
        <v>1</v>
      </c>
      <c r="C25" t="s">
        <v>3</v>
      </c>
      <c r="D25" t="s">
        <v>3</v>
      </c>
      <c r="E25" t="s">
        <v>23</v>
      </c>
      <c r="F25" t="s">
        <v>23</v>
      </c>
      <c r="G25" t="s">
        <v>23</v>
      </c>
      <c r="H25" t="s">
        <v>3</v>
      </c>
      <c r="I25" t="s">
        <v>23</v>
      </c>
      <c r="J25" t="s">
        <v>23</v>
      </c>
      <c r="K25" t="s">
        <v>3</v>
      </c>
      <c r="L25" t="s">
        <v>3</v>
      </c>
      <c r="M25" t="s">
        <v>3</v>
      </c>
      <c r="N25" t="s">
        <v>3</v>
      </c>
      <c r="O25" t="s">
        <v>23</v>
      </c>
      <c r="P25" t="s">
        <v>3</v>
      </c>
      <c r="Q25" t="s">
        <v>3</v>
      </c>
      <c r="R25" t="s">
        <v>3</v>
      </c>
      <c r="S25" t="s">
        <v>374</v>
      </c>
      <c r="T25" t="s">
        <v>376</v>
      </c>
      <c r="U25" t="s">
        <v>375</v>
      </c>
    </row>
    <row r="26" spans="1:21" x14ac:dyDescent="0.2">
      <c r="A26">
        <v>163</v>
      </c>
      <c r="B26">
        <v>1</v>
      </c>
      <c r="C26" t="s">
        <v>3</v>
      </c>
      <c r="D26" t="s">
        <v>3</v>
      </c>
      <c r="E26" t="s">
        <v>23</v>
      </c>
      <c r="F26" t="s">
        <v>23</v>
      </c>
      <c r="G26" t="s">
        <v>23</v>
      </c>
      <c r="H26" t="s">
        <v>3</v>
      </c>
      <c r="I26" t="s">
        <v>23</v>
      </c>
      <c r="J26" t="s">
        <v>23</v>
      </c>
      <c r="K26" t="s">
        <v>3</v>
      </c>
      <c r="L26" t="s">
        <v>3</v>
      </c>
      <c r="M26" t="s">
        <v>3</v>
      </c>
      <c r="N26" t="s">
        <v>3</v>
      </c>
      <c r="O26" t="s">
        <v>23</v>
      </c>
      <c r="P26" t="s">
        <v>3</v>
      </c>
      <c r="Q26" t="s">
        <v>3</v>
      </c>
      <c r="R26" t="s">
        <v>3</v>
      </c>
      <c r="S26" t="s">
        <v>374</v>
      </c>
      <c r="T26" t="s">
        <v>376</v>
      </c>
      <c r="U26" t="s">
        <v>375</v>
      </c>
    </row>
    <row r="27" spans="1:21" x14ac:dyDescent="0.2">
      <c r="A27">
        <v>164</v>
      </c>
      <c r="B27">
        <v>1</v>
      </c>
      <c r="C27" t="s">
        <v>3</v>
      </c>
      <c r="D27" t="s">
        <v>3</v>
      </c>
      <c r="E27" t="s">
        <v>23</v>
      </c>
      <c r="F27" t="s">
        <v>23</v>
      </c>
      <c r="G27" t="s">
        <v>23</v>
      </c>
      <c r="H27" t="s">
        <v>3</v>
      </c>
      <c r="I27" t="s">
        <v>23</v>
      </c>
      <c r="J27" t="s">
        <v>23</v>
      </c>
      <c r="K27" t="s">
        <v>3</v>
      </c>
      <c r="L27" t="s">
        <v>3</v>
      </c>
      <c r="M27" t="s">
        <v>3</v>
      </c>
      <c r="N27" t="s">
        <v>3</v>
      </c>
      <c r="O27" t="s">
        <v>23</v>
      </c>
      <c r="P27" t="s">
        <v>3</v>
      </c>
      <c r="Q27" t="s">
        <v>3</v>
      </c>
      <c r="R27" t="s">
        <v>3</v>
      </c>
      <c r="S27" t="s">
        <v>374</v>
      </c>
      <c r="T27" t="s">
        <v>376</v>
      </c>
      <c r="U27" t="s">
        <v>375</v>
      </c>
    </row>
    <row r="28" spans="1:21" x14ac:dyDescent="0.2">
      <c r="A28">
        <v>165</v>
      </c>
      <c r="B28">
        <v>1</v>
      </c>
      <c r="C28" t="s">
        <v>3</v>
      </c>
      <c r="D28" t="s">
        <v>3</v>
      </c>
      <c r="E28" t="s">
        <v>23</v>
      </c>
      <c r="F28" t="s">
        <v>23</v>
      </c>
      <c r="G28" t="s">
        <v>23</v>
      </c>
      <c r="H28" t="s">
        <v>3</v>
      </c>
      <c r="I28" t="s">
        <v>23</v>
      </c>
      <c r="J28" t="s">
        <v>23</v>
      </c>
      <c r="K28" t="s">
        <v>3</v>
      </c>
      <c r="L28" t="s">
        <v>3</v>
      </c>
      <c r="M28" t="s">
        <v>3</v>
      </c>
      <c r="N28" t="s">
        <v>3</v>
      </c>
      <c r="O28" t="s">
        <v>23</v>
      </c>
      <c r="P28" t="s">
        <v>3</v>
      </c>
      <c r="Q28" t="s">
        <v>3</v>
      </c>
      <c r="R28" t="s">
        <v>3</v>
      </c>
      <c r="S28" t="s">
        <v>374</v>
      </c>
      <c r="T28" t="s">
        <v>376</v>
      </c>
      <c r="U28" t="s">
        <v>375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2">
      <c r="F12" t="str">
        <f>Source!F12</f>
        <v/>
      </c>
      <c r="G12" t="str">
        <f>Source!G12</f>
        <v>02-01-14 СОТ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02-01-14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'02-01-14'!Заголовки_для_печати</vt:lpstr>
      <vt:lpstr>'Ведомость объемов работ'!Заголовки_для_печати</vt:lpstr>
      <vt:lpstr>'02-01-14'!Область_печати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Соколова Ирина Николаевна</cp:lastModifiedBy>
  <cp:lastPrinted>2026-03-23T11:47:56Z</cp:lastPrinted>
  <dcterms:created xsi:type="dcterms:W3CDTF">2026-03-23T11:47:01Z</dcterms:created>
  <dcterms:modified xsi:type="dcterms:W3CDTF">2026-03-23T11:48:01Z</dcterms:modified>
</cp:coreProperties>
</file>