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bookViews>
    <workbookView xWindow="0" yWindow="0" windowWidth="28800" windowHeight="12489"/>
  </bookViews>
  <sheets>
    <sheet name="02-01-12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'02-01-12'!$27:$27</definedName>
    <definedName name="_xlnm.Print_Titles" localSheetId="1">'Ведомость объемов работ'!$17:$17</definedName>
    <definedName name="_xlnm.Print_Area" localSheetId="0">'02-01-12'!$A$1:$K$329</definedName>
    <definedName name="_xlnm.Print_Area" localSheetId="1">'Ведомость объемов работ'!$A$1:$H$103</definedName>
  </definedNames>
  <calcPr calcId="162913" calcOnSave="0"/>
</workbook>
</file>

<file path=xl/calcChain.xml><?xml version="1.0" encoding="utf-8"?>
<calcChain xmlns="http://schemas.openxmlformats.org/spreadsheetml/2006/main">
  <c r="D101" i="8" l="1"/>
  <c r="D99" i="8"/>
  <c r="F96" i="8"/>
  <c r="E96" i="8"/>
  <c r="C96" i="8"/>
  <c r="B96" i="8"/>
  <c r="F95" i="8"/>
  <c r="E95" i="8"/>
  <c r="C95" i="8"/>
  <c r="B95" i="8"/>
  <c r="G94" i="8"/>
  <c r="F94" i="8"/>
  <c r="E94" i="8"/>
  <c r="C94" i="8"/>
  <c r="B94" i="8"/>
  <c r="F93" i="8"/>
  <c r="E93" i="8"/>
  <c r="C93" i="8"/>
  <c r="B93" i="8"/>
  <c r="F92" i="8"/>
  <c r="E92" i="8"/>
  <c r="C92" i="8"/>
  <c r="B92" i="8"/>
  <c r="F91" i="8"/>
  <c r="E91" i="8"/>
  <c r="C91" i="8"/>
  <c r="B91" i="8"/>
  <c r="F90" i="8"/>
  <c r="E90" i="8"/>
  <c r="C90" i="8"/>
  <c r="B90" i="8"/>
  <c r="G89" i="8"/>
  <c r="F89" i="8"/>
  <c r="E89" i="8"/>
  <c r="C89" i="8"/>
  <c r="B89" i="8"/>
  <c r="F88" i="8"/>
  <c r="E88" i="8"/>
  <c r="C88" i="8"/>
  <c r="B88" i="8"/>
  <c r="F87" i="8"/>
  <c r="E87" i="8"/>
  <c r="C87" i="8"/>
  <c r="B87" i="8"/>
  <c r="F86" i="8"/>
  <c r="E86" i="8"/>
  <c r="C86" i="8"/>
  <c r="B86" i="8"/>
  <c r="F85" i="8"/>
  <c r="E85" i="8"/>
  <c r="C85" i="8"/>
  <c r="B85" i="8"/>
  <c r="F84" i="8"/>
  <c r="E84" i="8"/>
  <c r="C84" i="8"/>
  <c r="B84" i="8"/>
  <c r="F83" i="8"/>
  <c r="E83" i="8"/>
  <c r="C83" i="8"/>
  <c r="B83" i="8"/>
  <c r="G82" i="8"/>
  <c r="F82" i="8"/>
  <c r="E82" i="8"/>
  <c r="C82" i="8"/>
  <c r="B82" i="8"/>
  <c r="F81" i="8"/>
  <c r="E81" i="8"/>
  <c r="C81" i="8"/>
  <c r="B81" i="8"/>
  <c r="F80" i="8"/>
  <c r="E80" i="8"/>
  <c r="C80" i="8"/>
  <c r="B80" i="8"/>
  <c r="F79" i="8"/>
  <c r="E79" i="8"/>
  <c r="C79" i="8"/>
  <c r="B79" i="8"/>
  <c r="G78" i="8"/>
  <c r="F78" i="8"/>
  <c r="E78" i="8"/>
  <c r="C78" i="8"/>
  <c r="B78" i="8"/>
  <c r="A77" i="8"/>
  <c r="F76" i="8"/>
  <c r="E76" i="8"/>
  <c r="C76" i="8"/>
  <c r="B76" i="8"/>
  <c r="G75" i="8"/>
  <c r="F75" i="8"/>
  <c r="E75" i="8"/>
  <c r="C75" i="8"/>
  <c r="B75" i="8"/>
  <c r="F74" i="8"/>
  <c r="E74" i="8"/>
  <c r="C74" i="8"/>
  <c r="B74" i="8"/>
  <c r="G73" i="8"/>
  <c r="F73" i="8"/>
  <c r="E73" i="8"/>
  <c r="C73" i="8"/>
  <c r="B73" i="8"/>
  <c r="F72" i="8"/>
  <c r="E72" i="8"/>
  <c r="C72" i="8"/>
  <c r="B72" i="8"/>
  <c r="G71" i="8"/>
  <c r="F71" i="8"/>
  <c r="E71" i="8"/>
  <c r="C71" i="8"/>
  <c r="B71" i="8"/>
  <c r="F70" i="8"/>
  <c r="E70" i="8"/>
  <c r="C70" i="8"/>
  <c r="B70" i="8"/>
  <c r="F69" i="8"/>
  <c r="E69" i="8"/>
  <c r="C69" i="8"/>
  <c r="B69" i="8"/>
  <c r="F68" i="8"/>
  <c r="E68" i="8"/>
  <c r="C68" i="8"/>
  <c r="B68" i="8"/>
  <c r="F67" i="8"/>
  <c r="E67" i="8"/>
  <c r="C67" i="8"/>
  <c r="B67" i="8"/>
  <c r="F66" i="8"/>
  <c r="E66" i="8"/>
  <c r="C66" i="8"/>
  <c r="B66" i="8"/>
  <c r="F65" i="8"/>
  <c r="E65" i="8"/>
  <c r="C65" i="8"/>
  <c r="B65" i="8"/>
  <c r="F64" i="8"/>
  <c r="E64" i="8"/>
  <c r="C64" i="8"/>
  <c r="B64" i="8"/>
  <c r="G63" i="8"/>
  <c r="F63" i="8"/>
  <c r="E63" i="8"/>
  <c r="C63" i="8"/>
  <c r="B63" i="8"/>
  <c r="F62" i="8"/>
  <c r="E62" i="8"/>
  <c r="C62" i="8"/>
  <c r="B62" i="8"/>
  <c r="G61" i="8"/>
  <c r="F61" i="8"/>
  <c r="E61" i="8"/>
  <c r="C61" i="8"/>
  <c r="B61" i="8"/>
  <c r="F60" i="8"/>
  <c r="E60" i="8"/>
  <c r="C60" i="8"/>
  <c r="B60" i="8"/>
  <c r="F59" i="8"/>
  <c r="E59" i="8"/>
  <c r="C59" i="8"/>
  <c r="B59" i="8"/>
  <c r="F58" i="8"/>
  <c r="E58" i="8"/>
  <c r="C58" i="8"/>
  <c r="B58" i="8"/>
  <c r="F57" i="8"/>
  <c r="E57" i="8"/>
  <c r="C57" i="8"/>
  <c r="B57" i="8"/>
  <c r="F56" i="8"/>
  <c r="E56" i="8"/>
  <c r="C56" i="8"/>
  <c r="B56" i="8"/>
  <c r="F55" i="8"/>
  <c r="E55" i="8"/>
  <c r="C55" i="8"/>
  <c r="B55" i="8"/>
  <c r="G54" i="8"/>
  <c r="F54" i="8"/>
  <c r="E54" i="8"/>
  <c r="C54" i="8"/>
  <c r="B54" i="8"/>
  <c r="A53" i="8"/>
  <c r="F52" i="8"/>
  <c r="E52" i="8"/>
  <c r="C52" i="8"/>
  <c r="B52" i="8"/>
  <c r="G51" i="8"/>
  <c r="F51" i="8"/>
  <c r="E51" i="8"/>
  <c r="C51" i="8"/>
  <c r="B51" i="8"/>
  <c r="F50" i="8"/>
  <c r="E50" i="8"/>
  <c r="C50" i="8"/>
  <c r="B50" i="8"/>
  <c r="F49" i="8"/>
  <c r="E49" i="8"/>
  <c r="C49" i="8"/>
  <c r="B49" i="8"/>
  <c r="F48" i="8"/>
  <c r="E48" i="8"/>
  <c r="C48" i="8"/>
  <c r="B48" i="8"/>
  <c r="F47" i="8"/>
  <c r="E47" i="8"/>
  <c r="C47" i="8"/>
  <c r="B47" i="8"/>
  <c r="G46" i="8"/>
  <c r="F46" i="8"/>
  <c r="E46" i="8"/>
  <c r="C46" i="8"/>
  <c r="B46" i="8"/>
  <c r="A45" i="8"/>
  <c r="F44" i="8"/>
  <c r="E44" i="8"/>
  <c r="C44" i="8"/>
  <c r="B44" i="8"/>
  <c r="F43" i="8"/>
  <c r="E43" i="8"/>
  <c r="C43" i="8"/>
  <c r="B43" i="8"/>
  <c r="F42" i="8"/>
  <c r="E42" i="8"/>
  <c r="C42" i="8"/>
  <c r="B42" i="8"/>
  <c r="F41" i="8"/>
  <c r="E41" i="8"/>
  <c r="C41" i="8"/>
  <c r="B41" i="8"/>
  <c r="G40" i="8"/>
  <c r="F40" i="8"/>
  <c r="E40" i="8"/>
  <c r="C40" i="8"/>
  <c r="B40" i="8"/>
  <c r="F39" i="8"/>
  <c r="E39" i="8"/>
  <c r="C39" i="8"/>
  <c r="B39" i="8"/>
  <c r="F38" i="8"/>
  <c r="E38" i="8"/>
  <c r="C38" i="8"/>
  <c r="B38" i="8"/>
  <c r="G37" i="8"/>
  <c r="F37" i="8"/>
  <c r="E37" i="8"/>
  <c r="C37" i="8"/>
  <c r="B37" i="8"/>
  <c r="F36" i="8"/>
  <c r="E36" i="8"/>
  <c r="C36" i="8"/>
  <c r="B36" i="8"/>
  <c r="F35" i="8"/>
  <c r="E35" i="8"/>
  <c r="C35" i="8"/>
  <c r="B35" i="8"/>
  <c r="F34" i="8"/>
  <c r="E34" i="8"/>
  <c r="C34" i="8"/>
  <c r="B34" i="8"/>
  <c r="F33" i="8"/>
  <c r="E33" i="8"/>
  <c r="C33" i="8"/>
  <c r="B33" i="8"/>
  <c r="G32" i="8"/>
  <c r="F32" i="8"/>
  <c r="E32" i="8"/>
  <c r="C32" i="8"/>
  <c r="B32" i="8"/>
  <c r="A31" i="8"/>
  <c r="F30" i="8"/>
  <c r="E30" i="8"/>
  <c r="C30" i="8"/>
  <c r="B30" i="8"/>
  <c r="G29" i="8"/>
  <c r="F29" i="8"/>
  <c r="E29" i="8"/>
  <c r="C29" i="8"/>
  <c r="B29" i="8"/>
  <c r="F28" i="8"/>
  <c r="E28" i="8"/>
  <c r="C28" i="8"/>
  <c r="B28" i="8"/>
  <c r="F27" i="8"/>
  <c r="E27" i="8"/>
  <c r="C27" i="8"/>
  <c r="B27" i="8"/>
  <c r="F26" i="8"/>
  <c r="E26" i="8"/>
  <c r="C26" i="8"/>
  <c r="B26" i="8"/>
  <c r="F25" i="8"/>
  <c r="E25" i="8"/>
  <c r="C25" i="8"/>
  <c r="B25" i="8"/>
  <c r="G24" i="8"/>
  <c r="F24" i="8"/>
  <c r="E24" i="8"/>
  <c r="C24" i="8"/>
  <c r="B24" i="8"/>
  <c r="F23" i="8"/>
  <c r="E23" i="8"/>
  <c r="C23" i="8"/>
  <c r="B23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327" i="7"/>
  <c r="H324" i="7"/>
  <c r="C327" i="7"/>
  <c r="C324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321" i="7"/>
  <c r="J321" i="7"/>
  <c r="I320" i="7"/>
  <c r="J320" i="7"/>
  <c r="A319" i="7"/>
  <c r="I317" i="7"/>
  <c r="J317" i="7"/>
  <c r="I316" i="7"/>
  <c r="J316" i="7"/>
  <c r="A315" i="7"/>
  <c r="H311" i="7"/>
  <c r="J311" i="7"/>
  <c r="I309" i="7"/>
  <c r="H309" i="7"/>
  <c r="E309" i="7"/>
  <c r="J308" i="7"/>
  <c r="E308" i="7"/>
  <c r="J307" i="7"/>
  <c r="E307" i="7"/>
  <c r="K306" i="7"/>
  <c r="J306" i="7"/>
  <c r="H306" i="7"/>
  <c r="I306" i="7"/>
  <c r="F306" i="7"/>
  <c r="V306" i="7"/>
  <c r="T306" i="7"/>
  <c r="R306" i="7"/>
  <c r="U306" i="7"/>
  <c r="S306" i="7"/>
  <c r="Q306" i="7"/>
  <c r="I307" i="7" s="1"/>
  <c r="E306" i="7"/>
  <c r="D306" i="7"/>
  <c r="B306" i="7"/>
  <c r="K305" i="7"/>
  <c r="J305" i="7"/>
  <c r="H305" i="7"/>
  <c r="I305" i="7"/>
  <c r="F305" i="7"/>
  <c r="V305" i="7"/>
  <c r="T305" i="7"/>
  <c r="K308" i="7" s="1"/>
  <c r="R305" i="7"/>
  <c r="K307" i="7" s="1"/>
  <c r="U305" i="7"/>
  <c r="S305" i="7"/>
  <c r="Q305" i="7"/>
  <c r="E305" i="7"/>
  <c r="D305" i="7"/>
  <c r="B305" i="7"/>
  <c r="K304" i="7"/>
  <c r="J304" i="7"/>
  <c r="I304" i="7"/>
  <c r="H304" i="7"/>
  <c r="F304" i="7"/>
  <c r="K303" i="7"/>
  <c r="J303" i="7"/>
  <c r="I303" i="7"/>
  <c r="H303" i="7"/>
  <c r="F303" i="7"/>
  <c r="K302" i="7"/>
  <c r="J302" i="7"/>
  <c r="I302" i="7"/>
  <c r="H302" i="7"/>
  <c r="F302" i="7"/>
  <c r="K301" i="7"/>
  <c r="J301" i="7"/>
  <c r="I301" i="7"/>
  <c r="H301" i="7"/>
  <c r="F301" i="7"/>
  <c r="C300" i="7"/>
  <c r="V299" i="7"/>
  <c r="T299" i="7"/>
  <c r="R299" i="7"/>
  <c r="U299" i="7"/>
  <c r="S299" i="7"/>
  <c r="I308" i="7" s="1"/>
  <c r="Q299" i="7"/>
  <c r="E299" i="7"/>
  <c r="D299" i="7"/>
  <c r="H296" i="7"/>
  <c r="J296" i="7"/>
  <c r="I294" i="7"/>
  <c r="H294" i="7"/>
  <c r="E294" i="7"/>
  <c r="J293" i="7"/>
  <c r="I293" i="7"/>
  <c r="E293" i="7"/>
  <c r="J292" i="7"/>
  <c r="E292" i="7"/>
  <c r="K291" i="7"/>
  <c r="J291" i="7"/>
  <c r="H291" i="7"/>
  <c r="I291" i="7"/>
  <c r="F291" i="7"/>
  <c r="V291" i="7"/>
  <c r="T291" i="7"/>
  <c r="R291" i="7"/>
  <c r="U291" i="7"/>
  <c r="S291" i="7"/>
  <c r="Q291" i="7"/>
  <c r="E291" i="7"/>
  <c r="D291" i="7"/>
  <c r="B291" i="7"/>
  <c r="K290" i="7"/>
  <c r="J290" i="7"/>
  <c r="H290" i="7"/>
  <c r="I290" i="7"/>
  <c r="F290" i="7"/>
  <c r="V290" i="7"/>
  <c r="T290" i="7"/>
  <c r="R290" i="7"/>
  <c r="U290" i="7"/>
  <c r="S290" i="7"/>
  <c r="Q290" i="7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K284" i="7"/>
  <c r="P297" i="7" s="1"/>
  <c r="J284" i="7"/>
  <c r="I284" i="7"/>
  <c r="H284" i="7"/>
  <c r="F284" i="7"/>
  <c r="C283" i="7"/>
  <c r="V282" i="7"/>
  <c r="T282" i="7"/>
  <c r="K293" i="7" s="1"/>
  <c r="R282" i="7"/>
  <c r="K292" i="7" s="1"/>
  <c r="U282" i="7"/>
  <c r="S282" i="7"/>
  <c r="Q282" i="7"/>
  <c r="I292" i="7" s="1"/>
  <c r="E282" i="7"/>
  <c r="D282" i="7"/>
  <c r="H279" i="7"/>
  <c r="J279" i="7"/>
  <c r="I277" i="7"/>
  <c r="H277" i="7"/>
  <c r="E277" i="7"/>
  <c r="J276" i="7"/>
  <c r="E276" i="7"/>
  <c r="J275" i="7"/>
  <c r="I275" i="7"/>
  <c r="E275" i="7"/>
  <c r="K274" i="7"/>
  <c r="J274" i="7"/>
  <c r="H274" i="7"/>
  <c r="I274" i="7"/>
  <c r="F274" i="7"/>
  <c r="V274" i="7"/>
  <c r="T274" i="7"/>
  <c r="R274" i="7"/>
  <c r="U274" i="7"/>
  <c r="S274" i="7"/>
  <c r="Q274" i="7"/>
  <c r="E274" i="7"/>
  <c r="D274" i="7"/>
  <c r="B274" i="7"/>
  <c r="K273" i="7"/>
  <c r="J273" i="7"/>
  <c r="H273" i="7"/>
  <c r="I273" i="7"/>
  <c r="F273" i="7"/>
  <c r="V273" i="7"/>
  <c r="T273" i="7"/>
  <c r="R273" i="7"/>
  <c r="K275" i="7" s="1"/>
  <c r="U273" i="7"/>
  <c r="S273" i="7"/>
  <c r="Q273" i="7"/>
  <c r="E273" i="7"/>
  <c r="D273" i="7"/>
  <c r="B273" i="7"/>
  <c r="K272" i="7"/>
  <c r="J272" i="7"/>
  <c r="H272" i="7"/>
  <c r="I272" i="7"/>
  <c r="F272" i="7"/>
  <c r="V272" i="7"/>
  <c r="T272" i="7"/>
  <c r="R272" i="7"/>
  <c r="U272" i="7"/>
  <c r="S272" i="7"/>
  <c r="Q272" i="7"/>
  <c r="E272" i="7"/>
  <c r="D272" i="7"/>
  <c r="B272" i="7"/>
  <c r="K271" i="7"/>
  <c r="J271" i="7"/>
  <c r="H271" i="7"/>
  <c r="I271" i="7"/>
  <c r="F271" i="7"/>
  <c r="V271" i="7"/>
  <c r="T271" i="7"/>
  <c r="R271" i="7"/>
  <c r="U271" i="7"/>
  <c r="S271" i="7"/>
  <c r="Q271" i="7"/>
  <c r="E271" i="7"/>
  <c r="D271" i="7"/>
  <c r="B271" i="7"/>
  <c r="K270" i="7"/>
  <c r="J270" i="7"/>
  <c r="H270" i="7"/>
  <c r="I270" i="7"/>
  <c r="F270" i="7"/>
  <c r="V270" i="7"/>
  <c r="T270" i="7"/>
  <c r="R270" i="7"/>
  <c r="U270" i="7"/>
  <c r="S270" i="7"/>
  <c r="Q270" i="7"/>
  <c r="E270" i="7"/>
  <c r="D270" i="7"/>
  <c r="B270" i="7"/>
  <c r="K269" i="7"/>
  <c r="J269" i="7"/>
  <c r="H269" i="7"/>
  <c r="I269" i="7"/>
  <c r="F269" i="7"/>
  <c r="V269" i="7"/>
  <c r="T269" i="7"/>
  <c r="R269" i="7"/>
  <c r="U269" i="7"/>
  <c r="S269" i="7"/>
  <c r="Q269" i="7"/>
  <c r="E269" i="7"/>
  <c r="D269" i="7"/>
  <c r="B269" i="7"/>
  <c r="K268" i="7"/>
  <c r="J268" i="7"/>
  <c r="I268" i="7"/>
  <c r="H268" i="7"/>
  <c r="F268" i="7"/>
  <c r="K267" i="7"/>
  <c r="J267" i="7"/>
  <c r="I267" i="7"/>
  <c r="H267" i="7"/>
  <c r="F267" i="7"/>
  <c r="C266" i="7"/>
  <c r="V265" i="7"/>
  <c r="T265" i="7"/>
  <c r="K276" i="7" s="1"/>
  <c r="R265" i="7"/>
  <c r="U265" i="7"/>
  <c r="S265" i="7"/>
  <c r="I276" i="7" s="1"/>
  <c r="Q265" i="7"/>
  <c r="E265" i="7"/>
  <c r="D265" i="7"/>
  <c r="H262" i="7"/>
  <c r="J262" i="7"/>
  <c r="I260" i="7"/>
  <c r="H260" i="7"/>
  <c r="E260" i="7"/>
  <c r="J259" i="7"/>
  <c r="I259" i="7"/>
  <c r="E259" i="7"/>
  <c r="K258" i="7"/>
  <c r="J258" i="7"/>
  <c r="E258" i="7"/>
  <c r="K257" i="7"/>
  <c r="J257" i="7"/>
  <c r="H257" i="7"/>
  <c r="I257" i="7"/>
  <c r="F257" i="7"/>
  <c r="V257" i="7"/>
  <c r="T257" i="7"/>
  <c r="R257" i="7"/>
  <c r="U257" i="7"/>
  <c r="S257" i="7"/>
  <c r="Q257" i="7"/>
  <c r="I258" i="7" s="1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R255" i="7"/>
  <c r="U255" i="7"/>
  <c r="S255" i="7"/>
  <c r="Q255" i="7"/>
  <c r="E255" i="7"/>
  <c r="D255" i="7"/>
  <c r="B255" i="7"/>
  <c r="K254" i="7"/>
  <c r="J254" i="7"/>
  <c r="I254" i="7"/>
  <c r="H254" i="7"/>
  <c r="F254" i="7"/>
  <c r="K253" i="7"/>
  <c r="J253" i="7"/>
  <c r="I253" i="7"/>
  <c r="H253" i="7"/>
  <c r="F253" i="7"/>
  <c r="K252" i="7"/>
  <c r="J252" i="7"/>
  <c r="I252" i="7"/>
  <c r="H263" i="7" s="1"/>
  <c r="H252" i="7"/>
  <c r="F252" i="7"/>
  <c r="C251" i="7"/>
  <c r="V250" i="7"/>
  <c r="T250" i="7"/>
  <c r="K259" i="7" s="1"/>
  <c r="R250" i="7"/>
  <c r="U250" i="7"/>
  <c r="S250" i="7"/>
  <c r="Q250" i="7"/>
  <c r="E250" i="7"/>
  <c r="D250" i="7"/>
  <c r="A249" i="7"/>
  <c r="I247" i="7"/>
  <c r="J247" i="7"/>
  <c r="I246" i="7"/>
  <c r="J246" i="7"/>
  <c r="A245" i="7"/>
  <c r="J241" i="7"/>
  <c r="I239" i="7"/>
  <c r="H239" i="7"/>
  <c r="E239" i="7"/>
  <c r="J238" i="7"/>
  <c r="E238" i="7"/>
  <c r="J237" i="7"/>
  <c r="E237" i="7"/>
  <c r="K236" i="7"/>
  <c r="J236" i="7"/>
  <c r="H236" i="7"/>
  <c r="I236" i="7"/>
  <c r="H241" i="7" s="1"/>
  <c r="F236" i="7"/>
  <c r="V236" i="7"/>
  <c r="T236" i="7"/>
  <c r="R236" i="7"/>
  <c r="U236" i="7"/>
  <c r="S236" i="7"/>
  <c r="Q236" i="7"/>
  <c r="I237" i="7" s="1"/>
  <c r="E236" i="7"/>
  <c r="D236" i="7"/>
  <c r="B236" i="7"/>
  <c r="K235" i="7"/>
  <c r="J235" i="7"/>
  <c r="I235" i="7"/>
  <c r="H235" i="7"/>
  <c r="F235" i="7"/>
  <c r="K234" i="7"/>
  <c r="J234" i="7"/>
  <c r="I234" i="7"/>
  <c r="H234" i="7"/>
  <c r="F234" i="7"/>
  <c r="V233" i="7"/>
  <c r="T233" i="7"/>
  <c r="K238" i="7" s="1"/>
  <c r="R233" i="7"/>
  <c r="K237" i="7" s="1"/>
  <c r="U233" i="7"/>
  <c r="S233" i="7"/>
  <c r="I238" i="7" s="1"/>
  <c r="Q233" i="7"/>
  <c r="E233" i="7"/>
  <c r="D233" i="7"/>
  <c r="H230" i="7"/>
  <c r="J230" i="7"/>
  <c r="I228" i="7"/>
  <c r="H228" i="7"/>
  <c r="E228" i="7"/>
  <c r="J227" i="7"/>
  <c r="I227" i="7"/>
  <c r="E227" i="7"/>
  <c r="K226" i="7"/>
  <c r="J226" i="7"/>
  <c r="E226" i="7"/>
  <c r="K225" i="7"/>
  <c r="J225" i="7"/>
  <c r="H225" i="7"/>
  <c r="I225" i="7"/>
  <c r="F225" i="7"/>
  <c r="V225" i="7"/>
  <c r="T225" i="7"/>
  <c r="R225" i="7"/>
  <c r="U225" i="7"/>
  <c r="S225" i="7"/>
  <c r="Q225" i="7"/>
  <c r="I226" i="7" s="1"/>
  <c r="E225" i="7"/>
  <c r="D225" i="7"/>
  <c r="B225" i="7"/>
  <c r="K224" i="7"/>
  <c r="J224" i="7"/>
  <c r="I224" i="7"/>
  <c r="O231" i="7" s="1"/>
  <c r="H224" i="7"/>
  <c r="F224" i="7"/>
  <c r="C223" i="7"/>
  <c r="V222" i="7"/>
  <c r="T222" i="7"/>
  <c r="K227" i="7" s="1"/>
  <c r="R222" i="7"/>
  <c r="U222" i="7"/>
  <c r="S222" i="7"/>
  <c r="Q222" i="7"/>
  <c r="E222" i="7"/>
  <c r="D222" i="7"/>
  <c r="H219" i="7"/>
  <c r="J219" i="7"/>
  <c r="I217" i="7"/>
  <c r="H217" i="7"/>
  <c r="E217" i="7"/>
  <c r="J216" i="7"/>
  <c r="E216" i="7"/>
  <c r="K215" i="7"/>
  <c r="J220" i="7" s="1"/>
  <c r="J215" i="7"/>
  <c r="E215" i="7"/>
  <c r="K214" i="7"/>
  <c r="J214" i="7"/>
  <c r="H214" i="7"/>
  <c r="I214" i="7"/>
  <c r="F214" i="7"/>
  <c r="V214" i="7"/>
  <c r="T214" i="7"/>
  <c r="R214" i="7"/>
  <c r="U214" i="7"/>
  <c r="S214" i="7"/>
  <c r="Q214" i="7"/>
  <c r="I215" i="7" s="1"/>
  <c r="E214" i="7"/>
  <c r="D214" i="7"/>
  <c r="B214" i="7"/>
  <c r="K213" i="7"/>
  <c r="J213" i="7"/>
  <c r="I213" i="7"/>
  <c r="H213" i="7"/>
  <c r="F213" i="7"/>
  <c r="K212" i="7"/>
  <c r="J212" i="7"/>
  <c r="I212" i="7"/>
  <c r="H212" i="7"/>
  <c r="F212" i="7"/>
  <c r="K211" i="7"/>
  <c r="J218" i="7" s="1"/>
  <c r="J211" i="7"/>
  <c r="I211" i="7"/>
  <c r="H211" i="7"/>
  <c r="F211" i="7"/>
  <c r="K210" i="7"/>
  <c r="J210" i="7"/>
  <c r="I210" i="7"/>
  <c r="O220" i="7" s="1"/>
  <c r="H210" i="7"/>
  <c r="F210" i="7"/>
  <c r="V209" i="7"/>
  <c r="T209" i="7"/>
  <c r="K216" i="7" s="1"/>
  <c r="P220" i="7" s="1"/>
  <c r="R209" i="7"/>
  <c r="U209" i="7"/>
  <c r="S209" i="7"/>
  <c r="I216" i="7" s="1"/>
  <c r="Q209" i="7"/>
  <c r="E209" i="7"/>
  <c r="D209" i="7"/>
  <c r="H206" i="7"/>
  <c r="J206" i="7"/>
  <c r="I204" i="7"/>
  <c r="H204" i="7"/>
  <c r="E204" i="7"/>
  <c r="J203" i="7"/>
  <c r="E203" i="7"/>
  <c r="K202" i="7"/>
  <c r="P207" i="7" s="1"/>
  <c r="J202" i="7"/>
  <c r="E202" i="7"/>
  <c r="K201" i="7"/>
  <c r="J201" i="7"/>
  <c r="H201" i="7"/>
  <c r="I201" i="7"/>
  <c r="F201" i="7"/>
  <c r="V201" i="7"/>
  <c r="T201" i="7"/>
  <c r="R201" i="7"/>
  <c r="U201" i="7"/>
  <c r="S201" i="7"/>
  <c r="Q201" i="7"/>
  <c r="E201" i="7"/>
  <c r="D201" i="7"/>
  <c r="B201" i="7"/>
  <c r="K200" i="7"/>
  <c r="J200" i="7"/>
  <c r="H200" i="7"/>
  <c r="I200" i="7"/>
  <c r="F200" i="7"/>
  <c r="V200" i="7"/>
  <c r="T200" i="7"/>
  <c r="R200" i="7"/>
  <c r="U200" i="7"/>
  <c r="S200" i="7"/>
  <c r="Q200" i="7"/>
  <c r="E200" i="7"/>
  <c r="D200" i="7"/>
  <c r="B200" i="7"/>
  <c r="K199" i="7"/>
  <c r="J199" i="7"/>
  <c r="H199" i="7"/>
  <c r="I199" i="7"/>
  <c r="F199" i="7"/>
  <c r="V199" i="7"/>
  <c r="T199" i="7"/>
  <c r="R199" i="7"/>
  <c r="U199" i="7"/>
  <c r="S199" i="7"/>
  <c r="Q199" i="7"/>
  <c r="E199" i="7"/>
  <c r="D199" i="7"/>
  <c r="B199" i="7"/>
  <c r="K198" i="7"/>
  <c r="J198" i="7"/>
  <c r="H198" i="7"/>
  <c r="I198" i="7"/>
  <c r="F198" i="7"/>
  <c r="V198" i="7"/>
  <c r="T198" i="7"/>
  <c r="R198" i="7"/>
  <c r="U198" i="7"/>
  <c r="S198" i="7"/>
  <c r="Q198" i="7"/>
  <c r="E198" i="7"/>
  <c r="D198" i="7"/>
  <c r="B198" i="7"/>
  <c r="K197" i="7"/>
  <c r="J197" i="7"/>
  <c r="H197" i="7"/>
  <c r="I197" i="7"/>
  <c r="F197" i="7"/>
  <c r="V197" i="7"/>
  <c r="T197" i="7"/>
  <c r="R197" i="7"/>
  <c r="U197" i="7"/>
  <c r="S197" i="7"/>
  <c r="Q197" i="7"/>
  <c r="E197" i="7"/>
  <c r="D197" i="7"/>
  <c r="B197" i="7"/>
  <c r="K196" i="7"/>
  <c r="J196" i="7"/>
  <c r="H196" i="7"/>
  <c r="I196" i="7"/>
  <c r="F196" i="7"/>
  <c r="V196" i="7"/>
  <c r="T196" i="7"/>
  <c r="R196" i="7"/>
  <c r="U196" i="7"/>
  <c r="S196" i="7"/>
  <c r="I203" i="7" s="1"/>
  <c r="Q196" i="7"/>
  <c r="E196" i="7"/>
  <c r="D196" i="7"/>
  <c r="B196" i="7"/>
  <c r="K195" i="7"/>
  <c r="J195" i="7"/>
  <c r="H195" i="7"/>
  <c r="I195" i="7"/>
  <c r="F195" i="7"/>
  <c r="V195" i="7"/>
  <c r="T195" i="7"/>
  <c r="R195" i="7"/>
  <c r="U195" i="7"/>
  <c r="S195" i="7"/>
  <c r="Q195" i="7"/>
  <c r="I202" i="7" s="1"/>
  <c r="H205" i="7" s="1"/>
  <c r="E195" i="7"/>
  <c r="D195" i="7"/>
  <c r="B195" i="7"/>
  <c r="K194" i="7"/>
  <c r="J194" i="7"/>
  <c r="I194" i="7"/>
  <c r="H194" i="7"/>
  <c r="F194" i="7"/>
  <c r="K193" i="7"/>
  <c r="J193" i="7"/>
  <c r="I193" i="7"/>
  <c r="H193" i="7"/>
  <c r="F193" i="7"/>
  <c r="K192" i="7"/>
  <c r="J192" i="7"/>
  <c r="I192" i="7"/>
  <c r="H192" i="7"/>
  <c r="F192" i="7"/>
  <c r="K191" i="7"/>
  <c r="J205" i="7" s="1"/>
  <c r="J191" i="7"/>
  <c r="I191" i="7"/>
  <c r="H191" i="7"/>
  <c r="F191" i="7"/>
  <c r="C190" i="7"/>
  <c r="V189" i="7"/>
  <c r="T189" i="7"/>
  <c r="K203" i="7" s="1"/>
  <c r="R189" i="7"/>
  <c r="U189" i="7"/>
  <c r="S189" i="7"/>
  <c r="Q189" i="7"/>
  <c r="E189" i="7"/>
  <c r="D189" i="7"/>
  <c r="H186" i="7"/>
  <c r="J186" i="7"/>
  <c r="I184" i="7"/>
  <c r="H184" i="7"/>
  <c r="E184" i="7"/>
  <c r="J183" i="7"/>
  <c r="I183" i="7"/>
  <c r="E183" i="7"/>
  <c r="J182" i="7"/>
  <c r="E182" i="7"/>
  <c r="K181" i="7"/>
  <c r="J181" i="7"/>
  <c r="H181" i="7"/>
  <c r="I181" i="7"/>
  <c r="F181" i="7"/>
  <c r="V181" i="7"/>
  <c r="T181" i="7"/>
  <c r="R181" i="7"/>
  <c r="U181" i="7"/>
  <c r="S181" i="7"/>
  <c r="Q181" i="7"/>
  <c r="E181" i="7"/>
  <c r="D181" i="7"/>
  <c r="B181" i="7"/>
  <c r="K180" i="7"/>
  <c r="J180" i="7"/>
  <c r="I180" i="7"/>
  <c r="H180" i="7"/>
  <c r="F180" i="7"/>
  <c r="K179" i="7"/>
  <c r="J179" i="7"/>
  <c r="I179" i="7"/>
  <c r="H179" i="7"/>
  <c r="F179" i="7"/>
  <c r="K178" i="7"/>
  <c r="P187" i="7" s="1"/>
  <c r="J178" i="7"/>
  <c r="I178" i="7"/>
  <c r="H178" i="7"/>
  <c r="F178" i="7"/>
  <c r="V177" i="7"/>
  <c r="T177" i="7"/>
  <c r="K183" i="7" s="1"/>
  <c r="R177" i="7"/>
  <c r="K182" i="7" s="1"/>
  <c r="U177" i="7"/>
  <c r="S177" i="7"/>
  <c r="Q177" i="7"/>
  <c r="I182" i="7" s="1"/>
  <c r="E177" i="7"/>
  <c r="D177" i="7"/>
  <c r="H174" i="7"/>
  <c r="J174" i="7"/>
  <c r="I172" i="7"/>
  <c r="H172" i="7"/>
  <c r="E172" i="7"/>
  <c r="J171" i="7"/>
  <c r="E171" i="7"/>
  <c r="J170" i="7"/>
  <c r="E170" i="7"/>
  <c r="K169" i="7"/>
  <c r="J169" i="7"/>
  <c r="H169" i="7"/>
  <c r="I169" i="7"/>
  <c r="F169" i="7"/>
  <c r="V169" i="7"/>
  <c r="T169" i="7"/>
  <c r="R169" i="7"/>
  <c r="U169" i="7"/>
  <c r="S169" i="7"/>
  <c r="Q169" i="7"/>
  <c r="I170" i="7" s="1"/>
  <c r="H173" i="7" s="1"/>
  <c r="E169" i="7"/>
  <c r="D169" i="7"/>
  <c r="B169" i="7"/>
  <c r="K168" i="7"/>
  <c r="J168" i="7"/>
  <c r="H168" i="7"/>
  <c r="I168" i="7"/>
  <c r="F168" i="7"/>
  <c r="V168" i="7"/>
  <c r="T168" i="7"/>
  <c r="R168" i="7"/>
  <c r="K170" i="7" s="1"/>
  <c r="U168" i="7"/>
  <c r="S168" i="7"/>
  <c r="Q168" i="7"/>
  <c r="E168" i="7"/>
  <c r="D168" i="7"/>
  <c r="B168" i="7"/>
  <c r="K167" i="7"/>
  <c r="J167" i="7"/>
  <c r="H167" i="7"/>
  <c r="I167" i="7"/>
  <c r="F167" i="7"/>
  <c r="V167" i="7"/>
  <c r="T167" i="7"/>
  <c r="R167" i="7"/>
  <c r="U167" i="7"/>
  <c r="S167" i="7"/>
  <c r="Q167" i="7"/>
  <c r="E167" i="7"/>
  <c r="D167" i="7"/>
  <c r="B167" i="7"/>
  <c r="K166" i="7"/>
  <c r="J166" i="7"/>
  <c r="H166" i="7"/>
  <c r="I166" i="7"/>
  <c r="F166" i="7"/>
  <c r="V166" i="7"/>
  <c r="T166" i="7"/>
  <c r="R166" i="7"/>
  <c r="U166" i="7"/>
  <c r="S166" i="7"/>
  <c r="Q166" i="7"/>
  <c r="E166" i="7"/>
  <c r="D166" i="7"/>
  <c r="B166" i="7"/>
  <c r="K165" i="7"/>
  <c r="J165" i="7"/>
  <c r="H165" i="7"/>
  <c r="I165" i="7"/>
  <c r="F165" i="7"/>
  <c r="V165" i="7"/>
  <c r="T165" i="7"/>
  <c r="R165" i="7"/>
  <c r="U165" i="7"/>
  <c r="S165" i="7"/>
  <c r="Q165" i="7"/>
  <c r="E165" i="7"/>
  <c r="D165" i="7"/>
  <c r="B165" i="7"/>
  <c r="K164" i="7"/>
  <c r="J164" i="7"/>
  <c r="H164" i="7"/>
  <c r="I164" i="7"/>
  <c r="F164" i="7"/>
  <c r="V164" i="7"/>
  <c r="T164" i="7"/>
  <c r="K171" i="7" s="1"/>
  <c r="R164" i="7"/>
  <c r="U164" i="7"/>
  <c r="S164" i="7"/>
  <c r="Q164" i="7"/>
  <c r="E164" i="7"/>
  <c r="D164" i="7"/>
  <c r="B164" i="7"/>
  <c r="K163" i="7"/>
  <c r="J163" i="7"/>
  <c r="I163" i="7"/>
  <c r="H163" i="7"/>
  <c r="F163" i="7"/>
  <c r="K162" i="7"/>
  <c r="J162" i="7"/>
  <c r="I162" i="7"/>
  <c r="H162" i="7"/>
  <c r="F162" i="7"/>
  <c r="K161" i="7"/>
  <c r="P175" i="7" s="1"/>
  <c r="J161" i="7"/>
  <c r="I161" i="7"/>
  <c r="O175" i="7" s="1"/>
  <c r="H161" i="7"/>
  <c r="F161" i="7"/>
  <c r="C160" i="7"/>
  <c r="V159" i="7"/>
  <c r="T159" i="7"/>
  <c r="R159" i="7"/>
  <c r="U159" i="7"/>
  <c r="S159" i="7"/>
  <c r="I171" i="7" s="1"/>
  <c r="Q159" i="7"/>
  <c r="E159" i="7"/>
  <c r="D159" i="7"/>
  <c r="A158" i="7"/>
  <c r="I156" i="7"/>
  <c r="J156" i="7"/>
  <c r="I155" i="7"/>
  <c r="J155" i="7"/>
  <c r="A154" i="7"/>
  <c r="H150" i="7"/>
  <c r="I148" i="7"/>
  <c r="H148" i="7"/>
  <c r="E148" i="7"/>
  <c r="J147" i="7"/>
  <c r="I147" i="7"/>
  <c r="E147" i="7"/>
  <c r="J146" i="7"/>
  <c r="E146" i="7"/>
  <c r="K145" i="7"/>
  <c r="J150" i="7" s="1"/>
  <c r="J145" i="7"/>
  <c r="H145" i="7"/>
  <c r="I145" i="7"/>
  <c r="F145" i="7"/>
  <c r="V145" i="7"/>
  <c r="T145" i="7"/>
  <c r="R145" i="7"/>
  <c r="U145" i="7"/>
  <c r="S145" i="7"/>
  <c r="Q145" i="7"/>
  <c r="E145" i="7"/>
  <c r="D145" i="7"/>
  <c r="B145" i="7"/>
  <c r="K144" i="7"/>
  <c r="J144" i="7"/>
  <c r="I144" i="7"/>
  <c r="H144" i="7"/>
  <c r="F144" i="7"/>
  <c r="V143" i="7"/>
  <c r="T143" i="7"/>
  <c r="K147" i="7" s="1"/>
  <c r="R143" i="7"/>
  <c r="K146" i="7" s="1"/>
  <c r="U143" i="7"/>
  <c r="S143" i="7"/>
  <c r="Q143" i="7"/>
  <c r="I146" i="7" s="1"/>
  <c r="E143" i="7"/>
  <c r="D143" i="7"/>
  <c r="H140" i="7"/>
  <c r="J140" i="7"/>
  <c r="I138" i="7"/>
  <c r="H138" i="7"/>
  <c r="E138" i="7"/>
  <c r="J137" i="7"/>
  <c r="E137" i="7"/>
  <c r="J136" i="7"/>
  <c r="E136" i="7"/>
  <c r="K135" i="7"/>
  <c r="J135" i="7"/>
  <c r="H135" i="7"/>
  <c r="I135" i="7"/>
  <c r="F135" i="7"/>
  <c r="V135" i="7"/>
  <c r="T135" i="7"/>
  <c r="R135" i="7"/>
  <c r="U135" i="7"/>
  <c r="S135" i="7"/>
  <c r="Q135" i="7"/>
  <c r="E135" i="7"/>
  <c r="D135" i="7"/>
  <c r="B135" i="7"/>
  <c r="K134" i="7"/>
  <c r="J134" i="7"/>
  <c r="H134" i="7"/>
  <c r="I134" i="7"/>
  <c r="F134" i="7"/>
  <c r="V134" i="7"/>
  <c r="T134" i="7"/>
  <c r="R134" i="7"/>
  <c r="K136" i="7" s="1"/>
  <c r="P141" i="7" s="1"/>
  <c r="U134" i="7"/>
  <c r="S134" i="7"/>
  <c r="Q134" i="7"/>
  <c r="E134" i="7"/>
  <c r="D134" i="7"/>
  <c r="B134" i="7"/>
  <c r="K133" i="7"/>
  <c r="J133" i="7"/>
  <c r="H133" i="7"/>
  <c r="I133" i="7"/>
  <c r="F133" i="7"/>
  <c r="V133" i="7"/>
  <c r="T133" i="7"/>
  <c r="R133" i="7"/>
  <c r="U133" i="7"/>
  <c r="S133" i="7"/>
  <c r="Q133" i="7"/>
  <c r="E133" i="7"/>
  <c r="D133" i="7"/>
  <c r="B133" i="7"/>
  <c r="K132" i="7"/>
  <c r="J132" i="7"/>
  <c r="H132" i="7"/>
  <c r="I132" i="7"/>
  <c r="F132" i="7"/>
  <c r="V132" i="7"/>
  <c r="T132" i="7"/>
  <c r="R132" i="7"/>
  <c r="U132" i="7"/>
  <c r="S132" i="7"/>
  <c r="Q132" i="7"/>
  <c r="E132" i="7"/>
  <c r="D132" i="7"/>
  <c r="B132" i="7"/>
  <c r="K131" i="7"/>
  <c r="J131" i="7"/>
  <c r="I131" i="7"/>
  <c r="H131" i="7"/>
  <c r="F131" i="7"/>
  <c r="K130" i="7"/>
  <c r="J130" i="7"/>
  <c r="I130" i="7"/>
  <c r="H130" i="7"/>
  <c r="F130" i="7"/>
  <c r="K129" i="7"/>
  <c r="J129" i="7"/>
  <c r="I129" i="7"/>
  <c r="H139" i="7" s="1"/>
  <c r="H129" i="7"/>
  <c r="F129" i="7"/>
  <c r="K128" i="7"/>
  <c r="J128" i="7"/>
  <c r="I128" i="7"/>
  <c r="H128" i="7"/>
  <c r="F128" i="7"/>
  <c r="V127" i="7"/>
  <c r="T127" i="7"/>
  <c r="K137" i="7" s="1"/>
  <c r="R127" i="7"/>
  <c r="U127" i="7"/>
  <c r="S127" i="7"/>
  <c r="I137" i="7" s="1"/>
  <c r="Q127" i="7"/>
  <c r="I136" i="7" s="1"/>
  <c r="E127" i="7"/>
  <c r="D127" i="7"/>
  <c r="A126" i="7"/>
  <c r="I124" i="7"/>
  <c r="J124" i="7"/>
  <c r="I123" i="7"/>
  <c r="J123" i="7"/>
  <c r="AQ122" i="7"/>
  <c r="A122" i="7"/>
  <c r="H118" i="7"/>
  <c r="I116" i="7"/>
  <c r="H116" i="7"/>
  <c r="E116" i="7"/>
  <c r="K115" i="7"/>
  <c r="J115" i="7"/>
  <c r="E115" i="7"/>
  <c r="K114" i="7"/>
  <c r="J114" i="7"/>
  <c r="E114" i="7"/>
  <c r="K113" i="7"/>
  <c r="J113" i="7"/>
  <c r="H113" i="7"/>
  <c r="I113" i="7"/>
  <c r="F113" i="7"/>
  <c r="V113" i="7"/>
  <c r="T113" i="7"/>
  <c r="R113" i="7"/>
  <c r="U113" i="7"/>
  <c r="S113" i="7"/>
  <c r="Q113" i="7"/>
  <c r="E113" i="7"/>
  <c r="D113" i="7"/>
  <c r="B113" i="7"/>
  <c r="K112" i="7"/>
  <c r="J112" i="7"/>
  <c r="H112" i="7"/>
  <c r="I112" i="7"/>
  <c r="F112" i="7"/>
  <c r="V112" i="7"/>
  <c r="T112" i="7"/>
  <c r="R112" i="7"/>
  <c r="U112" i="7"/>
  <c r="S112" i="7"/>
  <c r="Q112" i="7"/>
  <c r="E112" i="7"/>
  <c r="D112" i="7"/>
  <c r="B112" i="7"/>
  <c r="K111" i="7"/>
  <c r="J111" i="7"/>
  <c r="H111" i="7"/>
  <c r="I111" i="7"/>
  <c r="F111" i="7"/>
  <c r="V111" i="7"/>
  <c r="T111" i="7"/>
  <c r="R111" i="7"/>
  <c r="U111" i="7"/>
  <c r="S111" i="7"/>
  <c r="Q111" i="7"/>
  <c r="E111" i="7"/>
  <c r="D111" i="7"/>
  <c r="B111" i="7"/>
  <c r="K110" i="7"/>
  <c r="J118" i="7" s="1"/>
  <c r="J110" i="7"/>
  <c r="H110" i="7"/>
  <c r="I110" i="7"/>
  <c r="F110" i="7"/>
  <c r="V110" i="7"/>
  <c r="T110" i="7"/>
  <c r="R110" i="7"/>
  <c r="U110" i="7"/>
  <c r="S110" i="7"/>
  <c r="Q110" i="7"/>
  <c r="E110" i="7"/>
  <c r="D110" i="7"/>
  <c r="B110" i="7"/>
  <c r="K109" i="7"/>
  <c r="J109" i="7"/>
  <c r="I109" i="7"/>
  <c r="H109" i="7"/>
  <c r="F109" i="7"/>
  <c r="K108" i="7"/>
  <c r="J108" i="7"/>
  <c r="I108" i="7"/>
  <c r="H108" i="7"/>
  <c r="F108" i="7"/>
  <c r="K107" i="7"/>
  <c r="P119" i="7" s="1"/>
  <c r="J107" i="7"/>
  <c r="I107" i="7"/>
  <c r="H107" i="7"/>
  <c r="F107" i="7"/>
  <c r="C106" i="7"/>
  <c r="V105" i="7"/>
  <c r="T105" i="7"/>
  <c r="R105" i="7"/>
  <c r="U105" i="7"/>
  <c r="S105" i="7"/>
  <c r="I115" i="7" s="1"/>
  <c r="Q105" i="7"/>
  <c r="I114" i="7" s="1"/>
  <c r="E105" i="7"/>
  <c r="D105" i="7"/>
  <c r="H102" i="7"/>
  <c r="J102" i="7"/>
  <c r="I100" i="7"/>
  <c r="H100" i="7"/>
  <c r="E100" i="7"/>
  <c r="K99" i="7"/>
  <c r="J99" i="7"/>
  <c r="E99" i="7"/>
  <c r="J98" i="7"/>
  <c r="E98" i="7"/>
  <c r="K97" i="7"/>
  <c r="J97" i="7"/>
  <c r="H97" i="7"/>
  <c r="I97" i="7"/>
  <c r="F97" i="7"/>
  <c r="V97" i="7"/>
  <c r="T97" i="7"/>
  <c r="R97" i="7"/>
  <c r="U97" i="7"/>
  <c r="S97" i="7"/>
  <c r="Q97" i="7"/>
  <c r="E97" i="7"/>
  <c r="D97" i="7"/>
  <c r="B97" i="7"/>
  <c r="K96" i="7"/>
  <c r="J96" i="7"/>
  <c r="H96" i="7"/>
  <c r="I96" i="7"/>
  <c r="F96" i="7"/>
  <c r="V96" i="7"/>
  <c r="T96" i="7"/>
  <c r="R96" i="7"/>
  <c r="U96" i="7"/>
  <c r="S96" i="7"/>
  <c r="Q96" i="7"/>
  <c r="E96" i="7"/>
  <c r="D96" i="7"/>
  <c r="B96" i="7"/>
  <c r="K95" i="7"/>
  <c r="P103" i="7" s="1"/>
  <c r="J95" i="7"/>
  <c r="I95" i="7"/>
  <c r="H95" i="7"/>
  <c r="F95" i="7"/>
  <c r="C94" i="7"/>
  <c r="V93" i="7"/>
  <c r="T93" i="7"/>
  <c r="R93" i="7"/>
  <c r="K98" i="7" s="1"/>
  <c r="J101" i="7" s="1"/>
  <c r="U93" i="7"/>
  <c r="S93" i="7"/>
  <c r="I99" i="7" s="1"/>
  <c r="Q93" i="7"/>
  <c r="I98" i="7" s="1"/>
  <c r="E93" i="7"/>
  <c r="D93" i="7"/>
  <c r="H90" i="7"/>
  <c r="J90" i="7"/>
  <c r="I88" i="7"/>
  <c r="H88" i="7"/>
  <c r="E88" i="7"/>
  <c r="J87" i="7"/>
  <c r="E87" i="7"/>
  <c r="J86" i="7"/>
  <c r="E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H83" i="7"/>
  <c r="I83" i="7"/>
  <c r="F83" i="7"/>
  <c r="V83" i="7"/>
  <c r="T83" i="7"/>
  <c r="R83" i="7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K87" i="7" s="1"/>
  <c r="R82" i="7"/>
  <c r="U82" i="7"/>
  <c r="S82" i="7"/>
  <c r="Q82" i="7"/>
  <c r="E82" i="7"/>
  <c r="D82" i="7"/>
  <c r="B82" i="7"/>
  <c r="K81" i="7"/>
  <c r="J81" i="7"/>
  <c r="I81" i="7"/>
  <c r="H81" i="7"/>
  <c r="F81" i="7"/>
  <c r="K80" i="7"/>
  <c r="J80" i="7"/>
  <c r="I80" i="7"/>
  <c r="H80" i="7"/>
  <c r="F80" i="7"/>
  <c r="K79" i="7"/>
  <c r="J79" i="7"/>
  <c r="I79" i="7"/>
  <c r="H79" i="7"/>
  <c r="F79" i="7"/>
  <c r="K78" i="7"/>
  <c r="J78" i="7"/>
  <c r="I78" i="7"/>
  <c r="O91" i="7" s="1"/>
  <c r="H78" i="7"/>
  <c r="F78" i="7"/>
  <c r="V77" i="7"/>
  <c r="T77" i="7"/>
  <c r="R77" i="7"/>
  <c r="K86" i="7" s="1"/>
  <c r="J89" i="7" s="1"/>
  <c r="U77" i="7"/>
  <c r="S77" i="7"/>
  <c r="I87" i="7" s="1"/>
  <c r="Q77" i="7"/>
  <c r="I86" i="7" s="1"/>
  <c r="E77" i="7"/>
  <c r="D77" i="7"/>
  <c r="A76" i="7"/>
  <c r="I74" i="7"/>
  <c r="J74" i="7"/>
  <c r="I73" i="7"/>
  <c r="J73" i="7"/>
  <c r="A72" i="7"/>
  <c r="H68" i="7"/>
  <c r="J68" i="7"/>
  <c r="I66" i="7"/>
  <c r="H66" i="7"/>
  <c r="E66" i="7"/>
  <c r="J65" i="7"/>
  <c r="E65" i="7"/>
  <c r="J64" i="7"/>
  <c r="I64" i="7"/>
  <c r="H67" i="7" s="1"/>
  <c r="E64" i="7"/>
  <c r="K63" i="7"/>
  <c r="J63" i="7"/>
  <c r="H63" i="7"/>
  <c r="I63" i="7"/>
  <c r="F63" i="7"/>
  <c r="V63" i="7"/>
  <c r="T63" i="7"/>
  <c r="R63" i="7"/>
  <c r="U63" i="7"/>
  <c r="S63" i="7"/>
  <c r="Q63" i="7"/>
  <c r="E63" i="7"/>
  <c r="D63" i="7"/>
  <c r="B63" i="7"/>
  <c r="K62" i="7"/>
  <c r="J62" i="7"/>
  <c r="I62" i="7"/>
  <c r="H62" i="7"/>
  <c r="F62" i="7"/>
  <c r="V61" i="7"/>
  <c r="T61" i="7"/>
  <c r="K65" i="7" s="1"/>
  <c r="R61" i="7"/>
  <c r="K64" i="7" s="1"/>
  <c r="U61" i="7"/>
  <c r="S61" i="7"/>
  <c r="I65" i="7" s="1"/>
  <c r="Q61" i="7"/>
  <c r="E61" i="7"/>
  <c r="D61" i="7"/>
  <c r="J58" i="7"/>
  <c r="I56" i="7"/>
  <c r="H56" i="7"/>
  <c r="E56" i="7"/>
  <c r="J55" i="7"/>
  <c r="E55" i="7"/>
  <c r="J54" i="7"/>
  <c r="E54" i="7"/>
  <c r="K53" i="7"/>
  <c r="J53" i="7"/>
  <c r="H53" i="7"/>
  <c r="I53" i="7"/>
  <c r="F53" i="7"/>
  <c r="V53" i="7"/>
  <c r="T53" i="7"/>
  <c r="R53" i="7"/>
  <c r="U53" i="7"/>
  <c r="S53" i="7"/>
  <c r="Q53" i="7"/>
  <c r="E53" i="7"/>
  <c r="D53" i="7"/>
  <c r="B53" i="7"/>
  <c r="K52" i="7"/>
  <c r="J52" i="7"/>
  <c r="H52" i="7"/>
  <c r="I52" i="7"/>
  <c r="F52" i="7"/>
  <c r="V52" i="7"/>
  <c r="T52" i="7"/>
  <c r="R52" i="7"/>
  <c r="U52" i="7"/>
  <c r="S52" i="7"/>
  <c r="Q52" i="7"/>
  <c r="I54" i="7" s="1"/>
  <c r="E52" i="7"/>
  <c r="D52" i="7"/>
  <c r="B52" i="7"/>
  <c r="K51" i="7"/>
  <c r="J51" i="7"/>
  <c r="H51" i="7"/>
  <c r="I51" i="7"/>
  <c r="F51" i="7"/>
  <c r="V51" i="7"/>
  <c r="T51" i="7"/>
  <c r="R51" i="7"/>
  <c r="U51" i="7"/>
  <c r="S51" i="7"/>
  <c r="Q51" i="7"/>
  <c r="E51" i="7"/>
  <c r="D51" i="7"/>
  <c r="B51" i="7"/>
  <c r="K50" i="7"/>
  <c r="J50" i="7"/>
  <c r="H50" i="7"/>
  <c r="I50" i="7"/>
  <c r="H58" i="7" s="1"/>
  <c r="F50" i="7"/>
  <c r="V50" i="7"/>
  <c r="T50" i="7"/>
  <c r="R50" i="7"/>
  <c r="U50" i="7"/>
  <c r="S50" i="7"/>
  <c r="I55" i="7" s="1"/>
  <c r="Q50" i="7"/>
  <c r="E50" i="7"/>
  <c r="D50" i="7"/>
  <c r="B50" i="7"/>
  <c r="K49" i="7"/>
  <c r="J49" i="7"/>
  <c r="I49" i="7"/>
  <c r="H49" i="7"/>
  <c r="F49" i="7"/>
  <c r="K48" i="7"/>
  <c r="J48" i="7"/>
  <c r="I48" i="7"/>
  <c r="H48" i="7"/>
  <c r="F48" i="7"/>
  <c r="K47" i="7"/>
  <c r="P59" i="7" s="1"/>
  <c r="J47" i="7"/>
  <c r="I47" i="7"/>
  <c r="H47" i="7"/>
  <c r="F47" i="7"/>
  <c r="C46" i="7"/>
  <c r="V45" i="7"/>
  <c r="T45" i="7"/>
  <c r="K55" i="7" s="1"/>
  <c r="R45" i="7"/>
  <c r="K54" i="7" s="1"/>
  <c r="U45" i="7"/>
  <c r="S45" i="7"/>
  <c r="Q45" i="7"/>
  <c r="E45" i="7"/>
  <c r="D45" i="7"/>
  <c r="H42" i="7"/>
  <c r="J42" i="7"/>
  <c r="I40" i="7"/>
  <c r="H40" i="7"/>
  <c r="E40" i="7"/>
  <c r="J39" i="7"/>
  <c r="E39" i="7"/>
  <c r="J38" i="7"/>
  <c r="E38" i="7"/>
  <c r="K37" i="7"/>
  <c r="J37" i="7"/>
  <c r="H37" i="7"/>
  <c r="I37" i="7"/>
  <c r="F37" i="7"/>
  <c r="V37" i="7"/>
  <c r="T37" i="7"/>
  <c r="R37" i="7"/>
  <c r="U37" i="7"/>
  <c r="S37" i="7"/>
  <c r="Q37" i="7"/>
  <c r="E37" i="7"/>
  <c r="D37" i="7"/>
  <c r="B37" i="7"/>
  <c r="K36" i="7"/>
  <c r="J36" i="7"/>
  <c r="H36" i="7"/>
  <c r="I36" i="7"/>
  <c r="F36" i="7"/>
  <c r="V36" i="7"/>
  <c r="T36" i="7"/>
  <c r="R36" i="7"/>
  <c r="K38" i="7" s="1"/>
  <c r="U36" i="7"/>
  <c r="S36" i="7"/>
  <c r="Q36" i="7"/>
  <c r="E36" i="7"/>
  <c r="D36" i="7"/>
  <c r="B36" i="7"/>
  <c r="K35" i="7"/>
  <c r="J35" i="7"/>
  <c r="H35" i="7"/>
  <c r="I35" i="7"/>
  <c r="F35" i="7"/>
  <c r="V35" i="7"/>
  <c r="T35" i="7"/>
  <c r="R35" i="7"/>
  <c r="U35" i="7"/>
  <c r="S35" i="7"/>
  <c r="Q35" i="7"/>
  <c r="E35" i="7"/>
  <c r="D35" i="7"/>
  <c r="B35" i="7"/>
  <c r="K34" i="7"/>
  <c r="J34" i="7"/>
  <c r="I34" i="7"/>
  <c r="H34" i="7"/>
  <c r="F34" i="7"/>
  <c r="K33" i="7"/>
  <c r="J33" i="7"/>
  <c r="I33" i="7"/>
  <c r="H33" i="7"/>
  <c r="F33" i="7"/>
  <c r="K32" i="7"/>
  <c r="J32" i="7"/>
  <c r="I32" i="7"/>
  <c r="H32" i="7"/>
  <c r="F32" i="7"/>
  <c r="K31" i="7"/>
  <c r="P43" i="7" s="1"/>
  <c r="J31" i="7"/>
  <c r="I31" i="7"/>
  <c r="O43" i="7" s="1"/>
  <c r="H31" i="7"/>
  <c r="F31" i="7"/>
  <c r="V30" i="7"/>
  <c r="T30" i="7"/>
  <c r="K39" i="7" s="1"/>
  <c r="R30" i="7"/>
  <c r="U30" i="7"/>
  <c r="S30" i="7"/>
  <c r="I39" i="7" s="1"/>
  <c r="Q30" i="7"/>
  <c r="I38" i="7" s="1"/>
  <c r="E30" i="7"/>
  <c r="D30" i="7"/>
  <c r="A29" i="7"/>
  <c r="A11" i="7"/>
  <c r="A8" i="7"/>
  <c r="A6" i="7"/>
  <c r="A1" i="7"/>
  <c r="H59" i="7" l="1"/>
  <c r="H41" i="7"/>
  <c r="H310" i="7"/>
  <c r="P312" i="7"/>
  <c r="J310" i="7"/>
  <c r="J312" i="7"/>
  <c r="J59" i="7"/>
  <c r="J57" i="7"/>
  <c r="P242" i="7"/>
  <c r="J242" i="7"/>
  <c r="J240" i="7"/>
  <c r="H103" i="7"/>
  <c r="H261" i="7"/>
  <c r="P263" i="7"/>
  <c r="J278" i="7"/>
  <c r="P69" i="7"/>
  <c r="J319" i="7" s="1"/>
  <c r="J67" i="7"/>
  <c r="J69" i="7"/>
  <c r="J229" i="7"/>
  <c r="O242" i="7"/>
  <c r="O297" i="7"/>
  <c r="H297" i="7"/>
  <c r="O59" i="7"/>
  <c r="H72" i="7" s="1"/>
  <c r="P91" i="7"/>
  <c r="J122" i="7" s="1"/>
  <c r="H119" i="7"/>
  <c r="O141" i="7"/>
  <c r="H207" i="7"/>
  <c r="J261" i="7"/>
  <c r="H278" i="7"/>
  <c r="O103" i="7"/>
  <c r="H101" i="7"/>
  <c r="O151" i="7"/>
  <c r="H151" i="7"/>
  <c r="H149" i="7"/>
  <c r="H218" i="7"/>
  <c r="P280" i="7"/>
  <c r="J280" i="7"/>
  <c r="H295" i="7"/>
  <c r="H122" i="7"/>
  <c r="J141" i="7"/>
  <c r="O69" i="7"/>
  <c r="O119" i="7"/>
  <c r="H231" i="7"/>
  <c r="H229" i="7"/>
  <c r="H280" i="7"/>
  <c r="H319" i="7"/>
  <c r="P151" i="7"/>
  <c r="J154" i="7" s="1"/>
  <c r="J151" i="7"/>
  <c r="J149" i="7"/>
  <c r="O187" i="7"/>
  <c r="H245" i="7" s="1"/>
  <c r="H185" i="7"/>
  <c r="H187" i="7"/>
  <c r="P231" i="7"/>
  <c r="J245" i="7" s="1"/>
  <c r="H43" i="7"/>
  <c r="J91" i="7"/>
  <c r="H141" i="7"/>
  <c r="O207" i="7"/>
  <c r="H220" i="7"/>
  <c r="H240" i="7"/>
  <c r="O263" i="7"/>
  <c r="H315" i="7" s="1"/>
  <c r="H57" i="7"/>
  <c r="H69" i="7"/>
  <c r="J103" i="7"/>
  <c r="H175" i="7"/>
  <c r="H312" i="7"/>
  <c r="H89" i="7"/>
  <c r="J117" i="7"/>
  <c r="H242" i="7"/>
  <c r="O280" i="7"/>
  <c r="O312" i="7"/>
  <c r="J185" i="7"/>
  <c r="J295" i="7"/>
  <c r="H91" i="7"/>
  <c r="J119" i="7"/>
  <c r="J187" i="7"/>
  <c r="J297" i="7"/>
  <c r="H117" i="7"/>
  <c r="J139" i="7"/>
  <c r="J173" i="7"/>
  <c r="J207" i="7"/>
  <c r="J231" i="7"/>
  <c r="J263" i="7"/>
  <c r="J175" i="7"/>
  <c r="J41" i="7"/>
  <c r="J43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P28" i="1"/>
  <c r="Q28" i="1"/>
  <c r="R28" i="1"/>
  <c r="T28" i="1"/>
  <c r="AC28" i="1"/>
  <c r="AD28" i="1"/>
  <c r="AB28" i="1" s="1"/>
  <c r="AE28" i="1"/>
  <c r="CR28" i="1" s="1"/>
  <c r="AF28" i="1"/>
  <c r="AG28" i="1"/>
  <c r="AH28" i="1"/>
  <c r="AI28" i="1"/>
  <c r="CW28" i="1" s="1"/>
  <c r="V28" i="1" s="1"/>
  <c r="AJ28" i="1"/>
  <c r="CX28" i="1" s="1"/>
  <c r="W28" i="1" s="1"/>
  <c r="CQ28" i="1"/>
  <c r="CS28" i="1"/>
  <c r="CU28" i="1"/>
  <c r="CV28" i="1"/>
  <c r="U28" i="1" s="1"/>
  <c r="GL28" i="1"/>
  <c r="GN28" i="1"/>
  <c r="GP28" i="1"/>
  <c r="GV28" i="1"/>
  <c r="GX28" i="1"/>
  <c r="HC28" i="1"/>
  <c r="D29" i="1"/>
  <c r="P29" i="1"/>
  <c r="Q29" i="1"/>
  <c r="S29" i="1"/>
  <c r="AB29" i="1"/>
  <c r="AC29" i="1"/>
  <c r="AD29" i="1"/>
  <c r="AE29" i="1"/>
  <c r="R29" i="1" s="1"/>
  <c r="AF29" i="1"/>
  <c r="CT29" i="1" s="1"/>
  <c r="AG29" i="1"/>
  <c r="CU29" i="1" s="1"/>
  <c r="T29" i="1" s="1"/>
  <c r="AH29" i="1"/>
  <c r="AI29" i="1"/>
  <c r="AJ29" i="1"/>
  <c r="CQ29" i="1"/>
  <c r="CS29" i="1"/>
  <c r="CV29" i="1"/>
  <c r="U29" i="1" s="1"/>
  <c r="CW29" i="1"/>
  <c r="V29" i="1" s="1"/>
  <c r="CX29" i="1"/>
  <c r="W29" i="1" s="1"/>
  <c r="GL29" i="1"/>
  <c r="GN29" i="1"/>
  <c r="GP29" i="1"/>
  <c r="GV29" i="1"/>
  <c r="GX29" i="1"/>
  <c r="HC29" i="1"/>
  <c r="I30" i="1"/>
  <c r="Q30" i="1" s="1"/>
  <c r="AC30" i="1"/>
  <c r="AD30" i="1"/>
  <c r="AE30" i="1"/>
  <c r="AF30" i="1"/>
  <c r="S30" i="1" s="1"/>
  <c r="AG30" i="1"/>
  <c r="AH30" i="1"/>
  <c r="CV30" i="1" s="1"/>
  <c r="AI30" i="1"/>
  <c r="CW30" i="1" s="1"/>
  <c r="V30" i="1" s="1"/>
  <c r="AJ30" i="1"/>
  <c r="CX30" i="1" s="1"/>
  <c r="CR30" i="1"/>
  <c r="CS30" i="1"/>
  <c r="CU30" i="1"/>
  <c r="GL30" i="1"/>
  <c r="GN30" i="1"/>
  <c r="GP30" i="1"/>
  <c r="GV30" i="1"/>
  <c r="HC30" i="1" s="1"/>
  <c r="I31" i="1"/>
  <c r="Q31" i="1" s="1"/>
  <c r="P31" i="1"/>
  <c r="V31" i="1"/>
  <c r="AC31" i="1"/>
  <c r="AD31" i="1"/>
  <c r="AB31" i="1" s="1"/>
  <c r="AE31" i="1"/>
  <c r="CR31" i="1" s="1"/>
  <c r="AF31" i="1"/>
  <c r="AG31" i="1"/>
  <c r="AH31" i="1"/>
  <c r="AI31" i="1"/>
  <c r="AJ31" i="1"/>
  <c r="CX31" i="1" s="1"/>
  <c r="CQ31" i="1"/>
  <c r="CS31" i="1"/>
  <c r="CU31" i="1"/>
  <c r="CV31" i="1"/>
  <c r="U31" i="1" s="1"/>
  <c r="CW31" i="1"/>
  <c r="GL31" i="1"/>
  <c r="GN31" i="1"/>
  <c r="GP31" i="1"/>
  <c r="GV31" i="1"/>
  <c r="GX31" i="1"/>
  <c r="HC31" i="1"/>
  <c r="I32" i="1"/>
  <c r="GX32" i="1" s="1"/>
  <c r="P32" i="1"/>
  <c r="S32" i="1"/>
  <c r="V32" i="1"/>
  <c r="AC32" i="1"/>
  <c r="AD32" i="1"/>
  <c r="AB32" i="1" s="1"/>
  <c r="AE32" i="1"/>
  <c r="R32" i="1" s="1"/>
  <c r="AF32" i="1"/>
  <c r="CT32" i="1" s="1"/>
  <c r="AG32" i="1"/>
  <c r="CU32" i="1" s="1"/>
  <c r="T32" i="1" s="1"/>
  <c r="AH32" i="1"/>
  <c r="AI32" i="1"/>
  <c r="AJ32" i="1"/>
  <c r="CX32" i="1" s="1"/>
  <c r="W32" i="1" s="1"/>
  <c r="CQ32" i="1"/>
  <c r="CV32" i="1"/>
  <c r="U32" i="1" s="1"/>
  <c r="CW32" i="1"/>
  <c r="GL32" i="1"/>
  <c r="GN32" i="1"/>
  <c r="GP32" i="1"/>
  <c r="GV32" i="1"/>
  <c r="HC32" i="1"/>
  <c r="I33" i="1"/>
  <c r="Q33" i="1" s="1"/>
  <c r="P33" i="1"/>
  <c r="R33" i="1"/>
  <c r="AB33" i="1"/>
  <c r="AC33" i="1"/>
  <c r="AD33" i="1"/>
  <c r="AE33" i="1"/>
  <c r="AF33" i="1"/>
  <c r="AG33" i="1"/>
  <c r="AH33" i="1"/>
  <c r="CV33" i="1" s="1"/>
  <c r="U33" i="1" s="1"/>
  <c r="AI33" i="1"/>
  <c r="CW33" i="1" s="1"/>
  <c r="V33" i="1" s="1"/>
  <c r="AJ33" i="1"/>
  <c r="CX33" i="1" s="1"/>
  <c r="W33" i="1" s="1"/>
  <c r="CQ33" i="1"/>
  <c r="CR33" i="1"/>
  <c r="CS33" i="1"/>
  <c r="CT33" i="1"/>
  <c r="CU33" i="1"/>
  <c r="GL33" i="1"/>
  <c r="GN33" i="1"/>
  <c r="GP33" i="1"/>
  <c r="GV33" i="1"/>
  <c r="HC33" i="1" s="1"/>
  <c r="GX33" i="1" s="1"/>
  <c r="I34" i="1"/>
  <c r="Q34" i="1" s="1"/>
  <c r="P34" i="1"/>
  <c r="AC34" i="1"/>
  <c r="AE34" i="1"/>
  <c r="CR34" i="1" s="1"/>
  <c r="AF34" i="1"/>
  <c r="AG34" i="1"/>
  <c r="AH34" i="1"/>
  <c r="AI34" i="1"/>
  <c r="CW34" i="1" s="1"/>
  <c r="V34" i="1" s="1"/>
  <c r="AJ34" i="1"/>
  <c r="CX34" i="1" s="1"/>
  <c r="CQ34" i="1"/>
  <c r="CU34" i="1"/>
  <c r="T34" i="1" s="1"/>
  <c r="CV34" i="1"/>
  <c r="U34" i="1" s="1"/>
  <c r="GL34" i="1"/>
  <c r="GN34" i="1"/>
  <c r="GP34" i="1"/>
  <c r="GV34" i="1"/>
  <c r="GX34" i="1"/>
  <c r="HC34" i="1"/>
  <c r="I35" i="1"/>
  <c r="Q35" i="1" s="1"/>
  <c r="R35" i="1"/>
  <c r="S35" i="1"/>
  <c r="CZ35" i="1" s="1"/>
  <c r="Y35" i="1" s="1"/>
  <c r="AC35" i="1"/>
  <c r="AE35" i="1"/>
  <c r="CR35" i="1" s="1"/>
  <c r="AF35" i="1"/>
  <c r="CT35" i="1" s="1"/>
  <c r="AG35" i="1"/>
  <c r="AH35" i="1"/>
  <c r="CV35" i="1" s="1"/>
  <c r="U35" i="1" s="1"/>
  <c r="AI35" i="1"/>
  <c r="AJ35" i="1"/>
  <c r="CQ35" i="1"/>
  <c r="CU35" i="1"/>
  <c r="T35" i="1" s="1"/>
  <c r="CW35" i="1"/>
  <c r="V35" i="1" s="1"/>
  <c r="CX35" i="1"/>
  <c r="W35" i="1" s="1"/>
  <c r="GL35" i="1"/>
  <c r="GN35" i="1"/>
  <c r="GP35" i="1"/>
  <c r="GV35" i="1"/>
  <c r="HC35" i="1"/>
  <c r="D36" i="1"/>
  <c r="I36" i="1"/>
  <c r="Q36" i="1" s="1"/>
  <c r="K36" i="1"/>
  <c r="V36" i="1"/>
  <c r="AC36" i="1"/>
  <c r="AD36" i="1"/>
  <c r="AB36" i="1" s="1"/>
  <c r="AE36" i="1"/>
  <c r="AF36" i="1"/>
  <c r="CT36" i="1" s="1"/>
  <c r="AG36" i="1"/>
  <c r="AH36" i="1"/>
  <c r="CV36" i="1" s="1"/>
  <c r="AI36" i="1"/>
  <c r="AJ36" i="1"/>
  <c r="CX36" i="1" s="1"/>
  <c r="W36" i="1" s="1"/>
  <c r="CQ36" i="1"/>
  <c r="CR36" i="1"/>
  <c r="CS36" i="1"/>
  <c r="CU36" i="1"/>
  <c r="T36" i="1" s="1"/>
  <c r="CW36" i="1"/>
  <c r="GL36" i="1"/>
  <c r="GN36" i="1"/>
  <c r="GP36" i="1"/>
  <c r="GV36" i="1"/>
  <c r="HC36" i="1" s="1"/>
  <c r="D37" i="1"/>
  <c r="I37" i="1"/>
  <c r="I39" i="1" s="1"/>
  <c r="Q39" i="1" s="1"/>
  <c r="K37" i="1"/>
  <c r="V37" i="1"/>
  <c r="AC37" i="1"/>
  <c r="AD37" i="1"/>
  <c r="AB37" i="1" s="1"/>
  <c r="AE37" i="1"/>
  <c r="CR37" i="1" s="1"/>
  <c r="AF37" i="1"/>
  <c r="CT37" i="1" s="1"/>
  <c r="AG37" i="1"/>
  <c r="CU37" i="1" s="1"/>
  <c r="T37" i="1" s="1"/>
  <c r="AH37" i="1"/>
  <c r="CV37" i="1" s="1"/>
  <c r="U37" i="1" s="1"/>
  <c r="AI37" i="1"/>
  <c r="AJ37" i="1"/>
  <c r="CQ37" i="1"/>
  <c r="CW37" i="1"/>
  <c r="CX37" i="1"/>
  <c r="GL37" i="1"/>
  <c r="GN37" i="1"/>
  <c r="GP37" i="1"/>
  <c r="GV37" i="1"/>
  <c r="HC37" i="1"/>
  <c r="GX37" i="1" s="1"/>
  <c r="AB38" i="1"/>
  <c r="AC38" i="1"/>
  <c r="AD38" i="1"/>
  <c r="AE38" i="1"/>
  <c r="AF38" i="1"/>
  <c r="AG38" i="1"/>
  <c r="AH38" i="1"/>
  <c r="CV38" i="1" s="1"/>
  <c r="AI38" i="1"/>
  <c r="CW38" i="1" s="1"/>
  <c r="AJ38" i="1"/>
  <c r="CX38" i="1" s="1"/>
  <c r="CQ38" i="1"/>
  <c r="CR38" i="1"/>
  <c r="CS38" i="1"/>
  <c r="CT38" i="1"/>
  <c r="CU38" i="1"/>
  <c r="GL38" i="1"/>
  <c r="GN38" i="1"/>
  <c r="GO38" i="1"/>
  <c r="GP38" i="1"/>
  <c r="GV38" i="1"/>
  <c r="HC38" i="1"/>
  <c r="T39" i="1"/>
  <c r="AC39" i="1"/>
  <c r="P39" i="1" s="1"/>
  <c r="AE39" i="1"/>
  <c r="CR39" i="1" s="1"/>
  <c r="AF39" i="1"/>
  <c r="AG39" i="1"/>
  <c r="AH39" i="1"/>
  <c r="CV39" i="1" s="1"/>
  <c r="U39" i="1" s="1"/>
  <c r="AI39" i="1"/>
  <c r="CW39" i="1" s="1"/>
  <c r="AJ39" i="1"/>
  <c r="CX39" i="1" s="1"/>
  <c r="W39" i="1" s="1"/>
  <c r="CT39" i="1"/>
  <c r="CU39" i="1"/>
  <c r="GL39" i="1"/>
  <c r="GN39" i="1"/>
  <c r="GO39" i="1"/>
  <c r="GP39" i="1"/>
  <c r="GV39" i="1"/>
  <c r="HC39" i="1" s="1"/>
  <c r="AB40" i="1"/>
  <c r="AC40" i="1"/>
  <c r="CQ40" i="1" s="1"/>
  <c r="AD40" i="1"/>
  <c r="AE40" i="1"/>
  <c r="CR40" i="1" s="1"/>
  <c r="AF40" i="1"/>
  <c r="AG40" i="1"/>
  <c r="AH40" i="1"/>
  <c r="CV40" i="1" s="1"/>
  <c r="AI40" i="1"/>
  <c r="AJ40" i="1"/>
  <c r="CX40" i="1" s="1"/>
  <c r="CS40" i="1"/>
  <c r="CT40" i="1"/>
  <c r="CU40" i="1"/>
  <c r="CW40" i="1"/>
  <c r="GL40" i="1"/>
  <c r="GN40" i="1"/>
  <c r="GP40" i="1"/>
  <c r="GV40" i="1"/>
  <c r="HC40" i="1"/>
  <c r="AC41" i="1"/>
  <c r="AD41" i="1"/>
  <c r="AB41" i="1" s="1"/>
  <c r="AE41" i="1"/>
  <c r="AF41" i="1"/>
  <c r="CT41" i="1" s="1"/>
  <c r="AG41" i="1"/>
  <c r="CU41" i="1" s="1"/>
  <c r="AH41" i="1"/>
  <c r="CV41" i="1" s="1"/>
  <c r="AI41" i="1"/>
  <c r="AJ41" i="1"/>
  <c r="CQ41" i="1"/>
  <c r="CR41" i="1"/>
  <c r="CS41" i="1"/>
  <c r="CW41" i="1"/>
  <c r="CX41" i="1"/>
  <c r="GL41" i="1"/>
  <c r="GN41" i="1"/>
  <c r="GP41" i="1"/>
  <c r="GV41" i="1"/>
  <c r="HC41" i="1" s="1"/>
  <c r="AB42" i="1"/>
  <c r="AC42" i="1"/>
  <c r="CQ42" i="1" s="1"/>
  <c r="AD42" i="1"/>
  <c r="AE42" i="1"/>
  <c r="CR42" i="1" s="1"/>
  <c r="AF42" i="1"/>
  <c r="AG42" i="1"/>
  <c r="CU42" i="1" s="1"/>
  <c r="AH42" i="1"/>
  <c r="CV42" i="1" s="1"/>
  <c r="AI42" i="1"/>
  <c r="AJ42" i="1"/>
  <c r="CX42" i="1" s="1"/>
  <c r="CS42" i="1"/>
  <c r="CT42" i="1"/>
  <c r="CW42" i="1"/>
  <c r="GL42" i="1"/>
  <c r="GN42" i="1"/>
  <c r="GP42" i="1"/>
  <c r="GV42" i="1"/>
  <c r="HC42" i="1" s="1"/>
  <c r="AC43" i="1"/>
  <c r="AB43" i="1" s="1"/>
  <c r="AD43" i="1"/>
  <c r="AE43" i="1"/>
  <c r="CS43" i="1" s="1"/>
  <c r="AF43" i="1"/>
  <c r="CT43" i="1" s="1"/>
  <c r="AG43" i="1"/>
  <c r="CU43" i="1" s="1"/>
  <c r="AH43" i="1"/>
  <c r="CV43" i="1" s="1"/>
  <c r="AI43" i="1"/>
  <c r="AJ43" i="1"/>
  <c r="CQ43" i="1"/>
  <c r="CR43" i="1"/>
  <c r="CW43" i="1"/>
  <c r="CX43" i="1"/>
  <c r="GL43" i="1"/>
  <c r="GN43" i="1"/>
  <c r="GP43" i="1"/>
  <c r="GV43" i="1"/>
  <c r="HC43" i="1"/>
  <c r="AC44" i="1"/>
  <c r="CQ44" i="1" s="1"/>
  <c r="AD44" i="1"/>
  <c r="AB44" i="1" s="1"/>
  <c r="AE44" i="1"/>
  <c r="AF44" i="1"/>
  <c r="CT44" i="1" s="1"/>
  <c r="AG44" i="1"/>
  <c r="AH44" i="1"/>
  <c r="CV44" i="1" s="1"/>
  <c r="AI44" i="1"/>
  <c r="AJ44" i="1"/>
  <c r="CX44" i="1" s="1"/>
  <c r="CR44" i="1"/>
  <c r="CS44" i="1"/>
  <c r="CU44" i="1"/>
  <c r="CW44" i="1"/>
  <c r="GL44" i="1"/>
  <c r="GN44" i="1"/>
  <c r="CB51" i="1" s="1"/>
  <c r="CB26" i="1" s="1"/>
  <c r="GP44" i="1"/>
  <c r="GV44" i="1"/>
  <c r="HC44" i="1" s="1"/>
  <c r="I45" i="1"/>
  <c r="Q45" i="1" s="1"/>
  <c r="U45" i="1"/>
  <c r="AC45" i="1"/>
  <c r="CQ45" i="1" s="1"/>
  <c r="AD45" i="1"/>
  <c r="AE45" i="1"/>
  <c r="CR45" i="1" s="1"/>
  <c r="AF45" i="1"/>
  <c r="S45" i="1" s="1"/>
  <c r="AG45" i="1"/>
  <c r="AH45" i="1"/>
  <c r="AI45" i="1"/>
  <c r="CW45" i="1" s="1"/>
  <c r="V45" i="1" s="1"/>
  <c r="AJ45" i="1"/>
  <c r="CX45" i="1" s="1"/>
  <c r="W45" i="1" s="1"/>
  <c r="CS45" i="1"/>
  <c r="CU45" i="1"/>
  <c r="T45" i="1" s="1"/>
  <c r="CV45" i="1"/>
  <c r="GL45" i="1"/>
  <c r="GN45" i="1"/>
  <c r="GP45" i="1"/>
  <c r="GV45" i="1"/>
  <c r="HC45" i="1"/>
  <c r="GX45" i="1" s="1"/>
  <c r="D46" i="1"/>
  <c r="S46" i="1"/>
  <c r="T46" i="1"/>
  <c r="AC46" i="1"/>
  <c r="CQ46" i="1" s="1"/>
  <c r="AE46" i="1"/>
  <c r="R46" i="1" s="1"/>
  <c r="CY46" i="1" s="1"/>
  <c r="X46" i="1" s="1"/>
  <c r="AF46" i="1"/>
  <c r="AG46" i="1"/>
  <c r="AH46" i="1"/>
  <c r="CV46" i="1" s="1"/>
  <c r="U46" i="1" s="1"/>
  <c r="AI46" i="1"/>
  <c r="AJ46" i="1"/>
  <c r="CX46" i="1" s="1"/>
  <c r="W46" i="1" s="1"/>
  <c r="CS46" i="1"/>
  <c r="CT46" i="1"/>
  <c r="CU46" i="1"/>
  <c r="CW46" i="1"/>
  <c r="V46" i="1" s="1"/>
  <c r="GL46" i="1"/>
  <c r="BZ51" i="1" s="1"/>
  <c r="GN46" i="1"/>
  <c r="GP46" i="1"/>
  <c r="GV46" i="1"/>
  <c r="HC46" i="1" s="1"/>
  <c r="GX46" i="1" s="1"/>
  <c r="D47" i="1"/>
  <c r="R47" i="1"/>
  <c r="S47" i="1"/>
  <c r="U47" i="1"/>
  <c r="AC47" i="1"/>
  <c r="P47" i="1" s="1"/>
  <c r="AD47" i="1"/>
  <c r="AE47" i="1"/>
  <c r="Q47" i="1" s="1"/>
  <c r="AF47" i="1"/>
  <c r="CT47" i="1" s="1"/>
  <c r="AG47" i="1"/>
  <c r="CU47" i="1" s="1"/>
  <c r="T47" i="1" s="1"/>
  <c r="AH47" i="1"/>
  <c r="CV47" i="1" s="1"/>
  <c r="AI47" i="1"/>
  <c r="CW47" i="1" s="1"/>
  <c r="V47" i="1" s="1"/>
  <c r="AJ47" i="1"/>
  <c r="CQ47" i="1"/>
  <c r="CR47" i="1"/>
  <c r="CS47" i="1"/>
  <c r="CX47" i="1"/>
  <c r="W47" i="1" s="1"/>
  <c r="GL47" i="1"/>
  <c r="GN47" i="1"/>
  <c r="GP47" i="1"/>
  <c r="GV47" i="1"/>
  <c r="HC47" i="1" s="1"/>
  <c r="GX47" i="1"/>
  <c r="I48" i="1"/>
  <c r="S48" i="1" s="1"/>
  <c r="P48" i="1"/>
  <c r="Q48" i="1"/>
  <c r="CP48" i="1" s="1"/>
  <c r="O48" i="1" s="1"/>
  <c r="AC48" i="1"/>
  <c r="AE48" i="1"/>
  <c r="AF48" i="1"/>
  <c r="AG48" i="1"/>
  <c r="AH48" i="1"/>
  <c r="AI48" i="1"/>
  <c r="CW48" i="1" s="1"/>
  <c r="V48" i="1" s="1"/>
  <c r="AJ48" i="1"/>
  <c r="CX48" i="1" s="1"/>
  <c r="W48" i="1" s="1"/>
  <c r="CQ48" i="1"/>
  <c r="CT48" i="1"/>
  <c r="CU48" i="1"/>
  <c r="T48" i="1" s="1"/>
  <c r="CV48" i="1"/>
  <c r="U48" i="1" s="1"/>
  <c r="GL48" i="1"/>
  <c r="GN48" i="1"/>
  <c r="GP48" i="1"/>
  <c r="GV48" i="1"/>
  <c r="HC48" i="1"/>
  <c r="GX48" i="1" s="1"/>
  <c r="I49" i="1"/>
  <c r="P49" i="1"/>
  <c r="R49" i="1"/>
  <c r="AC49" i="1"/>
  <c r="AD49" i="1"/>
  <c r="AE49" i="1"/>
  <c r="CS49" i="1" s="1"/>
  <c r="AF49" i="1"/>
  <c r="AG49" i="1"/>
  <c r="CU49" i="1" s="1"/>
  <c r="T49" i="1" s="1"/>
  <c r="AH49" i="1"/>
  <c r="CV49" i="1" s="1"/>
  <c r="U49" i="1" s="1"/>
  <c r="AI49" i="1"/>
  <c r="AJ49" i="1"/>
  <c r="CQ49" i="1"/>
  <c r="CR49" i="1"/>
  <c r="CW49" i="1"/>
  <c r="V49" i="1" s="1"/>
  <c r="CX49" i="1"/>
  <c r="W49" i="1" s="1"/>
  <c r="GL49" i="1"/>
  <c r="GN49" i="1"/>
  <c r="GP49" i="1"/>
  <c r="GV49" i="1"/>
  <c r="HC49" i="1" s="1"/>
  <c r="GX49" i="1" s="1"/>
  <c r="B51" i="1"/>
  <c r="B26" i="1" s="1"/>
  <c r="C51" i="1"/>
  <c r="C26" i="1" s="1"/>
  <c r="D51" i="1"/>
  <c r="D26" i="1" s="1"/>
  <c r="F51" i="1"/>
  <c r="F26" i="1" s="1"/>
  <c r="G51" i="1"/>
  <c r="G26" i="1" s="1"/>
  <c r="AS51" i="1"/>
  <c r="BX51" i="1"/>
  <c r="CD51" i="1"/>
  <c r="AU51" i="1" s="1"/>
  <c r="AU26" i="1" s="1"/>
  <c r="CK51" i="1"/>
  <c r="CK26" i="1" s="1"/>
  <c r="CL51" i="1"/>
  <c r="CL26" i="1" s="1"/>
  <c r="CM51" i="1"/>
  <c r="CM26" i="1" s="1"/>
  <c r="EK51" i="1"/>
  <c r="EK26" i="1" s="1"/>
  <c r="ET51" i="1"/>
  <c r="ET26" i="1" s="1"/>
  <c r="EV51" i="1"/>
  <c r="FP51" i="1"/>
  <c r="FP26" i="1" s="1"/>
  <c r="FR51" i="1"/>
  <c r="EI51" i="1" s="1"/>
  <c r="EI26" i="1" s="1"/>
  <c r="FT51" i="1"/>
  <c r="FT26" i="1" s="1"/>
  <c r="FV51" i="1"/>
  <c r="GC51" i="1"/>
  <c r="GC26" i="1" s="1"/>
  <c r="GD51" i="1"/>
  <c r="EU51" i="1" s="1"/>
  <c r="GE51" i="1"/>
  <c r="GE26" i="1" s="1"/>
  <c r="P68" i="1"/>
  <c r="D81" i="1"/>
  <c r="E83" i="1"/>
  <c r="Z83" i="1"/>
  <c r="AA83" i="1"/>
  <c r="AM83" i="1"/>
  <c r="AN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CK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R83" i="1"/>
  <c r="DS83" i="1"/>
  <c r="EE83" i="1"/>
  <c r="EF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D85" i="1"/>
  <c r="R85" i="1"/>
  <c r="AC85" i="1"/>
  <c r="AD85" i="1"/>
  <c r="AE85" i="1"/>
  <c r="CS85" i="1" s="1"/>
  <c r="AF85" i="1"/>
  <c r="S85" i="1" s="1"/>
  <c r="AG85" i="1"/>
  <c r="AH85" i="1"/>
  <c r="CV85" i="1" s="1"/>
  <c r="U85" i="1" s="1"/>
  <c r="AI85" i="1"/>
  <c r="CW85" i="1" s="1"/>
  <c r="V85" i="1" s="1"/>
  <c r="AJ85" i="1"/>
  <c r="CX85" i="1" s="1"/>
  <c r="W85" i="1" s="1"/>
  <c r="CT85" i="1"/>
  <c r="CU85" i="1"/>
  <c r="T85" i="1" s="1"/>
  <c r="GL85" i="1"/>
  <c r="GN85" i="1"/>
  <c r="GP85" i="1"/>
  <c r="GV85" i="1"/>
  <c r="HC85" i="1"/>
  <c r="GX85" i="1" s="1"/>
  <c r="D86" i="1"/>
  <c r="S86" i="1"/>
  <c r="T86" i="1"/>
  <c r="U86" i="1"/>
  <c r="AC86" i="1"/>
  <c r="AD86" i="1"/>
  <c r="AE86" i="1"/>
  <c r="R86" i="1" s="1"/>
  <c r="AF86" i="1"/>
  <c r="AG86" i="1"/>
  <c r="AH86" i="1"/>
  <c r="CV86" i="1" s="1"/>
  <c r="AI86" i="1"/>
  <c r="CW86" i="1" s="1"/>
  <c r="V86" i="1" s="1"/>
  <c r="AJ86" i="1"/>
  <c r="CS86" i="1"/>
  <c r="CT86" i="1"/>
  <c r="CU86" i="1"/>
  <c r="CX86" i="1"/>
  <c r="W86" i="1" s="1"/>
  <c r="CY86" i="1"/>
  <c r="X86" i="1" s="1"/>
  <c r="CZ86" i="1"/>
  <c r="Y86" i="1" s="1"/>
  <c r="GL86" i="1"/>
  <c r="GN86" i="1"/>
  <c r="GP86" i="1"/>
  <c r="GV86" i="1"/>
  <c r="HC86" i="1" s="1"/>
  <c r="GX86" i="1"/>
  <c r="I87" i="1"/>
  <c r="P87" i="1"/>
  <c r="Q87" i="1"/>
  <c r="R87" i="1"/>
  <c r="W87" i="1"/>
  <c r="AC87" i="1"/>
  <c r="AE87" i="1"/>
  <c r="AF87" i="1"/>
  <c r="AG87" i="1"/>
  <c r="AH87" i="1"/>
  <c r="AI87" i="1"/>
  <c r="AJ87" i="1"/>
  <c r="CX87" i="1" s="1"/>
  <c r="CQ87" i="1"/>
  <c r="CU87" i="1"/>
  <c r="T87" i="1" s="1"/>
  <c r="CV87" i="1"/>
  <c r="U87" i="1" s="1"/>
  <c r="CW87" i="1"/>
  <c r="V87" i="1" s="1"/>
  <c r="GL87" i="1"/>
  <c r="GN87" i="1"/>
  <c r="GP87" i="1"/>
  <c r="GV87" i="1"/>
  <c r="HC87" i="1"/>
  <c r="GX87" i="1" s="1"/>
  <c r="I88" i="1"/>
  <c r="S88" i="1"/>
  <c r="T88" i="1"/>
  <c r="AC88" i="1"/>
  <c r="AD88" i="1"/>
  <c r="AE88" i="1"/>
  <c r="AF88" i="1"/>
  <c r="CT88" i="1" s="1"/>
  <c r="AG88" i="1"/>
  <c r="CU88" i="1" s="1"/>
  <c r="AH88" i="1"/>
  <c r="CV88" i="1" s="1"/>
  <c r="U88" i="1" s="1"/>
  <c r="AI88" i="1"/>
  <c r="AJ88" i="1"/>
  <c r="CQ88" i="1"/>
  <c r="CR88" i="1"/>
  <c r="CS88" i="1"/>
  <c r="CW88" i="1"/>
  <c r="CX88" i="1"/>
  <c r="GL88" i="1"/>
  <c r="GN88" i="1"/>
  <c r="GP88" i="1"/>
  <c r="GV88" i="1"/>
  <c r="HC88" i="1" s="1"/>
  <c r="I89" i="1"/>
  <c r="Q89" i="1" s="1"/>
  <c r="AB89" i="1"/>
  <c r="AC89" i="1"/>
  <c r="CQ89" i="1" s="1"/>
  <c r="AD89" i="1"/>
  <c r="AE89" i="1"/>
  <c r="CR89" i="1" s="1"/>
  <c r="AF89" i="1"/>
  <c r="AG89" i="1"/>
  <c r="AH89" i="1"/>
  <c r="CV89" i="1" s="1"/>
  <c r="U89" i="1" s="1"/>
  <c r="AI89" i="1"/>
  <c r="CW89" i="1" s="1"/>
  <c r="V89" i="1" s="1"/>
  <c r="AJ89" i="1"/>
  <c r="CX89" i="1" s="1"/>
  <c r="CS89" i="1"/>
  <c r="CT89" i="1"/>
  <c r="CU89" i="1"/>
  <c r="GL89" i="1"/>
  <c r="GN89" i="1"/>
  <c r="GP89" i="1"/>
  <c r="GV89" i="1"/>
  <c r="HC89" i="1" s="1"/>
  <c r="GX89" i="1"/>
  <c r="I90" i="1"/>
  <c r="P90" i="1"/>
  <c r="W90" i="1"/>
  <c r="AC90" i="1"/>
  <c r="AD90" i="1"/>
  <c r="AB90" i="1" s="1"/>
  <c r="AE90" i="1"/>
  <c r="AF90" i="1"/>
  <c r="AG90" i="1"/>
  <c r="AH90" i="1"/>
  <c r="AI90" i="1"/>
  <c r="AJ90" i="1"/>
  <c r="CX90" i="1" s="1"/>
  <c r="CQ90" i="1"/>
  <c r="CU90" i="1"/>
  <c r="T90" i="1" s="1"/>
  <c r="CV90" i="1"/>
  <c r="U90" i="1" s="1"/>
  <c r="CW90" i="1"/>
  <c r="V90" i="1" s="1"/>
  <c r="GL90" i="1"/>
  <c r="GN90" i="1"/>
  <c r="GP90" i="1"/>
  <c r="GV90" i="1"/>
  <c r="GX90" i="1"/>
  <c r="HC90" i="1"/>
  <c r="I91" i="1"/>
  <c r="R91" i="1" s="1"/>
  <c r="S91" i="1"/>
  <c r="T91" i="1"/>
  <c r="AC91" i="1"/>
  <c r="AD91" i="1"/>
  <c r="AE91" i="1"/>
  <c r="AF91" i="1"/>
  <c r="CT91" i="1" s="1"/>
  <c r="AG91" i="1"/>
  <c r="CU91" i="1" s="1"/>
  <c r="AH91" i="1"/>
  <c r="CV91" i="1" s="1"/>
  <c r="U91" i="1" s="1"/>
  <c r="AI91" i="1"/>
  <c r="AJ91" i="1"/>
  <c r="CQ91" i="1"/>
  <c r="CR91" i="1"/>
  <c r="CS91" i="1"/>
  <c r="CW91" i="1"/>
  <c r="V91" i="1" s="1"/>
  <c r="CX91" i="1"/>
  <c r="GL91" i="1"/>
  <c r="GN91" i="1"/>
  <c r="GP91" i="1"/>
  <c r="GV91" i="1"/>
  <c r="HC91" i="1" s="1"/>
  <c r="I92" i="1"/>
  <c r="AC92" i="1"/>
  <c r="AD92" i="1"/>
  <c r="AE92" i="1"/>
  <c r="CR92" i="1" s="1"/>
  <c r="AF92" i="1"/>
  <c r="AG92" i="1"/>
  <c r="AH92" i="1"/>
  <c r="CV92" i="1" s="1"/>
  <c r="U92" i="1" s="1"/>
  <c r="AI92" i="1"/>
  <c r="CW92" i="1" s="1"/>
  <c r="V92" i="1" s="1"/>
  <c r="AJ92" i="1"/>
  <c r="CX92" i="1" s="1"/>
  <c r="CS92" i="1"/>
  <c r="CT92" i="1"/>
  <c r="CU92" i="1"/>
  <c r="GL92" i="1"/>
  <c r="GN92" i="1"/>
  <c r="GP92" i="1"/>
  <c r="GV92" i="1"/>
  <c r="HC92" i="1" s="1"/>
  <c r="GX92" i="1"/>
  <c r="I93" i="1"/>
  <c r="P93" i="1"/>
  <c r="Q93" i="1"/>
  <c r="R93" i="1"/>
  <c r="W93" i="1"/>
  <c r="AC93" i="1"/>
  <c r="AD93" i="1"/>
  <c r="AB93" i="1" s="1"/>
  <c r="AE93" i="1"/>
  <c r="AF93" i="1"/>
  <c r="AG93" i="1"/>
  <c r="AH93" i="1"/>
  <c r="AI93" i="1"/>
  <c r="AJ93" i="1"/>
  <c r="CX93" i="1" s="1"/>
  <c r="CQ93" i="1"/>
  <c r="CU93" i="1"/>
  <c r="T93" i="1" s="1"/>
  <c r="CV93" i="1"/>
  <c r="U93" i="1" s="1"/>
  <c r="CW93" i="1"/>
  <c r="V93" i="1" s="1"/>
  <c r="GL93" i="1"/>
  <c r="GN93" i="1"/>
  <c r="GP93" i="1"/>
  <c r="GV93" i="1"/>
  <c r="HC93" i="1"/>
  <c r="GX93" i="1" s="1"/>
  <c r="I94" i="1"/>
  <c r="S94" i="1"/>
  <c r="T94" i="1"/>
  <c r="AC94" i="1"/>
  <c r="AD94" i="1"/>
  <c r="AE94" i="1"/>
  <c r="AF94" i="1"/>
  <c r="CT94" i="1" s="1"/>
  <c r="AG94" i="1"/>
  <c r="CU94" i="1" s="1"/>
  <c r="AH94" i="1"/>
  <c r="CV94" i="1" s="1"/>
  <c r="U94" i="1" s="1"/>
  <c r="AI94" i="1"/>
  <c r="AJ94" i="1"/>
  <c r="CQ94" i="1"/>
  <c r="CR94" i="1"/>
  <c r="CS94" i="1"/>
  <c r="CW94" i="1"/>
  <c r="CX94" i="1"/>
  <c r="GL94" i="1"/>
  <c r="GN94" i="1"/>
  <c r="GP94" i="1"/>
  <c r="GV94" i="1"/>
  <c r="HC94" i="1" s="1"/>
  <c r="D95" i="1"/>
  <c r="I95" i="1"/>
  <c r="K95" i="1"/>
  <c r="AC95" i="1"/>
  <c r="AD95" i="1"/>
  <c r="AE95" i="1"/>
  <c r="AF95" i="1"/>
  <c r="CT95" i="1" s="1"/>
  <c r="AG95" i="1"/>
  <c r="CU95" i="1" s="1"/>
  <c r="T95" i="1" s="1"/>
  <c r="AH95" i="1"/>
  <c r="CV95" i="1" s="1"/>
  <c r="AI95" i="1"/>
  <c r="AJ95" i="1"/>
  <c r="CQ95" i="1"/>
  <c r="CR95" i="1"/>
  <c r="CS95" i="1"/>
  <c r="CW95" i="1"/>
  <c r="CX95" i="1"/>
  <c r="GL95" i="1"/>
  <c r="GN95" i="1"/>
  <c r="CB112" i="1" s="1"/>
  <c r="GP95" i="1"/>
  <c r="GV95" i="1"/>
  <c r="HC95" i="1" s="1"/>
  <c r="D96" i="1"/>
  <c r="I96" i="1"/>
  <c r="K96" i="1"/>
  <c r="R96" i="1"/>
  <c r="S96" i="1"/>
  <c r="T96" i="1"/>
  <c r="AB96" i="1"/>
  <c r="AC96" i="1"/>
  <c r="AD96" i="1"/>
  <c r="AE96" i="1"/>
  <c r="AF96" i="1"/>
  <c r="CT96" i="1" s="1"/>
  <c r="AG96" i="1"/>
  <c r="CU96" i="1" s="1"/>
  <c r="AH96" i="1"/>
  <c r="CV96" i="1" s="1"/>
  <c r="U96" i="1" s="1"/>
  <c r="AI96" i="1"/>
  <c r="AJ96" i="1"/>
  <c r="CQ96" i="1"/>
  <c r="CR96" i="1"/>
  <c r="CS96" i="1"/>
  <c r="CW96" i="1"/>
  <c r="V96" i="1" s="1"/>
  <c r="CX96" i="1"/>
  <c r="W96" i="1" s="1"/>
  <c r="GL96" i="1"/>
  <c r="GN96" i="1"/>
  <c r="GP96" i="1"/>
  <c r="FV112" i="1" s="1"/>
  <c r="GV96" i="1"/>
  <c r="HC96" i="1" s="1"/>
  <c r="GX96" i="1" s="1"/>
  <c r="AB97" i="1"/>
  <c r="AC97" i="1"/>
  <c r="CQ97" i="1" s="1"/>
  <c r="AD97" i="1"/>
  <c r="AE97" i="1"/>
  <c r="CR97" i="1" s="1"/>
  <c r="AF97" i="1"/>
  <c r="AG97" i="1"/>
  <c r="AH97" i="1"/>
  <c r="CV97" i="1" s="1"/>
  <c r="AI97" i="1"/>
  <c r="CW97" i="1" s="1"/>
  <c r="AJ97" i="1"/>
  <c r="CX97" i="1" s="1"/>
  <c r="CS97" i="1"/>
  <c r="CT97" i="1"/>
  <c r="CU97" i="1"/>
  <c r="GL97" i="1"/>
  <c r="GN97" i="1"/>
  <c r="GP97" i="1"/>
  <c r="GV97" i="1"/>
  <c r="HC97" i="1" s="1"/>
  <c r="AC98" i="1"/>
  <c r="AD98" i="1"/>
  <c r="AE98" i="1"/>
  <c r="AF98" i="1"/>
  <c r="AG98" i="1"/>
  <c r="AH98" i="1"/>
  <c r="AI98" i="1"/>
  <c r="AJ98" i="1"/>
  <c r="CX98" i="1" s="1"/>
  <c r="CQ98" i="1"/>
  <c r="CU98" i="1"/>
  <c r="CV98" i="1"/>
  <c r="CW98" i="1"/>
  <c r="GL98" i="1"/>
  <c r="GN98" i="1"/>
  <c r="GP98" i="1"/>
  <c r="GV98" i="1"/>
  <c r="HC98" i="1"/>
  <c r="AC99" i="1"/>
  <c r="AD99" i="1"/>
  <c r="AE99" i="1"/>
  <c r="AF99" i="1"/>
  <c r="CT99" i="1" s="1"/>
  <c r="AG99" i="1"/>
  <c r="CU99" i="1" s="1"/>
  <c r="AH99" i="1"/>
  <c r="CV99" i="1" s="1"/>
  <c r="AI99" i="1"/>
  <c r="AJ99" i="1"/>
  <c r="CQ99" i="1"/>
  <c r="CR99" i="1"/>
  <c r="CS99" i="1"/>
  <c r="CW99" i="1"/>
  <c r="CX99" i="1"/>
  <c r="GL99" i="1"/>
  <c r="GN99" i="1"/>
  <c r="GP99" i="1"/>
  <c r="GV99" i="1"/>
  <c r="HC99" i="1" s="1"/>
  <c r="I100" i="1"/>
  <c r="Q100" i="1" s="1"/>
  <c r="V100" i="1"/>
  <c r="AB100" i="1"/>
  <c r="AC100" i="1"/>
  <c r="CQ100" i="1" s="1"/>
  <c r="AD100" i="1"/>
  <c r="AE100" i="1"/>
  <c r="CR100" i="1" s="1"/>
  <c r="AF100" i="1"/>
  <c r="AG100" i="1"/>
  <c r="AH100" i="1"/>
  <c r="CV100" i="1" s="1"/>
  <c r="AI100" i="1"/>
  <c r="CW100" i="1" s="1"/>
  <c r="AJ100" i="1"/>
  <c r="CX100" i="1" s="1"/>
  <c r="CS100" i="1"/>
  <c r="CT100" i="1"/>
  <c r="CU100" i="1"/>
  <c r="T100" i="1" s="1"/>
  <c r="GL100" i="1"/>
  <c r="GN100" i="1"/>
  <c r="GP100" i="1"/>
  <c r="GV100" i="1"/>
  <c r="HC100" i="1" s="1"/>
  <c r="D101" i="1"/>
  <c r="I101" i="1"/>
  <c r="K101" i="1"/>
  <c r="P101" i="1"/>
  <c r="R101" i="1"/>
  <c r="T101" i="1"/>
  <c r="U101" i="1"/>
  <c r="AC101" i="1"/>
  <c r="CQ101" i="1" s="1"/>
  <c r="AD101" i="1"/>
  <c r="AE101" i="1"/>
  <c r="CR101" i="1" s="1"/>
  <c r="AF101" i="1"/>
  <c r="S101" i="1" s="1"/>
  <c r="CY101" i="1" s="1"/>
  <c r="X101" i="1" s="1"/>
  <c r="AG101" i="1"/>
  <c r="AH101" i="1"/>
  <c r="CV101" i="1" s="1"/>
  <c r="AI101" i="1"/>
  <c r="CW101" i="1" s="1"/>
  <c r="V101" i="1" s="1"/>
  <c r="AJ101" i="1"/>
  <c r="CX101" i="1" s="1"/>
  <c r="W101" i="1" s="1"/>
  <c r="CS101" i="1"/>
  <c r="CT101" i="1"/>
  <c r="CU101" i="1"/>
  <c r="CZ101" i="1"/>
  <c r="Y101" i="1" s="1"/>
  <c r="GL101" i="1"/>
  <c r="GN101" i="1"/>
  <c r="GP101" i="1"/>
  <c r="GV101" i="1"/>
  <c r="HC101" i="1" s="1"/>
  <c r="GX101" i="1" s="1"/>
  <c r="D102" i="1"/>
  <c r="I102" i="1"/>
  <c r="K102" i="1"/>
  <c r="P102" i="1"/>
  <c r="U102" i="1"/>
  <c r="V102" i="1"/>
  <c r="AB102" i="1"/>
  <c r="AC102" i="1"/>
  <c r="CQ102" i="1" s="1"/>
  <c r="AD102" i="1"/>
  <c r="AE102" i="1"/>
  <c r="CR102" i="1" s="1"/>
  <c r="AF102" i="1"/>
  <c r="S102" i="1" s="1"/>
  <c r="AG102" i="1"/>
  <c r="AH102" i="1"/>
  <c r="CV102" i="1" s="1"/>
  <c r="AI102" i="1"/>
  <c r="CW102" i="1" s="1"/>
  <c r="AJ102" i="1"/>
  <c r="CX102" i="1" s="1"/>
  <c r="W102" i="1" s="1"/>
  <c r="CS102" i="1"/>
  <c r="CT102" i="1"/>
  <c r="CU102" i="1"/>
  <c r="T102" i="1" s="1"/>
  <c r="GL102" i="1"/>
  <c r="GN102" i="1"/>
  <c r="GP102" i="1"/>
  <c r="GV102" i="1"/>
  <c r="HC102" i="1" s="1"/>
  <c r="GX102" i="1" s="1"/>
  <c r="I103" i="1"/>
  <c r="P103" i="1"/>
  <c r="FR103" i="1" s="1"/>
  <c r="BY112" i="1" s="1"/>
  <c r="V103" i="1"/>
  <c r="W103" i="1"/>
  <c r="AC103" i="1"/>
  <c r="AE103" i="1"/>
  <c r="AF103" i="1"/>
  <c r="AG103" i="1"/>
  <c r="AH103" i="1"/>
  <c r="AI103" i="1"/>
  <c r="AJ103" i="1"/>
  <c r="CX103" i="1" s="1"/>
  <c r="CQ103" i="1"/>
  <c r="CU103" i="1"/>
  <c r="T103" i="1" s="1"/>
  <c r="CV103" i="1"/>
  <c r="U103" i="1" s="1"/>
  <c r="CW103" i="1"/>
  <c r="GL103" i="1"/>
  <c r="GN103" i="1"/>
  <c r="GO103" i="1"/>
  <c r="GP103" i="1"/>
  <c r="GV103" i="1"/>
  <c r="HC103" i="1"/>
  <c r="GX103" i="1" s="1"/>
  <c r="I104" i="1"/>
  <c r="S104" i="1"/>
  <c r="W104" i="1"/>
  <c r="AC104" i="1"/>
  <c r="AE104" i="1"/>
  <c r="AF104" i="1"/>
  <c r="CT104" i="1" s="1"/>
  <c r="AG104" i="1"/>
  <c r="CU104" i="1" s="1"/>
  <c r="T104" i="1" s="1"/>
  <c r="AH104" i="1"/>
  <c r="AI104" i="1"/>
  <c r="AJ104" i="1"/>
  <c r="CQ104" i="1"/>
  <c r="CR104" i="1"/>
  <c r="CV104" i="1"/>
  <c r="U104" i="1" s="1"/>
  <c r="CW104" i="1"/>
  <c r="V104" i="1" s="1"/>
  <c r="CX104" i="1"/>
  <c r="GL104" i="1"/>
  <c r="GN104" i="1"/>
  <c r="GO104" i="1"/>
  <c r="GP104" i="1"/>
  <c r="GV104" i="1"/>
  <c r="GX104" i="1"/>
  <c r="HC104" i="1"/>
  <c r="I105" i="1"/>
  <c r="AB105" i="1"/>
  <c r="AC105" i="1"/>
  <c r="AD105" i="1"/>
  <c r="AE105" i="1"/>
  <c r="AF105" i="1"/>
  <c r="CT105" i="1" s="1"/>
  <c r="AG105" i="1"/>
  <c r="CU105" i="1" s="1"/>
  <c r="AH105" i="1"/>
  <c r="CV105" i="1" s="1"/>
  <c r="AI105" i="1"/>
  <c r="AJ105" i="1"/>
  <c r="CQ105" i="1"/>
  <c r="CR105" i="1"/>
  <c r="CS105" i="1"/>
  <c r="CW105" i="1"/>
  <c r="CX105" i="1"/>
  <c r="GL105" i="1"/>
  <c r="GN105" i="1"/>
  <c r="GP105" i="1"/>
  <c r="GV105" i="1"/>
  <c r="HC105" i="1" s="1"/>
  <c r="I106" i="1"/>
  <c r="P106" i="1" s="1"/>
  <c r="U106" i="1"/>
  <c r="V106" i="1"/>
  <c r="AB106" i="1"/>
  <c r="AC106" i="1"/>
  <c r="CQ106" i="1" s="1"/>
  <c r="AD106" i="1"/>
  <c r="AE106" i="1"/>
  <c r="CR106" i="1" s="1"/>
  <c r="AF106" i="1"/>
  <c r="S106" i="1" s="1"/>
  <c r="AG106" i="1"/>
  <c r="AH106" i="1"/>
  <c r="CV106" i="1" s="1"/>
  <c r="AI106" i="1"/>
  <c r="CW106" i="1" s="1"/>
  <c r="AJ106" i="1"/>
  <c r="CX106" i="1" s="1"/>
  <c r="CS106" i="1"/>
  <c r="CT106" i="1"/>
  <c r="CU106" i="1"/>
  <c r="T106" i="1" s="1"/>
  <c r="GL106" i="1"/>
  <c r="GN106" i="1"/>
  <c r="GP106" i="1"/>
  <c r="GV106" i="1"/>
  <c r="HC106" i="1" s="1"/>
  <c r="GX106" i="1" s="1"/>
  <c r="I107" i="1"/>
  <c r="P107" i="1"/>
  <c r="R107" i="1"/>
  <c r="V107" i="1"/>
  <c r="W107" i="1"/>
  <c r="AC107" i="1"/>
  <c r="AE107" i="1"/>
  <c r="AF107" i="1"/>
  <c r="AG107" i="1"/>
  <c r="AH107" i="1"/>
  <c r="AI107" i="1"/>
  <c r="AJ107" i="1"/>
  <c r="CX107" i="1" s="1"/>
  <c r="CQ107" i="1"/>
  <c r="CU107" i="1"/>
  <c r="T107" i="1" s="1"/>
  <c r="CV107" i="1"/>
  <c r="U107" i="1" s="1"/>
  <c r="CW107" i="1"/>
  <c r="GL107" i="1"/>
  <c r="GN107" i="1"/>
  <c r="GP107" i="1"/>
  <c r="GV107" i="1"/>
  <c r="GX107" i="1"/>
  <c r="HC107" i="1"/>
  <c r="I108" i="1"/>
  <c r="R108" i="1" s="1"/>
  <c r="AB108" i="1"/>
  <c r="AC108" i="1"/>
  <c r="AD108" i="1"/>
  <c r="AE108" i="1"/>
  <c r="AF108" i="1"/>
  <c r="CT108" i="1" s="1"/>
  <c r="AG108" i="1"/>
  <c r="CU108" i="1" s="1"/>
  <c r="AH108" i="1"/>
  <c r="CV108" i="1" s="1"/>
  <c r="AI108" i="1"/>
  <c r="AJ108" i="1"/>
  <c r="CQ108" i="1"/>
  <c r="CR108" i="1"/>
  <c r="CS108" i="1"/>
  <c r="CW108" i="1"/>
  <c r="CX108" i="1"/>
  <c r="GL108" i="1"/>
  <c r="GN108" i="1"/>
  <c r="GP108" i="1"/>
  <c r="GV108" i="1"/>
  <c r="HC108" i="1" s="1"/>
  <c r="I109" i="1"/>
  <c r="U109" i="1"/>
  <c r="V109" i="1"/>
  <c r="AC109" i="1"/>
  <c r="CQ109" i="1" s="1"/>
  <c r="AD109" i="1"/>
  <c r="AE109" i="1"/>
  <c r="CR109" i="1" s="1"/>
  <c r="AF109" i="1"/>
  <c r="S109" i="1" s="1"/>
  <c r="AG109" i="1"/>
  <c r="AH109" i="1"/>
  <c r="CV109" i="1" s="1"/>
  <c r="AI109" i="1"/>
  <c r="CW109" i="1" s="1"/>
  <c r="AJ109" i="1"/>
  <c r="CX109" i="1" s="1"/>
  <c r="CS109" i="1"/>
  <c r="CT109" i="1"/>
  <c r="CU109" i="1"/>
  <c r="T109" i="1" s="1"/>
  <c r="GL109" i="1"/>
  <c r="GN109" i="1"/>
  <c r="GP109" i="1"/>
  <c r="GV109" i="1"/>
  <c r="HC109" i="1" s="1"/>
  <c r="GX109" i="1" s="1"/>
  <c r="I110" i="1"/>
  <c r="P110" i="1"/>
  <c r="R110" i="1"/>
  <c r="V110" i="1"/>
  <c r="W110" i="1"/>
  <c r="AC110" i="1"/>
  <c r="AE110" i="1"/>
  <c r="AF110" i="1"/>
  <c r="AG110" i="1"/>
  <c r="AH110" i="1"/>
  <c r="AI110" i="1"/>
  <c r="AJ110" i="1"/>
  <c r="CX110" i="1" s="1"/>
  <c r="CQ110" i="1"/>
  <c r="CU110" i="1"/>
  <c r="T110" i="1" s="1"/>
  <c r="CV110" i="1"/>
  <c r="U110" i="1" s="1"/>
  <c r="CW110" i="1"/>
  <c r="GL110" i="1"/>
  <c r="GN110" i="1"/>
  <c r="FT112" i="1" s="1"/>
  <c r="GP110" i="1"/>
  <c r="GV110" i="1"/>
  <c r="GX110" i="1"/>
  <c r="HC110" i="1"/>
  <c r="B112" i="1"/>
  <c r="B83" i="1" s="1"/>
  <c r="C112" i="1"/>
  <c r="C83" i="1" s="1"/>
  <c r="D112" i="1"/>
  <c r="D83" i="1" s="1"/>
  <c r="F112" i="1"/>
  <c r="F83" i="1" s="1"/>
  <c r="G112" i="1"/>
  <c r="G83" i="1" s="1"/>
  <c r="BB112" i="1"/>
  <c r="BB83" i="1" s="1"/>
  <c r="BC112" i="1"/>
  <c r="BC83" i="1" s="1"/>
  <c r="BD112" i="1"/>
  <c r="BX112" i="1"/>
  <c r="AO112" i="1" s="1"/>
  <c r="F116" i="1" s="1"/>
  <c r="CK112" i="1"/>
  <c r="CL112" i="1"/>
  <c r="CL83" i="1" s="1"/>
  <c r="CM112" i="1"/>
  <c r="ET112" i="1"/>
  <c r="ET83" i="1" s="1"/>
  <c r="EU112" i="1"/>
  <c r="EU83" i="1" s="1"/>
  <c r="EV112" i="1"/>
  <c r="EV83" i="1" s="1"/>
  <c r="FP112" i="1"/>
  <c r="GC112" i="1"/>
  <c r="GC83" i="1" s="1"/>
  <c r="GD112" i="1"/>
  <c r="GD83" i="1" s="1"/>
  <c r="GE112" i="1"/>
  <c r="GE83" i="1" s="1"/>
  <c r="F125" i="1"/>
  <c r="F128" i="1"/>
  <c r="P137" i="1"/>
  <c r="D142" i="1"/>
  <c r="C144" i="1"/>
  <c r="D144" i="1"/>
  <c r="E144" i="1"/>
  <c r="Z144" i="1"/>
  <c r="AA144" i="1"/>
  <c r="AM144" i="1"/>
  <c r="AN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CK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R144" i="1"/>
  <c r="DS144" i="1"/>
  <c r="EE144" i="1"/>
  <c r="EF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GC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D146" i="1"/>
  <c r="S146" i="1"/>
  <c r="U146" i="1"/>
  <c r="AC146" i="1"/>
  <c r="AD146" i="1"/>
  <c r="AE146" i="1"/>
  <c r="CS146" i="1" s="1"/>
  <c r="AF146" i="1"/>
  <c r="AG146" i="1"/>
  <c r="AH146" i="1"/>
  <c r="AI146" i="1"/>
  <c r="CW146" i="1" s="1"/>
  <c r="V146" i="1" s="1"/>
  <c r="AJ146" i="1"/>
  <c r="CX146" i="1" s="1"/>
  <c r="W146" i="1" s="1"/>
  <c r="CR146" i="1"/>
  <c r="CT146" i="1"/>
  <c r="CU146" i="1"/>
  <c r="T146" i="1" s="1"/>
  <c r="CV146" i="1"/>
  <c r="GL146" i="1"/>
  <c r="GN146" i="1"/>
  <c r="GP146" i="1"/>
  <c r="GV146" i="1"/>
  <c r="HC146" i="1" s="1"/>
  <c r="GX146" i="1"/>
  <c r="D147" i="1"/>
  <c r="Q147" i="1"/>
  <c r="W147" i="1"/>
  <c r="AC147" i="1"/>
  <c r="AE147" i="1"/>
  <c r="AF147" i="1"/>
  <c r="AG147" i="1"/>
  <c r="CU147" i="1" s="1"/>
  <c r="T147" i="1" s="1"/>
  <c r="AH147" i="1"/>
  <c r="AI147" i="1"/>
  <c r="AJ147" i="1"/>
  <c r="CQ147" i="1"/>
  <c r="CV147" i="1"/>
  <c r="U147" i="1" s="1"/>
  <c r="CW147" i="1"/>
  <c r="V147" i="1" s="1"/>
  <c r="CX147" i="1"/>
  <c r="GL147" i="1"/>
  <c r="GN147" i="1"/>
  <c r="GP147" i="1"/>
  <c r="GV147" i="1"/>
  <c r="HC147" i="1"/>
  <c r="GX147" i="1" s="1"/>
  <c r="I148" i="1"/>
  <c r="S148" i="1" s="1"/>
  <c r="AC148" i="1"/>
  <c r="CQ148" i="1" s="1"/>
  <c r="AE148" i="1"/>
  <c r="AF148" i="1"/>
  <c r="AG148" i="1"/>
  <c r="CU148" i="1" s="1"/>
  <c r="AH148" i="1"/>
  <c r="CV148" i="1" s="1"/>
  <c r="U148" i="1" s="1"/>
  <c r="AI148" i="1"/>
  <c r="CW148" i="1" s="1"/>
  <c r="V148" i="1" s="1"/>
  <c r="AJ148" i="1"/>
  <c r="CR148" i="1"/>
  <c r="CS148" i="1"/>
  <c r="CT148" i="1"/>
  <c r="CX148" i="1"/>
  <c r="GL148" i="1"/>
  <c r="GN148" i="1"/>
  <c r="GP148" i="1"/>
  <c r="GV148" i="1"/>
  <c r="HC148" i="1"/>
  <c r="GX148" i="1" s="1"/>
  <c r="I149" i="1"/>
  <c r="P149" i="1"/>
  <c r="S149" i="1"/>
  <c r="U149" i="1"/>
  <c r="V149" i="1"/>
  <c r="AC149" i="1"/>
  <c r="AD149" i="1"/>
  <c r="AE149" i="1"/>
  <c r="CS149" i="1" s="1"/>
  <c r="AF149" i="1"/>
  <c r="AG149" i="1"/>
  <c r="AH149" i="1"/>
  <c r="AI149" i="1"/>
  <c r="CW149" i="1" s="1"/>
  <c r="AJ149" i="1"/>
  <c r="CX149" i="1" s="1"/>
  <c r="W149" i="1" s="1"/>
  <c r="CR149" i="1"/>
  <c r="CT149" i="1"/>
  <c r="CU149" i="1"/>
  <c r="T149" i="1" s="1"/>
  <c r="CV149" i="1"/>
  <c r="GL149" i="1"/>
  <c r="GN149" i="1"/>
  <c r="GP149" i="1"/>
  <c r="GV149" i="1"/>
  <c r="HC149" i="1" s="1"/>
  <c r="GX149" i="1"/>
  <c r="I150" i="1"/>
  <c r="Q150" i="1"/>
  <c r="R150" i="1"/>
  <c r="W150" i="1"/>
  <c r="AC150" i="1"/>
  <c r="AE150" i="1"/>
  <c r="AF150" i="1"/>
  <c r="AG150" i="1"/>
  <c r="CU150" i="1" s="1"/>
  <c r="T150" i="1" s="1"/>
  <c r="AH150" i="1"/>
  <c r="AI150" i="1"/>
  <c r="AJ150" i="1"/>
  <c r="CQ150" i="1"/>
  <c r="CV150" i="1"/>
  <c r="U150" i="1" s="1"/>
  <c r="CW150" i="1"/>
  <c r="V150" i="1" s="1"/>
  <c r="CX150" i="1"/>
  <c r="GL150" i="1"/>
  <c r="GN150" i="1"/>
  <c r="GP150" i="1"/>
  <c r="GV150" i="1"/>
  <c r="HC150" i="1"/>
  <c r="GX150" i="1" s="1"/>
  <c r="I151" i="1"/>
  <c r="S151" i="1" s="1"/>
  <c r="AC151" i="1"/>
  <c r="CQ151" i="1" s="1"/>
  <c r="AE151" i="1"/>
  <c r="R151" i="1" s="1"/>
  <c r="AF151" i="1"/>
  <c r="AG151" i="1"/>
  <c r="CU151" i="1" s="1"/>
  <c r="AH151" i="1"/>
  <c r="CV151" i="1" s="1"/>
  <c r="AI151" i="1"/>
  <c r="CW151" i="1" s="1"/>
  <c r="AJ151" i="1"/>
  <c r="CR151" i="1"/>
  <c r="CS151" i="1"/>
  <c r="CT151" i="1"/>
  <c r="CX151" i="1"/>
  <c r="GL151" i="1"/>
  <c r="GN151" i="1"/>
  <c r="GP151" i="1"/>
  <c r="GV151" i="1"/>
  <c r="HC151" i="1"/>
  <c r="I152" i="1"/>
  <c r="P152" i="1"/>
  <c r="S152" i="1"/>
  <c r="U152" i="1"/>
  <c r="AC152" i="1"/>
  <c r="AD152" i="1"/>
  <c r="AE152" i="1"/>
  <c r="CS152" i="1" s="1"/>
  <c r="AF152" i="1"/>
  <c r="AG152" i="1"/>
  <c r="AH152" i="1"/>
  <c r="AI152" i="1"/>
  <c r="CW152" i="1" s="1"/>
  <c r="V152" i="1" s="1"/>
  <c r="AJ152" i="1"/>
  <c r="CX152" i="1" s="1"/>
  <c r="W152" i="1" s="1"/>
  <c r="CR152" i="1"/>
  <c r="CT152" i="1"/>
  <c r="CU152" i="1"/>
  <c r="T152" i="1" s="1"/>
  <c r="CV152" i="1"/>
  <c r="FR152" i="1"/>
  <c r="GL152" i="1"/>
  <c r="GN152" i="1"/>
  <c r="GO152" i="1"/>
  <c r="GP152" i="1"/>
  <c r="GV152" i="1"/>
  <c r="HC152" i="1" s="1"/>
  <c r="GX152" i="1" s="1"/>
  <c r="I153" i="1"/>
  <c r="P153" i="1"/>
  <c r="FR153" i="1" s="1"/>
  <c r="Q153" i="1"/>
  <c r="S153" i="1"/>
  <c r="V153" i="1"/>
  <c r="AC153" i="1"/>
  <c r="AE153" i="1"/>
  <c r="AF153" i="1"/>
  <c r="CT153" i="1" s="1"/>
  <c r="AG153" i="1"/>
  <c r="AH153" i="1"/>
  <c r="AI153" i="1"/>
  <c r="AJ153" i="1"/>
  <c r="CX153" i="1" s="1"/>
  <c r="W153" i="1" s="1"/>
  <c r="CP153" i="1"/>
  <c r="O153" i="1" s="1"/>
  <c r="CQ153" i="1"/>
  <c r="CU153" i="1"/>
  <c r="T153" i="1" s="1"/>
  <c r="CV153" i="1"/>
  <c r="U153" i="1" s="1"/>
  <c r="CW153" i="1"/>
  <c r="GL153" i="1"/>
  <c r="GN153" i="1"/>
  <c r="GO153" i="1"/>
  <c r="GP153" i="1"/>
  <c r="GV153" i="1"/>
  <c r="HC153" i="1" s="1"/>
  <c r="GX153" i="1" s="1"/>
  <c r="I154" i="1"/>
  <c r="Q154" i="1"/>
  <c r="R154" i="1"/>
  <c r="W154" i="1"/>
  <c r="AC154" i="1"/>
  <c r="P154" i="1" s="1"/>
  <c r="FR154" i="1" s="1"/>
  <c r="AE154" i="1"/>
  <c r="AF154" i="1"/>
  <c r="S154" i="1" s="1"/>
  <c r="AG154" i="1"/>
  <c r="CU154" i="1" s="1"/>
  <c r="T154" i="1" s="1"/>
  <c r="AH154" i="1"/>
  <c r="AI154" i="1"/>
  <c r="AJ154" i="1"/>
  <c r="CP154" i="1"/>
  <c r="O154" i="1" s="1"/>
  <c r="CQ154" i="1"/>
  <c r="CT154" i="1"/>
  <c r="CV154" i="1"/>
  <c r="U154" i="1" s="1"/>
  <c r="CW154" i="1"/>
  <c r="V154" i="1" s="1"/>
  <c r="CX154" i="1"/>
  <c r="GL154" i="1"/>
  <c r="GN154" i="1"/>
  <c r="GO154" i="1"/>
  <c r="GP154" i="1"/>
  <c r="CD161" i="1" s="1"/>
  <c r="GV154" i="1"/>
  <c r="GX154" i="1"/>
  <c r="HC154" i="1"/>
  <c r="I155" i="1"/>
  <c r="P155" i="1" s="1"/>
  <c r="R155" i="1"/>
  <c r="S155" i="1"/>
  <c r="AC155" i="1"/>
  <c r="AD155" i="1"/>
  <c r="AE155" i="1"/>
  <c r="AF155" i="1"/>
  <c r="AG155" i="1"/>
  <c r="CU155" i="1" s="1"/>
  <c r="T155" i="1" s="1"/>
  <c r="AH155" i="1"/>
  <c r="CV155" i="1" s="1"/>
  <c r="U155" i="1" s="1"/>
  <c r="AI155" i="1"/>
  <c r="AJ155" i="1"/>
  <c r="CQ155" i="1"/>
  <c r="CR155" i="1"/>
  <c r="CS155" i="1"/>
  <c r="CW155" i="1"/>
  <c r="V155" i="1" s="1"/>
  <c r="CX155" i="1"/>
  <c r="W155" i="1" s="1"/>
  <c r="FR155" i="1"/>
  <c r="GL155" i="1"/>
  <c r="GN155" i="1"/>
  <c r="FT161" i="1" s="1"/>
  <c r="GO155" i="1"/>
  <c r="GP155" i="1"/>
  <c r="GV155" i="1"/>
  <c r="HC155" i="1"/>
  <c r="GX155" i="1" s="1"/>
  <c r="D156" i="1"/>
  <c r="P156" i="1"/>
  <c r="S156" i="1"/>
  <c r="AC156" i="1"/>
  <c r="CQ156" i="1" s="1"/>
  <c r="AE156" i="1"/>
  <c r="R156" i="1" s="1"/>
  <c r="AF156" i="1"/>
  <c r="AG156" i="1"/>
  <c r="CU156" i="1" s="1"/>
  <c r="T156" i="1" s="1"/>
  <c r="AH156" i="1"/>
  <c r="AI156" i="1"/>
  <c r="CW156" i="1" s="1"/>
  <c r="V156" i="1" s="1"/>
  <c r="AJ156" i="1"/>
  <c r="CS156" i="1"/>
  <c r="CT156" i="1"/>
  <c r="CV156" i="1"/>
  <c r="U156" i="1" s="1"/>
  <c r="CX156" i="1"/>
  <c r="W156" i="1" s="1"/>
  <c r="CY156" i="1"/>
  <c r="X156" i="1" s="1"/>
  <c r="GL156" i="1"/>
  <c r="GN156" i="1"/>
  <c r="GP156" i="1"/>
  <c r="GV156" i="1"/>
  <c r="HC156" i="1"/>
  <c r="GX156" i="1" s="1"/>
  <c r="D157" i="1"/>
  <c r="P157" i="1"/>
  <c r="S157" i="1"/>
  <c r="U157" i="1"/>
  <c r="AC157" i="1"/>
  <c r="AD157" i="1"/>
  <c r="AE157" i="1"/>
  <c r="CS157" i="1" s="1"/>
  <c r="AF157" i="1"/>
  <c r="AG157" i="1"/>
  <c r="AH157" i="1"/>
  <c r="AI157" i="1"/>
  <c r="CW157" i="1" s="1"/>
  <c r="V157" i="1" s="1"/>
  <c r="AJ157" i="1"/>
  <c r="CX157" i="1" s="1"/>
  <c r="W157" i="1" s="1"/>
  <c r="CQ157" i="1"/>
  <c r="CR157" i="1"/>
  <c r="CT157" i="1"/>
  <c r="CU157" i="1"/>
  <c r="T157" i="1" s="1"/>
  <c r="CV157" i="1"/>
  <c r="GL157" i="1"/>
  <c r="GN157" i="1"/>
  <c r="GP157" i="1"/>
  <c r="GV157" i="1"/>
  <c r="HC157" i="1" s="1"/>
  <c r="GX157" i="1" s="1"/>
  <c r="I158" i="1"/>
  <c r="R158" i="1"/>
  <c r="W158" i="1"/>
  <c r="AC158" i="1"/>
  <c r="AE158" i="1"/>
  <c r="AF158" i="1"/>
  <c r="AG158" i="1"/>
  <c r="CU158" i="1" s="1"/>
  <c r="T158" i="1" s="1"/>
  <c r="AH158" i="1"/>
  <c r="CV158" i="1" s="1"/>
  <c r="U158" i="1" s="1"/>
  <c r="AI158" i="1"/>
  <c r="CW158" i="1" s="1"/>
  <c r="V158" i="1" s="1"/>
  <c r="AJ158" i="1"/>
  <c r="CQ158" i="1"/>
  <c r="CX158" i="1"/>
  <c r="GL158" i="1"/>
  <c r="BZ161" i="1" s="1"/>
  <c r="GN158" i="1"/>
  <c r="GO158" i="1"/>
  <c r="GP158" i="1"/>
  <c r="GV158" i="1"/>
  <c r="GX158" i="1"/>
  <c r="HC158" i="1"/>
  <c r="I159" i="1"/>
  <c r="Q159" i="1" s="1"/>
  <c r="R159" i="1"/>
  <c r="S159" i="1"/>
  <c r="AC159" i="1"/>
  <c r="AB159" i="1" s="1"/>
  <c r="AD159" i="1"/>
  <c r="AE159" i="1"/>
  <c r="AF159" i="1"/>
  <c r="AG159" i="1"/>
  <c r="AH159" i="1"/>
  <c r="CV159" i="1" s="1"/>
  <c r="U159" i="1" s="1"/>
  <c r="AI159" i="1"/>
  <c r="AJ159" i="1"/>
  <c r="CQ159" i="1"/>
  <c r="CR159" i="1"/>
  <c r="CS159" i="1"/>
  <c r="CT159" i="1"/>
  <c r="CU159" i="1"/>
  <c r="T159" i="1" s="1"/>
  <c r="CW159" i="1"/>
  <c r="V159" i="1" s="1"/>
  <c r="CX159" i="1"/>
  <c r="W159" i="1" s="1"/>
  <c r="GL159" i="1"/>
  <c r="GN159" i="1"/>
  <c r="GO159" i="1"/>
  <c r="GP159" i="1"/>
  <c r="GV159" i="1"/>
  <c r="HC159" i="1" s="1"/>
  <c r="GX159" i="1" s="1"/>
  <c r="B161" i="1"/>
  <c r="B144" i="1" s="1"/>
  <c r="C161" i="1"/>
  <c r="D161" i="1"/>
  <c r="F161" i="1"/>
  <c r="F144" i="1" s="1"/>
  <c r="G161" i="1"/>
  <c r="G144" i="1" s="1"/>
  <c r="BD161" i="1"/>
  <c r="BD144" i="1" s="1"/>
  <c r="BX161" i="1"/>
  <c r="CB161" i="1"/>
  <c r="CB144" i="1" s="1"/>
  <c r="CK161" i="1"/>
  <c r="BB161" i="1" s="1"/>
  <c r="BB144" i="1" s="1"/>
  <c r="CL161" i="1"/>
  <c r="CL144" i="1" s="1"/>
  <c r="CM161" i="1"/>
  <c r="CM144" i="1" s="1"/>
  <c r="EG161" i="1"/>
  <c r="P165" i="1" s="1"/>
  <c r="EV161" i="1"/>
  <c r="FP161" i="1"/>
  <c r="FP144" i="1" s="1"/>
  <c r="FV161" i="1"/>
  <c r="EM161" i="1" s="1"/>
  <c r="P180" i="1" s="1"/>
  <c r="GC161" i="1"/>
  <c r="ET161" i="1" s="1"/>
  <c r="GD161" i="1"/>
  <c r="GD144" i="1" s="1"/>
  <c r="GE161" i="1"/>
  <c r="GE144" i="1" s="1"/>
  <c r="F174" i="1"/>
  <c r="F186" i="1"/>
  <c r="D191" i="1"/>
  <c r="E193" i="1"/>
  <c r="Z193" i="1"/>
  <c r="AA193" i="1"/>
  <c r="AM193" i="1"/>
  <c r="AN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R193" i="1"/>
  <c r="DS193" i="1"/>
  <c r="EE193" i="1"/>
  <c r="EF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GT193" i="1"/>
  <c r="GU193" i="1"/>
  <c r="GV193" i="1"/>
  <c r="GW193" i="1"/>
  <c r="GX193" i="1"/>
  <c r="D195" i="1"/>
  <c r="I195" i="1"/>
  <c r="K195" i="1"/>
  <c r="Q195" i="1"/>
  <c r="CP195" i="1" s="1"/>
  <c r="O195" i="1" s="1"/>
  <c r="R195" i="1"/>
  <c r="S195" i="1"/>
  <c r="CZ195" i="1" s="1"/>
  <c r="Y195" i="1" s="1"/>
  <c r="X195" i="1"/>
  <c r="AC195" i="1"/>
  <c r="P195" i="1" s="1"/>
  <c r="AE195" i="1"/>
  <c r="AD195" i="1" s="1"/>
  <c r="AF195" i="1"/>
  <c r="CT195" i="1" s="1"/>
  <c r="AG195" i="1"/>
  <c r="CU195" i="1" s="1"/>
  <c r="T195" i="1" s="1"/>
  <c r="AH195" i="1"/>
  <c r="CV195" i="1" s="1"/>
  <c r="U195" i="1" s="1"/>
  <c r="AI195" i="1"/>
  <c r="CW195" i="1" s="1"/>
  <c r="V195" i="1" s="1"/>
  <c r="AJ195" i="1"/>
  <c r="CR195" i="1"/>
  <c r="CS195" i="1"/>
  <c r="CX195" i="1"/>
  <c r="W195" i="1" s="1"/>
  <c r="CY195" i="1"/>
  <c r="GL195" i="1"/>
  <c r="GN195" i="1"/>
  <c r="GP195" i="1"/>
  <c r="GV195" i="1"/>
  <c r="HC195" i="1" s="1"/>
  <c r="GX195" i="1" s="1"/>
  <c r="D196" i="1"/>
  <c r="I196" i="1"/>
  <c r="K196" i="1"/>
  <c r="R196" i="1"/>
  <c r="T196" i="1"/>
  <c r="W196" i="1"/>
  <c r="AC196" i="1"/>
  <c r="P196" i="1" s="1"/>
  <c r="AE196" i="1"/>
  <c r="AD196" i="1" s="1"/>
  <c r="AF196" i="1"/>
  <c r="AG196" i="1"/>
  <c r="CU196" i="1" s="1"/>
  <c r="AH196" i="1"/>
  <c r="CV196" i="1" s="1"/>
  <c r="U196" i="1" s="1"/>
  <c r="AI196" i="1"/>
  <c r="AJ196" i="1"/>
  <c r="CQ196" i="1"/>
  <c r="CW196" i="1"/>
  <c r="V196" i="1" s="1"/>
  <c r="CX196" i="1"/>
  <c r="GL196" i="1"/>
  <c r="GN196" i="1"/>
  <c r="GP196" i="1"/>
  <c r="GV196" i="1"/>
  <c r="HC196" i="1"/>
  <c r="GX196" i="1" s="1"/>
  <c r="I197" i="1"/>
  <c r="P197" i="1"/>
  <c r="S197" i="1"/>
  <c r="W197" i="1"/>
  <c r="AC197" i="1"/>
  <c r="CQ197" i="1" s="1"/>
  <c r="AE197" i="1"/>
  <c r="AF197" i="1"/>
  <c r="CT197" i="1" s="1"/>
  <c r="AG197" i="1"/>
  <c r="CU197" i="1" s="1"/>
  <c r="T197" i="1" s="1"/>
  <c r="AH197" i="1"/>
  <c r="AI197" i="1"/>
  <c r="CW197" i="1" s="1"/>
  <c r="V197" i="1" s="1"/>
  <c r="AJ197" i="1"/>
  <c r="CV197" i="1"/>
  <c r="U197" i="1" s="1"/>
  <c r="CX197" i="1"/>
  <c r="GL197" i="1"/>
  <c r="GN197" i="1"/>
  <c r="GP197" i="1"/>
  <c r="GV197" i="1"/>
  <c r="HC197" i="1"/>
  <c r="GX197" i="1" s="1"/>
  <c r="I198" i="1"/>
  <c r="S198" i="1"/>
  <c r="AC198" i="1"/>
  <c r="CQ198" i="1" s="1"/>
  <c r="AE198" i="1"/>
  <c r="Q198" i="1" s="1"/>
  <c r="AF198" i="1"/>
  <c r="AG198" i="1"/>
  <c r="CU198" i="1" s="1"/>
  <c r="T198" i="1" s="1"/>
  <c r="AH198" i="1"/>
  <c r="AI198" i="1"/>
  <c r="CW198" i="1" s="1"/>
  <c r="V198" i="1" s="1"/>
  <c r="AJ198" i="1"/>
  <c r="CR198" i="1"/>
  <c r="CT198" i="1"/>
  <c r="CV198" i="1"/>
  <c r="U198" i="1" s="1"/>
  <c r="CX198" i="1"/>
  <c r="W198" i="1" s="1"/>
  <c r="GL198" i="1"/>
  <c r="GN198" i="1"/>
  <c r="GP198" i="1"/>
  <c r="GV198" i="1"/>
  <c r="HC198" i="1" s="1"/>
  <c r="GX198" i="1" s="1"/>
  <c r="I199" i="1"/>
  <c r="R199" i="1"/>
  <c r="T199" i="1"/>
  <c r="U199" i="1"/>
  <c r="AC199" i="1"/>
  <c r="AD199" i="1"/>
  <c r="AE199" i="1"/>
  <c r="CS199" i="1" s="1"/>
  <c r="AF199" i="1"/>
  <c r="S199" i="1" s="1"/>
  <c r="CY199" i="1" s="1"/>
  <c r="X199" i="1" s="1"/>
  <c r="AG199" i="1"/>
  <c r="AH199" i="1"/>
  <c r="CV199" i="1" s="1"/>
  <c r="AI199" i="1"/>
  <c r="CW199" i="1" s="1"/>
  <c r="V199" i="1" s="1"/>
  <c r="AJ199" i="1"/>
  <c r="CX199" i="1" s="1"/>
  <c r="W199" i="1" s="1"/>
  <c r="CR199" i="1"/>
  <c r="CT199" i="1"/>
  <c r="CU199" i="1"/>
  <c r="GL199" i="1"/>
  <c r="GN199" i="1"/>
  <c r="GP199" i="1"/>
  <c r="GV199" i="1"/>
  <c r="HC199" i="1" s="1"/>
  <c r="GX199" i="1" s="1"/>
  <c r="I200" i="1"/>
  <c r="P200" i="1"/>
  <c r="S200" i="1"/>
  <c r="W200" i="1"/>
  <c r="AC200" i="1"/>
  <c r="AE200" i="1"/>
  <c r="AF200" i="1"/>
  <c r="CT200" i="1" s="1"/>
  <c r="AG200" i="1"/>
  <c r="CU200" i="1" s="1"/>
  <c r="T200" i="1" s="1"/>
  <c r="AH200" i="1"/>
  <c r="AI200" i="1"/>
  <c r="CW200" i="1" s="1"/>
  <c r="V200" i="1" s="1"/>
  <c r="AJ200" i="1"/>
  <c r="CQ200" i="1"/>
  <c r="CV200" i="1"/>
  <c r="U200" i="1" s="1"/>
  <c r="CX200" i="1"/>
  <c r="GL200" i="1"/>
  <c r="GN200" i="1"/>
  <c r="GP200" i="1"/>
  <c r="GV200" i="1"/>
  <c r="HC200" i="1"/>
  <c r="GX200" i="1" s="1"/>
  <c r="I201" i="1"/>
  <c r="S201" i="1"/>
  <c r="AC201" i="1"/>
  <c r="CQ201" i="1" s="1"/>
  <c r="AE201" i="1"/>
  <c r="Q201" i="1" s="1"/>
  <c r="AF201" i="1"/>
  <c r="AG201" i="1"/>
  <c r="CU201" i="1" s="1"/>
  <c r="T201" i="1" s="1"/>
  <c r="AH201" i="1"/>
  <c r="AI201" i="1"/>
  <c r="CW201" i="1" s="1"/>
  <c r="V201" i="1" s="1"/>
  <c r="AJ201" i="1"/>
  <c r="CR201" i="1"/>
  <c r="CT201" i="1"/>
  <c r="CV201" i="1"/>
  <c r="U201" i="1" s="1"/>
  <c r="CX201" i="1"/>
  <c r="W201" i="1" s="1"/>
  <c r="GL201" i="1"/>
  <c r="GN201" i="1"/>
  <c r="GP201" i="1"/>
  <c r="GV201" i="1"/>
  <c r="HC201" i="1" s="1"/>
  <c r="GX201" i="1" s="1"/>
  <c r="I202" i="1"/>
  <c r="R202" i="1"/>
  <c r="T202" i="1"/>
  <c r="U202" i="1"/>
  <c r="AC202" i="1"/>
  <c r="AD202" i="1"/>
  <c r="AE202" i="1"/>
  <c r="CS202" i="1" s="1"/>
  <c r="AF202" i="1"/>
  <c r="S202" i="1" s="1"/>
  <c r="CY202" i="1" s="1"/>
  <c r="X202" i="1" s="1"/>
  <c r="AG202" i="1"/>
  <c r="AH202" i="1"/>
  <c r="CV202" i="1" s="1"/>
  <c r="AI202" i="1"/>
  <c r="CW202" i="1" s="1"/>
  <c r="V202" i="1" s="1"/>
  <c r="AJ202" i="1"/>
  <c r="CX202" i="1" s="1"/>
  <c r="W202" i="1" s="1"/>
  <c r="CR202" i="1"/>
  <c r="CT202" i="1"/>
  <c r="CU202" i="1"/>
  <c r="CZ202" i="1"/>
  <c r="Y202" i="1" s="1"/>
  <c r="GL202" i="1"/>
  <c r="GN202" i="1"/>
  <c r="GP202" i="1"/>
  <c r="GV202" i="1"/>
  <c r="HC202" i="1" s="1"/>
  <c r="GX202" i="1" s="1"/>
  <c r="I203" i="1"/>
  <c r="P203" i="1"/>
  <c r="Q203" i="1"/>
  <c r="CP203" i="1" s="1"/>
  <c r="O203" i="1" s="1"/>
  <c r="S203" i="1"/>
  <c r="W203" i="1"/>
  <c r="AC203" i="1"/>
  <c r="AE203" i="1"/>
  <c r="AF203" i="1"/>
  <c r="CT203" i="1" s="1"/>
  <c r="AG203" i="1"/>
  <c r="CU203" i="1" s="1"/>
  <c r="T203" i="1" s="1"/>
  <c r="AH203" i="1"/>
  <c r="AI203" i="1"/>
  <c r="CW203" i="1" s="1"/>
  <c r="V203" i="1" s="1"/>
  <c r="AJ203" i="1"/>
  <c r="CQ203" i="1"/>
  <c r="CV203" i="1"/>
  <c r="U203" i="1" s="1"/>
  <c r="CX203" i="1"/>
  <c r="GL203" i="1"/>
  <c r="GN203" i="1"/>
  <c r="GP203" i="1"/>
  <c r="GV203" i="1"/>
  <c r="HC203" i="1"/>
  <c r="GX203" i="1" s="1"/>
  <c r="I204" i="1"/>
  <c r="S204" i="1"/>
  <c r="AC204" i="1"/>
  <c r="CQ204" i="1" s="1"/>
  <c r="AE204" i="1"/>
  <c r="Q204" i="1" s="1"/>
  <c r="AF204" i="1"/>
  <c r="AG204" i="1"/>
  <c r="CU204" i="1" s="1"/>
  <c r="T204" i="1" s="1"/>
  <c r="AH204" i="1"/>
  <c r="AI204" i="1"/>
  <c r="CW204" i="1" s="1"/>
  <c r="V204" i="1" s="1"/>
  <c r="AJ204" i="1"/>
  <c r="CR204" i="1"/>
  <c r="CT204" i="1"/>
  <c r="CV204" i="1"/>
  <c r="U204" i="1" s="1"/>
  <c r="CX204" i="1"/>
  <c r="W204" i="1" s="1"/>
  <c r="GL204" i="1"/>
  <c r="GN204" i="1"/>
  <c r="GP204" i="1"/>
  <c r="GV204" i="1"/>
  <c r="HC204" i="1" s="1"/>
  <c r="GX204" i="1" s="1"/>
  <c r="I205" i="1"/>
  <c r="R205" i="1"/>
  <c r="T205" i="1"/>
  <c r="U205" i="1"/>
  <c r="W205" i="1"/>
  <c r="AC205" i="1"/>
  <c r="AD205" i="1"/>
  <c r="AE205" i="1"/>
  <c r="CS205" i="1" s="1"/>
  <c r="AF205" i="1"/>
  <c r="S205" i="1" s="1"/>
  <c r="AG205" i="1"/>
  <c r="AH205" i="1"/>
  <c r="CV205" i="1" s="1"/>
  <c r="AI205" i="1"/>
  <c r="CW205" i="1" s="1"/>
  <c r="V205" i="1" s="1"/>
  <c r="AJ205" i="1"/>
  <c r="CX205" i="1" s="1"/>
  <c r="CR205" i="1"/>
  <c r="CT205" i="1"/>
  <c r="CU205" i="1"/>
  <c r="GL205" i="1"/>
  <c r="GN205" i="1"/>
  <c r="GP205" i="1"/>
  <c r="GV205" i="1"/>
  <c r="HC205" i="1" s="1"/>
  <c r="GX205" i="1" s="1"/>
  <c r="I206" i="1"/>
  <c r="P206" i="1"/>
  <c r="Q206" i="1"/>
  <c r="CP206" i="1" s="1"/>
  <c r="O206" i="1" s="1"/>
  <c r="S206" i="1"/>
  <c r="AC206" i="1"/>
  <c r="AE206" i="1"/>
  <c r="AF206" i="1"/>
  <c r="CT206" i="1" s="1"/>
  <c r="AG206" i="1"/>
  <c r="CU206" i="1" s="1"/>
  <c r="T206" i="1" s="1"/>
  <c r="AH206" i="1"/>
  <c r="AI206" i="1"/>
  <c r="CW206" i="1" s="1"/>
  <c r="V206" i="1" s="1"/>
  <c r="AJ206" i="1"/>
  <c r="CQ206" i="1"/>
  <c r="CV206" i="1"/>
  <c r="U206" i="1" s="1"/>
  <c r="CX206" i="1"/>
  <c r="W206" i="1" s="1"/>
  <c r="GL206" i="1"/>
  <c r="GN206" i="1"/>
  <c r="GP206" i="1"/>
  <c r="GV206" i="1"/>
  <c r="HC206" i="1"/>
  <c r="GX206" i="1" s="1"/>
  <c r="I207" i="1"/>
  <c r="V207" i="1" s="1"/>
  <c r="S207" i="1"/>
  <c r="AC207" i="1"/>
  <c r="AE207" i="1"/>
  <c r="Q207" i="1" s="1"/>
  <c r="AF207" i="1"/>
  <c r="AG207" i="1"/>
  <c r="CU207" i="1" s="1"/>
  <c r="T207" i="1" s="1"/>
  <c r="AH207" i="1"/>
  <c r="AI207" i="1"/>
  <c r="AJ207" i="1"/>
  <c r="CR207" i="1"/>
  <c r="CT207" i="1"/>
  <c r="CV207" i="1"/>
  <c r="U207" i="1" s="1"/>
  <c r="CW207" i="1"/>
  <c r="CX207" i="1"/>
  <c r="W207" i="1" s="1"/>
  <c r="GL207" i="1"/>
  <c r="GN207" i="1"/>
  <c r="GP207" i="1"/>
  <c r="GV207" i="1"/>
  <c r="HC207" i="1" s="1"/>
  <c r="GX207" i="1" s="1"/>
  <c r="I208" i="1"/>
  <c r="R208" i="1"/>
  <c r="T208" i="1"/>
  <c r="U208" i="1"/>
  <c r="AC208" i="1"/>
  <c r="AD208" i="1"/>
  <c r="AE208" i="1"/>
  <c r="CS208" i="1" s="1"/>
  <c r="AF208" i="1"/>
  <c r="S208" i="1" s="1"/>
  <c r="CY208" i="1" s="1"/>
  <c r="X208" i="1" s="1"/>
  <c r="AG208" i="1"/>
  <c r="AH208" i="1"/>
  <c r="CV208" i="1" s="1"/>
  <c r="AI208" i="1"/>
  <c r="CW208" i="1" s="1"/>
  <c r="V208" i="1" s="1"/>
  <c r="AJ208" i="1"/>
  <c r="CX208" i="1" s="1"/>
  <c r="W208" i="1" s="1"/>
  <c r="CR208" i="1"/>
  <c r="CT208" i="1"/>
  <c r="CU208" i="1"/>
  <c r="GL208" i="1"/>
  <c r="GN208" i="1"/>
  <c r="GP208" i="1"/>
  <c r="GV208" i="1"/>
  <c r="HC208" i="1" s="1"/>
  <c r="GX208" i="1" s="1"/>
  <c r="D209" i="1"/>
  <c r="P209" i="1"/>
  <c r="Q209" i="1"/>
  <c r="CP209" i="1" s="1"/>
  <c r="O209" i="1" s="1"/>
  <c r="S209" i="1"/>
  <c r="U209" i="1"/>
  <c r="W209" i="1"/>
  <c r="AC209" i="1"/>
  <c r="AE209" i="1"/>
  <c r="AF209" i="1"/>
  <c r="CT209" i="1" s="1"/>
  <c r="AG209" i="1"/>
  <c r="AH209" i="1"/>
  <c r="AI209" i="1"/>
  <c r="CW209" i="1" s="1"/>
  <c r="V209" i="1" s="1"/>
  <c r="AJ209" i="1"/>
  <c r="CQ209" i="1"/>
  <c r="CU209" i="1"/>
  <c r="T209" i="1" s="1"/>
  <c r="CV209" i="1"/>
  <c r="CX209" i="1"/>
  <c r="GL209" i="1"/>
  <c r="GN209" i="1"/>
  <c r="GP209" i="1"/>
  <c r="GV209" i="1"/>
  <c r="HC209" i="1"/>
  <c r="GX209" i="1" s="1"/>
  <c r="D210" i="1"/>
  <c r="S210" i="1"/>
  <c r="V210" i="1"/>
  <c r="AC210" i="1"/>
  <c r="AE210" i="1"/>
  <c r="AF210" i="1"/>
  <c r="AG210" i="1"/>
  <c r="CU210" i="1" s="1"/>
  <c r="T210" i="1" s="1"/>
  <c r="AH210" i="1"/>
  <c r="AI210" i="1"/>
  <c r="AJ210" i="1"/>
  <c r="CT210" i="1"/>
  <c r="CV210" i="1"/>
  <c r="U210" i="1" s="1"/>
  <c r="CW210" i="1"/>
  <c r="CX210" i="1"/>
  <c r="W210" i="1" s="1"/>
  <c r="GL210" i="1"/>
  <c r="GN210" i="1"/>
  <c r="GP210" i="1"/>
  <c r="GV210" i="1"/>
  <c r="HC210" i="1"/>
  <c r="GX210" i="1" s="1"/>
  <c r="I211" i="1"/>
  <c r="Q211" i="1" s="1"/>
  <c r="R211" i="1"/>
  <c r="T211" i="1"/>
  <c r="U211" i="1"/>
  <c r="AC211" i="1"/>
  <c r="AD211" i="1"/>
  <c r="AE211" i="1"/>
  <c r="AF211" i="1"/>
  <c r="S211" i="1" s="1"/>
  <c r="AG211" i="1"/>
  <c r="AH211" i="1"/>
  <c r="CV211" i="1" s="1"/>
  <c r="AI211" i="1"/>
  <c r="CW211" i="1" s="1"/>
  <c r="V211" i="1" s="1"/>
  <c r="AJ211" i="1"/>
  <c r="CX211" i="1" s="1"/>
  <c r="W211" i="1" s="1"/>
  <c r="CR211" i="1"/>
  <c r="CS211" i="1"/>
  <c r="CT211" i="1"/>
  <c r="CU211" i="1"/>
  <c r="CY211" i="1"/>
  <c r="X211" i="1" s="1"/>
  <c r="CZ211" i="1"/>
  <c r="Y211" i="1" s="1"/>
  <c r="GL211" i="1"/>
  <c r="GN211" i="1"/>
  <c r="GP211" i="1"/>
  <c r="GV211" i="1"/>
  <c r="HC211" i="1" s="1"/>
  <c r="GX211" i="1" s="1"/>
  <c r="I212" i="1"/>
  <c r="P212" i="1"/>
  <c r="Q212" i="1"/>
  <c r="S212" i="1"/>
  <c r="W212" i="1"/>
  <c r="AC212" i="1"/>
  <c r="AD212" i="1"/>
  <c r="AB212" i="1" s="1"/>
  <c r="AE212" i="1"/>
  <c r="AF212" i="1"/>
  <c r="CT212" i="1" s="1"/>
  <c r="AG212" i="1"/>
  <c r="CU212" i="1" s="1"/>
  <c r="T212" i="1" s="1"/>
  <c r="AH212" i="1"/>
  <c r="AI212" i="1"/>
  <c r="CW212" i="1" s="1"/>
  <c r="V212" i="1" s="1"/>
  <c r="AJ212" i="1"/>
  <c r="CP212" i="1"/>
  <c r="O212" i="1" s="1"/>
  <c r="CQ212" i="1"/>
  <c r="CV212" i="1"/>
  <c r="U212" i="1" s="1"/>
  <c r="CX212" i="1"/>
  <c r="GL212" i="1"/>
  <c r="GN212" i="1"/>
  <c r="GP212" i="1"/>
  <c r="GV212" i="1"/>
  <c r="HC212" i="1"/>
  <c r="GX212" i="1" s="1"/>
  <c r="C213" i="1"/>
  <c r="D213" i="1"/>
  <c r="I213" i="1"/>
  <c r="K213" i="1"/>
  <c r="P213" i="1"/>
  <c r="CP213" i="1" s="1"/>
  <c r="O213" i="1" s="1"/>
  <c r="S213" i="1"/>
  <c r="V213" i="1"/>
  <c r="AB213" i="1"/>
  <c r="AC213" i="1"/>
  <c r="AD213" i="1"/>
  <c r="AE213" i="1"/>
  <c r="Q213" i="1" s="1"/>
  <c r="AF213" i="1"/>
  <c r="AG213" i="1"/>
  <c r="AH213" i="1"/>
  <c r="AI213" i="1"/>
  <c r="CW213" i="1" s="1"/>
  <c r="AJ213" i="1"/>
  <c r="CQ213" i="1"/>
  <c r="CS213" i="1"/>
  <c r="CT213" i="1"/>
  <c r="CU213" i="1"/>
  <c r="T213" i="1" s="1"/>
  <c r="CV213" i="1"/>
  <c r="U213" i="1" s="1"/>
  <c r="CX213" i="1"/>
  <c r="W213" i="1" s="1"/>
  <c r="GL213" i="1"/>
  <c r="GN213" i="1"/>
  <c r="GP213" i="1"/>
  <c r="GV213" i="1"/>
  <c r="GX213" i="1"/>
  <c r="HC213" i="1"/>
  <c r="C214" i="1"/>
  <c r="D214" i="1"/>
  <c r="I214" i="1"/>
  <c r="K214" i="1"/>
  <c r="S214" i="1"/>
  <c r="U214" i="1"/>
  <c r="AC214" i="1"/>
  <c r="P214" i="1" s="1"/>
  <c r="AE214" i="1"/>
  <c r="AF214" i="1"/>
  <c r="AG214" i="1"/>
  <c r="CU214" i="1" s="1"/>
  <c r="T214" i="1" s="1"/>
  <c r="AH214" i="1"/>
  <c r="AI214" i="1"/>
  <c r="CW214" i="1" s="1"/>
  <c r="V214" i="1" s="1"/>
  <c r="AJ214" i="1"/>
  <c r="CQ214" i="1"/>
  <c r="CS214" i="1"/>
  <c r="CT214" i="1"/>
  <c r="CV214" i="1"/>
  <c r="CX214" i="1"/>
  <c r="W214" i="1" s="1"/>
  <c r="GL214" i="1"/>
  <c r="GN214" i="1"/>
  <c r="GP214" i="1"/>
  <c r="GV214" i="1"/>
  <c r="HC214" i="1" s="1"/>
  <c r="GX214" i="1" s="1"/>
  <c r="I215" i="1"/>
  <c r="V215" i="1"/>
  <c r="W215" i="1"/>
  <c r="AC215" i="1"/>
  <c r="AE215" i="1"/>
  <c r="CS215" i="1" s="1"/>
  <c r="AF215" i="1"/>
  <c r="AG215" i="1"/>
  <c r="AH215" i="1"/>
  <c r="CV215" i="1" s="1"/>
  <c r="U215" i="1" s="1"/>
  <c r="AI215" i="1"/>
  <c r="AJ215" i="1"/>
  <c r="CX215" i="1" s="1"/>
  <c r="CQ215" i="1"/>
  <c r="CU215" i="1"/>
  <c r="T215" i="1" s="1"/>
  <c r="CW215" i="1"/>
  <c r="GL215" i="1"/>
  <c r="GN215" i="1"/>
  <c r="GP215" i="1"/>
  <c r="GV215" i="1"/>
  <c r="HC215" i="1" s="1"/>
  <c r="GX215" i="1" s="1"/>
  <c r="I216" i="1"/>
  <c r="P216" i="1" s="1"/>
  <c r="R216" i="1"/>
  <c r="W216" i="1"/>
  <c r="AC216" i="1"/>
  <c r="AE216" i="1"/>
  <c r="AD216" i="1" s="1"/>
  <c r="AF216" i="1"/>
  <c r="AG216" i="1"/>
  <c r="CU216" i="1" s="1"/>
  <c r="T216" i="1" s="1"/>
  <c r="AH216" i="1"/>
  <c r="AI216" i="1"/>
  <c r="AJ216" i="1"/>
  <c r="CQ216" i="1"/>
  <c r="CV216" i="1"/>
  <c r="U216" i="1" s="1"/>
  <c r="CW216" i="1"/>
  <c r="V216" i="1" s="1"/>
  <c r="CX216" i="1"/>
  <c r="GL216" i="1"/>
  <c r="GN216" i="1"/>
  <c r="GP216" i="1"/>
  <c r="GV216" i="1"/>
  <c r="HC216" i="1"/>
  <c r="GX216" i="1" s="1"/>
  <c r="I217" i="1"/>
  <c r="T217" i="1"/>
  <c r="AB217" i="1"/>
  <c r="AC217" i="1"/>
  <c r="CQ217" i="1" s="1"/>
  <c r="AD217" i="1"/>
  <c r="AE217" i="1"/>
  <c r="R217" i="1" s="1"/>
  <c r="AF217" i="1"/>
  <c r="AG217" i="1"/>
  <c r="CU217" i="1" s="1"/>
  <c r="AH217" i="1"/>
  <c r="CV217" i="1" s="1"/>
  <c r="U217" i="1" s="1"/>
  <c r="AI217" i="1"/>
  <c r="CW217" i="1" s="1"/>
  <c r="V217" i="1" s="1"/>
  <c r="AJ217" i="1"/>
  <c r="CR217" i="1"/>
  <c r="CS217" i="1"/>
  <c r="CT217" i="1"/>
  <c r="CX217" i="1"/>
  <c r="GL217" i="1"/>
  <c r="GN217" i="1"/>
  <c r="GP217" i="1"/>
  <c r="GV217" i="1"/>
  <c r="HC217" i="1" s="1"/>
  <c r="GX217" i="1" s="1"/>
  <c r="I218" i="1"/>
  <c r="S218" i="1"/>
  <c r="U218" i="1"/>
  <c r="AC218" i="1"/>
  <c r="AD218" i="1"/>
  <c r="AE218" i="1"/>
  <c r="CR218" i="1" s="1"/>
  <c r="AF218" i="1"/>
  <c r="AG218" i="1"/>
  <c r="AH218" i="1"/>
  <c r="AI218" i="1"/>
  <c r="CW218" i="1" s="1"/>
  <c r="V218" i="1" s="1"/>
  <c r="AJ218" i="1"/>
  <c r="CX218" i="1" s="1"/>
  <c r="W218" i="1" s="1"/>
  <c r="CT218" i="1"/>
  <c r="CU218" i="1"/>
  <c r="T218" i="1" s="1"/>
  <c r="CV218" i="1"/>
  <c r="GL218" i="1"/>
  <c r="GN218" i="1"/>
  <c r="GP218" i="1"/>
  <c r="GV218" i="1"/>
  <c r="HC218" i="1" s="1"/>
  <c r="GX218" i="1" s="1"/>
  <c r="I219" i="1"/>
  <c r="Q219" i="1"/>
  <c r="R219" i="1"/>
  <c r="W219" i="1"/>
  <c r="AC219" i="1"/>
  <c r="P219" i="1" s="1"/>
  <c r="AE219" i="1"/>
  <c r="AF219" i="1"/>
  <c r="AG219" i="1"/>
  <c r="CU219" i="1" s="1"/>
  <c r="T219" i="1" s="1"/>
  <c r="AH219" i="1"/>
  <c r="AI219" i="1"/>
  <c r="AJ219" i="1"/>
  <c r="CQ219" i="1"/>
  <c r="CV219" i="1"/>
  <c r="U219" i="1" s="1"/>
  <c r="CW219" i="1"/>
  <c r="V219" i="1" s="1"/>
  <c r="CX219" i="1"/>
  <c r="GL219" i="1"/>
  <c r="GN219" i="1"/>
  <c r="CB242" i="1" s="1"/>
  <c r="GP219" i="1"/>
  <c r="GV219" i="1"/>
  <c r="HC219" i="1"/>
  <c r="GX219" i="1" s="1"/>
  <c r="I220" i="1"/>
  <c r="S220" i="1"/>
  <c r="AB220" i="1"/>
  <c r="AC220" i="1"/>
  <c r="CQ220" i="1" s="1"/>
  <c r="AD220" i="1"/>
  <c r="AE220" i="1"/>
  <c r="AF220" i="1"/>
  <c r="AG220" i="1"/>
  <c r="CU220" i="1" s="1"/>
  <c r="T220" i="1" s="1"/>
  <c r="AH220" i="1"/>
  <c r="CV220" i="1" s="1"/>
  <c r="U220" i="1" s="1"/>
  <c r="AI220" i="1"/>
  <c r="CW220" i="1" s="1"/>
  <c r="V220" i="1" s="1"/>
  <c r="AJ220" i="1"/>
  <c r="CR220" i="1"/>
  <c r="CS220" i="1"/>
  <c r="CT220" i="1"/>
  <c r="CX220" i="1"/>
  <c r="GL220" i="1"/>
  <c r="GN220" i="1"/>
  <c r="GP220" i="1"/>
  <c r="FV242" i="1" s="1"/>
  <c r="GV220" i="1"/>
  <c r="HC220" i="1" s="1"/>
  <c r="GX220" i="1" s="1"/>
  <c r="I221" i="1"/>
  <c r="P221" i="1"/>
  <c r="S221" i="1"/>
  <c r="U221" i="1"/>
  <c r="AC221" i="1"/>
  <c r="AD221" i="1"/>
  <c r="AE221" i="1"/>
  <c r="CR221" i="1" s="1"/>
  <c r="AF221" i="1"/>
  <c r="AG221" i="1"/>
  <c r="AH221" i="1"/>
  <c r="AI221" i="1"/>
  <c r="CW221" i="1" s="1"/>
  <c r="V221" i="1" s="1"/>
  <c r="AJ221" i="1"/>
  <c r="CX221" i="1" s="1"/>
  <c r="W221" i="1" s="1"/>
  <c r="CT221" i="1"/>
  <c r="CU221" i="1"/>
  <c r="T221" i="1" s="1"/>
  <c r="CV221" i="1"/>
  <c r="GL221" i="1"/>
  <c r="GN221" i="1"/>
  <c r="GP221" i="1"/>
  <c r="GV221" i="1"/>
  <c r="HC221" i="1" s="1"/>
  <c r="GX221" i="1"/>
  <c r="I222" i="1"/>
  <c r="Q222" i="1"/>
  <c r="R222" i="1"/>
  <c r="W222" i="1"/>
  <c r="AC222" i="1"/>
  <c r="P222" i="1" s="1"/>
  <c r="AE222" i="1"/>
  <c r="AF222" i="1"/>
  <c r="AG222" i="1"/>
  <c r="CU222" i="1" s="1"/>
  <c r="T222" i="1" s="1"/>
  <c r="AH222" i="1"/>
  <c r="AI222" i="1"/>
  <c r="AJ222" i="1"/>
  <c r="CQ222" i="1"/>
  <c r="CV222" i="1"/>
  <c r="U222" i="1" s="1"/>
  <c r="CW222" i="1"/>
  <c r="V222" i="1" s="1"/>
  <c r="CX222" i="1"/>
  <c r="GL222" i="1"/>
  <c r="GN222" i="1"/>
  <c r="GP222" i="1"/>
  <c r="GV222" i="1"/>
  <c r="HC222" i="1"/>
  <c r="GX222" i="1" s="1"/>
  <c r="I223" i="1"/>
  <c r="S223" i="1" s="1"/>
  <c r="AB223" i="1"/>
  <c r="AC223" i="1"/>
  <c r="CQ223" i="1" s="1"/>
  <c r="AD223" i="1"/>
  <c r="AE223" i="1"/>
  <c r="AF223" i="1"/>
  <c r="AG223" i="1"/>
  <c r="CU223" i="1" s="1"/>
  <c r="AH223" i="1"/>
  <c r="CV223" i="1" s="1"/>
  <c r="AI223" i="1"/>
  <c r="CW223" i="1" s="1"/>
  <c r="AJ223" i="1"/>
  <c r="CR223" i="1"/>
  <c r="CS223" i="1"/>
  <c r="CT223" i="1"/>
  <c r="CX223" i="1"/>
  <c r="GL223" i="1"/>
  <c r="GN223" i="1"/>
  <c r="GP223" i="1"/>
  <c r="GV223" i="1"/>
  <c r="HC223" i="1" s="1"/>
  <c r="I224" i="1"/>
  <c r="S224" i="1"/>
  <c r="U224" i="1"/>
  <c r="AC224" i="1"/>
  <c r="P224" i="1" s="1"/>
  <c r="AD224" i="1"/>
  <c r="AE224" i="1"/>
  <c r="CR224" i="1" s="1"/>
  <c r="AF224" i="1"/>
  <c r="AG224" i="1"/>
  <c r="AH224" i="1"/>
  <c r="AI224" i="1"/>
  <c r="CW224" i="1" s="1"/>
  <c r="V224" i="1" s="1"/>
  <c r="AJ224" i="1"/>
  <c r="CX224" i="1" s="1"/>
  <c r="W224" i="1" s="1"/>
  <c r="CT224" i="1"/>
  <c r="CU224" i="1"/>
  <c r="T224" i="1" s="1"/>
  <c r="CV224" i="1"/>
  <c r="GL224" i="1"/>
  <c r="FR242" i="1" s="1"/>
  <c r="GN224" i="1"/>
  <c r="GP224" i="1"/>
  <c r="GV224" i="1"/>
  <c r="HC224" i="1" s="1"/>
  <c r="GX224" i="1"/>
  <c r="I225" i="1"/>
  <c r="Q225" i="1"/>
  <c r="R225" i="1"/>
  <c r="W225" i="1"/>
  <c r="AC225" i="1"/>
  <c r="P225" i="1" s="1"/>
  <c r="AE225" i="1"/>
  <c r="AF225" i="1"/>
  <c r="AG225" i="1"/>
  <c r="CU225" i="1" s="1"/>
  <c r="T225" i="1" s="1"/>
  <c r="AH225" i="1"/>
  <c r="AI225" i="1"/>
  <c r="AJ225" i="1"/>
  <c r="CQ225" i="1"/>
  <c r="CV225" i="1"/>
  <c r="U225" i="1" s="1"/>
  <c r="CW225" i="1"/>
  <c r="V225" i="1" s="1"/>
  <c r="CX225" i="1"/>
  <c r="GL225" i="1"/>
  <c r="GN225" i="1"/>
  <c r="GP225" i="1"/>
  <c r="GV225" i="1"/>
  <c r="HC225" i="1"/>
  <c r="GX225" i="1" s="1"/>
  <c r="I226" i="1"/>
  <c r="S226" i="1" s="1"/>
  <c r="AB226" i="1"/>
  <c r="AC226" i="1"/>
  <c r="CQ226" i="1" s="1"/>
  <c r="AD226" i="1"/>
  <c r="AE226" i="1"/>
  <c r="R226" i="1" s="1"/>
  <c r="AF226" i="1"/>
  <c r="AG226" i="1"/>
  <c r="CU226" i="1" s="1"/>
  <c r="T226" i="1" s="1"/>
  <c r="AH226" i="1"/>
  <c r="CV226" i="1" s="1"/>
  <c r="AI226" i="1"/>
  <c r="CW226" i="1" s="1"/>
  <c r="AJ226" i="1"/>
  <c r="CR226" i="1"/>
  <c r="CS226" i="1"/>
  <c r="CT226" i="1"/>
  <c r="CX226" i="1"/>
  <c r="W226" i="1" s="1"/>
  <c r="GL226" i="1"/>
  <c r="GN226" i="1"/>
  <c r="GP226" i="1"/>
  <c r="GV226" i="1"/>
  <c r="HC226" i="1" s="1"/>
  <c r="I227" i="1"/>
  <c r="S227" i="1"/>
  <c r="U227" i="1"/>
  <c r="V227" i="1"/>
  <c r="AC227" i="1"/>
  <c r="AD227" i="1"/>
  <c r="AE227" i="1"/>
  <c r="CR227" i="1" s="1"/>
  <c r="AF227" i="1"/>
  <c r="AG227" i="1"/>
  <c r="AH227" i="1"/>
  <c r="AI227" i="1"/>
  <c r="CW227" i="1" s="1"/>
  <c r="AJ227" i="1"/>
  <c r="CX227" i="1" s="1"/>
  <c r="W227" i="1" s="1"/>
  <c r="CT227" i="1"/>
  <c r="CU227" i="1"/>
  <c r="T227" i="1" s="1"/>
  <c r="CV227" i="1"/>
  <c r="GL227" i="1"/>
  <c r="GN227" i="1"/>
  <c r="GP227" i="1"/>
  <c r="GV227" i="1"/>
  <c r="HC227" i="1" s="1"/>
  <c r="GX227" i="1"/>
  <c r="I228" i="1"/>
  <c r="W228" i="1"/>
  <c r="AC228" i="1"/>
  <c r="P228" i="1" s="1"/>
  <c r="AE228" i="1"/>
  <c r="AF228" i="1"/>
  <c r="AG228" i="1"/>
  <c r="CU228" i="1" s="1"/>
  <c r="T228" i="1" s="1"/>
  <c r="AH228" i="1"/>
  <c r="AI228" i="1"/>
  <c r="AJ228" i="1"/>
  <c r="CQ228" i="1"/>
  <c r="CV228" i="1"/>
  <c r="U228" i="1" s="1"/>
  <c r="CW228" i="1"/>
  <c r="V228" i="1" s="1"/>
  <c r="CX228" i="1"/>
  <c r="GL228" i="1"/>
  <c r="GN228" i="1"/>
  <c r="GP228" i="1"/>
  <c r="GV228" i="1"/>
  <c r="HC228" i="1"/>
  <c r="GX228" i="1" s="1"/>
  <c r="D229" i="1"/>
  <c r="S229" i="1"/>
  <c r="T229" i="1"/>
  <c r="AB229" i="1"/>
  <c r="AC229" i="1"/>
  <c r="CQ229" i="1" s="1"/>
  <c r="AD229" i="1"/>
  <c r="AE229" i="1"/>
  <c r="Q229" i="1" s="1"/>
  <c r="AF229" i="1"/>
  <c r="AG229" i="1"/>
  <c r="CU229" i="1" s="1"/>
  <c r="AH229" i="1"/>
  <c r="CV229" i="1" s="1"/>
  <c r="U229" i="1" s="1"/>
  <c r="AI229" i="1"/>
  <c r="CW229" i="1" s="1"/>
  <c r="V229" i="1" s="1"/>
  <c r="AJ229" i="1"/>
  <c r="CR229" i="1"/>
  <c r="CS229" i="1"/>
  <c r="CT229" i="1"/>
  <c r="CX229" i="1"/>
  <c r="W229" i="1" s="1"/>
  <c r="GL229" i="1"/>
  <c r="GN229" i="1"/>
  <c r="GP229" i="1"/>
  <c r="GV229" i="1"/>
  <c r="HC229" i="1" s="1"/>
  <c r="GX229" i="1" s="1"/>
  <c r="D230" i="1"/>
  <c r="P230" i="1"/>
  <c r="U230" i="1"/>
  <c r="AC230" i="1"/>
  <c r="AD230" i="1"/>
  <c r="AE230" i="1"/>
  <c r="CR230" i="1" s="1"/>
  <c r="AF230" i="1"/>
  <c r="S230" i="1" s="1"/>
  <c r="AG230" i="1"/>
  <c r="AH230" i="1"/>
  <c r="AI230" i="1"/>
  <c r="CW230" i="1" s="1"/>
  <c r="V230" i="1" s="1"/>
  <c r="AJ230" i="1"/>
  <c r="CX230" i="1" s="1"/>
  <c r="W230" i="1" s="1"/>
  <c r="CT230" i="1"/>
  <c r="CU230" i="1"/>
  <c r="T230" i="1" s="1"/>
  <c r="CV230" i="1"/>
  <c r="GL230" i="1"/>
  <c r="GN230" i="1"/>
  <c r="GP230" i="1"/>
  <c r="GV230" i="1"/>
  <c r="HC230" i="1" s="1"/>
  <c r="GX230" i="1" s="1"/>
  <c r="I231" i="1"/>
  <c r="Q231" i="1"/>
  <c r="R231" i="1"/>
  <c r="W231" i="1"/>
  <c r="AC231" i="1"/>
  <c r="P231" i="1" s="1"/>
  <c r="FR231" i="1" s="1"/>
  <c r="AE231" i="1"/>
  <c r="AF231" i="1"/>
  <c r="AG231" i="1"/>
  <c r="CU231" i="1" s="1"/>
  <c r="T231" i="1" s="1"/>
  <c r="AH231" i="1"/>
  <c r="AI231" i="1"/>
  <c r="AJ231" i="1"/>
  <c r="CQ231" i="1"/>
  <c r="CV231" i="1"/>
  <c r="U231" i="1" s="1"/>
  <c r="CW231" i="1"/>
  <c r="V231" i="1" s="1"/>
  <c r="CX231" i="1"/>
  <c r="GL231" i="1"/>
  <c r="GN231" i="1"/>
  <c r="GO231" i="1"/>
  <c r="GP231" i="1"/>
  <c r="GV231" i="1"/>
  <c r="GX231" i="1"/>
  <c r="HC231" i="1"/>
  <c r="I232" i="1"/>
  <c r="Q232" i="1" s="1"/>
  <c r="R232" i="1"/>
  <c r="AC232" i="1"/>
  <c r="P232" i="1" s="1"/>
  <c r="AD232" i="1"/>
  <c r="AE232" i="1"/>
  <c r="AF232" i="1"/>
  <c r="AG232" i="1"/>
  <c r="CU232" i="1" s="1"/>
  <c r="T232" i="1" s="1"/>
  <c r="AH232" i="1"/>
  <c r="CV232" i="1" s="1"/>
  <c r="U232" i="1" s="1"/>
  <c r="AI232" i="1"/>
  <c r="AJ232" i="1"/>
  <c r="CQ232" i="1"/>
  <c r="CR232" i="1"/>
  <c r="CS232" i="1"/>
  <c r="CW232" i="1"/>
  <c r="V232" i="1" s="1"/>
  <c r="CX232" i="1"/>
  <c r="W232" i="1" s="1"/>
  <c r="GL232" i="1"/>
  <c r="GN232" i="1"/>
  <c r="FT242" i="1" s="1"/>
  <c r="GO232" i="1"/>
  <c r="GP232" i="1"/>
  <c r="GV232" i="1"/>
  <c r="HC232" i="1"/>
  <c r="GX232" i="1" s="1"/>
  <c r="D233" i="1"/>
  <c r="I233" i="1"/>
  <c r="K233" i="1"/>
  <c r="W233" i="1"/>
  <c r="AC233" i="1"/>
  <c r="P233" i="1" s="1"/>
  <c r="AE233" i="1"/>
  <c r="AF233" i="1"/>
  <c r="AG233" i="1"/>
  <c r="CU233" i="1" s="1"/>
  <c r="T233" i="1" s="1"/>
  <c r="AH233" i="1"/>
  <c r="AI233" i="1"/>
  <c r="AJ233" i="1"/>
  <c r="CQ233" i="1"/>
  <c r="CV233" i="1"/>
  <c r="U233" i="1" s="1"/>
  <c r="CW233" i="1"/>
  <c r="V233" i="1" s="1"/>
  <c r="CX233" i="1"/>
  <c r="GL233" i="1"/>
  <c r="GN233" i="1"/>
  <c r="GP233" i="1"/>
  <c r="GV233" i="1"/>
  <c r="HC233" i="1"/>
  <c r="GX233" i="1" s="1"/>
  <c r="D234" i="1"/>
  <c r="I234" i="1"/>
  <c r="K234" i="1"/>
  <c r="W234" i="1"/>
  <c r="AC234" i="1"/>
  <c r="P234" i="1" s="1"/>
  <c r="AE234" i="1"/>
  <c r="AF234" i="1"/>
  <c r="AG234" i="1"/>
  <c r="CU234" i="1" s="1"/>
  <c r="T234" i="1" s="1"/>
  <c r="AH234" i="1"/>
  <c r="AI234" i="1"/>
  <c r="AJ234" i="1"/>
  <c r="CQ234" i="1"/>
  <c r="CV234" i="1"/>
  <c r="U234" i="1" s="1"/>
  <c r="CW234" i="1"/>
  <c r="V234" i="1" s="1"/>
  <c r="CX234" i="1"/>
  <c r="GL234" i="1"/>
  <c r="GN234" i="1"/>
  <c r="GP234" i="1"/>
  <c r="GV234" i="1"/>
  <c r="HC234" i="1"/>
  <c r="GX234" i="1" s="1"/>
  <c r="I235" i="1"/>
  <c r="Q235" i="1" s="1"/>
  <c r="S235" i="1"/>
  <c r="AB235" i="1"/>
  <c r="AC235" i="1"/>
  <c r="CQ235" i="1" s="1"/>
  <c r="AD235" i="1"/>
  <c r="AE235" i="1"/>
  <c r="R235" i="1" s="1"/>
  <c r="AF235" i="1"/>
  <c r="AG235" i="1"/>
  <c r="CU235" i="1" s="1"/>
  <c r="T235" i="1" s="1"/>
  <c r="AH235" i="1"/>
  <c r="CV235" i="1" s="1"/>
  <c r="U235" i="1" s="1"/>
  <c r="AI235" i="1"/>
  <c r="CW235" i="1" s="1"/>
  <c r="V235" i="1" s="1"/>
  <c r="AJ235" i="1"/>
  <c r="CR235" i="1"/>
  <c r="CS235" i="1"/>
  <c r="CT235" i="1"/>
  <c r="CX235" i="1"/>
  <c r="W235" i="1" s="1"/>
  <c r="CY235" i="1"/>
  <c r="X235" i="1" s="1"/>
  <c r="GL235" i="1"/>
  <c r="GN235" i="1"/>
  <c r="GO235" i="1"/>
  <c r="GP235" i="1"/>
  <c r="GV235" i="1"/>
  <c r="HC235" i="1" s="1"/>
  <c r="GX235" i="1" s="1"/>
  <c r="I236" i="1"/>
  <c r="Q236" i="1" s="1"/>
  <c r="AC236" i="1"/>
  <c r="AD236" i="1"/>
  <c r="AE236" i="1"/>
  <c r="CR236" i="1" s="1"/>
  <c r="AF236" i="1"/>
  <c r="AG236" i="1"/>
  <c r="AH236" i="1"/>
  <c r="CV236" i="1" s="1"/>
  <c r="U236" i="1" s="1"/>
  <c r="AI236" i="1"/>
  <c r="CW236" i="1" s="1"/>
  <c r="AJ236" i="1"/>
  <c r="CX236" i="1" s="1"/>
  <c r="W236" i="1" s="1"/>
  <c r="CS236" i="1"/>
  <c r="CT236" i="1"/>
  <c r="CU236" i="1"/>
  <c r="GL236" i="1"/>
  <c r="GN236" i="1"/>
  <c r="GO236" i="1"/>
  <c r="GP236" i="1"/>
  <c r="GV236" i="1"/>
  <c r="HC236" i="1" s="1"/>
  <c r="D237" i="1"/>
  <c r="P237" i="1"/>
  <c r="U237" i="1"/>
  <c r="AC237" i="1"/>
  <c r="AD237" i="1"/>
  <c r="AE237" i="1"/>
  <c r="CR237" i="1" s="1"/>
  <c r="AF237" i="1"/>
  <c r="S237" i="1" s="1"/>
  <c r="AG237" i="1"/>
  <c r="AH237" i="1"/>
  <c r="AI237" i="1"/>
  <c r="CW237" i="1" s="1"/>
  <c r="V237" i="1" s="1"/>
  <c r="AJ237" i="1"/>
  <c r="CX237" i="1" s="1"/>
  <c r="W237" i="1" s="1"/>
  <c r="CT237" i="1"/>
  <c r="CU237" i="1"/>
  <c r="T237" i="1" s="1"/>
  <c r="CV237" i="1"/>
  <c r="GL237" i="1"/>
  <c r="GN237" i="1"/>
  <c r="GP237" i="1"/>
  <c r="GV237" i="1"/>
  <c r="HC237" i="1" s="1"/>
  <c r="GX237" i="1" s="1"/>
  <c r="D238" i="1"/>
  <c r="Q238" i="1"/>
  <c r="R238" i="1"/>
  <c r="W238" i="1"/>
  <c r="AC238" i="1"/>
  <c r="P238" i="1" s="1"/>
  <c r="AE238" i="1"/>
  <c r="AF238" i="1"/>
  <c r="AG238" i="1"/>
  <c r="CU238" i="1" s="1"/>
  <c r="T238" i="1" s="1"/>
  <c r="AH238" i="1"/>
  <c r="AI238" i="1"/>
  <c r="AJ238" i="1"/>
  <c r="CQ238" i="1"/>
  <c r="CV238" i="1"/>
  <c r="U238" i="1" s="1"/>
  <c r="CW238" i="1"/>
  <c r="V238" i="1" s="1"/>
  <c r="CX238" i="1"/>
  <c r="GL238" i="1"/>
  <c r="GN238" i="1"/>
  <c r="GP238" i="1"/>
  <c r="GV238" i="1"/>
  <c r="HC238" i="1"/>
  <c r="GX238" i="1" s="1"/>
  <c r="I239" i="1"/>
  <c r="Q239" i="1" s="1"/>
  <c r="AB239" i="1"/>
  <c r="AC239" i="1"/>
  <c r="CQ239" i="1" s="1"/>
  <c r="AD239" i="1"/>
  <c r="AE239" i="1"/>
  <c r="AF239" i="1"/>
  <c r="AG239" i="1"/>
  <c r="CU239" i="1" s="1"/>
  <c r="T239" i="1" s="1"/>
  <c r="AH239" i="1"/>
  <c r="CV239" i="1" s="1"/>
  <c r="U239" i="1" s="1"/>
  <c r="AI239" i="1"/>
  <c r="CW239" i="1" s="1"/>
  <c r="V239" i="1" s="1"/>
  <c r="AJ239" i="1"/>
  <c r="CR239" i="1"/>
  <c r="CS239" i="1"/>
  <c r="CT239" i="1"/>
  <c r="CX239" i="1"/>
  <c r="W239" i="1" s="1"/>
  <c r="GL239" i="1"/>
  <c r="GN239" i="1"/>
  <c r="GO239" i="1"/>
  <c r="GP239" i="1"/>
  <c r="GV239" i="1"/>
  <c r="HC239" i="1" s="1"/>
  <c r="GX239" i="1" s="1"/>
  <c r="I240" i="1"/>
  <c r="Q240" i="1" s="1"/>
  <c r="AC240" i="1"/>
  <c r="AD240" i="1"/>
  <c r="AE240" i="1"/>
  <c r="CR240" i="1" s="1"/>
  <c r="AF240" i="1"/>
  <c r="AG240" i="1"/>
  <c r="AH240" i="1"/>
  <c r="CV240" i="1" s="1"/>
  <c r="U240" i="1" s="1"/>
  <c r="AI240" i="1"/>
  <c r="CW240" i="1" s="1"/>
  <c r="V240" i="1" s="1"/>
  <c r="AJ240" i="1"/>
  <c r="CX240" i="1" s="1"/>
  <c r="W240" i="1" s="1"/>
  <c r="CS240" i="1"/>
  <c r="CT240" i="1"/>
  <c r="CU240" i="1"/>
  <c r="GL240" i="1"/>
  <c r="GN240" i="1"/>
  <c r="GO240" i="1"/>
  <c r="GP240" i="1"/>
  <c r="GV240" i="1"/>
  <c r="HC240" i="1" s="1"/>
  <c r="GX240" i="1" s="1"/>
  <c r="B242" i="1"/>
  <c r="B193" i="1" s="1"/>
  <c r="C242" i="1"/>
  <c r="C193" i="1" s="1"/>
  <c r="D242" i="1"/>
  <c r="D193" i="1" s="1"/>
  <c r="F242" i="1"/>
  <c r="F193" i="1" s="1"/>
  <c r="G242" i="1"/>
  <c r="G193" i="1" s="1"/>
  <c r="AO242" i="1"/>
  <c r="AO193" i="1" s="1"/>
  <c r="BX242" i="1"/>
  <c r="BX193" i="1" s="1"/>
  <c r="BZ242" i="1"/>
  <c r="CD242" i="1"/>
  <c r="CD193" i="1" s="1"/>
  <c r="CG242" i="1"/>
  <c r="CK242" i="1"/>
  <c r="CK193" i="1" s="1"/>
  <c r="CL242" i="1"/>
  <c r="CM242" i="1"/>
  <c r="FP242" i="1"/>
  <c r="FP193" i="1" s="1"/>
  <c r="GC242" i="1"/>
  <c r="GC193" i="1" s="1"/>
  <c r="GD242" i="1"/>
  <c r="GE242" i="1"/>
  <c r="GE193" i="1" s="1"/>
  <c r="F246" i="1"/>
  <c r="D272" i="1"/>
  <c r="E274" i="1"/>
  <c r="Z274" i="1"/>
  <c r="AA274" i="1"/>
  <c r="AM274" i="1"/>
  <c r="AN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R274" i="1"/>
  <c r="DS274" i="1"/>
  <c r="EE274" i="1"/>
  <c r="EF274" i="1"/>
  <c r="EW274" i="1"/>
  <c r="EX274" i="1"/>
  <c r="EY274" i="1"/>
  <c r="EZ274" i="1"/>
  <c r="FA274" i="1"/>
  <c r="FB274" i="1"/>
  <c r="FC274" i="1"/>
  <c r="FD274" i="1"/>
  <c r="FE274" i="1"/>
  <c r="FF274" i="1"/>
  <c r="FG274" i="1"/>
  <c r="FH274" i="1"/>
  <c r="FI274" i="1"/>
  <c r="FJ274" i="1"/>
  <c r="FK274" i="1"/>
  <c r="FL274" i="1"/>
  <c r="FM274" i="1"/>
  <c r="FN274" i="1"/>
  <c r="FO274" i="1"/>
  <c r="GF274" i="1"/>
  <c r="GG274" i="1"/>
  <c r="GH274" i="1"/>
  <c r="GI274" i="1"/>
  <c r="GJ274" i="1"/>
  <c r="GK274" i="1"/>
  <c r="GL274" i="1"/>
  <c r="GM274" i="1"/>
  <c r="GN274" i="1"/>
  <c r="GO274" i="1"/>
  <c r="GP274" i="1"/>
  <c r="GQ274" i="1"/>
  <c r="GR274" i="1"/>
  <c r="GS274" i="1"/>
  <c r="GT274" i="1"/>
  <c r="GU274" i="1"/>
  <c r="GV274" i="1"/>
  <c r="GW274" i="1"/>
  <c r="GX274" i="1"/>
  <c r="D276" i="1"/>
  <c r="I276" i="1"/>
  <c r="I282" i="1" s="1"/>
  <c r="Q282" i="1" s="1"/>
  <c r="K276" i="1"/>
  <c r="T276" i="1"/>
  <c r="AC276" i="1"/>
  <c r="AE276" i="1"/>
  <c r="AD276" i="1" s="1"/>
  <c r="AF276" i="1"/>
  <c r="S276" i="1" s="1"/>
  <c r="AG276" i="1"/>
  <c r="AH276" i="1"/>
  <c r="CV276" i="1" s="1"/>
  <c r="U276" i="1" s="1"/>
  <c r="AI276" i="1"/>
  <c r="CW276" i="1" s="1"/>
  <c r="V276" i="1" s="1"/>
  <c r="AJ276" i="1"/>
  <c r="CX276" i="1" s="1"/>
  <c r="W276" i="1" s="1"/>
  <c r="CR276" i="1"/>
  <c r="CS276" i="1"/>
  <c r="CT276" i="1"/>
  <c r="CU276" i="1"/>
  <c r="GL276" i="1"/>
  <c r="GN276" i="1"/>
  <c r="GP276" i="1"/>
  <c r="GV276" i="1"/>
  <c r="HC276" i="1" s="1"/>
  <c r="GX276" i="1" s="1"/>
  <c r="D277" i="1"/>
  <c r="I277" i="1"/>
  <c r="K277" i="1"/>
  <c r="S277" i="1"/>
  <c r="AB277" i="1"/>
  <c r="AC277" i="1"/>
  <c r="AD277" i="1"/>
  <c r="AE277" i="1"/>
  <c r="CR277" i="1" s="1"/>
  <c r="AF277" i="1"/>
  <c r="AG277" i="1"/>
  <c r="CU277" i="1" s="1"/>
  <c r="T277" i="1" s="1"/>
  <c r="AH277" i="1"/>
  <c r="CV277" i="1" s="1"/>
  <c r="U277" i="1" s="1"/>
  <c r="AI277" i="1"/>
  <c r="CW277" i="1" s="1"/>
  <c r="V277" i="1" s="1"/>
  <c r="AJ277" i="1"/>
  <c r="CS277" i="1"/>
  <c r="CT277" i="1"/>
  <c r="CX277" i="1"/>
  <c r="W277" i="1" s="1"/>
  <c r="GL277" i="1"/>
  <c r="GN277" i="1"/>
  <c r="GP277" i="1"/>
  <c r="GV277" i="1"/>
  <c r="HC277" i="1" s="1"/>
  <c r="GX277" i="1" s="1"/>
  <c r="AC278" i="1"/>
  <c r="CQ278" i="1" s="1"/>
  <c r="AE278" i="1"/>
  <c r="AD278" i="1" s="1"/>
  <c r="AF278" i="1"/>
  <c r="AG278" i="1"/>
  <c r="AH278" i="1"/>
  <c r="AI278" i="1"/>
  <c r="AJ278" i="1"/>
  <c r="CX278" i="1" s="1"/>
  <c r="CT278" i="1"/>
  <c r="CU278" i="1"/>
  <c r="CV278" i="1"/>
  <c r="CW278" i="1"/>
  <c r="GL278" i="1"/>
  <c r="GN278" i="1"/>
  <c r="GP278" i="1"/>
  <c r="GV278" i="1"/>
  <c r="HC278" i="1"/>
  <c r="I279" i="1"/>
  <c r="Q279" i="1" s="1"/>
  <c r="R279" i="1"/>
  <c r="S279" i="1"/>
  <c r="AC279" i="1"/>
  <c r="AD279" i="1"/>
  <c r="AE279" i="1"/>
  <c r="AF279" i="1"/>
  <c r="CT279" i="1" s="1"/>
  <c r="AG279" i="1"/>
  <c r="CU279" i="1" s="1"/>
  <c r="T279" i="1" s="1"/>
  <c r="AH279" i="1"/>
  <c r="CV279" i="1" s="1"/>
  <c r="U279" i="1" s="1"/>
  <c r="AI279" i="1"/>
  <c r="AJ279" i="1"/>
  <c r="CQ279" i="1"/>
  <c r="CR279" i="1"/>
  <c r="CS279" i="1"/>
  <c r="CW279" i="1"/>
  <c r="V279" i="1" s="1"/>
  <c r="CX279" i="1"/>
  <c r="W279" i="1" s="1"/>
  <c r="GL279" i="1"/>
  <c r="GN279" i="1"/>
  <c r="GP279" i="1"/>
  <c r="GV279" i="1"/>
  <c r="HC279" i="1" s="1"/>
  <c r="GX279" i="1" s="1"/>
  <c r="I280" i="1"/>
  <c r="AB280" i="1"/>
  <c r="AC280" i="1"/>
  <c r="AD280" i="1"/>
  <c r="AE280" i="1"/>
  <c r="CR280" i="1" s="1"/>
  <c r="AF280" i="1"/>
  <c r="AG280" i="1"/>
  <c r="CU280" i="1" s="1"/>
  <c r="T280" i="1" s="1"/>
  <c r="AH280" i="1"/>
  <c r="CV280" i="1" s="1"/>
  <c r="U280" i="1" s="1"/>
  <c r="AI280" i="1"/>
  <c r="CW280" i="1" s="1"/>
  <c r="AJ280" i="1"/>
  <c r="CS280" i="1"/>
  <c r="CT280" i="1"/>
  <c r="CX280" i="1"/>
  <c r="W280" i="1" s="1"/>
  <c r="GL280" i="1"/>
  <c r="GN280" i="1"/>
  <c r="GP280" i="1"/>
  <c r="GV280" i="1"/>
  <c r="HC280" i="1" s="1"/>
  <c r="GX280" i="1" s="1"/>
  <c r="I281" i="1"/>
  <c r="P281" i="1"/>
  <c r="Q281" i="1"/>
  <c r="S281" i="1"/>
  <c r="V281" i="1"/>
  <c r="W281" i="1"/>
  <c r="AC281" i="1"/>
  <c r="CQ281" i="1" s="1"/>
  <c r="AD281" i="1"/>
  <c r="AE281" i="1"/>
  <c r="AF281" i="1"/>
  <c r="AG281" i="1"/>
  <c r="AH281" i="1"/>
  <c r="AI281" i="1"/>
  <c r="AJ281" i="1"/>
  <c r="CX281" i="1" s="1"/>
  <c r="CP281" i="1"/>
  <c r="O281" i="1" s="1"/>
  <c r="CT281" i="1"/>
  <c r="CU281" i="1"/>
  <c r="T281" i="1" s="1"/>
  <c r="CV281" i="1"/>
  <c r="U281" i="1" s="1"/>
  <c r="CW281" i="1"/>
  <c r="GL281" i="1"/>
  <c r="GN281" i="1"/>
  <c r="GP281" i="1"/>
  <c r="GV281" i="1"/>
  <c r="GX281" i="1"/>
  <c r="HC281" i="1"/>
  <c r="AC282" i="1"/>
  <c r="AB282" i="1" s="1"/>
  <c r="AD282" i="1"/>
  <c r="AE282" i="1"/>
  <c r="AF282" i="1"/>
  <c r="CT282" i="1" s="1"/>
  <c r="AG282" i="1"/>
  <c r="CU282" i="1" s="1"/>
  <c r="AH282" i="1"/>
  <c r="CV282" i="1" s="1"/>
  <c r="U282" i="1" s="1"/>
  <c r="AI282" i="1"/>
  <c r="AJ282" i="1"/>
  <c r="CQ282" i="1"/>
  <c r="CR282" i="1"/>
  <c r="CS282" i="1"/>
  <c r="CW282" i="1"/>
  <c r="V282" i="1" s="1"/>
  <c r="CX282" i="1"/>
  <c r="W282" i="1" s="1"/>
  <c r="GL282" i="1"/>
  <c r="GN282" i="1"/>
  <c r="GP282" i="1"/>
  <c r="GV282" i="1"/>
  <c r="HC282" i="1" s="1"/>
  <c r="GX282" i="1" s="1"/>
  <c r="I283" i="1"/>
  <c r="AC283" i="1"/>
  <c r="AD283" i="1"/>
  <c r="AE283" i="1"/>
  <c r="CR283" i="1" s="1"/>
  <c r="AF283" i="1"/>
  <c r="AG283" i="1"/>
  <c r="CU283" i="1" s="1"/>
  <c r="AH283" i="1"/>
  <c r="CV283" i="1" s="1"/>
  <c r="AI283" i="1"/>
  <c r="CW283" i="1" s="1"/>
  <c r="AJ283" i="1"/>
  <c r="CS283" i="1"/>
  <c r="CT283" i="1"/>
  <c r="CX283" i="1"/>
  <c r="GL283" i="1"/>
  <c r="GN283" i="1"/>
  <c r="GP283" i="1"/>
  <c r="GV283" i="1"/>
  <c r="HC283" i="1" s="1"/>
  <c r="D284" i="1"/>
  <c r="I284" i="1"/>
  <c r="Q284" i="1" s="1"/>
  <c r="K284" i="1"/>
  <c r="T284" i="1"/>
  <c r="U284" i="1"/>
  <c r="AC284" i="1"/>
  <c r="AE284" i="1"/>
  <c r="AD284" i="1" s="1"/>
  <c r="AF284" i="1"/>
  <c r="S284" i="1" s="1"/>
  <c r="AG284" i="1"/>
  <c r="AH284" i="1"/>
  <c r="CV284" i="1" s="1"/>
  <c r="AI284" i="1"/>
  <c r="CW284" i="1" s="1"/>
  <c r="V284" i="1" s="1"/>
  <c r="AJ284" i="1"/>
  <c r="CX284" i="1" s="1"/>
  <c r="W284" i="1" s="1"/>
  <c r="CR284" i="1"/>
  <c r="CS284" i="1"/>
  <c r="CT284" i="1"/>
  <c r="CU284" i="1"/>
  <c r="GL284" i="1"/>
  <c r="GN284" i="1"/>
  <c r="GP284" i="1"/>
  <c r="GV284" i="1"/>
  <c r="HC284" i="1" s="1"/>
  <c r="GX284" i="1" s="1"/>
  <c r="D285" i="1"/>
  <c r="I285" i="1"/>
  <c r="K285" i="1"/>
  <c r="S285" i="1"/>
  <c r="T285" i="1"/>
  <c r="AC285" i="1"/>
  <c r="AD285" i="1"/>
  <c r="AE285" i="1"/>
  <c r="CR285" i="1" s="1"/>
  <c r="AF285" i="1"/>
  <c r="AG285" i="1"/>
  <c r="CU285" i="1" s="1"/>
  <c r="AH285" i="1"/>
  <c r="CV285" i="1" s="1"/>
  <c r="U285" i="1" s="1"/>
  <c r="AI285" i="1"/>
  <c r="CW285" i="1" s="1"/>
  <c r="V285" i="1" s="1"/>
  <c r="AJ285" i="1"/>
  <c r="CS285" i="1"/>
  <c r="CT285" i="1"/>
  <c r="CX285" i="1"/>
  <c r="W285" i="1" s="1"/>
  <c r="GL285" i="1"/>
  <c r="GN285" i="1"/>
  <c r="GP285" i="1"/>
  <c r="GV285" i="1"/>
  <c r="HC285" i="1" s="1"/>
  <c r="GX285" i="1" s="1"/>
  <c r="D286" i="1"/>
  <c r="I286" i="1"/>
  <c r="Q286" i="1" s="1"/>
  <c r="K286" i="1"/>
  <c r="T286" i="1"/>
  <c r="U286" i="1"/>
  <c r="AC286" i="1"/>
  <c r="AE286" i="1"/>
  <c r="AD286" i="1" s="1"/>
  <c r="AF286" i="1"/>
  <c r="S286" i="1" s="1"/>
  <c r="AG286" i="1"/>
  <c r="AH286" i="1"/>
  <c r="CV286" i="1" s="1"/>
  <c r="AI286" i="1"/>
  <c r="CW286" i="1" s="1"/>
  <c r="V286" i="1" s="1"/>
  <c r="AJ286" i="1"/>
  <c r="CX286" i="1" s="1"/>
  <c r="W286" i="1" s="1"/>
  <c r="CR286" i="1"/>
  <c r="CS286" i="1"/>
  <c r="CT286" i="1"/>
  <c r="CU286" i="1"/>
  <c r="GL286" i="1"/>
  <c r="GN286" i="1"/>
  <c r="GP286" i="1"/>
  <c r="GV286" i="1"/>
  <c r="HC286" i="1" s="1"/>
  <c r="GX286" i="1" s="1"/>
  <c r="D287" i="1"/>
  <c r="I287" i="1"/>
  <c r="K287" i="1"/>
  <c r="S287" i="1"/>
  <c r="AB287" i="1"/>
  <c r="AC287" i="1"/>
  <c r="AD287" i="1"/>
  <c r="AE287" i="1"/>
  <c r="CR287" i="1" s="1"/>
  <c r="AF287" i="1"/>
  <c r="AG287" i="1"/>
  <c r="CU287" i="1" s="1"/>
  <c r="T287" i="1" s="1"/>
  <c r="AH287" i="1"/>
  <c r="CV287" i="1" s="1"/>
  <c r="U287" i="1" s="1"/>
  <c r="AI287" i="1"/>
  <c r="CW287" i="1" s="1"/>
  <c r="V287" i="1" s="1"/>
  <c r="AJ287" i="1"/>
  <c r="CS287" i="1"/>
  <c r="CT287" i="1"/>
  <c r="CX287" i="1"/>
  <c r="W287" i="1" s="1"/>
  <c r="GL287" i="1"/>
  <c r="GN287" i="1"/>
  <c r="GP287" i="1"/>
  <c r="GV287" i="1"/>
  <c r="HC287" i="1" s="1"/>
  <c r="GX287" i="1" s="1"/>
  <c r="D288" i="1"/>
  <c r="I288" i="1"/>
  <c r="K288" i="1"/>
  <c r="T288" i="1"/>
  <c r="AB288" i="1"/>
  <c r="AC288" i="1"/>
  <c r="AE288" i="1"/>
  <c r="AD288" i="1" s="1"/>
  <c r="AF288" i="1"/>
  <c r="AG288" i="1"/>
  <c r="AH288" i="1"/>
  <c r="CV288" i="1" s="1"/>
  <c r="U288" i="1" s="1"/>
  <c r="AI288" i="1"/>
  <c r="CW288" i="1" s="1"/>
  <c r="V288" i="1" s="1"/>
  <c r="AJ288" i="1"/>
  <c r="CX288" i="1" s="1"/>
  <c r="W288" i="1" s="1"/>
  <c r="CR288" i="1"/>
  <c r="CS288" i="1"/>
  <c r="CT288" i="1"/>
  <c r="CU288" i="1"/>
  <c r="GL288" i="1"/>
  <c r="GN288" i="1"/>
  <c r="GP288" i="1"/>
  <c r="GV288" i="1"/>
  <c r="HC288" i="1" s="1"/>
  <c r="GX288" i="1" s="1"/>
  <c r="D289" i="1"/>
  <c r="I289" i="1"/>
  <c r="K289" i="1"/>
  <c r="S289" i="1"/>
  <c r="AB289" i="1"/>
  <c r="AC289" i="1"/>
  <c r="AD289" i="1"/>
  <c r="AE289" i="1"/>
  <c r="CR289" i="1" s="1"/>
  <c r="AF289" i="1"/>
  <c r="AG289" i="1"/>
  <c r="CU289" i="1" s="1"/>
  <c r="T289" i="1" s="1"/>
  <c r="AH289" i="1"/>
  <c r="CV289" i="1" s="1"/>
  <c r="U289" i="1" s="1"/>
  <c r="AI289" i="1"/>
  <c r="CW289" i="1" s="1"/>
  <c r="V289" i="1" s="1"/>
  <c r="AJ289" i="1"/>
  <c r="CS289" i="1"/>
  <c r="CT289" i="1"/>
  <c r="CX289" i="1"/>
  <c r="W289" i="1" s="1"/>
  <c r="GL289" i="1"/>
  <c r="GN289" i="1"/>
  <c r="GP289" i="1"/>
  <c r="GV289" i="1"/>
  <c r="HC289" i="1" s="1"/>
  <c r="GX289" i="1" s="1"/>
  <c r="AC290" i="1"/>
  <c r="AD290" i="1"/>
  <c r="AE290" i="1"/>
  <c r="AF290" i="1"/>
  <c r="AG290" i="1"/>
  <c r="AH290" i="1"/>
  <c r="AI290" i="1"/>
  <c r="AJ290" i="1"/>
  <c r="CX290" i="1" s="1"/>
  <c r="CT290" i="1"/>
  <c r="CU290" i="1"/>
  <c r="CV290" i="1"/>
  <c r="CW290" i="1"/>
  <c r="GL290" i="1"/>
  <c r="GN290" i="1"/>
  <c r="GP290" i="1"/>
  <c r="GV290" i="1"/>
  <c r="HC290" i="1"/>
  <c r="I291" i="1"/>
  <c r="Q291" i="1" s="1"/>
  <c r="R291" i="1"/>
  <c r="S291" i="1"/>
  <c r="AC291" i="1"/>
  <c r="AD291" i="1"/>
  <c r="AE291" i="1"/>
  <c r="AF291" i="1"/>
  <c r="CT291" i="1" s="1"/>
  <c r="AG291" i="1"/>
  <c r="CU291" i="1" s="1"/>
  <c r="T291" i="1" s="1"/>
  <c r="AH291" i="1"/>
  <c r="CV291" i="1" s="1"/>
  <c r="U291" i="1" s="1"/>
  <c r="AI291" i="1"/>
  <c r="AJ291" i="1"/>
  <c r="CQ291" i="1"/>
  <c r="CR291" i="1"/>
  <c r="CS291" i="1"/>
  <c r="CW291" i="1"/>
  <c r="V291" i="1" s="1"/>
  <c r="CX291" i="1"/>
  <c r="W291" i="1" s="1"/>
  <c r="GL291" i="1"/>
  <c r="GN291" i="1"/>
  <c r="GP291" i="1"/>
  <c r="GV291" i="1"/>
  <c r="HC291" i="1" s="1"/>
  <c r="GX291" i="1" s="1"/>
  <c r="D292" i="1"/>
  <c r="I292" i="1"/>
  <c r="K292" i="1"/>
  <c r="S292" i="1"/>
  <c r="AC292" i="1"/>
  <c r="AE292" i="1"/>
  <c r="AD292" i="1" s="1"/>
  <c r="AB292" i="1" s="1"/>
  <c r="AF292" i="1"/>
  <c r="CT292" i="1" s="1"/>
  <c r="AG292" i="1"/>
  <c r="CU292" i="1" s="1"/>
  <c r="T292" i="1" s="1"/>
  <c r="AH292" i="1"/>
  <c r="AI292" i="1"/>
  <c r="AJ292" i="1"/>
  <c r="CQ292" i="1"/>
  <c r="CS292" i="1"/>
  <c r="CV292" i="1"/>
  <c r="U292" i="1" s="1"/>
  <c r="CW292" i="1"/>
  <c r="CX292" i="1"/>
  <c r="GL292" i="1"/>
  <c r="GN292" i="1"/>
  <c r="GP292" i="1"/>
  <c r="GV292" i="1"/>
  <c r="HC292" i="1"/>
  <c r="D293" i="1"/>
  <c r="I293" i="1"/>
  <c r="K293" i="1"/>
  <c r="R293" i="1"/>
  <c r="T293" i="1"/>
  <c r="AC293" i="1"/>
  <c r="AB293" i="1" s="1"/>
  <c r="AE293" i="1"/>
  <c r="AD293" i="1" s="1"/>
  <c r="AF293" i="1"/>
  <c r="CT293" i="1" s="1"/>
  <c r="AG293" i="1"/>
  <c r="CU293" i="1" s="1"/>
  <c r="AH293" i="1"/>
  <c r="CV293" i="1" s="1"/>
  <c r="U293" i="1" s="1"/>
  <c r="AI293" i="1"/>
  <c r="AJ293" i="1"/>
  <c r="CQ293" i="1"/>
  <c r="CR293" i="1"/>
  <c r="CS293" i="1"/>
  <c r="CW293" i="1"/>
  <c r="V293" i="1" s="1"/>
  <c r="CX293" i="1"/>
  <c r="W293" i="1" s="1"/>
  <c r="GL293" i="1"/>
  <c r="GN293" i="1"/>
  <c r="GP293" i="1"/>
  <c r="GV293" i="1"/>
  <c r="HC293" i="1" s="1"/>
  <c r="GX293" i="1" s="1"/>
  <c r="I294" i="1"/>
  <c r="Q294" i="1" s="1"/>
  <c r="S294" i="1"/>
  <c r="T294" i="1"/>
  <c r="AC294" i="1"/>
  <c r="CQ294" i="1" s="1"/>
  <c r="AD294" i="1"/>
  <c r="AE294" i="1"/>
  <c r="CR294" i="1" s="1"/>
  <c r="AF294" i="1"/>
  <c r="AG294" i="1"/>
  <c r="AH294" i="1"/>
  <c r="CV294" i="1" s="1"/>
  <c r="U294" i="1" s="1"/>
  <c r="AI294" i="1"/>
  <c r="CW294" i="1" s="1"/>
  <c r="AJ294" i="1"/>
  <c r="CS294" i="1"/>
  <c r="CT294" i="1"/>
  <c r="CU294" i="1"/>
  <c r="CX294" i="1"/>
  <c r="GL294" i="1"/>
  <c r="GN294" i="1"/>
  <c r="GP294" i="1"/>
  <c r="GV294" i="1"/>
  <c r="HC294" i="1" s="1"/>
  <c r="GX294" i="1" s="1"/>
  <c r="AC295" i="1"/>
  <c r="AE295" i="1"/>
  <c r="AF295" i="1"/>
  <c r="AG295" i="1"/>
  <c r="AH295" i="1"/>
  <c r="AI295" i="1"/>
  <c r="AJ295" i="1"/>
  <c r="CX295" i="1" s="1"/>
  <c r="CQ295" i="1"/>
  <c r="CT295" i="1"/>
  <c r="CU295" i="1"/>
  <c r="CV295" i="1"/>
  <c r="CW295" i="1"/>
  <c r="GL295" i="1"/>
  <c r="GN295" i="1"/>
  <c r="GP295" i="1"/>
  <c r="GV295" i="1"/>
  <c r="HC295" i="1"/>
  <c r="AC296" i="1"/>
  <c r="AE296" i="1"/>
  <c r="AD296" i="1" s="1"/>
  <c r="AB296" i="1" s="1"/>
  <c r="AF296" i="1"/>
  <c r="CT296" i="1" s="1"/>
  <c r="AG296" i="1"/>
  <c r="CU296" i="1" s="1"/>
  <c r="AH296" i="1"/>
  <c r="CV296" i="1" s="1"/>
  <c r="AI296" i="1"/>
  <c r="AJ296" i="1"/>
  <c r="CQ296" i="1"/>
  <c r="CR296" i="1"/>
  <c r="CS296" i="1"/>
  <c r="CW296" i="1"/>
  <c r="CX296" i="1"/>
  <c r="GL296" i="1"/>
  <c r="GN296" i="1"/>
  <c r="GP296" i="1"/>
  <c r="GV296" i="1"/>
  <c r="HC296" i="1" s="1"/>
  <c r="I297" i="1"/>
  <c r="Q297" i="1" s="1"/>
  <c r="P297" i="1"/>
  <c r="S297" i="1"/>
  <c r="U297" i="1"/>
  <c r="AC297" i="1"/>
  <c r="CQ297" i="1" s="1"/>
  <c r="AD297" i="1"/>
  <c r="AB297" i="1" s="1"/>
  <c r="AE297" i="1"/>
  <c r="CR297" i="1" s="1"/>
  <c r="AF297" i="1"/>
  <c r="AG297" i="1"/>
  <c r="AH297" i="1"/>
  <c r="CV297" i="1" s="1"/>
  <c r="AI297" i="1"/>
  <c r="CW297" i="1" s="1"/>
  <c r="AJ297" i="1"/>
  <c r="CS297" i="1"/>
  <c r="CT297" i="1"/>
  <c r="CU297" i="1"/>
  <c r="T297" i="1" s="1"/>
  <c r="CX297" i="1"/>
  <c r="W297" i="1" s="1"/>
  <c r="GL297" i="1"/>
  <c r="GN297" i="1"/>
  <c r="GP297" i="1"/>
  <c r="GV297" i="1"/>
  <c r="HC297" i="1" s="1"/>
  <c r="GX297" i="1" s="1"/>
  <c r="AC298" i="1"/>
  <c r="AD298" i="1"/>
  <c r="AE298" i="1"/>
  <c r="AF298" i="1"/>
  <c r="AG298" i="1"/>
  <c r="AH298" i="1"/>
  <c r="AI298" i="1"/>
  <c r="AJ298" i="1"/>
  <c r="CX298" i="1" s="1"/>
  <c r="CT298" i="1"/>
  <c r="CU298" i="1"/>
  <c r="CV298" i="1"/>
  <c r="CW298" i="1"/>
  <c r="GL298" i="1"/>
  <c r="GN298" i="1"/>
  <c r="GP298" i="1"/>
  <c r="GV298" i="1"/>
  <c r="HC298" i="1" s="1"/>
  <c r="AC299" i="1"/>
  <c r="AE299" i="1"/>
  <c r="AD299" i="1" s="1"/>
  <c r="AB299" i="1" s="1"/>
  <c r="AF299" i="1"/>
  <c r="CT299" i="1" s="1"/>
  <c r="AG299" i="1"/>
  <c r="CU299" i="1" s="1"/>
  <c r="AH299" i="1"/>
  <c r="CV299" i="1" s="1"/>
  <c r="AI299" i="1"/>
  <c r="AJ299" i="1"/>
  <c r="CQ299" i="1"/>
  <c r="CR299" i="1"/>
  <c r="CS299" i="1"/>
  <c r="CW299" i="1"/>
  <c r="CX299" i="1"/>
  <c r="GL299" i="1"/>
  <c r="GN299" i="1"/>
  <c r="GP299" i="1"/>
  <c r="GV299" i="1"/>
  <c r="HC299" i="1" s="1"/>
  <c r="AC300" i="1"/>
  <c r="CQ300" i="1" s="1"/>
  <c r="AD300" i="1"/>
  <c r="AE300" i="1"/>
  <c r="CR300" i="1" s="1"/>
  <c r="AF300" i="1"/>
  <c r="AG300" i="1"/>
  <c r="CU300" i="1" s="1"/>
  <c r="AH300" i="1"/>
  <c r="CV300" i="1" s="1"/>
  <c r="AI300" i="1"/>
  <c r="CW300" i="1" s="1"/>
  <c r="AJ300" i="1"/>
  <c r="CS300" i="1"/>
  <c r="CT300" i="1"/>
  <c r="CX300" i="1"/>
  <c r="GL300" i="1"/>
  <c r="GN300" i="1"/>
  <c r="GP300" i="1"/>
  <c r="GV300" i="1"/>
  <c r="HC300" i="1" s="1"/>
  <c r="AC301" i="1"/>
  <c r="AE301" i="1"/>
  <c r="AF301" i="1"/>
  <c r="AG301" i="1"/>
  <c r="AH301" i="1"/>
  <c r="AI301" i="1"/>
  <c r="AJ301" i="1"/>
  <c r="CX301" i="1" s="1"/>
  <c r="CT301" i="1"/>
  <c r="CU301" i="1"/>
  <c r="CV301" i="1"/>
  <c r="CW301" i="1"/>
  <c r="GL301" i="1"/>
  <c r="GN301" i="1"/>
  <c r="GP301" i="1"/>
  <c r="GV301" i="1"/>
  <c r="HC301" i="1" s="1"/>
  <c r="AC302" i="1"/>
  <c r="AE302" i="1"/>
  <c r="AD302" i="1" s="1"/>
  <c r="AF302" i="1"/>
  <c r="AG302" i="1"/>
  <c r="CU302" i="1" s="1"/>
  <c r="AH302" i="1"/>
  <c r="CV302" i="1" s="1"/>
  <c r="AI302" i="1"/>
  <c r="AJ302" i="1"/>
  <c r="CQ302" i="1"/>
  <c r="CR302" i="1"/>
  <c r="CS302" i="1"/>
  <c r="CW302" i="1"/>
  <c r="CX302" i="1"/>
  <c r="GL302" i="1"/>
  <c r="GN302" i="1"/>
  <c r="GP302" i="1"/>
  <c r="GV302" i="1"/>
  <c r="HC302" i="1" s="1"/>
  <c r="I303" i="1"/>
  <c r="AC303" i="1"/>
  <c r="AD303" i="1"/>
  <c r="AE303" i="1"/>
  <c r="CR303" i="1" s="1"/>
  <c r="AF303" i="1"/>
  <c r="AG303" i="1"/>
  <c r="AH303" i="1"/>
  <c r="CV303" i="1" s="1"/>
  <c r="AI303" i="1"/>
  <c r="CW303" i="1" s="1"/>
  <c r="AJ303" i="1"/>
  <c r="CS303" i="1"/>
  <c r="CT303" i="1"/>
  <c r="CU303" i="1"/>
  <c r="CX303" i="1"/>
  <c r="GL303" i="1"/>
  <c r="GN303" i="1"/>
  <c r="GP303" i="1"/>
  <c r="GV303" i="1"/>
  <c r="HC303" i="1" s="1"/>
  <c r="GX303" i="1" s="1"/>
  <c r="AC304" i="1"/>
  <c r="AE304" i="1"/>
  <c r="AD304" i="1" s="1"/>
  <c r="AF304" i="1"/>
  <c r="AG304" i="1"/>
  <c r="AH304" i="1"/>
  <c r="AI304" i="1"/>
  <c r="AJ304" i="1"/>
  <c r="CX304" i="1" s="1"/>
  <c r="CT304" i="1"/>
  <c r="CU304" i="1"/>
  <c r="CV304" i="1"/>
  <c r="CW304" i="1"/>
  <c r="GL304" i="1"/>
  <c r="GN304" i="1"/>
  <c r="GP304" i="1"/>
  <c r="GV304" i="1"/>
  <c r="HC304" i="1"/>
  <c r="I305" i="1"/>
  <c r="Q305" i="1" s="1"/>
  <c r="R305" i="1"/>
  <c r="S305" i="1"/>
  <c r="T305" i="1"/>
  <c r="AB305" i="1"/>
  <c r="AC305" i="1"/>
  <c r="P305" i="1" s="1"/>
  <c r="CP305" i="1" s="1"/>
  <c r="O305" i="1" s="1"/>
  <c r="AE305" i="1"/>
  <c r="AD305" i="1" s="1"/>
  <c r="AF305" i="1"/>
  <c r="CT305" i="1" s="1"/>
  <c r="AG305" i="1"/>
  <c r="CU305" i="1" s="1"/>
  <c r="AH305" i="1"/>
  <c r="CV305" i="1" s="1"/>
  <c r="U305" i="1" s="1"/>
  <c r="AI305" i="1"/>
  <c r="AJ305" i="1"/>
  <c r="CQ305" i="1"/>
  <c r="CR305" i="1"/>
  <c r="CS305" i="1"/>
  <c r="CW305" i="1"/>
  <c r="V305" i="1" s="1"/>
  <c r="CX305" i="1"/>
  <c r="W305" i="1" s="1"/>
  <c r="GL305" i="1"/>
  <c r="GN305" i="1"/>
  <c r="GP305" i="1"/>
  <c r="GV305" i="1"/>
  <c r="HC305" i="1" s="1"/>
  <c r="GX305" i="1" s="1"/>
  <c r="D306" i="1"/>
  <c r="I306" i="1"/>
  <c r="I308" i="1" s="1"/>
  <c r="K306" i="1"/>
  <c r="Q306" i="1"/>
  <c r="R306" i="1"/>
  <c r="T306" i="1"/>
  <c r="AB306" i="1"/>
  <c r="AC306" i="1"/>
  <c r="P306" i="1" s="1"/>
  <c r="AE306" i="1"/>
  <c r="AD306" i="1" s="1"/>
  <c r="AF306" i="1"/>
  <c r="CT306" i="1" s="1"/>
  <c r="AG306" i="1"/>
  <c r="CU306" i="1" s="1"/>
  <c r="AH306" i="1"/>
  <c r="AI306" i="1"/>
  <c r="AJ306" i="1"/>
  <c r="CQ306" i="1"/>
  <c r="CV306" i="1"/>
  <c r="U306" i="1" s="1"/>
  <c r="CW306" i="1"/>
  <c r="V306" i="1" s="1"/>
  <c r="CX306" i="1"/>
  <c r="W306" i="1" s="1"/>
  <c r="GL306" i="1"/>
  <c r="GN306" i="1"/>
  <c r="GP306" i="1"/>
  <c r="GV306" i="1"/>
  <c r="HC306" i="1"/>
  <c r="D307" i="1"/>
  <c r="I307" i="1"/>
  <c r="Q307" i="1" s="1"/>
  <c r="K307" i="1"/>
  <c r="R307" i="1"/>
  <c r="S307" i="1"/>
  <c r="T307" i="1"/>
  <c r="AB307" i="1"/>
  <c r="AC307" i="1"/>
  <c r="P307" i="1" s="1"/>
  <c r="CP307" i="1" s="1"/>
  <c r="O307" i="1" s="1"/>
  <c r="AE307" i="1"/>
  <c r="AD307" i="1" s="1"/>
  <c r="AF307" i="1"/>
  <c r="CT307" i="1" s="1"/>
  <c r="AG307" i="1"/>
  <c r="CU307" i="1" s="1"/>
  <c r="AH307" i="1"/>
  <c r="AI307" i="1"/>
  <c r="AJ307" i="1"/>
  <c r="CQ307" i="1"/>
  <c r="CR307" i="1"/>
  <c r="CS307" i="1"/>
  <c r="CV307" i="1"/>
  <c r="U307" i="1" s="1"/>
  <c r="CW307" i="1"/>
  <c r="V307" i="1" s="1"/>
  <c r="CX307" i="1"/>
  <c r="GL307" i="1"/>
  <c r="GN307" i="1"/>
  <c r="GP307" i="1"/>
  <c r="GV307" i="1"/>
  <c r="HC307" i="1"/>
  <c r="P308" i="1"/>
  <c r="AB308" i="1"/>
  <c r="AC308" i="1"/>
  <c r="CQ308" i="1" s="1"/>
  <c r="AD308" i="1"/>
  <c r="AE308" i="1"/>
  <c r="AF308" i="1"/>
  <c r="AG308" i="1"/>
  <c r="CU308" i="1" s="1"/>
  <c r="AH308" i="1"/>
  <c r="AI308" i="1"/>
  <c r="CW308" i="1" s="1"/>
  <c r="V308" i="1" s="1"/>
  <c r="AJ308" i="1"/>
  <c r="CR308" i="1"/>
  <c r="CS308" i="1"/>
  <c r="CT308" i="1"/>
  <c r="CV308" i="1"/>
  <c r="CX308" i="1"/>
  <c r="W308" i="1" s="1"/>
  <c r="GL308" i="1"/>
  <c r="GN308" i="1"/>
  <c r="GP308" i="1"/>
  <c r="GV308" i="1"/>
  <c r="HC308" i="1" s="1"/>
  <c r="GX308" i="1" s="1"/>
  <c r="AC309" i="1"/>
  <c r="AD309" i="1"/>
  <c r="AE309" i="1"/>
  <c r="CS309" i="1" s="1"/>
  <c r="AF309" i="1"/>
  <c r="AG309" i="1"/>
  <c r="AH309" i="1"/>
  <c r="CV309" i="1" s="1"/>
  <c r="AI309" i="1"/>
  <c r="CW309" i="1" s="1"/>
  <c r="AJ309" i="1"/>
  <c r="CX309" i="1" s="1"/>
  <c r="CR309" i="1"/>
  <c r="CT309" i="1"/>
  <c r="CU309" i="1"/>
  <c r="GL309" i="1"/>
  <c r="GN309" i="1"/>
  <c r="GP309" i="1"/>
  <c r="GV309" i="1"/>
  <c r="HC309" i="1" s="1"/>
  <c r="I310" i="1"/>
  <c r="Q310" i="1"/>
  <c r="R310" i="1"/>
  <c r="W310" i="1"/>
  <c r="AC310" i="1"/>
  <c r="P310" i="1" s="1"/>
  <c r="AE310" i="1"/>
  <c r="AF310" i="1"/>
  <c r="AG310" i="1"/>
  <c r="CU310" i="1" s="1"/>
  <c r="T310" i="1" s="1"/>
  <c r="AH310" i="1"/>
  <c r="AI310" i="1"/>
  <c r="AJ310" i="1"/>
  <c r="CQ310" i="1"/>
  <c r="CV310" i="1"/>
  <c r="U310" i="1" s="1"/>
  <c r="CW310" i="1"/>
  <c r="V310" i="1" s="1"/>
  <c r="CX310" i="1"/>
  <c r="GL310" i="1"/>
  <c r="GN310" i="1"/>
  <c r="GP310" i="1"/>
  <c r="GV310" i="1"/>
  <c r="HC310" i="1"/>
  <c r="GX310" i="1" s="1"/>
  <c r="I311" i="1"/>
  <c r="Q311" i="1" s="1"/>
  <c r="AC311" i="1"/>
  <c r="CQ311" i="1" s="1"/>
  <c r="AE311" i="1"/>
  <c r="R311" i="1" s="1"/>
  <c r="AF311" i="1"/>
  <c r="AG311" i="1"/>
  <c r="CU311" i="1" s="1"/>
  <c r="T311" i="1" s="1"/>
  <c r="AH311" i="1"/>
  <c r="CV311" i="1" s="1"/>
  <c r="U311" i="1" s="1"/>
  <c r="AI311" i="1"/>
  <c r="CW311" i="1" s="1"/>
  <c r="V311" i="1" s="1"/>
  <c r="AJ311" i="1"/>
  <c r="CR311" i="1"/>
  <c r="CS311" i="1"/>
  <c r="CT311" i="1"/>
  <c r="CX311" i="1"/>
  <c r="W311" i="1" s="1"/>
  <c r="GL311" i="1"/>
  <c r="GN311" i="1"/>
  <c r="GP311" i="1"/>
  <c r="GV311" i="1"/>
  <c r="HC311" i="1" s="1"/>
  <c r="GX311" i="1" s="1"/>
  <c r="AC312" i="1"/>
  <c r="AD312" i="1"/>
  <c r="AE312" i="1"/>
  <c r="CS312" i="1" s="1"/>
  <c r="AF312" i="1"/>
  <c r="AG312" i="1"/>
  <c r="AH312" i="1"/>
  <c r="CV312" i="1" s="1"/>
  <c r="AI312" i="1"/>
  <c r="CW312" i="1" s="1"/>
  <c r="AJ312" i="1"/>
  <c r="CX312" i="1" s="1"/>
  <c r="CR312" i="1"/>
  <c r="CT312" i="1"/>
  <c r="CU312" i="1"/>
  <c r="GL312" i="1"/>
  <c r="GN312" i="1"/>
  <c r="GP312" i="1"/>
  <c r="GV312" i="1"/>
  <c r="HC312" i="1" s="1"/>
  <c r="I313" i="1"/>
  <c r="Q313" i="1"/>
  <c r="R313" i="1"/>
  <c r="W313" i="1"/>
  <c r="AC313" i="1"/>
  <c r="P313" i="1" s="1"/>
  <c r="AE313" i="1"/>
  <c r="AF313" i="1"/>
  <c r="AG313" i="1"/>
  <c r="CU313" i="1" s="1"/>
  <c r="T313" i="1" s="1"/>
  <c r="AH313" i="1"/>
  <c r="AI313" i="1"/>
  <c r="AJ313" i="1"/>
  <c r="CQ313" i="1"/>
  <c r="CV313" i="1"/>
  <c r="U313" i="1" s="1"/>
  <c r="CW313" i="1"/>
  <c r="V313" i="1" s="1"/>
  <c r="CX313" i="1"/>
  <c r="GL313" i="1"/>
  <c r="GN313" i="1"/>
  <c r="GP313" i="1"/>
  <c r="GV313" i="1"/>
  <c r="HC313" i="1"/>
  <c r="GX313" i="1" s="1"/>
  <c r="I314" i="1"/>
  <c r="Q314" i="1" s="1"/>
  <c r="T314" i="1"/>
  <c r="AC314" i="1"/>
  <c r="CQ314" i="1" s="1"/>
  <c r="AE314" i="1"/>
  <c r="AF314" i="1"/>
  <c r="AG314" i="1"/>
  <c r="CU314" i="1" s="1"/>
  <c r="AH314" i="1"/>
  <c r="CV314" i="1" s="1"/>
  <c r="U314" i="1" s="1"/>
  <c r="AI314" i="1"/>
  <c r="CW314" i="1" s="1"/>
  <c r="AJ314" i="1"/>
  <c r="CR314" i="1"/>
  <c r="CS314" i="1"/>
  <c r="CT314" i="1"/>
  <c r="CX314" i="1"/>
  <c r="W314" i="1" s="1"/>
  <c r="GL314" i="1"/>
  <c r="GN314" i="1"/>
  <c r="GP314" i="1"/>
  <c r="GV314" i="1"/>
  <c r="HC314" i="1" s="1"/>
  <c r="GX314" i="1" s="1"/>
  <c r="AC315" i="1"/>
  <c r="AD315" i="1"/>
  <c r="AE315" i="1"/>
  <c r="CS315" i="1" s="1"/>
  <c r="AF315" i="1"/>
  <c r="AG315" i="1"/>
  <c r="AH315" i="1"/>
  <c r="CV315" i="1" s="1"/>
  <c r="AI315" i="1"/>
  <c r="CW315" i="1" s="1"/>
  <c r="AJ315" i="1"/>
  <c r="CX315" i="1" s="1"/>
  <c r="CR315" i="1"/>
  <c r="CT315" i="1"/>
  <c r="CU315" i="1"/>
  <c r="GL315" i="1"/>
  <c r="GN315" i="1"/>
  <c r="GP315" i="1"/>
  <c r="GV315" i="1"/>
  <c r="HC315" i="1" s="1"/>
  <c r="I316" i="1"/>
  <c r="Q316" i="1"/>
  <c r="R316" i="1"/>
  <c r="W316" i="1"/>
  <c r="AC316" i="1"/>
  <c r="P316" i="1" s="1"/>
  <c r="AE316" i="1"/>
  <c r="AF316" i="1"/>
  <c r="AG316" i="1"/>
  <c r="CU316" i="1" s="1"/>
  <c r="T316" i="1" s="1"/>
  <c r="AH316" i="1"/>
  <c r="AI316" i="1"/>
  <c r="AJ316" i="1"/>
  <c r="CQ316" i="1"/>
  <c r="CV316" i="1"/>
  <c r="U316" i="1" s="1"/>
  <c r="CW316" i="1"/>
  <c r="V316" i="1" s="1"/>
  <c r="CX316" i="1"/>
  <c r="GL316" i="1"/>
  <c r="GN316" i="1"/>
  <c r="GP316" i="1"/>
  <c r="GV316" i="1"/>
  <c r="HC316" i="1"/>
  <c r="GX316" i="1" s="1"/>
  <c r="I317" i="1"/>
  <c r="Q317" i="1" s="1"/>
  <c r="AC317" i="1"/>
  <c r="CQ317" i="1" s="1"/>
  <c r="AE317" i="1"/>
  <c r="R317" i="1" s="1"/>
  <c r="AF317" i="1"/>
  <c r="AG317" i="1"/>
  <c r="CU317" i="1" s="1"/>
  <c r="T317" i="1" s="1"/>
  <c r="AH317" i="1"/>
  <c r="CV317" i="1" s="1"/>
  <c r="U317" i="1" s="1"/>
  <c r="AI317" i="1"/>
  <c r="CW317" i="1" s="1"/>
  <c r="V317" i="1" s="1"/>
  <c r="AJ317" i="1"/>
  <c r="CR317" i="1"/>
  <c r="CS317" i="1"/>
  <c r="CT317" i="1"/>
  <c r="CX317" i="1"/>
  <c r="W317" i="1" s="1"/>
  <c r="GL317" i="1"/>
  <c r="GN317" i="1"/>
  <c r="GP317" i="1"/>
  <c r="GV317" i="1"/>
  <c r="HC317" i="1" s="1"/>
  <c r="GX317" i="1" s="1"/>
  <c r="I318" i="1"/>
  <c r="R318" i="1"/>
  <c r="U318" i="1"/>
  <c r="V318" i="1"/>
  <c r="AC318" i="1"/>
  <c r="AD318" i="1"/>
  <c r="AE318" i="1"/>
  <c r="CS318" i="1" s="1"/>
  <c r="AF318" i="1"/>
  <c r="S318" i="1" s="1"/>
  <c r="CY318" i="1" s="1"/>
  <c r="X318" i="1" s="1"/>
  <c r="AG318" i="1"/>
  <c r="AH318" i="1"/>
  <c r="CV318" i="1" s="1"/>
  <c r="AI318" i="1"/>
  <c r="AJ318" i="1"/>
  <c r="CX318" i="1" s="1"/>
  <c r="W318" i="1" s="1"/>
  <c r="CR318" i="1"/>
  <c r="CU318" i="1"/>
  <c r="T318" i="1" s="1"/>
  <c r="CW318" i="1"/>
  <c r="GL318" i="1"/>
  <c r="GN318" i="1"/>
  <c r="GP318" i="1"/>
  <c r="GV318" i="1"/>
  <c r="HC318" i="1" s="1"/>
  <c r="GX318" i="1"/>
  <c r="I319" i="1"/>
  <c r="Q319" i="1"/>
  <c r="AC319" i="1"/>
  <c r="P319" i="1" s="1"/>
  <c r="AE319" i="1"/>
  <c r="R319" i="1" s="1"/>
  <c r="AF319" i="1"/>
  <c r="CT319" i="1" s="1"/>
  <c r="AG319" i="1"/>
  <c r="CU319" i="1" s="1"/>
  <c r="T319" i="1" s="1"/>
  <c r="AH319" i="1"/>
  <c r="AI319" i="1"/>
  <c r="AJ319" i="1"/>
  <c r="CQ319" i="1"/>
  <c r="CV319" i="1"/>
  <c r="U319" i="1" s="1"/>
  <c r="CW319" i="1"/>
  <c r="V319" i="1" s="1"/>
  <c r="CX319" i="1"/>
  <c r="W319" i="1" s="1"/>
  <c r="GL319" i="1"/>
  <c r="GN319" i="1"/>
  <c r="GP319" i="1"/>
  <c r="GV319" i="1"/>
  <c r="HC319" i="1"/>
  <c r="GX319" i="1" s="1"/>
  <c r="D320" i="1"/>
  <c r="I320" i="1"/>
  <c r="I326" i="1" s="1"/>
  <c r="Q326" i="1" s="1"/>
  <c r="K320" i="1"/>
  <c r="Q320" i="1"/>
  <c r="T320" i="1"/>
  <c r="W320" i="1"/>
  <c r="AC320" i="1"/>
  <c r="P320" i="1" s="1"/>
  <c r="AE320" i="1"/>
  <c r="AF320" i="1"/>
  <c r="AG320" i="1"/>
  <c r="CU320" i="1" s="1"/>
  <c r="AH320" i="1"/>
  <c r="CV320" i="1" s="1"/>
  <c r="U320" i="1" s="1"/>
  <c r="AI320" i="1"/>
  <c r="AJ320" i="1"/>
  <c r="CX320" i="1" s="1"/>
  <c r="CQ320" i="1"/>
  <c r="CR320" i="1"/>
  <c r="CW320" i="1"/>
  <c r="V320" i="1" s="1"/>
  <c r="GL320" i="1"/>
  <c r="GN320" i="1"/>
  <c r="GP320" i="1"/>
  <c r="GV320" i="1"/>
  <c r="HC320" i="1"/>
  <c r="D321" i="1"/>
  <c r="I321" i="1"/>
  <c r="K321" i="1"/>
  <c r="W321" i="1"/>
  <c r="AC321" i="1"/>
  <c r="P321" i="1" s="1"/>
  <c r="AE321" i="1"/>
  <c r="AF321" i="1"/>
  <c r="CT321" i="1" s="1"/>
  <c r="AG321" i="1"/>
  <c r="CU321" i="1" s="1"/>
  <c r="T321" i="1" s="1"/>
  <c r="AH321" i="1"/>
  <c r="AI321" i="1"/>
  <c r="AJ321" i="1"/>
  <c r="CQ321" i="1"/>
  <c r="CS321" i="1"/>
  <c r="CV321" i="1"/>
  <c r="U321" i="1" s="1"/>
  <c r="CW321" i="1"/>
  <c r="V321" i="1" s="1"/>
  <c r="CX321" i="1"/>
  <c r="GL321" i="1"/>
  <c r="GN321" i="1"/>
  <c r="GP321" i="1"/>
  <c r="FV339" i="1" s="1"/>
  <c r="GV321" i="1"/>
  <c r="HC321" i="1"/>
  <c r="GX321" i="1" s="1"/>
  <c r="I322" i="1"/>
  <c r="Q322" i="1" s="1"/>
  <c r="S322" i="1"/>
  <c r="CY322" i="1" s="1"/>
  <c r="X322" i="1" s="1"/>
  <c r="T322" i="1"/>
  <c r="AC322" i="1"/>
  <c r="AE322" i="1"/>
  <c r="R322" i="1" s="1"/>
  <c r="AF322" i="1"/>
  <c r="AG322" i="1"/>
  <c r="CU322" i="1" s="1"/>
  <c r="AH322" i="1"/>
  <c r="CV322" i="1" s="1"/>
  <c r="AI322" i="1"/>
  <c r="CW322" i="1" s="1"/>
  <c r="V322" i="1" s="1"/>
  <c r="AJ322" i="1"/>
  <c r="CR322" i="1"/>
  <c r="CS322" i="1"/>
  <c r="CT322" i="1"/>
  <c r="CX322" i="1"/>
  <c r="W322" i="1" s="1"/>
  <c r="GL322" i="1"/>
  <c r="GN322" i="1"/>
  <c r="GP322" i="1"/>
  <c r="GV322" i="1"/>
  <c r="HC322" i="1" s="1"/>
  <c r="I323" i="1"/>
  <c r="P323" i="1"/>
  <c r="R323" i="1"/>
  <c r="V323" i="1"/>
  <c r="AC323" i="1"/>
  <c r="AD323" i="1"/>
  <c r="AE323" i="1"/>
  <c r="CS323" i="1" s="1"/>
  <c r="AF323" i="1"/>
  <c r="S323" i="1" s="1"/>
  <c r="AG323" i="1"/>
  <c r="AH323" i="1"/>
  <c r="CV323" i="1" s="1"/>
  <c r="U323" i="1" s="1"/>
  <c r="AI323" i="1"/>
  <c r="AJ323" i="1"/>
  <c r="CX323" i="1" s="1"/>
  <c r="W323" i="1" s="1"/>
  <c r="CR323" i="1"/>
  <c r="CT323" i="1"/>
  <c r="CU323" i="1"/>
  <c r="T323" i="1" s="1"/>
  <c r="CW323" i="1"/>
  <c r="CZ323" i="1"/>
  <c r="Y323" i="1" s="1"/>
  <c r="GL323" i="1"/>
  <c r="FR339" i="1" s="1"/>
  <c r="GN323" i="1"/>
  <c r="GP323" i="1"/>
  <c r="GV323" i="1"/>
  <c r="HC323" i="1" s="1"/>
  <c r="GX323" i="1" s="1"/>
  <c r="I324" i="1"/>
  <c r="Q324" i="1"/>
  <c r="R324" i="1"/>
  <c r="U324" i="1"/>
  <c r="W324" i="1"/>
  <c r="AC324" i="1"/>
  <c r="P324" i="1" s="1"/>
  <c r="CP324" i="1" s="1"/>
  <c r="O324" i="1" s="1"/>
  <c r="AE324" i="1"/>
  <c r="AF324" i="1"/>
  <c r="S324" i="1" s="1"/>
  <c r="AG324" i="1"/>
  <c r="CU324" i="1" s="1"/>
  <c r="T324" i="1" s="1"/>
  <c r="AH324" i="1"/>
  <c r="AI324" i="1"/>
  <c r="CW324" i="1" s="1"/>
  <c r="V324" i="1" s="1"/>
  <c r="AJ324" i="1"/>
  <c r="CQ324" i="1"/>
  <c r="CS324" i="1"/>
  <c r="CV324" i="1"/>
  <c r="CX324" i="1"/>
  <c r="GL324" i="1"/>
  <c r="GN324" i="1"/>
  <c r="GP324" i="1"/>
  <c r="GV324" i="1"/>
  <c r="HC324" i="1"/>
  <c r="GX324" i="1" s="1"/>
  <c r="I325" i="1"/>
  <c r="Q325" i="1" s="1"/>
  <c r="V325" i="1"/>
  <c r="AC325" i="1"/>
  <c r="AE325" i="1"/>
  <c r="AF325" i="1"/>
  <c r="AG325" i="1"/>
  <c r="CU325" i="1" s="1"/>
  <c r="T325" i="1" s="1"/>
  <c r="AH325" i="1"/>
  <c r="AI325" i="1"/>
  <c r="CW325" i="1" s="1"/>
  <c r="AJ325" i="1"/>
  <c r="CR325" i="1"/>
  <c r="CS325" i="1"/>
  <c r="CT325" i="1"/>
  <c r="CV325" i="1"/>
  <c r="CX325" i="1"/>
  <c r="GL325" i="1"/>
  <c r="GN325" i="1"/>
  <c r="GP325" i="1"/>
  <c r="GV325" i="1"/>
  <c r="HC325" i="1"/>
  <c r="GX325" i="1" s="1"/>
  <c r="P326" i="1"/>
  <c r="R326" i="1"/>
  <c r="AC326" i="1"/>
  <c r="AD326" i="1"/>
  <c r="AE326" i="1"/>
  <c r="CS326" i="1" s="1"/>
  <c r="AF326" i="1"/>
  <c r="CT326" i="1" s="1"/>
  <c r="AG326" i="1"/>
  <c r="CU326" i="1" s="1"/>
  <c r="T326" i="1" s="1"/>
  <c r="AH326" i="1"/>
  <c r="CV326" i="1" s="1"/>
  <c r="U326" i="1" s="1"/>
  <c r="AI326" i="1"/>
  <c r="CW326" i="1" s="1"/>
  <c r="V326" i="1" s="1"/>
  <c r="AJ326" i="1"/>
  <c r="CX326" i="1" s="1"/>
  <c r="W326" i="1" s="1"/>
  <c r="CR326" i="1"/>
  <c r="GL326" i="1"/>
  <c r="BZ339" i="1" s="1"/>
  <c r="GN326" i="1"/>
  <c r="GP326" i="1"/>
  <c r="GV326" i="1"/>
  <c r="HC326" i="1" s="1"/>
  <c r="GX326" i="1"/>
  <c r="I327" i="1"/>
  <c r="Q327" i="1" s="1"/>
  <c r="U327" i="1"/>
  <c r="AC327" i="1"/>
  <c r="AE327" i="1"/>
  <c r="AF327" i="1"/>
  <c r="S327" i="1" s="1"/>
  <c r="AG327" i="1"/>
  <c r="CU327" i="1" s="1"/>
  <c r="T327" i="1" s="1"/>
  <c r="AH327" i="1"/>
  <c r="AI327" i="1"/>
  <c r="AJ327" i="1"/>
  <c r="CQ327" i="1"/>
  <c r="CS327" i="1"/>
  <c r="CV327" i="1"/>
  <c r="CW327" i="1"/>
  <c r="CX327" i="1"/>
  <c r="GL327" i="1"/>
  <c r="GN327" i="1"/>
  <c r="GP327" i="1"/>
  <c r="GV327" i="1"/>
  <c r="HC327" i="1"/>
  <c r="GX327" i="1" s="1"/>
  <c r="I328" i="1"/>
  <c r="Q328" i="1" s="1"/>
  <c r="V328" i="1"/>
  <c r="W328" i="1"/>
  <c r="AC328" i="1"/>
  <c r="AE328" i="1"/>
  <c r="AF328" i="1"/>
  <c r="AG328" i="1"/>
  <c r="CU328" i="1" s="1"/>
  <c r="T328" i="1" s="1"/>
  <c r="AH328" i="1"/>
  <c r="CV328" i="1" s="1"/>
  <c r="U328" i="1" s="1"/>
  <c r="AI328" i="1"/>
  <c r="AJ328" i="1"/>
  <c r="CQ328" i="1"/>
  <c r="CT328" i="1"/>
  <c r="CW328" i="1"/>
  <c r="CX328" i="1"/>
  <c r="GL328" i="1"/>
  <c r="GN328" i="1"/>
  <c r="GP328" i="1"/>
  <c r="CD339" i="1" s="1"/>
  <c r="GV328" i="1"/>
  <c r="HC328" i="1"/>
  <c r="I329" i="1"/>
  <c r="P329" i="1"/>
  <c r="R329" i="1"/>
  <c r="CY329" i="1" s="1"/>
  <c r="X329" i="1" s="1"/>
  <c r="S329" i="1"/>
  <c r="CZ329" i="1" s="1"/>
  <c r="Y329" i="1" s="1"/>
  <c r="AC329" i="1"/>
  <c r="AD329" i="1"/>
  <c r="AE329" i="1"/>
  <c r="CS329" i="1" s="1"/>
  <c r="AF329" i="1"/>
  <c r="AG329" i="1"/>
  <c r="CU329" i="1" s="1"/>
  <c r="T329" i="1" s="1"/>
  <c r="AH329" i="1"/>
  <c r="CV329" i="1" s="1"/>
  <c r="U329" i="1" s="1"/>
  <c r="AI329" i="1"/>
  <c r="CW329" i="1" s="1"/>
  <c r="V329" i="1" s="1"/>
  <c r="AJ329" i="1"/>
  <c r="CX329" i="1" s="1"/>
  <c r="W329" i="1" s="1"/>
  <c r="CR329" i="1"/>
  <c r="CT329" i="1"/>
  <c r="GL329" i="1"/>
  <c r="GN329" i="1"/>
  <c r="GP329" i="1"/>
  <c r="GV329" i="1"/>
  <c r="HC329" i="1" s="1"/>
  <c r="GX329" i="1"/>
  <c r="I330" i="1"/>
  <c r="P330" i="1" s="1"/>
  <c r="S330" i="1"/>
  <c r="AC330" i="1"/>
  <c r="AD330" i="1"/>
  <c r="AB330" i="1" s="1"/>
  <c r="AE330" i="1"/>
  <c r="CR330" i="1" s="1"/>
  <c r="AF330" i="1"/>
  <c r="AG330" i="1"/>
  <c r="CU330" i="1" s="1"/>
  <c r="T330" i="1" s="1"/>
  <c r="AH330" i="1"/>
  <c r="AI330" i="1"/>
  <c r="AJ330" i="1"/>
  <c r="CQ330" i="1"/>
  <c r="CT330" i="1"/>
  <c r="CV330" i="1"/>
  <c r="U330" i="1" s="1"/>
  <c r="CW330" i="1"/>
  <c r="V330" i="1" s="1"/>
  <c r="CX330" i="1"/>
  <c r="GL330" i="1"/>
  <c r="GN330" i="1"/>
  <c r="GP330" i="1"/>
  <c r="GV330" i="1"/>
  <c r="HC330" i="1"/>
  <c r="I331" i="1"/>
  <c r="R331" i="1"/>
  <c r="S331" i="1"/>
  <c r="CY331" i="1" s="1"/>
  <c r="X331" i="1" s="1"/>
  <c r="U331" i="1"/>
  <c r="AC331" i="1"/>
  <c r="AB331" i="1" s="1"/>
  <c r="AD331" i="1"/>
  <c r="AE331" i="1"/>
  <c r="CS331" i="1" s="1"/>
  <c r="AF331" i="1"/>
  <c r="AG331" i="1"/>
  <c r="AH331" i="1"/>
  <c r="AI331" i="1"/>
  <c r="CW331" i="1" s="1"/>
  <c r="V331" i="1" s="1"/>
  <c r="AJ331" i="1"/>
  <c r="CX331" i="1" s="1"/>
  <c r="W331" i="1" s="1"/>
  <c r="CR331" i="1"/>
  <c r="CT331" i="1"/>
  <c r="CU331" i="1"/>
  <c r="T331" i="1" s="1"/>
  <c r="CV331" i="1"/>
  <c r="CZ331" i="1"/>
  <c r="Y331" i="1" s="1"/>
  <c r="GL331" i="1"/>
  <c r="GN331" i="1"/>
  <c r="GP331" i="1"/>
  <c r="GV331" i="1"/>
  <c r="HC331" i="1" s="1"/>
  <c r="GX331" i="1" s="1"/>
  <c r="D332" i="1"/>
  <c r="I332" i="1"/>
  <c r="I336" i="1" s="1"/>
  <c r="K332" i="1"/>
  <c r="R332" i="1"/>
  <c r="U332" i="1"/>
  <c r="AC332" i="1"/>
  <c r="CQ332" i="1" s="1"/>
  <c r="AD332" i="1"/>
  <c r="AE332" i="1"/>
  <c r="CS332" i="1" s="1"/>
  <c r="AF332" i="1"/>
  <c r="S332" i="1" s="1"/>
  <c r="AG332" i="1"/>
  <c r="AH332" i="1"/>
  <c r="AI332" i="1"/>
  <c r="CW332" i="1" s="1"/>
  <c r="V332" i="1" s="1"/>
  <c r="AJ332" i="1"/>
  <c r="CX332" i="1" s="1"/>
  <c r="W332" i="1" s="1"/>
  <c r="CR332" i="1"/>
  <c r="CT332" i="1"/>
  <c r="CU332" i="1"/>
  <c r="T332" i="1" s="1"/>
  <c r="CV332" i="1"/>
  <c r="GL332" i="1"/>
  <c r="GN332" i="1"/>
  <c r="GP332" i="1"/>
  <c r="GV332" i="1"/>
  <c r="HC332" i="1" s="1"/>
  <c r="GX332" i="1" s="1"/>
  <c r="D333" i="1"/>
  <c r="I333" i="1"/>
  <c r="Q333" i="1" s="1"/>
  <c r="K333" i="1"/>
  <c r="S333" i="1"/>
  <c r="U333" i="1"/>
  <c r="AC333" i="1"/>
  <c r="AB333" i="1" s="1"/>
  <c r="AD333" i="1"/>
  <c r="AE333" i="1"/>
  <c r="CS333" i="1" s="1"/>
  <c r="AF333" i="1"/>
  <c r="AG333" i="1"/>
  <c r="AH333" i="1"/>
  <c r="AI333" i="1"/>
  <c r="CW333" i="1" s="1"/>
  <c r="V333" i="1" s="1"/>
  <c r="AJ333" i="1"/>
  <c r="CX333" i="1" s="1"/>
  <c r="W333" i="1" s="1"/>
  <c r="CR333" i="1"/>
  <c r="CT333" i="1"/>
  <c r="CU333" i="1"/>
  <c r="T333" i="1" s="1"/>
  <c r="CV333" i="1"/>
  <c r="GL333" i="1"/>
  <c r="GN333" i="1"/>
  <c r="GP333" i="1"/>
  <c r="GV333" i="1"/>
  <c r="HC333" i="1" s="1"/>
  <c r="GX333" i="1" s="1"/>
  <c r="AC334" i="1"/>
  <c r="AE334" i="1"/>
  <c r="CR334" i="1" s="1"/>
  <c r="AF334" i="1"/>
  <c r="CT334" i="1" s="1"/>
  <c r="AG334" i="1"/>
  <c r="CU334" i="1" s="1"/>
  <c r="AH334" i="1"/>
  <c r="AI334" i="1"/>
  <c r="AJ334" i="1"/>
  <c r="CQ334" i="1"/>
  <c r="CV334" i="1"/>
  <c r="CW334" i="1"/>
  <c r="CX334" i="1"/>
  <c r="GL334" i="1"/>
  <c r="GN334" i="1"/>
  <c r="GP334" i="1"/>
  <c r="GV334" i="1"/>
  <c r="HC334" i="1"/>
  <c r="I335" i="1"/>
  <c r="P335" i="1" s="1"/>
  <c r="S335" i="1"/>
  <c r="AC335" i="1"/>
  <c r="CQ335" i="1" s="1"/>
  <c r="AE335" i="1"/>
  <c r="R335" i="1" s="1"/>
  <c r="CY335" i="1" s="1"/>
  <c r="X335" i="1" s="1"/>
  <c r="AF335" i="1"/>
  <c r="AG335" i="1"/>
  <c r="CU335" i="1" s="1"/>
  <c r="T335" i="1" s="1"/>
  <c r="AH335" i="1"/>
  <c r="CV335" i="1" s="1"/>
  <c r="U335" i="1" s="1"/>
  <c r="AI335" i="1"/>
  <c r="CW335" i="1" s="1"/>
  <c r="V335" i="1" s="1"/>
  <c r="AJ335" i="1"/>
  <c r="CR335" i="1"/>
  <c r="CS335" i="1"/>
  <c r="CT335" i="1"/>
  <c r="CX335" i="1"/>
  <c r="W335" i="1" s="1"/>
  <c r="GL335" i="1"/>
  <c r="GN335" i="1"/>
  <c r="GP335" i="1"/>
  <c r="GV335" i="1"/>
  <c r="HC335" i="1"/>
  <c r="GX335" i="1" s="1"/>
  <c r="AC336" i="1"/>
  <c r="AB336" i="1" s="1"/>
  <c r="AD336" i="1"/>
  <c r="AE336" i="1"/>
  <c r="CS336" i="1" s="1"/>
  <c r="AF336" i="1"/>
  <c r="AG336" i="1"/>
  <c r="AH336" i="1"/>
  <c r="AI336" i="1"/>
  <c r="CW336" i="1" s="1"/>
  <c r="AJ336" i="1"/>
  <c r="CX336" i="1" s="1"/>
  <c r="CR336" i="1"/>
  <c r="CT336" i="1"/>
  <c r="CU336" i="1"/>
  <c r="T336" i="1" s="1"/>
  <c r="CV336" i="1"/>
  <c r="GL336" i="1"/>
  <c r="GN336" i="1"/>
  <c r="GP336" i="1"/>
  <c r="GV336" i="1"/>
  <c r="HC336" i="1" s="1"/>
  <c r="GX336" i="1" s="1"/>
  <c r="AC337" i="1"/>
  <c r="AE337" i="1"/>
  <c r="CR337" i="1" s="1"/>
  <c r="AF337" i="1"/>
  <c r="CT337" i="1" s="1"/>
  <c r="AG337" i="1"/>
  <c r="CU337" i="1" s="1"/>
  <c r="AH337" i="1"/>
  <c r="AI337" i="1"/>
  <c r="AJ337" i="1"/>
  <c r="CQ337" i="1"/>
  <c r="CV337" i="1"/>
  <c r="CW337" i="1"/>
  <c r="CX337" i="1"/>
  <c r="GL337" i="1"/>
  <c r="GN337" i="1"/>
  <c r="FT339" i="1" s="1"/>
  <c r="GP337" i="1"/>
  <c r="GV337" i="1"/>
  <c r="HC337" i="1"/>
  <c r="B339" i="1"/>
  <c r="B274" i="1" s="1"/>
  <c r="C339" i="1"/>
  <c r="C274" i="1" s="1"/>
  <c r="D339" i="1"/>
  <c r="D274" i="1" s="1"/>
  <c r="F339" i="1"/>
  <c r="F274" i="1" s="1"/>
  <c r="G339" i="1"/>
  <c r="G274" i="1" s="1"/>
  <c r="AO339" i="1"/>
  <c r="AO274" i="1" s="1"/>
  <c r="BC339" i="1"/>
  <c r="BC274" i="1" s="1"/>
  <c r="BD339" i="1"/>
  <c r="BX339" i="1"/>
  <c r="BX274" i="1" s="1"/>
  <c r="BY339" i="1"/>
  <c r="BY274" i="1" s="1"/>
  <c r="CB339" i="1"/>
  <c r="CB274" i="1" s="1"/>
  <c r="CI339" i="1"/>
  <c r="CK339" i="1"/>
  <c r="CK274" i="1" s="1"/>
  <c r="CL339" i="1"/>
  <c r="CL274" i="1" s="1"/>
  <c r="CM339" i="1"/>
  <c r="CM274" i="1" s="1"/>
  <c r="EG339" i="1"/>
  <c r="EG274" i="1" s="1"/>
  <c r="EU339" i="1"/>
  <c r="EU274" i="1" s="1"/>
  <c r="EV339" i="1"/>
  <c r="FP339" i="1"/>
  <c r="FP274" i="1" s="1"/>
  <c r="FQ339" i="1"/>
  <c r="FQ274" i="1" s="1"/>
  <c r="GA339" i="1"/>
  <c r="GC339" i="1"/>
  <c r="GC274" i="1" s="1"/>
  <c r="GD339" i="1"/>
  <c r="GD274" i="1" s="1"/>
  <c r="GE339" i="1"/>
  <c r="GE274" i="1" s="1"/>
  <c r="F343" i="1"/>
  <c r="B369" i="1"/>
  <c r="B22" i="1" s="1"/>
  <c r="C369" i="1"/>
  <c r="C22" i="1" s="1"/>
  <c r="D369" i="1"/>
  <c r="D22" i="1" s="1"/>
  <c r="F369" i="1"/>
  <c r="F22" i="1" s="1"/>
  <c r="G369" i="1"/>
  <c r="G22" i="1" s="1"/>
  <c r="B399" i="1"/>
  <c r="B18" i="1" s="1"/>
  <c r="C399" i="1"/>
  <c r="C18" i="1" s="1"/>
  <c r="D399" i="1"/>
  <c r="D18" i="1" s="1"/>
  <c r="F399" i="1"/>
  <c r="F18" i="1" s="1"/>
  <c r="G399" i="1"/>
  <c r="G18" i="1" s="1"/>
  <c r="F12" i="6"/>
  <c r="G12" i="6"/>
  <c r="J72" i="7" l="1"/>
  <c r="H154" i="7"/>
  <c r="J315" i="7"/>
  <c r="GA274" i="1"/>
  <c r="ER339" i="1"/>
  <c r="BZ274" i="1"/>
  <c r="AQ339" i="1"/>
  <c r="P309" i="1"/>
  <c r="EV274" i="1"/>
  <c r="P364" i="1"/>
  <c r="CI274" i="1"/>
  <c r="AZ339" i="1"/>
  <c r="V334" i="1"/>
  <c r="V312" i="1"/>
  <c r="P336" i="1"/>
  <c r="CP336" i="1" s="1"/>
  <c r="O336" i="1" s="1"/>
  <c r="Q336" i="1"/>
  <c r="U336" i="1"/>
  <c r="R336" i="1"/>
  <c r="S336" i="1"/>
  <c r="CP319" i="1"/>
  <c r="O319" i="1" s="1"/>
  <c r="BD274" i="1"/>
  <c r="F364" i="1"/>
  <c r="GX337" i="1"/>
  <c r="T337" i="1"/>
  <c r="W336" i="1"/>
  <c r="CZ335" i="1"/>
  <c r="Y335" i="1" s="1"/>
  <c r="V309" i="1"/>
  <c r="V336" i="1"/>
  <c r="FR274" i="1"/>
  <c r="EI339" i="1"/>
  <c r="GX312" i="1"/>
  <c r="GX334" i="1"/>
  <c r="T334" i="1"/>
  <c r="CD274" i="1"/>
  <c r="AU339" i="1"/>
  <c r="CY324" i="1"/>
  <c r="X324" i="1" s="1"/>
  <c r="CZ324" i="1"/>
  <c r="Y324" i="1" s="1"/>
  <c r="GM324" i="1" s="1"/>
  <c r="GO324" i="1" s="1"/>
  <c r="FT274" i="1"/>
  <c r="EK339" i="1"/>
  <c r="FV274" i="1"/>
  <c r="EM339" i="1"/>
  <c r="CY332" i="1"/>
  <c r="X332" i="1" s="1"/>
  <c r="CZ332" i="1"/>
  <c r="Y332" i="1" s="1"/>
  <c r="AB334" i="1"/>
  <c r="CP323" i="1"/>
  <c r="O323" i="1" s="1"/>
  <c r="Q335" i="1"/>
  <c r="CP335" i="1" s="1"/>
  <c r="O335" i="1" s="1"/>
  <c r="GM335" i="1" s="1"/>
  <c r="GO335" i="1" s="1"/>
  <c r="S328" i="1"/>
  <c r="V327" i="1"/>
  <c r="P327" i="1"/>
  <c r="CP327" i="1" s="1"/>
  <c r="O327" i="1" s="1"/>
  <c r="S326" i="1"/>
  <c r="CQ325" i="1"/>
  <c r="P325" i="1"/>
  <c r="CP325" i="1" s="1"/>
  <c r="O325" i="1" s="1"/>
  <c r="CR321" i="1"/>
  <c r="AD321" i="1"/>
  <c r="AB321" i="1" s="1"/>
  <c r="CZ318" i="1"/>
  <c r="Y318" i="1" s="1"/>
  <c r="CZ307" i="1"/>
  <c r="Y307" i="1" s="1"/>
  <c r="CY307" i="1"/>
  <c r="X307" i="1" s="1"/>
  <c r="W298" i="1"/>
  <c r="CQ336" i="1"/>
  <c r="AD335" i="1"/>
  <c r="AB335" i="1" s="1"/>
  <c r="CQ333" i="1"/>
  <c r="CQ331" i="1"/>
  <c r="GX330" i="1"/>
  <c r="CS330" i="1"/>
  <c r="U325" i="1"/>
  <c r="CS319" i="1"/>
  <c r="AB318" i="1"/>
  <c r="CQ318" i="1"/>
  <c r="CQ303" i="1"/>
  <c r="P303" i="1"/>
  <c r="CQ285" i="1"/>
  <c r="P285" i="1"/>
  <c r="AB285" i="1"/>
  <c r="Q332" i="1"/>
  <c r="W330" i="1"/>
  <c r="CT327" i="1"/>
  <c r="S319" i="1"/>
  <c r="V314" i="1"/>
  <c r="Q308" i="1"/>
  <c r="CP308" i="1" s="1"/>
  <c r="O308" i="1" s="1"/>
  <c r="S308" i="1"/>
  <c r="U308" i="1"/>
  <c r="W303" i="1"/>
  <c r="AB303" i="1"/>
  <c r="CQ301" i="1"/>
  <c r="CY291" i="1"/>
  <c r="X291" i="1" s="1"/>
  <c r="CZ291" i="1"/>
  <c r="Y291" i="1" s="1"/>
  <c r="GX278" i="1"/>
  <c r="R337" i="1"/>
  <c r="P332" i="1"/>
  <c r="W327" i="1"/>
  <c r="W325" i="1"/>
  <c r="CT318" i="1"/>
  <c r="R295" i="1"/>
  <c r="CR295" i="1"/>
  <c r="CS295" i="1"/>
  <c r="AD295" i="1"/>
  <c r="R328" i="1"/>
  <c r="AD328" i="1"/>
  <c r="AB328" i="1" s="1"/>
  <c r="CZ322" i="1"/>
  <c r="Y322" i="1" s="1"/>
  <c r="CT320" i="1"/>
  <c r="S320" i="1"/>
  <c r="CT313" i="1"/>
  <c r="S313" i="1"/>
  <c r="AB312" i="1"/>
  <c r="CQ312" i="1"/>
  <c r="Q303" i="1"/>
  <c r="S303" i="1"/>
  <c r="T303" i="1"/>
  <c r="P286" i="1"/>
  <c r="CP286" i="1" s="1"/>
  <c r="O286" i="1" s="1"/>
  <c r="CQ286" i="1"/>
  <c r="AB286" i="1"/>
  <c r="P355" i="1"/>
  <c r="P343" i="1"/>
  <c r="FY339" i="1"/>
  <c r="ET339" i="1"/>
  <c r="EH339" i="1"/>
  <c r="AD337" i="1"/>
  <c r="AB337" i="1" s="1"/>
  <c r="AD334" i="1"/>
  <c r="P334" i="1"/>
  <c r="AB332" i="1"/>
  <c r="R330" i="1"/>
  <c r="CZ330" i="1" s="1"/>
  <c r="Y330" i="1" s="1"/>
  <c r="P328" i="1"/>
  <c r="CP328" i="1" s="1"/>
  <c r="O328" i="1" s="1"/>
  <c r="CR324" i="1"/>
  <c r="AD324" i="1"/>
  <c r="AB324" i="1" s="1"/>
  <c r="S321" i="1"/>
  <c r="AD320" i="1"/>
  <c r="CS320" i="1"/>
  <c r="S317" i="1"/>
  <c r="CR313" i="1"/>
  <c r="CS313" i="1"/>
  <c r="AD313" i="1"/>
  <c r="AB313" i="1" s="1"/>
  <c r="S311" i="1"/>
  <c r="T308" i="1"/>
  <c r="U301" i="1"/>
  <c r="F355" i="1"/>
  <c r="Q330" i="1"/>
  <c r="CP330" i="1" s="1"/>
  <c r="O330" i="1" s="1"/>
  <c r="R327" i="1"/>
  <c r="CY327" i="1" s="1"/>
  <c r="X327" i="1" s="1"/>
  <c r="S325" i="1"/>
  <c r="R321" i="1"/>
  <c r="P318" i="1"/>
  <c r="R314" i="1"/>
  <c r="S283" i="1"/>
  <c r="Q283" i="1"/>
  <c r="T283" i="1"/>
  <c r="U283" i="1"/>
  <c r="CS337" i="1"/>
  <c r="I337" i="1"/>
  <c r="P337" i="1" s="1"/>
  <c r="CS334" i="1"/>
  <c r="I334" i="1"/>
  <c r="U334" i="1" s="1"/>
  <c r="R333" i="1"/>
  <c r="CZ333" i="1" s="1"/>
  <c r="Y333" i="1" s="1"/>
  <c r="GX328" i="1"/>
  <c r="CS328" i="1"/>
  <c r="AB326" i="1"/>
  <c r="CQ326" i="1"/>
  <c r="GX322" i="1"/>
  <c r="U322" i="1"/>
  <c r="Q321" i="1"/>
  <c r="CP321" i="1" s="1"/>
  <c r="O321" i="1" s="1"/>
  <c r="P312" i="1"/>
  <c r="V303" i="1"/>
  <c r="CT302" i="1"/>
  <c r="AS339" i="1"/>
  <c r="Q331" i="1"/>
  <c r="AB329" i="1"/>
  <c r="CQ329" i="1"/>
  <c r="CR328" i="1"/>
  <c r="CT324" i="1"/>
  <c r="CY323" i="1"/>
  <c r="X323" i="1" s="1"/>
  <c r="U303" i="1"/>
  <c r="P333" i="1"/>
  <c r="CP333" i="1" s="1"/>
  <c r="O333" i="1" s="1"/>
  <c r="P331" i="1"/>
  <c r="CP331" i="1" s="1"/>
  <c r="O331" i="1" s="1"/>
  <c r="GM331" i="1" s="1"/>
  <c r="GO331" i="1" s="1"/>
  <c r="CR319" i="1"/>
  <c r="AD319" i="1"/>
  <c r="AB319" i="1" s="1"/>
  <c r="W312" i="1"/>
  <c r="GM307" i="1"/>
  <c r="GO307" i="1" s="1"/>
  <c r="AB315" i="1"/>
  <c r="CQ315" i="1"/>
  <c r="CT310" i="1"/>
  <c r="S310" i="1"/>
  <c r="AB309" i="1"/>
  <c r="CQ309" i="1"/>
  <c r="W296" i="1"/>
  <c r="W295" i="1"/>
  <c r="CT316" i="1"/>
  <c r="S316" i="1"/>
  <c r="CP316" i="1" s="1"/>
  <c r="O316" i="1" s="1"/>
  <c r="CG339" i="1"/>
  <c r="BB339" i="1"/>
  <c r="AP339" i="1"/>
  <c r="CR327" i="1"/>
  <c r="AD327" i="1"/>
  <c r="AB327" i="1" s="1"/>
  <c r="R325" i="1"/>
  <c r="AD325" i="1"/>
  <c r="AB325" i="1" s="1"/>
  <c r="AB323" i="1"/>
  <c r="CQ323" i="1"/>
  <c r="CQ322" i="1"/>
  <c r="P322" i="1"/>
  <c r="CP322" i="1" s="1"/>
  <c r="O322" i="1" s="1"/>
  <c r="GX320" i="1"/>
  <c r="R320" i="1"/>
  <c r="CR316" i="1"/>
  <c r="CS316" i="1"/>
  <c r="AD316" i="1"/>
  <c r="AB316" i="1" s="1"/>
  <c r="S314" i="1"/>
  <c r="CR310" i="1"/>
  <c r="CS310" i="1"/>
  <c r="AD310" i="1"/>
  <c r="AB310" i="1" s="1"/>
  <c r="CZ305" i="1"/>
  <c r="Y305" i="1" s="1"/>
  <c r="CY305" i="1"/>
  <c r="X305" i="1" s="1"/>
  <c r="GM305" i="1" s="1"/>
  <c r="GO305" i="1" s="1"/>
  <c r="GX295" i="1"/>
  <c r="AD322" i="1"/>
  <c r="AB322" i="1" s="1"/>
  <c r="AB320" i="1"/>
  <c r="AD317" i="1"/>
  <c r="AB317" i="1" s="1"/>
  <c r="P317" i="1"/>
  <c r="CP317" i="1" s="1"/>
  <c r="O317" i="1" s="1"/>
  <c r="AD314" i="1"/>
  <c r="AB314" i="1" s="1"/>
  <c r="P314" i="1"/>
  <c r="CP314" i="1" s="1"/>
  <c r="O314" i="1" s="1"/>
  <c r="AD311" i="1"/>
  <c r="AB311" i="1" s="1"/>
  <c r="P311" i="1"/>
  <c r="CP311" i="1" s="1"/>
  <c r="O311" i="1" s="1"/>
  <c r="W307" i="1"/>
  <c r="S298" i="1"/>
  <c r="S296" i="1"/>
  <c r="W294" i="1"/>
  <c r="AB294" i="1"/>
  <c r="GX292" i="1"/>
  <c r="CQ290" i="1"/>
  <c r="AB290" i="1"/>
  <c r="P288" i="1"/>
  <c r="CQ288" i="1"/>
  <c r="R281" i="1"/>
  <c r="CZ281" i="1" s="1"/>
  <c r="Y281" i="1" s="1"/>
  <c r="CR281" i="1"/>
  <c r="CS281" i="1"/>
  <c r="AB279" i="1"/>
  <c r="U304" i="1"/>
  <c r="AB304" i="1"/>
  <c r="U302" i="1"/>
  <c r="R298" i="1"/>
  <c r="CR298" i="1"/>
  <c r="CS298" i="1"/>
  <c r="I296" i="1"/>
  <c r="GX296" i="1" s="1"/>
  <c r="I302" i="1"/>
  <c r="T302" i="1" s="1"/>
  <c r="I298" i="1"/>
  <c r="I304" i="1"/>
  <c r="CQ287" i="1"/>
  <c r="P287" i="1"/>
  <c r="CQ280" i="1"/>
  <c r="P280" i="1"/>
  <c r="CP280" i="1" s="1"/>
  <c r="O280" i="1" s="1"/>
  <c r="GD193" i="1"/>
  <c r="EU242" i="1"/>
  <c r="CP228" i="1"/>
  <c r="O228" i="1" s="1"/>
  <c r="CG193" i="1"/>
  <c r="AX242" i="1"/>
  <c r="U298" i="1"/>
  <c r="AB298" i="1"/>
  <c r="U296" i="1"/>
  <c r="P284" i="1"/>
  <c r="CP284" i="1" s="1"/>
  <c r="O284" i="1" s="1"/>
  <c r="CQ284" i="1"/>
  <c r="CQ283" i="1"/>
  <c r="P283" i="1"/>
  <c r="CP283" i="1" s="1"/>
  <c r="O283" i="1" s="1"/>
  <c r="CY279" i="1"/>
  <c r="X279" i="1" s="1"/>
  <c r="CZ279" i="1"/>
  <c r="Y279" i="1" s="1"/>
  <c r="CQ304" i="1"/>
  <c r="AB302" i="1"/>
  <c r="I300" i="1"/>
  <c r="U300" i="1" s="1"/>
  <c r="T298" i="1"/>
  <c r="P294" i="1"/>
  <c r="CP294" i="1" s="1"/>
  <c r="O294" i="1" s="1"/>
  <c r="AB284" i="1"/>
  <c r="AB283" i="1"/>
  <c r="BZ193" i="1"/>
  <c r="AQ242" i="1"/>
  <c r="CS306" i="1"/>
  <c r="S301" i="1"/>
  <c r="V294" i="1"/>
  <c r="W283" i="1"/>
  <c r="S282" i="1"/>
  <c r="FT193" i="1"/>
  <c r="EK242" i="1"/>
  <c r="CZ226" i="1"/>
  <c r="Y226" i="1" s="1"/>
  <c r="CY226" i="1"/>
  <c r="X226" i="1" s="1"/>
  <c r="CB193" i="1"/>
  <c r="AS242" i="1"/>
  <c r="CR306" i="1"/>
  <c r="P304" i="1"/>
  <c r="R301" i="1"/>
  <c r="CR301" i="1"/>
  <c r="CS301" i="1"/>
  <c r="CQ298" i="1"/>
  <c r="W292" i="1"/>
  <c r="P292" i="1"/>
  <c r="CP292" i="1" s="1"/>
  <c r="O292" i="1" s="1"/>
  <c r="R282" i="1"/>
  <c r="S280" i="1"/>
  <c r="Q280" i="1"/>
  <c r="FR193" i="1"/>
  <c r="EI242" i="1"/>
  <c r="DY242" i="1"/>
  <c r="Q329" i="1"/>
  <c r="CP329" i="1" s="1"/>
  <c r="O329" i="1" s="1"/>
  <c r="GM329" i="1" s="1"/>
  <c r="GO329" i="1" s="1"/>
  <c r="Q323" i="1"/>
  <c r="Q318" i="1"/>
  <c r="GX306" i="1"/>
  <c r="S306" i="1"/>
  <c r="AD301" i="1"/>
  <c r="AB301" i="1" s="1"/>
  <c r="P296" i="1"/>
  <c r="S293" i="1"/>
  <c r="V292" i="1"/>
  <c r="Q288" i="1"/>
  <c r="I290" i="1"/>
  <c r="V280" i="1"/>
  <c r="CQ240" i="1"/>
  <c r="P240" i="1"/>
  <c r="AB240" i="1"/>
  <c r="FV193" i="1"/>
  <c r="EM242" i="1"/>
  <c r="CP297" i="1"/>
  <c r="O297" i="1" s="1"/>
  <c r="CY292" i="1"/>
  <c r="X292" i="1" s="1"/>
  <c r="CZ292" i="1"/>
  <c r="Y292" i="1" s="1"/>
  <c r="V283" i="1"/>
  <c r="CP225" i="1"/>
  <c r="O225" i="1" s="1"/>
  <c r="I315" i="1"/>
  <c r="T315" i="1" s="1"/>
  <c r="I312" i="1"/>
  <c r="T312" i="1" s="1"/>
  <c r="I309" i="1"/>
  <c r="GX309" i="1" s="1"/>
  <c r="R308" i="1"/>
  <c r="S304" i="1"/>
  <c r="W300" i="1"/>
  <c r="AB300" i="1"/>
  <c r="V297" i="1"/>
  <c r="U295" i="1"/>
  <c r="AB295" i="1"/>
  <c r="I299" i="1"/>
  <c r="GX299" i="1" s="1"/>
  <c r="Q293" i="1"/>
  <c r="I295" i="1"/>
  <c r="S295" i="1" s="1"/>
  <c r="I301" i="1"/>
  <c r="T301" i="1" s="1"/>
  <c r="CR292" i="1"/>
  <c r="R292" i="1"/>
  <c r="AB291" i="1"/>
  <c r="CR290" i="1"/>
  <c r="CS290" i="1"/>
  <c r="CQ289" i="1"/>
  <c r="P289" i="1"/>
  <c r="S288" i="1"/>
  <c r="T282" i="1"/>
  <c r="CQ277" i="1"/>
  <c r="P277" i="1"/>
  <c r="AB276" i="1"/>
  <c r="P276" i="1"/>
  <c r="CQ276" i="1"/>
  <c r="GX307" i="1"/>
  <c r="R304" i="1"/>
  <c r="CR304" i="1"/>
  <c r="CS304" i="1"/>
  <c r="T295" i="1"/>
  <c r="Q292" i="1"/>
  <c r="GX283" i="1"/>
  <c r="CR278" i="1"/>
  <c r="CS278" i="1"/>
  <c r="CJ242" i="1"/>
  <c r="R303" i="1"/>
  <c r="R300" i="1"/>
  <c r="R297" i="1"/>
  <c r="CY297" i="1" s="1"/>
  <c r="X297" i="1" s="1"/>
  <c r="R294" i="1"/>
  <c r="CZ294" i="1" s="1"/>
  <c r="Y294" i="1" s="1"/>
  <c r="R289" i="1"/>
  <c r="CY289" i="1" s="1"/>
  <c r="X289" i="1" s="1"/>
  <c r="R287" i="1"/>
  <c r="R285" i="1"/>
  <c r="R283" i="1"/>
  <c r="AB281" i="1"/>
  <c r="R280" i="1"/>
  <c r="AB278" i="1"/>
  <c r="I278" i="1"/>
  <c r="R277" i="1"/>
  <c r="CL193" i="1"/>
  <c r="BC242" i="1"/>
  <c r="BB242" i="1"/>
  <c r="T240" i="1"/>
  <c r="S239" i="1"/>
  <c r="CT234" i="1"/>
  <c r="S234" i="1"/>
  <c r="CP231" i="1"/>
  <c r="O231" i="1" s="1"/>
  <c r="P220" i="1"/>
  <c r="Q220" i="1"/>
  <c r="CZ206" i="1"/>
  <c r="Y206" i="1" s="1"/>
  <c r="CY206" i="1"/>
  <c r="X206" i="1" s="1"/>
  <c r="GM206" i="1" s="1"/>
  <c r="GO206" i="1" s="1"/>
  <c r="Q289" i="1"/>
  <c r="Q287" i="1"/>
  <c r="Q285" i="1"/>
  <c r="Q277" i="1"/>
  <c r="S236" i="1"/>
  <c r="CR234" i="1"/>
  <c r="CS234" i="1"/>
  <c r="AD234" i="1"/>
  <c r="AB234" i="1" s="1"/>
  <c r="S233" i="1"/>
  <c r="CT233" i="1"/>
  <c r="S228" i="1"/>
  <c r="CT228" i="1"/>
  <c r="CQ227" i="1"/>
  <c r="AB227" i="1"/>
  <c r="T223" i="1"/>
  <c r="AG242" i="1" s="1"/>
  <c r="AD233" i="1"/>
  <c r="AB233" i="1" s="1"/>
  <c r="CR233" i="1"/>
  <c r="CS233" i="1"/>
  <c r="AD228" i="1"/>
  <c r="AB228" i="1" s="1"/>
  <c r="CR228" i="1"/>
  <c r="CS228" i="1"/>
  <c r="AB232" i="1"/>
  <c r="CT232" i="1"/>
  <c r="P223" i="1"/>
  <c r="CP223" i="1" s="1"/>
  <c r="O223" i="1" s="1"/>
  <c r="Q223" i="1"/>
  <c r="CY205" i="1"/>
  <c r="X205" i="1" s="1"/>
  <c r="CZ205" i="1"/>
  <c r="Y205" i="1" s="1"/>
  <c r="EA242" i="1"/>
  <c r="P236" i="1"/>
  <c r="CQ236" i="1"/>
  <c r="CY227" i="1"/>
  <c r="X227" i="1" s="1"/>
  <c r="V223" i="1"/>
  <c r="AI242" i="1" s="1"/>
  <c r="S219" i="1"/>
  <c r="CP219" i="1" s="1"/>
  <c r="O219" i="1" s="1"/>
  <c r="CT219" i="1"/>
  <c r="CQ218" i="1"/>
  <c r="AB218" i="1"/>
  <c r="S215" i="1"/>
  <c r="CT215" i="1"/>
  <c r="EV242" i="1"/>
  <c r="S238" i="1"/>
  <c r="CT238" i="1"/>
  <c r="CQ237" i="1"/>
  <c r="AB237" i="1"/>
  <c r="AB236" i="1"/>
  <c r="R234" i="1"/>
  <c r="S231" i="1"/>
  <c r="CT231" i="1"/>
  <c r="CQ230" i="1"/>
  <c r="AB230" i="1"/>
  <c r="P227" i="1"/>
  <c r="CP227" i="1" s="1"/>
  <c r="O227" i="1" s="1"/>
  <c r="GX223" i="1"/>
  <c r="U223" i="1"/>
  <c r="AH242" i="1" s="1"/>
  <c r="R220" i="1"/>
  <c r="CZ220" i="1" s="1"/>
  <c r="Y220" i="1" s="1"/>
  <c r="AD219" i="1"/>
  <c r="AB219" i="1" s="1"/>
  <c r="CR219" i="1"/>
  <c r="CS219" i="1"/>
  <c r="W217" i="1"/>
  <c r="AB202" i="1"/>
  <c r="P202" i="1"/>
  <c r="CQ202" i="1"/>
  <c r="P293" i="1"/>
  <c r="P291" i="1"/>
  <c r="CP291" i="1" s="1"/>
  <c r="O291" i="1" s="1"/>
  <c r="R288" i="1"/>
  <c r="R286" i="1"/>
  <c r="R284" i="1"/>
  <c r="CZ284" i="1" s="1"/>
  <c r="Y284" i="1" s="1"/>
  <c r="P282" i="1"/>
  <c r="CP282" i="1" s="1"/>
  <c r="O282" i="1" s="1"/>
  <c r="P279" i="1"/>
  <c r="CP279" i="1" s="1"/>
  <c r="O279" i="1" s="1"/>
  <c r="GM279" i="1" s="1"/>
  <c r="GO279" i="1" s="1"/>
  <c r="R276" i="1"/>
  <c r="CZ276" i="1" s="1"/>
  <c r="Y276" i="1" s="1"/>
  <c r="EG242" i="1"/>
  <c r="AU242" i="1"/>
  <c r="S240" i="1"/>
  <c r="R239" i="1"/>
  <c r="AD238" i="1"/>
  <c r="AB238" i="1" s="1"/>
  <c r="CR238" i="1"/>
  <c r="CS238" i="1"/>
  <c r="Q234" i="1"/>
  <c r="CP234" i="1" s="1"/>
  <c r="O234" i="1" s="1"/>
  <c r="R233" i="1"/>
  <c r="FR232" i="1"/>
  <c r="AD231" i="1"/>
  <c r="CR231" i="1"/>
  <c r="CS231" i="1"/>
  <c r="R228" i="1"/>
  <c r="P226" i="1"/>
  <c r="CP226" i="1" s="1"/>
  <c r="O226" i="1" s="1"/>
  <c r="Q226" i="1"/>
  <c r="CT196" i="1"/>
  <c r="S196" i="1"/>
  <c r="Q276" i="1"/>
  <c r="ET242" i="1"/>
  <c r="T236" i="1"/>
  <c r="CZ235" i="1"/>
  <c r="Y235" i="1" s="1"/>
  <c r="Q233" i="1"/>
  <c r="CP233" i="1" s="1"/>
  <c r="O233" i="1" s="1"/>
  <c r="Q228" i="1"/>
  <c r="V226" i="1"/>
  <c r="S222" i="1"/>
  <c r="CP222" i="1" s="1"/>
  <c r="O222" i="1" s="1"/>
  <c r="CT222" i="1"/>
  <c r="CQ221" i="1"/>
  <c r="AB221" i="1"/>
  <c r="CY218" i="1"/>
  <c r="X218" i="1" s="1"/>
  <c r="P217" i="1"/>
  <c r="Q217" i="1"/>
  <c r="S217" i="1"/>
  <c r="FY242" i="1"/>
  <c r="CP230" i="1"/>
  <c r="O230" i="1" s="1"/>
  <c r="GX226" i="1"/>
  <c r="GB242" i="1" s="1"/>
  <c r="U226" i="1"/>
  <c r="DZ242" i="1" s="1"/>
  <c r="R223" i="1"/>
  <c r="CZ223" i="1" s="1"/>
  <c r="Y223" i="1" s="1"/>
  <c r="AD222" i="1"/>
  <c r="AB222" i="1" s="1"/>
  <c r="CR222" i="1"/>
  <c r="CS222" i="1"/>
  <c r="W220" i="1"/>
  <c r="EB242" i="1" s="1"/>
  <c r="P218" i="1"/>
  <c r="S232" i="1"/>
  <c r="S216" i="1"/>
  <c r="CT216" i="1"/>
  <c r="V236" i="1"/>
  <c r="S225" i="1"/>
  <c r="CT225" i="1"/>
  <c r="CQ224" i="1"/>
  <c r="AB224" i="1"/>
  <c r="CY221" i="1"/>
  <c r="X221" i="1" s="1"/>
  <c r="AB216" i="1"/>
  <c r="CR209" i="1"/>
  <c r="CS209" i="1"/>
  <c r="R209" i="1"/>
  <c r="CZ209" i="1" s="1"/>
  <c r="Y209" i="1" s="1"/>
  <c r="AD209" i="1"/>
  <c r="AB209" i="1" s="1"/>
  <c r="CM193" i="1"/>
  <c r="BD242" i="1"/>
  <c r="GX236" i="1"/>
  <c r="AD225" i="1"/>
  <c r="AB225" i="1" s="1"/>
  <c r="CR225" i="1"/>
  <c r="CS225" i="1"/>
  <c r="W223" i="1"/>
  <c r="AJ242" i="1" s="1"/>
  <c r="R240" i="1"/>
  <c r="R210" i="1"/>
  <c r="CY210" i="1" s="1"/>
  <c r="X210" i="1" s="1"/>
  <c r="CS210" i="1"/>
  <c r="AD210" i="1"/>
  <c r="CR206" i="1"/>
  <c r="CS206" i="1"/>
  <c r="AD206" i="1"/>
  <c r="AB206" i="1" s="1"/>
  <c r="R206" i="1"/>
  <c r="AB205" i="1"/>
  <c r="P205" i="1"/>
  <c r="CQ205" i="1"/>
  <c r="CZ151" i="1"/>
  <c r="Y151" i="1" s="1"/>
  <c r="CY151" i="1"/>
  <c r="X151" i="1" s="1"/>
  <c r="R237" i="1"/>
  <c r="CY237" i="1" s="1"/>
  <c r="X237" i="1" s="1"/>
  <c r="P235" i="1"/>
  <c r="AB231" i="1"/>
  <c r="R230" i="1"/>
  <c r="CZ230" i="1" s="1"/>
  <c r="Y230" i="1" s="1"/>
  <c r="R227" i="1"/>
  <c r="CZ227" i="1" s="1"/>
  <c r="Y227" i="1" s="1"/>
  <c r="R224" i="1"/>
  <c r="CZ224" i="1" s="1"/>
  <c r="Y224" i="1" s="1"/>
  <c r="R221" i="1"/>
  <c r="CZ221" i="1" s="1"/>
  <c r="Y221" i="1" s="1"/>
  <c r="R218" i="1"/>
  <c r="CZ218" i="1" s="1"/>
  <c r="Y218" i="1" s="1"/>
  <c r="CS216" i="1"/>
  <c r="AB210" i="1"/>
  <c r="P210" i="1"/>
  <c r="Q237" i="1"/>
  <c r="CP237" i="1" s="1"/>
  <c r="O237" i="1" s="1"/>
  <c r="Q230" i="1"/>
  <c r="Q227" i="1"/>
  <c r="Q224" i="1"/>
  <c r="CP224" i="1" s="1"/>
  <c r="O224" i="1" s="1"/>
  <c r="Q221" i="1"/>
  <c r="CP221" i="1" s="1"/>
  <c r="O221" i="1" s="1"/>
  <c r="GM221" i="1" s="1"/>
  <c r="GO221" i="1" s="1"/>
  <c r="Q218" i="1"/>
  <c r="CR216" i="1"/>
  <c r="CR215" i="1"/>
  <c r="CZ201" i="1"/>
  <c r="Y201" i="1" s="1"/>
  <c r="AU161" i="1"/>
  <c r="CD144" i="1"/>
  <c r="AO161" i="1"/>
  <c r="CG161" i="1"/>
  <c r="BX144" i="1"/>
  <c r="CR214" i="1"/>
  <c r="AD214" i="1"/>
  <c r="AB214" i="1" s="1"/>
  <c r="R214" i="1"/>
  <c r="CZ214" i="1" s="1"/>
  <c r="Y214" i="1" s="1"/>
  <c r="CQ207" i="1"/>
  <c r="P207" i="1"/>
  <c r="CP207" i="1" s="1"/>
  <c r="O207" i="1" s="1"/>
  <c r="CY198" i="1"/>
  <c r="X198" i="1" s="1"/>
  <c r="AB196" i="1"/>
  <c r="BZ144" i="1"/>
  <c r="AQ161" i="1"/>
  <c r="FT144" i="1"/>
  <c r="EK161" i="1"/>
  <c r="CS237" i="1"/>
  <c r="CS230" i="1"/>
  <c r="R229" i="1"/>
  <c r="CY229" i="1" s="1"/>
  <c r="X229" i="1" s="1"/>
  <c r="CS227" i="1"/>
  <c r="CS224" i="1"/>
  <c r="CS221" i="1"/>
  <c r="CS218" i="1"/>
  <c r="CR210" i="1"/>
  <c r="CZ208" i="1"/>
  <c r="Y208" i="1" s="1"/>
  <c r="AB208" i="1"/>
  <c r="P208" i="1"/>
  <c r="CP208" i="1" s="1"/>
  <c r="O208" i="1" s="1"/>
  <c r="GM208" i="1" s="1"/>
  <c r="GO208" i="1" s="1"/>
  <c r="CQ208" i="1"/>
  <c r="CR203" i="1"/>
  <c r="CS203" i="1"/>
  <c r="AD203" i="1"/>
  <c r="AB203" i="1" s="1"/>
  <c r="R203" i="1"/>
  <c r="AB199" i="1"/>
  <c r="P199" i="1"/>
  <c r="CQ199" i="1"/>
  <c r="AI161" i="1"/>
  <c r="R236" i="1"/>
  <c r="R215" i="1"/>
  <c r="CY213" i="1"/>
  <c r="X213" i="1" s="1"/>
  <c r="GM213" i="1" s="1"/>
  <c r="GO213" i="1" s="1"/>
  <c r="CR212" i="1"/>
  <c r="CS212" i="1"/>
  <c r="R212" i="1"/>
  <c r="CZ212" i="1" s="1"/>
  <c r="Y212" i="1" s="1"/>
  <c r="CQ210" i="1"/>
  <c r="Q210" i="1"/>
  <c r="CZ199" i="1"/>
  <c r="Y199" i="1" s="1"/>
  <c r="P239" i="1"/>
  <c r="P229" i="1"/>
  <c r="CP229" i="1" s="1"/>
  <c r="O229" i="1" s="1"/>
  <c r="Q215" i="1"/>
  <c r="CR200" i="1"/>
  <c r="CS200" i="1"/>
  <c r="AD200" i="1"/>
  <c r="AB200" i="1" s="1"/>
  <c r="R200" i="1"/>
  <c r="CZ200" i="1" s="1"/>
  <c r="Y200" i="1" s="1"/>
  <c r="GM195" i="1"/>
  <c r="EU161" i="1"/>
  <c r="CJ161" i="1"/>
  <c r="P215" i="1"/>
  <c r="CZ203" i="1"/>
  <c r="Y203" i="1" s="1"/>
  <c r="R197" i="1"/>
  <c r="CR197" i="1"/>
  <c r="CS197" i="1"/>
  <c r="AD197" i="1"/>
  <c r="AB197" i="1" s="1"/>
  <c r="Q197" i="1"/>
  <c r="CY155" i="1"/>
  <c r="X155" i="1" s="1"/>
  <c r="CZ155" i="1"/>
  <c r="Y155" i="1" s="1"/>
  <c r="Q216" i="1"/>
  <c r="CP216" i="1" s="1"/>
  <c r="O216" i="1" s="1"/>
  <c r="AD215" i="1"/>
  <c r="AB215" i="1" s="1"/>
  <c r="Q214" i="1"/>
  <c r="CP214" i="1" s="1"/>
  <c r="O214" i="1" s="1"/>
  <c r="AB211" i="1"/>
  <c r="P211" i="1"/>
  <c r="CP211" i="1" s="1"/>
  <c r="O211" i="1" s="1"/>
  <c r="GM211" i="1" s="1"/>
  <c r="GO211" i="1" s="1"/>
  <c r="CQ211" i="1"/>
  <c r="Q200" i="1"/>
  <c r="CP200" i="1" s="1"/>
  <c r="O200" i="1" s="1"/>
  <c r="FT83" i="1"/>
  <c r="EK112" i="1"/>
  <c r="CR213" i="1"/>
  <c r="CU1" i="3"/>
  <c r="CX8" i="3"/>
  <c r="CX9" i="3"/>
  <c r="CX1" i="3"/>
  <c r="CX5" i="3"/>
  <c r="CX4" i="3"/>
  <c r="CX11" i="3"/>
  <c r="CX3" i="3"/>
  <c r="CW2" i="3"/>
  <c r="AD207" i="1"/>
  <c r="AB207" i="1" s="1"/>
  <c r="AD204" i="1"/>
  <c r="AB204" i="1" s="1"/>
  <c r="P204" i="1"/>
  <c r="CP204" i="1" s="1"/>
  <c r="O204" i="1" s="1"/>
  <c r="CY203" i="1"/>
  <c r="X203" i="1" s="1"/>
  <c r="GM203" i="1" s="1"/>
  <c r="GO203" i="1" s="1"/>
  <c r="AD201" i="1"/>
  <c r="AB201" i="1" s="1"/>
  <c r="P201" i="1"/>
  <c r="CP201" i="1" s="1"/>
  <c r="O201" i="1" s="1"/>
  <c r="CY200" i="1"/>
  <c r="X200" i="1" s="1"/>
  <c r="AD198" i="1"/>
  <c r="P198" i="1"/>
  <c r="AD156" i="1"/>
  <c r="AB156" i="1" s="1"/>
  <c r="W151" i="1"/>
  <c r="EB161" i="1" s="1"/>
  <c r="CP93" i="1"/>
  <c r="O93" i="1" s="1"/>
  <c r="CP157" i="1"/>
  <c r="O157" i="1" s="1"/>
  <c r="CY152" i="1"/>
  <c r="X152" i="1" s="1"/>
  <c r="T151" i="1"/>
  <c r="P148" i="1"/>
  <c r="CP148" i="1" s="1"/>
  <c r="O148" i="1" s="1"/>
  <c r="Q148" i="1"/>
  <c r="EG144" i="1"/>
  <c r="Q108" i="1"/>
  <c r="S108" i="1"/>
  <c r="T108" i="1"/>
  <c r="CY106" i="1"/>
  <c r="X106" i="1" s="1"/>
  <c r="CZ106" i="1"/>
  <c r="Y106" i="1" s="1"/>
  <c r="W105" i="1"/>
  <c r="P105" i="1"/>
  <c r="CS207" i="1"/>
  <c r="CS204" i="1"/>
  <c r="CS201" i="1"/>
  <c r="CS198" i="1"/>
  <c r="AB198" i="1"/>
  <c r="Q196" i="1"/>
  <c r="CY159" i="1"/>
  <c r="X159" i="1" s="1"/>
  <c r="CZ159" i="1"/>
  <c r="Y159" i="1" s="1"/>
  <c r="CT158" i="1"/>
  <c r="S158" i="1"/>
  <c r="AB155" i="1"/>
  <c r="CT155" i="1"/>
  <c r="V105" i="1"/>
  <c r="CZ91" i="1"/>
  <c r="Y91" i="1" s="1"/>
  <c r="CY91" i="1"/>
  <c r="X91" i="1" s="1"/>
  <c r="CR158" i="1"/>
  <c r="CS158" i="1"/>
  <c r="AD158" i="1"/>
  <c r="P151" i="1"/>
  <c r="CP151" i="1" s="1"/>
  <c r="O151" i="1" s="1"/>
  <c r="GM151" i="1" s="1"/>
  <c r="GO151" i="1" s="1"/>
  <c r="Q151" i="1"/>
  <c r="Q105" i="1"/>
  <c r="R105" i="1"/>
  <c r="S105" i="1"/>
  <c r="T105" i="1"/>
  <c r="P159" i="1"/>
  <c r="AB158" i="1"/>
  <c r="DY161" i="1"/>
  <c r="CT110" i="1"/>
  <c r="S110" i="1"/>
  <c r="CD112" i="1"/>
  <c r="Q95" i="1"/>
  <c r="I99" i="1"/>
  <c r="R95" i="1"/>
  <c r="I97" i="1"/>
  <c r="CX22" i="3"/>
  <c r="CW13" i="3"/>
  <c r="CU12" i="3"/>
  <c r="CX13" i="3"/>
  <c r="CX20" i="3"/>
  <c r="CV12" i="3"/>
  <c r="CX18" i="3"/>
  <c r="AS161" i="1"/>
  <c r="CR156" i="1"/>
  <c r="CZ156" i="1"/>
  <c r="Y156" i="1" s="1"/>
  <c r="GX151" i="1"/>
  <c r="GB161" i="1" s="1"/>
  <c r="V151" i="1"/>
  <c r="EA161" i="1" s="1"/>
  <c r="CT147" i="1"/>
  <c r="S147" i="1"/>
  <c r="CR110" i="1"/>
  <c r="CS110" i="1"/>
  <c r="AD110" i="1"/>
  <c r="AB110" i="1" s="1"/>
  <c r="Q110" i="1"/>
  <c r="U108" i="1"/>
  <c r="CR103" i="1"/>
  <c r="CS103" i="1"/>
  <c r="Q103" i="1"/>
  <c r="CP103" i="1" s="1"/>
  <c r="O103" i="1" s="1"/>
  <c r="R103" i="1"/>
  <c r="AD103" i="1"/>
  <c r="AB103" i="1" s="1"/>
  <c r="Q156" i="1"/>
  <c r="CP156" i="1" s="1"/>
  <c r="O156" i="1" s="1"/>
  <c r="GM156" i="1" s="1"/>
  <c r="GO156" i="1" s="1"/>
  <c r="CY154" i="1"/>
  <c r="X154" i="1" s="1"/>
  <c r="GM154" i="1" s="1"/>
  <c r="CZ154" i="1"/>
  <c r="Y154" i="1" s="1"/>
  <c r="U151" i="1"/>
  <c r="CR147" i="1"/>
  <c r="CS147" i="1"/>
  <c r="AD147" i="1"/>
  <c r="AB147" i="1" s="1"/>
  <c r="AB146" i="1"/>
  <c r="CQ146" i="1"/>
  <c r="GX108" i="1"/>
  <c r="U100" i="1"/>
  <c r="CQ92" i="1"/>
  <c r="AB92" i="1"/>
  <c r="P92" i="1"/>
  <c r="AB85" i="1"/>
  <c r="CQ85" i="1"/>
  <c r="P85" i="1"/>
  <c r="R213" i="1"/>
  <c r="CZ213" i="1" s="1"/>
  <c r="Y213" i="1" s="1"/>
  <c r="Q208" i="1"/>
  <c r="Q205" i="1"/>
  <c r="Q202" i="1"/>
  <c r="Q199" i="1"/>
  <c r="CS196" i="1"/>
  <c r="AB195" i="1"/>
  <c r="FY161" i="1"/>
  <c r="AB157" i="1"/>
  <c r="AD154" i="1"/>
  <c r="CR154" i="1"/>
  <c r="CS154" i="1"/>
  <c r="CR153" i="1"/>
  <c r="CS153" i="1"/>
  <c r="R153" i="1"/>
  <c r="CY153" i="1" s="1"/>
  <c r="X153" i="1" s="1"/>
  <c r="CT150" i="1"/>
  <c r="S150" i="1"/>
  <c r="FR161" i="1"/>
  <c r="R148" i="1"/>
  <c r="CZ148" i="1" s="1"/>
  <c r="Y148" i="1" s="1"/>
  <c r="CR107" i="1"/>
  <c r="CS107" i="1"/>
  <c r="Q107" i="1"/>
  <c r="CP107" i="1" s="1"/>
  <c r="O107" i="1" s="1"/>
  <c r="AD107" i="1"/>
  <c r="AB107" i="1" s="1"/>
  <c r="W99" i="1"/>
  <c r="Q92" i="1"/>
  <c r="T92" i="1"/>
  <c r="CR196" i="1"/>
  <c r="EV144" i="1"/>
  <c r="P186" i="1"/>
  <c r="AD153" i="1"/>
  <c r="AB153" i="1" s="1"/>
  <c r="CR150" i="1"/>
  <c r="CS150" i="1"/>
  <c r="AD150" i="1"/>
  <c r="AB149" i="1"/>
  <c r="CQ149" i="1"/>
  <c r="AH161" i="1"/>
  <c r="U105" i="1"/>
  <c r="GX100" i="1"/>
  <c r="AB150" i="1"/>
  <c r="CY146" i="1"/>
  <c r="X146" i="1" s="1"/>
  <c r="BY83" i="1"/>
  <c r="AP112" i="1"/>
  <c r="EM112" i="1"/>
  <c r="FV83" i="1"/>
  <c r="R207" i="1"/>
  <c r="CY207" i="1" s="1"/>
  <c r="X207" i="1" s="1"/>
  <c r="R204" i="1"/>
  <c r="CY204" i="1" s="1"/>
  <c r="X204" i="1" s="1"/>
  <c r="R201" i="1"/>
  <c r="CY201" i="1" s="1"/>
  <c r="X201" i="1" s="1"/>
  <c r="R198" i="1"/>
  <c r="CQ195" i="1"/>
  <c r="ET144" i="1"/>
  <c r="P174" i="1"/>
  <c r="Q158" i="1"/>
  <c r="AB152" i="1"/>
  <c r="CQ152" i="1"/>
  <c r="W148" i="1"/>
  <c r="AJ161" i="1" s="1"/>
  <c r="DZ161" i="1"/>
  <c r="R147" i="1"/>
  <c r="P146" i="1"/>
  <c r="CT98" i="1"/>
  <c r="BC161" i="1"/>
  <c r="CP155" i="1"/>
  <c r="O155" i="1" s="1"/>
  <c r="T148" i="1"/>
  <c r="AG161" i="1" s="1"/>
  <c r="FV144" i="1"/>
  <c r="EM144" i="1"/>
  <c r="BD83" i="1"/>
  <c r="F137" i="1"/>
  <c r="CY109" i="1"/>
  <c r="X109" i="1" s="1"/>
  <c r="CZ109" i="1"/>
  <c r="Y109" i="1" s="1"/>
  <c r="V108" i="1"/>
  <c r="CB83" i="1"/>
  <c r="AS112" i="1"/>
  <c r="FP83" i="1"/>
  <c r="EG112" i="1"/>
  <c r="W106" i="1"/>
  <c r="CS104" i="1"/>
  <c r="AD104" i="1"/>
  <c r="AB104" i="1" s="1"/>
  <c r="W97" i="1"/>
  <c r="P94" i="1"/>
  <c r="Q94" i="1"/>
  <c r="AB91" i="1"/>
  <c r="CR90" i="1"/>
  <c r="CS90" i="1"/>
  <c r="S89" i="1"/>
  <c r="P88" i="1"/>
  <c r="CP88" i="1" s="1"/>
  <c r="O88" i="1" s="1"/>
  <c r="Q88" i="1"/>
  <c r="AO83" i="1"/>
  <c r="AB154" i="1"/>
  <c r="AD151" i="1"/>
  <c r="AB151" i="1" s="1"/>
  <c r="AD148" i="1"/>
  <c r="AB148" i="1" s="1"/>
  <c r="P125" i="1"/>
  <c r="W95" i="1"/>
  <c r="P95" i="1"/>
  <c r="CP95" i="1" s="1"/>
  <c r="O95" i="1" s="1"/>
  <c r="CY85" i="1"/>
  <c r="X85" i="1" s="1"/>
  <c r="BX26" i="1"/>
  <c r="AO51" i="1"/>
  <c r="CG51" i="1"/>
  <c r="AB109" i="1"/>
  <c r="Q106" i="1"/>
  <c r="CP106" i="1" s="1"/>
  <c r="O106" i="1" s="1"/>
  <c r="GM106" i="1" s="1"/>
  <c r="GO106" i="1" s="1"/>
  <c r="R106" i="1"/>
  <c r="CZ96" i="1"/>
  <c r="Y96" i="1" s="1"/>
  <c r="V95" i="1"/>
  <c r="AB95" i="1"/>
  <c r="W92" i="1"/>
  <c r="AS26" i="1"/>
  <c r="F68" i="1"/>
  <c r="U43" i="1"/>
  <c r="V38" i="1"/>
  <c r="W108" i="1"/>
  <c r="P108" i="1"/>
  <c r="CT107" i="1"/>
  <c r="S107" i="1"/>
  <c r="GX105" i="1"/>
  <c r="CT103" i="1"/>
  <c r="S103" i="1"/>
  <c r="U40" i="1"/>
  <c r="CX21" i="3"/>
  <c r="P158" i="1"/>
  <c r="Q155" i="1"/>
  <c r="P150" i="1"/>
  <c r="CP150" i="1" s="1"/>
  <c r="O150" i="1" s="1"/>
  <c r="P147" i="1"/>
  <c r="CY104" i="1"/>
  <c r="X104" i="1" s="1"/>
  <c r="V99" i="1"/>
  <c r="AB99" i="1"/>
  <c r="CR98" i="1"/>
  <c r="CS98" i="1"/>
  <c r="P96" i="1"/>
  <c r="CP96" i="1" s="1"/>
  <c r="O96" i="1" s="1"/>
  <c r="GM96" i="1" s="1"/>
  <c r="GO96" i="1" s="1"/>
  <c r="Q96" i="1"/>
  <c r="I98" i="1"/>
  <c r="R98" i="1" s="1"/>
  <c r="W94" i="1"/>
  <c r="CT93" i="1"/>
  <c r="S93" i="1"/>
  <c r="GX91" i="1"/>
  <c r="W88" i="1"/>
  <c r="CT87" i="1"/>
  <c r="S87" i="1"/>
  <c r="CP87" i="1" s="1"/>
  <c r="O87" i="1" s="1"/>
  <c r="FY112" i="1"/>
  <c r="W109" i="1"/>
  <c r="P109" i="1"/>
  <c r="R104" i="1"/>
  <c r="CZ104" i="1" s="1"/>
  <c r="Y104" i="1" s="1"/>
  <c r="AB98" i="1"/>
  <c r="S95" i="1"/>
  <c r="V94" i="1"/>
  <c r="AB94" i="1"/>
  <c r="CR93" i="1"/>
  <c r="CS93" i="1"/>
  <c r="S92" i="1"/>
  <c r="P91" i="1"/>
  <c r="CP91" i="1" s="1"/>
  <c r="O91" i="1" s="1"/>
  <c r="GM91" i="1" s="1"/>
  <c r="GO91" i="1" s="1"/>
  <c r="Q91" i="1"/>
  <c r="R90" i="1"/>
  <c r="V88" i="1"/>
  <c r="AB88" i="1"/>
  <c r="CR87" i="1"/>
  <c r="CS87" i="1"/>
  <c r="CZ85" i="1"/>
  <c r="Y85" i="1" s="1"/>
  <c r="P61" i="1"/>
  <c r="R157" i="1"/>
  <c r="CZ157" i="1" s="1"/>
  <c r="Y157" i="1" s="1"/>
  <c r="R152" i="1"/>
  <c r="CZ152" i="1" s="1"/>
  <c r="Y152" i="1" s="1"/>
  <c r="R149" i="1"/>
  <c r="CZ149" i="1" s="1"/>
  <c r="Y149" i="1" s="1"/>
  <c r="R146" i="1"/>
  <c r="P128" i="1"/>
  <c r="Q104" i="1"/>
  <c r="W100" i="1"/>
  <c r="P100" i="1"/>
  <c r="GX95" i="1"/>
  <c r="Q90" i="1"/>
  <c r="CP90" i="1" s="1"/>
  <c r="O90" i="1" s="1"/>
  <c r="T89" i="1"/>
  <c r="AD87" i="1"/>
  <c r="AB87" i="1" s="1"/>
  <c r="CZ47" i="1"/>
  <c r="Y47" i="1" s="1"/>
  <c r="CY47" i="1"/>
  <c r="X47" i="1" s="1"/>
  <c r="Q157" i="1"/>
  <c r="Q152" i="1"/>
  <c r="CP152" i="1" s="1"/>
  <c r="O152" i="1" s="1"/>
  <c r="GM152" i="1" s="1"/>
  <c r="Q149" i="1"/>
  <c r="Q146" i="1"/>
  <c r="Q109" i="1"/>
  <c r="R109" i="1"/>
  <c r="U98" i="1"/>
  <c r="DZ112" i="1" s="1"/>
  <c r="CY96" i="1"/>
  <c r="X96" i="1" s="1"/>
  <c r="U95" i="1"/>
  <c r="W89" i="1"/>
  <c r="P89" i="1"/>
  <c r="FR112" i="1"/>
  <c r="U44" i="1"/>
  <c r="W43" i="1"/>
  <c r="GX42" i="1"/>
  <c r="CP28" i="1"/>
  <c r="O28" i="1" s="1"/>
  <c r="V43" i="1"/>
  <c r="GX99" i="1"/>
  <c r="CZ94" i="1"/>
  <c r="Y94" i="1" s="1"/>
  <c r="CQ86" i="1"/>
  <c r="P86" i="1"/>
  <c r="BZ112" i="1"/>
  <c r="EU26" i="1"/>
  <c r="P67" i="1"/>
  <c r="GX44" i="1"/>
  <c r="AB101" i="1"/>
  <c r="S100" i="1"/>
  <c r="U99" i="1"/>
  <c r="GX94" i="1"/>
  <c r="R94" i="1"/>
  <c r="CY94" i="1" s="1"/>
  <c r="X94" i="1" s="1"/>
  <c r="W91" i="1"/>
  <c r="CT90" i="1"/>
  <c r="S90" i="1"/>
  <c r="GX88" i="1"/>
  <c r="R88" i="1"/>
  <c r="AB86" i="1"/>
  <c r="R102" i="1"/>
  <c r="CZ102" i="1" s="1"/>
  <c r="Y102" i="1" s="1"/>
  <c r="R100" i="1"/>
  <c r="R97" i="1"/>
  <c r="R92" i="1"/>
  <c r="R89" i="1"/>
  <c r="Q86" i="1"/>
  <c r="V42" i="1"/>
  <c r="FR39" i="1"/>
  <c r="FQ51" i="1" s="1"/>
  <c r="CP39" i="1"/>
  <c r="O39" i="1" s="1"/>
  <c r="CV1" i="3"/>
  <c r="Q102" i="1"/>
  <c r="CP102" i="1" s="1"/>
  <c r="O102" i="1" s="1"/>
  <c r="AD48" i="1"/>
  <c r="AB48" i="1" s="1"/>
  <c r="R48" i="1"/>
  <c r="CZ48" i="1" s="1"/>
  <c r="Y48" i="1" s="1"/>
  <c r="CR48" i="1"/>
  <c r="CS48" i="1"/>
  <c r="CP47" i="1"/>
  <c r="O47" i="1" s="1"/>
  <c r="CX14" i="3"/>
  <c r="CT49" i="1"/>
  <c r="S49" i="1"/>
  <c r="GX43" i="1"/>
  <c r="W42" i="1"/>
  <c r="P104" i="1"/>
  <c r="CR86" i="1"/>
  <c r="CR85" i="1"/>
  <c r="U42" i="1"/>
  <c r="V41" i="1"/>
  <c r="GX40" i="1"/>
  <c r="AB49" i="1"/>
  <c r="CY48" i="1"/>
  <c r="X48" i="1" s="1"/>
  <c r="CY32" i="1"/>
  <c r="X32" i="1" s="1"/>
  <c r="CY30" i="1"/>
  <c r="X30" i="1" s="1"/>
  <c r="Q101" i="1"/>
  <c r="CP101" i="1" s="1"/>
  <c r="O101" i="1" s="1"/>
  <c r="GM101" i="1" s="1"/>
  <c r="GO101" i="1" s="1"/>
  <c r="F70" i="1"/>
  <c r="FV26" i="1"/>
  <c r="EM51" i="1"/>
  <c r="AQ51" i="1"/>
  <c r="BZ26" i="1"/>
  <c r="V40" i="1"/>
  <c r="Q85" i="1"/>
  <c r="EV26" i="1"/>
  <c r="P76" i="1"/>
  <c r="T40" i="1"/>
  <c r="P64" i="1"/>
  <c r="BB51" i="1"/>
  <c r="Q46" i="1"/>
  <c r="R45" i="1"/>
  <c r="CY45" i="1" s="1"/>
  <c r="X45" i="1" s="1"/>
  <c r="U41" i="1"/>
  <c r="DZ51" i="1" s="1"/>
  <c r="I40" i="1"/>
  <c r="R37" i="1"/>
  <c r="R36" i="1"/>
  <c r="CY35" i="1"/>
  <c r="X35" i="1" s="1"/>
  <c r="P35" i="1"/>
  <c r="Q32" i="1"/>
  <c r="W30" i="1"/>
  <c r="U30" i="1"/>
  <c r="FR26" i="1"/>
  <c r="CX17" i="3"/>
  <c r="P46" i="1"/>
  <c r="CP46" i="1" s="1"/>
  <c r="O46" i="1" s="1"/>
  <c r="GM46" i="1" s="1"/>
  <c r="GO46" i="1" s="1"/>
  <c r="GX39" i="1"/>
  <c r="Q37" i="1"/>
  <c r="P36" i="1"/>
  <c r="T30" i="1"/>
  <c r="CX10" i="3"/>
  <c r="AB47" i="1"/>
  <c r="AD46" i="1"/>
  <c r="AB46" i="1" s="1"/>
  <c r="P45" i="1"/>
  <c r="CP45" i="1" s="1"/>
  <c r="O45" i="1" s="1"/>
  <c r="V39" i="1"/>
  <c r="EA51" i="1" s="1"/>
  <c r="P37" i="1"/>
  <c r="CP37" i="1" s="1"/>
  <c r="O37" i="1" s="1"/>
  <c r="AD35" i="1"/>
  <c r="AB35" i="1" s="1"/>
  <c r="CS34" i="1"/>
  <c r="T33" i="1"/>
  <c r="R30" i="1"/>
  <c r="CX2" i="3"/>
  <c r="I41" i="1"/>
  <c r="T41" i="1" s="1"/>
  <c r="W37" i="1"/>
  <c r="W34" i="1"/>
  <c r="W31" i="1"/>
  <c r="CX19" i="3"/>
  <c r="CP33" i="1"/>
  <c r="O33" i="1" s="1"/>
  <c r="GD26" i="1"/>
  <c r="CD26" i="1"/>
  <c r="Q49" i="1"/>
  <c r="CP49" i="1" s="1"/>
  <c r="O49" i="1" s="1"/>
  <c r="CR46" i="1"/>
  <c r="CT45" i="1"/>
  <c r="AB45" i="1"/>
  <c r="I44" i="1"/>
  <c r="T44" i="1" s="1"/>
  <c r="S39" i="1"/>
  <c r="CS35" i="1"/>
  <c r="S33" i="1"/>
  <c r="CR29" i="1"/>
  <c r="FY51" i="1"/>
  <c r="I42" i="1"/>
  <c r="T42" i="1" s="1"/>
  <c r="I38" i="1"/>
  <c r="U38" i="1" s="1"/>
  <c r="AH51" i="1" s="1"/>
  <c r="GX36" i="1"/>
  <c r="GX35" i="1"/>
  <c r="T31" i="1"/>
  <c r="EG51" i="1"/>
  <c r="I43" i="1"/>
  <c r="S43" i="1" s="1"/>
  <c r="CS37" i="1"/>
  <c r="R34" i="1"/>
  <c r="CS32" i="1"/>
  <c r="R31" i="1"/>
  <c r="P30" i="1"/>
  <c r="CY29" i="1"/>
  <c r="X29" i="1" s="1"/>
  <c r="CZ29" i="1"/>
  <c r="Y29" i="1" s="1"/>
  <c r="CT28" i="1"/>
  <c r="S28" i="1"/>
  <c r="CX12" i="3"/>
  <c r="CX6" i="3"/>
  <c r="R40" i="1"/>
  <c r="CR32" i="1"/>
  <c r="CT30" i="1"/>
  <c r="AB30" i="1"/>
  <c r="CS39" i="1"/>
  <c r="R39" i="1"/>
  <c r="CT34" i="1"/>
  <c r="S34" i="1"/>
  <c r="CX15" i="3"/>
  <c r="CX7" i="3"/>
  <c r="BD51" i="1"/>
  <c r="CZ46" i="1"/>
  <c r="Y46" i="1" s="1"/>
  <c r="AD39" i="1"/>
  <c r="AB39" i="1" s="1"/>
  <c r="CZ32" i="1"/>
  <c r="Y32" i="1" s="1"/>
  <c r="CT31" i="1"/>
  <c r="S31" i="1"/>
  <c r="CP31" i="1" s="1"/>
  <c r="O31" i="1" s="1"/>
  <c r="CP29" i="1"/>
  <c r="O29" i="1" s="1"/>
  <c r="BC51" i="1"/>
  <c r="S40" i="1"/>
  <c r="CQ39" i="1"/>
  <c r="S37" i="1"/>
  <c r="U36" i="1"/>
  <c r="S36" i="1"/>
  <c r="AD34" i="1"/>
  <c r="AB34" i="1" s="1"/>
  <c r="GX30" i="1"/>
  <c r="CQ30" i="1"/>
  <c r="CX16" i="3"/>
  <c r="AH26" i="1" l="1"/>
  <c r="U51" i="1"/>
  <c r="CY295" i="1"/>
  <c r="X295" i="1" s="1"/>
  <c r="CZ295" i="1"/>
  <c r="Y295" i="1" s="1"/>
  <c r="GM90" i="1"/>
  <c r="GO90" i="1" s="1"/>
  <c r="DN161" i="1"/>
  <c r="EA144" i="1"/>
  <c r="EA26" i="1"/>
  <c r="DN51" i="1"/>
  <c r="GM48" i="1"/>
  <c r="GO48" i="1" s="1"/>
  <c r="ES161" i="1"/>
  <c r="GB144" i="1"/>
  <c r="AI193" i="1"/>
  <c r="V242" i="1"/>
  <c r="DZ83" i="1"/>
  <c r="DM112" i="1"/>
  <c r="GB193" i="1"/>
  <c r="ES242" i="1"/>
  <c r="AH193" i="1"/>
  <c r="U242" i="1"/>
  <c r="CZ43" i="1"/>
  <c r="Y43" i="1" s="1"/>
  <c r="AG193" i="1"/>
  <c r="T242" i="1"/>
  <c r="EB193" i="1"/>
  <c r="DO242" i="1"/>
  <c r="GM237" i="1"/>
  <c r="GO237" i="1" s="1"/>
  <c r="DM51" i="1"/>
  <c r="DZ26" i="1"/>
  <c r="AJ193" i="1"/>
  <c r="W242" i="1"/>
  <c r="FY144" i="1"/>
  <c r="EP161" i="1"/>
  <c r="EM26" i="1"/>
  <c r="P70" i="1"/>
  <c r="EM369" i="1"/>
  <c r="FR144" i="1"/>
  <c r="EI161" i="1"/>
  <c r="S290" i="1"/>
  <c r="GX290" i="1"/>
  <c r="P290" i="1"/>
  <c r="CP290" i="1" s="1"/>
  <c r="O290" i="1" s="1"/>
  <c r="Q290" i="1"/>
  <c r="W290" i="1"/>
  <c r="V290" i="1"/>
  <c r="CZ313" i="1"/>
  <c r="Y313" i="1" s="1"/>
  <c r="CY313" i="1"/>
  <c r="X313" i="1" s="1"/>
  <c r="AD161" i="1"/>
  <c r="DY193" i="1"/>
  <c r="DL242" i="1"/>
  <c r="CY281" i="1"/>
  <c r="X281" i="1" s="1"/>
  <c r="GM281" i="1" s="1"/>
  <c r="GO281" i="1" s="1"/>
  <c r="EU193" i="1"/>
  <c r="P258" i="1"/>
  <c r="CY33" i="1"/>
  <c r="X33" i="1" s="1"/>
  <c r="CZ33" i="1"/>
  <c r="Y33" i="1" s="1"/>
  <c r="DH19" i="3"/>
  <c r="DI19" i="3"/>
  <c r="DF19" i="3"/>
  <c r="DJ19" i="3" s="1"/>
  <c r="DG19" i="3"/>
  <c r="DF17" i="3"/>
  <c r="DJ17" i="3" s="1"/>
  <c r="DG17" i="3"/>
  <c r="DH17" i="3"/>
  <c r="DI17" i="3"/>
  <c r="CZ45" i="1"/>
  <c r="Y45" i="1" s="1"/>
  <c r="DW112" i="1"/>
  <c r="CY88" i="1"/>
  <c r="X88" i="1" s="1"/>
  <c r="DV161" i="1"/>
  <c r="FY83" i="1"/>
  <c r="EP112" i="1"/>
  <c r="CY102" i="1"/>
  <c r="X102" i="1" s="1"/>
  <c r="GM102" i="1" s="1"/>
  <c r="GO102" i="1" s="1"/>
  <c r="CY150" i="1"/>
  <c r="X150" i="1" s="1"/>
  <c r="CZ150" i="1"/>
  <c r="Y150" i="1" s="1"/>
  <c r="GM150" i="1" s="1"/>
  <c r="GO150" i="1" s="1"/>
  <c r="FR159" i="1"/>
  <c r="FQ161" i="1" s="1"/>
  <c r="CP159" i="1"/>
  <c r="O159" i="1" s="1"/>
  <c r="GM159" i="1" s="1"/>
  <c r="DV242" i="1"/>
  <c r="CP149" i="1"/>
  <c r="O149" i="1" s="1"/>
  <c r="CY212" i="1"/>
  <c r="X212" i="1" s="1"/>
  <c r="GM212" i="1" s="1"/>
  <c r="GO212" i="1" s="1"/>
  <c r="CZ237" i="1"/>
  <c r="Y237" i="1" s="1"/>
  <c r="CY286" i="1"/>
  <c r="X286" i="1" s="1"/>
  <c r="CZ286" i="1"/>
  <c r="Y286" i="1" s="1"/>
  <c r="CY238" i="1"/>
  <c r="X238" i="1" s="1"/>
  <c r="CZ238" i="1"/>
  <c r="Y238" i="1" s="1"/>
  <c r="CY277" i="1"/>
  <c r="X277" i="1" s="1"/>
  <c r="CZ277" i="1"/>
  <c r="Y277" i="1" s="1"/>
  <c r="V302" i="1"/>
  <c r="CY282" i="1"/>
  <c r="X282" i="1" s="1"/>
  <c r="CZ282" i="1"/>
  <c r="Y282" i="1" s="1"/>
  <c r="CP288" i="1"/>
  <c r="O288" i="1" s="1"/>
  <c r="CZ319" i="1"/>
  <c r="Y319" i="1" s="1"/>
  <c r="CY319" i="1"/>
  <c r="X319" i="1" s="1"/>
  <c r="S312" i="1"/>
  <c r="CG26" i="1"/>
  <c r="AX51" i="1"/>
  <c r="DG16" i="3"/>
  <c r="DF16" i="3"/>
  <c r="DJ16" i="3" s="1"/>
  <c r="DH16" i="3"/>
  <c r="DI16" i="3"/>
  <c r="BB26" i="1"/>
  <c r="F64" i="1"/>
  <c r="BB369" i="1"/>
  <c r="Q97" i="1"/>
  <c r="U97" i="1"/>
  <c r="AH112" i="1" s="1"/>
  <c r="P97" i="1"/>
  <c r="CP97" i="1" s="1"/>
  <c r="O97" i="1" s="1"/>
  <c r="V97" i="1"/>
  <c r="AI112" i="1" s="1"/>
  <c r="EB144" i="1"/>
  <c r="DO161" i="1"/>
  <c r="P129" i="1"/>
  <c r="EK83" i="1"/>
  <c r="EK369" i="1"/>
  <c r="AE242" i="1"/>
  <c r="BD193" i="1"/>
  <c r="F267" i="1"/>
  <c r="DZ193" i="1"/>
  <c r="DM242" i="1"/>
  <c r="EV193" i="1"/>
  <c r="P267" i="1"/>
  <c r="EV369" i="1"/>
  <c r="FR236" i="1"/>
  <c r="CP236" i="1"/>
  <c r="O236" i="1" s="1"/>
  <c r="CY228" i="1"/>
  <c r="X228" i="1" s="1"/>
  <c r="GM228" i="1" s="1"/>
  <c r="GO228" i="1" s="1"/>
  <c r="CZ228" i="1"/>
  <c r="Y228" i="1" s="1"/>
  <c r="S278" i="1"/>
  <c r="P278" i="1"/>
  <c r="Q278" i="1"/>
  <c r="V278" i="1"/>
  <c r="W278" i="1"/>
  <c r="R290" i="1"/>
  <c r="EI193" i="1"/>
  <c r="P252" i="1"/>
  <c r="Q300" i="1"/>
  <c r="S300" i="1"/>
  <c r="P300" i="1"/>
  <c r="GX300" i="1"/>
  <c r="GM280" i="1"/>
  <c r="GO280" i="1" s="1"/>
  <c r="V299" i="1"/>
  <c r="T299" i="1"/>
  <c r="DY339" i="1" s="1"/>
  <c r="CY330" i="1"/>
  <c r="X330" i="1" s="1"/>
  <c r="GM330" i="1" s="1"/>
  <c r="GO330" i="1" s="1"/>
  <c r="CZ320" i="1"/>
  <c r="Y320" i="1" s="1"/>
  <c r="CY320" i="1"/>
  <c r="X320" i="1" s="1"/>
  <c r="W309" i="1"/>
  <c r="CZ297" i="1"/>
  <c r="Y297" i="1" s="1"/>
  <c r="GM297" i="1" s="1"/>
  <c r="GO297" i="1" s="1"/>
  <c r="T290" i="1"/>
  <c r="CY326" i="1"/>
  <c r="X326" i="1" s="1"/>
  <c r="CZ326" i="1"/>
  <c r="Y326" i="1" s="1"/>
  <c r="DF8" i="3"/>
  <c r="DJ8" i="3" s="1"/>
  <c r="DG8" i="3"/>
  <c r="DH8" i="3"/>
  <c r="DI8" i="3"/>
  <c r="CP146" i="1"/>
  <c r="O146" i="1" s="1"/>
  <c r="AC161" i="1"/>
  <c r="CY90" i="1"/>
  <c r="X90" i="1" s="1"/>
  <c r="CZ90" i="1"/>
  <c r="Y90" i="1" s="1"/>
  <c r="GX97" i="1"/>
  <c r="CJ112" i="1" s="1"/>
  <c r="CZ108" i="1"/>
  <c r="Y108" i="1" s="1"/>
  <c r="CY108" i="1"/>
  <c r="X108" i="1" s="1"/>
  <c r="CZ153" i="1"/>
  <c r="Y153" i="1" s="1"/>
  <c r="GM153" i="1" s="1"/>
  <c r="CZ204" i="1"/>
  <c r="Y204" i="1" s="1"/>
  <c r="GM204" i="1" s="1"/>
  <c r="GO204" i="1" s="1"/>
  <c r="CY225" i="1"/>
  <c r="X225" i="1" s="1"/>
  <c r="GM225" i="1" s="1"/>
  <c r="GO225" i="1" s="1"/>
  <c r="CZ225" i="1"/>
  <c r="Y225" i="1" s="1"/>
  <c r="CY222" i="1"/>
  <c r="X222" i="1" s="1"/>
  <c r="GM222" i="1" s="1"/>
  <c r="GO222" i="1" s="1"/>
  <c r="CZ222" i="1"/>
  <c r="Y222" i="1" s="1"/>
  <c r="GM226" i="1"/>
  <c r="GO226" i="1" s="1"/>
  <c r="GM291" i="1"/>
  <c r="GO291" i="1" s="1"/>
  <c r="GM227" i="1"/>
  <c r="GO227" i="1" s="1"/>
  <c r="EA193" i="1"/>
  <c r="DN242" i="1"/>
  <c r="CY230" i="1"/>
  <c r="X230" i="1" s="1"/>
  <c r="GM230" i="1" s="1"/>
  <c r="GO230" i="1" s="1"/>
  <c r="CJ193" i="1"/>
  <c r="BA242" i="1"/>
  <c r="CP276" i="1"/>
  <c r="O276" i="1" s="1"/>
  <c r="CZ293" i="1"/>
  <c r="Y293" i="1" s="1"/>
  <c r="CY293" i="1"/>
  <c r="X293" i="1" s="1"/>
  <c r="AS274" i="1"/>
  <c r="F356" i="1"/>
  <c r="CY283" i="1"/>
  <c r="X283" i="1" s="1"/>
  <c r="CZ283" i="1"/>
  <c r="Y283" i="1" s="1"/>
  <c r="DX339" i="1"/>
  <c r="W315" i="1"/>
  <c r="F180" i="1"/>
  <c r="AU144" i="1"/>
  <c r="AU274" i="1"/>
  <c r="F358" i="1"/>
  <c r="F55" i="1"/>
  <c r="AO26" i="1"/>
  <c r="AO369" i="1"/>
  <c r="GM45" i="1"/>
  <c r="GO45" i="1" s="1"/>
  <c r="AE161" i="1"/>
  <c r="CZ146" i="1"/>
  <c r="Y146" i="1" s="1"/>
  <c r="CY39" i="1"/>
  <c r="X39" i="1" s="1"/>
  <c r="CZ39" i="1"/>
  <c r="Y39" i="1" s="1"/>
  <c r="GM39" i="1" s="1"/>
  <c r="DI14" i="3"/>
  <c r="DF14" i="3"/>
  <c r="DJ14" i="3" s="1"/>
  <c r="DG14" i="3"/>
  <c r="DH14" i="3"/>
  <c r="CP86" i="1"/>
  <c r="O86" i="1" s="1"/>
  <c r="EI112" i="1"/>
  <c r="FR83" i="1"/>
  <c r="DM161" i="1"/>
  <c r="DZ144" i="1"/>
  <c r="AH144" i="1"/>
  <c r="U161" i="1"/>
  <c r="T97" i="1"/>
  <c r="AG112" i="1" s="1"/>
  <c r="AS144" i="1"/>
  <c r="F178" i="1"/>
  <c r="P99" i="1"/>
  <c r="Q99" i="1"/>
  <c r="R99" i="1"/>
  <c r="AE112" i="1" s="1"/>
  <c r="T99" i="1"/>
  <c r="S99" i="1"/>
  <c r="AF112" i="1" s="1"/>
  <c r="S97" i="1"/>
  <c r="AF161" i="1"/>
  <c r="CY209" i="1"/>
  <c r="X209" i="1" s="1"/>
  <c r="GM209" i="1" s="1"/>
  <c r="GO209" i="1" s="1"/>
  <c r="FR239" i="1"/>
  <c r="CP239" i="1"/>
  <c r="O239" i="1" s="1"/>
  <c r="CZ229" i="1"/>
  <c r="Y229" i="1" s="1"/>
  <c r="GM229" i="1" s="1"/>
  <c r="GO229" i="1" s="1"/>
  <c r="CP293" i="1"/>
  <c r="O293" i="1" s="1"/>
  <c r="GM293" i="1" s="1"/>
  <c r="GO293" i="1" s="1"/>
  <c r="CY214" i="1"/>
  <c r="X214" i="1" s="1"/>
  <c r="GM214" i="1" s="1"/>
  <c r="GO214" i="1" s="1"/>
  <c r="CY233" i="1"/>
  <c r="X233" i="1" s="1"/>
  <c r="GM233" i="1" s="1"/>
  <c r="GO233" i="1" s="1"/>
  <c r="CZ233" i="1"/>
  <c r="Y233" i="1" s="1"/>
  <c r="CP220" i="1"/>
  <c r="O220" i="1" s="1"/>
  <c r="GX302" i="1"/>
  <c r="EM193" i="1"/>
  <c r="P261" i="1"/>
  <c r="V300" i="1"/>
  <c r="CP287" i="1"/>
  <c r="O287" i="1" s="1"/>
  <c r="CZ314" i="1"/>
  <c r="Y314" i="1" s="1"/>
  <c r="CY314" i="1"/>
  <c r="X314" i="1" s="1"/>
  <c r="GM314" i="1" s="1"/>
  <c r="GO314" i="1" s="1"/>
  <c r="CY284" i="1"/>
  <c r="X284" i="1" s="1"/>
  <c r="GM284" i="1" s="1"/>
  <c r="GO284" i="1" s="1"/>
  <c r="T296" i="1"/>
  <c r="CZ311" i="1"/>
  <c r="Y311" i="1" s="1"/>
  <c r="CY311" i="1"/>
  <c r="X311" i="1" s="1"/>
  <c r="GM311" i="1" s="1"/>
  <c r="GO311" i="1" s="1"/>
  <c r="P301" i="1"/>
  <c r="GX301" i="1"/>
  <c r="EI274" i="1"/>
  <c r="P349" i="1"/>
  <c r="CZ327" i="1"/>
  <c r="Y327" i="1" s="1"/>
  <c r="GM327" i="1" s="1"/>
  <c r="GO327" i="1" s="1"/>
  <c r="AQ274" i="1"/>
  <c r="F349" i="1"/>
  <c r="CY31" i="1"/>
  <c r="X31" i="1" s="1"/>
  <c r="GM31" i="1" s="1"/>
  <c r="GO31" i="1" s="1"/>
  <c r="CZ31" i="1"/>
  <c r="Y31" i="1" s="1"/>
  <c r="DX51" i="1"/>
  <c r="DW242" i="1"/>
  <c r="CY87" i="1"/>
  <c r="X87" i="1" s="1"/>
  <c r="GM87" i="1" s="1"/>
  <c r="GO87" i="1" s="1"/>
  <c r="CZ87" i="1"/>
  <c r="Y87" i="1" s="1"/>
  <c r="S38" i="1"/>
  <c r="Q44" i="1"/>
  <c r="P44" i="1"/>
  <c r="R44" i="1"/>
  <c r="S44" i="1"/>
  <c r="W44" i="1"/>
  <c r="CP89" i="1"/>
  <c r="O89" i="1" s="1"/>
  <c r="GM95" i="1"/>
  <c r="GO95" i="1" s="1"/>
  <c r="W161" i="1"/>
  <c r="AJ144" i="1"/>
  <c r="DI18" i="3"/>
  <c r="DF18" i="3"/>
  <c r="DJ18" i="3" s="1"/>
  <c r="DG18" i="3"/>
  <c r="DH18" i="3"/>
  <c r="CZ105" i="1"/>
  <c r="Y105" i="1" s="1"/>
  <c r="CY105" i="1"/>
  <c r="X105" i="1" s="1"/>
  <c r="CY157" i="1"/>
  <c r="X157" i="1" s="1"/>
  <c r="GM157" i="1" s="1"/>
  <c r="GO157" i="1" s="1"/>
  <c r="DG3" i="3"/>
  <c r="DF3" i="3"/>
  <c r="DJ3" i="3" s="1"/>
  <c r="DH3" i="3"/>
  <c r="DI3" i="3"/>
  <c r="CY148" i="1"/>
  <c r="X148" i="1" s="1"/>
  <c r="AK161" i="1" s="1"/>
  <c r="CP215" i="1"/>
  <c r="O215" i="1" s="1"/>
  <c r="GM215" i="1" s="1"/>
  <c r="GO215" i="1" s="1"/>
  <c r="AI144" i="1"/>
  <c r="V161" i="1"/>
  <c r="EK144" i="1"/>
  <c r="P178" i="1"/>
  <c r="CY304" i="1"/>
  <c r="X304" i="1" s="1"/>
  <c r="CZ304" i="1"/>
  <c r="Y304" i="1" s="1"/>
  <c r="CP296" i="1"/>
  <c r="O296" i="1" s="1"/>
  <c r="CY280" i="1"/>
  <c r="X280" i="1" s="1"/>
  <c r="CZ280" i="1"/>
  <c r="Y280" i="1" s="1"/>
  <c r="AS193" i="1"/>
  <c r="F259" i="1"/>
  <c r="CY301" i="1"/>
  <c r="X301" i="1" s="1"/>
  <c r="CZ301" i="1"/>
  <c r="Y301" i="1" s="1"/>
  <c r="CZ310" i="1"/>
  <c r="Y310" i="1" s="1"/>
  <c r="CY310" i="1"/>
  <c r="X310" i="1" s="1"/>
  <c r="W301" i="1"/>
  <c r="S302" i="1"/>
  <c r="GM286" i="1"/>
  <c r="GO286" i="1" s="1"/>
  <c r="S334" i="1"/>
  <c r="CZ328" i="1"/>
  <c r="Y328" i="1" s="1"/>
  <c r="CY328" i="1"/>
  <c r="X328" i="1" s="1"/>
  <c r="GM328" i="1" s="1"/>
  <c r="GO328" i="1" s="1"/>
  <c r="EM274" i="1"/>
  <c r="P358" i="1"/>
  <c r="CP310" i="1"/>
  <c r="O310" i="1" s="1"/>
  <c r="GM310" i="1" s="1"/>
  <c r="GO310" i="1" s="1"/>
  <c r="FR235" i="1"/>
  <c r="BY242" i="1" s="1"/>
  <c r="CP235" i="1"/>
  <c r="O235" i="1" s="1"/>
  <c r="GM235" i="1" s="1"/>
  <c r="BC193" i="1"/>
  <c r="F258" i="1"/>
  <c r="CZ321" i="1"/>
  <c r="Y321" i="1" s="1"/>
  <c r="CY321" i="1"/>
  <c r="X321" i="1" s="1"/>
  <c r="GM321" i="1" s="1"/>
  <c r="GO321" i="1" s="1"/>
  <c r="GM33" i="1"/>
  <c r="GO33" i="1" s="1"/>
  <c r="EH51" i="1"/>
  <c r="FQ26" i="1"/>
  <c r="GA51" i="1"/>
  <c r="CY92" i="1"/>
  <c r="X92" i="1" s="1"/>
  <c r="CZ92" i="1"/>
  <c r="Y92" i="1" s="1"/>
  <c r="DW161" i="1"/>
  <c r="CZ36" i="1"/>
  <c r="Y36" i="1" s="1"/>
  <c r="CY36" i="1"/>
  <c r="X36" i="1" s="1"/>
  <c r="P43" i="1"/>
  <c r="Q43" i="1"/>
  <c r="R43" i="1"/>
  <c r="CY43" i="1" s="1"/>
  <c r="X43" i="1" s="1"/>
  <c r="BD26" i="1"/>
  <c r="F76" i="1"/>
  <c r="BD369" i="1"/>
  <c r="EG26" i="1"/>
  <c r="P55" i="1"/>
  <c r="EG369" i="1"/>
  <c r="Q41" i="1"/>
  <c r="DV51" i="1" s="1"/>
  <c r="W41" i="1"/>
  <c r="EB51" i="1" s="1"/>
  <c r="GX41" i="1"/>
  <c r="GB51" i="1" s="1"/>
  <c r="P41" i="1"/>
  <c r="CP41" i="1" s="1"/>
  <c r="O41" i="1" s="1"/>
  <c r="R41" i="1"/>
  <c r="DW51" i="1" s="1"/>
  <c r="S41" i="1"/>
  <c r="T161" i="1"/>
  <c r="AG144" i="1"/>
  <c r="CZ37" i="1"/>
  <c r="Y37" i="1" s="1"/>
  <c r="CY37" i="1"/>
  <c r="X37" i="1" s="1"/>
  <c r="GM37" i="1" s="1"/>
  <c r="GO37" i="1" s="1"/>
  <c r="DG7" i="3"/>
  <c r="DF7" i="3"/>
  <c r="DJ7" i="3" s="1"/>
  <c r="DH7" i="3"/>
  <c r="DI7" i="3"/>
  <c r="DH12" i="3"/>
  <c r="DF12" i="3"/>
  <c r="DI12" i="3"/>
  <c r="DJ12" i="3" s="1"/>
  <c r="DG12" i="3"/>
  <c r="DH2" i="3"/>
  <c r="DF2" i="3"/>
  <c r="DG2" i="3"/>
  <c r="DJ2" i="3" s="1"/>
  <c r="DI2" i="3"/>
  <c r="CP35" i="1"/>
  <c r="O35" i="1" s="1"/>
  <c r="GM35" i="1" s="1"/>
  <c r="GO35" i="1" s="1"/>
  <c r="FR104" i="1"/>
  <c r="FQ112" i="1" s="1"/>
  <c r="CP104" i="1"/>
  <c r="O104" i="1" s="1"/>
  <c r="GM104" i="1" s="1"/>
  <c r="V44" i="1"/>
  <c r="AI51" i="1" s="1"/>
  <c r="DV112" i="1"/>
  <c r="CZ88" i="1"/>
  <c r="Y88" i="1" s="1"/>
  <c r="GM88" i="1" s="1"/>
  <c r="GO88" i="1" s="1"/>
  <c r="AJ112" i="1"/>
  <c r="CY93" i="1"/>
  <c r="X93" i="1" s="1"/>
  <c r="GM93" i="1" s="1"/>
  <c r="GO93" i="1" s="1"/>
  <c r="CZ93" i="1"/>
  <c r="Y93" i="1" s="1"/>
  <c r="DU161" i="1"/>
  <c r="CP147" i="1"/>
  <c r="O147" i="1" s="1"/>
  <c r="CZ107" i="1"/>
  <c r="Y107" i="1" s="1"/>
  <c r="GM107" i="1" s="1"/>
  <c r="GO107" i="1" s="1"/>
  <c r="CY107" i="1"/>
  <c r="X107" i="1" s="1"/>
  <c r="CY149" i="1"/>
  <c r="X149" i="1" s="1"/>
  <c r="CP110" i="1"/>
  <c r="O110" i="1" s="1"/>
  <c r="AU112" i="1"/>
  <c r="CD83" i="1"/>
  <c r="CY197" i="1"/>
  <c r="X197" i="1" s="1"/>
  <c r="DG11" i="3"/>
  <c r="DH11" i="3"/>
  <c r="DI11" i="3"/>
  <c r="DF11" i="3"/>
  <c r="DJ11" i="3" s="1"/>
  <c r="BA161" i="1"/>
  <c r="CJ144" i="1"/>
  <c r="CP196" i="1"/>
  <c r="O196" i="1" s="1"/>
  <c r="CZ210" i="1"/>
  <c r="Y210" i="1" s="1"/>
  <c r="CP205" i="1"/>
  <c r="O205" i="1" s="1"/>
  <c r="GM205" i="1" s="1"/>
  <c r="GO205" i="1" s="1"/>
  <c r="CY216" i="1"/>
  <c r="X216" i="1" s="1"/>
  <c r="GM216" i="1" s="1"/>
  <c r="GO216" i="1" s="1"/>
  <c r="CZ216" i="1"/>
  <c r="Y216" i="1" s="1"/>
  <c r="CY240" i="1"/>
  <c r="X240" i="1" s="1"/>
  <c r="CZ240" i="1"/>
  <c r="Y240" i="1" s="1"/>
  <c r="CP202" i="1"/>
  <c r="O202" i="1" s="1"/>
  <c r="GM202" i="1" s="1"/>
  <c r="GO202" i="1" s="1"/>
  <c r="CZ215" i="1"/>
  <c r="Y215" i="1" s="1"/>
  <c r="CY215" i="1"/>
  <c r="X215" i="1" s="1"/>
  <c r="CY234" i="1"/>
  <c r="X234" i="1" s="1"/>
  <c r="GM234" i="1" s="1"/>
  <c r="GO234" i="1" s="1"/>
  <c r="CZ234" i="1"/>
  <c r="Y234" i="1" s="1"/>
  <c r="R278" i="1"/>
  <c r="CP277" i="1"/>
  <c r="O277" i="1" s="1"/>
  <c r="V301" i="1"/>
  <c r="Q301" i="1"/>
  <c r="P302" i="1"/>
  <c r="T278" i="1"/>
  <c r="CY223" i="1"/>
  <c r="X223" i="1" s="1"/>
  <c r="U290" i="1"/>
  <c r="CY220" i="1"/>
  <c r="X220" i="1" s="1"/>
  <c r="AP274" i="1"/>
  <c r="F348" i="1"/>
  <c r="T300" i="1"/>
  <c r="S337" i="1"/>
  <c r="P315" i="1"/>
  <c r="V337" i="1"/>
  <c r="EA112" i="1"/>
  <c r="DI22" i="3"/>
  <c r="DF22" i="3"/>
  <c r="DJ22" i="3" s="1"/>
  <c r="DG22" i="3"/>
  <c r="DH22" i="3"/>
  <c r="CY196" i="1"/>
  <c r="X196" i="1" s="1"/>
  <c r="CZ196" i="1"/>
  <c r="Y196" i="1" s="1"/>
  <c r="DX242" i="1"/>
  <c r="GM207" i="1"/>
  <c r="GO207" i="1" s="1"/>
  <c r="EG83" i="1"/>
  <c r="P116" i="1"/>
  <c r="BZ83" i="1"/>
  <c r="AQ112" i="1"/>
  <c r="CG112" i="1"/>
  <c r="DH15" i="3"/>
  <c r="DF15" i="3"/>
  <c r="DJ15" i="3" s="1"/>
  <c r="DG15" i="3"/>
  <c r="DI15" i="3"/>
  <c r="CZ30" i="1"/>
  <c r="Y30" i="1" s="1"/>
  <c r="CP32" i="1"/>
  <c r="O32" i="1" s="1"/>
  <c r="GM32" i="1" s="1"/>
  <c r="GO32" i="1" s="1"/>
  <c r="GM155" i="1"/>
  <c r="EM83" i="1"/>
  <c r="P131" i="1"/>
  <c r="CP85" i="1"/>
  <c r="O85" i="1" s="1"/>
  <c r="DH20" i="3"/>
  <c r="DI20" i="3"/>
  <c r="DG20" i="3"/>
  <c r="DF20" i="3"/>
  <c r="DJ20" i="3" s="1"/>
  <c r="T98" i="1"/>
  <c r="DY112" i="1" s="1"/>
  <c r="GM148" i="1"/>
  <c r="GO148" i="1" s="1"/>
  <c r="CP198" i="1"/>
  <c r="O198" i="1" s="1"/>
  <c r="DU242" i="1"/>
  <c r="DF4" i="3"/>
  <c r="DJ4" i="3" s="1"/>
  <c r="DG4" i="3"/>
  <c r="DH4" i="3"/>
  <c r="DI4" i="3"/>
  <c r="P177" i="1"/>
  <c r="EU144" i="1"/>
  <c r="EU369" i="1"/>
  <c r="CZ207" i="1"/>
  <c r="Y207" i="1" s="1"/>
  <c r="AQ144" i="1"/>
  <c r="F171" i="1"/>
  <c r="CY232" i="1"/>
  <c r="X232" i="1" s="1"/>
  <c r="CZ232" i="1"/>
  <c r="Y232" i="1" s="1"/>
  <c r="FY193" i="1"/>
  <c r="EP242" i="1"/>
  <c r="AU193" i="1"/>
  <c r="F261" i="1"/>
  <c r="CY231" i="1"/>
  <c r="X231" i="1" s="1"/>
  <c r="CZ231" i="1"/>
  <c r="Y231" i="1" s="1"/>
  <c r="GM231" i="1" s="1"/>
  <c r="CY285" i="1"/>
  <c r="X285" i="1" s="1"/>
  <c r="CZ285" i="1"/>
  <c r="Y285" i="1" s="1"/>
  <c r="GB339" i="1"/>
  <c r="P295" i="1"/>
  <c r="DU339" i="1" s="1"/>
  <c r="V295" i="1"/>
  <c r="EA339" i="1" s="1"/>
  <c r="Q295" i="1"/>
  <c r="DV339" i="1" s="1"/>
  <c r="Q309" i="1"/>
  <c r="R309" i="1"/>
  <c r="U309" i="1"/>
  <c r="CP238" i="1"/>
  <c r="O238" i="1" s="1"/>
  <c r="GM238" i="1" s="1"/>
  <c r="GO238" i="1" s="1"/>
  <c r="CZ306" i="1"/>
  <c r="Y306" i="1" s="1"/>
  <c r="CY306" i="1"/>
  <c r="X306" i="1" s="1"/>
  <c r="GM292" i="1"/>
  <c r="GO292" i="1" s="1"/>
  <c r="GX304" i="1"/>
  <c r="Q304" i="1"/>
  <c r="AD339" i="1" s="1"/>
  <c r="V304" i="1"/>
  <c r="W304" i="1"/>
  <c r="CZ296" i="1"/>
  <c r="Y296" i="1" s="1"/>
  <c r="BB274" i="1"/>
  <c r="F352" i="1"/>
  <c r="CZ289" i="1"/>
  <c r="Y289" i="1" s="1"/>
  <c r="CP332" i="1"/>
  <c r="O332" i="1" s="1"/>
  <c r="GM332" i="1" s="1"/>
  <c r="GO332" i="1" s="1"/>
  <c r="T309" i="1"/>
  <c r="V315" i="1"/>
  <c r="EK274" i="1"/>
  <c r="P356" i="1"/>
  <c r="CY333" i="1"/>
  <c r="X333" i="1" s="1"/>
  <c r="GM333" i="1" s="1"/>
  <c r="GO333" i="1" s="1"/>
  <c r="GM29" i="1"/>
  <c r="DY144" i="1"/>
  <c r="DL161" i="1"/>
  <c r="CY49" i="1"/>
  <c r="X49" i="1" s="1"/>
  <c r="GM49" i="1" s="1"/>
  <c r="GO49" i="1" s="1"/>
  <c r="CZ49" i="1"/>
  <c r="Y49" i="1" s="1"/>
  <c r="CY103" i="1"/>
  <c r="X103" i="1" s="1"/>
  <c r="GM103" i="1" s="1"/>
  <c r="CZ103" i="1"/>
  <c r="Y103" i="1" s="1"/>
  <c r="CZ89" i="1"/>
  <c r="Y89" i="1" s="1"/>
  <c r="CY89" i="1"/>
  <c r="X89" i="1" s="1"/>
  <c r="DH6" i="3"/>
  <c r="DF6" i="3"/>
  <c r="DJ6" i="3" s="1"/>
  <c r="DG6" i="3"/>
  <c r="DI6" i="3"/>
  <c r="DH10" i="3"/>
  <c r="DI10" i="3"/>
  <c r="DF10" i="3"/>
  <c r="DJ10" i="3" s="1"/>
  <c r="DG10" i="3"/>
  <c r="CY28" i="1"/>
  <c r="X28" i="1" s="1"/>
  <c r="CZ28" i="1"/>
  <c r="Y28" i="1" s="1"/>
  <c r="AD112" i="1"/>
  <c r="GM47" i="1"/>
  <c r="GO47" i="1" s="1"/>
  <c r="CY34" i="1"/>
  <c r="X34" i="1" s="1"/>
  <c r="CZ34" i="1"/>
  <c r="Y34" i="1" s="1"/>
  <c r="CP36" i="1"/>
  <c r="O36" i="1" s="1"/>
  <c r="CZ95" i="1"/>
  <c r="Y95" i="1" s="1"/>
  <c r="CY95" i="1"/>
  <c r="X95" i="1" s="1"/>
  <c r="CP108" i="1"/>
  <c r="O108" i="1" s="1"/>
  <c r="GM108" i="1" s="1"/>
  <c r="GO108" i="1" s="1"/>
  <c r="CP94" i="1"/>
  <c r="O94" i="1" s="1"/>
  <c r="GM94" i="1" s="1"/>
  <c r="GO94" i="1" s="1"/>
  <c r="AS83" i="1"/>
  <c r="F129" i="1"/>
  <c r="AS369" i="1"/>
  <c r="BC144" i="1"/>
  <c r="F177" i="1"/>
  <c r="AP83" i="1"/>
  <c r="F121" i="1"/>
  <c r="DF13" i="3"/>
  <c r="DI13" i="3"/>
  <c r="DG13" i="3"/>
  <c r="DJ13" i="3" s="1"/>
  <c r="DH13" i="3"/>
  <c r="DI5" i="3"/>
  <c r="DG5" i="3"/>
  <c r="DH5" i="3"/>
  <c r="DF5" i="3"/>
  <c r="DJ5" i="3" s="1"/>
  <c r="CZ197" i="1"/>
  <c r="Y197" i="1" s="1"/>
  <c r="GO195" i="1"/>
  <c r="CP199" i="1"/>
  <c r="O199" i="1" s="1"/>
  <c r="GM199" i="1" s="1"/>
  <c r="GO199" i="1" s="1"/>
  <c r="AC242" i="1"/>
  <c r="CG144" i="1"/>
  <c r="AX161" i="1"/>
  <c r="CP218" i="1"/>
  <c r="O218" i="1" s="1"/>
  <c r="GM218" i="1" s="1"/>
  <c r="GO218" i="1" s="1"/>
  <c r="CZ217" i="1"/>
  <c r="Y217" i="1" s="1"/>
  <c r="CY217" i="1"/>
  <c r="X217" i="1" s="1"/>
  <c r="EG193" i="1"/>
  <c r="P246" i="1"/>
  <c r="CY236" i="1"/>
  <c r="X236" i="1" s="1"/>
  <c r="CZ236" i="1"/>
  <c r="Y236" i="1" s="1"/>
  <c r="CZ239" i="1"/>
  <c r="Y239" i="1" s="1"/>
  <c r="CY239" i="1"/>
  <c r="X239" i="1" s="1"/>
  <c r="CZ287" i="1"/>
  <c r="Y287" i="1" s="1"/>
  <c r="CY287" i="1"/>
  <c r="X287" i="1" s="1"/>
  <c r="Q312" i="1"/>
  <c r="CP312" i="1" s="1"/>
  <c r="O312" i="1" s="1"/>
  <c r="R312" i="1"/>
  <c r="U312" i="1"/>
  <c r="AQ193" i="1"/>
  <c r="F252" i="1"/>
  <c r="AX193" i="1"/>
  <c r="F249" i="1"/>
  <c r="Q298" i="1"/>
  <c r="V298" i="1"/>
  <c r="P298" i="1"/>
  <c r="CP298" i="1" s="1"/>
  <c r="O298" i="1" s="1"/>
  <c r="CY294" i="1"/>
  <c r="X294" i="1" s="1"/>
  <c r="GM294" i="1" s="1"/>
  <c r="GO294" i="1" s="1"/>
  <c r="CG274" i="1"/>
  <c r="AX339" i="1"/>
  <c r="CP306" i="1"/>
  <c r="O306" i="1" s="1"/>
  <c r="S309" i="1"/>
  <c r="W334" i="1"/>
  <c r="Q334" i="1"/>
  <c r="CP334" i="1" s="1"/>
  <c r="O334" i="1" s="1"/>
  <c r="CP318" i="1"/>
  <c r="O318" i="1" s="1"/>
  <c r="GM318" i="1" s="1"/>
  <c r="GO318" i="1" s="1"/>
  <c r="CZ317" i="1"/>
  <c r="Y317" i="1" s="1"/>
  <c r="CY317" i="1"/>
  <c r="X317" i="1" s="1"/>
  <c r="GM317" i="1" s="1"/>
  <c r="GO317" i="1" s="1"/>
  <c r="CZ303" i="1"/>
  <c r="Y303" i="1" s="1"/>
  <c r="CY303" i="1"/>
  <c r="X303" i="1" s="1"/>
  <c r="R334" i="1"/>
  <c r="CP285" i="1"/>
  <c r="O285" i="1" s="1"/>
  <c r="GM285" i="1" s="1"/>
  <c r="GO285" i="1" s="1"/>
  <c r="GX298" i="1"/>
  <c r="CJ339" i="1" s="1"/>
  <c r="CP313" i="1"/>
  <c r="O313" i="1" s="1"/>
  <c r="GM313" i="1" s="1"/>
  <c r="GO313" i="1" s="1"/>
  <c r="FY26" i="1"/>
  <c r="EP51" i="1"/>
  <c r="F61" i="1"/>
  <c r="AQ26" i="1"/>
  <c r="AQ369" i="1"/>
  <c r="CP109" i="1"/>
  <c r="O109" i="1" s="1"/>
  <c r="GM109" i="1" s="1"/>
  <c r="GO109" i="1" s="1"/>
  <c r="GM282" i="1"/>
  <c r="GO282" i="1" s="1"/>
  <c r="FY274" i="1"/>
  <c r="EP339" i="1"/>
  <c r="AZ274" i="1"/>
  <c r="F350" i="1"/>
  <c r="CZ40" i="1"/>
  <c r="Y40" i="1" s="1"/>
  <c r="CY40" i="1"/>
  <c r="X40" i="1" s="1"/>
  <c r="Q38" i="1"/>
  <c r="AD51" i="1" s="1"/>
  <c r="P38" i="1"/>
  <c r="R38" i="1"/>
  <c r="AE51" i="1" s="1"/>
  <c r="T38" i="1"/>
  <c r="AG51" i="1" s="1"/>
  <c r="FR158" i="1"/>
  <c r="BY161" i="1" s="1"/>
  <c r="CP158" i="1"/>
  <c r="O158" i="1" s="1"/>
  <c r="GM158" i="1" s="1"/>
  <c r="CI112" i="1"/>
  <c r="CZ110" i="1"/>
  <c r="Y110" i="1" s="1"/>
  <c r="CY110" i="1"/>
  <c r="X110" i="1" s="1"/>
  <c r="CY158" i="1"/>
  <c r="X158" i="1" s="1"/>
  <c r="CZ158" i="1"/>
  <c r="Y158" i="1" s="1"/>
  <c r="DF1" i="3"/>
  <c r="DG1" i="3"/>
  <c r="DH1" i="3"/>
  <c r="DI1" i="3"/>
  <c r="DJ1" i="3" s="1"/>
  <c r="GM200" i="1"/>
  <c r="GO200" i="1" s="1"/>
  <c r="F165" i="1"/>
  <c r="AO144" i="1"/>
  <c r="ET193" i="1"/>
  <c r="P255" i="1"/>
  <c r="ET369" i="1"/>
  <c r="GM223" i="1"/>
  <c r="GO223" i="1" s="1"/>
  <c r="CY288" i="1"/>
  <c r="X288" i="1" s="1"/>
  <c r="CZ288" i="1"/>
  <c r="Y288" i="1" s="1"/>
  <c r="Q299" i="1"/>
  <c r="R299" i="1"/>
  <c r="DW339" i="1" s="1"/>
  <c r="S299" i="1"/>
  <c r="W299" i="1"/>
  <c r="EB339" i="1" s="1"/>
  <c r="Q315" i="1"/>
  <c r="R315" i="1"/>
  <c r="GX315" i="1"/>
  <c r="U315" i="1"/>
  <c r="FR240" i="1"/>
  <c r="FQ242" i="1" s="1"/>
  <c r="CP240" i="1"/>
  <c r="O240" i="1" s="1"/>
  <c r="GM240" i="1" s="1"/>
  <c r="GM283" i="1"/>
  <c r="GO283" i="1" s="1"/>
  <c r="Q302" i="1"/>
  <c r="R302" i="1"/>
  <c r="W302" i="1"/>
  <c r="CY298" i="1"/>
  <c r="X298" i="1" s="1"/>
  <c r="CZ298" i="1"/>
  <c r="Y298" i="1" s="1"/>
  <c r="CZ316" i="1"/>
  <c r="Y316" i="1" s="1"/>
  <c r="CY316" i="1"/>
  <c r="X316" i="1" s="1"/>
  <c r="GM316" i="1" s="1"/>
  <c r="GO316" i="1" s="1"/>
  <c r="U299" i="1"/>
  <c r="DZ339" i="1" s="1"/>
  <c r="EH274" i="1"/>
  <c r="P348" i="1"/>
  <c r="GM323" i="1"/>
  <c r="GO323" i="1" s="1"/>
  <c r="GM319" i="1"/>
  <c r="GO319" i="1" s="1"/>
  <c r="ER274" i="1"/>
  <c r="P350" i="1"/>
  <c r="CP30" i="1"/>
  <c r="O30" i="1" s="1"/>
  <c r="GM30" i="1" s="1"/>
  <c r="GO30" i="1" s="1"/>
  <c r="AC51" i="1"/>
  <c r="V98" i="1"/>
  <c r="P98" i="1"/>
  <c r="CP98" i="1" s="1"/>
  <c r="O98" i="1" s="1"/>
  <c r="GX98" i="1"/>
  <c r="GB112" i="1" s="1"/>
  <c r="Q98" i="1"/>
  <c r="W98" i="1"/>
  <c r="EB112" i="1" s="1"/>
  <c r="F67" i="1"/>
  <c r="BC26" i="1"/>
  <c r="BC369" i="1"/>
  <c r="GX38" i="1"/>
  <c r="CJ51" i="1" s="1"/>
  <c r="Q42" i="1"/>
  <c r="P42" i="1"/>
  <c r="R42" i="1"/>
  <c r="S42" i="1"/>
  <c r="AF51" i="1" s="1"/>
  <c r="W38" i="1"/>
  <c r="AJ51" i="1" s="1"/>
  <c r="P40" i="1"/>
  <c r="Q40" i="1"/>
  <c r="W40" i="1"/>
  <c r="T43" i="1"/>
  <c r="DY51" i="1" s="1"/>
  <c r="CY100" i="1"/>
  <c r="X100" i="1" s="1"/>
  <c r="CZ100" i="1"/>
  <c r="Y100" i="1" s="1"/>
  <c r="CP100" i="1"/>
  <c r="O100" i="1" s="1"/>
  <c r="DG21" i="3"/>
  <c r="DH21" i="3"/>
  <c r="DF21" i="3"/>
  <c r="DJ21" i="3" s="1"/>
  <c r="DI21" i="3"/>
  <c r="CP34" i="1"/>
  <c r="O34" i="1" s="1"/>
  <c r="S98" i="1"/>
  <c r="CP92" i="1"/>
  <c r="O92" i="1" s="1"/>
  <c r="GM92" i="1" s="1"/>
  <c r="GO92" i="1" s="1"/>
  <c r="DX161" i="1"/>
  <c r="CY147" i="1"/>
  <c r="X147" i="1" s="1"/>
  <c r="CZ147" i="1"/>
  <c r="Y147" i="1" s="1"/>
  <c r="CP105" i="1"/>
  <c r="O105" i="1" s="1"/>
  <c r="GM105" i="1" s="1"/>
  <c r="GO105" i="1" s="1"/>
  <c r="GM201" i="1"/>
  <c r="GO201" i="1" s="1"/>
  <c r="DI9" i="3"/>
  <c r="DF9" i="3"/>
  <c r="DJ9" i="3" s="1"/>
  <c r="DG9" i="3"/>
  <c r="DH9" i="3"/>
  <c r="AD242" i="1"/>
  <c r="CP197" i="1"/>
  <c r="O197" i="1" s="1"/>
  <c r="CZ198" i="1"/>
  <c r="Y198" i="1" s="1"/>
  <c r="CP210" i="1"/>
  <c r="O210" i="1" s="1"/>
  <c r="GM210" i="1" s="1"/>
  <c r="GO210" i="1" s="1"/>
  <c r="CP217" i="1"/>
  <c r="O217" i="1" s="1"/>
  <c r="CP232" i="1"/>
  <c r="O232" i="1" s="1"/>
  <c r="CY219" i="1"/>
  <c r="X219" i="1" s="1"/>
  <c r="GM219" i="1" s="1"/>
  <c r="GO219" i="1" s="1"/>
  <c r="CZ219" i="1"/>
  <c r="Y219" i="1" s="1"/>
  <c r="CY224" i="1"/>
  <c r="X224" i="1" s="1"/>
  <c r="GM224" i="1" s="1"/>
  <c r="GO224" i="1" s="1"/>
  <c r="BB193" i="1"/>
  <c r="F255" i="1"/>
  <c r="CP289" i="1"/>
  <c r="O289" i="1" s="1"/>
  <c r="GM289" i="1" s="1"/>
  <c r="GO289" i="1" s="1"/>
  <c r="AF242" i="1"/>
  <c r="EK193" i="1"/>
  <c r="P259" i="1"/>
  <c r="U278" i="1"/>
  <c r="AH339" i="1" s="1"/>
  <c r="Q296" i="1"/>
  <c r="R296" i="1"/>
  <c r="CY296" i="1" s="1"/>
  <c r="X296" i="1" s="1"/>
  <c r="P299" i="1"/>
  <c r="V296" i="1"/>
  <c r="GM322" i="1"/>
  <c r="GO322" i="1" s="1"/>
  <c r="T304" i="1"/>
  <c r="S315" i="1"/>
  <c r="Q337" i="1"/>
  <c r="CP337" i="1" s="1"/>
  <c r="O337" i="1" s="1"/>
  <c r="W337" i="1"/>
  <c r="CZ325" i="1"/>
  <c r="Y325" i="1" s="1"/>
  <c r="CY325" i="1"/>
  <c r="X325" i="1" s="1"/>
  <c r="GM325" i="1" s="1"/>
  <c r="GO325" i="1" s="1"/>
  <c r="ET274" i="1"/>
  <c r="P352" i="1"/>
  <c r="CY276" i="1"/>
  <c r="X276" i="1" s="1"/>
  <c r="CZ308" i="1"/>
  <c r="Y308" i="1" s="1"/>
  <c r="CY308" i="1"/>
  <c r="X308" i="1" s="1"/>
  <c r="GM308" i="1" s="1"/>
  <c r="GO308" i="1" s="1"/>
  <c r="CP303" i="1"/>
  <c r="O303" i="1" s="1"/>
  <c r="CP326" i="1"/>
  <c r="O326" i="1" s="1"/>
  <c r="GM326" i="1" s="1"/>
  <c r="GO326" i="1" s="1"/>
  <c r="CP320" i="1"/>
  <c r="O320" i="1" s="1"/>
  <c r="GM320" i="1" s="1"/>
  <c r="GO320" i="1" s="1"/>
  <c r="CY336" i="1"/>
  <c r="X336" i="1" s="1"/>
  <c r="GM336" i="1" s="1"/>
  <c r="GO336" i="1" s="1"/>
  <c r="CZ336" i="1"/>
  <c r="Y336" i="1" s="1"/>
  <c r="U337" i="1"/>
  <c r="AD26" i="1" l="1"/>
  <c r="Q51" i="1"/>
  <c r="CJ26" i="1"/>
  <c r="BA51" i="1"/>
  <c r="DV274" i="1"/>
  <c r="DI339" i="1"/>
  <c r="AI26" i="1"/>
  <c r="V51" i="1"/>
  <c r="EA274" i="1"/>
  <c r="DN339" i="1"/>
  <c r="CJ274" i="1"/>
  <c r="BA339" i="1"/>
  <c r="EB26" i="1"/>
  <c r="DO51" i="1"/>
  <c r="AG83" i="1"/>
  <c r="T112" i="1"/>
  <c r="DY26" i="1"/>
  <c r="DL51" i="1"/>
  <c r="BA112" i="1"/>
  <c r="CJ83" i="1"/>
  <c r="DW274" i="1"/>
  <c r="DJ339" i="1"/>
  <c r="FQ193" i="1"/>
  <c r="GA242" i="1"/>
  <c r="EH242" i="1"/>
  <c r="DO112" i="1"/>
  <c r="EB83" i="1"/>
  <c r="DW26" i="1"/>
  <c r="DJ51" i="1"/>
  <c r="DU274" i="1"/>
  <c r="FZ339" i="1"/>
  <c r="FW339" i="1"/>
  <c r="FX339" i="1"/>
  <c r="DH339" i="1"/>
  <c r="DY83" i="1"/>
  <c r="DL112" i="1"/>
  <c r="DZ274" i="1"/>
  <c r="DM339" i="1"/>
  <c r="AF83" i="1"/>
  <c r="S112" i="1"/>
  <c r="X161" i="1"/>
  <c r="AK144" i="1"/>
  <c r="AD274" i="1"/>
  <c r="Q339" i="1"/>
  <c r="ES112" i="1"/>
  <c r="GB83" i="1"/>
  <c r="GB26" i="1"/>
  <c r="ES51" i="1"/>
  <c r="AF26" i="1"/>
  <c r="S51" i="1"/>
  <c r="AG26" i="1"/>
  <c r="T51" i="1"/>
  <c r="EB274" i="1"/>
  <c r="DO339" i="1"/>
  <c r="DV26" i="1"/>
  <c r="DI51" i="1"/>
  <c r="DY274" i="1"/>
  <c r="DL339" i="1"/>
  <c r="AE26" i="1"/>
  <c r="R51" i="1"/>
  <c r="R112" i="1"/>
  <c r="AE83" i="1"/>
  <c r="EA83" i="1"/>
  <c r="DN112" i="1"/>
  <c r="AE144" i="1"/>
  <c r="R161" i="1"/>
  <c r="GM97" i="1"/>
  <c r="GO97" i="1" s="1"/>
  <c r="AF193" i="1"/>
  <c r="S242" i="1"/>
  <c r="GM197" i="1"/>
  <c r="AB242" i="1"/>
  <c r="CY98" i="1"/>
  <c r="X98" i="1" s="1"/>
  <c r="CZ98" i="1"/>
  <c r="Y98" i="1" s="1"/>
  <c r="CP40" i="1"/>
  <c r="O40" i="1" s="1"/>
  <c r="GM40" i="1" s="1"/>
  <c r="GO40" i="1" s="1"/>
  <c r="AE339" i="1"/>
  <c r="AU83" i="1"/>
  <c r="F131" i="1"/>
  <c r="AU369" i="1"/>
  <c r="CP43" i="1"/>
  <c r="O43" i="1" s="1"/>
  <c r="GM89" i="1"/>
  <c r="GO89" i="1" s="1"/>
  <c r="DX26" i="1"/>
  <c r="DK51" i="1"/>
  <c r="GM220" i="1"/>
  <c r="GO220" i="1" s="1"/>
  <c r="DN193" i="1"/>
  <c r="P265" i="1"/>
  <c r="AJ339" i="1"/>
  <c r="DM193" i="1"/>
  <c r="P264" i="1"/>
  <c r="AH83" i="1"/>
  <c r="U112" i="1"/>
  <c r="AD144" i="1"/>
  <c r="Q161" i="1"/>
  <c r="ES144" i="1"/>
  <c r="P181" i="1"/>
  <c r="AS22" i="1"/>
  <c r="F386" i="1"/>
  <c r="T16" i="2" s="1"/>
  <c r="AS399" i="1"/>
  <c r="AD193" i="1"/>
  <c r="Q242" i="1"/>
  <c r="GM34" i="1"/>
  <c r="GO34" i="1" s="1"/>
  <c r="AJ26" i="1"/>
  <c r="W51" i="1"/>
  <c r="EP26" i="1"/>
  <c r="P58" i="1"/>
  <c r="EP369" i="1"/>
  <c r="EU22" i="1"/>
  <c r="EU399" i="1"/>
  <c r="P385" i="1"/>
  <c r="CP315" i="1"/>
  <c r="O315" i="1" s="1"/>
  <c r="GM110" i="1"/>
  <c r="GO110" i="1" s="1"/>
  <c r="CZ302" i="1"/>
  <c r="Y302" i="1" s="1"/>
  <c r="CY302" i="1"/>
  <c r="X302" i="1" s="1"/>
  <c r="EI83" i="1"/>
  <c r="P122" i="1"/>
  <c r="EI369" i="1"/>
  <c r="AO22" i="1"/>
  <c r="AO399" i="1"/>
  <c r="F373" i="1"/>
  <c r="AI339" i="1"/>
  <c r="CY312" i="1"/>
  <c r="X312" i="1" s="1"/>
  <c r="GM312" i="1" s="1"/>
  <c r="GO312" i="1" s="1"/>
  <c r="CZ312" i="1"/>
  <c r="Y312" i="1" s="1"/>
  <c r="CY290" i="1"/>
  <c r="X290" i="1" s="1"/>
  <c r="GM290" i="1" s="1"/>
  <c r="GO290" i="1" s="1"/>
  <c r="CZ290" i="1"/>
  <c r="Y290" i="1" s="1"/>
  <c r="CY42" i="1"/>
  <c r="X42" i="1" s="1"/>
  <c r="CZ42" i="1"/>
  <c r="Y42" i="1" s="1"/>
  <c r="CY337" i="1"/>
  <c r="X337" i="1" s="1"/>
  <c r="CZ337" i="1"/>
  <c r="Y337" i="1" s="1"/>
  <c r="GM337" i="1" s="1"/>
  <c r="GO337" i="1" s="1"/>
  <c r="GM277" i="1"/>
  <c r="FQ83" i="1"/>
  <c r="EH112" i="1"/>
  <c r="GA112" i="1"/>
  <c r="CY44" i="1"/>
  <c r="X44" i="1" s="1"/>
  <c r="CZ44" i="1"/>
  <c r="Y44" i="1" s="1"/>
  <c r="DU112" i="1"/>
  <c r="EP83" i="1"/>
  <c r="P119" i="1"/>
  <c r="W193" i="1"/>
  <c r="F266" i="1"/>
  <c r="T193" i="1"/>
  <c r="F263" i="1"/>
  <c r="DX274" i="1"/>
  <c r="DK339" i="1"/>
  <c r="CY309" i="1"/>
  <c r="X309" i="1" s="1"/>
  <c r="CZ309" i="1"/>
  <c r="Y309" i="1" s="1"/>
  <c r="GM28" i="1"/>
  <c r="GM306" i="1"/>
  <c r="GO306" i="1" s="1"/>
  <c r="GM196" i="1"/>
  <c r="DT242" i="1"/>
  <c r="DU51" i="1"/>
  <c r="DW144" i="1"/>
  <c r="DJ161" i="1"/>
  <c r="CP99" i="1"/>
  <c r="O99" i="1" s="1"/>
  <c r="GM86" i="1"/>
  <c r="DT112" i="1"/>
  <c r="CP278" i="1"/>
  <c r="O278" i="1" s="1"/>
  <c r="BB22" i="1"/>
  <c r="F382" i="1"/>
  <c r="BB399" i="1"/>
  <c r="DW193" i="1"/>
  <c r="DJ242" i="1"/>
  <c r="ET22" i="1"/>
  <c r="P382" i="1"/>
  <c r="ET399" i="1"/>
  <c r="CP42" i="1"/>
  <c r="O42" i="1" s="1"/>
  <c r="CI83" i="1"/>
  <c r="AZ112" i="1"/>
  <c r="AX274" i="1"/>
  <c r="F346" i="1"/>
  <c r="AX144" i="1"/>
  <c r="F168" i="1"/>
  <c r="AC112" i="1"/>
  <c r="DX193" i="1"/>
  <c r="DK242" i="1"/>
  <c r="EG22" i="1"/>
  <c r="P373" i="1"/>
  <c r="EG399" i="1"/>
  <c r="BY193" i="1"/>
  <c r="CI242" i="1"/>
  <c r="AP242" i="1"/>
  <c r="CP44" i="1"/>
  <c r="O44" i="1" s="1"/>
  <c r="GM44" i="1" s="1"/>
  <c r="GO44" i="1" s="1"/>
  <c r="CP300" i="1"/>
  <c r="O300" i="1" s="1"/>
  <c r="CY278" i="1"/>
  <c r="X278" i="1" s="1"/>
  <c r="AK339" i="1" s="1"/>
  <c r="CZ278" i="1"/>
  <c r="Y278" i="1" s="1"/>
  <c r="AF339" i="1"/>
  <c r="AE193" i="1"/>
  <c r="R242" i="1"/>
  <c r="DV144" i="1"/>
  <c r="DI161" i="1"/>
  <c r="P171" i="1"/>
  <c r="EI144" i="1"/>
  <c r="GM98" i="1"/>
  <c r="GO98" i="1" s="1"/>
  <c r="AB112" i="1"/>
  <c r="GM85" i="1"/>
  <c r="ED242" i="1"/>
  <c r="BA144" i="1"/>
  <c r="F181" i="1"/>
  <c r="DT161" i="1"/>
  <c r="GM147" i="1"/>
  <c r="CE161" i="1"/>
  <c r="CF161" i="1"/>
  <c r="AC144" i="1"/>
  <c r="P161" i="1"/>
  <c r="CH161" i="1"/>
  <c r="CY300" i="1"/>
  <c r="X300" i="1" s="1"/>
  <c r="CZ300" i="1"/>
  <c r="Y300" i="1" s="1"/>
  <c r="EK22" i="1"/>
  <c r="EK399" i="1"/>
  <c r="P386" i="1"/>
  <c r="E16" i="2" s="1"/>
  <c r="GM288" i="1"/>
  <c r="GO288" i="1" s="1"/>
  <c r="EC112" i="1"/>
  <c r="ES193" i="1"/>
  <c r="P262" i="1"/>
  <c r="DN26" i="1"/>
  <c r="P74" i="1"/>
  <c r="DN369" i="1"/>
  <c r="GB274" i="1"/>
  <c r="ES339" i="1"/>
  <c r="U193" i="1"/>
  <c r="F264" i="1"/>
  <c r="AC26" i="1"/>
  <c r="P51" i="1"/>
  <c r="CE51" i="1"/>
  <c r="GM100" i="1"/>
  <c r="GO100" i="1" s="1"/>
  <c r="AP161" i="1"/>
  <c r="CI161" i="1"/>
  <c r="BY144" i="1"/>
  <c r="EP274" i="1"/>
  <c r="P346" i="1"/>
  <c r="AC193" i="1"/>
  <c r="CH242" i="1"/>
  <c r="P242" i="1"/>
  <c r="CE242" i="1"/>
  <c r="CF242" i="1"/>
  <c r="GM36" i="1"/>
  <c r="GO36" i="1" s="1"/>
  <c r="DL144" i="1"/>
  <c r="P182" i="1"/>
  <c r="EP193" i="1"/>
  <c r="P249" i="1"/>
  <c r="EC242" i="1"/>
  <c r="DH161" i="1"/>
  <c r="DU144" i="1"/>
  <c r="FW161" i="1"/>
  <c r="FX161" i="1"/>
  <c r="FZ161" i="1"/>
  <c r="ER51" i="1"/>
  <c r="GA26" i="1"/>
  <c r="F184" i="1"/>
  <c r="V144" i="1"/>
  <c r="CY38" i="1"/>
  <c r="X38" i="1" s="1"/>
  <c r="AK51" i="1" s="1"/>
  <c r="CZ38" i="1"/>
  <c r="Y38" i="1" s="1"/>
  <c r="AL51" i="1" s="1"/>
  <c r="GM239" i="1"/>
  <c r="AB161" i="1"/>
  <c r="GM146" i="1"/>
  <c r="DJ112" i="1"/>
  <c r="DW83" i="1"/>
  <c r="EM22" i="1"/>
  <c r="P388" i="1"/>
  <c r="EM399" i="1"/>
  <c r="DM26" i="1"/>
  <c r="P73" i="1"/>
  <c r="DM369" i="1"/>
  <c r="U26" i="1"/>
  <c r="F73" i="1"/>
  <c r="U369" i="1"/>
  <c r="CY315" i="1"/>
  <c r="X315" i="1" s="1"/>
  <c r="CZ315" i="1"/>
  <c r="Y315" i="1" s="1"/>
  <c r="GM303" i="1"/>
  <c r="GO303" i="1" s="1"/>
  <c r="CZ299" i="1"/>
  <c r="Y299" i="1" s="1"/>
  <c r="CY299" i="1"/>
  <c r="X299" i="1" s="1"/>
  <c r="EC339" i="1" s="1"/>
  <c r="CP299" i="1"/>
  <c r="O299" i="1" s="1"/>
  <c r="GM232" i="1"/>
  <c r="GM298" i="1"/>
  <c r="GO298" i="1" s="1"/>
  <c r="DX112" i="1"/>
  <c r="BD22" i="1"/>
  <c r="F394" i="1"/>
  <c r="BD399" i="1"/>
  <c r="GM287" i="1"/>
  <c r="GO287" i="1" s="1"/>
  <c r="U144" i="1"/>
  <c r="F183" i="1"/>
  <c r="AC339" i="1"/>
  <c r="GM236" i="1"/>
  <c r="GM149" i="1"/>
  <c r="GO149" i="1" s="1"/>
  <c r="P134" i="1"/>
  <c r="DM83" i="1"/>
  <c r="DH242" i="1"/>
  <c r="FW242" i="1"/>
  <c r="FZ242" i="1"/>
  <c r="DU193" i="1"/>
  <c r="FX242" i="1"/>
  <c r="CG83" i="1"/>
  <c r="AX112" i="1"/>
  <c r="EH26" i="1"/>
  <c r="P60" i="1"/>
  <c r="EH369" i="1"/>
  <c r="CP309" i="1"/>
  <c r="O309" i="1" s="1"/>
  <c r="GM309" i="1" s="1"/>
  <c r="GO309" i="1" s="1"/>
  <c r="GM276" i="1"/>
  <c r="AB339" i="1"/>
  <c r="CP304" i="1"/>
  <c r="O304" i="1" s="1"/>
  <c r="GM304" i="1" s="1"/>
  <c r="GO304" i="1" s="1"/>
  <c r="P185" i="1"/>
  <c r="DO144" i="1"/>
  <c r="DV193" i="1"/>
  <c r="DI242" i="1"/>
  <c r="DN144" i="1"/>
  <c r="P184" i="1"/>
  <c r="DV83" i="1"/>
  <c r="DI112" i="1"/>
  <c r="GM296" i="1"/>
  <c r="GO296" i="1" s="1"/>
  <c r="BC22" i="1"/>
  <c r="BC399" i="1"/>
  <c r="F385" i="1"/>
  <c r="AH274" i="1"/>
  <c r="U339" i="1"/>
  <c r="GM217" i="1"/>
  <c r="GO217" i="1" s="1"/>
  <c r="EC161" i="1"/>
  <c r="CP38" i="1"/>
  <c r="O38" i="1" s="1"/>
  <c r="FR38" i="1"/>
  <c r="BY51" i="1" s="1"/>
  <c r="GO29" i="1"/>
  <c r="GM198" i="1"/>
  <c r="GO198" i="1" s="1"/>
  <c r="AQ83" i="1"/>
  <c r="F122" i="1"/>
  <c r="AG339" i="1"/>
  <c r="AJ83" i="1"/>
  <c r="W112" i="1"/>
  <c r="T144" i="1"/>
  <c r="F182" i="1"/>
  <c r="AF144" i="1"/>
  <c r="S161" i="1"/>
  <c r="BA193" i="1"/>
  <c r="F262" i="1"/>
  <c r="EV22" i="1"/>
  <c r="P394" i="1"/>
  <c r="EV399" i="1"/>
  <c r="V193" i="1"/>
  <c r="F265" i="1"/>
  <c r="Q112" i="1"/>
  <c r="AD83" i="1"/>
  <c r="CZ99" i="1"/>
  <c r="Y99" i="1" s="1"/>
  <c r="CY99" i="1"/>
  <c r="X99" i="1" s="1"/>
  <c r="AX26" i="1"/>
  <c r="F58" i="1"/>
  <c r="AX369" i="1"/>
  <c r="ED161" i="1"/>
  <c r="DX144" i="1"/>
  <c r="DK161" i="1"/>
  <c r="AQ22" i="1"/>
  <c r="AQ399" i="1"/>
  <c r="F379" i="1"/>
  <c r="AL242" i="1"/>
  <c r="CP295" i="1"/>
  <c r="O295" i="1" s="1"/>
  <c r="GM295" i="1" s="1"/>
  <c r="GO295" i="1" s="1"/>
  <c r="CP302" i="1"/>
  <c r="O302" i="1" s="1"/>
  <c r="GM302" i="1" s="1"/>
  <c r="GO302" i="1" s="1"/>
  <c r="AK242" i="1"/>
  <c r="ED112" i="1"/>
  <c r="CZ41" i="1"/>
  <c r="Y41" i="1" s="1"/>
  <c r="ED51" i="1" s="1"/>
  <c r="CY41" i="1"/>
  <c r="X41" i="1" s="1"/>
  <c r="EC51" i="1" s="1"/>
  <c r="CY334" i="1"/>
  <c r="X334" i="1" s="1"/>
  <c r="GM334" i="1" s="1"/>
  <c r="GO334" i="1" s="1"/>
  <c r="CZ334" i="1"/>
  <c r="Y334" i="1" s="1"/>
  <c r="W144" i="1"/>
  <c r="F185" i="1"/>
  <c r="CP301" i="1"/>
  <c r="O301" i="1" s="1"/>
  <c r="GM301" i="1" s="1"/>
  <c r="GO301" i="1" s="1"/>
  <c r="CY97" i="1"/>
  <c r="X97" i="1" s="1"/>
  <c r="AK112" i="1" s="1"/>
  <c r="CZ97" i="1"/>
  <c r="Y97" i="1" s="1"/>
  <c r="AL112" i="1" s="1"/>
  <c r="P183" i="1"/>
  <c r="DM144" i="1"/>
  <c r="AL161" i="1"/>
  <c r="AI83" i="1"/>
  <c r="V112" i="1"/>
  <c r="ED339" i="1"/>
  <c r="EH161" i="1"/>
  <c r="FQ144" i="1"/>
  <c r="GA161" i="1"/>
  <c r="DL193" i="1"/>
  <c r="P263" i="1"/>
  <c r="P168" i="1"/>
  <c r="EP144" i="1"/>
  <c r="DO193" i="1"/>
  <c r="P266" i="1"/>
  <c r="AL26" i="1" l="1"/>
  <c r="Y51" i="1"/>
  <c r="EC274" i="1"/>
  <c r="DP339" i="1"/>
  <c r="AK26" i="1"/>
  <c r="X51" i="1"/>
  <c r="AK83" i="1"/>
  <c r="X112" i="1"/>
  <c r="AK274" i="1"/>
  <c r="X339" i="1"/>
  <c r="AL83" i="1"/>
  <c r="Y112" i="1"/>
  <c r="DU83" i="1"/>
  <c r="FX112" i="1"/>
  <c r="FW112" i="1"/>
  <c r="FZ112" i="1"/>
  <c r="DH112" i="1"/>
  <c r="AU22" i="1"/>
  <c r="F388" i="1"/>
  <c r="AU399" i="1"/>
  <c r="BA274" i="1"/>
  <c r="F359" i="1"/>
  <c r="V83" i="1"/>
  <c r="F135" i="1"/>
  <c r="EC26" i="1"/>
  <c r="DP51" i="1"/>
  <c r="ED144" i="1"/>
  <c r="DQ161" i="1"/>
  <c r="GO276" i="1"/>
  <c r="DX83" i="1"/>
  <c r="DK112" i="1"/>
  <c r="ES274" i="1"/>
  <c r="P359" i="1"/>
  <c r="GO85" i="1"/>
  <c r="CA112" i="1"/>
  <c r="GM300" i="1"/>
  <c r="GO300" i="1" s="1"/>
  <c r="GO28" i="1"/>
  <c r="R144" i="1"/>
  <c r="F175" i="1"/>
  <c r="DO274" i="1"/>
  <c r="P363" i="1"/>
  <c r="P132" i="1"/>
  <c r="ES83" i="1"/>
  <c r="DH274" i="1"/>
  <c r="P342" i="1"/>
  <c r="DJ274" i="1"/>
  <c r="P353" i="1"/>
  <c r="EC193" i="1"/>
  <c r="DP242" i="1"/>
  <c r="AB83" i="1"/>
  <c r="O112" i="1"/>
  <c r="Q193" i="1"/>
  <c r="F254" i="1"/>
  <c r="Q274" i="1"/>
  <c r="F351" i="1"/>
  <c r="FX274" i="1"/>
  <c r="EO339" i="1"/>
  <c r="DN274" i="1"/>
  <c r="P362" i="1"/>
  <c r="BC18" i="1"/>
  <c r="F415" i="1"/>
  <c r="DI83" i="1"/>
  <c r="P124" i="1"/>
  <c r="EH22" i="1"/>
  <c r="P378" i="1"/>
  <c r="G16" i="2" s="1"/>
  <c r="EH399" i="1"/>
  <c r="AP144" i="1"/>
  <c r="F170" i="1"/>
  <c r="DN22" i="1"/>
  <c r="DN399" i="1"/>
  <c r="P392" i="1"/>
  <c r="CH144" i="1"/>
  <c r="AY161" i="1"/>
  <c r="AP193" i="1"/>
  <c r="F251" i="1"/>
  <c r="GM278" i="1"/>
  <c r="GO278" i="1" s="1"/>
  <c r="GA83" i="1"/>
  <c r="ER112" i="1"/>
  <c r="AJ274" i="1"/>
  <c r="W339" i="1"/>
  <c r="DN83" i="1"/>
  <c r="P135" i="1"/>
  <c r="FW274" i="1"/>
  <c r="EN339" i="1"/>
  <c r="ED274" i="1"/>
  <c r="DQ339" i="1"/>
  <c r="AK193" i="1"/>
  <c r="X242" i="1"/>
  <c r="S144" i="1"/>
  <c r="F176" i="1"/>
  <c r="F164" i="1"/>
  <c r="P144" i="1"/>
  <c r="CI193" i="1"/>
  <c r="AZ242" i="1"/>
  <c r="AZ83" i="1"/>
  <c r="F123" i="1"/>
  <c r="DT83" i="1"/>
  <c r="DG112" i="1"/>
  <c r="DK274" i="1"/>
  <c r="P354" i="1"/>
  <c r="EH83" i="1"/>
  <c r="P121" i="1"/>
  <c r="GM315" i="1"/>
  <c r="GO315" i="1" s="1"/>
  <c r="AS18" i="1"/>
  <c r="F416" i="1"/>
  <c r="AE274" i="1"/>
  <c r="R339" i="1"/>
  <c r="T26" i="1"/>
  <c r="F72" i="1"/>
  <c r="FZ274" i="1"/>
  <c r="EQ339" i="1"/>
  <c r="BA83" i="1"/>
  <c r="F132" i="1"/>
  <c r="F74" i="1"/>
  <c r="V26" i="1"/>
  <c r="V369" i="1"/>
  <c r="AX22" i="1"/>
  <c r="F376" i="1"/>
  <c r="AX399" i="1"/>
  <c r="CI51" i="1"/>
  <c r="BY26" i="1"/>
  <c r="AP51" i="1"/>
  <c r="GM299" i="1"/>
  <c r="GO299" i="1" s="1"/>
  <c r="EM18" i="1"/>
  <c r="P418" i="1"/>
  <c r="CF51" i="1"/>
  <c r="GO86" i="1"/>
  <c r="FU112" i="1" s="1"/>
  <c r="FS112" i="1"/>
  <c r="DL26" i="1"/>
  <c r="P72" i="1"/>
  <c r="DL369" i="1"/>
  <c r="Y161" i="1"/>
  <c r="AL144" i="1"/>
  <c r="GM38" i="1"/>
  <c r="CA51" i="1" s="1"/>
  <c r="ER26" i="1"/>
  <c r="P62" i="1"/>
  <c r="AV51" i="1"/>
  <c r="CE26" i="1"/>
  <c r="P173" i="1"/>
  <c r="DI144" i="1"/>
  <c r="GM42" i="1"/>
  <c r="GO42" i="1" s="1"/>
  <c r="GM99" i="1"/>
  <c r="GO99" i="1" s="1"/>
  <c r="DT339" i="1"/>
  <c r="AI274" i="1"/>
  <c r="V339" i="1"/>
  <c r="EU18" i="1"/>
  <c r="P415" i="1"/>
  <c r="R83" i="1"/>
  <c r="F126" i="1"/>
  <c r="S26" i="1"/>
  <c r="F66" i="1"/>
  <c r="X144" i="1"/>
  <c r="F187" i="1"/>
  <c r="P65" i="1"/>
  <c r="DJ26" i="1"/>
  <c r="DJ369" i="1"/>
  <c r="DI274" i="1"/>
  <c r="P351" i="1"/>
  <c r="BB18" i="1"/>
  <c r="F412" i="1"/>
  <c r="AC274" i="1"/>
  <c r="CH339" i="1"/>
  <c r="CE339" i="1"/>
  <c r="CF339" i="1"/>
  <c r="P339" i="1"/>
  <c r="CF193" i="1"/>
  <c r="AW242" i="1"/>
  <c r="CF144" i="1"/>
  <c r="AW161" i="1"/>
  <c r="EG18" i="1"/>
  <c r="P403" i="1"/>
  <c r="AL193" i="1"/>
  <c r="Y242" i="1"/>
  <c r="EC144" i="1"/>
  <c r="DP161" i="1"/>
  <c r="DI193" i="1"/>
  <c r="P254" i="1"/>
  <c r="FZ144" i="1"/>
  <c r="EQ161" i="1"/>
  <c r="CE193" i="1"/>
  <c r="AV242" i="1"/>
  <c r="P26" i="1"/>
  <c r="F54" i="1"/>
  <c r="P369" i="1"/>
  <c r="AV161" i="1"/>
  <c r="CE144" i="1"/>
  <c r="ET18" i="1"/>
  <c r="P412" i="1"/>
  <c r="DJ144" i="1"/>
  <c r="P175" i="1"/>
  <c r="GO277" i="1"/>
  <c r="FU339" i="1" s="1"/>
  <c r="FS339" i="1"/>
  <c r="DK26" i="1"/>
  <c r="P66" i="1"/>
  <c r="DK369" i="1"/>
  <c r="F65" i="1"/>
  <c r="R26" i="1"/>
  <c r="R369" i="1"/>
  <c r="S83" i="1"/>
  <c r="F127" i="1"/>
  <c r="T83" i="1"/>
  <c r="F133" i="1"/>
  <c r="DQ112" i="1"/>
  <c r="ED83" i="1"/>
  <c r="FX193" i="1"/>
  <c r="EO242" i="1"/>
  <c r="AO18" i="1"/>
  <c r="F403" i="1"/>
  <c r="EP22" i="1"/>
  <c r="EP399" i="1"/>
  <c r="P376" i="1"/>
  <c r="AB193" i="1"/>
  <c r="O242" i="1"/>
  <c r="F71" i="1"/>
  <c r="BA26" i="1"/>
  <c r="BA369" i="1"/>
  <c r="AB274" i="1"/>
  <c r="O339" i="1"/>
  <c r="Q83" i="1"/>
  <c r="F124" i="1"/>
  <c r="W83" i="1"/>
  <c r="F136" i="1"/>
  <c r="P193" i="1"/>
  <c r="F245" i="1"/>
  <c r="EC83" i="1"/>
  <c r="DP112" i="1"/>
  <c r="GO147" i="1"/>
  <c r="FU161" i="1" s="1"/>
  <c r="FS161" i="1"/>
  <c r="R193" i="1"/>
  <c r="F256" i="1"/>
  <c r="GA144" i="1"/>
  <c r="ER161" i="1"/>
  <c r="ER369" i="1" s="1"/>
  <c r="AQ18" i="1"/>
  <c r="F409" i="1"/>
  <c r="U274" i="1"/>
  <c r="F361" i="1"/>
  <c r="P126" i="1"/>
  <c r="DJ83" i="1"/>
  <c r="EN161" i="1"/>
  <c r="FW144" i="1"/>
  <c r="CH193" i="1"/>
  <c r="AY242" i="1"/>
  <c r="DT144" i="1"/>
  <c r="DG161" i="1"/>
  <c r="DK193" i="1"/>
  <c r="P257" i="1"/>
  <c r="FX51" i="1"/>
  <c r="FZ51" i="1"/>
  <c r="DU26" i="1"/>
  <c r="DH51" i="1"/>
  <c r="FW51" i="1"/>
  <c r="Q144" i="1"/>
  <c r="F173" i="1"/>
  <c r="GO197" i="1"/>
  <c r="CC242" i="1" s="1"/>
  <c r="CA242" i="1"/>
  <c r="DL274" i="1"/>
  <c r="P360" i="1"/>
  <c r="ES26" i="1"/>
  <c r="P71" i="1"/>
  <c r="ES369" i="1"/>
  <c r="DM274" i="1"/>
  <c r="P361" i="1"/>
  <c r="DO83" i="1"/>
  <c r="P136" i="1"/>
  <c r="DH193" i="1"/>
  <c r="P245" i="1"/>
  <c r="ED26" i="1"/>
  <c r="DQ51" i="1"/>
  <c r="DM22" i="1"/>
  <c r="P391" i="1"/>
  <c r="DM399" i="1"/>
  <c r="AG274" i="1"/>
  <c r="T339" i="1"/>
  <c r="T369" i="1" s="1"/>
  <c r="FZ193" i="1"/>
  <c r="EQ242" i="1"/>
  <c r="BD18" i="1"/>
  <c r="F424" i="1"/>
  <c r="CA161" i="1"/>
  <c r="GO146" i="1"/>
  <c r="CC161" i="1" s="1"/>
  <c r="AB51" i="1"/>
  <c r="AF274" i="1"/>
  <c r="S339" i="1"/>
  <c r="DJ193" i="1"/>
  <c r="P256" i="1"/>
  <c r="DT193" i="1"/>
  <c r="DG242" i="1"/>
  <c r="EI22" i="1"/>
  <c r="EI399" i="1"/>
  <c r="P379" i="1"/>
  <c r="GM43" i="1"/>
  <c r="GO43" i="1" s="1"/>
  <c r="DT51" i="1"/>
  <c r="S193" i="1"/>
  <c r="F257" i="1"/>
  <c r="EH193" i="1"/>
  <c r="P251" i="1"/>
  <c r="DO26" i="1"/>
  <c r="P75" i="1"/>
  <c r="DO369" i="1"/>
  <c r="Q26" i="1"/>
  <c r="F63" i="1"/>
  <c r="Q369" i="1"/>
  <c r="ED193" i="1"/>
  <c r="DQ242" i="1"/>
  <c r="CI144" i="1"/>
  <c r="AZ161" i="1"/>
  <c r="AX83" i="1"/>
  <c r="F119" i="1"/>
  <c r="FX144" i="1"/>
  <c r="EO161" i="1"/>
  <c r="CH51" i="1"/>
  <c r="EH144" i="1"/>
  <c r="P170" i="1"/>
  <c r="DK144" i="1"/>
  <c r="P176" i="1"/>
  <c r="EV18" i="1"/>
  <c r="P424" i="1"/>
  <c r="FW193" i="1"/>
  <c r="EN242" i="1"/>
  <c r="U22" i="1"/>
  <c r="F391" i="1"/>
  <c r="U399" i="1"/>
  <c r="AB144" i="1"/>
  <c r="O161" i="1"/>
  <c r="P164" i="1"/>
  <c r="DH144" i="1"/>
  <c r="EK18" i="1"/>
  <c r="P416" i="1"/>
  <c r="AL339" i="1"/>
  <c r="CF112" i="1"/>
  <c r="AC83" i="1"/>
  <c r="CE112" i="1"/>
  <c r="CH112" i="1"/>
  <c r="P112" i="1"/>
  <c r="GO196" i="1"/>
  <c r="FU242" i="1" s="1"/>
  <c r="FS242" i="1"/>
  <c r="W26" i="1"/>
  <c r="F75" i="1"/>
  <c r="W369" i="1"/>
  <c r="U83" i="1"/>
  <c r="F134" i="1"/>
  <c r="GM41" i="1"/>
  <c r="P63" i="1"/>
  <c r="DI26" i="1"/>
  <c r="DI369" i="1"/>
  <c r="DL83" i="1"/>
  <c r="P133" i="1"/>
  <c r="GA193" i="1"/>
  <c r="ER242" i="1"/>
  <c r="T22" i="1" l="1"/>
  <c r="T399" i="1"/>
  <c r="F390" i="1"/>
  <c r="ER22" i="1"/>
  <c r="ER399" i="1"/>
  <c r="P380" i="1"/>
  <c r="AR51" i="1"/>
  <c r="CA26" i="1"/>
  <c r="DQ26" i="1"/>
  <c r="P78" i="1"/>
  <c r="DQ369" i="1"/>
  <c r="CA193" i="1"/>
  <c r="AR242" i="1"/>
  <c r="DK22" i="1"/>
  <c r="DK399" i="1"/>
  <c r="P384" i="1"/>
  <c r="AV26" i="1"/>
  <c r="F56" i="1"/>
  <c r="FU83" i="1"/>
  <c r="EL112" i="1"/>
  <c r="W274" i="1"/>
  <c r="F363" i="1"/>
  <c r="EO274" i="1"/>
  <c r="P345" i="1"/>
  <c r="CC112" i="1"/>
  <c r="P22" i="1"/>
  <c r="P399" i="1"/>
  <c r="F372" i="1"/>
  <c r="V22" i="1"/>
  <c r="F392" i="1"/>
  <c r="V399" i="1"/>
  <c r="W22" i="1"/>
  <c r="W399" i="1"/>
  <c r="F393" i="1"/>
  <c r="CC193" i="1"/>
  <c r="AT242" i="1"/>
  <c r="AY193" i="1"/>
  <c r="F250" i="1"/>
  <c r="O274" i="1"/>
  <c r="F341" i="1"/>
  <c r="EO193" i="1"/>
  <c r="P248" i="1"/>
  <c r="AW51" i="1"/>
  <c r="CF26" i="1"/>
  <c r="X274" i="1"/>
  <c r="F365" i="1"/>
  <c r="ER144" i="1"/>
  <c r="P172" i="1"/>
  <c r="CA144" i="1"/>
  <c r="AR161" i="1"/>
  <c r="ER193" i="1"/>
  <c r="P253" i="1"/>
  <c r="EI18" i="1"/>
  <c r="P409" i="1"/>
  <c r="AV193" i="1"/>
  <c r="F247" i="1"/>
  <c r="AW144" i="1"/>
  <c r="F167" i="1"/>
  <c r="P123" i="1"/>
  <c r="ER83" i="1"/>
  <c r="EH18" i="1"/>
  <c r="P408" i="1"/>
  <c r="DG144" i="1"/>
  <c r="P163" i="1"/>
  <c r="FS274" i="1"/>
  <c r="EJ339" i="1"/>
  <c r="DK83" i="1"/>
  <c r="P127" i="1"/>
  <c r="AU18" i="1"/>
  <c r="F418" i="1"/>
  <c r="X83" i="1"/>
  <c r="F138" i="1"/>
  <c r="DQ193" i="1"/>
  <c r="P269" i="1"/>
  <c r="DO22" i="1"/>
  <c r="P393" i="1"/>
  <c r="DO399" i="1"/>
  <c r="EN144" i="1"/>
  <c r="P166" i="1"/>
  <c r="FU274" i="1"/>
  <c r="EL339" i="1"/>
  <c r="EQ144" i="1"/>
  <c r="P169" i="1"/>
  <c r="AW193" i="1"/>
  <c r="F248" i="1"/>
  <c r="DJ22" i="1"/>
  <c r="DJ399" i="1"/>
  <c r="P383" i="1"/>
  <c r="V274" i="1"/>
  <c r="F362" i="1"/>
  <c r="EQ274" i="1"/>
  <c r="P347" i="1"/>
  <c r="X193" i="1"/>
  <c r="F268" i="1"/>
  <c r="W16" i="2"/>
  <c r="Y83" i="1"/>
  <c r="F139" i="1"/>
  <c r="Q22" i="1"/>
  <c r="F381" i="1"/>
  <c r="Q399" i="1"/>
  <c r="CH26" i="1"/>
  <c r="AY51" i="1"/>
  <c r="FW26" i="1"/>
  <c r="EN51" i="1"/>
  <c r="EL161" i="1"/>
  <c r="FU144" i="1"/>
  <c r="DQ83" i="1"/>
  <c r="P139" i="1"/>
  <c r="P83" i="1"/>
  <c r="F115" i="1"/>
  <c r="U18" i="1"/>
  <c r="F421" i="1"/>
  <c r="P167" i="1"/>
  <c r="EO144" i="1"/>
  <c r="DH26" i="1"/>
  <c r="P54" i="1"/>
  <c r="DH369" i="1"/>
  <c r="DP83" i="1"/>
  <c r="P138" i="1"/>
  <c r="AP26" i="1"/>
  <c r="F60" i="1"/>
  <c r="AP369" i="1"/>
  <c r="CA339" i="1"/>
  <c r="F77" i="1"/>
  <c r="X26" i="1"/>
  <c r="X369" i="1"/>
  <c r="FS193" i="1"/>
  <c r="EJ242" i="1"/>
  <c r="DT274" i="1"/>
  <c r="DG339" i="1"/>
  <c r="Y144" i="1"/>
  <c r="F188" i="1"/>
  <c r="DG83" i="1"/>
  <c r="P114" i="1"/>
  <c r="DQ274" i="1"/>
  <c r="P366" i="1"/>
  <c r="O83" i="1"/>
  <c r="F114" i="1"/>
  <c r="CC339" i="1"/>
  <c r="DH83" i="1"/>
  <c r="P115" i="1"/>
  <c r="CA83" i="1"/>
  <c r="AR112" i="1"/>
  <c r="BA22" i="1"/>
  <c r="BA399" i="1"/>
  <c r="F389" i="1"/>
  <c r="CH83" i="1"/>
  <c r="AY112" i="1"/>
  <c r="T274" i="1"/>
  <c r="F360" i="1"/>
  <c r="O193" i="1"/>
  <c r="F244" i="1"/>
  <c r="CE83" i="1"/>
  <c r="AV112" i="1"/>
  <c r="ES22" i="1"/>
  <c r="P389" i="1"/>
  <c r="H16" i="2" s="1"/>
  <c r="ES399" i="1"/>
  <c r="FZ26" i="1"/>
  <c r="EQ51" i="1"/>
  <c r="P274" i="1"/>
  <c r="F342" i="1"/>
  <c r="DL22" i="1"/>
  <c r="P390" i="1"/>
  <c r="DL399" i="1"/>
  <c r="AZ51" i="1"/>
  <c r="CI26" i="1"/>
  <c r="AY144" i="1"/>
  <c r="F169" i="1"/>
  <c r="DQ144" i="1"/>
  <c r="P188" i="1"/>
  <c r="FZ83" i="1"/>
  <c r="EQ112" i="1"/>
  <c r="DP274" i="1"/>
  <c r="P365" i="1"/>
  <c r="FS83" i="1"/>
  <c r="EJ112" i="1"/>
  <c r="FS144" i="1"/>
  <c r="EJ161" i="1"/>
  <c r="DG193" i="1"/>
  <c r="P244" i="1"/>
  <c r="EN193" i="1"/>
  <c r="P247" i="1"/>
  <c r="S274" i="1"/>
  <c r="F354" i="1"/>
  <c r="DM18" i="1"/>
  <c r="P421" i="1"/>
  <c r="EO51" i="1"/>
  <c r="FX26" i="1"/>
  <c r="DP144" i="1"/>
  <c r="P187" i="1"/>
  <c r="CF274" i="1"/>
  <c r="AW339" i="1"/>
  <c r="AX18" i="1"/>
  <c r="F406" i="1"/>
  <c r="EN274" i="1"/>
  <c r="P344" i="1"/>
  <c r="DP193" i="1"/>
  <c r="P268" i="1"/>
  <c r="FW83" i="1"/>
  <c r="EN112" i="1"/>
  <c r="AB26" i="1"/>
  <c r="O51" i="1"/>
  <c r="FU193" i="1"/>
  <c r="EL242" i="1"/>
  <c r="DI22" i="1"/>
  <c r="P381" i="1"/>
  <c r="DI399" i="1"/>
  <c r="GO41" i="1"/>
  <c r="FU51" i="1" s="1"/>
  <c r="FS51" i="1"/>
  <c r="CF83" i="1"/>
  <c r="AW112" i="1"/>
  <c r="AZ144" i="1"/>
  <c r="F172" i="1"/>
  <c r="EP18" i="1"/>
  <c r="P406" i="1"/>
  <c r="R22" i="1"/>
  <c r="F383" i="1"/>
  <c r="R399" i="1"/>
  <c r="CE274" i="1"/>
  <c r="AV339" i="1"/>
  <c r="S369" i="1"/>
  <c r="R274" i="1"/>
  <c r="F353" i="1"/>
  <c r="CC51" i="1"/>
  <c r="P77" i="1"/>
  <c r="DP26" i="1"/>
  <c r="DP369" i="1"/>
  <c r="EO112" i="1"/>
  <c r="FX83" i="1"/>
  <c r="Y26" i="1"/>
  <c r="F78" i="1"/>
  <c r="Y369" i="1"/>
  <c r="DT26" i="1"/>
  <c r="DG51" i="1"/>
  <c r="CC144" i="1"/>
  <c r="AT161" i="1"/>
  <c r="O144" i="1"/>
  <c r="F163" i="1"/>
  <c r="EQ193" i="1"/>
  <c r="P250" i="1"/>
  <c r="AL274" i="1"/>
  <c r="Y339" i="1"/>
  <c r="AV144" i="1"/>
  <c r="F166" i="1"/>
  <c r="Y193" i="1"/>
  <c r="F269" i="1"/>
  <c r="CH274" i="1"/>
  <c r="AY339" i="1"/>
  <c r="AZ193" i="1"/>
  <c r="F253" i="1"/>
  <c r="DN18" i="1"/>
  <c r="P422" i="1"/>
  <c r="F53" i="1" l="1"/>
  <c r="O26" i="1"/>
  <c r="O369" i="1"/>
  <c r="P189" i="1"/>
  <c r="EJ144" i="1"/>
  <c r="AV83" i="1"/>
  <c r="F117" i="1"/>
  <c r="DG274" i="1"/>
  <c r="P341" i="1"/>
  <c r="DQ22" i="1"/>
  <c r="DQ399" i="1"/>
  <c r="P396" i="1"/>
  <c r="AZ26" i="1"/>
  <c r="F62" i="1"/>
  <c r="AZ369" i="1"/>
  <c r="DH22" i="1"/>
  <c r="P372" i="1"/>
  <c r="DH399" i="1"/>
  <c r="P179" i="1"/>
  <c r="EL144" i="1"/>
  <c r="EL274" i="1"/>
  <c r="P357" i="1"/>
  <c r="W18" i="1"/>
  <c r="F423" i="1"/>
  <c r="DP22" i="1"/>
  <c r="DP399" i="1"/>
  <c r="P395" i="1"/>
  <c r="CC274" i="1"/>
  <c r="AT339" i="1"/>
  <c r="AW26" i="1"/>
  <c r="F57" i="1"/>
  <c r="AW369" i="1"/>
  <c r="V18" i="1"/>
  <c r="F422" i="1"/>
  <c r="F179" i="1"/>
  <c r="AT144" i="1"/>
  <c r="EJ83" i="1"/>
  <c r="P140" i="1"/>
  <c r="AW83" i="1"/>
  <c r="F118" i="1"/>
  <c r="EO26" i="1"/>
  <c r="P57" i="1"/>
  <c r="EO369" i="1"/>
  <c r="P53" i="1"/>
  <c r="DG26" i="1"/>
  <c r="DG369" i="1"/>
  <c r="X22" i="1"/>
  <c r="F395" i="1"/>
  <c r="X399" i="1"/>
  <c r="F59" i="1"/>
  <c r="AY26" i="1"/>
  <c r="AY369" i="1"/>
  <c r="EJ274" i="1"/>
  <c r="P367" i="1"/>
  <c r="AV369" i="1"/>
  <c r="AR26" i="1"/>
  <c r="F79" i="1"/>
  <c r="AR369" i="1"/>
  <c r="AT51" i="1"/>
  <c r="CC26" i="1"/>
  <c r="S22" i="1"/>
  <c r="S399" i="1"/>
  <c r="F384" i="1"/>
  <c r="Y16" i="2" s="1"/>
  <c r="FS26" i="1"/>
  <c r="EJ51" i="1"/>
  <c r="DO18" i="1"/>
  <c r="P423" i="1"/>
  <c r="AR83" i="1"/>
  <c r="F140" i="1"/>
  <c r="EN83" i="1"/>
  <c r="P117" i="1"/>
  <c r="FU26" i="1"/>
  <c r="EL51" i="1"/>
  <c r="EQ83" i="1"/>
  <c r="P120" i="1"/>
  <c r="AY83" i="1"/>
  <c r="F120" i="1"/>
  <c r="Q18" i="1"/>
  <c r="F411" i="1"/>
  <c r="ER18" i="1"/>
  <c r="P410" i="1"/>
  <c r="DL18" i="1"/>
  <c r="P420" i="1"/>
  <c r="EN26" i="1"/>
  <c r="P56" i="1"/>
  <c r="EN369" i="1"/>
  <c r="EL83" i="1"/>
  <c r="P130" i="1"/>
  <c r="CA274" i="1"/>
  <c r="AR339" i="1"/>
  <c r="DJ18" i="1"/>
  <c r="P413" i="1"/>
  <c r="P18" i="1"/>
  <c r="F402" i="1"/>
  <c r="J16" i="2"/>
  <c r="AY274" i="1"/>
  <c r="F347" i="1"/>
  <c r="EJ193" i="1"/>
  <c r="P270" i="1"/>
  <c r="Y22" i="1"/>
  <c r="Y399" i="1"/>
  <c r="F396" i="1"/>
  <c r="AV274" i="1"/>
  <c r="F344" i="1"/>
  <c r="DI18" i="1"/>
  <c r="P411" i="1"/>
  <c r="P59" i="1"/>
  <c r="EQ26" i="1"/>
  <c r="EQ369" i="1"/>
  <c r="Y274" i="1"/>
  <c r="F366" i="1"/>
  <c r="R18" i="1"/>
  <c r="F413" i="1"/>
  <c r="AP22" i="1"/>
  <c r="AP399" i="1"/>
  <c r="F378" i="1"/>
  <c r="V16" i="2" s="1"/>
  <c r="AR144" i="1"/>
  <c r="F189" i="1"/>
  <c r="DK18" i="1"/>
  <c r="P414" i="1"/>
  <c r="ES18" i="1"/>
  <c r="P419" i="1"/>
  <c r="BA18" i="1"/>
  <c r="F419" i="1"/>
  <c r="AT112" i="1"/>
  <c r="CC83" i="1"/>
  <c r="T18" i="1"/>
  <c r="F420" i="1"/>
  <c r="EO83" i="1"/>
  <c r="P118" i="1"/>
  <c r="EL193" i="1"/>
  <c r="P260" i="1"/>
  <c r="AW274" i="1"/>
  <c r="F345" i="1"/>
  <c r="AT193" i="1"/>
  <c r="F260" i="1"/>
  <c r="AR193" i="1"/>
  <c r="F270" i="1"/>
  <c r="AT26" i="1" l="1"/>
  <c r="F69" i="1"/>
  <c r="AT369" i="1"/>
  <c r="DQ18" i="1"/>
  <c r="P426" i="1"/>
  <c r="AR22" i="1"/>
  <c r="F397" i="1"/>
  <c r="AR399" i="1"/>
  <c r="DG22" i="1"/>
  <c r="P371" i="1"/>
  <c r="DG399" i="1"/>
  <c r="AW22" i="1"/>
  <c r="AW399" i="1"/>
  <c r="F375" i="1"/>
  <c r="AV22" i="1"/>
  <c r="F374" i="1"/>
  <c r="AV399" i="1"/>
  <c r="EO22" i="1"/>
  <c r="P375" i="1"/>
  <c r="EO399" i="1"/>
  <c r="AR274" i="1"/>
  <c r="F367" i="1"/>
  <c r="DH18" i="1"/>
  <c r="P402" i="1"/>
  <c r="EJ26" i="1"/>
  <c r="P79" i="1"/>
  <c r="EJ369" i="1"/>
  <c r="AT274" i="1"/>
  <c r="F357" i="1"/>
  <c r="AT83" i="1"/>
  <c r="F130" i="1"/>
  <c r="Y18" i="1"/>
  <c r="F426" i="1"/>
  <c r="AY22" i="1"/>
  <c r="F377" i="1"/>
  <c r="AY399" i="1"/>
  <c r="AP18" i="1"/>
  <c r="F408" i="1"/>
  <c r="AZ22" i="1"/>
  <c r="F380" i="1"/>
  <c r="AZ399" i="1"/>
  <c r="O22" i="1"/>
  <c r="O399" i="1"/>
  <c r="F371" i="1"/>
  <c r="EN22" i="1"/>
  <c r="EN399" i="1"/>
  <c r="P374" i="1"/>
  <c r="S18" i="1"/>
  <c r="F414" i="1"/>
  <c r="DP18" i="1"/>
  <c r="P425" i="1"/>
  <c r="EQ22" i="1"/>
  <c r="P377" i="1"/>
  <c r="EQ399" i="1"/>
  <c r="EL26" i="1"/>
  <c r="P69" i="1"/>
  <c r="EL369" i="1"/>
  <c r="X18" i="1"/>
  <c r="F425" i="1"/>
  <c r="AY18" i="1" l="1"/>
  <c r="F407" i="1"/>
  <c r="EN18" i="1"/>
  <c r="P404" i="1"/>
  <c r="DG18" i="1"/>
  <c r="P401" i="1"/>
  <c r="EO18" i="1"/>
  <c r="P405" i="1"/>
  <c r="AR18" i="1"/>
  <c r="F427" i="1"/>
  <c r="AT22" i="1"/>
  <c r="AT399" i="1"/>
  <c r="F387" i="1"/>
  <c r="U16" i="2" s="1"/>
  <c r="X16" i="2" s="1"/>
  <c r="AC16" i="2" s="1"/>
  <c r="EL22" i="1"/>
  <c r="EL399" i="1"/>
  <c r="P387" i="1"/>
  <c r="F16" i="2" s="1"/>
  <c r="I16" i="2" s="1"/>
  <c r="N16" i="2" s="1"/>
  <c r="O18" i="1"/>
  <c r="F401" i="1"/>
  <c r="EQ18" i="1"/>
  <c r="P407" i="1"/>
  <c r="AV18" i="1"/>
  <c r="F404" i="1"/>
  <c r="AZ18" i="1"/>
  <c r="F410" i="1"/>
  <c r="EJ22" i="1"/>
  <c r="EJ399" i="1"/>
  <c r="P397" i="1"/>
  <c r="AW18" i="1"/>
  <c r="F405" i="1"/>
  <c r="AT18" i="1" l="1"/>
  <c r="F417" i="1"/>
  <c r="EL18" i="1"/>
  <c r="P417" i="1"/>
  <c r="EJ18" i="1"/>
  <c r="P427" i="1"/>
</calcChain>
</file>

<file path=xl/sharedStrings.xml><?xml version="1.0" encoding="utf-8"?>
<sst xmlns="http://schemas.openxmlformats.org/spreadsheetml/2006/main" count="11491" uniqueCount="712">
  <si>
    <t>Smeta.RU  (495) 974-1589</t>
  </si>
  <si>
    <t>_PS_</t>
  </si>
  <si>
    <t>Smeta.RU</t>
  </si>
  <si>
    <t/>
  </si>
  <si>
    <t>Клязьминская улица, д. 7, к. 4, Дмитровский район Северного административного округа города Москвы  Капитальный ремонт здания Государственного бюджетного общеобразовательного учреждения города Москвы «Школа № 236». 1 этап</t>
  </si>
  <si>
    <t>02-01-12</t>
  </si>
  <si>
    <t>02-01-12 СКС</t>
  </si>
  <si>
    <t>2024-00272-01-0-ИОС5.5</t>
  </si>
  <si>
    <t>Лукьянова А.Л.</t>
  </si>
  <si>
    <t>Сметные нормы списания</t>
  </si>
  <si>
    <t>Коды ОКП для ТСН-2001 МГЭ Дополнение 80</t>
  </si>
  <si>
    <t>ТСН-2001 (МГЭ) Доп 80 - Новое строительство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</si>
  <si>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</si>
  <si>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</si>
  <si>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</si>
  <si>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</si>
  <si>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</si>
  <si>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Структурированная кабельная сеть</t>
  </si>
  <si>
    <t>Телекоммуникационный шкаф 47U 19" ШТ1-01</t>
  </si>
  <si>
    <t>1</t>
  </si>
  <si>
    <t>4.10-32-1</t>
  </si>
  <si>
    <t>Монтаж стойки, полустойки, каркаса стойки или шкафа массой до 100 кг</t>
  </si>
  <si>
    <t>1  ШТ.</t>
  </si>
  <si>
    <t>ТСН-2001.4 Доп. 80, Сб. 10, т. 32, поз. 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</si>
  <si>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</si>
  <si>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</si>
  <si>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</si>
  <si>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</si>
  <si>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</si>
  <si>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1,1</t>
  </si>
  <si>
    <t>КА 1</t>
  </si>
  <si>
    <t>Шкаф 19" серии Racknet S3000, 47U 60F-47-7C-94BL</t>
  </si>
  <si>
    <t>шт.</t>
  </si>
  <si>
    <t>[195 488,81 / 1,2 /  9,88] +  2% Заг.скл</t>
  </si>
  <si>
    <t>0</t>
  </si>
  <si>
    <t>2</t>
  </si>
  <si>
    <t>1,2</t>
  </si>
  <si>
    <t>КА 2</t>
  </si>
  <si>
    <t>Вертикальный органайзер 60А-18-47-01-31BL</t>
  </si>
  <si>
    <t>[41 245 / 1,2 /  9,88] +  2% Заг.скл</t>
  </si>
  <si>
    <t>1,3</t>
  </si>
  <si>
    <t>КА 7</t>
  </si>
  <si>
    <t>Набор для креnленuя лоmков к крышке шкафов, высоmа 50мм 60А-31-08-ЗЗВL</t>
  </si>
  <si>
    <t>[1 715,95 / 1,2 /  9,88] +  2% Заг.скл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</si>
  <si>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</si>
  <si>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</si>
  <si>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</si>
  <si>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</si>
  <si>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</si>
  <si>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2,1</t>
  </si>
  <si>
    <t>КА 3</t>
  </si>
  <si>
    <t>Вентиляторная панель 60А-91-11-30ВL</t>
  </si>
  <si>
    <t>Сметная стоимость оборудования</t>
  </si>
  <si>
    <t>ТСН-2001.13. Сметная стоимость оборудования</t>
  </si>
  <si>
    <t>ТСН-2001.13</t>
  </si>
  <si>
    <t>[28 334 / 1,2 /  7,66] +  3% Трансп +  1,2% Заг.скл</t>
  </si>
  <si>
    <t>3</t>
  </si>
  <si>
    <t>2,2</t>
  </si>
  <si>
    <t>КА 5</t>
  </si>
  <si>
    <t>Выдвижная полка для клавиатуры 60А-04-45-11BL</t>
  </si>
  <si>
    <t>[6 430 / 1,2 /  9,88] +  2% Заг.скл</t>
  </si>
  <si>
    <t>2,3</t>
  </si>
  <si>
    <t>КА 6</t>
  </si>
  <si>
    <t>Полка сmацuонарная регулuруемая 1U до 50кг, 370мм, для 600мм</t>
  </si>
  <si>
    <t>[4 434 / 1,2 /  9,88] +  2% Заг.скл</t>
  </si>
  <si>
    <t>2,4</t>
  </si>
  <si>
    <t>КА 8</t>
  </si>
  <si>
    <t>Панель освещенuя на магнumах, унuверсальная цвеm черныu 60A-05-15BL</t>
  </si>
  <si>
    <t>[8 376,8 / 1,2 /  9,88] +  2% Заг.скл</t>
  </si>
  <si>
    <t>4.11-14-1</t>
  </si>
  <si>
    <t>Включение штепсельных разъемов в аппаратуру, количество контактов в разъеме до 14</t>
  </si>
  <si>
    <t>1 разъем</t>
  </si>
  <si>
    <t>ТСН-2001.4 Доп. 67, Сб. 11, т. 14, поз. 1</t>
  </si>
  <si>
    <t>3,1</t>
  </si>
  <si>
    <t>КА 4</t>
  </si>
  <si>
    <t>Шнур питания для вент. панели IEC 320 C14</t>
  </si>
  <si>
    <t>[650 / 1,2 /  9,88] +  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</si>
  <si>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</si>
  <si>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</si>
  <si>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</si>
  <si>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</si>
  <si>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</si>
  <si>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</si>
  <si>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</si>
  <si>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</si>
  <si>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</si>
  <si>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</si>
  <si>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</si>
  <si>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</si>
  <si>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</si>
  <si>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</si>
  <si>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</si>
  <si>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</si>
  <si>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</si>
  <si>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</si>
  <si>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</si>
  <si>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</si>
  <si>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</si>
  <si>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</si>
  <si>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</si>
  <si>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</si>
  <si>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</si>
  <si>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</si>
  <si>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</si>
  <si>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</si>
  <si>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</si>
  <si>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</si>
  <si>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</si>
  <si>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</si>
  <si>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</si>
  <si>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</si>
  <si>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</si>
  <si>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</si>
  <si>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</si>
  <si>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</si>
  <si>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</si>
  <si>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</si>
  <si>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</si>
  <si>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</si>
  <si>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</si>
  <si>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</si>
  <si>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</si>
  <si>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</si>
  <si>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</si>
  <si>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</si>
  <si>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</si>
  <si>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</si>
  <si>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</si>
  <si>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</si>
  <si>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</si>
  <si>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</si>
  <si>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Телекоммуникационный шкаф 42U 19" ШТ1-2,1-3,1-4; ШТ2-5,2-6; ШТ3-7,3-8</t>
  </si>
  <si>
    <t>4</t>
  </si>
  <si>
    <t>4,1</t>
  </si>
  <si>
    <t>КА 9</t>
  </si>
  <si>
    <t>Шкаф 19" серии Racknet S3000, 42U 60F-42-88-31BL</t>
  </si>
  <si>
    <t>[164 795 / 1,2 /  9,88] +  2% Заг.скл</t>
  </si>
  <si>
    <t>4,2</t>
  </si>
  <si>
    <t>КА 10</t>
  </si>
  <si>
    <t>Вертикальный органайзер 60А-18-42-01-31BL</t>
  </si>
  <si>
    <t>[37 572,47 / 1,2 /  9,88] +  2% Заг.скл</t>
  </si>
  <si>
    <t>4,3</t>
  </si>
  <si>
    <t>КА 11</t>
  </si>
  <si>
    <t>Шuна заземленuя 19" (500мм), 20 mочек, 5х15мм 60A-14-11GR</t>
  </si>
  <si>
    <t>[4 030 / 1,2 /  9,88] +  2% Заг.скл</t>
  </si>
  <si>
    <t>4,4</t>
  </si>
  <si>
    <t>5</t>
  </si>
  <si>
    <t>5,1</t>
  </si>
  <si>
    <t>5,2</t>
  </si>
  <si>
    <t>КА 12</t>
  </si>
  <si>
    <t>Набор nроводов заземленuя, 4 nровода 250ммх4мм2, 4 nровода, 150мм х4мм2 60A-14-13GR</t>
  </si>
  <si>
    <t>[1 913,04 / 1,2 /  9,88] +  2% Заг.скл</t>
  </si>
  <si>
    <t>6</t>
  </si>
  <si>
    <t>6,1</t>
  </si>
  <si>
    <t>6,2</t>
  </si>
  <si>
    <t>6,3</t>
  </si>
  <si>
    <t>6,4</t>
  </si>
  <si>
    <t>Источники электропитания</t>
  </si>
  <si>
    <t>7</t>
  </si>
  <si>
    <t>4.10-19-6</t>
  </si>
  <si>
    <t>Монтаж отдельно устанавливаемого преобразователя или блока питания</t>
  </si>
  <si>
    <t>ТСН-2001.4 Доп. 70, Сб. 10, т. 19, поз. 6</t>
  </si>
  <si>
    <t>7,1</t>
  </si>
  <si>
    <t>1.1-1-58</t>
  </si>
  <si>
    <t>Болты строительные с гайками, оцинкованные, М10х100 мм</t>
  </si>
  <si>
    <t>т</t>
  </si>
  <si>
    <t>ТСН-2001.1 Доп. 79, Р. 1, о. 1, поз. 58</t>
  </si>
  <si>
    <t>7,2</t>
  </si>
  <si>
    <t>1.21-5-1230</t>
  </si>
  <si>
    <t>Наконечник кабельный, латунный, кольцевой, неизолированный, для жил сечением от 1,0 до 2,5 мм2</t>
  </si>
  <si>
    <t>ТСН-2001.1 Доп. 67, Р. 21, о. 5, поз. 1230</t>
  </si>
  <si>
    <t>7,3</t>
  </si>
  <si>
    <t>КА 13</t>
  </si>
  <si>
    <t>ИБП ДКС Small-UPS Rackmount 3000VA/2700W 230B, 9A/ч</t>
  </si>
  <si>
    <t>[90 736 / 1,2 /  7,66] +  3% Трансп +  1,2% Заг.скл</t>
  </si>
  <si>
    <t>7,4</t>
  </si>
  <si>
    <t>КА 14</t>
  </si>
  <si>
    <t>Батарейный блок Small-R3AO Rack BPSMLR3-96V</t>
  </si>
  <si>
    <t>[49 058,96 / 1,2 /  7,66] +  3% Трансп +  1,2% Заг.скл</t>
  </si>
  <si>
    <t>8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</si>
  <si>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</si>
  <si>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</si>
  <si>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</si>
  <si>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8,1</t>
  </si>
  <si>
    <t>13.1-2-447</t>
  </si>
  <si>
    <t>Блок базовый распределения питания, 8 выходных розеток</t>
  </si>
  <si>
    <t>Материалы</t>
  </si>
  <si>
    <t>9</t>
  </si>
  <si>
    <t>4.10-32-4</t>
  </si>
  <si>
    <t>Монтаж платы дополнительной, устанавливаемой на готовом месте стойки</t>
  </si>
  <si>
    <t>ТСН-2001.4 Доп. 68, Сб. 10, т. 32, поз. 4</t>
  </si>
  <si>
    <t>9,1</t>
  </si>
  <si>
    <t>КА 15</t>
  </si>
  <si>
    <t>Коммутационная панель кат. 5е PLHD-48 Dual IDC-1U</t>
  </si>
  <si>
    <t>[6 688 / 1,2 /  9,88] +  2% Заг.скл</t>
  </si>
  <si>
    <t>9,2</t>
  </si>
  <si>
    <t>КА 16</t>
  </si>
  <si>
    <t>Коммутационная панель кат. 5е PLHD-24 Dual IDC-1U</t>
  </si>
  <si>
    <t>[2 438 / 1,2 /  9,88] +  2% Заг.скл</t>
  </si>
  <si>
    <t>9,3</t>
  </si>
  <si>
    <t>КА 17</t>
  </si>
  <si>
    <t>Горuзонmальныu органайзер, слоmовыu с крышкой, белый, 1U MX-CMC-1U-45-B</t>
  </si>
  <si>
    <t>[564 / 1,2 /  9,88] +  2% Заг.скл</t>
  </si>
  <si>
    <t>9,4</t>
  </si>
  <si>
    <t>КА 18</t>
  </si>
  <si>
    <t>Оптическая панель кроссовая КСП-19-3U-64FC/UPC-ОМ3 50/125</t>
  </si>
  <si>
    <t>[8 029 / 1,2 /  9,88] +  2% Заг.скл</t>
  </si>
  <si>
    <t>9,5</t>
  </si>
  <si>
    <t>КА 19</t>
  </si>
  <si>
    <t>Оптическая панель кроссовая 1U-RU24-LC/MM-4d-8-1</t>
  </si>
  <si>
    <t>[1 644 / 1,2 /  9,88] +  2% Заг.скл</t>
  </si>
  <si>
    <t>9,6</t>
  </si>
  <si>
    <t>КА 24</t>
  </si>
  <si>
    <t>Фальш-панель 1U</t>
  </si>
  <si>
    <t>[470 / 1,2 /  9,88] +  2% Заг.скл</t>
  </si>
  <si>
    <t>10</t>
  </si>
  <si>
    <t>10,1</t>
  </si>
  <si>
    <t>КА 20</t>
  </si>
  <si>
    <t>Консольная полка 60А-01-30-08BL</t>
  </si>
  <si>
    <t>[4 435 / 1,2 /  9,88] +  2% Заг.скл</t>
  </si>
  <si>
    <t>11</t>
  </si>
  <si>
    <t>4.8-243-11</t>
  </si>
  <si>
    <t>Монтаж розетки штепсельной трехполюсной</t>
  </si>
  <si>
    <t>100 шт.</t>
  </si>
  <si>
    <t>ТСН-2001.4 Доп. 79, Сб. 8, т. 243, поз. 11</t>
  </si>
  <si>
    <t>ТСН-2001.4-8. Электротехнические установки</t>
  </si>
  <si>
    <t>ТСН-2001.4-8-1</t>
  </si>
  <si>
    <t>11,1</t>
  </si>
  <si>
    <t>11,2</t>
  </si>
  <si>
    <t>1.21-5-1542</t>
  </si>
  <si>
    <t>Втулки полихлорвиниловые</t>
  </si>
  <si>
    <t>ТСН-2001.1 Доп. 64, Р. 21, о. 5, поз. 1542</t>
  </si>
  <si>
    <t>11,3</t>
  </si>
  <si>
    <t>1.21-5-925</t>
  </si>
  <si>
    <t>Розетка локальной сети, разъем RJ-45, скрытой установки, раздельная, 1-местная, степень защиты IP20</t>
  </si>
  <si>
    <t>ТСН-2001.1 Доп. 73, Р. 21, о. 5, поз. 925</t>
  </si>
  <si>
    <t>11,4</t>
  </si>
  <si>
    <t>КА 21</t>
  </si>
  <si>
    <t>Розетка локальной сети, разъем RJ-45, скрытой установки, раздельная, 2-местная BR-U21-D-31-R01</t>
  </si>
  <si>
    <t>[2 471,86 / 1,2 /  9,88] +  2% Заг.скл</t>
  </si>
  <si>
    <t>11,5</t>
  </si>
  <si>
    <t>1.21-5-194</t>
  </si>
  <si>
    <t>Коробка для установки выключателей, переключателей, штепсельных розеток в сборных гипсовых перегородках</t>
  </si>
  <si>
    <t>ТСН-2001.1 Доп. 73, Р. 21, о. 5, поз. 194</t>
  </si>
  <si>
    <t>11,6</t>
  </si>
  <si>
    <t>КА 22</t>
  </si>
  <si>
    <t>Розетка HDMI BR-H10-K01</t>
  </si>
  <si>
    <t>[599 / 1,2 /  9,88] +  2% Заг.скл</t>
  </si>
  <si>
    <t>11,7</t>
  </si>
  <si>
    <t>КА 23</t>
  </si>
  <si>
    <t>Розетка USB одноместная BR-U21-D-31-R01</t>
  </si>
  <si>
    <t>[2 471,88 / 1,2 /  9,88] +  2% Заг.скл</t>
  </si>
  <si>
    <t>12</t>
  </si>
  <si>
    <t>4.10-34-4</t>
  </si>
  <si>
    <t>Монтаж коммутатора испытательно-измерительного</t>
  </si>
  <si>
    <t>ТСН-2001.4 Доп. 80, Сб. 10, т. 34, поз. 4</t>
  </si>
  <si>
    <t>12,1</t>
  </si>
  <si>
    <t>КА 25</t>
  </si>
  <si>
    <t>Коммутатор доступа 48 портов уровня L3 MES2448B</t>
  </si>
  <si>
    <t>[183 996 / 1,2 /  7,66] +  3% Трансп +  1,2% Заг.скл</t>
  </si>
  <si>
    <t>13</t>
  </si>
  <si>
    <t>4.10-142-2</t>
  </si>
  <si>
    <t>Монтаж и настройка электронных АТС типа Миником DX-500, станция с количеством номеров до 100, монтаж станции</t>
  </si>
  <si>
    <t>100 номеров</t>
  </si>
  <si>
    <t>ТСН-2001.4. Доп. 1-42. Сб. 10, т. 142, поз. 2</t>
  </si>
  <si>
    <t>13,1</t>
  </si>
  <si>
    <t>КА 26</t>
  </si>
  <si>
    <t>Гибридная IP-ATC на 50 абонентов Artcom TC50</t>
  </si>
  <si>
    <t>[72 990 / 1,2 /  7,66] +  3% Трансп +  1,2% Заг.скл</t>
  </si>
  <si>
    <t>14</t>
  </si>
  <si>
    <t>4.10-21-1</t>
  </si>
  <si>
    <t>Монтаж телефонного аппарата настольного системы ЦБ или АТС</t>
  </si>
  <si>
    <t>ТСН-2001.4 Доп. 79, Сб. 10, т. 21, поз. 1</t>
  </si>
  <si>
    <t>14,1</t>
  </si>
  <si>
    <t>КА 27</t>
  </si>
  <si>
    <t>IP-телефон VP-30P-WB</t>
  </si>
  <si>
    <t>[15 525 / 1,2 /  7,66] +  3% Трансп +  1,2% Заг.скл</t>
  </si>
  <si>
    <t>Кабель, трубы</t>
  </si>
  <si>
    <t>15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</si>
  <si>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</si>
  <si>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</si>
  <si>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100 м</t>
  </si>
  <si>
    <t>ТСН-2001.4 Доп. 79, Сб. 10, т. 186, поз. 5</t>
  </si>
  <si>
    <t>15,1</t>
  </si>
  <si>
    <t>1.12-5-43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</si>
  <si>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</si>
  <si>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м</t>
  </si>
  <si>
    <t>ТСН-2001.1 Доп. 67, Р. 12, о. 5, поз. 43</t>
  </si>
  <si>
    <t>15,2</t>
  </si>
  <si>
    <t>1.21-5-1137</t>
  </si>
  <si>
    <t>Держатель пластиковый с защелкой для крепления труб, рукавов и гибких вводов диаметром 25 мм</t>
  </si>
  <si>
    <t>ТСН-2001.1 Доп. 79, Р. 21, о. 5, поз. 1137</t>
  </si>
  <si>
    <t>15,3</t>
  </si>
  <si>
    <t>КА 29</t>
  </si>
  <si>
    <t>Кабель cat.5е U/UTPнг(А)-LSLTx 4х0,52 арт.101162</t>
  </si>
  <si>
    <t>км</t>
  </si>
  <si>
    <t>[50 820 / 1,2 /  9,88] +  2% Заг.скл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</si>
  <si>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</si>
  <si>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</si>
  <si>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</si>
  <si>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</si>
  <si>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8-175-1 и 8-175-2)</t>
  </si>
  <si>
    <t>ТСН-2001.4 Доп. 80, Сб. 8, т. 175, поз. 9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</si>
  <si>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</si>
  <si>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</si>
  <si>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ТСН-2001.4 Доп. 80, Сб. 8, т. 172, поз. 1</t>
  </si>
  <si>
    <t>16</t>
  </si>
  <si>
    <t>4.10-186-1</t>
  </si>
  <si>
    <t>Прокладка кабеля связи симметричного для цифровых систем передачи по лоткам перфорированным</t>
  </si>
  <si>
    <t>ТСН-2001.4 Доп. 77, Сб. 10, т. 186, поз. 1</t>
  </si>
  <si>
    <t>16,1</t>
  </si>
  <si>
    <t>КА 28</t>
  </si>
  <si>
    <t>Кабель волоконно-оптический 50/125 многомодовый 8-волоконный ОБР-Внг(А) HFLTx 8 G651.1(ОМЗ) арт.46863</t>
  </si>
  <si>
    <t>[80 136 / 1,2 /  9,88] +  2% Заг.скл</t>
  </si>
  <si>
    <t>16,2</t>
  </si>
  <si>
    <t>16,3</t>
  </si>
  <si>
    <t>КА 30</t>
  </si>
  <si>
    <t>Кабель cat.6е F/UTPнг(А)-LSLTx 4х2х0,57 арт.100458</t>
  </si>
  <si>
    <t>[77 430 / 1,2 /  9,88] +  2% Заг.скл</t>
  </si>
  <si>
    <t>16,4</t>
  </si>
  <si>
    <t>КА 31</t>
  </si>
  <si>
    <t>Механизм HDMI 2.0, разъём Type A</t>
  </si>
  <si>
    <t>[954 / 1,2 /  9,88] +  2% Заг.скл</t>
  </si>
  <si>
    <t>16,5</t>
  </si>
  <si>
    <t>1.14-1-582</t>
  </si>
  <si>
    <t>Коннектор (вилка) телекоммуникационный 8P8C, RJ45, категория 5E</t>
  </si>
  <si>
    <t>ТСН-2001.1 Доп. 54, Р. 14, о. 1, поз. 582</t>
  </si>
  <si>
    <t>16,6</t>
  </si>
  <si>
    <t>КА 32</t>
  </si>
  <si>
    <t>Разъём Type C для розетки USB</t>
  </si>
  <si>
    <t>[51 / 1,2 /  9,88] +  2% Заг.скл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</si>
  <si>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</si>
  <si>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</si>
  <si>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ТСН-2001.4 Доп. 75, Сб. 8, т. 328, поз. 1</t>
  </si>
  <si>
    <t>[81 340 / 1,2 /  9,88] +  2% Заг.скл</t>
  </si>
  <si>
    <t>17</t>
  </si>
  <si>
    <t>4.8-331-1</t>
  </si>
  <si>
    <t>Прокладка металлического перфорированного лотка по установленным конструкциям, массой погонного метра до 2 кг</t>
  </si>
  <si>
    <t>100 М ТРАССЫ</t>
  </si>
  <si>
    <t>ТСН-2001.4 Доп. 79, Сб. 8, т. 331, поз. 1</t>
  </si>
  <si>
    <t>17,1</t>
  </si>
  <si>
    <t>1.21-5-2321</t>
  </si>
  <si>
    <t>Лоток кабельный проволочный стальной, оцинкованный, без крышки, диаметр проволоки 4,0 мм, размер 3000х400х50 мм</t>
  </si>
  <si>
    <t>ТСН-2001.1 Доп. 79, Р. 21, о. 5, поз. 2321</t>
  </si>
  <si>
    <t>17,2</t>
  </si>
  <si>
    <t>1.21-5-2323</t>
  </si>
  <si>
    <t>Лоток кабельный проволочный стальной, оцинкованный, без крышки, диаметр проволоки 4,0 мм, размер 3000х200х50 мм</t>
  </si>
  <si>
    <t>ТСН-2001.1 Доп. 77, Р. 21, о. 5, поз. 2323</t>
  </si>
  <si>
    <t>17,3</t>
  </si>
  <si>
    <t>1.21-5-2324</t>
  </si>
  <si>
    <t>Лоток кабельный проволочный стальной, оцинкованный, без крышки, диаметр проволоки 4,0 мм, размер 3000х150х50 мм</t>
  </si>
  <si>
    <t>ТСН-2001.1 Доп. 79, Р. 21, о. 5, поз. 2324</t>
  </si>
  <si>
    <t>17,4</t>
  </si>
  <si>
    <t>1.21-5-2478</t>
  </si>
  <si>
    <t>Комплект для монтажа проволочных лотков, в составе: шайба четырехлепестковая - 1 шт., шайба прямоугольная с отогнутыми краями - 1 шт., винт М6х20 мм - 1 шт., гайка М6 с буртом с насечкой - 1 шт.</t>
  </si>
  <si>
    <t>КОМПЛЕКТ</t>
  </si>
  <si>
    <t>ТСН-2001.1 Доп. 77, Р. 21, о. 5, поз. 2478</t>
  </si>
  <si>
    <t>17,5</t>
  </si>
  <si>
    <t>1.1-1-8008</t>
  </si>
  <si>
    <t>Винты с полукруглой головкой, оцинкованные, диаметр 5 мм, длина 50 мм</t>
  </si>
  <si>
    <t>ТСН-2001.1 Доп. 79, Р. 1, о. 1, поз. 8008</t>
  </si>
  <si>
    <t>18</t>
  </si>
  <si>
    <t>4.8-172-2</t>
  </si>
  <si>
    <t>Прокладка по установленным конструкциям, по стенам и колоннам с креплением скобами винипластовой трубы диаметром до 50 мм (2024-00272-01-0-ИОС5.5СО, лист 5, п.11 - гильзы)</t>
  </si>
  <si>
    <t>ТСН-2001.4 Доп. 80, Сб. 8, т. 172, поз. 2</t>
  </si>
  <si>
    <t>18,1</t>
  </si>
  <si>
    <t>1.12-5-44</t>
  </si>
  <si>
    <t>Трубы из непластифицированного вторичного ПВХ, гладкие, самозатухающие, усиленного типа, наружный диаметр 32 мм, толщина стенки 1,8 мм, для электропроводок</t>
  </si>
  <si>
    <t>ТСН-2001.1 Доп. 67, Р. 12, о. 5, поз. 44</t>
  </si>
  <si>
    <t>18,2</t>
  </si>
  <si>
    <t>1.1-1-617</t>
  </si>
  <si>
    <t>Мастика тиоколовая, герметизирующая, нетвердеющая, типа АМ-05</t>
  </si>
  <si>
    <t>кг</t>
  </si>
  <si>
    <t>ТСН-2001.1 Доп. 67, Р. 1, о. 1, поз. 617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</si>
  <si>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</si>
  <si>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</si>
  <si>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</si>
  <si>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</si>
  <si>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</si>
  <si>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</si>
  <si>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</si>
  <si>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</si>
  <si>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</si>
  <si>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</si>
  <si>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</si>
  <si>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</si>
  <si>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</si>
  <si>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</si>
  <si>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</si>
  <si>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</si>
  <si>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</si>
  <si>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</si>
  <si>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</si>
  <si>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</si>
  <si>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</si>
  <si>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</si>
  <si>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</si>
  <si>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</si>
  <si>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</si>
  <si>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</si>
  <si>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</si>
  <si>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</si>
  <si>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</si>
  <si>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1.1-1-237</t>
  </si>
  <si>
    <t>ТСН-2001.1 Доп. 67, Р. 1, о. 1, поз. 237</t>
  </si>
  <si>
    <t>Дюбель с патроном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</si>
  <si>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</si>
  <si>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</si>
  <si>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</si>
  <si>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</si>
  <si>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</si>
  <si>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</si>
  <si>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1.1-1-404</t>
  </si>
  <si>
    <t>ТСН-2001.1 Доп. 79, Р. 1, о. 1, поз. 404</t>
  </si>
  <si>
    <t>Клей столярный</t>
  </si>
  <si>
    <t>1.1-1-655</t>
  </si>
  <si>
    <t>ТСН-2001.1. Доп. 1-42. Р. 1, о. 1, поз. 655</t>
  </si>
  <si>
    <t>Мешковина</t>
  </si>
  <si>
    <t>м2</t>
  </si>
  <si>
    <t>5295300000</t>
  </si>
  <si>
    <t>Стойки, полустойки, каркасы стойки или шкафа массой до 100 кг</t>
  </si>
  <si>
    <t>4200000000</t>
  </si>
  <si>
    <t>Съемные и выдвижные блоки, ячейки, модули, типовые элементы замены (4300000000)</t>
  </si>
  <si>
    <t>1.1-1-146</t>
  </si>
  <si>
    <t>ТСН-2001.1 Доп. 79, Р. 1, о. 1, поз. 146</t>
  </si>
  <si>
    <t>Гипс строительный</t>
  </si>
  <si>
    <t>1.1-1-2911</t>
  </si>
  <si>
    <t>ТСН-2001.1 Доп. 67, Р. 1, о. 1, поз. 2911</t>
  </si>
  <si>
    <t>Лак электроизоляционный меламиноалкидный, типа МЛ-92</t>
  </si>
  <si>
    <t>1.1-1-330</t>
  </si>
  <si>
    <t>ТСН-2001.1 Доп. 79, Р. 1, о. 1, поз. 330</t>
  </si>
  <si>
    <t>Канифоль</t>
  </si>
  <si>
    <t>1.1-1-440</t>
  </si>
  <si>
    <t>ТСН-2001.1 Доп. 79, Р. 1, о. 1, поз. 440</t>
  </si>
  <si>
    <t>Краска водно-дисперсионная, акриловая, типа ВДА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</si>
  <si>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</si>
  <si>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</si>
  <si>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</si>
  <si>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</si>
  <si>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</si>
  <si>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</si>
  <si>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1.1-1-953</t>
  </si>
  <si>
    <t>ТСН-2001.1 Доп. 79, Р. 1, о. 1, поз. 953</t>
  </si>
  <si>
    <t>Проволока медная, толщина от 1,0 до 1,5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</si>
  <si>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</si>
  <si>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</si>
  <si>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</si>
  <si>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</si>
  <si>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</si>
  <si>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</si>
  <si>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1.21-5-690</t>
  </si>
  <si>
    <t>ТСН-2001.1 Доп. 73, Р. 21, о. 5, поз. 690</t>
  </si>
  <si>
    <t>Скрепа для ленты, типа NC 10, CF 10</t>
  </si>
  <si>
    <t>1297020000</t>
  </si>
  <si>
    <t>Болты строительные с гайками и шайбами (1297030000, 1610000000, 1620000000, 1680000000)</t>
  </si>
  <si>
    <t>3449800000</t>
  </si>
  <si>
    <t>Наконечники кабельные</t>
  </si>
  <si>
    <t>5296160000</t>
  </si>
  <si>
    <t>Преобразователи или блоки питания</t>
  </si>
  <si>
    <t>9999990002</t>
  </si>
  <si>
    <t>Масса оборудования</t>
  </si>
  <si>
    <t>Приборы, устанавливаемые на металлоконструкциях или щитах</t>
  </si>
  <si>
    <t>4041900000</t>
  </si>
  <si>
    <t>Платы, устанавливаемые на готовом месте стойки</t>
  </si>
  <si>
    <t>3464400000</t>
  </si>
  <si>
    <t>Розетки штепсельные трехполюсные</t>
  </si>
  <si>
    <t>1.1-1-3607</t>
  </si>
  <si>
    <t>ТСН-2001.1 Доп. 79, Р. 1, о. 1, поз. 3607</t>
  </si>
  <si>
    <t>Шурупы с полукруглой головкой, диаметр 4 мм, длина 40 мм</t>
  </si>
  <si>
    <t>1.14-1-588</t>
  </si>
  <si>
    <t>ТСН-2001.1 Доп. 66, Р. 14, о. 1, поз. 588</t>
  </si>
  <si>
    <t>Трубка полиэтиленовая для изолирования скруток жил кабелей связи, диаметр 6,5 мм</t>
  </si>
  <si>
    <t>10 м</t>
  </si>
  <si>
    <t>4227500000</t>
  </si>
  <si>
    <t>Коммутаторы испытательно-измерительные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</si>
  <si>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</si>
  <si>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</si>
  <si>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</si>
  <si>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</si>
  <si>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</si>
  <si>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</si>
  <si>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</si>
  <si>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</si>
  <si>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</si>
  <si>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</si>
  <si>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1000 шт.</t>
  </si>
  <si>
    <t>6654000000</t>
  </si>
  <si>
    <t>Телефонные аппараты настольные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</si>
  <si>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</si>
  <si>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</si>
  <si>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</si>
  <si>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</si>
  <si>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</si>
  <si>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</si>
  <si>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</si>
  <si>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</si>
  <si>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</si>
  <si>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</si>
  <si>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</si>
  <si>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</si>
  <si>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</si>
  <si>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</si>
  <si>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</si>
  <si>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</si>
  <si>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</si>
  <si>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</si>
  <si>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</si>
  <si>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</si>
  <si>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</si>
  <si>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</si>
  <si>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</si>
  <si>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</si>
  <si>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</si>
  <si>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</si>
  <si>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</si>
  <si>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</si>
  <si>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</si>
  <si>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</si>
  <si>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</si>
  <si>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</si>
  <si>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</si>
  <si>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</si>
  <si>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</si>
  <si>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</si>
  <si>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</si>
  <si>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</si>
  <si>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</si>
  <si>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</si>
  <si>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</si>
  <si>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</si>
  <si>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</si>
  <si>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</si>
  <si>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</si>
  <si>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</si>
  <si>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</si>
  <si>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</si>
  <si>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3500000000</t>
  </si>
  <si>
    <t>Провода (марка и сечение по проекту)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</si>
  <si>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</si>
  <si>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</si>
  <si>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</si>
  <si>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</si>
  <si>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</si>
  <si>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</si>
  <si>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</si>
  <si>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</si>
  <si>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</si>
  <si>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</si>
  <si>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</si>
  <si>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</si>
  <si>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1.1-1-3510</t>
  </si>
  <si>
    <t>ТСН-2001.1 Доп. 79, Р. 1, о. 1, поз. 3510</t>
  </si>
  <si>
    <t>Клей полимерный, универсальный, водостойкий</t>
  </si>
  <si>
    <t>л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</si>
  <si>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</si>
  <si>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</si>
  <si>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</si>
  <si>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</si>
  <si>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</si>
  <si>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</si>
  <si>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10 шт.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</si>
  <si>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</si>
  <si>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</si>
  <si>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</si>
  <si>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2248210000</t>
  </si>
  <si>
    <t>Трубы винипластовые</t>
  </si>
  <si>
    <t>3449650000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</si>
  <si>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</si>
  <si>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</si>
  <si>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</si>
  <si>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</si>
  <si>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</si>
  <si>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</si>
  <si>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</si>
  <si>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</si>
  <si>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</si>
  <si>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</si>
  <si>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</si>
  <si>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Кабели, провода</t>
  </si>
  <si>
    <t>2.1-30-19</t>
  </si>
  <si>
    <t>ТСН-2001.2. Доп. 80. п.1-30-19 (305001)</t>
  </si>
  <si>
    <t>Машины шлифовальные электрические, мощность до 1700 Вт</t>
  </si>
  <si>
    <t>2.1-4-8</t>
  </si>
  <si>
    <t>ТСН-2001.2. Доп. 68. п.1-4-8 (040201)</t>
  </si>
  <si>
    <t>Автопогрузчики вилочные, грузоподъемность до 1 т</t>
  </si>
  <si>
    <t>1.1-1-115</t>
  </si>
  <si>
    <t>ТСН-2001.1. Доп. 1-42. Р. 1, о. 1, поз. 115</t>
  </si>
  <si>
    <t>Ветошь</t>
  </si>
  <si>
    <t>1.1-1-8193</t>
  </si>
  <si>
    <t>ТСН-2001.1 Доп. 77, Р. 1, о. 1, поз. 8193</t>
  </si>
  <si>
    <t>Краска цинковая, в аэрозольном баллоне, объем 400 мл</t>
  </si>
  <si>
    <t>1.1-1-999</t>
  </si>
  <si>
    <t>ТСН-2001.1 Доп. 79, Р. 1, о. 1, поз. 999</t>
  </si>
  <si>
    <t>Растворитель "Уайт-спирит"</t>
  </si>
  <si>
    <t>1.7-3-51</t>
  </si>
  <si>
    <t>ТСН-2001.1 Доп. 67, Р. 7, о. 3, поз. 51</t>
  </si>
  <si>
    <t>Круг (диск) отрезной, для резки металла, диаметр 125 мм</t>
  </si>
  <si>
    <t>3449610000</t>
  </si>
  <si>
    <t>Лотки кабельные стальные перфорированные (3449670000)</t>
  </si>
  <si>
    <t>Секции фасонные стальные кабельных лотков (3449670000)</t>
  </si>
  <si>
    <t>3449674000</t>
  </si>
  <si>
    <t>Соединители стальные для кабельных лотков (3449677000)</t>
  </si>
  <si>
    <t>3449955000</t>
  </si>
  <si>
    <t>Проводники защитные заземляющие (1844211000)</t>
  </si>
  <si>
    <t>4594000000</t>
  </si>
  <si>
    <t>Винты с гайками и шайбами (1680000000)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</si>
  <si>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</si>
  <si>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</si>
  <si>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</si>
  <si>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</si>
  <si>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</si>
  <si>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</si>
  <si>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</si>
  <si>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</si>
  <si>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</si>
  <si>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</si>
  <si>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</si>
  <si>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</si>
  <si>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</si>
  <si>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</si>
  <si>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</si>
  <si>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</si>
  <si>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</si>
  <si>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</si>
  <si>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</si>
  <si>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</si>
  <si>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</si>
  <si>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</si>
  <si>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</si>
  <si>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</si>
  <si>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</si>
  <si>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</si>
  <si>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Клязьминская улица, д. 7, к. 4, Дмитровский район Северного административного округа города Москвы  Капитальный ремонт здания Государственного бюджетного общеобразовательного учреждения города Москвы «Школа № 236». 1 этап. 02-01-12 СКС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</si>
  <si>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</si>
  <si>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</si>
  <si>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</si>
  <si>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4.10-32-1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</si>
  <si>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</si>
  <si>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</si>
  <si>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</si>
  <si>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МР</t>
  </si>
  <si>
    <r>
      <t>Шкаф 19" серии Racknet S3000, 47U 60F-47-7C-94BL</t>
    </r>
    <r>
      <rPr>
        <i/>
        <sz val="10"/>
        <rFont val="Arial"/>
        <family val="2"/>
        <charset val="204"/>
      </rPr>
      <t xml:space="preserve">
16 818,37 = [195 488,81 / 1,2 /  9,88] +  2% Заг.скл</t>
    </r>
  </si>
  <si>
    <r>
      <t>Вертикальный органайзер 60А-18-47-01-31BL</t>
    </r>
    <r>
      <rPr>
        <i/>
        <sz val="10"/>
        <rFont val="Arial"/>
        <family val="2"/>
        <charset val="204"/>
      </rPr>
      <t xml:space="preserve">
3 548,41 = [41 245 / 1,2 /  9,88] +  2% Заг.скл</t>
    </r>
  </si>
  <si>
    <r>
      <t>Набор для креnленuя лоmков к крышке шкафов, высоmа 50мм 60А-31-08-ЗЗВL</t>
    </r>
    <r>
      <rPr>
        <i/>
        <sz val="10"/>
        <rFont val="Arial"/>
        <family val="2"/>
        <charset val="204"/>
      </rPr>
      <t xml:space="preserve">
147,62 = [1 715,95 / 1,2 /  9,88] +  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</si>
  <si>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</si>
  <si>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</si>
  <si>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</si>
  <si>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</si>
  <si>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</si>
  <si>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</si>
  <si>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</si>
  <si>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</si>
  <si>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</si>
  <si>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Вентиляторная панель 60А-91-11-30ВL</t>
    </r>
    <r>
      <rPr>
        <i/>
        <sz val="10"/>
        <color rgb="FF821E82"/>
        <rFont val="Arial"/>
        <family val="2"/>
        <charset val="204"/>
      </rPr>
      <t xml:space="preserve">
3 213,03 = [28 334 / 1,2 /  7,66] +  3% Трансп +  1,2% Заг.скл</t>
    </r>
  </si>
  <si>
    <r>
      <t>Выдвижная полка для клавиатуры 60А-04-45-11BL</t>
    </r>
    <r>
      <rPr>
        <i/>
        <sz val="10"/>
        <rFont val="Arial"/>
        <family val="2"/>
        <charset val="204"/>
      </rPr>
      <t xml:space="preserve">
553,19 = [6 430 / 1,2 /  9,88] +  2% Заг.скл</t>
    </r>
  </si>
  <si>
    <r>
      <t>Полка сmацuонарная регулuруемая 1U до 50кг, 370мм, для 600мм</t>
    </r>
    <r>
      <rPr>
        <i/>
        <sz val="10"/>
        <rFont val="Arial"/>
        <family val="2"/>
        <charset val="204"/>
      </rPr>
      <t xml:space="preserve">
381,47 = [4 434 / 1,2 /  9,88] +  2% Заг.скл</t>
    </r>
  </si>
  <si>
    <r>
      <t>Панель освещенuя на магнumах, унuверсальная цвеm черныu 60A-05-15BL</t>
    </r>
    <r>
      <rPr>
        <i/>
        <sz val="10"/>
        <rFont val="Arial"/>
        <family val="2"/>
        <charset val="204"/>
      </rPr>
      <t xml:space="preserve">
720,68 = [8 376,8 / 1,2 /  9,88] +  2% Заг.скл</t>
    </r>
  </si>
  <si>
    <r>
      <t>4.11-14-1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</si>
  <si>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Шнур питания для вент. панели IEC 320 C14</t>
    </r>
    <r>
      <rPr>
        <i/>
        <sz val="10"/>
        <rFont val="Arial"/>
        <family val="2"/>
        <charset val="204"/>
      </rPr>
      <t xml:space="preserve">
55,92 = [650 / 1,2 /  9,88] +  2% Заг.скл</t>
    </r>
  </si>
  <si>
    <t xml:space="preserve">   Итого по ТСН-2001.16</t>
  </si>
  <si>
    <t xml:space="preserve">   Итого возвратных сумм</t>
  </si>
  <si>
    <r>
      <t>Шкаф 19" серии Racknet S3000, 42U 60F-42-88-31BL</t>
    </r>
    <r>
      <rPr>
        <i/>
        <sz val="10"/>
        <rFont val="Arial"/>
        <family val="2"/>
        <charset val="204"/>
      </rPr>
      <t xml:space="preserve">
14 177,70 = [164 795 / 1,2 /  9,88] +  2% Заг.скл</t>
    </r>
  </si>
  <si>
    <r>
      <t>Вертикальный органайзер 60А-18-42-01-31BL</t>
    </r>
    <r>
      <rPr>
        <i/>
        <sz val="10"/>
        <rFont val="Arial"/>
        <family val="2"/>
        <charset val="204"/>
      </rPr>
      <t xml:space="preserve">
3 232,45 = [37 572,47 / 1,2 /  9,88] +  2% Заг.скл</t>
    </r>
  </si>
  <si>
    <r>
      <t>Шuна заземленuя 19" (500мм), 20 mочек, 5х15мм 60A-14-11GR</t>
    </r>
    <r>
      <rPr>
        <i/>
        <sz val="10"/>
        <rFont val="Arial"/>
        <family val="2"/>
        <charset val="204"/>
      </rPr>
      <t xml:space="preserve">
346,71 = [4 030 / 1,2 /  9,88] +  2% Заг.скл</t>
    </r>
  </si>
  <si>
    <r>
      <t>Набор nроводов заземленuя, 4 nровода 250ммх4мм2, 4 nровода, 150мм х4мм2 60A-14-13GR</t>
    </r>
    <r>
      <rPr>
        <i/>
        <sz val="10"/>
        <rFont val="Arial"/>
        <family val="2"/>
        <charset val="204"/>
      </rPr>
      <t xml:space="preserve">
164,59 = [1 913,04 / 1,2 /  9,88] +  2% Заг.скл</t>
    </r>
  </si>
  <si>
    <r>
      <t>4.10-19-6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</si>
  <si>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ИБП ДКС Small-UPS Rackmount 3000VA/2700W 230B, 9A/ч</t>
    </r>
    <r>
      <rPr>
        <i/>
        <sz val="10"/>
        <color rgb="FF821E82"/>
        <rFont val="Arial"/>
        <family val="2"/>
        <charset val="204"/>
      </rPr>
      <t xml:space="preserve">
10 289,34 = [90 736 / 1,2 /  7,66] +  3% Трансп +  1,2% Заг.скл</t>
    </r>
  </si>
  <si>
    <r>
      <t>ОБОРУДОВАНИЕ:_x000D_
Батарейный блок Small-R3AO Rack BPSMLR3-96V</t>
    </r>
    <r>
      <rPr>
        <i/>
        <sz val="10"/>
        <color rgb="FF821E82"/>
        <rFont val="Arial"/>
        <family val="2"/>
        <charset val="204"/>
      </rPr>
      <t xml:space="preserve">
5 563,22 = [49 058,96 / 1,2 /  7,66] +  3% Трансп +  1,2% Заг.скл</t>
    </r>
  </si>
  <si>
    <r>
      <t>4.11-3-1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</si>
  <si>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ОБОРУДОВАНИЕ:_x000D_
Блок базовый распределения питания, 8 выходных розеток</t>
  </si>
  <si>
    <r>
      <t>4.10-32-4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</si>
  <si>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Коммутационная панель кат. 5е PLHD-48 Dual IDC-1U</t>
    </r>
    <r>
      <rPr>
        <i/>
        <sz val="10"/>
        <rFont val="Arial"/>
        <family val="2"/>
        <charset val="204"/>
      </rPr>
      <t xml:space="preserve">
575,38 = [6 688 / 1,2 /  9,88] +  2% Заг.скл</t>
    </r>
  </si>
  <si>
    <r>
      <t>Коммутационная панель кат. 5е PLHD-24 Dual IDC-1U</t>
    </r>
    <r>
      <rPr>
        <i/>
        <sz val="10"/>
        <rFont val="Arial"/>
        <family val="2"/>
        <charset val="204"/>
      </rPr>
      <t xml:space="preserve">
209,74 = [2 438 / 1,2 /  9,88] +  2% Заг.скл</t>
    </r>
  </si>
  <si>
    <r>
      <t>Горuзонmальныu органайзер, слоmовыu с крышкой, белый, 1U MX-CMC-1U-45-B</t>
    </r>
    <r>
      <rPr>
        <i/>
        <sz val="10"/>
        <rFont val="Arial"/>
        <family val="2"/>
        <charset val="204"/>
      </rPr>
      <t xml:space="preserve">
48,52 = [564 / 1,2 /  9,88] +  2% Заг.скл</t>
    </r>
  </si>
  <si>
    <r>
      <t>Оптическая панель кроссовая КСП-19-3U-64FC/UPC-ОМ3 50/125</t>
    </r>
    <r>
      <rPr>
        <i/>
        <sz val="10"/>
        <rFont val="Arial"/>
        <family val="2"/>
        <charset val="204"/>
      </rPr>
      <t xml:space="preserve">
690,75 = [8 029 / 1,2 /  9,88] +  2% Заг.скл</t>
    </r>
  </si>
  <si>
    <r>
      <t>Оптическая панель кроссовая 1U-RU24-LC/MM-4d-8-1</t>
    </r>
    <r>
      <rPr>
        <i/>
        <sz val="10"/>
        <rFont val="Arial"/>
        <family val="2"/>
        <charset val="204"/>
      </rPr>
      <t xml:space="preserve">
141,43 = [1 644 / 1,2 /  9,88] +  2% Заг.скл</t>
    </r>
  </si>
  <si>
    <r>
      <t>Фальш-панель 1U</t>
    </r>
    <r>
      <rPr>
        <i/>
        <sz val="10"/>
        <rFont val="Arial"/>
        <family val="2"/>
        <charset val="204"/>
      </rPr>
      <t xml:space="preserve">
40,43 = [470 / 1,2 /  9,88] +  2% Заг.скл</t>
    </r>
  </si>
  <si>
    <r>
      <t>Консольная полка 60А-01-30-08BL</t>
    </r>
    <r>
      <rPr>
        <i/>
        <sz val="10"/>
        <rFont val="Arial"/>
        <family val="2"/>
        <charset val="204"/>
      </rPr>
      <t xml:space="preserve">
381,55 = [4 435 / 1,2 /  9,88] +  2% Заг.скл</t>
    </r>
  </si>
  <si>
    <r>
      <t>4.8-243-11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</si>
  <si>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Розетка локальной сети, разъем RJ-45, скрытой установки, раздельная, 2-местная BR-U21-D-31-R01</t>
    </r>
    <r>
      <rPr>
        <i/>
        <sz val="10"/>
        <rFont val="Arial"/>
        <family val="2"/>
        <charset val="204"/>
      </rPr>
      <t xml:space="preserve">
212,66 = [2 471,86 / 1,2 /  9,88] +  2% Заг.скл</t>
    </r>
  </si>
  <si>
    <r>
      <t>Розетка HDMI BR-H10-K01</t>
    </r>
    <r>
      <rPr>
        <i/>
        <sz val="10"/>
        <rFont val="Arial"/>
        <family val="2"/>
        <charset val="204"/>
      </rPr>
      <t xml:space="preserve">
51,53 = [599 / 1,2 /  9,88] +  2% Заг.скл</t>
    </r>
  </si>
  <si>
    <r>
      <t>Розетка USB одноместная BR-U21-D-31-R01</t>
    </r>
    <r>
      <rPr>
        <i/>
        <sz val="10"/>
        <rFont val="Arial"/>
        <family val="2"/>
        <charset val="204"/>
      </rPr>
      <t xml:space="preserve">
212,66 = [2 471,88 / 1,2 /  9,88] +  2% Заг.скл</t>
    </r>
  </si>
  <si>
    <r>
      <t>4.10-34-4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</si>
  <si>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Коммутатор доступа 48 портов уровня L3 MES2448B</t>
    </r>
    <r>
      <rPr>
        <i/>
        <sz val="10"/>
        <color rgb="FF821E82"/>
        <rFont val="Arial"/>
        <family val="2"/>
        <charset val="204"/>
      </rPr>
      <t xml:space="preserve">
20 864,89 = [183 996 / 1,2 /  7,66] +  3% Трансп +  1,2% Заг.скл</t>
    </r>
  </si>
  <si>
    <r>
      <t>4.10-142-2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</si>
  <si>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Гибридная IP-ATC на 50 абонентов Artcom TC50</t>
    </r>
    <r>
      <rPr>
        <i/>
        <sz val="10"/>
        <color rgb="FF821E82"/>
        <rFont val="Arial"/>
        <family val="2"/>
        <charset val="204"/>
      </rPr>
      <t xml:space="preserve">
8 276,97 = [72 990 / 1,2 /  7,66] +  3% Трансп +  1,2% Заг.скл</t>
    </r>
  </si>
  <si>
    <r>
      <t>4.10-21-1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</si>
  <si>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IP-телефон VP-30P-WB</t>
    </r>
    <r>
      <rPr>
        <i/>
        <sz val="10"/>
        <color rgb="FF821E82"/>
        <rFont val="Arial"/>
        <family val="2"/>
        <charset val="204"/>
      </rPr>
      <t xml:space="preserve">
1 760,52 = [15 525 / 1,2 /  7,66] +  3% Трансп +  1,2% Заг.скл</t>
    </r>
  </si>
  <si>
    <r>
      <t>4.10-186-5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</si>
  <si>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cat.5е U/UTPнг(А)-LSLTx 4х0,52 арт.101162</t>
    </r>
    <r>
      <rPr>
        <i/>
        <sz val="10"/>
        <rFont val="Arial"/>
        <family val="2"/>
        <charset val="204"/>
      </rPr>
      <t xml:space="preserve">
4 372,17 = [50 820 / 1,2 /  9,88] +  2% Заг.скл</t>
    </r>
  </si>
  <si>
    <r>
      <t>4.10-186-1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</si>
  <si>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волоконно-оптический 50/125 многомодовый 8-волоконный ОБР-Внг(А) HFLTx 8 G651.1(ОМЗ) арт.46863</t>
    </r>
    <r>
      <rPr>
        <i/>
        <sz val="10"/>
        <rFont val="Arial"/>
        <family val="2"/>
        <charset val="204"/>
      </rPr>
      <t xml:space="preserve">
6 894,29 = [80 136 / 1,2 /  9,88] +  2% Заг.скл</t>
    </r>
  </si>
  <si>
    <r>
      <t>Кабель cat.6е F/UTPнг(А)-LSLTx 4х2х0,57 арт.100458</t>
    </r>
    <r>
      <rPr>
        <i/>
        <sz val="10"/>
        <rFont val="Arial"/>
        <family val="2"/>
        <charset val="204"/>
      </rPr>
      <t xml:space="preserve">
6 661,49 = [77 430 / 1,2 /  9,88] +  2% Заг.скл</t>
    </r>
  </si>
  <si>
    <r>
      <t>Механизм HDMI 2.0, разъём Type A</t>
    </r>
    <r>
      <rPr>
        <i/>
        <sz val="10"/>
        <rFont val="Arial"/>
        <family val="2"/>
        <charset val="204"/>
      </rPr>
      <t xml:space="preserve">
82,08 = [954 / 1,2 /  9,88] +  2% Заг.скл</t>
    </r>
  </si>
  <si>
    <r>
      <t>Разъём Type C для розетки USB</t>
    </r>
    <r>
      <rPr>
        <i/>
        <sz val="10"/>
        <rFont val="Arial"/>
        <family val="2"/>
        <charset val="204"/>
      </rPr>
      <t xml:space="preserve">
4,39 = [51 / 1,2 /  9,88] +  2% Заг.скл</t>
    </r>
  </si>
  <si>
    <r>
      <t>4.8-331-1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</si>
  <si>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4.8-172-2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</si>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</sst>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28"/>
  <sheetViews>
    <sheetView tabSelected="1" zoomScaleNormal="100" workbookViewId="0">
      <selection activeCell="N6" sqref="N6"/>
    </sheetView>
  </sheetViews>
  <sheetFormatPr defaultRowHeight="12.45" x14ac:dyDescent="0.3"/>
  <cols>
    <col min="1" max="1" width="5.69140625" customWidth="1"/>
    <col min="2" max="2" width="11.69140625" customWidth="1"/>
    <col min="3" max="3" width="40.69140625" customWidth="1"/>
    <col min="4" max="4" width="11.69140625" customWidth="1"/>
    <col min="5" max="5" width="9.4609375" bestFit="1" customWidth="1"/>
    <col min="6" max="11" width="13.23046875" customWidth="1"/>
    <col min="15" max="41" width="0" hidden="1" customWidth="1"/>
    <col min="42" max="42" width="130.4609375" hidden="1" customWidth="1"/>
    <col min="43" max="43" width="96.3046875" hidden="1" customWidth="1"/>
    <col min="44" max="47" width="0" hidden="1" customWidth="1"/>
  </cols>
  <sheetData>
    <row r="1" spans="1:42" x14ac:dyDescent="0.3">
      <c r="A1" s="11" t="str">
        <f>Source!B1</f>
        <v>Smeta.RU  (495) 974-1589</v>
      </c>
    </row>
    <row r="2" spans="1:42" ht="14.15" x14ac:dyDescent="0.35">
      <c r="A2" s="12"/>
      <c r="B2" s="12"/>
      <c r="C2" s="12"/>
      <c r="D2" s="12"/>
      <c r="E2" s="12"/>
      <c r="F2" s="12"/>
      <c r="G2" s="12"/>
      <c r="H2" s="12"/>
      <c r="I2" s="12"/>
      <c r="J2" s="32" t="s">
        <v>631</v>
      </c>
      <c r="K2" s="32"/>
    </row>
    <row r="3" spans="1:42" ht="46.3" x14ac:dyDescent="0.4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AP3" s="33" t="s">
        <v>632</v>
      </c>
    </row>
    <row r="4" spans="1:42" x14ac:dyDescent="0.3">
      <c r="A4" s="14" t="s">
        <v>609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42" ht="14.15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42" ht="15.45" x14ac:dyDescent="0.4">
      <c r="A6" s="13" t="str">
        <f>CONCATENATE( "ЛОКАЛЬНАЯ СМЕТА № ",IF(Source!F20&lt;&gt;"Новая локальная смета", Source!F20, ""))</f>
        <v>ЛОКАЛЬНАЯ СМЕТА № 02-01-12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42" ht="14.15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42" ht="17.600000000000001" x14ac:dyDescent="0.4">
      <c r="A8" s="16" t="str">
        <f>IF(Source!G20&lt;&gt;"Новая локальная смета", Source!G20, "")</f>
        <v>Структурированная кабельная сеть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42" x14ac:dyDescent="0.3">
      <c r="A9" s="17" t="s">
        <v>610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42" ht="14.15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42" ht="14.15" x14ac:dyDescent="0.35">
      <c r="A11" s="19" t="str">
        <f>CONCATENATE( "Основание: чертежи № ", Source!J20)</f>
        <v>Основание: чертежи № 2024-00272-01-0-ИОС5.5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42" ht="14.15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42" ht="70.75" x14ac:dyDescent="0.35">
      <c r="A13" s="12"/>
      <c r="B13" s="12"/>
      <c r="C13" s="12"/>
      <c r="D13" s="12"/>
      <c r="E13" s="12"/>
      <c r="F13" s="12"/>
      <c r="G13" s="12"/>
      <c r="H13" s="12"/>
      <c r="I13" s="21" t="s">
        <v>611</v>
      </c>
      <c r="J13" s="21" t="s">
        <v>612</v>
      </c>
      <c r="K13" s="12"/>
    </row>
    <row r="14" spans="1:42" ht="14.15" x14ac:dyDescent="0.35">
      <c r="A14" s="12"/>
      <c r="B14" s="12"/>
      <c r="C14" s="12"/>
      <c r="D14" s="12"/>
      <c r="E14" s="22" t="s">
        <v>613</v>
      </c>
      <c r="F14" s="22"/>
      <c r="G14" s="22"/>
      <c r="H14" s="22"/>
      <c r="I14" s="23">
        <f>I15+I16+I17+I18</f>
        <v>1018.2</v>
      </c>
      <c r="J14" s="23">
        <f>J15+J16+J17+J18</f>
        <v>12126.02</v>
      </c>
      <c r="K14" s="24" t="s">
        <v>697</v>
      </c>
    </row>
    <row r="15" spans="1:42" ht="14.15" x14ac:dyDescent="0.35">
      <c r="A15" s="12"/>
      <c r="B15" s="12"/>
      <c r="C15" s="12"/>
      <c r="D15" s="12"/>
      <c r="E15" s="25" t="s">
        <v>614</v>
      </c>
      <c r="F15" s="25"/>
      <c r="G15" s="25"/>
      <c r="H15" s="25"/>
      <c r="I15" s="26">
        <f>ROUND((Source!F386)/1000, 2)</f>
        <v>0</v>
      </c>
      <c r="J15" s="26">
        <f>ROUND((Source!P386)/1000, 2)</f>
        <v>0</v>
      </c>
      <c r="K15" s="12" t="s">
        <v>697</v>
      </c>
    </row>
    <row r="16" spans="1:42" ht="14.15" x14ac:dyDescent="0.35">
      <c r="A16" s="12"/>
      <c r="B16" s="12"/>
      <c r="C16" s="12"/>
      <c r="D16" s="12"/>
      <c r="E16" s="25" t="s">
        <v>615</v>
      </c>
      <c r="F16" s="25"/>
      <c r="G16" s="25"/>
      <c r="H16" s="25"/>
      <c r="I16" s="26">
        <f>ROUND((Source!F387)/1000, 2)</f>
        <v>548.47</v>
      </c>
      <c r="J16" s="26">
        <f>ROUND((Source!P387)/1000, 2)</f>
        <v>8650.89</v>
      </c>
      <c r="K16" s="12" t="s">
        <v>697</v>
      </c>
    </row>
    <row r="17" spans="1:42" ht="14.15" x14ac:dyDescent="0.35">
      <c r="A17" s="12"/>
      <c r="B17" s="12"/>
      <c r="C17" s="12"/>
      <c r="D17" s="12"/>
      <c r="E17" s="25" t="s">
        <v>616</v>
      </c>
      <c r="F17" s="25"/>
      <c r="G17" s="25"/>
      <c r="H17" s="25"/>
      <c r="I17" s="26">
        <f>ROUND((Source!F378)/1000, 2)</f>
        <v>469.73</v>
      </c>
      <c r="J17" s="26">
        <f>ROUND((Source!P378)/1000, 2)</f>
        <v>3475.13</v>
      </c>
      <c r="K17" s="12" t="s">
        <v>697</v>
      </c>
    </row>
    <row r="18" spans="1:42" ht="14.15" x14ac:dyDescent="0.35">
      <c r="A18" s="12"/>
      <c r="B18" s="12"/>
      <c r="C18" s="12"/>
      <c r="D18" s="12"/>
      <c r="E18" s="25" t="s">
        <v>617</v>
      </c>
      <c r="F18" s="25"/>
      <c r="G18" s="25"/>
      <c r="H18" s="25"/>
      <c r="I18" s="26">
        <f>ROUND((Source!F388+Source!F389)/1000, 2)</f>
        <v>0</v>
      </c>
      <c r="J18" s="26">
        <f>ROUND((Source!P388+Source!P389)/1000, 2)</f>
        <v>0</v>
      </c>
      <c r="K18" s="12" t="s">
        <v>697</v>
      </c>
    </row>
    <row r="19" spans="1:42" ht="14.15" x14ac:dyDescent="0.35">
      <c r="A19" s="12"/>
      <c r="B19" s="12"/>
      <c r="C19" s="12"/>
      <c r="D19" s="12"/>
      <c r="E19" s="25" t="s">
        <v>618</v>
      </c>
      <c r="F19" s="25"/>
      <c r="G19" s="25"/>
      <c r="H19" s="25"/>
      <c r="I19" s="26">
        <f>(Source!F384+ Source!F383)/1000</f>
        <v>36.283460000000005</v>
      </c>
      <c r="J19" s="26">
        <f>((Source!P384 + Source!P383)/1000)</f>
        <v>1995.2274600000001</v>
      </c>
      <c r="K19" s="12" t="s">
        <v>697</v>
      </c>
    </row>
    <row r="20" spans="1:42" ht="14.15" x14ac:dyDescent="0.35">
      <c r="A20" s="12"/>
      <c r="B20" s="12"/>
      <c r="C20" s="12"/>
      <c r="D20" s="12"/>
      <c r="E20" s="25" t="s">
        <v>619</v>
      </c>
      <c r="F20" s="25"/>
      <c r="G20" s="25"/>
      <c r="H20" s="25"/>
      <c r="I20" s="26">
        <f>Source!F391</f>
        <v>3008.2474253700002</v>
      </c>
      <c r="J20" s="26"/>
      <c r="K20" s="12" t="s">
        <v>394</v>
      </c>
    </row>
    <row r="21" spans="1:42" ht="14.15" hidden="1" x14ac:dyDescent="0.35">
      <c r="A21" s="12"/>
      <c r="B21" s="12"/>
      <c r="C21" s="12"/>
      <c r="D21" s="12"/>
      <c r="E21" s="27" t="s">
        <v>620</v>
      </c>
      <c r="F21" s="27"/>
      <c r="G21" s="27"/>
      <c r="H21" s="27"/>
      <c r="I21" s="26"/>
      <c r="J21" s="26"/>
      <c r="K21" s="12"/>
    </row>
    <row r="22" spans="1:42" ht="14.15" hidden="1" x14ac:dyDescent="0.35">
      <c r="A22" s="12"/>
      <c r="B22" s="12"/>
      <c r="C22" s="12"/>
      <c r="D22" s="12"/>
      <c r="E22" s="28" t="s">
        <v>116</v>
      </c>
      <c r="F22" s="28"/>
      <c r="G22" s="28"/>
      <c r="H22" s="28"/>
      <c r="I22" s="26">
        <f>SUM(Y28:Y321)/1000</f>
        <v>0</v>
      </c>
      <c r="J22" s="26">
        <f>SUM(Z28:Z321)/1000</f>
        <v>0</v>
      </c>
      <c r="K22" s="12" t="s">
        <v>697</v>
      </c>
    </row>
    <row r="23" spans="1:42" ht="14.15" x14ac:dyDescent="0.35">
      <c r="A23" s="12"/>
      <c r="B23" s="12"/>
      <c r="C23" s="12"/>
      <c r="D23" s="12"/>
      <c r="E23" s="12"/>
      <c r="F23" s="29"/>
      <c r="G23" s="29"/>
      <c r="H23" s="29"/>
      <c r="I23" s="26"/>
      <c r="J23" s="26"/>
      <c r="K23" s="12"/>
    </row>
    <row r="24" spans="1:42" ht="14.15" x14ac:dyDescent="0.35">
      <c r="A24" s="12" t="s">
        <v>633</v>
      </c>
      <c r="B24" s="12"/>
      <c r="C24" s="12"/>
      <c r="D24" s="12"/>
      <c r="E24" s="12"/>
      <c r="F24" s="29"/>
      <c r="G24" s="29"/>
      <c r="H24" s="29"/>
      <c r="I24" s="26"/>
      <c r="J24" s="26"/>
      <c r="K24" s="12"/>
    </row>
    <row r="25" spans="1:42" ht="28.3" x14ac:dyDescent="0.35">
      <c r="A25" s="19" t="s">
        <v>634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AP25" s="34" t="s">
        <v>634</v>
      </c>
    </row>
    <row r="26" spans="1:42" ht="99" x14ac:dyDescent="0.3">
      <c r="A26" s="30" t="s">
        <v>621</v>
      </c>
      <c r="B26" s="30" t="s">
        <v>622</v>
      </c>
      <c r="C26" s="30" t="s">
        <v>623</v>
      </c>
      <c r="D26" s="30" t="s">
        <v>624</v>
      </c>
      <c r="E26" s="30" t="s">
        <v>625</v>
      </c>
      <c r="F26" s="30" t="s">
        <v>626</v>
      </c>
      <c r="G26" s="31" t="s">
        <v>627</v>
      </c>
      <c r="H26" s="31" t="s">
        <v>628</v>
      </c>
      <c r="I26" s="30" t="s">
        <v>635</v>
      </c>
      <c r="J26" s="30" t="s">
        <v>629</v>
      </c>
      <c r="K26" s="30" t="s">
        <v>630</v>
      </c>
    </row>
    <row r="27" spans="1:42" ht="14.15" x14ac:dyDescent="0.3">
      <c r="A27" s="30">
        <v>1</v>
      </c>
      <c r="B27" s="30">
        <v>2</v>
      </c>
      <c r="C27" s="30">
        <v>3</v>
      </c>
      <c r="D27" s="30">
        <v>4</v>
      </c>
      <c r="E27" s="30">
        <v>5</v>
      </c>
      <c r="F27" s="30">
        <v>6</v>
      </c>
      <c r="G27" s="30">
        <v>7</v>
      </c>
      <c r="H27" s="30">
        <v>8</v>
      </c>
      <c r="I27" s="30">
        <v>9</v>
      </c>
      <c r="J27" s="30">
        <v>10</v>
      </c>
      <c r="K27" s="30">
        <v>11</v>
      </c>
    </row>
    <row r="29" spans="1:42" ht="16.3" x14ac:dyDescent="0.3">
      <c r="A29" s="35" t="str">
        <f>CONCATENATE("Раздел: ",IF(Source!G24&lt;&gt;"Новый раздел", Source!G24, ""))</f>
        <v>Раздел: Телекоммуникационный шкаф 47U 19" ШТ1-01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spans="1:42" ht="78.45" x14ac:dyDescent="0.3">
      <c r="A30" s="36">
        <v>1</v>
      </c>
      <c r="B30" s="36" t="s">
        <v>636</v>
      </c>
      <c r="C30" s="36" t="s">
        <v>21</v>
      </c>
      <c r="D30" s="38" t="str">
        <f>Source!H28</f>
        <v>1  ШТ.</v>
      </c>
      <c r="E30" s="37">
        <f>Source!I28</f>
        <v>1</v>
      </c>
      <c r="F30" s="40"/>
      <c r="G30" s="39"/>
      <c r="H30" s="37"/>
      <c r="I30" s="40"/>
      <c r="J30" s="37"/>
      <c r="K30" s="40"/>
      <c r="Q30">
        <f>Source!X28</f>
        <v>99.34</v>
      </c>
      <c r="R30">
        <f>Source!X29</f>
        <v>5462.81</v>
      </c>
      <c r="S30">
        <f>Source!Y28</f>
        <v>50.77</v>
      </c>
      <c r="T30">
        <f>Source!Y29</f>
        <v>2792.1</v>
      </c>
      <c r="U30">
        <f>ROUND((175/100)*ROUND(Source!R28, 2), 2)</f>
        <v>8.3800000000000008</v>
      </c>
      <c r="V30">
        <f>ROUND((0/100)*ROUND(Source!R29, 2), 2)</f>
        <v>0</v>
      </c>
      <c r="AC30">
        <v>0</v>
      </c>
    </row>
    <row r="31" spans="1:42" ht="14.15" x14ac:dyDescent="0.3">
      <c r="A31" s="36"/>
      <c r="B31" s="36"/>
      <c r="C31" s="36" t="s">
        <v>637</v>
      </c>
      <c r="D31" s="38"/>
      <c r="E31" s="37"/>
      <c r="F31" s="40">
        <f>Source!AO28</f>
        <v>91.68</v>
      </c>
      <c r="G31" s="39" t="s">
        <v>29</v>
      </c>
      <c r="H31" s="37">
        <f>Source!AV29</f>
        <v>1.0469999999999999</v>
      </c>
      <c r="I31" s="40">
        <f>Source!S28</f>
        <v>105.59</v>
      </c>
      <c r="J31" s="37">
        <f>IF(Source!BA29&lt;&gt; 0, Source!BA29, 1)</f>
        <v>54.99</v>
      </c>
      <c r="K31" s="40">
        <f>Source!S29</f>
        <v>5806.39</v>
      </c>
    </row>
    <row r="32" spans="1:42" ht="14.15" x14ac:dyDescent="0.3">
      <c r="A32" s="36"/>
      <c r="B32" s="36"/>
      <c r="C32" s="36" t="s">
        <v>638</v>
      </c>
      <c r="D32" s="38"/>
      <c r="E32" s="37"/>
      <c r="F32" s="40">
        <f>Source!AM28</f>
        <v>38.92</v>
      </c>
      <c r="G32" s="39" t="s">
        <v>29</v>
      </c>
      <c r="H32" s="37">
        <f>Source!AV29</f>
        <v>1.0469999999999999</v>
      </c>
      <c r="I32" s="40">
        <f>Source!Q28</f>
        <v>44.82</v>
      </c>
      <c r="J32" s="37">
        <f>IF(Source!BB29&lt;&gt; 0, Source!BB29, 1)</f>
        <v>15.29</v>
      </c>
      <c r="K32" s="40">
        <f>Source!Q29</f>
        <v>685.3</v>
      </c>
    </row>
    <row r="33" spans="1:29" ht="14.15" x14ac:dyDescent="0.3">
      <c r="A33" s="36"/>
      <c r="B33" s="36"/>
      <c r="C33" s="36" t="s">
        <v>639</v>
      </c>
      <c r="D33" s="38"/>
      <c r="E33" s="37"/>
      <c r="F33" s="40">
        <f>Source!AN28</f>
        <v>4.16</v>
      </c>
      <c r="G33" s="39" t="s">
        <v>29</v>
      </c>
      <c r="H33" s="37">
        <f>Source!AV29</f>
        <v>1.0469999999999999</v>
      </c>
      <c r="I33" s="41">
        <f>Source!R28</f>
        <v>4.79</v>
      </c>
      <c r="J33" s="37">
        <f>IF(Source!BS29&lt;&gt; 0, Source!BS29, 1)</f>
        <v>54.99</v>
      </c>
      <c r="K33" s="41">
        <f>Source!R29</f>
        <v>263.39999999999998</v>
      </c>
    </row>
    <row r="34" spans="1:29" ht="14.15" x14ac:dyDescent="0.3">
      <c r="A34" s="36"/>
      <c r="B34" s="36"/>
      <c r="C34" s="36" t="s">
        <v>640</v>
      </c>
      <c r="D34" s="38"/>
      <c r="E34" s="37"/>
      <c r="F34" s="40">
        <f>Source!AL28</f>
        <v>3.92</v>
      </c>
      <c r="G34" s="39"/>
      <c r="H34" s="37">
        <f>Source!AW29</f>
        <v>1</v>
      </c>
      <c r="I34" s="40">
        <f>Source!P28</f>
        <v>3.92</v>
      </c>
      <c r="J34" s="37">
        <f>IF(Source!BC29&lt;&gt; 0, Source!BC29, 1)</f>
        <v>8.3000000000000007</v>
      </c>
      <c r="K34" s="40">
        <f>Source!P29</f>
        <v>32.54</v>
      </c>
    </row>
    <row r="35" spans="1:29" ht="54" x14ac:dyDescent="0.3">
      <c r="A35" s="36" t="s">
        <v>29</v>
      </c>
      <c r="B35" s="36" t="str">
        <f>Source!F30</f>
        <v>КА 1</v>
      </c>
      <c r="C35" s="36" t="s">
        <v>641</v>
      </c>
      <c r="D35" s="38" t="str">
        <f>Source!H30</f>
        <v>шт.</v>
      </c>
      <c r="E35" s="37">
        <f>Source!I30</f>
        <v>1</v>
      </c>
      <c r="F35" s="40">
        <f>Source!AK30</f>
        <v>16818.37</v>
      </c>
      <c r="G35" s="42" t="s">
        <v>3</v>
      </c>
      <c r="H35" s="37">
        <f>Source!AW31</f>
        <v>1</v>
      </c>
      <c r="I35" s="40">
        <f>Source!O30</f>
        <v>16818.37</v>
      </c>
      <c r="J35" s="37">
        <f>IF(Source!BC31&lt;&gt; 0, Source!BC31, 1)</f>
        <v>9.8800000000000008</v>
      </c>
      <c r="K35" s="40">
        <f>Source!O31</f>
        <v>166165.5</v>
      </c>
      <c r="Q35">
        <f>Source!X30</f>
        <v>0</v>
      </c>
      <c r="R35">
        <f>Source!X31</f>
        <v>0</v>
      </c>
      <c r="S35">
        <f>Source!Y30</f>
        <v>0</v>
      </c>
      <c r="T35">
        <f>Source!Y31</f>
        <v>0</v>
      </c>
      <c r="U35">
        <f>ROUND((175/100)*ROUND(Source!R30, 2), 2)</f>
        <v>0</v>
      </c>
      <c r="V35">
        <f>ROUND((0/100)*ROUND(Source!R31, 2), 2)</f>
        <v>0</v>
      </c>
      <c r="AC35">
        <v>3</v>
      </c>
    </row>
    <row r="36" spans="1:29" ht="41.15" x14ac:dyDescent="0.3">
      <c r="A36" s="36" t="s">
        <v>36</v>
      </c>
      <c r="B36" s="36" t="str">
        <f>Source!F32</f>
        <v>КА 2</v>
      </c>
      <c r="C36" s="36" t="s">
        <v>642</v>
      </c>
      <c r="D36" s="38" t="str">
        <f>Source!H32</f>
        <v>шт.</v>
      </c>
      <c r="E36" s="37">
        <f>Source!I32</f>
        <v>1</v>
      </c>
      <c r="F36" s="40">
        <f>Source!AK32</f>
        <v>3548.41</v>
      </c>
      <c r="G36" s="42" t="s">
        <v>3</v>
      </c>
      <c r="H36" s="37">
        <f>Source!AW33</f>
        <v>1</v>
      </c>
      <c r="I36" s="40">
        <f>Source!O32</f>
        <v>3548.41</v>
      </c>
      <c r="J36" s="37">
        <f>IF(Source!BC33&lt;&gt; 0, Source!BC33, 1)</f>
        <v>9.8800000000000008</v>
      </c>
      <c r="K36" s="40">
        <f>Source!O33</f>
        <v>35058.29</v>
      </c>
      <c r="Q36">
        <f>Source!X32</f>
        <v>0</v>
      </c>
      <c r="R36">
        <f>Source!X33</f>
        <v>0</v>
      </c>
      <c r="S36">
        <f>Source!Y32</f>
        <v>0</v>
      </c>
      <c r="T36">
        <f>Source!Y33</f>
        <v>0</v>
      </c>
      <c r="U36">
        <f>ROUND((175/100)*ROUND(Source!R32, 2), 2)</f>
        <v>0</v>
      </c>
      <c r="V36">
        <f>ROUND((0/100)*ROUND(Source!R33, 2), 2)</f>
        <v>0</v>
      </c>
      <c r="AC36">
        <v>3</v>
      </c>
    </row>
    <row r="37" spans="1:29" ht="41.15" x14ac:dyDescent="0.3">
      <c r="A37" s="36" t="s">
        <v>40</v>
      </c>
      <c r="B37" s="36" t="str">
        <f>Source!F34</f>
        <v>КА 7</v>
      </c>
      <c r="C37" s="36" t="s">
        <v>643</v>
      </c>
      <c r="D37" s="38" t="str">
        <f>Source!H34</f>
        <v>шт.</v>
      </c>
      <c r="E37" s="37">
        <f>Source!I34</f>
        <v>1</v>
      </c>
      <c r="F37" s="40">
        <f>Source!AK34</f>
        <v>147.61999999999998</v>
      </c>
      <c r="G37" s="42" t="s">
        <v>3</v>
      </c>
      <c r="H37" s="37">
        <f>Source!AW35</f>
        <v>1</v>
      </c>
      <c r="I37" s="40">
        <f>Source!O34</f>
        <v>147.62</v>
      </c>
      <c r="J37" s="37">
        <f>IF(Source!BC35&lt;&gt; 0, Source!BC35, 1)</f>
        <v>9.8800000000000008</v>
      </c>
      <c r="K37" s="40">
        <f>Source!O35</f>
        <v>1458.49</v>
      </c>
      <c r="Q37">
        <f>Source!X34</f>
        <v>0</v>
      </c>
      <c r="R37">
        <f>Source!X35</f>
        <v>0</v>
      </c>
      <c r="S37">
        <f>Source!Y34</f>
        <v>0</v>
      </c>
      <c r="T37">
        <f>Source!Y35</f>
        <v>0</v>
      </c>
      <c r="U37">
        <f>ROUND((175/100)*ROUND(Source!R34, 2), 2)</f>
        <v>0</v>
      </c>
      <c r="V37">
        <f>ROUND((0/100)*ROUND(Source!R35, 2), 2)</f>
        <v>0</v>
      </c>
      <c r="AC37">
        <v>3</v>
      </c>
    </row>
    <row r="38" spans="1:29" ht="14.15" x14ac:dyDescent="0.3">
      <c r="A38" s="36"/>
      <c r="B38" s="36"/>
      <c r="C38" s="36" t="s">
        <v>644</v>
      </c>
      <c r="D38" s="38" t="s">
        <v>645</v>
      </c>
      <c r="E38" s="37">
        <f>Source!BZ29</f>
        <v>90</v>
      </c>
      <c r="F38" s="40"/>
      <c r="G38" s="39"/>
      <c r="H38" s="37"/>
      <c r="I38" s="40">
        <f>SUM(Q30:Q37)</f>
        <v>99.34</v>
      </c>
      <c r="J38" s="37">
        <f>Source!AT29</f>
        <v>90</v>
      </c>
      <c r="K38" s="40">
        <f>SUM(R30:R37)</f>
        <v>5462.81</v>
      </c>
    </row>
    <row r="39" spans="1:29" ht="14.15" x14ac:dyDescent="0.3">
      <c r="A39" s="36"/>
      <c r="B39" s="36"/>
      <c r="C39" s="36" t="s">
        <v>646</v>
      </c>
      <c r="D39" s="38" t="s">
        <v>645</v>
      </c>
      <c r="E39" s="37">
        <f>Source!CA29</f>
        <v>46</v>
      </c>
      <c r="F39" s="40"/>
      <c r="G39" s="39"/>
      <c r="H39" s="37"/>
      <c r="I39" s="40">
        <f>SUM(S30:S38)</f>
        <v>50.77</v>
      </c>
      <c r="J39" s="37">
        <f>Source!AU29</f>
        <v>46</v>
      </c>
      <c r="K39" s="40">
        <f>SUM(T30:T38)</f>
        <v>2792.1</v>
      </c>
    </row>
    <row r="40" spans="1:29" ht="14.15" x14ac:dyDescent="0.3">
      <c r="A40" s="43"/>
      <c r="B40" s="43"/>
      <c r="C40" s="43" t="s">
        <v>647</v>
      </c>
      <c r="D40" s="44" t="s">
        <v>648</v>
      </c>
      <c r="E40" s="45">
        <f>Source!AQ28</f>
        <v>8.1999999999999993</v>
      </c>
      <c r="F40" s="46"/>
      <c r="G40" s="47" t="s">
        <v>29</v>
      </c>
      <c r="H40" s="45">
        <f>Source!AV29</f>
        <v>1.0469999999999999</v>
      </c>
      <c r="I40" s="46">
        <f>Source!U28</f>
        <v>9.4439399999999996</v>
      </c>
      <c r="J40" s="45"/>
      <c r="K40" s="46"/>
    </row>
    <row r="41" spans="1:29" ht="14.15" x14ac:dyDescent="0.3">
      <c r="C41" s="48" t="s">
        <v>649</v>
      </c>
      <c r="H41" s="49">
        <f>I31+I32+I34+I38+I39+SUM(I35:I37)-SUMIF(AC35:AC37, 5, I35:I37)-SUMIF(AC35:AC37, 6, I35:I37)</f>
        <v>20818.839999999997</v>
      </c>
      <c r="I41" s="49"/>
      <c r="J41" s="49">
        <f>K31+K32+K34+K38+K39+SUM(K35:K37)-SUMIF(AC35:AC37, 5, K35:K37)-SUMIF(AC35:AC37, 6, K35:K37)</f>
        <v>217461.42</v>
      </c>
      <c r="K41" s="49"/>
    </row>
    <row r="42" spans="1:29" ht="14.15" hidden="1" x14ac:dyDescent="0.3">
      <c r="C42" s="48" t="s">
        <v>650</v>
      </c>
      <c r="H42" s="51">
        <f>SUMIF(AC35:AC37, 5, I35:I37)+SUMIF(AC35:AC37, 6, I35:I37)</f>
        <v>0</v>
      </c>
      <c r="I42" s="51"/>
      <c r="J42" s="51">
        <f>SUMIF(AC35:AC37, 5, K35:K37)+SUMIF(AC35:AC37, 6, K35:K37)</f>
        <v>0</v>
      </c>
      <c r="K42" s="51"/>
    </row>
    <row r="43" spans="1:29" ht="14.15" x14ac:dyDescent="0.3">
      <c r="C43" s="48" t="s">
        <v>651</v>
      </c>
      <c r="H43" s="51">
        <f>I31+I32+I34+I38+I39+SUM(I35:I37)</f>
        <v>20818.839999999997</v>
      </c>
      <c r="I43" s="51"/>
      <c r="J43" s="51">
        <f>K31+K32+K34+K38+K39+SUM(K35:K37)</f>
        <v>217461.42</v>
      </c>
      <c r="K43" s="51"/>
      <c r="O43" s="52">
        <f>I31+I32+I34+I38+I39+SUM(I35:I37)</f>
        <v>20818.839999999997</v>
      </c>
      <c r="P43" s="52">
        <f>K31+K32+K34+K38+K39+SUM(K35:K37)</f>
        <v>217461.42</v>
      </c>
    </row>
    <row r="45" spans="1:29" ht="78.45" x14ac:dyDescent="0.3">
      <c r="A45" s="36">
        <v>2</v>
      </c>
      <c r="B45" s="36" t="s">
        <v>652</v>
      </c>
      <c r="C45" s="36" t="s">
        <v>45</v>
      </c>
      <c r="D45" s="38" t="str">
        <f>Source!H36</f>
        <v>1  ШТ.</v>
      </c>
      <c r="E45" s="37">
        <f>Source!I36</f>
        <v>4</v>
      </c>
      <c r="F45" s="40"/>
      <c r="G45" s="39"/>
      <c r="H45" s="37"/>
      <c r="I45" s="40"/>
      <c r="J45" s="37"/>
      <c r="K45" s="40"/>
      <c r="Q45">
        <f>Source!X36</f>
        <v>48.64</v>
      </c>
      <c r="R45">
        <f>Source!X37</f>
        <v>2674.49</v>
      </c>
      <c r="S45">
        <f>Source!Y36</f>
        <v>24.86</v>
      </c>
      <c r="T45">
        <f>Source!Y37</f>
        <v>1366.96</v>
      </c>
      <c r="U45">
        <f>ROUND((175/100)*ROUND(Source!R36, 2), 2)</f>
        <v>0.65</v>
      </c>
      <c r="V45">
        <f>ROUND((0/100)*ROUND(Source!R37, 2), 2)</f>
        <v>0</v>
      </c>
      <c r="AC45">
        <v>0</v>
      </c>
    </row>
    <row r="46" spans="1:29" x14ac:dyDescent="0.3">
      <c r="C46" s="53" t="str">
        <f>"Объем: "&amp;Source!I36&amp;"=1+"&amp;"1+"&amp;"1+"&amp;"1"</f>
        <v>Объем: 4=1+1+1+1</v>
      </c>
    </row>
    <row r="47" spans="1:29" ht="14.15" x14ac:dyDescent="0.3">
      <c r="A47" s="36"/>
      <c r="B47" s="36"/>
      <c r="C47" s="36" t="s">
        <v>637</v>
      </c>
      <c r="D47" s="38"/>
      <c r="E47" s="37"/>
      <c r="F47" s="40">
        <f>Source!AO36</f>
        <v>11.65</v>
      </c>
      <c r="G47" s="39" t="s">
        <v>29</v>
      </c>
      <c r="H47" s="37">
        <f>Source!AV37</f>
        <v>1.0469999999999999</v>
      </c>
      <c r="I47" s="40">
        <f>Source!S36</f>
        <v>53.67</v>
      </c>
      <c r="J47" s="37">
        <f>IF(Source!BA37&lt;&gt; 0, Source!BA37, 1)</f>
        <v>54.99</v>
      </c>
      <c r="K47" s="40">
        <f>Source!S37</f>
        <v>2951.31</v>
      </c>
    </row>
    <row r="48" spans="1:29" ht="14.15" x14ac:dyDescent="0.3">
      <c r="A48" s="36"/>
      <c r="B48" s="36"/>
      <c r="C48" s="36" t="s">
        <v>638</v>
      </c>
      <c r="D48" s="38"/>
      <c r="E48" s="37"/>
      <c r="F48" s="40">
        <f>Source!AM36</f>
        <v>0.5</v>
      </c>
      <c r="G48" s="39" t="s">
        <v>29</v>
      </c>
      <c r="H48" s="37">
        <f>Source!AV37</f>
        <v>1.0469999999999999</v>
      </c>
      <c r="I48" s="40">
        <f>Source!Q36</f>
        <v>2.2999999999999998</v>
      </c>
      <c r="J48" s="37">
        <f>IF(Source!BB37&lt;&gt; 0, Source!BB37, 1)</f>
        <v>16.260000000000002</v>
      </c>
      <c r="K48" s="40">
        <f>Source!Q37</f>
        <v>37.4</v>
      </c>
    </row>
    <row r="49" spans="1:29" ht="14.15" x14ac:dyDescent="0.3">
      <c r="A49" s="36"/>
      <c r="B49" s="36"/>
      <c r="C49" s="36" t="s">
        <v>639</v>
      </c>
      <c r="D49" s="38"/>
      <c r="E49" s="37"/>
      <c r="F49" s="40">
        <f>Source!AN36</f>
        <v>0.08</v>
      </c>
      <c r="G49" s="39" t="s">
        <v>29</v>
      </c>
      <c r="H49" s="37">
        <f>Source!AV37</f>
        <v>1.0469999999999999</v>
      </c>
      <c r="I49" s="41">
        <f>Source!R36</f>
        <v>0.37</v>
      </c>
      <c r="J49" s="37">
        <f>IF(Source!BS37&lt;&gt; 0, Source!BS37, 1)</f>
        <v>54.99</v>
      </c>
      <c r="K49" s="41">
        <f>Source!R37</f>
        <v>20.350000000000001</v>
      </c>
    </row>
    <row r="50" spans="1:29" ht="54" x14ac:dyDescent="0.3">
      <c r="A50" s="54" t="s">
        <v>49</v>
      </c>
      <c r="B50" s="54" t="str">
        <f>Source!F38</f>
        <v>КА 3</v>
      </c>
      <c r="C50" s="54" t="s">
        <v>653</v>
      </c>
      <c r="D50" s="55" t="str">
        <f>Source!H38</f>
        <v>шт.</v>
      </c>
      <c r="E50" s="56">
        <f>Source!I38</f>
        <v>1</v>
      </c>
      <c r="F50" s="57">
        <f>Source!AK38</f>
        <v>3213.0299999999997</v>
      </c>
      <c r="G50" s="58" t="s">
        <v>3</v>
      </c>
      <c r="H50" s="56">
        <f>Source!AW39</f>
        <v>1</v>
      </c>
      <c r="I50" s="57">
        <f>Source!O38</f>
        <v>3213.03</v>
      </c>
      <c r="J50" s="56">
        <f>IF(Source!BC39&lt;&gt; 0, Source!BC39, 1)</f>
        <v>7.66</v>
      </c>
      <c r="K50" s="57">
        <f>Source!O39</f>
        <v>24611.81</v>
      </c>
      <c r="Q50">
        <f>Source!X38</f>
        <v>0</v>
      </c>
      <c r="R50">
        <f>Source!X39</f>
        <v>0</v>
      </c>
      <c r="S50">
        <f>Source!Y38</f>
        <v>0</v>
      </c>
      <c r="T50">
        <f>Source!Y39</f>
        <v>0</v>
      </c>
      <c r="U50">
        <f>ROUND((175/100)*ROUND(Source!R38, 2), 2)</f>
        <v>0</v>
      </c>
      <c r="V50">
        <f>ROUND((0/100)*ROUND(Source!R39, 2), 2)</f>
        <v>0</v>
      </c>
      <c r="AC50">
        <v>5</v>
      </c>
    </row>
    <row r="51" spans="1:29" ht="41.15" x14ac:dyDescent="0.3">
      <c r="A51" s="36" t="s">
        <v>57</v>
      </c>
      <c r="B51" s="36" t="str">
        <f>Source!F40</f>
        <v>КА 5</v>
      </c>
      <c r="C51" s="36" t="s">
        <v>654</v>
      </c>
      <c r="D51" s="38" t="str">
        <f>Source!H40</f>
        <v>шт.</v>
      </c>
      <c r="E51" s="37">
        <f>Source!I40</f>
        <v>1</v>
      </c>
      <c r="F51" s="40">
        <f>Source!AK40</f>
        <v>553.19000000000005</v>
      </c>
      <c r="G51" s="42" t="s">
        <v>3</v>
      </c>
      <c r="H51" s="37">
        <f>Source!AW41</f>
        <v>1</v>
      </c>
      <c r="I51" s="40">
        <f>Source!O40</f>
        <v>553.19000000000005</v>
      </c>
      <c r="J51" s="37">
        <f>IF(Source!BC41&lt;&gt; 0, Source!BC41, 1)</f>
        <v>9.8800000000000008</v>
      </c>
      <c r="K51" s="40">
        <f>Source!O41</f>
        <v>5465.52</v>
      </c>
      <c r="Q51">
        <f>Source!X40</f>
        <v>0</v>
      </c>
      <c r="R51">
        <f>Source!X41</f>
        <v>0</v>
      </c>
      <c r="S51">
        <f>Source!Y40</f>
        <v>0</v>
      </c>
      <c r="T51">
        <f>Source!Y41</f>
        <v>0</v>
      </c>
      <c r="U51">
        <f>ROUND((175/100)*ROUND(Source!R40, 2), 2)</f>
        <v>0</v>
      </c>
      <c r="V51">
        <f>ROUND((0/100)*ROUND(Source!R41, 2), 2)</f>
        <v>0</v>
      </c>
      <c r="AC51">
        <v>3</v>
      </c>
    </row>
    <row r="52" spans="1:29" ht="41.15" x14ac:dyDescent="0.3">
      <c r="A52" s="36" t="s">
        <v>61</v>
      </c>
      <c r="B52" s="36" t="str">
        <f>Source!F42</f>
        <v>КА 6</v>
      </c>
      <c r="C52" s="36" t="s">
        <v>655</v>
      </c>
      <c r="D52" s="38" t="str">
        <f>Source!H42</f>
        <v>шт.</v>
      </c>
      <c r="E52" s="37">
        <f>Source!I42</f>
        <v>1</v>
      </c>
      <c r="F52" s="40">
        <f>Source!AK42</f>
        <v>381.47</v>
      </c>
      <c r="G52" s="42" t="s">
        <v>3</v>
      </c>
      <c r="H52" s="37">
        <f>Source!AW43</f>
        <v>1</v>
      </c>
      <c r="I52" s="40">
        <f>Source!O42</f>
        <v>381.47</v>
      </c>
      <c r="J52" s="37">
        <f>IF(Source!BC43&lt;&gt; 0, Source!BC43, 1)</f>
        <v>9.8800000000000008</v>
      </c>
      <c r="K52" s="40">
        <f>Source!O43</f>
        <v>3768.92</v>
      </c>
      <c r="Q52">
        <f>Source!X42</f>
        <v>0</v>
      </c>
      <c r="R52">
        <f>Source!X43</f>
        <v>0</v>
      </c>
      <c r="S52">
        <f>Source!Y42</f>
        <v>0</v>
      </c>
      <c r="T52">
        <f>Source!Y43</f>
        <v>0</v>
      </c>
      <c r="U52">
        <f>ROUND((175/100)*ROUND(Source!R42, 2), 2)</f>
        <v>0</v>
      </c>
      <c r="V52">
        <f>ROUND((0/100)*ROUND(Source!R43, 2), 2)</f>
        <v>0</v>
      </c>
      <c r="AC52">
        <v>3</v>
      </c>
    </row>
    <row r="53" spans="1:29" ht="41.15" x14ac:dyDescent="0.3">
      <c r="A53" s="36" t="s">
        <v>65</v>
      </c>
      <c r="B53" s="36" t="str">
        <f>Source!F44</f>
        <v>КА 8</v>
      </c>
      <c r="C53" s="36" t="s">
        <v>656</v>
      </c>
      <c r="D53" s="38" t="str">
        <f>Source!H44</f>
        <v>шт.</v>
      </c>
      <c r="E53" s="37">
        <f>Source!I44</f>
        <v>1</v>
      </c>
      <c r="F53" s="40">
        <f>Source!AK44</f>
        <v>720.68</v>
      </c>
      <c r="G53" s="42" t="s">
        <v>3</v>
      </c>
      <c r="H53" s="37">
        <f>Source!AW45</f>
        <v>1</v>
      </c>
      <c r="I53" s="40">
        <f>Source!O44</f>
        <v>720.68</v>
      </c>
      <c r="J53" s="37">
        <f>IF(Source!BC45&lt;&gt; 0, Source!BC45, 1)</f>
        <v>9.8800000000000008</v>
      </c>
      <c r="K53" s="40">
        <f>Source!O45</f>
        <v>7120.32</v>
      </c>
      <c r="Q53">
        <f>Source!X44</f>
        <v>0</v>
      </c>
      <c r="R53">
        <f>Source!X45</f>
        <v>0</v>
      </c>
      <c r="S53">
        <f>Source!Y44</f>
        <v>0</v>
      </c>
      <c r="T53">
        <f>Source!Y45</f>
        <v>0</v>
      </c>
      <c r="U53">
        <f>ROUND((175/100)*ROUND(Source!R44, 2), 2)</f>
        <v>0</v>
      </c>
      <c r="V53">
        <f>ROUND((0/100)*ROUND(Source!R45, 2), 2)</f>
        <v>0</v>
      </c>
      <c r="AC53">
        <v>3</v>
      </c>
    </row>
    <row r="54" spans="1:29" ht="14.15" x14ac:dyDescent="0.3">
      <c r="A54" s="36"/>
      <c r="B54" s="36"/>
      <c r="C54" s="36" t="s">
        <v>644</v>
      </c>
      <c r="D54" s="38" t="s">
        <v>645</v>
      </c>
      <c r="E54" s="37">
        <f>Source!BZ37</f>
        <v>90</v>
      </c>
      <c r="F54" s="40"/>
      <c r="G54" s="39"/>
      <c r="H54" s="37"/>
      <c r="I54" s="40">
        <f>SUM(Q45:Q53)</f>
        <v>48.64</v>
      </c>
      <c r="J54" s="37">
        <f>Source!AT37</f>
        <v>90</v>
      </c>
      <c r="K54" s="40">
        <f>SUM(R45:R53)</f>
        <v>2674.49</v>
      </c>
    </row>
    <row r="55" spans="1:29" ht="14.15" x14ac:dyDescent="0.3">
      <c r="A55" s="36"/>
      <c r="B55" s="36"/>
      <c r="C55" s="36" t="s">
        <v>646</v>
      </c>
      <c r="D55" s="38" t="s">
        <v>645</v>
      </c>
      <c r="E55" s="37">
        <f>Source!CA37</f>
        <v>46</v>
      </c>
      <c r="F55" s="40"/>
      <c r="G55" s="39"/>
      <c r="H55" s="37"/>
      <c r="I55" s="40">
        <f>SUM(S45:S54)</f>
        <v>24.86</v>
      </c>
      <c r="J55" s="37">
        <f>Source!AU37</f>
        <v>46</v>
      </c>
      <c r="K55" s="40">
        <f>SUM(T45:T54)</f>
        <v>1366.96</v>
      </c>
    </row>
    <row r="56" spans="1:29" ht="14.15" x14ac:dyDescent="0.3">
      <c r="A56" s="43"/>
      <c r="B56" s="43"/>
      <c r="C56" s="43" t="s">
        <v>647</v>
      </c>
      <c r="D56" s="44" t="s">
        <v>648</v>
      </c>
      <c r="E56" s="45">
        <f>Source!AQ36</f>
        <v>1.03</v>
      </c>
      <c r="F56" s="46"/>
      <c r="G56" s="47" t="s">
        <v>29</v>
      </c>
      <c r="H56" s="45">
        <f>Source!AV37</f>
        <v>1.0469999999999999</v>
      </c>
      <c r="I56" s="46">
        <f>Source!U36</f>
        <v>4.7450040000000007</v>
      </c>
      <c r="J56" s="45"/>
      <c r="K56" s="46"/>
    </row>
    <row r="57" spans="1:29" ht="14.15" x14ac:dyDescent="0.3">
      <c r="C57" s="48" t="s">
        <v>649</v>
      </c>
      <c r="H57" s="49">
        <f>I47+I48+I54+I55+SUM(I50:I53)-SUMIF(AC50:AC53, 5, I50:I53)-SUMIF(AC50:AC53, 6, I50:I53)</f>
        <v>1784.8100000000009</v>
      </c>
      <c r="I57" s="49"/>
      <c r="J57" s="49">
        <f>K47+K48+K54+K55+SUM(K50:K53)-SUMIF(AC50:AC53, 5, K50:K53)-SUMIF(AC50:AC53, 6, K50:K53)</f>
        <v>23384.919999999995</v>
      </c>
      <c r="K57" s="49"/>
    </row>
    <row r="58" spans="1:29" ht="14.15" x14ac:dyDescent="0.3">
      <c r="C58" s="48" t="s">
        <v>650</v>
      </c>
      <c r="H58" s="51">
        <f>SUMIF(AC50:AC53, 5, I50:I53)+SUMIF(AC50:AC53, 6, I50:I53)</f>
        <v>3213.03</v>
      </c>
      <c r="I58" s="51"/>
      <c r="J58" s="51">
        <f>SUMIF(AC50:AC53, 5, K50:K53)+SUMIF(AC50:AC53, 6, K50:K53)</f>
        <v>24611.81</v>
      </c>
      <c r="K58" s="51"/>
    </row>
    <row r="59" spans="1:29" ht="14.15" x14ac:dyDescent="0.3">
      <c r="C59" s="48" t="s">
        <v>651</v>
      </c>
      <c r="H59" s="51">
        <f>I47+I48+I54+I55+SUM(I50:I53)</f>
        <v>4997.8400000000011</v>
      </c>
      <c r="I59" s="51"/>
      <c r="J59" s="51">
        <f>K47+K48+K54+K55+SUM(K50:K53)</f>
        <v>47996.729999999996</v>
      </c>
      <c r="K59" s="51"/>
      <c r="O59" s="52">
        <f>I47+I48+I54+I55+SUM(I50:I53)</f>
        <v>4997.8400000000011</v>
      </c>
      <c r="P59" s="52">
        <f>K47+K48+K54+K55+SUM(K50:K53)</f>
        <v>47996.729999999996</v>
      </c>
    </row>
    <row r="61" spans="1:29" ht="78.45" x14ac:dyDescent="0.3">
      <c r="A61" s="36">
        <v>3</v>
      </c>
      <c r="B61" s="36" t="s">
        <v>657</v>
      </c>
      <c r="C61" s="36" t="s">
        <v>70</v>
      </c>
      <c r="D61" s="38" t="str">
        <f>Source!H46</f>
        <v>1 разъем</v>
      </c>
      <c r="E61" s="37">
        <f>Source!I46</f>
        <v>1</v>
      </c>
      <c r="F61" s="40"/>
      <c r="G61" s="39"/>
      <c r="H61" s="37"/>
      <c r="I61" s="40"/>
      <c r="J61" s="37"/>
      <c r="K61" s="40"/>
      <c r="Q61">
        <f>Source!X46</f>
        <v>2.61</v>
      </c>
      <c r="R61">
        <f>Source!X47</f>
        <v>143.52000000000001</v>
      </c>
      <c r="S61">
        <f>Source!Y46</f>
        <v>1.33</v>
      </c>
      <c r="T61">
        <f>Source!Y47</f>
        <v>73.36</v>
      </c>
      <c r="U61">
        <f>ROUND((175/100)*ROUND(Source!R46, 2), 2)</f>
        <v>0</v>
      </c>
      <c r="V61">
        <f>ROUND((0/100)*ROUND(Source!R47, 2), 2)</f>
        <v>0</v>
      </c>
      <c r="AC61">
        <v>0</v>
      </c>
    </row>
    <row r="62" spans="1:29" ht="14.15" x14ac:dyDescent="0.3">
      <c r="A62" s="36"/>
      <c r="B62" s="36"/>
      <c r="C62" s="36" t="s">
        <v>637</v>
      </c>
      <c r="D62" s="38"/>
      <c r="E62" s="37"/>
      <c r="F62" s="40">
        <f>Source!AO46</f>
        <v>2.52</v>
      </c>
      <c r="G62" s="39" t="s">
        <v>29</v>
      </c>
      <c r="H62" s="37">
        <f>Source!AV47</f>
        <v>1.0469999999999999</v>
      </c>
      <c r="I62" s="40">
        <f>Source!S46</f>
        <v>2.9</v>
      </c>
      <c r="J62" s="37">
        <f>IF(Source!BA47&lt;&gt; 0, Source!BA47, 1)</f>
        <v>54.99</v>
      </c>
      <c r="K62" s="40">
        <f>Source!S47</f>
        <v>159.47</v>
      </c>
    </row>
    <row r="63" spans="1:29" ht="41.15" x14ac:dyDescent="0.3">
      <c r="A63" s="36" t="s">
        <v>73</v>
      </c>
      <c r="B63" s="36" t="str">
        <f>Source!F48</f>
        <v>КА 4</v>
      </c>
      <c r="C63" s="36" t="s">
        <v>658</v>
      </c>
      <c r="D63" s="38" t="str">
        <f>Source!H48</f>
        <v>шт.</v>
      </c>
      <c r="E63" s="37">
        <f>Source!I48</f>
        <v>1</v>
      </c>
      <c r="F63" s="40">
        <f>Source!AK48</f>
        <v>55.92</v>
      </c>
      <c r="G63" s="42" t="s">
        <v>3</v>
      </c>
      <c r="H63" s="37">
        <f>Source!AW49</f>
        <v>1</v>
      </c>
      <c r="I63" s="40">
        <f>Source!O48</f>
        <v>55.92</v>
      </c>
      <c r="J63" s="37">
        <f>IF(Source!BC49&lt;&gt; 0, Source!BC49, 1)</f>
        <v>9.8800000000000008</v>
      </c>
      <c r="K63" s="40">
        <f>Source!O49</f>
        <v>552.49</v>
      </c>
      <c r="Q63">
        <f>Source!X48</f>
        <v>0</v>
      </c>
      <c r="R63">
        <f>Source!X49</f>
        <v>0</v>
      </c>
      <c r="S63">
        <f>Source!Y48</f>
        <v>0</v>
      </c>
      <c r="T63">
        <f>Source!Y49</f>
        <v>0</v>
      </c>
      <c r="U63">
        <f>ROUND((175/100)*ROUND(Source!R48, 2), 2)</f>
        <v>0</v>
      </c>
      <c r="V63">
        <f>ROUND((0/100)*ROUND(Source!R49, 2), 2)</f>
        <v>0</v>
      </c>
      <c r="AC63">
        <v>3</v>
      </c>
    </row>
    <row r="64" spans="1:29" ht="14.15" x14ac:dyDescent="0.3">
      <c r="A64" s="36"/>
      <c r="B64" s="36"/>
      <c r="C64" s="36" t="s">
        <v>644</v>
      </c>
      <c r="D64" s="38" t="s">
        <v>645</v>
      </c>
      <c r="E64" s="37">
        <f>Source!BZ47</f>
        <v>90</v>
      </c>
      <c r="F64" s="40"/>
      <c r="G64" s="39"/>
      <c r="H64" s="37"/>
      <c r="I64" s="40">
        <f>SUM(Q61:Q63)</f>
        <v>2.61</v>
      </c>
      <c r="J64" s="37">
        <f>Source!AT47</f>
        <v>90</v>
      </c>
      <c r="K64" s="40">
        <f>SUM(R61:R63)</f>
        <v>143.52000000000001</v>
      </c>
    </row>
    <row r="65" spans="1:29" ht="14.15" x14ac:dyDescent="0.3">
      <c r="A65" s="36"/>
      <c r="B65" s="36"/>
      <c r="C65" s="36" t="s">
        <v>646</v>
      </c>
      <c r="D65" s="38" t="s">
        <v>645</v>
      </c>
      <c r="E65" s="37">
        <f>Source!CA47</f>
        <v>46</v>
      </c>
      <c r="F65" s="40"/>
      <c r="G65" s="39"/>
      <c r="H65" s="37"/>
      <c r="I65" s="40">
        <f>SUM(S61:S64)</f>
        <v>1.33</v>
      </c>
      <c r="J65" s="37">
        <f>Source!AU47</f>
        <v>46</v>
      </c>
      <c r="K65" s="40">
        <f>SUM(T61:T64)</f>
        <v>73.36</v>
      </c>
    </row>
    <row r="66" spans="1:29" ht="14.15" x14ac:dyDescent="0.3">
      <c r="A66" s="43"/>
      <c r="B66" s="43"/>
      <c r="C66" s="43" t="s">
        <v>647</v>
      </c>
      <c r="D66" s="44" t="s">
        <v>648</v>
      </c>
      <c r="E66" s="45">
        <f>Source!AQ46</f>
        <v>0.22</v>
      </c>
      <c r="F66" s="46"/>
      <c r="G66" s="47" t="s">
        <v>29</v>
      </c>
      <c r="H66" s="45">
        <f>Source!AV47</f>
        <v>1.0469999999999999</v>
      </c>
      <c r="I66" s="46">
        <f>Source!U46</f>
        <v>0.25337399999999999</v>
      </c>
      <c r="J66" s="45"/>
      <c r="K66" s="46"/>
    </row>
    <row r="67" spans="1:29" ht="14.15" x14ac:dyDescent="0.3">
      <c r="C67" s="48" t="s">
        <v>649</v>
      </c>
      <c r="H67" s="49">
        <f>I62+I64+I65+SUM(I63:I63)-SUMIF(AC63:AC63, 5, I63:I63)-SUMIF(AC63:AC63, 6, I63:I63)</f>
        <v>62.760000000000005</v>
      </c>
      <c r="I67" s="49"/>
      <c r="J67" s="49">
        <f>K62+K64+K65+SUM(K63:K63)-SUMIF(AC63:AC63, 5, K63:K63)-SUMIF(AC63:AC63, 6, K63:K63)</f>
        <v>928.84</v>
      </c>
      <c r="K67" s="49"/>
    </row>
    <row r="68" spans="1:29" ht="14.15" hidden="1" x14ac:dyDescent="0.3">
      <c r="C68" s="48" t="s">
        <v>650</v>
      </c>
      <c r="H68" s="51">
        <f>SUMIF(AC63:AC63, 5, I63:I63)+SUMIF(AC63:AC63, 6, I63:I63)</f>
        <v>0</v>
      </c>
      <c r="I68" s="51"/>
      <c r="J68" s="51">
        <f>SUMIF(AC63:AC63, 5, K63:K63)+SUMIF(AC63:AC63, 6, K63:K63)</f>
        <v>0</v>
      </c>
      <c r="K68" s="51"/>
    </row>
    <row r="69" spans="1:29" ht="14.15" x14ac:dyDescent="0.3">
      <c r="C69" s="48" t="s">
        <v>651</v>
      </c>
      <c r="H69" s="51">
        <f>I62+I64+I65+SUM(I63:I63)</f>
        <v>62.760000000000005</v>
      </c>
      <c r="I69" s="51"/>
      <c r="J69" s="51">
        <f>K62+K64+K65+SUM(K63:K63)</f>
        <v>928.84</v>
      </c>
      <c r="K69" s="51"/>
      <c r="O69" s="52">
        <f>I62+I64+I65+SUM(I63:I63)</f>
        <v>62.760000000000005</v>
      </c>
      <c r="P69" s="52">
        <f>K62+K64+K65+SUM(K63:K63)</f>
        <v>928.84</v>
      </c>
    </row>
    <row r="72" spans="1:29" ht="14.15" x14ac:dyDescent="0.35">
      <c r="A72" s="60" t="str">
        <f>CONCATENATE("Итого по разделу: ",IF(Source!G51&lt;&gt;"Новый раздел", Source!G51, ""))</f>
        <v>Итого по разделу: Телекоммуникационный шкаф 47U 19" ШТ1-01</v>
      </c>
      <c r="B72" s="60"/>
      <c r="C72" s="60"/>
      <c r="D72" s="60"/>
      <c r="E72" s="60"/>
      <c r="F72" s="60"/>
      <c r="G72" s="60"/>
      <c r="H72" s="51">
        <f>SUM(O29:O71)</f>
        <v>25879.439999999995</v>
      </c>
      <c r="I72" s="50"/>
      <c r="J72" s="51">
        <f>SUM(P29:P71)</f>
        <v>266386.99000000005</v>
      </c>
      <c r="K72" s="50"/>
    </row>
    <row r="73" spans="1:29" hidden="1" x14ac:dyDescent="0.3">
      <c r="A73" t="s">
        <v>659</v>
      </c>
      <c r="I73">
        <f>SUM(W29:W72)</f>
        <v>0</v>
      </c>
      <c r="J73">
        <f>SUM(X29:X72)</f>
        <v>0</v>
      </c>
    </row>
    <row r="74" spans="1:29" hidden="1" x14ac:dyDescent="0.3">
      <c r="A74" t="s">
        <v>660</v>
      </c>
      <c r="I74">
        <f>SUM(Y29:Y73)</f>
        <v>0</v>
      </c>
      <c r="J74">
        <f>SUM(Z29:Z73)</f>
        <v>0</v>
      </c>
    </row>
    <row r="76" spans="1:29" ht="16.3" x14ac:dyDescent="0.3">
      <c r="A76" s="35" t="str">
        <f>CONCATENATE("Раздел: ",IF(Source!G81&lt;&gt;"Новый раздел", Source!G81, ""))</f>
        <v>Раздел: Телекоммуникационный шкаф 42U 19" ШТ1-2,1-3,1-4; ШТ2-5,2-6; ШТ3-7,3-8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spans="1:29" ht="78.45" x14ac:dyDescent="0.3">
      <c r="A77" s="36">
        <v>4</v>
      </c>
      <c r="B77" s="36" t="s">
        <v>636</v>
      </c>
      <c r="C77" s="36" t="s">
        <v>21</v>
      </c>
      <c r="D77" s="38" t="str">
        <f>Source!H85</f>
        <v>1  ШТ.</v>
      </c>
      <c r="E77" s="37">
        <f>Source!I85</f>
        <v>7</v>
      </c>
      <c r="F77" s="40"/>
      <c r="G77" s="39"/>
      <c r="H77" s="37"/>
      <c r="I77" s="40"/>
      <c r="J77" s="37"/>
      <c r="K77" s="40"/>
      <c r="Q77">
        <f>Source!X85</f>
        <v>695.39</v>
      </c>
      <c r="R77">
        <f>Source!X86</f>
        <v>38239.22</v>
      </c>
      <c r="S77">
        <f>Source!Y85</f>
        <v>355.42</v>
      </c>
      <c r="T77">
        <f>Source!Y86</f>
        <v>19544.490000000002</v>
      </c>
      <c r="U77">
        <f>ROUND((175/100)*ROUND(Source!R85, 2), 2)</f>
        <v>58.7</v>
      </c>
      <c r="V77">
        <f>ROUND((0/100)*ROUND(Source!R86, 2), 2)</f>
        <v>0</v>
      </c>
      <c r="AC77">
        <v>0</v>
      </c>
    </row>
    <row r="78" spans="1:29" ht="14.15" x14ac:dyDescent="0.3">
      <c r="A78" s="36"/>
      <c r="B78" s="36"/>
      <c r="C78" s="36" t="s">
        <v>637</v>
      </c>
      <c r="D78" s="38"/>
      <c r="E78" s="37"/>
      <c r="F78" s="40">
        <f>Source!AO85</f>
        <v>91.68</v>
      </c>
      <c r="G78" s="39" t="s">
        <v>29</v>
      </c>
      <c r="H78" s="37">
        <f>Source!AV86</f>
        <v>1.0469999999999999</v>
      </c>
      <c r="I78" s="40">
        <f>Source!S85</f>
        <v>739.11</v>
      </c>
      <c r="J78" s="37">
        <f>IF(Source!BA86&lt;&gt; 0, Source!BA86, 1)</f>
        <v>54.99</v>
      </c>
      <c r="K78" s="40">
        <f>Source!S86</f>
        <v>40643.660000000003</v>
      </c>
    </row>
    <row r="79" spans="1:29" ht="14.15" x14ac:dyDescent="0.3">
      <c r="A79" s="36"/>
      <c r="B79" s="36"/>
      <c r="C79" s="36" t="s">
        <v>638</v>
      </c>
      <c r="D79" s="38"/>
      <c r="E79" s="37"/>
      <c r="F79" s="40">
        <f>Source!AM85</f>
        <v>38.92</v>
      </c>
      <c r="G79" s="39" t="s">
        <v>29</v>
      </c>
      <c r="H79" s="37">
        <f>Source!AV86</f>
        <v>1.0469999999999999</v>
      </c>
      <c r="I79" s="40">
        <f>Source!Q85</f>
        <v>313.77</v>
      </c>
      <c r="J79" s="37">
        <f>IF(Source!BB86&lt;&gt; 0, Source!BB86, 1)</f>
        <v>15.29</v>
      </c>
      <c r="K79" s="40">
        <f>Source!Q86</f>
        <v>4797.54</v>
      </c>
    </row>
    <row r="80" spans="1:29" ht="14.15" x14ac:dyDescent="0.3">
      <c r="A80" s="36"/>
      <c r="B80" s="36"/>
      <c r="C80" s="36" t="s">
        <v>639</v>
      </c>
      <c r="D80" s="38"/>
      <c r="E80" s="37"/>
      <c r="F80" s="40">
        <f>Source!AN85</f>
        <v>4.16</v>
      </c>
      <c r="G80" s="39" t="s">
        <v>29</v>
      </c>
      <c r="H80" s="37">
        <f>Source!AV86</f>
        <v>1.0469999999999999</v>
      </c>
      <c r="I80" s="41">
        <f>Source!R85</f>
        <v>33.54</v>
      </c>
      <c r="J80" s="37">
        <f>IF(Source!BS86&lt;&gt; 0, Source!BS86, 1)</f>
        <v>54.99</v>
      </c>
      <c r="K80" s="41">
        <f>Source!R86</f>
        <v>1844.36</v>
      </c>
    </row>
    <row r="81" spans="1:29" ht="14.15" x14ac:dyDescent="0.3">
      <c r="A81" s="36"/>
      <c r="B81" s="36"/>
      <c r="C81" s="36" t="s">
        <v>640</v>
      </c>
      <c r="D81" s="38"/>
      <c r="E81" s="37"/>
      <c r="F81" s="40">
        <f>Source!AL85</f>
        <v>3.92</v>
      </c>
      <c r="G81" s="39"/>
      <c r="H81" s="37">
        <f>Source!AW86</f>
        <v>1</v>
      </c>
      <c r="I81" s="40">
        <f>Source!P85</f>
        <v>27.44</v>
      </c>
      <c r="J81" s="37">
        <f>IF(Source!BC86&lt;&gt; 0, Source!BC86, 1)</f>
        <v>8.3000000000000007</v>
      </c>
      <c r="K81" s="40">
        <f>Source!P86</f>
        <v>227.75</v>
      </c>
    </row>
    <row r="82" spans="1:29" ht="41.15" x14ac:dyDescent="0.3">
      <c r="A82" s="36" t="s">
        <v>133</v>
      </c>
      <c r="B82" s="36" t="str">
        <f>Source!F87</f>
        <v>КА 9</v>
      </c>
      <c r="C82" s="36" t="s">
        <v>661</v>
      </c>
      <c r="D82" s="38" t="str">
        <f>Source!H87</f>
        <v>шт.</v>
      </c>
      <c r="E82" s="37">
        <f>Source!I87</f>
        <v>7</v>
      </c>
      <c r="F82" s="40">
        <f>Source!AK87</f>
        <v>14177.699999999999</v>
      </c>
      <c r="G82" s="42" t="s">
        <v>3</v>
      </c>
      <c r="H82" s="37">
        <f>Source!AW88</f>
        <v>1</v>
      </c>
      <c r="I82" s="40">
        <f>Source!O87</f>
        <v>99243.9</v>
      </c>
      <c r="J82" s="37">
        <f>IF(Source!BC88&lt;&gt; 0, Source!BC88, 1)</f>
        <v>9.8800000000000008</v>
      </c>
      <c r="K82" s="40">
        <f>Source!O88</f>
        <v>980529.73</v>
      </c>
      <c r="Q82">
        <f>Source!X87</f>
        <v>0</v>
      </c>
      <c r="R82">
        <f>Source!X88</f>
        <v>0</v>
      </c>
      <c r="S82">
        <f>Source!Y87</f>
        <v>0</v>
      </c>
      <c r="T82">
        <f>Source!Y88</f>
        <v>0</v>
      </c>
      <c r="U82">
        <f>ROUND((175/100)*ROUND(Source!R87, 2), 2)</f>
        <v>0</v>
      </c>
      <c r="V82">
        <f>ROUND((0/100)*ROUND(Source!R88, 2), 2)</f>
        <v>0</v>
      </c>
      <c r="AC82">
        <v>3</v>
      </c>
    </row>
    <row r="83" spans="1:29" ht="41.15" x14ac:dyDescent="0.3">
      <c r="A83" s="36" t="s">
        <v>137</v>
      </c>
      <c r="B83" s="36" t="str">
        <f>Source!F89</f>
        <v>КА 10</v>
      </c>
      <c r="C83" s="36" t="s">
        <v>662</v>
      </c>
      <c r="D83" s="38" t="str">
        <f>Source!H89</f>
        <v>шт.</v>
      </c>
      <c r="E83" s="37">
        <f>Source!I89</f>
        <v>7</v>
      </c>
      <c r="F83" s="40">
        <f>Source!AK89</f>
        <v>3232.4500000000003</v>
      </c>
      <c r="G83" s="42" t="s">
        <v>3</v>
      </c>
      <c r="H83" s="37">
        <f>Source!AW90</f>
        <v>1</v>
      </c>
      <c r="I83" s="40">
        <f>Source!O89</f>
        <v>22627.15</v>
      </c>
      <c r="J83" s="37">
        <f>IF(Source!BC90&lt;&gt; 0, Source!BC90, 1)</f>
        <v>9.8800000000000008</v>
      </c>
      <c r="K83" s="40">
        <f>Source!O90</f>
        <v>223556.24</v>
      </c>
      <c r="Q83">
        <f>Source!X89</f>
        <v>0</v>
      </c>
      <c r="R83">
        <f>Source!X90</f>
        <v>0</v>
      </c>
      <c r="S83">
        <f>Source!Y89</f>
        <v>0</v>
      </c>
      <c r="T83">
        <f>Source!Y90</f>
        <v>0</v>
      </c>
      <c r="U83">
        <f>ROUND((175/100)*ROUND(Source!R89, 2), 2)</f>
        <v>0</v>
      </c>
      <c r="V83">
        <f>ROUND((0/100)*ROUND(Source!R90, 2), 2)</f>
        <v>0</v>
      </c>
      <c r="AC83">
        <v>3</v>
      </c>
    </row>
    <row r="84" spans="1:29" ht="41.15" x14ac:dyDescent="0.3">
      <c r="A84" s="36" t="s">
        <v>141</v>
      </c>
      <c r="B84" s="36" t="str">
        <f>Source!F91</f>
        <v>КА 11</v>
      </c>
      <c r="C84" s="36" t="s">
        <v>663</v>
      </c>
      <c r="D84" s="38" t="str">
        <f>Source!H91</f>
        <v>шт.</v>
      </c>
      <c r="E84" s="37">
        <f>Source!I91</f>
        <v>8</v>
      </c>
      <c r="F84" s="40">
        <f>Source!AK91</f>
        <v>346.71000000000004</v>
      </c>
      <c r="G84" s="42" t="s">
        <v>3</v>
      </c>
      <c r="H84" s="37">
        <f>Source!AW92</f>
        <v>1</v>
      </c>
      <c r="I84" s="40">
        <f>Source!O91</f>
        <v>2773.68</v>
      </c>
      <c r="J84" s="37">
        <f>IF(Source!BC92&lt;&gt; 0, Source!BC92, 1)</f>
        <v>9.8800000000000008</v>
      </c>
      <c r="K84" s="40">
        <f>Source!O92</f>
        <v>27403.96</v>
      </c>
      <c r="Q84">
        <f>Source!X91</f>
        <v>0</v>
      </c>
      <c r="R84">
        <f>Source!X92</f>
        <v>0</v>
      </c>
      <c r="S84">
        <f>Source!Y91</f>
        <v>0</v>
      </c>
      <c r="T84">
        <f>Source!Y92</f>
        <v>0</v>
      </c>
      <c r="U84">
        <f>ROUND((175/100)*ROUND(Source!R91, 2), 2)</f>
        <v>0</v>
      </c>
      <c r="V84">
        <f>ROUND((0/100)*ROUND(Source!R92, 2), 2)</f>
        <v>0</v>
      </c>
      <c r="AC84">
        <v>3</v>
      </c>
    </row>
    <row r="85" spans="1:29" ht="41.15" x14ac:dyDescent="0.3">
      <c r="A85" s="36" t="s">
        <v>145</v>
      </c>
      <c r="B85" s="36" t="str">
        <f>Source!F93</f>
        <v>КА 7</v>
      </c>
      <c r="C85" s="36" t="s">
        <v>643</v>
      </c>
      <c r="D85" s="38" t="str">
        <f>Source!H93</f>
        <v>шт.</v>
      </c>
      <c r="E85" s="37">
        <f>Source!I93</f>
        <v>7</v>
      </c>
      <c r="F85" s="40">
        <f>Source!AK93</f>
        <v>147.61999999999998</v>
      </c>
      <c r="G85" s="42" t="s">
        <v>3</v>
      </c>
      <c r="H85" s="37">
        <f>Source!AW94</f>
        <v>1</v>
      </c>
      <c r="I85" s="40">
        <f>Source!O93</f>
        <v>1033.3399999999999</v>
      </c>
      <c r="J85" s="37">
        <f>IF(Source!BC94&lt;&gt; 0, Source!BC94, 1)</f>
        <v>9.8800000000000008</v>
      </c>
      <c r="K85" s="40">
        <f>Source!O94</f>
        <v>10209.4</v>
      </c>
      <c r="Q85">
        <f>Source!X93</f>
        <v>0</v>
      </c>
      <c r="R85">
        <f>Source!X94</f>
        <v>0</v>
      </c>
      <c r="S85">
        <f>Source!Y93</f>
        <v>0</v>
      </c>
      <c r="T85">
        <f>Source!Y94</f>
        <v>0</v>
      </c>
      <c r="U85">
        <f>ROUND((175/100)*ROUND(Source!R93, 2), 2)</f>
        <v>0</v>
      </c>
      <c r="V85">
        <f>ROUND((0/100)*ROUND(Source!R94, 2), 2)</f>
        <v>0</v>
      </c>
      <c r="AC85">
        <v>3</v>
      </c>
    </row>
    <row r="86" spans="1:29" ht="14.15" x14ac:dyDescent="0.3">
      <c r="A86" s="36"/>
      <c r="B86" s="36"/>
      <c r="C86" s="36" t="s">
        <v>644</v>
      </c>
      <c r="D86" s="38" t="s">
        <v>645</v>
      </c>
      <c r="E86" s="37">
        <f>Source!BZ86</f>
        <v>90</v>
      </c>
      <c r="F86" s="40"/>
      <c r="G86" s="39"/>
      <c r="H86" s="37"/>
      <c r="I86" s="40">
        <f>SUM(Q77:Q85)</f>
        <v>695.39</v>
      </c>
      <c r="J86" s="37">
        <f>Source!AT86</f>
        <v>90</v>
      </c>
      <c r="K86" s="40">
        <f>SUM(R77:R85)</f>
        <v>38239.22</v>
      </c>
    </row>
    <row r="87" spans="1:29" ht="14.15" x14ac:dyDescent="0.3">
      <c r="A87" s="36"/>
      <c r="B87" s="36"/>
      <c r="C87" s="36" t="s">
        <v>646</v>
      </c>
      <c r="D87" s="38" t="s">
        <v>645</v>
      </c>
      <c r="E87" s="37">
        <f>Source!CA86</f>
        <v>46</v>
      </c>
      <c r="F87" s="40"/>
      <c r="G87" s="39"/>
      <c r="H87" s="37"/>
      <c r="I87" s="40">
        <f>SUM(S77:S86)</f>
        <v>355.42</v>
      </c>
      <c r="J87" s="37">
        <f>Source!AU86</f>
        <v>46</v>
      </c>
      <c r="K87" s="40">
        <f>SUM(T77:T86)</f>
        <v>19544.490000000002</v>
      </c>
    </row>
    <row r="88" spans="1:29" ht="14.15" x14ac:dyDescent="0.3">
      <c r="A88" s="43"/>
      <c r="B88" s="43"/>
      <c r="C88" s="43" t="s">
        <v>647</v>
      </c>
      <c r="D88" s="44" t="s">
        <v>648</v>
      </c>
      <c r="E88" s="45">
        <f>Source!AQ85</f>
        <v>8.1999999999999993</v>
      </c>
      <c r="F88" s="46"/>
      <c r="G88" s="47" t="s">
        <v>29</v>
      </c>
      <c r="H88" s="45">
        <f>Source!AV86</f>
        <v>1.0469999999999999</v>
      </c>
      <c r="I88" s="46">
        <f>Source!U85</f>
        <v>66.107579999999999</v>
      </c>
      <c r="J88" s="45"/>
      <c r="K88" s="46"/>
    </row>
    <row r="89" spans="1:29" ht="14.15" x14ac:dyDescent="0.3">
      <c r="C89" s="48" t="s">
        <v>649</v>
      </c>
      <c r="H89" s="49">
        <f>I78+I79+I81+I86+I87+SUM(I82:I85)-SUMIF(AC82:AC85, 5, I82:I85)-SUMIF(AC82:AC85, 6, I82:I85)</f>
        <v>127809.19999999998</v>
      </c>
      <c r="I89" s="49"/>
      <c r="J89" s="49">
        <f>K78+K79+K81+K86+K87+SUM(K82:K85)-SUMIF(AC82:AC85, 5, K82:K85)-SUMIF(AC82:AC85, 6, K82:K85)</f>
        <v>1345151.9899999998</v>
      </c>
      <c r="K89" s="49"/>
    </row>
    <row r="90" spans="1:29" ht="14.15" hidden="1" x14ac:dyDescent="0.3">
      <c r="C90" s="48" t="s">
        <v>650</v>
      </c>
      <c r="H90" s="51">
        <f>SUMIF(AC82:AC85, 5, I82:I85)+SUMIF(AC82:AC85, 6, I82:I85)</f>
        <v>0</v>
      </c>
      <c r="I90" s="51"/>
      <c r="J90" s="51">
        <f>SUMIF(AC82:AC85, 5, K82:K85)+SUMIF(AC82:AC85, 6, K82:K85)</f>
        <v>0</v>
      </c>
      <c r="K90" s="51"/>
    </row>
    <row r="91" spans="1:29" ht="14.15" x14ac:dyDescent="0.3">
      <c r="C91" s="48" t="s">
        <v>651</v>
      </c>
      <c r="H91" s="51">
        <f>I78+I79+I81+I86+I87+SUM(I82:I85)</f>
        <v>127809.19999999998</v>
      </c>
      <c r="I91" s="51"/>
      <c r="J91" s="51">
        <f>K78+K79+K81+K86+K87+SUM(K82:K85)</f>
        <v>1345151.9899999998</v>
      </c>
      <c r="K91" s="51"/>
      <c r="O91" s="52">
        <f>I78+I79+I81+I86+I87+SUM(I82:I85)</f>
        <v>127809.19999999998</v>
      </c>
      <c r="P91" s="52">
        <f>K78+K79+K81+K86+K87+SUM(K82:K85)</f>
        <v>1345151.9899999998</v>
      </c>
    </row>
    <row r="93" spans="1:29" ht="78.45" x14ac:dyDescent="0.3">
      <c r="A93" s="36">
        <v>5</v>
      </c>
      <c r="B93" s="36" t="s">
        <v>657</v>
      </c>
      <c r="C93" s="36" t="s">
        <v>70</v>
      </c>
      <c r="D93" s="38" t="str">
        <f>Source!H95</f>
        <v>1 разъем</v>
      </c>
      <c r="E93" s="37">
        <f>Source!I95</f>
        <v>71</v>
      </c>
      <c r="F93" s="40"/>
      <c r="G93" s="39"/>
      <c r="H93" s="37"/>
      <c r="I93" s="40"/>
      <c r="J93" s="37"/>
      <c r="K93" s="40"/>
      <c r="Q93">
        <f>Source!X95</f>
        <v>185.45</v>
      </c>
      <c r="R93">
        <f>Source!X96</f>
        <v>10198.120000000001</v>
      </c>
      <c r="S93">
        <f>Source!Y95</f>
        <v>94.79</v>
      </c>
      <c r="T93">
        <f>Source!Y96</f>
        <v>5212.37</v>
      </c>
      <c r="U93">
        <f>ROUND((175/100)*ROUND(Source!R95, 2), 2)</f>
        <v>0</v>
      </c>
      <c r="V93">
        <f>ROUND((0/100)*ROUND(Source!R96, 2), 2)</f>
        <v>0</v>
      </c>
      <c r="AC93">
        <v>0</v>
      </c>
    </row>
    <row r="94" spans="1:29" x14ac:dyDescent="0.3">
      <c r="C94" s="53" t="str">
        <f>"Объем: "&amp;Source!I95&amp;"=7+"&amp;"8*"&amp;"8"</f>
        <v>Объем: 71=7+8*8</v>
      </c>
    </row>
    <row r="95" spans="1:29" ht="14.15" x14ac:dyDescent="0.3">
      <c r="A95" s="36"/>
      <c r="B95" s="36"/>
      <c r="C95" s="36" t="s">
        <v>637</v>
      </c>
      <c r="D95" s="38"/>
      <c r="E95" s="37"/>
      <c r="F95" s="40">
        <f>Source!AO95</f>
        <v>2.52</v>
      </c>
      <c r="G95" s="39" t="s">
        <v>29</v>
      </c>
      <c r="H95" s="37">
        <f>Source!AV96</f>
        <v>1.0469999999999999</v>
      </c>
      <c r="I95" s="40">
        <f>Source!S95</f>
        <v>206.06</v>
      </c>
      <c r="J95" s="37">
        <f>IF(Source!BA96&lt;&gt; 0, Source!BA96, 1)</f>
        <v>54.99</v>
      </c>
      <c r="K95" s="40">
        <f>Source!S96</f>
        <v>11331.24</v>
      </c>
    </row>
    <row r="96" spans="1:29" ht="41.15" x14ac:dyDescent="0.3">
      <c r="A96" s="36" t="s">
        <v>147</v>
      </c>
      <c r="B96" s="36" t="str">
        <f>Source!F97</f>
        <v>КА 4</v>
      </c>
      <c r="C96" s="36" t="s">
        <v>658</v>
      </c>
      <c r="D96" s="38" t="str">
        <f>Source!H97</f>
        <v>шт.</v>
      </c>
      <c r="E96" s="37">
        <f>Source!I97</f>
        <v>6.9999999999999991</v>
      </c>
      <c r="F96" s="40">
        <f>Source!AK97</f>
        <v>55.92</v>
      </c>
      <c r="G96" s="42" t="s">
        <v>3</v>
      </c>
      <c r="H96" s="37">
        <f>Source!AW98</f>
        <v>1</v>
      </c>
      <c r="I96" s="40">
        <f>Source!O97</f>
        <v>391.44</v>
      </c>
      <c r="J96" s="37">
        <f>IF(Source!BC98&lt;&gt; 0, Source!BC98, 1)</f>
        <v>9.8800000000000008</v>
      </c>
      <c r="K96" s="40">
        <f>Source!O98</f>
        <v>3867.43</v>
      </c>
      <c r="Q96">
        <f>Source!X97</f>
        <v>0</v>
      </c>
      <c r="R96">
        <f>Source!X98</f>
        <v>0</v>
      </c>
      <c r="S96">
        <f>Source!Y97</f>
        <v>0</v>
      </c>
      <c r="T96">
        <f>Source!Y98</f>
        <v>0</v>
      </c>
      <c r="U96">
        <f>ROUND((175/100)*ROUND(Source!R97, 2), 2)</f>
        <v>0</v>
      </c>
      <c r="V96">
        <f>ROUND((0/100)*ROUND(Source!R98, 2), 2)</f>
        <v>0</v>
      </c>
      <c r="AC96">
        <v>3</v>
      </c>
    </row>
    <row r="97" spans="1:29" ht="55.3" x14ac:dyDescent="0.3">
      <c r="A97" s="36" t="s">
        <v>148</v>
      </c>
      <c r="B97" s="36" t="str">
        <f>Source!F99</f>
        <v>КА 12</v>
      </c>
      <c r="C97" s="36" t="s">
        <v>664</v>
      </c>
      <c r="D97" s="38" t="str">
        <f>Source!H99</f>
        <v>шт.</v>
      </c>
      <c r="E97" s="37">
        <f>Source!I99</f>
        <v>8</v>
      </c>
      <c r="F97" s="40">
        <f>Source!AK99</f>
        <v>164.59</v>
      </c>
      <c r="G97" s="42" t="s">
        <v>3</v>
      </c>
      <c r="H97" s="37">
        <f>Source!AW100</f>
        <v>1</v>
      </c>
      <c r="I97" s="40">
        <f>Source!O99</f>
        <v>1316.72</v>
      </c>
      <c r="J97" s="37">
        <f>IF(Source!BC100&lt;&gt; 0, Source!BC100, 1)</f>
        <v>9.8800000000000008</v>
      </c>
      <c r="K97" s="40">
        <f>Source!O100</f>
        <v>13009.19</v>
      </c>
      <c r="Q97">
        <f>Source!X99</f>
        <v>0</v>
      </c>
      <c r="R97">
        <f>Source!X100</f>
        <v>0</v>
      </c>
      <c r="S97">
        <f>Source!Y99</f>
        <v>0</v>
      </c>
      <c r="T97">
        <f>Source!Y100</f>
        <v>0</v>
      </c>
      <c r="U97">
        <f>ROUND((175/100)*ROUND(Source!R99, 2), 2)</f>
        <v>0</v>
      </c>
      <c r="V97">
        <f>ROUND((0/100)*ROUND(Source!R100, 2), 2)</f>
        <v>0</v>
      </c>
      <c r="AC97">
        <v>3</v>
      </c>
    </row>
    <row r="98" spans="1:29" ht="14.15" x14ac:dyDescent="0.3">
      <c r="A98" s="36"/>
      <c r="B98" s="36"/>
      <c r="C98" s="36" t="s">
        <v>644</v>
      </c>
      <c r="D98" s="38" t="s">
        <v>645</v>
      </c>
      <c r="E98" s="37">
        <f>Source!BZ96</f>
        <v>90</v>
      </c>
      <c r="F98" s="40"/>
      <c r="G98" s="39"/>
      <c r="H98" s="37"/>
      <c r="I98" s="40">
        <f>SUM(Q93:Q97)</f>
        <v>185.45</v>
      </c>
      <c r="J98" s="37">
        <f>Source!AT96</f>
        <v>90</v>
      </c>
      <c r="K98" s="40">
        <f>SUM(R93:R97)</f>
        <v>10198.120000000001</v>
      </c>
    </row>
    <row r="99" spans="1:29" ht="14.15" x14ac:dyDescent="0.3">
      <c r="A99" s="36"/>
      <c r="B99" s="36"/>
      <c r="C99" s="36" t="s">
        <v>646</v>
      </c>
      <c r="D99" s="38" t="s">
        <v>645</v>
      </c>
      <c r="E99" s="37">
        <f>Source!CA96</f>
        <v>46</v>
      </c>
      <c r="F99" s="40"/>
      <c r="G99" s="39"/>
      <c r="H99" s="37"/>
      <c r="I99" s="40">
        <f>SUM(S93:S98)</f>
        <v>94.79</v>
      </c>
      <c r="J99" s="37">
        <f>Source!AU96</f>
        <v>46</v>
      </c>
      <c r="K99" s="40">
        <f>SUM(T93:T98)</f>
        <v>5212.37</v>
      </c>
    </row>
    <row r="100" spans="1:29" ht="14.15" x14ac:dyDescent="0.3">
      <c r="A100" s="43"/>
      <c r="B100" s="43"/>
      <c r="C100" s="43" t="s">
        <v>647</v>
      </c>
      <c r="D100" s="44" t="s">
        <v>648</v>
      </c>
      <c r="E100" s="45">
        <f>Source!AQ95</f>
        <v>0.22</v>
      </c>
      <c r="F100" s="46"/>
      <c r="G100" s="47" t="s">
        <v>29</v>
      </c>
      <c r="H100" s="45">
        <f>Source!AV96</f>
        <v>1.0469999999999999</v>
      </c>
      <c r="I100" s="46">
        <f>Source!U95</f>
        <v>17.989553999999998</v>
      </c>
      <c r="J100" s="45"/>
      <c r="K100" s="46"/>
    </row>
    <row r="101" spans="1:29" ht="14.15" x14ac:dyDescent="0.3">
      <c r="C101" s="48" t="s">
        <v>649</v>
      </c>
      <c r="H101" s="49">
        <f>I95+I98+I99+SUM(I96:I97)-SUMIF(AC96:AC97, 5, I96:I97)-SUMIF(AC96:AC97, 6, I96:I97)</f>
        <v>2194.46</v>
      </c>
      <c r="I101" s="49"/>
      <c r="J101" s="49">
        <f>K95+K98+K99+SUM(K96:K97)-SUMIF(AC96:AC97, 5, K96:K97)-SUMIF(AC96:AC97, 6, K96:K97)</f>
        <v>43618.35</v>
      </c>
      <c r="K101" s="49"/>
    </row>
    <row r="102" spans="1:29" ht="14.15" hidden="1" x14ac:dyDescent="0.3">
      <c r="C102" s="48" t="s">
        <v>650</v>
      </c>
      <c r="H102" s="51">
        <f>SUMIF(AC96:AC97, 5, I96:I97)+SUMIF(AC96:AC97, 6, I96:I97)</f>
        <v>0</v>
      </c>
      <c r="I102" s="51"/>
      <c r="J102" s="51">
        <f>SUMIF(AC96:AC97, 5, K96:K97)+SUMIF(AC96:AC97, 6, K96:K97)</f>
        <v>0</v>
      </c>
      <c r="K102" s="51"/>
    </row>
    <row r="103" spans="1:29" ht="14.15" x14ac:dyDescent="0.3">
      <c r="C103" s="48" t="s">
        <v>651</v>
      </c>
      <c r="H103" s="51">
        <f>I95+I98+I99+SUM(I96:I97)</f>
        <v>2194.46</v>
      </c>
      <c r="I103" s="51"/>
      <c r="J103" s="51">
        <f>K95+K98+K99+SUM(K96:K97)</f>
        <v>43618.35</v>
      </c>
      <c r="K103" s="51"/>
      <c r="O103" s="52">
        <f>I95+I98+I99+SUM(I96:I97)</f>
        <v>2194.46</v>
      </c>
      <c r="P103" s="52">
        <f>K95+K98+K99+SUM(K96:K97)</f>
        <v>43618.35</v>
      </c>
    </row>
    <row r="105" spans="1:29" ht="78.45" x14ac:dyDescent="0.3">
      <c r="A105" s="36">
        <v>6</v>
      </c>
      <c r="B105" s="36" t="s">
        <v>652</v>
      </c>
      <c r="C105" s="36" t="s">
        <v>45</v>
      </c>
      <c r="D105" s="38" t="str">
        <f>Source!H101</f>
        <v>1  ШТ.</v>
      </c>
      <c r="E105" s="37">
        <f>Source!I101</f>
        <v>28</v>
      </c>
      <c r="F105" s="40"/>
      <c r="G105" s="39"/>
      <c r="H105" s="37"/>
      <c r="I105" s="40"/>
      <c r="J105" s="37"/>
      <c r="K105" s="40"/>
      <c r="Q105">
        <f>Source!X101</f>
        <v>340.43</v>
      </c>
      <c r="R105">
        <f>Source!X102</f>
        <v>18720.46</v>
      </c>
      <c r="S105">
        <f>Source!Y101</f>
        <v>174</v>
      </c>
      <c r="T105">
        <f>Source!Y102</f>
        <v>9568.23</v>
      </c>
      <c r="U105">
        <f>ROUND((175/100)*ROUND(Source!R101, 2), 2)</f>
        <v>4.5199999999999996</v>
      </c>
      <c r="V105">
        <f>ROUND((0/100)*ROUND(Source!R102, 2), 2)</f>
        <v>0</v>
      </c>
      <c r="AC105">
        <v>0</v>
      </c>
    </row>
    <row r="106" spans="1:29" x14ac:dyDescent="0.3">
      <c r="C106" s="53" t="str">
        <f>"Объем: "&amp;Source!I101&amp;"=7+"&amp;"7+"&amp;"7+"&amp;"7"</f>
        <v>Объем: 28=7+7+7+7</v>
      </c>
    </row>
    <row r="107" spans="1:29" ht="14.15" x14ac:dyDescent="0.3">
      <c r="A107" s="36"/>
      <c r="B107" s="36"/>
      <c r="C107" s="36" t="s">
        <v>637</v>
      </c>
      <c r="D107" s="38"/>
      <c r="E107" s="37"/>
      <c r="F107" s="40">
        <f>Source!AO101</f>
        <v>11.65</v>
      </c>
      <c r="G107" s="39" t="s">
        <v>29</v>
      </c>
      <c r="H107" s="37">
        <f>Source!AV102</f>
        <v>1.0469999999999999</v>
      </c>
      <c r="I107" s="40">
        <f>Source!S101</f>
        <v>375.68</v>
      </c>
      <c r="J107" s="37">
        <f>IF(Source!BA102&lt;&gt; 0, Source!BA102, 1)</f>
        <v>54.99</v>
      </c>
      <c r="K107" s="40">
        <f>Source!S102</f>
        <v>20658.64</v>
      </c>
    </row>
    <row r="108" spans="1:29" ht="14.15" x14ac:dyDescent="0.3">
      <c r="A108" s="36"/>
      <c r="B108" s="36"/>
      <c r="C108" s="36" t="s">
        <v>638</v>
      </c>
      <c r="D108" s="38"/>
      <c r="E108" s="37"/>
      <c r="F108" s="40">
        <f>Source!AM101</f>
        <v>0.5</v>
      </c>
      <c r="G108" s="39" t="s">
        <v>29</v>
      </c>
      <c r="H108" s="37">
        <f>Source!AV102</f>
        <v>1.0469999999999999</v>
      </c>
      <c r="I108" s="40">
        <f>Source!Q101</f>
        <v>16.12</v>
      </c>
      <c r="J108" s="37">
        <f>IF(Source!BB102&lt;&gt; 0, Source!BB102, 1)</f>
        <v>16.260000000000002</v>
      </c>
      <c r="K108" s="40">
        <f>Source!Q102</f>
        <v>262.11</v>
      </c>
    </row>
    <row r="109" spans="1:29" ht="14.15" x14ac:dyDescent="0.3">
      <c r="A109" s="36"/>
      <c r="B109" s="36"/>
      <c r="C109" s="36" t="s">
        <v>639</v>
      </c>
      <c r="D109" s="38"/>
      <c r="E109" s="37"/>
      <c r="F109" s="40">
        <f>Source!AN101</f>
        <v>0.08</v>
      </c>
      <c r="G109" s="39" t="s">
        <v>29</v>
      </c>
      <c r="H109" s="37">
        <f>Source!AV102</f>
        <v>1.0469999999999999</v>
      </c>
      <c r="I109" s="41">
        <f>Source!R101</f>
        <v>2.58</v>
      </c>
      <c r="J109" s="37">
        <f>IF(Source!BS102&lt;&gt; 0, Source!BS102, 1)</f>
        <v>54.99</v>
      </c>
      <c r="K109" s="41">
        <f>Source!R102</f>
        <v>141.87</v>
      </c>
    </row>
    <row r="110" spans="1:29" ht="54" x14ac:dyDescent="0.3">
      <c r="A110" s="54" t="s">
        <v>153</v>
      </c>
      <c r="B110" s="54" t="str">
        <f>Source!F103</f>
        <v>КА 3</v>
      </c>
      <c r="C110" s="54" t="s">
        <v>653</v>
      </c>
      <c r="D110" s="55" t="str">
        <f>Source!H103</f>
        <v>шт.</v>
      </c>
      <c r="E110" s="56">
        <f>Source!I103</f>
        <v>7</v>
      </c>
      <c r="F110" s="57">
        <f>Source!AK103</f>
        <v>3213.0299999999997</v>
      </c>
      <c r="G110" s="58" t="s">
        <v>3</v>
      </c>
      <c r="H110" s="56">
        <f>Source!AW104</f>
        <v>1</v>
      </c>
      <c r="I110" s="57">
        <f>Source!O103</f>
        <v>22491.21</v>
      </c>
      <c r="J110" s="56">
        <f>IF(Source!BC104&lt;&gt; 0, Source!BC104, 1)</f>
        <v>7.66</v>
      </c>
      <c r="K110" s="57">
        <f>Source!O104</f>
        <v>172282.67</v>
      </c>
      <c r="Q110">
        <f>Source!X103</f>
        <v>0</v>
      </c>
      <c r="R110">
        <f>Source!X104</f>
        <v>0</v>
      </c>
      <c r="S110">
        <f>Source!Y103</f>
        <v>0</v>
      </c>
      <c r="T110">
        <f>Source!Y104</f>
        <v>0</v>
      </c>
      <c r="U110">
        <f>ROUND((175/100)*ROUND(Source!R103, 2), 2)</f>
        <v>0</v>
      </c>
      <c r="V110">
        <f>ROUND((0/100)*ROUND(Source!R104, 2), 2)</f>
        <v>0</v>
      </c>
      <c r="AC110">
        <v>5</v>
      </c>
    </row>
    <row r="111" spans="1:29" ht="41.15" x14ac:dyDescent="0.3">
      <c r="A111" s="36" t="s">
        <v>154</v>
      </c>
      <c r="B111" s="36" t="str">
        <f>Source!F105</f>
        <v>КА 5</v>
      </c>
      <c r="C111" s="36" t="s">
        <v>654</v>
      </c>
      <c r="D111" s="38" t="str">
        <f>Source!H105</f>
        <v>шт.</v>
      </c>
      <c r="E111" s="37">
        <f>Source!I105</f>
        <v>7</v>
      </c>
      <c r="F111" s="40">
        <f>Source!AK105</f>
        <v>553.19000000000005</v>
      </c>
      <c r="G111" s="42" t="s">
        <v>3</v>
      </c>
      <c r="H111" s="37">
        <f>Source!AW106</f>
        <v>1</v>
      </c>
      <c r="I111" s="40">
        <f>Source!O105</f>
        <v>3872.33</v>
      </c>
      <c r="J111" s="37">
        <f>IF(Source!BC106&lt;&gt; 0, Source!BC106, 1)</f>
        <v>9.8800000000000008</v>
      </c>
      <c r="K111" s="40">
        <f>Source!O106</f>
        <v>38258.620000000003</v>
      </c>
      <c r="Q111">
        <f>Source!X105</f>
        <v>0</v>
      </c>
      <c r="R111">
        <f>Source!X106</f>
        <v>0</v>
      </c>
      <c r="S111">
        <f>Source!Y105</f>
        <v>0</v>
      </c>
      <c r="T111">
        <f>Source!Y106</f>
        <v>0</v>
      </c>
      <c r="U111">
        <f>ROUND((175/100)*ROUND(Source!R105, 2), 2)</f>
        <v>0</v>
      </c>
      <c r="V111">
        <f>ROUND((0/100)*ROUND(Source!R106, 2), 2)</f>
        <v>0</v>
      </c>
      <c r="AC111">
        <v>3</v>
      </c>
    </row>
    <row r="112" spans="1:29" ht="41.15" x14ac:dyDescent="0.3">
      <c r="A112" s="36" t="s">
        <v>155</v>
      </c>
      <c r="B112" s="36" t="str">
        <f>Source!F107</f>
        <v>КА 6</v>
      </c>
      <c r="C112" s="36" t="s">
        <v>655</v>
      </c>
      <c r="D112" s="38" t="str">
        <f>Source!H107</f>
        <v>шт.</v>
      </c>
      <c r="E112" s="37">
        <f>Source!I107</f>
        <v>7</v>
      </c>
      <c r="F112" s="40">
        <f>Source!AK107</f>
        <v>381.47</v>
      </c>
      <c r="G112" s="42" t="s">
        <v>3</v>
      </c>
      <c r="H112" s="37">
        <f>Source!AW108</f>
        <v>1</v>
      </c>
      <c r="I112" s="40">
        <f>Source!O107</f>
        <v>2670.29</v>
      </c>
      <c r="J112" s="37">
        <f>IF(Source!BC108&lt;&gt; 0, Source!BC108, 1)</f>
        <v>9.8800000000000008</v>
      </c>
      <c r="K112" s="40">
        <f>Source!O108</f>
        <v>26382.47</v>
      </c>
      <c r="Q112">
        <f>Source!X107</f>
        <v>0</v>
      </c>
      <c r="R112">
        <f>Source!X108</f>
        <v>0</v>
      </c>
      <c r="S112">
        <f>Source!Y107</f>
        <v>0</v>
      </c>
      <c r="T112">
        <f>Source!Y108</f>
        <v>0</v>
      </c>
      <c r="U112">
        <f>ROUND((175/100)*ROUND(Source!R107, 2), 2)</f>
        <v>0</v>
      </c>
      <c r="V112">
        <f>ROUND((0/100)*ROUND(Source!R108, 2), 2)</f>
        <v>0</v>
      </c>
      <c r="AC112">
        <v>3</v>
      </c>
    </row>
    <row r="113" spans="1:43" ht="41.15" x14ac:dyDescent="0.3">
      <c r="A113" s="36" t="s">
        <v>156</v>
      </c>
      <c r="B113" s="36" t="str">
        <f>Source!F109</f>
        <v>КА 8</v>
      </c>
      <c r="C113" s="36" t="s">
        <v>656</v>
      </c>
      <c r="D113" s="38" t="str">
        <f>Source!H109</f>
        <v>шт.</v>
      </c>
      <c r="E113" s="37">
        <f>Source!I109</f>
        <v>7</v>
      </c>
      <c r="F113" s="40">
        <f>Source!AK109</f>
        <v>720.68</v>
      </c>
      <c r="G113" s="42" t="s">
        <v>3</v>
      </c>
      <c r="H113" s="37">
        <f>Source!AW110</f>
        <v>1</v>
      </c>
      <c r="I113" s="40">
        <f>Source!O109</f>
        <v>5044.76</v>
      </c>
      <c r="J113" s="37">
        <f>IF(Source!BC110&lt;&gt; 0, Source!BC110, 1)</f>
        <v>9.8800000000000008</v>
      </c>
      <c r="K113" s="40">
        <f>Source!O110</f>
        <v>49842.23</v>
      </c>
      <c r="Q113">
        <f>Source!X109</f>
        <v>0</v>
      </c>
      <c r="R113">
        <f>Source!X110</f>
        <v>0</v>
      </c>
      <c r="S113">
        <f>Source!Y109</f>
        <v>0</v>
      </c>
      <c r="T113">
        <f>Source!Y110</f>
        <v>0</v>
      </c>
      <c r="U113">
        <f>ROUND((175/100)*ROUND(Source!R109, 2), 2)</f>
        <v>0</v>
      </c>
      <c r="V113">
        <f>ROUND((0/100)*ROUND(Source!R110, 2), 2)</f>
        <v>0</v>
      </c>
      <c r="AC113">
        <v>3</v>
      </c>
    </row>
    <row r="114" spans="1:43" ht="14.15" x14ac:dyDescent="0.3">
      <c r="A114" s="36"/>
      <c r="B114" s="36"/>
      <c r="C114" s="36" t="s">
        <v>644</v>
      </c>
      <c r="D114" s="38" t="s">
        <v>645</v>
      </c>
      <c r="E114" s="37">
        <f>Source!BZ102</f>
        <v>90</v>
      </c>
      <c r="F114" s="40"/>
      <c r="G114" s="39"/>
      <c r="H114" s="37"/>
      <c r="I114" s="40">
        <f>SUM(Q105:Q113)</f>
        <v>340.43</v>
      </c>
      <c r="J114" s="37">
        <f>Source!AT102</f>
        <v>90</v>
      </c>
      <c r="K114" s="40">
        <f>SUM(R105:R113)</f>
        <v>18720.46</v>
      </c>
    </row>
    <row r="115" spans="1:43" ht="14.15" x14ac:dyDescent="0.3">
      <c r="A115" s="36"/>
      <c r="B115" s="36"/>
      <c r="C115" s="36" t="s">
        <v>646</v>
      </c>
      <c r="D115" s="38" t="s">
        <v>645</v>
      </c>
      <c r="E115" s="37">
        <f>Source!CA102</f>
        <v>46</v>
      </c>
      <c r="F115" s="40"/>
      <c r="G115" s="39"/>
      <c r="H115" s="37"/>
      <c r="I115" s="40">
        <f>SUM(S105:S114)</f>
        <v>174</v>
      </c>
      <c r="J115" s="37">
        <f>Source!AU102</f>
        <v>46</v>
      </c>
      <c r="K115" s="40">
        <f>SUM(T105:T114)</f>
        <v>9568.23</v>
      </c>
    </row>
    <row r="116" spans="1:43" ht="14.15" x14ac:dyDescent="0.3">
      <c r="A116" s="43"/>
      <c r="B116" s="43"/>
      <c r="C116" s="43" t="s">
        <v>647</v>
      </c>
      <c r="D116" s="44" t="s">
        <v>648</v>
      </c>
      <c r="E116" s="45">
        <f>Source!AQ101</f>
        <v>1.03</v>
      </c>
      <c r="F116" s="46"/>
      <c r="G116" s="47" t="s">
        <v>29</v>
      </c>
      <c r="H116" s="45">
        <f>Source!AV102</f>
        <v>1.0469999999999999</v>
      </c>
      <c r="I116" s="46">
        <f>Source!U101</f>
        <v>33.215028000000004</v>
      </c>
      <c r="J116" s="45"/>
      <c r="K116" s="46"/>
    </row>
    <row r="117" spans="1:43" ht="14.15" x14ac:dyDescent="0.3">
      <c r="C117" s="48" t="s">
        <v>649</v>
      </c>
      <c r="H117" s="49">
        <f>I107+I108+I114+I115+SUM(I110:I113)-SUMIF(AC110:AC113, 5, I110:I113)-SUMIF(AC110:AC113, 6, I110:I113)</f>
        <v>12493.610000000008</v>
      </c>
      <c r="I117" s="49"/>
      <c r="J117" s="49">
        <f>K107+K108+K114+K115+SUM(K110:K113)-SUMIF(AC110:AC113, 5, K110:K113)-SUMIF(AC110:AC113, 6, K110:K113)</f>
        <v>163692.75999999998</v>
      </c>
      <c r="K117" s="49"/>
    </row>
    <row r="118" spans="1:43" ht="14.15" x14ac:dyDescent="0.3">
      <c r="C118" s="48" t="s">
        <v>650</v>
      </c>
      <c r="H118" s="51">
        <f>SUMIF(AC110:AC113, 5, I110:I113)+SUMIF(AC110:AC113, 6, I110:I113)</f>
        <v>22491.21</v>
      </c>
      <c r="I118" s="51"/>
      <c r="J118" s="51">
        <f>SUMIF(AC110:AC113, 5, K110:K113)+SUMIF(AC110:AC113, 6, K110:K113)</f>
        <v>172282.67</v>
      </c>
      <c r="K118" s="51"/>
    </row>
    <row r="119" spans="1:43" ht="14.15" x14ac:dyDescent="0.3">
      <c r="C119" s="48" t="s">
        <v>651</v>
      </c>
      <c r="H119" s="51">
        <f>I107+I108+I114+I115+SUM(I110:I113)</f>
        <v>34984.820000000007</v>
      </c>
      <c r="I119" s="51"/>
      <c r="J119" s="51">
        <f>K107+K108+K114+K115+SUM(K110:K113)</f>
        <v>335975.43</v>
      </c>
      <c r="K119" s="51"/>
      <c r="O119" s="52">
        <f>I107+I108+I114+I115+SUM(I110:I113)</f>
        <v>34984.820000000007</v>
      </c>
      <c r="P119" s="52">
        <f>K107+K108+K114+K115+SUM(K110:K113)</f>
        <v>335975.43</v>
      </c>
    </row>
    <row r="122" spans="1:43" ht="14.15" x14ac:dyDescent="0.35">
      <c r="A122" s="60" t="str">
        <f>CONCATENATE("Итого по разделу: ",IF(Source!G112&lt;&gt;"Новый раздел", Source!G112, ""))</f>
        <v>Итого по разделу: Телекоммуникационный шкаф 42U 19" ШТ1-2,1-3,1-4; ШТ2-5,2-6; ШТ3-7,3-8</v>
      </c>
      <c r="B122" s="60"/>
      <c r="C122" s="60"/>
      <c r="D122" s="60"/>
      <c r="E122" s="60"/>
      <c r="F122" s="60"/>
      <c r="G122" s="60"/>
      <c r="H122" s="51">
        <f>SUM(O76:O121)</f>
        <v>164988.47999999998</v>
      </c>
      <c r="I122" s="50"/>
      <c r="J122" s="51">
        <f>SUM(P76:P121)</f>
        <v>1724745.7699999998</v>
      </c>
      <c r="K122" s="50"/>
      <c r="AQ122" s="61" t="str">
        <f>CONCATENATE("Итого по разделу: ",IF(Source!G112&lt;&gt;"Новый раздел", Source!G112, ""))</f>
        <v>Итого по разделу: Телекоммуникационный шкаф 42U 19" ШТ1-2,1-3,1-4; ШТ2-5,2-6; ШТ3-7,3-8</v>
      </c>
    </row>
    <row r="123" spans="1:43" hidden="1" x14ac:dyDescent="0.3">
      <c r="A123" t="s">
        <v>659</v>
      </c>
      <c r="I123">
        <f>SUM(W76:W122)</f>
        <v>0</v>
      </c>
      <c r="J123">
        <f>SUM(X76:X122)</f>
        <v>0</v>
      </c>
    </row>
    <row r="124" spans="1:43" hidden="1" x14ac:dyDescent="0.3">
      <c r="A124" t="s">
        <v>660</v>
      </c>
      <c r="I124">
        <f>SUM(Y76:Y123)</f>
        <v>0</v>
      </c>
      <c r="J124">
        <f>SUM(Z76:Z123)</f>
        <v>0</v>
      </c>
    </row>
    <row r="126" spans="1:43" ht="16.3" x14ac:dyDescent="0.3">
      <c r="A126" s="35" t="str">
        <f>CONCATENATE("Раздел: ",IF(Source!G142&lt;&gt;"Новый раздел", Source!G142, ""))</f>
        <v>Раздел: Источники электропитания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spans="1:43" ht="78.45" x14ac:dyDescent="0.3">
      <c r="A127" s="36">
        <v>7</v>
      </c>
      <c r="B127" s="36" t="s">
        <v>665</v>
      </c>
      <c r="C127" s="36" t="s">
        <v>160</v>
      </c>
      <c r="D127" s="38" t="str">
        <f>Source!H146</f>
        <v>1  ШТ.</v>
      </c>
      <c r="E127" s="37">
        <f>Source!I146</f>
        <v>8</v>
      </c>
      <c r="F127" s="40"/>
      <c r="G127" s="39"/>
      <c r="H127" s="37"/>
      <c r="I127" s="40"/>
      <c r="J127" s="37"/>
      <c r="K127" s="40"/>
      <c r="Q127">
        <f>Source!X146</f>
        <v>1163.1500000000001</v>
      </c>
      <c r="R127">
        <f>Source!X147</f>
        <v>63961.67</v>
      </c>
      <c r="S127">
        <f>Source!Y146</f>
        <v>594.5</v>
      </c>
      <c r="T127">
        <f>Source!Y147</f>
        <v>32691.52</v>
      </c>
      <c r="U127">
        <f>ROUND((175/100)*ROUND(Source!R146, 2), 2)</f>
        <v>81.430000000000007</v>
      </c>
      <c r="V127">
        <f>ROUND((0/100)*ROUND(Source!R147, 2), 2)</f>
        <v>0</v>
      </c>
      <c r="AC127">
        <v>0</v>
      </c>
    </row>
    <row r="128" spans="1:43" ht="14.15" x14ac:dyDescent="0.3">
      <c r="A128" s="36"/>
      <c r="B128" s="36"/>
      <c r="C128" s="36" t="s">
        <v>637</v>
      </c>
      <c r="D128" s="38"/>
      <c r="E128" s="37"/>
      <c r="F128" s="40">
        <f>Source!AO146</f>
        <v>135.22</v>
      </c>
      <c r="G128" s="39" t="s">
        <v>29</v>
      </c>
      <c r="H128" s="37">
        <f>Source!AV147</f>
        <v>1.0469999999999999</v>
      </c>
      <c r="I128" s="40">
        <f>Source!S146</f>
        <v>1245.8599999999999</v>
      </c>
      <c r="J128" s="37">
        <f>IF(Source!BA147&lt;&gt; 0, Source!BA147, 1)</f>
        <v>54.99</v>
      </c>
      <c r="K128" s="40">
        <f>Source!S147</f>
        <v>68509.84</v>
      </c>
    </row>
    <row r="129" spans="1:29" ht="14.15" x14ac:dyDescent="0.3">
      <c r="A129" s="36"/>
      <c r="B129" s="36"/>
      <c r="C129" s="36" t="s">
        <v>638</v>
      </c>
      <c r="D129" s="38"/>
      <c r="E129" s="37"/>
      <c r="F129" s="40">
        <f>Source!AM146</f>
        <v>45.93</v>
      </c>
      <c r="G129" s="39" t="s">
        <v>29</v>
      </c>
      <c r="H129" s="37">
        <f>Source!AV147</f>
        <v>1.0469999999999999</v>
      </c>
      <c r="I129" s="40">
        <f>Source!Q146</f>
        <v>423.18</v>
      </c>
      <c r="J129" s="37">
        <f>IF(Source!BB147&lt;&gt; 0, Source!BB147, 1)</f>
        <v>15.46</v>
      </c>
      <c r="K129" s="40">
        <f>Source!Q147</f>
        <v>6542.36</v>
      </c>
    </row>
    <row r="130" spans="1:29" ht="14.15" x14ac:dyDescent="0.3">
      <c r="A130" s="36"/>
      <c r="B130" s="36"/>
      <c r="C130" s="36" t="s">
        <v>639</v>
      </c>
      <c r="D130" s="38"/>
      <c r="E130" s="37"/>
      <c r="F130" s="40">
        <f>Source!AN146</f>
        <v>5.05</v>
      </c>
      <c r="G130" s="39" t="s">
        <v>29</v>
      </c>
      <c r="H130" s="37">
        <f>Source!AV147</f>
        <v>1.0469999999999999</v>
      </c>
      <c r="I130" s="41">
        <f>Source!R146</f>
        <v>46.53</v>
      </c>
      <c r="J130" s="37">
        <f>IF(Source!BS147&lt;&gt; 0, Source!BS147, 1)</f>
        <v>54.99</v>
      </c>
      <c r="K130" s="41">
        <f>Source!R147</f>
        <v>2558.6799999999998</v>
      </c>
    </row>
    <row r="131" spans="1:29" ht="14.15" x14ac:dyDescent="0.3">
      <c r="A131" s="36"/>
      <c r="B131" s="36"/>
      <c r="C131" s="36" t="s">
        <v>640</v>
      </c>
      <c r="D131" s="38"/>
      <c r="E131" s="37"/>
      <c r="F131" s="40">
        <f>Source!AL146</f>
        <v>55.8</v>
      </c>
      <c r="G131" s="39"/>
      <c r="H131" s="37">
        <f>Source!AW147</f>
        <v>1</v>
      </c>
      <c r="I131" s="40">
        <f>Source!P146</f>
        <v>446.4</v>
      </c>
      <c r="J131" s="37">
        <f>IF(Source!BC147&lt;&gt; 0, Source!BC147, 1)</f>
        <v>10.4</v>
      </c>
      <c r="K131" s="40">
        <f>Source!P147</f>
        <v>4642.5600000000004</v>
      </c>
    </row>
    <row r="132" spans="1:29" ht="28.3" x14ac:dyDescent="0.3">
      <c r="A132" s="36" t="s">
        <v>162</v>
      </c>
      <c r="B132" s="36" t="str">
        <f>Source!F148</f>
        <v>1.1-1-58</v>
      </c>
      <c r="C132" s="36" t="s">
        <v>164</v>
      </c>
      <c r="D132" s="38" t="str">
        <f>Source!H148</f>
        <v>т</v>
      </c>
      <c r="E132" s="37">
        <f>Source!I148</f>
        <v>2.3999999999999998E-3</v>
      </c>
      <c r="F132" s="40">
        <f>Source!AK148</f>
        <v>24609.759999999998</v>
      </c>
      <c r="G132" s="42" t="s">
        <v>3</v>
      </c>
      <c r="H132" s="37">
        <f>Source!AW149</f>
        <v>1</v>
      </c>
      <c r="I132" s="40">
        <f>Source!O148</f>
        <v>59.06</v>
      </c>
      <c r="J132" s="37">
        <f>IF(Source!BC149&lt;&gt; 0, Source!BC149, 1)</f>
        <v>5.15</v>
      </c>
      <c r="K132" s="40">
        <f>Source!O149</f>
        <v>304.16000000000003</v>
      </c>
      <c r="Q132">
        <f>Source!X148</f>
        <v>0</v>
      </c>
      <c r="R132">
        <f>Source!X149</f>
        <v>0</v>
      </c>
      <c r="S132">
        <f>Source!Y148</f>
        <v>0</v>
      </c>
      <c r="T132">
        <f>Source!Y149</f>
        <v>0</v>
      </c>
      <c r="U132">
        <f>ROUND((175/100)*ROUND(Source!R148, 2), 2)</f>
        <v>0</v>
      </c>
      <c r="V132">
        <f>ROUND((0/100)*ROUND(Source!R149, 2), 2)</f>
        <v>0</v>
      </c>
      <c r="AC132">
        <v>3</v>
      </c>
    </row>
    <row r="133" spans="1:29" ht="42.45" x14ac:dyDescent="0.3">
      <c r="A133" s="36" t="s">
        <v>167</v>
      </c>
      <c r="B133" s="36" t="str">
        <f>Source!F150</f>
        <v>1.21-5-1230</v>
      </c>
      <c r="C133" s="36" t="s">
        <v>169</v>
      </c>
      <c r="D133" s="38" t="str">
        <f>Source!H150</f>
        <v>шт.</v>
      </c>
      <c r="E133" s="37">
        <f>Source!I150</f>
        <v>80</v>
      </c>
      <c r="F133" s="40">
        <f>Source!AK150</f>
        <v>0.25</v>
      </c>
      <c r="G133" s="42" t="s">
        <v>3</v>
      </c>
      <c r="H133" s="37">
        <f>Source!AW151</f>
        <v>1</v>
      </c>
      <c r="I133" s="40">
        <f>Source!O150</f>
        <v>20</v>
      </c>
      <c r="J133" s="37">
        <f>IF(Source!BC151&lt;&gt; 0, Source!BC151, 1)</f>
        <v>8.68</v>
      </c>
      <c r="K133" s="40">
        <f>Source!O151</f>
        <v>173.6</v>
      </c>
      <c r="Q133">
        <f>Source!X150</f>
        <v>0</v>
      </c>
      <c r="R133">
        <f>Source!X151</f>
        <v>0</v>
      </c>
      <c r="S133">
        <f>Source!Y150</f>
        <v>0</v>
      </c>
      <c r="T133">
        <f>Source!Y151</f>
        <v>0</v>
      </c>
      <c r="U133">
        <f>ROUND((175/100)*ROUND(Source!R150, 2), 2)</f>
        <v>0</v>
      </c>
      <c r="V133">
        <f>ROUND((0/100)*ROUND(Source!R151, 2), 2)</f>
        <v>0</v>
      </c>
      <c r="AC133">
        <v>3</v>
      </c>
    </row>
    <row r="134" spans="1:29" ht="68.150000000000006" x14ac:dyDescent="0.3">
      <c r="A134" s="54" t="s">
        <v>171</v>
      </c>
      <c r="B134" s="54" t="str">
        <f>Source!F152</f>
        <v>КА 13</v>
      </c>
      <c r="C134" s="54" t="s">
        <v>666</v>
      </c>
      <c r="D134" s="55" t="str">
        <f>Source!H152</f>
        <v>шт.</v>
      </c>
      <c r="E134" s="56">
        <f>Source!I152</f>
        <v>8</v>
      </c>
      <c r="F134" s="57">
        <f>Source!AK152</f>
        <v>10289.34</v>
      </c>
      <c r="G134" s="58" t="s">
        <v>3</v>
      </c>
      <c r="H134" s="56">
        <f>Source!AW153</f>
        <v>1</v>
      </c>
      <c r="I134" s="57">
        <f>Source!O152</f>
        <v>82314.720000000001</v>
      </c>
      <c r="J134" s="56">
        <f>IF(Source!BC153&lt;&gt; 0, Source!BC153, 1)</f>
        <v>7.66</v>
      </c>
      <c r="K134" s="57">
        <f>Source!O153</f>
        <v>630530.76</v>
      </c>
      <c r="Q134">
        <f>Source!X152</f>
        <v>0</v>
      </c>
      <c r="R134">
        <f>Source!X153</f>
        <v>0</v>
      </c>
      <c r="S134">
        <f>Source!Y152</f>
        <v>0</v>
      </c>
      <c r="T134">
        <f>Source!Y153</f>
        <v>0</v>
      </c>
      <c r="U134">
        <f>ROUND((175/100)*ROUND(Source!R152, 2), 2)</f>
        <v>0</v>
      </c>
      <c r="V134">
        <f>ROUND((0/100)*ROUND(Source!R153, 2), 2)</f>
        <v>0</v>
      </c>
      <c r="AC134">
        <v>5</v>
      </c>
    </row>
    <row r="135" spans="1:29" ht="68.150000000000006" x14ac:dyDescent="0.3">
      <c r="A135" s="54" t="s">
        <v>175</v>
      </c>
      <c r="B135" s="54" t="str">
        <f>Source!F154</f>
        <v>КА 14</v>
      </c>
      <c r="C135" s="54" t="s">
        <v>667</v>
      </c>
      <c r="D135" s="55" t="str">
        <f>Source!H154</f>
        <v>шт.</v>
      </c>
      <c r="E135" s="56">
        <f>Source!I154</f>
        <v>8</v>
      </c>
      <c r="F135" s="57">
        <f>Source!AK154</f>
        <v>5563.22</v>
      </c>
      <c r="G135" s="58" t="s">
        <v>3</v>
      </c>
      <c r="H135" s="56">
        <f>Source!AW155</f>
        <v>1</v>
      </c>
      <c r="I135" s="57">
        <f>Source!O154</f>
        <v>44505.760000000002</v>
      </c>
      <c r="J135" s="56">
        <f>IF(Source!BC155&lt;&gt; 0, Source!BC155, 1)</f>
        <v>7.66</v>
      </c>
      <c r="K135" s="57">
        <f>Source!O155</f>
        <v>340914.12</v>
      </c>
      <c r="Q135">
        <f>Source!X154</f>
        <v>0</v>
      </c>
      <c r="R135">
        <f>Source!X155</f>
        <v>0</v>
      </c>
      <c r="S135">
        <f>Source!Y154</f>
        <v>0</v>
      </c>
      <c r="T135">
        <f>Source!Y155</f>
        <v>0</v>
      </c>
      <c r="U135">
        <f>ROUND((175/100)*ROUND(Source!R154, 2), 2)</f>
        <v>0</v>
      </c>
      <c r="V135">
        <f>ROUND((0/100)*ROUND(Source!R155, 2), 2)</f>
        <v>0</v>
      </c>
      <c r="AC135">
        <v>5</v>
      </c>
    </row>
    <row r="136" spans="1:29" ht="14.15" x14ac:dyDescent="0.3">
      <c r="A136" s="36"/>
      <c r="B136" s="36"/>
      <c r="C136" s="36" t="s">
        <v>644</v>
      </c>
      <c r="D136" s="38" t="s">
        <v>645</v>
      </c>
      <c r="E136" s="37">
        <f>Source!BZ147</f>
        <v>90</v>
      </c>
      <c r="F136" s="40"/>
      <c r="G136" s="39"/>
      <c r="H136" s="37"/>
      <c r="I136" s="40">
        <f>SUM(Q127:Q135)</f>
        <v>1163.1500000000001</v>
      </c>
      <c r="J136" s="37">
        <f>Source!AT147</f>
        <v>90</v>
      </c>
      <c r="K136" s="40">
        <f>SUM(R127:R135)</f>
        <v>63961.67</v>
      </c>
    </row>
    <row r="137" spans="1:29" ht="14.15" x14ac:dyDescent="0.3">
      <c r="A137" s="36"/>
      <c r="B137" s="36"/>
      <c r="C137" s="36" t="s">
        <v>646</v>
      </c>
      <c r="D137" s="38" t="s">
        <v>645</v>
      </c>
      <c r="E137" s="37">
        <f>Source!CA147</f>
        <v>46</v>
      </c>
      <c r="F137" s="40"/>
      <c r="G137" s="39"/>
      <c r="H137" s="37"/>
      <c r="I137" s="40">
        <f>SUM(S127:S136)</f>
        <v>594.5</v>
      </c>
      <c r="J137" s="37">
        <f>Source!AU147</f>
        <v>46</v>
      </c>
      <c r="K137" s="40">
        <f>SUM(T127:T136)</f>
        <v>32691.52</v>
      </c>
    </row>
    <row r="138" spans="1:29" ht="14.15" x14ac:dyDescent="0.3">
      <c r="A138" s="43"/>
      <c r="B138" s="43"/>
      <c r="C138" s="43" t="s">
        <v>647</v>
      </c>
      <c r="D138" s="44" t="s">
        <v>648</v>
      </c>
      <c r="E138" s="45">
        <f>Source!AQ146</f>
        <v>9.3000000000000007</v>
      </c>
      <c r="F138" s="46"/>
      <c r="G138" s="47" t="s">
        <v>29</v>
      </c>
      <c r="H138" s="45">
        <f>Source!AV147</f>
        <v>1.0469999999999999</v>
      </c>
      <c r="I138" s="46">
        <f>Source!U146</f>
        <v>85.686480000000017</v>
      </c>
      <c r="J138" s="45"/>
      <c r="K138" s="46"/>
    </row>
    <row r="139" spans="1:29" ht="14.15" x14ac:dyDescent="0.3">
      <c r="C139" s="48" t="s">
        <v>649</v>
      </c>
      <c r="H139" s="49">
        <f>I128+I129+I131+I136+I137+SUM(I132:I135)-SUMIF(AC132:AC135, 5, I132:I135)-SUMIF(AC132:AC135, 6, I132:I135)</f>
        <v>3952.1499999999942</v>
      </c>
      <c r="I139" s="49"/>
      <c r="J139" s="49">
        <f>K128+K129+K131+K136+K137+SUM(K132:K135)-SUMIF(AC132:AC135, 5, K132:K135)-SUMIF(AC132:AC135, 6, K132:K135)</f>
        <v>176825.71000000008</v>
      </c>
      <c r="K139" s="49"/>
    </row>
    <row r="140" spans="1:29" ht="14.15" x14ac:dyDescent="0.3">
      <c r="C140" s="48" t="s">
        <v>650</v>
      </c>
      <c r="H140" s="51">
        <f>SUMIF(AC132:AC135, 5, I132:I135)+SUMIF(AC132:AC135, 6, I132:I135)</f>
        <v>126820.48000000001</v>
      </c>
      <c r="I140" s="51"/>
      <c r="J140" s="51">
        <f>SUMIF(AC132:AC135, 5, K132:K135)+SUMIF(AC132:AC135, 6, K132:K135)</f>
        <v>971444.88</v>
      </c>
      <c r="K140" s="51"/>
    </row>
    <row r="141" spans="1:29" ht="14.15" x14ac:dyDescent="0.3">
      <c r="C141" s="48" t="s">
        <v>651</v>
      </c>
      <c r="H141" s="51">
        <f>I128+I129+I131+I136+I137+SUM(I132:I135)</f>
        <v>130772.63</v>
      </c>
      <c r="I141" s="51"/>
      <c r="J141" s="51">
        <f>K128+K129+K131+K136+K137+SUM(K132:K135)</f>
        <v>1148270.5900000001</v>
      </c>
      <c r="K141" s="51"/>
      <c r="O141" s="52">
        <f>I128+I129+I131+I136+I137+SUM(I132:I135)</f>
        <v>130772.63</v>
      </c>
      <c r="P141" s="52">
        <f>K128+K129+K131+K136+K137+SUM(K132:K135)</f>
        <v>1148270.5900000001</v>
      </c>
    </row>
    <row r="143" spans="1:29" ht="78.45" x14ac:dyDescent="0.3">
      <c r="A143" s="36">
        <v>8</v>
      </c>
      <c r="B143" s="36" t="s">
        <v>668</v>
      </c>
      <c r="C143" s="36" t="s">
        <v>181</v>
      </c>
      <c r="D143" s="38" t="str">
        <f>Source!H156</f>
        <v>1  ШТ.</v>
      </c>
      <c r="E143" s="37">
        <f>Source!I156</f>
        <v>16</v>
      </c>
      <c r="F143" s="40"/>
      <c r="G143" s="39"/>
      <c r="H143" s="37"/>
      <c r="I143" s="40"/>
      <c r="J143" s="37"/>
      <c r="K143" s="40"/>
      <c r="Q143">
        <f>Source!X156</f>
        <v>111.94</v>
      </c>
      <c r="R143">
        <f>Source!X157</f>
        <v>6155.69</v>
      </c>
      <c r="S143">
        <f>Source!Y156</f>
        <v>57.21</v>
      </c>
      <c r="T143">
        <f>Source!Y157</f>
        <v>3146.24</v>
      </c>
      <c r="U143">
        <f>ROUND((175/100)*ROUND(Source!R156, 2), 2)</f>
        <v>0</v>
      </c>
      <c r="V143">
        <f>ROUND((0/100)*ROUND(Source!R157, 2), 2)</f>
        <v>0</v>
      </c>
      <c r="AC143">
        <v>0</v>
      </c>
    </row>
    <row r="144" spans="1:29" ht="14.15" x14ac:dyDescent="0.3">
      <c r="A144" s="36"/>
      <c r="B144" s="36"/>
      <c r="C144" s="36" t="s">
        <v>637</v>
      </c>
      <c r="D144" s="38"/>
      <c r="E144" s="37"/>
      <c r="F144" s="40">
        <f>Source!AO156</f>
        <v>6.75</v>
      </c>
      <c r="G144" s="39" t="s">
        <v>29</v>
      </c>
      <c r="H144" s="37">
        <f>Source!AV157</f>
        <v>1.0469999999999999</v>
      </c>
      <c r="I144" s="40">
        <f>Source!S156</f>
        <v>124.38</v>
      </c>
      <c r="J144" s="37">
        <f>IF(Source!BA157&lt;&gt; 0, Source!BA157, 1)</f>
        <v>54.99</v>
      </c>
      <c r="K144" s="40">
        <f>Source!S157</f>
        <v>6839.66</v>
      </c>
    </row>
    <row r="145" spans="1:29" ht="42.45" x14ac:dyDescent="0.3">
      <c r="A145" s="54" t="s">
        <v>183</v>
      </c>
      <c r="B145" s="54" t="str">
        <f>Source!F158</f>
        <v>13.1-2-447</v>
      </c>
      <c r="C145" s="54" t="s">
        <v>669</v>
      </c>
      <c r="D145" s="55" t="str">
        <f>Source!H158</f>
        <v>шт.</v>
      </c>
      <c r="E145" s="56">
        <f>Source!I158</f>
        <v>16</v>
      </c>
      <c r="F145" s="57">
        <f>Source!AK158</f>
        <v>1348.67</v>
      </c>
      <c r="G145" s="58" t="s">
        <v>3</v>
      </c>
      <c r="H145" s="56">
        <f>Source!AW159</f>
        <v>1</v>
      </c>
      <c r="I145" s="57">
        <f>Source!O158</f>
        <v>21578.720000000001</v>
      </c>
      <c r="J145" s="56">
        <f>IF(Source!BC159&lt;&gt; 0, Source!BC159, 1)</f>
        <v>1.96</v>
      </c>
      <c r="K145" s="57">
        <f>Source!O159</f>
        <v>42294.29</v>
      </c>
      <c r="Q145">
        <f>Source!X158</f>
        <v>0</v>
      </c>
      <c r="R145">
        <f>Source!X159</f>
        <v>0</v>
      </c>
      <c r="S145">
        <f>Source!Y158</f>
        <v>0</v>
      </c>
      <c r="T145">
        <f>Source!Y159</f>
        <v>0</v>
      </c>
      <c r="U145">
        <f>ROUND((175/100)*ROUND(Source!R158, 2), 2)</f>
        <v>0</v>
      </c>
      <c r="V145">
        <f>ROUND((0/100)*ROUND(Source!R159, 2), 2)</f>
        <v>0</v>
      </c>
      <c r="AC145">
        <v>5</v>
      </c>
    </row>
    <row r="146" spans="1:29" ht="14.15" x14ac:dyDescent="0.3">
      <c r="A146" s="36"/>
      <c r="B146" s="36"/>
      <c r="C146" s="36" t="s">
        <v>644</v>
      </c>
      <c r="D146" s="38" t="s">
        <v>645</v>
      </c>
      <c r="E146" s="37">
        <f>Source!BZ157</f>
        <v>90</v>
      </c>
      <c r="F146" s="40"/>
      <c r="G146" s="39"/>
      <c r="H146" s="37"/>
      <c r="I146" s="40">
        <f>SUM(Q143:Q145)</f>
        <v>111.94</v>
      </c>
      <c r="J146" s="37">
        <f>Source!AT157</f>
        <v>90</v>
      </c>
      <c r="K146" s="40">
        <f>SUM(R143:R145)</f>
        <v>6155.69</v>
      </c>
    </row>
    <row r="147" spans="1:29" ht="14.15" x14ac:dyDescent="0.3">
      <c r="A147" s="36"/>
      <c r="B147" s="36"/>
      <c r="C147" s="36" t="s">
        <v>646</v>
      </c>
      <c r="D147" s="38" t="s">
        <v>645</v>
      </c>
      <c r="E147" s="37">
        <f>Source!CA157</f>
        <v>46</v>
      </c>
      <c r="F147" s="40"/>
      <c r="G147" s="39"/>
      <c r="H147" s="37"/>
      <c r="I147" s="40">
        <f>SUM(S143:S146)</f>
        <v>57.21</v>
      </c>
      <c r="J147" s="37">
        <f>Source!AU157</f>
        <v>46</v>
      </c>
      <c r="K147" s="40">
        <f>SUM(T143:T146)</f>
        <v>3146.24</v>
      </c>
    </row>
    <row r="148" spans="1:29" ht="14.15" x14ac:dyDescent="0.3">
      <c r="A148" s="43"/>
      <c r="B148" s="43"/>
      <c r="C148" s="43" t="s">
        <v>647</v>
      </c>
      <c r="D148" s="44" t="s">
        <v>648</v>
      </c>
      <c r="E148" s="45">
        <f>Source!AQ156</f>
        <v>0.52</v>
      </c>
      <c r="F148" s="46"/>
      <c r="G148" s="47" t="s">
        <v>29</v>
      </c>
      <c r="H148" s="45">
        <f>Source!AV157</f>
        <v>1.0469999999999999</v>
      </c>
      <c r="I148" s="46">
        <f>Source!U156</f>
        <v>9.5821439999999996</v>
      </c>
      <c r="J148" s="45"/>
      <c r="K148" s="46"/>
    </row>
    <row r="149" spans="1:29" ht="14.15" x14ac:dyDescent="0.3">
      <c r="C149" s="48" t="s">
        <v>649</v>
      </c>
      <c r="H149" s="49">
        <f>I144+I146+I147+SUM(I145:I145)-SUMIF(AC145:AC145, 5, I145:I145)-SUMIF(AC145:AC145, 6, I145:I145)</f>
        <v>293.52999999999884</v>
      </c>
      <c r="I149" s="49"/>
      <c r="J149" s="49">
        <f>K144+K146+K147+SUM(K145:K145)-SUMIF(AC145:AC145, 5, K145:K145)-SUMIF(AC145:AC145, 6, K145:K145)</f>
        <v>16141.589999999997</v>
      </c>
      <c r="K149" s="49"/>
    </row>
    <row r="150" spans="1:29" ht="14.15" x14ac:dyDescent="0.3">
      <c r="C150" s="48" t="s">
        <v>650</v>
      </c>
      <c r="H150" s="51">
        <f>SUMIF(AC145:AC145, 5, I145:I145)+SUMIF(AC145:AC145, 6, I145:I145)</f>
        <v>21578.720000000001</v>
      </c>
      <c r="I150" s="51"/>
      <c r="J150" s="51">
        <f>SUMIF(AC145:AC145, 5, K145:K145)+SUMIF(AC145:AC145, 6, K145:K145)</f>
        <v>42294.29</v>
      </c>
      <c r="K150" s="51"/>
    </row>
    <row r="151" spans="1:29" ht="14.15" x14ac:dyDescent="0.3">
      <c r="C151" s="48" t="s">
        <v>651</v>
      </c>
      <c r="H151" s="51">
        <f>I144+I146+I147+SUM(I145:I145)</f>
        <v>21872.25</v>
      </c>
      <c r="I151" s="51"/>
      <c r="J151" s="51">
        <f>K144+K146+K147+SUM(K145:K145)</f>
        <v>58435.88</v>
      </c>
      <c r="K151" s="51"/>
      <c r="O151" s="52">
        <f>I144+I146+I147+SUM(I145:I145)</f>
        <v>21872.25</v>
      </c>
      <c r="P151" s="52">
        <f>K144+K146+K147+SUM(K145:K145)</f>
        <v>58435.88</v>
      </c>
    </row>
    <row r="154" spans="1:29" ht="14.15" x14ac:dyDescent="0.35">
      <c r="A154" s="60" t="str">
        <f>CONCATENATE("Итого по разделу: ",IF(Source!G161&lt;&gt;"Новый раздел", Source!G161, ""))</f>
        <v>Итого по разделу: Источники электропитания</v>
      </c>
      <c r="B154" s="60"/>
      <c r="C154" s="60"/>
      <c r="D154" s="60"/>
      <c r="E154" s="60"/>
      <c r="F154" s="60"/>
      <c r="G154" s="60"/>
      <c r="H154" s="51">
        <f>SUM(O126:O153)</f>
        <v>152644.88</v>
      </c>
      <c r="I154" s="50"/>
      <c r="J154" s="51">
        <f>SUM(P126:P153)</f>
        <v>1206706.47</v>
      </c>
      <c r="K154" s="50"/>
    </row>
    <row r="155" spans="1:29" hidden="1" x14ac:dyDescent="0.3">
      <c r="A155" t="s">
        <v>659</v>
      </c>
      <c r="I155">
        <f>SUM(W126:W154)</f>
        <v>0</v>
      </c>
      <c r="J155">
        <f>SUM(X126:X154)</f>
        <v>0</v>
      </c>
    </row>
    <row r="156" spans="1:29" hidden="1" x14ac:dyDescent="0.3">
      <c r="A156" t="s">
        <v>660</v>
      </c>
      <c r="I156">
        <f>SUM(Y126:Y155)</f>
        <v>0</v>
      </c>
      <c r="J156">
        <f>SUM(Z126:Z155)</f>
        <v>0</v>
      </c>
    </row>
    <row r="158" spans="1:29" ht="16.3" x14ac:dyDescent="0.3">
      <c r="A158" s="35" t="str">
        <f>CONCATENATE("Раздел: ",IF(Source!G191&lt;&gt;"Новый раздел", Source!G191, ""))</f>
        <v>Раздел: Материалы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</row>
    <row r="159" spans="1:29" ht="78.45" x14ac:dyDescent="0.3">
      <c r="A159" s="36">
        <v>9</v>
      </c>
      <c r="B159" s="36" t="s">
        <v>670</v>
      </c>
      <c r="C159" s="36" t="s">
        <v>189</v>
      </c>
      <c r="D159" s="38" t="str">
        <f>Source!H195</f>
        <v>1  ШТ.</v>
      </c>
      <c r="E159" s="37">
        <f>Source!I195</f>
        <v>33</v>
      </c>
      <c r="F159" s="40"/>
      <c r="G159" s="39"/>
      <c r="H159" s="37"/>
      <c r="I159" s="40"/>
      <c r="J159" s="37"/>
      <c r="K159" s="40"/>
      <c r="Q159">
        <f>Source!X195</f>
        <v>837.69</v>
      </c>
      <c r="R159">
        <f>Source!X196</f>
        <v>46064.75</v>
      </c>
      <c r="S159">
        <f>Source!Y195</f>
        <v>428.15</v>
      </c>
      <c r="T159">
        <f>Source!Y196</f>
        <v>23544.2</v>
      </c>
      <c r="U159">
        <f>ROUND((175/100)*ROUND(Source!R195, 2), 2)</f>
        <v>67.180000000000007</v>
      </c>
      <c r="V159">
        <f>ROUND((0/100)*ROUND(Source!R196, 2), 2)</f>
        <v>0</v>
      </c>
      <c r="AC159">
        <v>0</v>
      </c>
    </row>
    <row r="160" spans="1:29" x14ac:dyDescent="0.3">
      <c r="C160" s="53" t="str">
        <f>"Объем: "&amp;Source!I195&amp;"=12+"&amp;"6+"&amp;"1+"&amp;"13+"&amp;"1"</f>
        <v>Объем: 33=12+6+1+13+1</v>
      </c>
    </row>
    <row r="161" spans="1:29" ht="14.15" x14ac:dyDescent="0.3">
      <c r="A161" s="36"/>
      <c r="B161" s="36"/>
      <c r="C161" s="36" t="s">
        <v>637</v>
      </c>
      <c r="D161" s="38"/>
      <c r="E161" s="37"/>
      <c r="F161" s="40">
        <f>Source!AO195</f>
        <v>23.48</v>
      </c>
      <c r="G161" s="39" t="s">
        <v>29</v>
      </c>
      <c r="H161" s="37">
        <f>Source!AV196</f>
        <v>1.0469999999999999</v>
      </c>
      <c r="I161" s="40">
        <f>Source!S195</f>
        <v>892.38</v>
      </c>
      <c r="J161" s="37">
        <f>IF(Source!BA196&lt;&gt; 0, Source!BA196, 1)</f>
        <v>54.99</v>
      </c>
      <c r="K161" s="40">
        <f>Source!S196</f>
        <v>49071.98</v>
      </c>
    </row>
    <row r="162" spans="1:29" ht="14.15" x14ac:dyDescent="0.3">
      <c r="A162" s="36"/>
      <c r="B162" s="36"/>
      <c r="C162" s="36" t="s">
        <v>638</v>
      </c>
      <c r="D162" s="38"/>
      <c r="E162" s="37"/>
      <c r="F162" s="40">
        <f>Source!AM195</f>
        <v>9.19</v>
      </c>
      <c r="G162" s="39" t="s">
        <v>29</v>
      </c>
      <c r="H162" s="37">
        <f>Source!AV196</f>
        <v>1.0469999999999999</v>
      </c>
      <c r="I162" s="40">
        <f>Source!Q195</f>
        <v>349.28</v>
      </c>
      <c r="J162" s="37">
        <f>IF(Source!BB196&lt;&gt; 0, Source!BB196, 1)</f>
        <v>15.45</v>
      </c>
      <c r="K162" s="40">
        <f>Source!Q196</f>
        <v>5396.38</v>
      </c>
    </row>
    <row r="163" spans="1:29" ht="14.15" x14ac:dyDescent="0.3">
      <c r="A163" s="36"/>
      <c r="B163" s="36"/>
      <c r="C163" s="36" t="s">
        <v>639</v>
      </c>
      <c r="D163" s="38"/>
      <c r="E163" s="37"/>
      <c r="F163" s="40">
        <f>Source!AN195</f>
        <v>1.01</v>
      </c>
      <c r="G163" s="39" t="s">
        <v>29</v>
      </c>
      <c r="H163" s="37">
        <f>Source!AV196</f>
        <v>1.0469999999999999</v>
      </c>
      <c r="I163" s="41">
        <f>Source!R195</f>
        <v>38.39</v>
      </c>
      <c r="J163" s="37">
        <f>IF(Source!BS196&lt;&gt; 0, Source!BS196, 1)</f>
        <v>54.99</v>
      </c>
      <c r="K163" s="41">
        <f>Source!R196</f>
        <v>2111.0700000000002</v>
      </c>
    </row>
    <row r="164" spans="1:29" ht="41.15" x14ac:dyDescent="0.3">
      <c r="A164" s="36" t="s">
        <v>191</v>
      </c>
      <c r="B164" s="36" t="str">
        <f>Source!F197</f>
        <v>КА 15</v>
      </c>
      <c r="C164" s="36" t="s">
        <v>671</v>
      </c>
      <c r="D164" s="38" t="str">
        <f>Source!H197</f>
        <v>шт.</v>
      </c>
      <c r="E164" s="37">
        <f>Source!I197</f>
        <v>12</v>
      </c>
      <c r="F164" s="40">
        <f>Source!AK197</f>
        <v>575.38</v>
      </c>
      <c r="G164" s="42" t="s">
        <v>3</v>
      </c>
      <c r="H164" s="37">
        <f>Source!AW198</f>
        <v>1</v>
      </c>
      <c r="I164" s="40">
        <f>Source!O197</f>
        <v>6904.56</v>
      </c>
      <c r="J164" s="37">
        <f>IF(Source!BC198&lt;&gt; 0, Source!BC198, 1)</f>
        <v>9.8800000000000008</v>
      </c>
      <c r="K164" s="40">
        <f>Source!O198</f>
        <v>68217.05</v>
      </c>
      <c r="Q164">
        <f>Source!X197</f>
        <v>0</v>
      </c>
      <c r="R164">
        <f>Source!X198</f>
        <v>0</v>
      </c>
      <c r="S164">
        <f>Source!Y197</f>
        <v>0</v>
      </c>
      <c r="T164">
        <f>Source!Y198</f>
        <v>0</v>
      </c>
      <c r="U164">
        <f>ROUND((175/100)*ROUND(Source!R197, 2), 2)</f>
        <v>0</v>
      </c>
      <c r="V164">
        <f>ROUND((0/100)*ROUND(Source!R198, 2), 2)</f>
        <v>0</v>
      </c>
      <c r="AC164">
        <v>3</v>
      </c>
    </row>
    <row r="165" spans="1:29" ht="41.15" x14ac:dyDescent="0.3">
      <c r="A165" s="36" t="s">
        <v>195</v>
      </c>
      <c r="B165" s="36" t="str">
        <f>Source!F199</f>
        <v>КА 16</v>
      </c>
      <c r="C165" s="36" t="s">
        <v>672</v>
      </c>
      <c r="D165" s="38" t="str">
        <f>Source!H199</f>
        <v>шт.</v>
      </c>
      <c r="E165" s="37">
        <f>Source!I199</f>
        <v>6</v>
      </c>
      <c r="F165" s="40">
        <f>Source!AK199</f>
        <v>209.74</v>
      </c>
      <c r="G165" s="42" t="s">
        <v>3</v>
      </c>
      <c r="H165" s="37">
        <f>Source!AW200</f>
        <v>1</v>
      </c>
      <c r="I165" s="40">
        <f>Source!O199</f>
        <v>1258.44</v>
      </c>
      <c r="J165" s="37">
        <f>IF(Source!BC200&lt;&gt; 0, Source!BC200, 1)</f>
        <v>9.8800000000000008</v>
      </c>
      <c r="K165" s="40">
        <f>Source!O200</f>
        <v>12433.39</v>
      </c>
      <c r="Q165">
        <f>Source!X199</f>
        <v>0</v>
      </c>
      <c r="R165">
        <f>Source!X200</f>
        <v>0</v>
      </c>
      <c r="S165">
        <f>Source!Y199</f>
        <v>0</v>
      </c>
      <c r="T165">
        <f>Source!Y200</f>
        <v>0</v>
      </c>
      <c r="U165">
        <f>ROUND((175/100)*ROUND(Source!R199, 2), 2)</f>
        <v>0</v>
      </c>
      <c r="V165">
        <f>ROUND((0/100)*ROUND(Source!R200, 2), 2)</f>
        <v>0</v>
      </c>
      <c r="AC165">
        <v>3</v>
      </c>
    </row>
    <row r="166" spans="1:29" ht="41.15" x14ac:dyDescent="0.3">
      <c r="A166" s="36" t="s">
        <v>199</v>
      </c>
      <c r="B166" s="36" t="str">
        <f>Source!F201</f>
        <v>КА 17</v>
      </c>
      <c r="C166" s="36" t="s">
        <v>673</v>
      </c>
      <c r="D166" s="38" t="str">
        <f>Source!H201</f>
        <v>шт.</v>
      </c>
      <c r="E166" s="37">
        <f>Source!I201</f>
        <v>63</v>
      </c>
      <c r="F166" s="40">
        <f>Source!AK201</f>
        <v>48.52</v>
      </c>
      <c r="G166" s="42" t="s">
        <v>3</v>
      </c>
      <c r="H166" s="37">
        <f>Source!AW202</f>
        <v>1</v>
      </c>
      <c r="I166" s="40">
        <f>Source!O201</f>
        <v>3056.76</v>
      </c>
      <c r="J166" s="37">
        <f>IF(Source!BC202&lt;&gt; 0, Source!BC202, 1)</f>
        <v>9.8800000000000008</v>
      </c>
      <c r="K166" s="40">
        <f>Source!O202</f>
        <v>30200.79</v>
      </c>
      <c r="Q166">
        <f>Source!X201</f>
        <v>0</v>
      </c>
      <c r="R166">
        <f>Source!X202</f>
        <v>0</v>
      </c>
      <c r="S166">
        <f>Source!Y201</f>
        <v>0</v>
      </c>
      <c r="T166">
        <f>Source!Y202</f>
        <v>0</v>
      </c>
      <c r="U166">
        <f>ROUND((175/100)*ROUND(Source!R201, 2), 2)</f>
        <v>0</v>
      </c>
      <c r="V166">
        <f>ROUND((0/100)*ROUND(Source!R202, 2), 2)</f>
        <v>0</v>
      </c>
      <c r="AC166">
        <v>3</v>
      </c>
    </row>
    <row r="167" spans="1:29" ht="41.15" x14ac:dyDescent="0.3">
      <c r="A167" s="36" t="s">
        <v>203</v>
      </c>
      <c r="B167" s="36" t="str">
        <f>Source!F203</f>
        <v>КА 18</v>
      </c>
      <c r="C167" s="36" t="s">
        <v>674</v>
      </c>
      <c r="D167" s="38" t="str">
        <f>Source!H203</f>
        <v>шт.</v>
      </c>
      <c r="E167" s="37">
        <f>Source!I203</f>
        <v>1</v>
      </c>
      <c r="F167" s="40">
        <f>Source!AK203</f>
        <v>690.75</v>
      </c>
      <c r="G167" s="42" t="s">
        <v>3</v>
      </c>
      <c r="H167" s="37">
        <f>Source!AW204</f>
        <v>1</v>
      </c>
      <c r="I167" s="40">
        <f>Source!O203</f>
        <v>690.75</v>
      </c>
      <c r="J167" s="37">
        <f>IF(Source!BC204&lt;&gt; 0, Source!BC204, 1)</f>
        <v>9.8800000000000008</v>
      </c>
      <c r="K167" s="40">
        <f>Source!O204</f>
        <v>6824.61</v>
      </c>
      <c r="Q167">
        <f>Source!X203</f>
        <v>0</v>
      </c>
      <c r="R167">
        <f>Source!X204</f>
        <v>0</v>
      </c>
      <c r="S167">
        <f>Source!Y203</f>
        <v>0</v>
      </c>
      <c r="T167">
        <f>Source!Y204</f>
        <v>0</v>
      </c>
      <c r="U167">
        <f>ROUND((175/100)*ROUND(Source!R203, 2), 2)</f>
        <v>0</v>
      </c>
      <c r="V167">
        <f>ROUND((0/100)*ROUND(Source!R204, 2), 2)</f>
        <v>0</v>
      </c>
      <c r="AC167">
        <v>3</v>
      </c>
    </row>
    <row r="168" spans="1:29" ht="41.15" x14ac:dyDescent="0.3">
      <c r="A168" s="36" t="s">
        <v>207</v>
      </c>
      <c r="B168" s="36" t="str">
        <f>Source!F205</f>
        <v>КА 19</v>
      </c>
      <c r="C168" s="36" t="s">
        <v>675</v>
      </c>
      <c r="D168" s="38" t="str">
        <f>Source!H205</f>
        <v>шт.</v>
      </c>
      <c r="E168" s="37">
        <f>Source!I205</f>
        <v>13</v>
      </c>
      <c r="F168" s="40">
        <f>Source!AK205</f>
        <v>141.43</v>
      </c>
      <c r="G168" s="42" t="s">
        <v>3</v>
      </c>
      <c r="H168" s="37">
        <f>Source!AW206</f>
        <v>1</v>
      </c>
      <c r="I168" s="40">
        <f>Source!O205</f>
        <v>1838.59</v>
      </c>
      <c r="J168" s="37">
        <f>IF(Source!BC206&lt;&gt; 0, Source!BC206, 1)</f>
        <v>9.8800000000000008</v>
      </c>
      <c r="K168" s="40">
        <f>Source!O206</f>
        <v>18165.27</v>
      </c>
      <c r="Q168">
        <f>Source!X205</f>
        <v>0</v>
      </c>
      <c r="R168">
        <f>Source!X206</f>
        <v>0</v>
      </c>
      <c r="S168">
        <f>Source!Y205</f>
        <v>0</v>
      </c>
      <c r="T168">
        <f>Source!Y206</f>
        <v>0</v>
      </c>
      <c r="U168">
        <f>ROUND((175/100)*ROUND(Source!R205, 2), 2)</f>
        <v>0</v>
      </c>
      <c r="V168">
        <f>ROUND((0/100)*ROUND(Source!R206, 2), 2)</f>
        <v>0</v>
      </c>
      <c r="AC168">
        <v>3</v>
      </c>
    </row>
    <row r="169" spans="1:29" ht="27" x14ac:dyDescent="0.3">
      <c r="A169" s="36" t="s">
        <v>211</v>
      </c>
      <c r="B169" s="36" t="str">
        <f>Source!F207</f>
        <v>КА 24</v>
      </c>
      <c r="C169" s="36" t="s">
        <v>676</v>
      </c>
      <c r="D169" s="38" t="str">
        <f>Source!H207</f>
        <v>шт.</v>
      </c>
      <c r="E169" s="37">
        <f>Source!I207</f>
        <v>1</v>
      </c>
      <c r="F169" s="40">
        <f>Source!AK207</f>
        <v>40.43</v>
      </c>
      <c r="G169" s="42" t="s">
        <v>3</v>
      </c>
      <c r="H169" s="37">
        <f>Source!AW208</f>
        <v>1</v>
      </c>
      <c r="I169" s="40">
        <f>Source!O207</f>
        <v>40.43</v>
      </c>
      <c r="J169" s="37">
        <f>IF(Source!BC208&lt;&gt; 0, Source!BC208, 1)</f>
        <v>9.8800000000000008</v>
      </c>
      <c r="K169" s="40">
        <f>Source!O208</f>
        <v>399.45</v>
      </c>
      <c r="Q169">
        <f>Source!X207</f>
        <v>0</v>
      </c>
      <c r="R169">
        <f>Source!X208</f>
        <v>0</v>
      </c>
      <c r="S169">
        <f>Source!Y207</f>
        <v>0</v>
      </c>
      <c r="T169">
        <f>Source!Y208</f>
        <v>0</v>
      </c>
      <c r="U169">
        <f>ROUND((175/100)*ROUND(Source!R207, 2), 2)</f>
        <v>0</v>
      </c>
      <c r="V169">
        <f>ROUND((0/100)*ROUND(Source!R208, 2), 2)</f>
        <v>0</v>
      </c>
      <c r="AC169">
        <v>3</v>
      </c>
    </row>
    <row r="170" spans="1:29" ht="14.15" x14ac:dyDescent="0.3">
      <c r="A170" s="36"/>
      <c r="B170" s="36"/>
      <c r="C170" s="36" t="s">
        <v>644</v>
      </c>
      <c r="D170" s="38" t="s">
        <v>645</v>
      </c>
      <c r="E170" s="37">
        <f>Source!BZ196</f>
        <v>90</v>
      </c>
      <c r="F170" s="40"/>
      <c r="G170" s="39"/>
      <c r="H170" s="37"/>
      <c r="I170" s="40">
        <f>SUM(Q159:Q169)</f>
        <v>837.69</v>
      </c>
      <c r="J170" s="37">
        <f>Source!AT196</f>
        <v>90</v>
      </c>
      <c r="K170" s="40">
        <f>SUM(R159:R169)</f>
        <v>46064.75</v>
      </c>
    </row>
    <row r="171" spans="1:29" ht="14.15" x14ac:dyDescent="0.3">
      <c r="A171" s="36"/>
      <c r="B171" s="36"/>
      <c r="C171" s="36" t="s">
        <v>646</v>
      </c>
      <c r="D171" s="38" t="s">
        <v>645</v>
      </c>
      <c r="E171" s="37">
        <f>Source!CA196</f>
        <v>46</v>
      </c>
      <c r="F171" s="40"/>
      <c r="G171" s="39"/>
      <c r="H171" s="37"/>
      <c r="I171" s="40">
        <f>SUM(S159:S170)</f>
        <v>428.15</v>
      </c>
      <c r="J171" s="37">
        <f>Source!AU196</f>
        <v>46</v>
      </c>
      <c r="K171" s="40">
        <f>SUM(T159:T170)</f>
        <v>23544.2</v>
      </c>
    </row>
    <row r="172" spans="1:29" ht="14.15" x14ac:dyDescent="0.3">
      <c r="A172" s="43"/>
      <c r="B172" s="43"/>
      <c r="C172" s="43" t="s">
        <v>647</v>
      </c>
      <c r="D172" s="44" t="s">
        <v>648</v>
      </c>
      <c r="E172" s="45">
        <f>Source!AQ195</f>
        <v>2.1</v>
      </c>
      <c r="F172" s="46"/>
      <c r="G172" s="47" t="s">
        <v>29</v>
      </c>
      <c r="H172" s="45">
        <f>Source!AV196</f>
        <v>1.0469999999999999</v>
      </c>
      <c r="I172" s="46">
        <f>Source!U195</f>
        <v>79.812810000000013</v>
      </c>
      <c r="J172" s="45"/>
      <c r="K172" s="46"/>
    </row>
    <row r="173" spans="1:29" ht="14.15" x14ac:dyDescent="0.3">
      <c r="C173" s="48" t="s">
        <v>649</v>
      </c>
      <c r="H173" s="49">
        <f>I161+I162+I170+I171+SUM(I164:I169)-SUMIF(AC164:AC169, 5, I164:I169)-SUMIF(AC164:AC169, 6, I164:I169)</f>
        <v>16297.03</v>
      </c>
      <c r="I173" s="49"/>
      <c r="J173" s="49">
        <f>K161+K162+K170+K171+SUM(K164:K169)-SUMIF(AC164:AC169, 5, K164:K169)-SUMIF(AC164:AC169, 6, K164:K169)</f>
        <v>260317.87000000002</v>
      </c>
      <c r="K173" s="49"/>
    </row>
    <row r="174" spans="1:29" ht="14.15" hidden="1" x14ac:dyDescent="0.3">
      <c r="C174" s="48" t="s">
        <v>650</v>
      </c>
      <c r="H174" s="51">
        <f>SUMIF(AC164:AC169, 5, I164:I169)+SUMIF(AC164:AC169, 6, I164:I169)</f>
        <v>0</v>
      </c>
      <c r="I174" s="51"/>
      <c r="J174" s="51">
        <f>SUMIF(AC164:AC169, 5, K164:K169)+SUMIF(AC164:AC169, 6, K164:K169)</f>
        <v>0</v>
      </c>
      <c r="K174" s="51"/>
    </row>
    <row r="175" spans="1:29" ht="14.15" x14ac:dyDescent="0.3">
      <c r="C175" s="48" t="s">
        <v>651</v>
      </c>
      <c r="H175" s="51">
        <f>I161+I162+I170+I171+SUM(I164:I169)</f>
        <v>16297.03</v>
      </c>
      <c r="I175" s="51"/>
      <c r="J175" s="51">
        <f>K161+K162+K170+K171+SUM(K164:K169)</f>
        <v>260317.87000000002</v>
      </c>
      <c r="K175" s="51"/>
      <c r="O175" s="52">
        <f>I161+I162+I170+I171+SUM(I164:I169)</f>
        <v>16297.03</v>
      </c>
      <c r="P175" s="52">
        <f>K161+K162+K170+K171+SUM(K164:K169)</f>
        <v>260317.87000000002</v>
      </c>
    </row>
    <row r="177" spans="1:29" ht="78.45" x14ac:dyDescent="0.3">
      <c r="A177" s="36">
        <v>10</v>
      </c>
      <c r="B177" s="36" t="s">
        <v>652</v>
      </c>
      <c r="C177" s="36" t="s">
        <v>45</v>
      </c>
      <c r="D177" s="38" t="str">
        <f>Source!H209</f>
        <v>1  ШТ.</v>
      </c>
      <c r="E177" s="37">
        <f>Source!I209</f>
        <v>8</v>
      </c>
      <c r="F177" s="40"/>
      <c r="G177" s="39"/>
      <c r="H177" s="37"/>
      <c r="I177" s="40"/>
      <c r="J177" s="37"/>
      <c r="K177" s="40"/>
      <c r="Q177">
        <f>Source!X209</f>
        <v>97.27</v>
      </c>
      <c r="R177">
        <f>Source!X210</f>
        <v>5348.99</v>
      </c>
      <c r="S177">
        <f>Source!Y209</f>
        <v>49.72</v>
      </c>
      <c r="T177">
        <f>Source!Y210</f>
        <v>2733.93</v>
      </c>
      <c r="U177">
        <f>ROUND((175/100)*ROUND(Source!R209, 2), 2)</f>
        <v>1.3</v>
      </c>
      <c r="V177">
        <f>ROUND((0/100)*ROUND(Source!R210, 2), 2)</f>
        <v>0</v>
      </c>
      <c r="AC177">
        <v>0</v>
      </c>
    </row>
    <row r="178" spans="1:29" ht="14.15" x14ac:dyDescent="0.3">
      <c r="A178" s="36"/>
      <c r="B178" s="36"/>
      <c r="C178" s="36" t="s">
        <v>637</v>
      </c>
      <c r="D178" s="38"/>
      <c r="E178" s="37"/>
      <c r="F178" s="40">
        <f>Source!AO209</f>
        <v>11.65</v>
      </c>
      <c r="G178" s="39" t="s">
        <v>29</v>
      </c>
      <c r="H178" s="37">
        <f>Source!AV210</f>
        <v>1.0469999999999999</v>
      </c>
      <c r="I178" s="40">
        <f>Source!S209</f>
        <v>107.34</v>
      </c>
      <c r="J178" s="37">
        <f>IF(Source!BA210&lt;&gt; 0, Source!BA210, 1)</f>
        <v>54.99</v>
      </c>
      <c r="K178" s="40">
        <f>Source!S210</f>
        <v>5902.63</v>
      </c>
    </row>
    <row r="179" spans="1:29" ht="14.15" x14ac:dyDescent="0.3">
      <c r="A179" s="36"/>
      <c r="B179" s="36"/>
      <c r="C179" s="36" t="s">
        <v>638</v>
      </c>
      <c r="D179" s="38"/>
      <c r="E179" s="37"/>
      <c r="F179" s="40">
        <f>Source!AM209</f>
        <v>0.5</v>
      </c>
      <c r="G179" s="39" t="s">
        <v>29</v>
      </c>
      <c r="H179" s="37">
        <f>Source!AV210</f>
        <v>1.0469999999999999</v>
      </c>
      <c r="I179" s="40">
        <f>Source!Q209</f>
        <v>4.6100000000000003</v>
      </c>
      <c r="J179" s="37">
        <f>IF(Source!BB210&lt;&gt; 0, Source!BB210, 1)</f>
        <v>16.260000000000002</v>
      </c>
      <c r="K179" s="40">
        <f>Source!Q210</f>
        <v>74.959999999999994</v>
      </c>
    </row>
    <row r="180" spans="1:29" ht="14.15" x14ac:dyDescent="0.3">
      <c r="A180" s="36"/>
      <c r="B180" s="36"/>
      <c r="C180" s="36" t="s">
        <v>639</v>
      </c>
      <c r="D180" s="38"/>
      <c r="E180" s="37"/>
      <c r="F180" s="40">
        <f>Source!AN209</f>
        <v>0.08</v>
      </c>
      <c r="G180" s="39" t="s">
        <v>29</v>
      </c>
      <c r="H180" s="37">
        <f>Source!AV210</f>
        <v>1.0469999999999999</v>
      </c>
      <c r="I180" s="41">
        <f>Source!R209</f>
        <v>0.74</v>
      </c>
      <c r="J180" s="37">
        <f>IF(Source!BS210&lt;&gt; 0, Source!BS210, 1)</f>
        <v>54.99</v>
      </c>
      <c r="K180" s="41">
        <f>Source!R210</f>
        <v>40.69</v>
      </c>
    </row>
    <row r="181" spans="1:29" ht="27" x14ac:dyDescent="0.3">
      <c r="A181" s="36" t="s">
        <v>216</v>
      </c>
      <c r="B181" s="36" t="str">
        <f>Source!F211</f>
        <v>КА 20</v>
      </c>
      <c r="C181" s="36" t="s">
        <v>677</v>
      </c>
      <c r="D181" s="38" t="str">
        <f>Source!H211</f>
        <v>шт.</v>
      </c>
      <c r="E181" s="37">
        <f>Source!I211</f>
        <v>8</v>
      </c>
      <c r="F181" s="40">
        <f>Source!AK211</f>
        <v>381.55</v>
      </c>
      <c r="G181" s="42" t="s">
        <v>3</v>
      </c>
      <c r="H181" s="37">
        <f>Source!AW212</f>
        <v>1</v>
      </c>
      <c r="I181" s="40">
        <f>Source!O211</f>
        <v>3052.4</v>
      </c>
      <c r="J181" s="37">
        <f>IF(Source!BC212&lt;&gt; 0, Source!BC212, 1)</f>
        <v>9.8800000000000008</v>
      </c>
      <c r="K181" s="40">
        <f>Source!O212</f>
        <v>30157.71</v>
      </c>
      <c r="Q181">
        <f>Source!X211</f>
        <v>0</v>
      </c>
      <c r="R181">
        <f>Source!X212</f>
        <v>0</v>
      </c>
      <c r="S181">
        <f>Source!Y211</f>
        <v>0</v>
      </c>
      <c r="T181">
        <f>Source!Y212</f>
        <v>0</v>
      </c>
      <c r="U181">
        <f>ROUND((175/100)*ROUND(Source!R211, 2), 2)</f>
        <v>0</v>
      </c>
      <c r="V181">
        <f>ROUND((0/100)*ROUND(Source!R212, 2), 2)</f>
        <v>0</v>
      </c>
      <c r="AC181">
        <v>3</v>
      </c>
    </row>
    <row r="182" spans="1:29" ht="14.15" x14ac:dyDescent="0.3">
      <c r="A182" s="36"/>
      <c r="B182" s="36"/>
      <c r="C182" s="36" t="s">
        <v>644</v>
      </c>
      <c r="D182" s="38" t="s">
        <v>645</v>
      </c>
      <c r="E182" s="37">
        <f>Source!BZ210</f>
        <v>90</v>
      </c>
      <c r="F182" s="40"/>
      <c r="G182" s="39"/>
      <c r="H182" s="37"/>
      <c r="I182" s="40">
        <f>SUM(Q177:Q181)</f>
        <v>97.27</v>
      </c>
      <c r="J182" s="37">
        <f>Source!AT210</f>
        <v>90</v>
      </c>
      <c r="K182" s="40">
        <f>SUM(R177:R181)</f>
        <v>5348.99</v>
      </c>
    </row>
    <row r="183" spans="1:29" ht="14.15" x14ac:dyDescent="0.3">
      <c r="A183" s="36"/>
      <c r="B183" s="36"/>
      <c r="C183" s="36" t="s">
        <v>646</v>
      </c>
      <c r="D183" s="38" t="s">
        <v>645</v>
      </c>
      <c r="E183" s="37">
        <f>Source!CA210</f>
        <v>46</v>
      </c>
      <c r="F183" s="40"/>
      <c r="G183" s="39"/>
      <c r="H183" s="37"/>
      <c r="I183" s="40">
        <f>SUM(S177:S182)</f>
        <v>49.72</v>
      </c>
      <c r="J183" s="37">
        <f>Source!AU210</f>
        <v>46</v>
      </c>
      <c r="K183" s="40">
        <f>SUM(T177:T182)</f>
        <v>2733.93</v>
      </c>
    </row>
    <row r="184" spans="1:29" ht="14.15" x14ac:dyDescent="0.3">
      <c r="A184" s="43"/>
      <c r="B184" s="43"/>
      <c r="C184" s="43" t="s">
        <v>647</v>
      </c>
      <c r="D184" s="44" t="s">
        <v>648</v>
      </c>
      <c r="E184" s="45">
        <f>Source!AQ209</f>
        <v>1.03</v>
      </c>
      <c r="F184" s="46"/>
      <c r="G184" s="47" t="s">
        <v>29</v>
      </c>
      <c r="H184" s="45">
        <f>Source!AV210</f>
        <v>1.0469999999999999</v>
      </c>
      <c r="I184" s="46">
        <f>Source!U209</f>
        <v>9.4900080000000013</v>
      </c>
      <c r="J184" s="45"/>
      <c r="K184" s="46"/>
    </row>
    <row r="185" spans="1:29" ht="14.15" x14ac:dyDescent="0.3">
      <c r="C185" s="48" t="s">
        <v>649</v>
      </c>
      <c r="H185" s="49">
        <f>I178+I179+I182+I183+SUM(I181:I181)-SUMIF(AC181:AC181, 5, I181:I181)-SUMIF(AC181:AC181, 6, I181:I181)</f>
        <v>3311.34</v>
      </c>
      <c r="I185" s="49"/>
      <c r="J185" s="49">
        <f>K178+K179+K182+K183+SUM(K181:K181)-SUMIF(AC181:AC181, 5, K181:K181)-SUMIF(AC181:AC181, 6, K181:K181)</f>
        <v>44218.22</v>
      </c>
      <c r="K185" s="49"/>
    </row>
    <row r="186" spans="1:29" ht="14.15" hidden="1" x14ac:dyDescent="0.3">
      <c r="C186" s="48" t="s">
        <v>650</v>
      </c>
      <c r="H186" s="51">
        <f>SUMIF(AC181:AC181, 5, I181:I181)+SUMIF(AC181:AC181, 6, I181:I181)</f>
        <v>0</v>
      </c>
      <c r="I186" s="51"/>
      <c r="J186" s="51">
        <f>SUMIF(AC181:AC181, 5, K181:K181)+SUMIF(AC181:AC181, 6, K181:K181)</f>
        <v>0</v>
      </c>
      <c r="K186" s="51"/>
    </row>
    <row r="187" spans="1:29" ht="14.15" x14ac:dyDescent="0.3">
      <c r="C187" s="48" t="s">
        <v>651</v>
      </c>
      <c r="H187" s="51">
        <f>I178+I179+I182+I183+SUM(I181:I181)</f>
        <v>3311.34</v>
      </c>
      <c r="I187" s="51"/>
      <c r="J187" s="51">
        <f>K178+K179+K182+K183+SUM(K181:K181)</f>
        <v>44218.22</v>
      </c>
      <c r="K187" s="51"/>
      <c r="O187" s="52">
        <f>I178+I179+I182+I183+SUM(I181:I181)</f>
        <v>3311.34</v>
      </c>
      <c r="P187" s="52">
        <f>K178+K179+K182+K183+SUM(K181:K181)</f>
        <v>44218.22</v>
      </c>
    </row>
    <row r="189" spans="1:29" ht="78.45" x14ac:dyDescent="0.3">
      <c r="A189" s="36">
        <v>11</v>
      </c>
      <c r="B189" s="36" t="s">
        <v>678</v>
      </c>
      <c r="C189" s="36" t="s">
        <v>222</v>
      </c>
      <c r="D189" s="38" t="str">
        <f>Source!H213</f>
        <v>100 шт.</v>
      </c>
      <c r="E189" s="37">
        <f>Source!I213</f>
        <v>3.65</v>
      </c>
      <c r="F189" s="40"/>
      <c r="G189" s="39"/>
      <c r="H189" s="37"/>
      <c r="I189" s="40"/>
      <c r="J189" s="37"/>
      <c r="K189" s="40"/>
      <c r="Q189">
        <f>Source!X213</f>
        <v>3574.13</v>
      </c>
      <c r="R189">
        <f>Source!X214</f>
        <v>196541.4</v>
      </c>
      <c r="S189">
        <f>Source!Y213</f>
        <v>1879.18</v>
      </c>
      <c r="T189">
        <f>Source!Y214</f>
        <v>103336.2</v>
      </c>
      <c r="U189">
        <f>ROUND((175/100)*ROUND(Source!R213, 2), 2)</f>
        <v>10.220000000000001</v>
      </c>
      <c r="V189">
        <f>ROUND((0/100)*ROUND(Source!R214, 2), 2)</f>
        <v>0</v>
      </c>
      <c r="AC189">
        <v>0</v>
      </c>
    </row>
    <row r="190" spans="1:29" x14ac:dyDescent="0.3">
      <c r="C190" s="53" t="str">
        <f>"Объем: "&amp;Source!I213&amp;"=(90+"&amp;"187+"&amp;"44+"&amp;"44)/"&amp;"100"</f>
        <v>Объем: 3,65=(90+187+44+44)/100</v>
      </c>
    </row>
    <row r="191" spans="1:29" ht="14.15" x14ac:dyDescent="0.3">
      <c r="A191" s="36"/>
      <c r="B191" s="36"/>
      <c r="C191" s="36" t="s">
        <v>637</v>
      </c>
      <c r="D191" s="38"/>
      <c r="E191" s="37"/>
      <c r="F191" s="40">
        <f>Source!AO213</f>
        <v>875.14</v>
      </c>
      <c r="G191" s="39" t="s">
        <v>29</v>
      </c>
      <c r="H191" s="37">
        <f>Source!AV214</f>
        <v>1.0469999999999999</v>
      </c>
      <c r="I191" s="40">
        <f>Source!S213</f>
        <v>3678.83</v>
      </c>
      <c r="J191" s="37">
        <f>IF(Source!BA214&lt;&gt; 0, Source!BA214, 1)</f>
        <v>54.99</v>
      </c>
      <c r="K191" s="40">
        <f>Source!S214</f>
        <v>202298.86</v>
      </c>
    </row>
    <row r="192" spans="1:29" ht="14.15" x14ac:dyDescent="0.3">
      <c r="A192" s="36"/>
      <c r="B192" s="36"/>
      <c r="C192" s="36" t="s">
        <v>638</v>
      </c>
      <c r="D192" s="38"/>
      <c r="E192" s="37"/>
      <c r="F192" s="40">
        <f>Source!AM213</f>
        <v>9.14</v>
      </c>
      <c r="G192" s="39" t="s">
        <v>29</v>
      </c>
      <c r="H192" s="37">
        <f>Source!AV214</f>
        <v>1.0469999999999999</v>
      </c>
      <c r="I192" s="40">
        <f>Source!Q213</f>
        <v>38.42</v>
      </c>
      <c r="J192" s="37">
        <f>IF(Source!BB214&lt;&gt; 0, Source!BB214, 1)</f>
        <v>16.3</v>
      </c>
      <c r="K192" s="40">
        <f>Source!Q214</f>
        <v>626.25</v>
      </c>
    </row>
    <row r="193" spans="1:29" ht="14.15" x14ac:dyDescent="0.3">
      <c r="A193" s="36"/>
      <c r="B193" s="36"/>
      <c r="C193" s="36" t="s">
        <v>639</v>
      </c>
      <c r="D193" s="38"/>
      <c r="E193" s="37"/>
      <c r="F193" s="40">
        <f>Source!AN213</f>
        <v>1.39</v>
      </c>
      <c r="G193" s="39" t="s">
        <v>29</v>
      </c>
      <c r="H193" s="37">
        <f>Source!AV214</f>
        <v>1.0469999999999999</v>
      </c>
      <c r="I193" s="41">
        <f>Source!R213</f>
        <v>5.84</v>
      </c>
      <c r="J193" s="37">
        <f>IF(Source!BS214&lt;&gt; 0, Source!BS214, 1)</f>
        <v>54.99</v>
      </c>
      <c r="K193" s="41">
        <f>Source!R214</f>
        <v>321.14</v>
      </c>
    </row>
    <row r="194" spans="1:29" ht="14.15" x14ac:dyDescent="0.3">
      <c r="A194" s="36"/>
      <c r="B194" s="36"/>
      <c r="C194" s="36" t="s">
        <v>640</v>
      </c>
      <c r="D194" s="38"/>
      <c r="E194" s="37"/>
      <c r="F194" s="40">
        <f>Source!AL213</f>
        <v>857</v>
      </c>
      <c r="G194" s="39"/>
      <c r="H194" s="37">
        <f>Source!AW214</f>
        <v>1</v>
      </c>
      <c r="I194" s="40">
        <f>Source!P213</f>
        <v>3128.05</v>
      </c>
      <c r="J194" s="37">
        <f>IF(Source!BC214&lt;&gt; 0, Source!BC214, 1)</f>
        <v>2.95</v>
      </c>
      <c r="K194" s="40">
        <f>Source!P214</f>
        <v>9227.75</v>
      </c>
    </row>
    <row r="195" spans="1:29" ht="28.3" x14ac:dyDescent="0.3">
      <c r="A195" s="36" t="s">
        <v>227</v>
      </c>
      <c r="B195" s="36" t="str">
        <f>Source!F215</f>
        <v>1.1-1-58</v>
      </c>
      <c r="C195" s="36" t="s">
        <v>164</v>
      </c>
      <c r="D195" s="38" t="str">
        <f>Source!H215</f>
        <v>т</v>
      </c>
      <c r="E195" s="37">
        <f>Source!I215</f>
        <v>5.4749999999999998E-3</v>
      </c>
      <c r="F195" s="40">
        <f>Source!AK215</f>
        <v>24609.759999999998</v>
      </c>
      <c r="G195" s="42" t="s">
        <v>3</v>
      </c>
      <c r="H195" s="37">
        <f>Source!AW216</f>
        <v>1</v>
      </c>
      <c r="I195" s="40">
        <f>Source!O215</f>
        <v>134.74</v>
      </c>
      <c r="J195" s="37">
        <f>IF(Source!BC216&lt;&gt; 0, Source!BC216, 1)</f>
        <v>5.15</v>
      </c>
      <c r="K195" s="40">
        <f>Source!O216</f>
        <v>693.91</v>
      </c>
      <c r="Q195">
        <f>Source!X215</f>
        <v>0</v>
      </c>
      <c r="R195">
        <f>Source!X216</f>
        <v>0</v>
      </c>
      <c r="S195">
        <f>Source!Y215</f>
        <v>0</v>
      </c>
      <c r="T195">
        <f>Source!Y216</f>
        <v>0</v>
      </c>
      <c r="U195">
        <f>ROUND((175/100)*ROUND(Source!R215, 2), 2)</f>
        <v>0</v>
      </c>
      <c r="V195">
        <f>ROUND((0/100)*ROUND(Source!R216, 2), 2)</f>
        <v>0</v>
      </c>
      <c r="AC195">
        <v>3</v>
      </c>
    </row>
    <row r="196" spans="1:29" ht="14.15" x14ac:dyDescent="0.3">
      <c r="A196" s="36" t="s">
        <v>228</v>
      </c>
      <c r="B196" s="36" t="str">
        <f>Source!F217</f>
        <v>1.21-5-1542</v>
      </c>
      <c r="C196" s="36" t="s">
        <v>230</v>
      </c>
      <c r="D196" s="38" t="str">
        <f>Source!H217</f>
        <v>100 шт.</v>
      </c>
      <c r="E196" s="37">
        <f>Source!I217</f>
        <v>3.7229999999999999</v>
      </c>
      <c r="F196" s="40">
        <f>Source!AK217</f>
        <v>21.2</v>
      </c>
      <c r="G196" s="42" t="s">
        <v>3</v>
      </c>
      <c r="H196" s="37">
        <f>Source!AW218</f>
        <v>1</v>
      </c>
      <c r="I196" s="40">
        <f>Source!O217</f>
        <v>78.930000000000007</v>
      </c>
      <c r="J196" s="37">
        <f>IF(Source!BC218&lt;&gt; 0, Source!BC218, 1)</f>
        <v>6.14</v>
      </c>
      <c r="K196" s="40">
        <f>Source!O218</f>
        <v>484.63</v>
      </c>
      <c r="Q196">
        <f>Source!X217</f>
        <v>0</v>
      </c>
      <c r="R196">
        <f>Source!X218</f>
        <v>0</v>
      </c>
      <c r="S196">
        <f>Source!Y217</f>
        <v>0</v>
      </c>
      <c r="T196">
        <f>Source!Y218</f>
        <v>0</v>
      </c>
      <c r="U196">
        <f>ROUND((175/100)*ROUND(Source!R217, 2), 2)</f>
        <v>0</v>
      </c>
      <c r="V196">
        <f>ROUND((0/100)*ROUND(Source!R218, 2), 2)</f>
        <v>0</v>
      </c>
      <c r="AC196">
        <v>3</v>
      </c>
    </row>
    <row r="197" spans="1:29" ht="42.45" x14ac:dyDescent="0.3">
      <c r="A197" s="36" t="s">
        <v>232</v>
      </c>
      <c r="B197" s="36" t="str">
        <f>Source!F219</f>
        <v>1.21-5-925</v>
      </c>
      <c r="C197" s="36" t="s">
        <v>234</v>
      </c>
      <c r="D197" s="38" t="str">
        <f>Source!H219</f>
        <v>шт.</v>
      </c>
      <c r="E197" s="37">
        <f>Source!I219</f>
        <v>90</v>
      </c>
      <c r="F197" s="40">
        <f>Source!AK219</f>
        <v>156.25</v>
      </c>
      <c r="G197" s="42" t="s">
        <v>3</v>
      </c>
      <c r="H197" s="37">
        <f>Source!AW220</f>
        <v>1</v>
      </c>
      <c r="I197" s="40">
        <f>Source!O219</f>
        <v>14062.5</v>
      </c>
      <c r="J197" s="37">
        <f>IF(Source!BC220&lt;&gt; 0, Source!BC220, 1)</f>
        <v>1.53</v>
      </c>
      <c r="K197" s="40">
        <f>Source!O220</f>
        <v>21515.63</v>
      </c>
      <c r="Q197">
        <f>Source!X219</f>
        <v>0</v>
      </c>
      <c r="R197">
        <f>Source!X220</f>
        <v>0</v>
      </c>
      <c r="S197">
        <f>Source!Y219</f>
        <v>0</v>
      </c>
      <c r="T197">
        <f>Source!Y220</f>
        <v>0</v>
      </c>
      <c r="U197">
        <f>ROUND((175/100)*ROUND(Source!R219, 2), 2)</f>
        <v>0</v>
      </c>
      <c r="V197">
        <f>ROUND((0/100)*ROUND(Source!R220, 2), 2)</f>
        <v>0</v>
      </c>
      <c r="AC197">
        <v>3</v>
      </c>
    </row>
    <row r="198" spans="1:29" ht="55.3" x14ac:dyDescent="0.3">
      <c r="A198" s="36" t="s">
        <v>236</v>
      </c>
      <c r="B198" s="36" t="str">
        <f>Source!F221</f>
        <v>КА 21</v>
      </c>
      <c r="C198" s="36" t="s">
        <v>679</v>
      </c>
      <c r="D198" s="38" t="str">
        <f>Source!H221</f>
        <v>шт.</v>
      </c>
      <c r="E198" s="37">
        <f>Source!I221</f>
        <v>187</v>
      </c>
      <c r="F198" s="40">
        <f>Source!AK221</f>
        <v>212.66</v>
      </c>
      <c r="G198" s="42" t="s">
        <v>3</v>
      </c>
      <c r="H198" s="37">
        <f>Source!AW222</f>
        <v>1</v>
      </c>
      <c r="I198" s="40">
        <f>Source!O221</f>
        <v>39767.42</v>
      </c>
      <c r="J198" s="37">
        <f>IF(Source!BC222&lt;&gt; 0, Source!BC222, 1)</f>
        <v>9.8800000000000008</v>
      </c>
      <c r="K198" s="40">
        <f>Source!O222</f>
        <v>392902.11</v>
      </c>
      <c r="Q198">
        <f>Source!X221</f>
        <v>0</v>
      </c>
      <c r="R198">
        <f>Source!X222</f>
        <v>0</v>
      </c>
      <c r="S198">
        <f>Source!Y221</f>
        <v>0</v>
      </c>
      <c r="T198">
        <f>Source!Y222</f>
        <v>0</v>
      </c>
      <c r="U198">
        <f>ROUND((175/100)*ROUND(Source!R221, 2), 2)</f>
        <v>0</v>
      </c>
      <c r="V198">
        <f>ROUND((0/100)*ROUND(Source!R222, 2), 2)</f>
        <v>0</v>
      </c>
      <c r="AC198">
        <v>3</v>
      </c>
    </row>
    <row r="199" spans="1:29" ht="42.45" x14ac:dyDescent="0.3">
      <c r="A199" s="36" t="s">
        <v>240</v>
      </c>
      <c r="B199" s="36" t="str">
        <f>Source!F223</f>
        <v>1.21-5-194</v>
      </c>
      <c r="C199" s="36" t="s">
        <v>242</v>
      </c>
      <c r="D199" s="38" t="str">
        <f>Source!H223</f>
        <v>шт.</v>
      </c>
      <c r="E199" s="37">
        <f>Source!I223</f>
        <v>0.99999999999999989</v>
      </c>
      <c r="F199" s="40">
        <f>Source!AK223</f>
        <v>15.67</v>
      </c>
      <c r="G199" s="42" t="s">
        <v>3</v>
      </c>
      <c r="H199" s="37">
        <f>Source!AW224</f>
        <v>1</v>
      </c>
      <c r="I199" s="40">
        <f>Source!O223</f>
        <v>15.67</v>
      </c>
      <c r="J199" s="37">
        <f>IF(Source!BC224&lt;&gt; 0, Source!BC224, 1)</f>
        <v>0.64</v>
      </c>
      <c r="K199" s="40">
        <f>Source!O224</f>
        <v>10.029999999999999</v>
      </c>
      <c r="Q199">
        <f>Source!X223</f>
        <v>0</v>
      </c>
      <c r="R199">
        <f>Source!X224</f>
        <v>0</v>
      </c>
      <c r="S199">
        <f>Source!Y223</f>
        <v>0</v>
      </c>
      <c r="T199">
        <f>Source!Y224</f>
        <v>0</v>
      </c>
      <c r="U199">
        <f>ROUND((175/100)*ROUND(Source!R223, 2), 2)</f>
        <v>0</v>
      </c>
      <c r="V199">
        <f>ROUND((0/100)*ROUND(Source!R224, 2), 2)</f>
        <v>0</v>
      </c>
      <c r="AC199">
        <v>3</v>
      </c>
    </row>
    <row r="200" spans="1:29" ht="27" x14ac:dyDescent="0.3">
      <c r="A200" s="36" t="s">
        <v>244</v>
      </c>
      <c r="B200" s="36" t="str">
        <f>Source!F225</f>
        <v>КА 22</v>
      </c>
      <c r="C200" s="36" t="s">
        <v>680</v>
      </c>
      <c r="D200" s="38" t="str">
        <f>Source!H225</f>
        <v>шт.</v>
      </c>
      <c r="E200" s="37">
        <f>Source!I225</f>
        <v>44</v>
      </c>
      <c r="F200" s="40">
        <f>Source!AK225</f>
        <v>51.53</v>
      </c>
      <c r="G200" s="42" t="s">
        <v>3</v>
      </c>
      <c r="H200" s="37">
        <f>Source!AW226</f>
        <v>1</v>
      </c>
      <c r="I200" s="40">
        <f>Source!O225</f>
        <v>2267.3200000000002</v>
      </c>
      <c r="J200" s="37">
        <f>IF(Source!BC226&lt;&gt; 0, Source!BC226, 1)</f>
        <v>9.8800000000000008</v>
      </c>
      <c r="K200" s="40">
        <f>Source!O226</f>
        <v>22401.119999999999</v>
      </c>
      <c r="Q200">
        <f>Source!X225</f>
        <v>0</v>
      </c>
      <c r="R200">
        <f>Source!X226</f>
        <v>0</v>
      </c>
      <c r="S200">
        <f>Source!Y225</f>
        <v>0</v>
      </c>
      <c r="T200">
        <f>Source!Y226</f>
        <v>0</v>
      </c>
      <c r="U200">
        <f>ROUND((175/100)*ROUND(Source!R225, 2), 2)</f>
        <v>0</v>
      </c>
      <c r="V200">
        <f>ROUND((0/100)*ROUND(Source!R226, 2), 2)</f>
        <v>0</v>
      </c>
      <c r="AC200">
        <v>3</v>
      </c>
    </row>
    <row r="201" spans="1:29" ht="41.15" x14ac:dyDescent="0.3">
      <c r="A201" s="36" t="s">
        <v>248</v>
      </c>
      <c r="B201" s="36" t="str">
        <f>Source!F227</f>
        <v>КА 23</v>
      </c>
      <c r="C201" s="36" t="s">
        <v>681</v>
      </c>
      <c r="D201" s="38" t="str">
        <f>Source!H227</f>
        <v>шт.</v>
      </c>
      <c r="E201" s="37">
        <f>Source!I227</f>
        <v>44</v>
      </c>
      <c r="F201" s="40">
        <f>Source!AK227</f>
        <v>212.66</v>
      </c>
      <c r="G201" s="42" t="s">
        <v>3</v>
      </c>
      <c r="H201" s="37">
        <f>Source!AW228</f>
        <v>1</v>
      </c>
      <c r="I201" s="40">
        <f>Source!O227</f>
        <v>9357.0400000000009</v>
      </c>
      <c r="J201" s="37">
        <f>IF(Source!BC228&lt;&gt; 0, Source!BC228, 1)</f>
        <v>9.8800000000000008</v>
      </c>
      <c r="K201" s="40">
        <f>Source!O228</f>
        <v>92447.56</v>
      </c>
      <c r="Q201">
        <f>Source!X227</f>
        <v>0</v>
      </c>
      <c r="R201">
        <f>Source!X228</f>
        <v>0</v>
      </c>
      <c r="S201">
        <f>Source!Y227</f>
        <v>0</v>
      </c>
      <c r="T201">
        <f>Source!Y228</f>
        <v>0</v>
      </c>
      <c r="U201">
        <f>ROUND((175/100)*ROUND(Source!R227, 2), 2)</f>
        <v>0</v>
      </c>
      <c r="V201">
        <f>ROUND((0/100)*ROUND(Source!R228, 2), 2)</f>
        <v>0</v>
      </c>
      <c r="AC201">
        <v>3</v>
      </c>
    </row>
    <row r="202" spans="1:29" ht="14.15" x14ac:dyDescent="0.3">
      <c r="A202" s="36"/>
      <c r="B202" s="36"/>
      <c r="C202" s="36" t="s">
        <v>644</v>
      </c>
      <c r="D202" s="38" t="s">
        <v>645</v>
      </c>
      <c r="E202" s="37">
        <f>Source!BZ214</f>
        <v>97</v>
      </c>
      <c r="F202" s="40"/>
      <c r="G202" s="39"/>
      <c r="H202" s="37"/>
      <c r="I202" s="40">
        <f>SUM(Q189:Q201)</f>
        <v>3574.13</v>
      </c>
      <c r="J202" s="37">
        <f>Source!AT214</f>
        <v>97</v>
      </c>
      <c r="K202" s="40">
        <f>SUM(R189:R201)</f>
        <v>196541.4</v>
      </c>
    </row>
    <row r="203" spans="1:29" ht="14.15" x14ac:dyDescent="0.3">
      <c r="A203" s="36"/>
      <c r="B203" s="36"/>
      <c r="C203" s="36" t="s">
        <v>646</v>
      </c>
      <c r="D203" s="38" t="s">
        <v>645</v>
      </c>
      <c r="E203" s="37">
        <f>Source!CA214</f>
        <v>51</v>
      </c>
      <c r="F203" s="40"/>
      <c r="G203" s="39"/>
      <c r="H203" s="37"/>
      <c r="I203" s="40">
        <f>SUM(S189:S202)</f>
        <v>1879.18</v>
      </c>
      <c r="J203" s="37">
        <f>Source!AU214</f>
        <v>51</v>
      </c>
      <c r="K203" s="40">
        <f>SUM(T189:T202)</f>
        <v>103336.2</v>
      </c>
    </row>
    <row r="204" spans="1:29" ht="14.15" x14ac:dyDescent="0.3">
      <c r="A204" s="43"/>
      <c r="B204" s="43"/>
      <c r="C204" s="43" t="s">
        <v>647</v>
      </c>
      <c r="D204" s="44" t="s">
        <v>648</v>
      </c>
      <c r="E204" s="45">
        <f>Source!AQ213</f>
        <v>67.37</v>
      </c>
      <c r="F204" s="46"/>
      <c r="G204" s="47" t="s">
        <v>29</v>
      </c>
      <c r="H204" s="45">
        <f>Source!AV214</f>
        <v>1.0469999999999999</v>
      </c>
      <c r="I204" s="46">
        <f>Source!U213</f>
        <v>283.20360585000003</v>
      </c>
      <c r="J204" s="45"/>
      <c r="K204" s="46"/>
    </row>
    <row r="205" spans="1:29" ht="14.15" x14ac:dyDescent="0.3">
      <c r="C205" s="48" t="s">
        <v>649</v>
      </c>
      <c r="H205" s="49">
        <f>I191+I192+I194+I202+I203+SUM(I195:I201)-SUMIF(AC195:AC201, 5, I195:I201)-SUMIF(AC195:AC201, 6, I195:I201)</f>
        <v>77982.23</v>
      </c>
      <c r="I205" s="49"/>
      <c r="J205" s="49">
        <f>K191+K192+K194+K202+K203+SUM(K195:K201)-SUMIF(AC195:AC201, 5, K195:K201)-SUMIF(AC195:AC201, 6, K195:K201)</f>
        <v>1042485.45</v>
      </c>
      <c r="K205" s="49"/>
    </row>
    <row r="206" spans="1:29" ht="14.15" hidden="1" x14ac:dyDescent="0.3">
      <c r="C206" s="48" t="s">
        <v>650</v>
      </c>
      <c r="H206" s="51">
        <f>SUMIF(AC195:AC201, 5, I195:I201)+SUMIF(AC195:AC201, 6, I195:I201)</f>
        <v>0</v>
      </c>
      <c r="I206" s="51"/>
      <c r="J206" s="51">
        <f>SUMIF(AC195:AC201, 5, K195:K201)+SUMIF(AC195:AC201, 6, K195:K201)</f>
        <v>0</v>
      </c>
      <c r="K206" s="51"/>
    </row>
    <row r="207" spans="1:29" ht="14.15" x14ac:dyDescent="0.3">
      <c r="C207" s="48" t="s">
        <v>651</v>
      </c>
      <c r="H207" s="51">
        <f>I191+I192+I194+I202+I203+SUM(I195:I201)</f>
        <v>77982.23</v>
      </c>
      <c r="I207" s="51"/>
      <c r="J207" s="51">
        <f>K191+K192+K194+K202+K203+SUM(K195:K201)</f>
        <v>1042485.45</v>
      </c>
      <c r="K207" s="51"/>
      <c r="O207" s="52">
        <f>I191+I192+I194+I202+I203+SUM(I195:I201)</f>
        <v>77982.23</v>
      </c>
      <c r="P207" s="52">
        <f>K191+K192+K194+K202+K203+SUM(K195:K201)</f>
        <v>1042485.45</v>
      </c>
    </row>
    <row r="209" spans="1:29" ht="78.45" x14ac:dyDescent="0.3">
      <c r="A209" s="36">
        <v>12</v>
      </c>
      <c r="B209" s="36" t="s">
        <v>682</v>
      </c>
      <c r="C209" s="36" t="s">
        <v>254</v>
      </c>
      <c r="D209" s="38" t="str">
        <f>Source!H229</f>
        <v>1  ШТ.</v>
      </c>
      <c r="E209" s="37">
        <f>Source!I229</f>
        <v>12</v>
      </c>
      <c r="F209" s="40"/>
      <c r="G209" s="39"/>
      <c r="H209" s="37"/>
      <c r="I209" s="40"/>
      <c r="J209" s="37"/>
      <c r="K209" s="40"/>
      <c r="Q209">
        <f>Source!X229</f>
        <v>3772.55</v>
      </c>
      <c r="R209">
        <f>Source!X230</f>
        <v>207452.42</v>
      </c>
      <c r="S209">
        <f>Source!Y229</f>
        <v>1928.19</v>
      </c>
      <c r="T209">
        <f>Source!Y230</f>
        <v>106031.24</v>
      </c>
      <c r="U209">
        <f>ROUND((175/100)*ROUND(Source!R229, 2), 2)</f>
        <v>305.22000000000003</v>
      </c>
      <c r="V209">
        <f>ROUND((0/100)*ROUND(Source!R230, 2), 2)</f>
        <v>0</v>
      </c>
      <c r="AC209">
        <v>0</v>
      </c>
    </row>
    <row r="210" spans="1:29" ht="14.15" x14ac:dyDescent="0.3">
      <c r="A210" s="36"/>
      <c r="B210" s="36"/>
      <c r="C210" s="36" t="s">
        <v>637</v>
      </c>
      <c r="D210" s="38"/>
      <c r="E210" s="37"/>
      <c r="F210" s="40">
        <f>Source!AO229</f>
        <v>290.68</v>
      </c>
      <c r="G210" s="39" t="s">
        <v>29</v>
      </c>
      <c r="H210" s="37">
        <f>Source!AV230</f>
        <v>1.0469999999999999</v>
      </c>
      <c r="I210" s="40">
        <f>Source!S229</f>
        <v>4017.31</v>
      </c>
      <c r="J210" s="37">
        <f>IF(Source!BA230&lt;&gt; 0, Source!BA230, 1)</f>
        <v>54.99</v>
      </c>
      <c r="K210" s="40">
        <f>Source!S230</f>
        <v>220911.88</v>
      </c>
    </row>
    <row r="211" spans="1:29" ht="14.15" x14ac:dyDescent="0.3">
      <c r="A211" s="36"/>
      <c r="B211" s="36"/>
      <c r="C211" s="36" t="s">
        <v>638</v>
      </c>
      <c r="D211" s="38"/>
      <c r="E211" s="37"/>
      <c r="F211" s="40">
        <f>Source!AM229</f>
        <v>115.52</v>
      </c>
      <c r="G211" s="39" t="s">
        <v>29</v>
      </c>
      <c r="H211" s="37">
        <f>Source!AV230</f>
        <v>1.0469999999999999</v>
      </c>
      <c r="I211" s="40">
        <f>Source!Q229</f>
        <v>1596.53</v>
      </c>
      <c r="J211" s="37">
        <f>IF(Source!BB230&lt;&gt; 0, Source!BB230, 1)</f>
        <v>15.42</v>
      </c>
      <c r="K211" s="40">
        <f>Source!Q230</f>
        <v>24618.49</v>
      </c>
    </row>
    <row r="212" spans="1:29" ht="14.15" x14ac:dyDescent="0.3">
      <c r="A212" s="36"/>
      <c r="B212" s="36"/>
      <c r="C212" s="36" t="s">
        <v>639</v>
      </c>
      <c r="D212" s="38"/>
      <c r="E212" s="37"/>
      <c r="F212" s="40">
        <f>Source!AN229</f>
        <v>12.62</v>
      </c>
      <c r="G212" s="39" t="s">
        <v>29</v>
      </c>
      <c r="H212" s="37">
        <f>Source!AV230</f>
        <v>1.0469999999999999</v>
      </c>
      <c r="I212" s="41">
        <f>Source!R229</f>
        <v>174.41</v>
      </c>
      <c r="J212" s="37">
        <f>IF(Source!BS230&lt;&gt; 0, Source!BS230, 1)</f>
        <v>54.99</v>
      </c>
      <c r="K212" s="41">
        <f>Source!R230</f>
        <v>9590.81</v>
      </c>
    </row>
    <row r="213" spans="1:29" ht="14.15" x14ac:dyDescent="0.3">
      <c r="A213" s="36"/>
      <c r="B213" s="36"/>
      <c r="C213" s="36" t="s">
        <v>640</v>
      </c>
      <c r="D213" s="38"/>
      <c r="E213" s="37"/>
      <c r="F213" s="40">
        <f>Source!AL229</f>
        <v>11.27</v>
      </c>
      <c r="G213" s="39"/>
      <c r="H213" s="37">
        <f>Source!AW230</f>
        <v>1</v>
      </c>
      <c r="I213" s="40">
        <f>Source!P229</f>
        <v>135.24</v>
      </c>
      <c r="J213" s="37">
        <f>IF(Source!BC230&lt;&gt; 0, Source!BC230, 1)</f>
        <v>4.09</v>
      </c>
      <c r="K213" s="40">
        <f>Source!P230</f>
        <v>553.13</v>
      </c>
    </row>
    <row r="214" spans="1:29" ht="68.150000000000006" x14ac:dyDescent="0.3">
      <c r="A214" s="54" t="s">
        <v>256</v>
      </c>
      <c r="B214" s="54" t="str">
        <f>Source!F231</f>
        <v>КА 25</v>
      </c>
      <c r="C214" s="54" t="s">
        <v>683</v>
      </c>
      <c r="D214" s="55" t="str">
        <f>Source!H231</f>
        <v>шт.</v>
      </c>
      <c r="E214" s="56">
        <f>Source!I231</f>
        <v>12</v>
      </c>
      <c r="F214" s="57">
        <f>Source!AK231</f>
        <v>20864.89</v>
      </c>
      <c r="G214" s="58" t="s">
        <v>3</v>
      </c>
      <c r="H214" s="56">
        <f>Source!AW232</f>
        <v>1</v>
      </c>
      <c r="I214" s="57">
        <f>Source!O231</f>
        <v>250378.68</v>
      </c>
      <c r="J214" s="56">
        <f>IF(Source!BC232&lt;&gt; 0, Source!BC232, 1)</f>
        <v>7.66</v>
      </c>
      <c r="K214" s="57">
        <f>Source!O232</f>
        <v>1917900.69</v>
      </c>
      <c r="Q214">
        <f>Source!X231</f>
        <v>0</v>
      </c>
      <c r="R214">
        <f>Source!X232</f>
        <v>0</v>
      </c>
      <c r="S214">
        <f>Source!Y231</f>
        <v>0</v>
      </c>
      <c r="T214">
        <f>Source!Y232</f>
        <v>0</v>
      </c>
      <c r="U214">
        <f>ROUND((175/100)*ROUND(Source!R231, 2), 2)</f>
        <v>0</v>
      </c>
      <c r="V214">
        <f>ROUND((0/100)*ROUND(Source!R232, 2), 2)</f>
        <v>0</v>
      </c>
      <c r="AC214">
        <v>5</v>
      </c>
    </row>
    <row r="215" spans="1:29" ht="14.15" x14ac:dyDescent="0.3">
      <c r="A215" s="36"/>
      <c r="B215" s="36"/>
      <c r="C215" s="36" t="s">
        <v>644</v>
      </c>
      <c r="D215" s="38" t="s">
        <v>645</v>
      </c>
      <c r="E215" s="37">
        <f>Source!BZ230</f>
        <v>90</v>
      </c>
      <c r="F215" s="40"/>
      <c r="G215" s="39"/>
      <c r="H215" s="37"/>
      <c r="I215" s="40">
        <f>SUM(Q209:Q214)</f>
        <v>3772.55</v>
      </c>
      <c r="J215" s="37">
        <f>Source!AT230</f>
        <v>90</v>
      </c>
      <c r="K215" s="40">
        <f>SUM(R209:R214)</f>
        <v>207452.42</v>
      </c>
    </row>
    <row r="216" spans="1:29" ht="14.15" x14ac:dyDescent="0.3">
      <c r="A216" s="36"/>
      <c r="B216" s="36"/>
      <c r="C216" s="36" t="s">
        <v>646</v>
      </c>
      <c r="D216" s="38" t="s">
        <v>645</v>
      </c>
      <c r="E216" s="37">
        <f>Source!CA230</f>
        <v>46</v>
      </c>
      <c r="F216" s="40"/>
      <c r="G216" s="39"/>
      <c r="H216" s="37"/>
      <c r="I216" s="40">
        <f>SUM(S209:S215)</f>
        <v>1928.19</v>
      </c>
      <c r="J216" s="37">
        <f>Source!AU230</f>
        <v>46</v>
      </c>
      <c r="K216" s="40">
        <f>SUM(T209:T215)</f>
        <v>106031.24</v>
      </c>
    </row>
    <row r="217" spans="1:29" ht="14.15" x14ac:dyDescent="0.3">
      <c r="A217" s="43"/>
      <c r="B217" s="43"/>
      <c r="C217" s="43" t="s">
        <v>647</v>
      </c>
      <c r="D217" s="44" t="s">
        <v>648</v>
      </c>
      <c r="E217" s="45">
        <f>Source!AQ229</f>
        <v>26</v>
      </c>
      <c r="F217" s="46"/>
      <c r="G217" s="47" t="s">
        <v>29</v>
      </c>
      <c r="H217" s="45">
        <f>Source!AV230</f>
        <v>1.0469999999999999</v>
      </c>
      <c r="I217" s="46">
        <f>Source!U229</f>
        <v>359.3304</v>
      </c>
      <c r="J217" s="45"/>
      <c r="K217" s="46"/>
    </row>
    <row r="218" spans="1:29" ht="14.15" x14ac:dyDescent="0.3">
      <c r="C218" s="48" t="s">
        <v>649</v>
      </c>
      <c r="H218" s="49">
        <f>I210+I211+I213+I215+I216+SUM(I214:I214)-SUMIF(AC214:AC214, 5, I214:I214)-SUMIF(AC214:AC214, 6, I214:I214)</f>
        <v>11449.820000000007</v>
      </c>
      <c r="I218" s="49"/>
      <c r="J218" s="49">
        <f>K210+K211+K213+K215+K216+SUM(K214:K214)-SUMIF(AC214:AC214, 5, K214:K214)-SUMIF(AC214:AC214, 6, K214:K214)</f>
        <v>559567.16000000015</v>
      </c>
      <c r="K218" s="49"/>
    </row>
    <row r="219" spans="1:29" ht="14.15" x14ac:dyDescent="0.3">
      <c r="C219" s="48" t="s">
        <v>650</v>
      </c>
      <c r="H219" s="51">
        <f>SUMIF(AC214:AC214, 5, I214:I214)+SUMIF(AC214:AC214, 6, I214:I214)</f>
        <v>250378.68</v>
      </c>
      <c r="I219" s="51"/>
      <c r="J219" s="51">
        <f>SUMIF(AC214:AC214, 5, K214:K214)+SUMIF(AC214:AC214, 6, K214:K214)</f>
        <v>1917900.69</v>
      </c>
      <c r="K219" s="51"/>
    </row>
    <row r="220" spans="1:29" ht="14.15" x14ac:dyDescent="0.3">
      <c r="C220" s="48" t="s">
        <v>651</v>
      </c>
      <c r="H220" s="51">
        <f>I210+I211+I213+I215+I216+SUM(I214:I214)</f>
        <v>261828.5</v>
      </c>
      <c r="I220" s="51"/>
      <c r="J220" s="51">
        <f>K210+K211+K213+K215+K216+SUM(K214:K214)</f>
        <v>2477467.85</v>
      </c>
      <c r="K220" s="51"/>
      <c r="O220" s="52">
        <f>I210+I211+I213+I215+I216+SUM(I214:I214)</f>
        <v>261828.5</v>
      </c>
      <c r="P220" s="52">
        <f>K210+K211+K213+K215+K216+SUM(K214:K214)</f>
        <v>2477467.85</v>
      </c>
    </row>
    <row r="222" spans="1:29" ht="78.45" x14ac:dyDescent="0.3">
      <c r="A222" s="36">
        <v>13</v>
      </c>
      <c r="B222" s="36" t="s">
        <v>684</v>
      </c>
      <c r="C222" s="36" t="s">
        <v>262</v>
      </c>
      <c r="D222" s="38" t="str">
        <f>Source!H233</f>
        <v>100 номеров</v>
      </c>
      <c r="E222" s="37">
        <f>Source!I233</f>
        <v>0.5</v>
      </c>
      <c r="F222" s="40"/>
      <c r="G222" s="39"/>
      <c r="H222" s="37"/>
      <c r="I222" s="40"/>
      <c r="J222" s="37"/>
      <c r="K222" s="40"/>
      <c r="Q222">
        <f>Source!X233</f>
        <v>331.57</v>
      </c>
      <c r="R222">
        <f>Source!X234</f>
        <v>18232.98</v>
      </c>
      <c r="S222">
        <f>Source!Y233</f>
        <v>169.47</v>
      </c>
      <c r="T222">
        <f>Source!Y234</f>
        <v>9319.08</v>
      </c>
      <c r="U222">
        <f>ROUND((175/100)*ROUND(Source!R233, 2), 2)</f>
        <v>0</v>
      </c>
      <c r="V222">
        <f>ROUND((0/100)*ROUND(Source!R234, 2), 2)</f>
        <v>0</v>
      </c>
      <c r="AC222">
        <v>0</v>
      </c>
    </row>
    <row r="223" spans="1:29" x14ac:dyDescent="0.3">
      <c r="C223" s="53" t="str">
        <f>"Объем: "&amp;Source!I233&amp;"=50/"&amp;"100"</f>
        <v>Объем: 0,5=50/100</v>
      </c>
    </row>
    <row r="224" spans="1:29" ht="14.15" x14ac:dyDescent="0.3">
      <c r="A224" s="36"/>
      <c r="B224" s="36"/>
      <c r="C224" s="36" t="s">
        <v>637</v>
      </c>
      <c r="D224" s="38"/>
      <c r="E224" s="37"/>
      <c r="F224" s="40">
        <f>Source!AO233</f>
        <v>639.76</v>
      </c>
      <c r="G224" s="39" t="s">
        <v>29</v>
      </c>
      <c r="H224" s="37">
        <f>Source!AV234</f>
        <v>1.0469999999999999</v>
      </c>
      <c r="I224" s="40">
        <f>Source!S233</f>
        <v>368.41</v>
      </c>
      <c r="J224" s="37">
        <f>IF(Source!BA234&lt;&gt; 0, Source!BA234, 1)</f>
        <v>54.99</v>
      </c>
      <c r="K224" s="40">
        <f>Source!S234</f>
        <v>20258.87</v>
      </c>
    </row>
    <row r="225" spans="1:29" ht="68.150000000000006" x14ac:dyDescent="0.3">
      <c r="A225" s="54" t="s">
        <v>265</v>
      </c>
      <c r="B225" s="54" t="str">
        <f>Source!F235</f>
        <v>КА 26</v>
      </c>
      <c r="C225" s="54" t="s">
        <v>685</v>
      </c>
      <c r="D225" s="55" t="str">
        <f>Source!H235</f>
        <v>шт.</v>
      </c>
      <c r="E225" s="56">
        <f>Source!I235</f>
        <v>1</v>
      </c>
      <c r="F225" s="57">
        <f>Source!AK235</f>
        <v>8276.9700000000012</v>
      </c>
      <c r="G225" s="58" t="s">
        <v>3</v>
      </c>
      <c r="H225" s="56">
        <f>Source!AW236</f>
        <v>1</v>
      </c>
      <c r="I225" s="57">
        <f>Source!O235</f>
        <v>8276.9699999999993</v>
      </c>
      <c r="J225" s="56">
        <f>IF(Source!BC236&lt;&gt; 0, Source!BC236, 1)</f>
        <v>7.66</v>
      </c>
      <c r="K225" s="57">
        <f>Source!O236</f>
        <v>63401.59</v>
      </c>
      <c r="Q225">
        <f>Source!X235</f>
        <v>0</v>
      </c>
      <c r="R225">
        <f>Source!X236</f>
        <v>0</v>
      </c>
      <c r="S225">
        <f>Source!Y235</f>
        <v>0</v>
      </c>
      <c r="T225">
        <f>Source!Y236</f>
        <v>0</v>
      </c>
      <c r="U225">
        <f>ROUND((175/100)*ROUND(Source!R235, 2), 2)</f>
        <v>0</v>
      </c>
      <c r="V225">
        <f>ROUND((0/100)*ROUND(Source!R236, 2), 2)</f>
        <v>0</v>
      </c>
      <c r="AC225">
        <v>5</v>
      </c>
    </row>
    <row r="226" spans="1:29" ht="14.15" x14ac:dyDescent="0.3">
      <c r="A226" s="36"/>
      <c r="B226" s="36"/>
      <c r="C226" s="36" t="s">
        <v>644</v>
      </c>
      <c r="D226" s="38" t="s">
        <v>645</v>
      </c>
      <c r="E226" s="37">
        <f>Source!BZ234</f>
        <v>90</v>
      </c>
      <c r="F226" s="40"/>
      <c r="G226" s="39"/>
      <c r="H226" s="37"/>
      <c r="I226" s="40">
        <f>SUM(Q222:Q225)</f>
        <v>331.57</v>
      </c>
      <c r="J226" s="37">
        <f>Source!AT234</f>
        <v>90</v>
      </c>
      <c r="K226" s="40">
        <f>SUM(R222:R225)</f>
        <v>18232.98</v>
      </c>
    </row>
    <row r="227" spans="1:29" ht="14.15" x14ac:dyDescent="0.3">
      <c r="A227" s="36"/>
      <c r="B227" s="36"/>
      <c r="C227" s="36" t="s">
        <v>646</v>
      </c>
      <c r="D227" s="38" t="s">
        <v>645</v>
      </c>
      <c r="E227" s="37">
        <f>Source!CA234</f>
        <v>46</v>
      </c>
      <c r="F227" s="40"/>
      <c r="G227" s="39"/>
      <c r="H227" s="37"/>
      <c r="I227" s="40">
        <f>SUM(S222:S226)</f>
        <v>169.47</v>
      </c>
      <c r="J227" s="37">
        <f>Source!AU234</f>
        <v>46</v>
      </c>
      <c r="K227" s="40">
        <f>SUM(T222:T226)</f>
        <v>9319.08</v>
      </c>
    </row>
    <row r="228" spans="1:29" ht="14.15" x14ac:dyDescent="0.3">
      <c r="A228" s="43"/>
      <c r="B228" s="43"/>
      <c r="C228" s="43" t="s">
        <v>647</v>
      </c>
      <c r="D228" s="44" t="s">
        <v>648</v>
      </c>
      <c r="E228" s="45">
        <f>Source!AQ233</f>
        <v>44</v>
      </c>
      <c r="F228" s="46"/>
      <c r="G228" s="47" t="s">
        <v>29</v>
      </c>
      <c r="H228" s="45">
        <f>Source!AV234</f>
        <v>1.0469999999999999</v>
      </c>
      <c r="I228" s="46">
        <f>Source!U233</f>
        <v>25.337400000000002</v>
      </c>
      <c r="J228" s="45"/>
      <c r="K228" s="46"/>
    </row>
    <row r="229" spans="1:29" ht="14.15" x14ac:dyDescent="0.3">
      <c r="C229" s="48" t="s">
        <v>649</v>
      </c>
      <c r="H229" s="49">
        <f>I224+I226+I227+SUM(I225:I225)-SUMIF(AC225:AC225, 5, I225:I225)-SUMIF(AC225:AC225, 6, I225:I225)</f>
        <v>869.45000000000073</v>
      </c>
      <c r="I229" s="49"/>
      <c r="J229" s="49">
        <f>K224+K226+K227+SUM(K225:K225)-SUMIF(AC225:AC225, 5, K225:K225)-SUMIF(AC225:AC225, 6, K225:K225)</f>
        <v>47810.929999999993</v>
      </c>
      <c r="K229" s="49"/>
    </row>
    <row r="230" spans="1:29" ht="14.15" x14ac:dyDescent="0.3">
      <c r="C230" s="48" t="s">
        <v>650</v>
      </c>
      <c r="H230" s="51">
        <f>SUMIF(AC225:AC225, 5, I225:I225)+SUMIF(AC225:AC225, 6, I225:I225)</f>
        <v>8276.9699999999993</v>
      </c>
      <c r="I230" s="51"/>
      <c r="J230" s="51">
        <f>SUMIF(AC225:AC225, 5, K225:K225)+SUMIF(AC225:AC225, 6, K225:K225)</f>
        <v>63401.59</v>
      </c>
      <c r="K230" s="51"/>
    </row>
    <row r="231" spans="1:29" ht="14.15" x14ac:dyDescent="0.3">
      <c r="C231" s="48" t="s">
        <v>651</v>
      </c>
      <c r="H231" s="51">
        <f>I224+I226+I227+SUM(I225:I225)</f>
        <v>9146.42</v>
      </c>
      <c r="I231" s="51"/>
      <c r="J231" s="51">
        <f>K224+K226+K227+SUM(K225:K225)</f>
        <v>111212.51999999999</v>
      </c>
      <c r="K231" s="51"/>
      <c r="O231" s="52">
        <f>I224+I226+I227+SUM(I225:I225)</f>
        <v>9146.42</v>
      </c>
      <c r="P231" s="52">
        <f>K224+K226+K227+SUM(K225:K225)</f>
        <v>111212.51999999999</v>
      </c>
    </row>
    <row r="233" spans="1:29" ht="78.45" x14ac:dyDescent="0.3">
      <c r="A233" s="36">
        <v>14</v>
      </c>
      <c r="B233" s="36" t="s">
        <v>686</v>
      </c>
      <c r="C233" s="36" t="s">
        <v>271</v>
      </c>
      <c r="D233" s="38" t="str">
        <f>Source!H237</f>
        <v>1  ШТ.</v>
      </c>
      <c r="E233" s="37">
        <f>Source!I237</f>
        <v>21</v>
      </c>
      <c r="F233" s="40"/>
      <c r="G233" s="39"/>
      <c r="H233" s="37"/>
      <c r="I233" s="40"/>
      <c r="J233" s="37"/>
      <c r="K233" s="40"/>
      <c r="Q233">
        <f>Source!X237</f>
        <v>197.87</v>
      </c>
      <c r="R233">
        <f>Source!X238</f>
        <v>10880.6</v>
      </c>
      <c r="S233">
        <f>Source!Y237</f>
        <v>101.13</v>
      </c>
      <c r="T233">
        <f>Source!Y238</f>
        <v>5561.19</v>
      </c>
      <c r="U233">
        <f>ROUND((175/100)*ROUND(Source!R237, 2), 2)</f>
        <v>0</v>
      </c>
      <c r="V233">
        <f>ROUND((0/100)*ROUND(Source!R238, 2), 2)</f>
        <v>0</v>
      </c>
      <c r="AC233">
        <v>0</v>
      </c>
    </row>
    <row r="234" spans="1:29" ht="14.15" x14ac:dyDescent="0.3">
      <c r="A234" s="36"/>
      <c r="B234" s="36"/>
      <c r="C234" s="36" t="s">
        <v>637</v>
      </c>
      <c r="D234" s="38"/>
      <c r="E234" s="37"/>
      <c r="F234" s="40">
        <f>Source!AO237</f>
        <v>9.09</v>
      </c>
      <c r="G234" s="39" t="s">
        <v>29</v>
      </c>
      <c r="H234" s="37">
        <f>Source!AV238</f>
        <v>1.0469999999999999</v>
      </c>
      <c r="I234" s="40">
        <f>Source!S237</f>
        <v>219.85</v>
      </c>
      <c r="J234" s="37">
        <f>IF(Source!BA238&lt;&gt; 0, Source!BA238, 1)</f>
        <v>54.99</v>
      </c>
      <c r="K234" s="40">
        <f>Source!S238</f>
        <v>12089.55</v>
      </c>
    </row>
    <row r="235" spans="1:29" ht="14.15" x14ac:dyDescent="0.3">
      <c r="A235" s="36"/>
      <c r="B235" s="36"/>
      <c r="C235" s="36" t="s">
        <v>640</v>
      </c>
      <c r="D235" s="38"/>
      <c r="E235" s="37"/>
      <c r="F235" s="40">
        <f>Source!AL237</f>
        <v>22.6</v>
      </c>
      <c r="G235" s="39"/>
      <c r="H235" s="37">
        <f>Source!AW238</f>
        <v>1</v>
      </c>
      <c r="I235" s="40">
        <f>Source!P237</f>
        <v>474.6</v>
      </c>
      <c r="J235" s="37">
        <f>IF(Source!BC238&lt;&gt; 0, Source!BC238, 1)</f>
        <v>4.53</v>
      </c>
      <c r="K235" s="40">
        <f>Source!P238</f>
        <v>2149.94</v>
      </c>
    </row>
    <row r="236" spans="1:29" ht="54" x14ac:dyDescent="0.3">
      <c r="A236" s="54" t="s">
        <v>273</v>
      </c>
      <c r="B236" s="54" t="str">
        <f>Source!F239</f>
        <v>КА 27</v>
      </c>
      <c r="C236" s="54" t="s">
        <v>687</v>
      </c>
      <c r="D236" s="55" t="str">
        <f>Source!H239</f>
        <v>шт.</v>
      </c>
      <c r="E236" s="56">
        <f>Source!I239</f>
        <v>21</v>
      </c>
      <c r="F236" s="57">
        <f>Source!AK239</f>
        <v>1760.5200000000002</v>
      </c>
      <c r="G236" s="58" t="s">
        <v>3</v>
      </c>
      <c r="H236" s="56">
        <f>Source!AW240</f>
        <v>1</v>
      </c>
      <c r="I236" s="57">
        <f>Source!O239</f>
        <v>36970.92</v>
      </c>
      <c r="J236" s="56">
        <f>IF(Source!BC240&lt;&gt; 0, Source!BC240, 1)</f>
        <v>7.66</v>
      </c>
      <c r="K236" s="57">
        <f>Source!O240</f>
        <v>283197.25</v>
      </c>
      <c r="Q236">
        <f>Source!X239</f>
        <v>0</v>
      </c>
      <c r="R236">
        <f>Source!X240</f>
        <v>0</v>
      </c>
      <c r="S236">
        <f>Source!Y239</f>
        <v>0</v>
      </c>
      <c r="T236">
        <f>Source!Y240</f>
        <v>0</v>
      </c>
      <c r="U236">
        <f>ROUND((175/100)*ROUND(Source!R239, 2), 2)</f>
        <v>0</v>
      </c>
      <c r="V236">
        <f>ROUND((0/100)*ROUND(Source!R240, 2), 2)</f>
        <v>0</v>
      </c>
      <c r="AC236">
        <v>5</v>
      </c>
    </row>
    <row r="237" spans="1:29" ht="14.15" x14ac:dyDescent="0.3">
      <c r="A237" s="36"/>
      <c r="B237" s="36"/>
      <c r="C237" s="36" t="s">
        <v>644</v>
      </c>
      <c r="D237" s="38" t="s">
        <v>645</v>
      </c>
      <c r="E237" s="37">
        <f>Source!BZ238</f>
        <v>90</v>
      </c>
      <c r="F237" s="40"/>
      <c r="G237" s="39"/>
      <c r="H237" s="37"/>
      <c r="I237" s="40">
        <f>SUM(Q233:Q236)</f>
        <v>197.87</v>
      </c>
      <c r="J237" s="37">
        <f>Source!AT238</f>
        <v>90</v>
      </c>
      <c r="K237" s="40">
        <f>SUM(R233:R236)</f>
        <v>10880.6</v>
      </c>
    </row>
    <row r="238" spans="1:29" ht="14.15" x14ac:dyDescent="0.3">
      <c r="A238" s="36"/>
      <c r="B238" s="36"/>
      <c r="C238" s="36" t="s">
        <v>646</v>
      </c>
      <c r="D238" s="38" t="s">
        <v>645</v>
      </c>
      <c r="E238" s="37">
        <f>Source!CA238</f>
        <v>46</v>
      </c>
      <c r="F238" s="40"/>
      <c r="G238" s="39"/>
      <c r="H238" s="37"/>
      <c r="I238" s="40">
        <f>SUM(S233:S237)</f>
        <v>101.13</v>
      </c>
      <c r="J238" s="37">
        <f>Source!AU238</f>
        <v>46</v>
      </c>
      <c r="K238" s="40">
        <f>SUM(T233:T237)</f>
        <v>5561.19</v>
      </c>
    </row>
    <row r="239" spans="1:29" ht="14.15" x14ac:dyDescent="0.3">
      <c r="A239" s="43"/>
      <c r="B239" s="43"/>
      <c r="C239" s="43" t="s">
        <v>647</v>
      </c>
      <c r="D239" s="44" t="s">
        <v>648</v>
      </c>
      <c r="E239" s="45">
        <f>Source!AQ237</f>
        <v>0.72</v>
      </c>
      <c r="F239" s="46"/>
      <c r="G239" s="47" t="s">
        <v>29</v>
      </c>
      <c r="H239" s="45">
        <f>Source!AV238</f>
        <v>1.0469999999999999</v>
      </c>
      <c r="I239" s="46">
        <f>Source!U237</f>
        <v>17.413703999999999</v>
      </c>
      <c r="J239" s="45"/>
      <c r="K239" s="46"/>
    </row>
    <row r="240" spans="1:29" ht="14.15" x14ac:dyDescent="0.3">
      <c r="C240" s="48" t="s">
        <v>649</v>
      </c>
      <c r="H240" s="49">
        <f>I234+I235+I237+I238+SUM(I236:I236)-SUMIF(AC236:AC236, 5, I236:I236)-SUMIF(AC236:AC236, 6, I236:I236)</f>
        <v>993.44999999999709</v>
      </c>
      <c r="I240" s="49"/>
      <c r="J240" s="49">
        <f>K234+K235+K237+K238+SUM(K236:K236)-SUMIF(AC236:AC236, 5, K236:K236)-SUMIF(AC236:AC236, 6, K236:K236)</f>
        <v>30681.280000000028</v>
      </c>
      <c r="K240" s="49"/>
    </row>
    <row r="241" spans="1:29" ht="14.15" x14ac:dyDescent="0.3">
      <c r="C241" s="48" t="s">
        <v>650</v>
      </c>
      <c r="H241" s="51">
        <f>SUMIF(AC236:AC236, 5, I236:I236)+SUMIF(AC236:AC236, 6, I236:I236)</f>
        <v>36970.92</v>
      </c>
      <c r="I241" s="51"/>
      <c r="J241" s="51">
        <f>SUMIF(AC236:AC236, 5, K236:K236)+SUMIF(AC236:AC236, 6, K236:K236)</f>
        <v>283197.25</v>
      </c>
      <c r="K241" s="51"/>
    </row>
    <row r="242" spans="1:29" ht="14.15" x14ac:dyDescent="0.3">
      <c r="C242" s="48" t="s">
        <v>651</v>
      </c>
      <c r="H242" s="51">
        <f>I234+I235+I237+I238+SUM(I236:I236)</f>
        <v>37964.369999999995</v>
      </c>
      <c r="I242" s="51"/>
      <c r="J242" s="51">
        <f>K234+K235+K237+K238+SUM(K236:K236)</f>
        <v>313878.53000000003</v>
      </c>
      <c r="K242" s="51"/>
      <c r="O242" s="52">
        <f>I234+I235+I237+I238+SUM(I236:I236)</f>
        <v>37964.369999999995</v>
      </c>
      <c r="P242" s="52">
        <f>K234+K235+K237+K238+SUM(K236:K236)</f>
        <v>313878.53000000003</v>
      </c>
    </row>
    <row r="245" spans="1:29" ht="14.15" x14ac:dyDescent="0.35">
      <c r="A245" s="60" t="str">
        <f>CONCATENATE("Итого по разделу: ",IF(Source!G242&lt;&gt;"Новый раздел", Source!G242, ""))</f>
        <v>Итого по разделу: Материалы</v>
      </c>
      <c r="B245" s="60"/>
      <c r="C245" s="60"/>
      <c r="D245" s="60"/>
      <c r="E245" s="60"/>
      <c r="F245" s="60"/>
      <c r="G245" s="60"/>
      <c r="H245" s="51">
        <f>SUM(O158:O244)</f>
        <v>406529.88999999996</v>
      </c>
      <c r="I245" s="50"/>
      <c r="J245" s="51">
        <f>SUM(P158:P244)</f>
        <v>4249580.4400000004</v>
      </c>
      <c r="K245" s="50"/>
    </row>
    <row r="246" spans="1:29" hidden="1" x14ac:dyDescent="0.3">
      <c r="A246" t="s">
        <v>659</v>
      </c>
      <c r="I246">
        <f>SUM(W158:W245)</f>
        <v>0</v>
      </c>
      <c r="J246">
        <f>SUM(X158:X245)</f>
        <v>0</v>
      </c>
    </row>
    <row r="247" spans="1:29" hidden="1" x14ac:dyDescent="0.3">
      <c r="A247" t="s">
        <v>660</v>
      </c>
      <c r="I247">
        <f>SUM(Y158:Y246)</f>
        <v>0</v>
      </c>
      <c r="J247">
        <f>SUM(Z158:Z246)</f>
        <v>0</v>
      </c>
    </row>
    <row r="249" spans="1:29" ht="16.3" x14ac:dyDescent="0.3">
      <c r="A249" s="35" t="str">
        <f>CONCATENATE("Раздел: ",IF(Source!G272&lt;&gt;"Новый раздел", Source!G272, ""))</f>
        <v>Раздел: Кабель, трубы</v>
      </c>
      <c r="B249" s="35"/>
      <c r="C249" s="35"/>
      <c r="D249" s="35"/>
      <c r="E249" s="35"/>
      <c r="F249" s="35"/>
      <c r="G249" s="35"/>
      <c r="H249" s="35"/>
      <c r="I249" s="35"/>
      <c r="J249" s="35"/>
      <c r="K249" s="35"/>
    </row>
    <row r="250" spans="1:29" ht="78.45" x14ac:dyDescent="0.3">
      <c r="A250" s="36">
        <v>15</v>
      </c>
      <c r="B250" s="36" t="s">
        <v>688</v>
      </c>
      <c r="C250" s="36" t="s">
        <v>280</v>
      </c>
      <c r="D250" s="38" t="str">
        <f>Source!H276</f>
        <v>100 м</v>
      </c>
      <c r="E250" s="37">
        <f>Source!I276</f>
        <v>84.4</v>
      </c>
      <c r="F250" s="40"/>
      <c r="G250" s="39"/>
      <c r="H250" s="37"/>
      <c r="I250" s="40"/>
      <c r="J250" s="37"/>
      <c r="K250" s="40"/>
      <c r="Q250">
        <f>Source!X276</f>
        <v>17258.669999999998</v>
      </c>
      <c r="R250">
        <f>Source!X277</f>
        <v>949054.27</v>
      </c>
      <c r="S250">
        <f>Source!Y276</f>
        <v>8821.1</v>
      </c>
      <c r="T250">
        <f>Source!Y277</f>
        <v>485072.18</v>
      </c>
      <c r="U250">
        <f>ROUND((175/100)*ROUND(Source!R276, 2), 2)</f>
        <v>0</v>
      </c>
      <c r="V250">
        <f>ROUND((0/100)*ROUND(Source!R277, 2), 2)</f>
        <v>0</v>
      </c>
      <c r="AC250">
        <v>0</v>
      </c>
    </row>
    <row r="251" spans="1:29" x14ac:dyDescent="0.3">
      <c r="C251" s="53" t="str">
        <f>"Объем: "&amp;Source!I276&amp;"=8440/"&amp;"100"</f>
        <v>Объем: 84,4=8440/100</v>
      </c>
    </row>
    <row r="252" spans="1:29" ht="14.15" x14ac:dyDescent="0.3">
      <c r="A252" s="36"/>
      <c r="B252" s="36"/>
      <c r="C252" s="36" t="s">
        <v>637</v>
      </c>
      <c r="D252" s="38"/>
      <c r="E252" s="37"/>
      <c r="F252" s="40">
        <f>Source!AO276</f>
        <v>197.28</v>
      </c>
      <c r="G252" s="39" t="s">
        <v>29</v>
      </c>
      <c r="H252" s="37">
        <f>Source!AV277</f>
        <v>1.0469999999999999</v>
      </c>
      <c r="I252" s="40">
        <f>Source!S276</f>
        <v>19176.3</v>
      </c>
      <c r="J252" s="37">
        <f>IF(Source!BA277&lt;&gt; 0, Source!BA277, 1)</f>
        <v>54.99</v>
      </c>
      <c r="K252" s="40">
        <f>Source!S277</f>
        <v>1054504.74</v>
      </c>
    </row>
    <row r="253" spans="1:29" ht="14.15" x14ac:dyDescent="0.3">
      <c r="A253" s="36"/>
      <c r="B253" s="36"/>
      <c r="C253" s="36" t="s">
        <v>638</v>
      </c>
      <c r="D253" s="38"/>
      <c r="E253" s="37"/>
      <c r="F253" s="40">
        <f>Source!AM276</f>
        <v>1.73</v>
      </c>
      <c r="G253" s="39" t="s">
        <v>29</v>
      </c>
      <c r="H253" s="37">
        <f>Source!AV277</f>
        <v>1.0469999999999999</v>
      </c>
      <c r="I253" s="40">
        <f>Source!Q276</f>
        <v>168.16</v>
      </c>
      <c r="J253" s="37">
        <f>IF(Source!BB277&lt;&gt; 0, Source!BB277, 1)</f>
        <v>8.7100000000000009</v>
      </c>
      <c r="K253" s="40">
        <f>Source!Q277</f>
        <v>1464.67</v>
      </c>
    </row>
    <row r="254" spans="1:29" ht="14.15" x14ac:dyDescent="0.3">
      <c r="A254" s="36"/>
      <c r="B254" s="36"/>
      <c r="C254" s="36" t="s">
        <v>640</v>
      </c>
      <c r="D254" s="38"/>
      <c r="E254" s="37"/>
      <c r="F254" s="40">
        <f>Source!AL276</f>
        <v>91.91</v>
      </c>
      <c r="G254" s="39"/>
      <c r="H254" s="37">
        <f>Source!AW277</f>
        <v>1</v>
      </c>
      <c r="I254" s="40">
        <f>Source!P276</f>
        <v>7757.2</v>
      </c>
      <c r="J254" s="37">
        <f>IF(Source!BC277&lt;&gt; 0, Source!BC277, 1)</f>
        <v>2.76</v>
      </c>
      <c r="K254" s="40">
        <f>Source!P277</f>
        <v>21409.87</v>
      </c>
    </row>
    <row r="255" spans="1:29" ht="70.75" x14ac:dyDescent="0.3">
      <c r="A255" s="36" t="s">
        <v>283</v>
      </c>
      <c r="B255" s="36" t="str">
        <f>Source!F278</f>
        <v>1.12-5-43</v>
      </c>
      <c r="C255" s="36" t="s">
        <v>285</v>
      </c>
      <c r="D255" s="38" t="str">
        <f>Source!H278</f>
        <v>м</v>
      </c>
      <c r="E255" s="37">
        <f>Source!I278</f>
        <v>8608.7999999999993</v>
      </c>
      <c r="F255" s="40">
        <f>Source!AK278</f>
        <v>5.78</v>
      </c>
      <c r="G255" s="42" t="s">
        <v>3</v>
      </c>
      <c r="H255" s="37">
        <f>Source!AW279</f>
        <v>1</v>
      </c>
      <c r="I255" s="40">
        <f>Source!O278</f>
        <v>49758.86</v>
      </c>
      <c r="J255" s="37">
        <f>IF(Source!BC279&lt;&gt; 0, Source!BC279, 1)</f>
        <v>6.14</v>
      </c>
      <c r="K255" s="40">
        <f>Source!O279</f>
        <v>305519.40000000002</v>
      </c>
      <c r="Q255">
        <f>Source!X278</f>
        <v>0</v>
      </c>
      <c r="R255">
        <f>Source!X279</f>
        <v>0</v>
      </c>
      <c r="S255">
        <f>Source!Y278</f>
        <v>0</v>
      </c>
      <c r="T255">
        <f>Source!Y279</f>
        <v>0</v>
      </c>
      <c r="U255">
        <f>ROUND((175/100)*ROUND(Source!R278, 2), 2)</f>
        <v>0</v>
      </c>
      <c r="V255">
        <f>ROUND((0/100)*ROUND(Source!R279, 2), 2)</f>
        <v>0</v>
      </c>
      <c r="AC255">
        <v>3</v>
      </c>
    </row>
    <row r="256" spans="1:29" ht="42.45" x14ac:dyDescent="0.3">
      <c r="A256" s="36" t="s">
        <v>288</v>
      </c>
      <c r="B256" s="36" t="str">
        <f>Source!F280</f>
        <v>1.21-5-1137</v>
      </c>
      <c r="C256" s="36" t="s">
        <v>290</v>
      </c>
      <c r="D256" s="38" t="str">
        <f>Source!H280</f>
        <v>100 шт.</v>
      </c>
      <c r="E256" s="37">
        <f>Source!I280</f>
        <v>182.64160000000001</v>
      </c>
      <c r="F256" s="40">
        <f>Source!AK280</f>
        <v>154.36000000000001</v>
      </c>
      <c r="G256" s="42" t="s">
        <v>3</v>
      </c>
      <c r="H256" s="37">
        <f>Source!AW281</f>
        <v>1</v>
      </c>
      <c r="I256" s="40">
        <f>Source!O280</f>
        <v>28192.560000000001</v>
      </c>
      <c r="J256" s="37">
        <f>IF(Source!BC281&lt;&gt; 0, Source!BC281, 1)</f>
        <v>2.06</v>
      </c>
      <c r="K256" s="40">
        <f>Source!O281</f>
        <v>58076.67</v>
      </c>
      <c r="Q256">
        <f>Source!X280</f>
        <v>0</v>
      </c>
      <c r="R256">
        <f>Source!X281</f>
        <v>0</v>
      </c>
      <c r="S256">
        <f>Source!Y280</f>
        <v>0</v>
      </c>
      <c r="T256">
        <f>Source!Y281</f>
        <v>0</v>
      </c>
      <c r="U256">
        <f>ROUND((175/100)*ROUND(Source!R280, 2), 2)</f>
        <v>0</v>
      </c>
      <c r="V256">
        <f>ROUND((0/100)*ROUND(Source!R281, 2), 2)</f>
        <v>0</v>
      </c>
      <c r="AC256">
        <v>3</v>
      </c>
    </row>
    <row r="257" spans="1:29" ht="41.15" x14ac:dyDescent="0.3">
      <c r="A257" s="36" t="s">
        <v>292</v>
      </c>
      <c r="B257" s="36" t="str">
        <f>Source!F282</f>
        <v>КА 29</v>
      </c>
      <c r="C257" s="36" t="s">
        <v>689</v>
      </c>
      <c r="D257" s="38" t="str">
        <f>Source!H282</f>
        <v>км</v>
      </c>
      <c r="E257" s="37">
        <f>Source!I282</f>
        <v>17.217600000000001</v>
      </c>
      <c r="F257" s="40">
        <f>Source!AK282</f>
        <v>4372.1699999999992</v>
      </c>
      <c r="G257" s="42" t="s">
        <v>3</v>
      </c>
      <c r="H257" s="37">
        <f>Source!AW283</f>
        <v>1</v>
      </c>
      <c r="I257" s="40">
        <f>Source!O282</f>
        <v>75278.27</v>
      </c>
      <c r="J257" s="37">
        <f>IF(Source!BC283&lt;&gt; 0, Source!BC283, 1)</f>
        <v>9.8800000000000008</v>
      </c>
      <c r="K257" s="40">
        <f>Source!O283</f>
        <v>743749.31</v>
      </c>
      <c r="Q257">
        <f>Source!X282</f>
        <v>0</v>
      </c>
      <c r="R257">
        <f>Source!X283</f>
        <v>0</v>
      </c>
      <c r="S257">
        <f>Source!Y282</f>
        <v>0</v>
      </c>
      <c r="T257">
        <f>Source!Y283</f>
        <v>0</v>
      </c>
      <c r="U257">
        <f>ROUND((175/100)*ROUND(Source!R282, 2), 2)</f>
        <v>0</v>
      </c>
      <c r="V257">
        <f>ROUND((0/100)*ROUND(Source!R283, 2), 2)</f>
        <v>0</v>
      </c>
      <c r="AC257">
        <v>3</v>
      </c>
    </row>
    <row r="258" spans="1:29" ht="14.15" x14ac:dyDescent="0.3">
      <c r="A258" s="36"/>
      <c r="B258" s="36"/>
      <c r="C258" s="36" t="s">
        <v>644</v>
      </c>
      <c r="D258" s="38" t="s">
        <v>645</v>
      </c>
      <c r="E258" s="37">
        <f>Source!BZ277</f>
        <v>90</v>
      </c>
      <c r="F258" s="40"/>
      <c r="G258" s="39"/>
      <c r="H258" s="37"/>
      <c r="I258" s="40">
        <f>SUM(Q250:Q257)</f>
        <v>17258.669999999998</v>
      </c>
      <c r="J258" s="37">
        <f>Source!AT277</f>
        <v>90</v>
      </c>
      <c r="K258" s="40">
        <f>SUM(R250:R257)</f>
        <v>949054.27</v>
      </c>
    </row>
    <row r="259" spans="1:29" ht="14.15" x14ac:dyDescent="0.3">
      <c r="A259" s="36"/>
      <c r="B259" s="36"/>
      <c r="C259" s="36" t="s">
        <v>646</v>
      </c>
      <c r="D259" s="38" t="s">
        <v>645</v>
      </c>
      <c r="E259" s="37">
        <f>Source!CA277</f>
        <v>46</v>
      </c>
      <c r="F259" s="40"/>
      <c r="G259" s="39"/>
      <c r="H259" s="37"/>
      <c r="I259" s="40">
        <f>SUM(S250:S258)</f>
        <v>8821.1</v>
      </c>
      <c r="J259" s="37">
        <f>Source!AU277</f>
        <v>46</v>
      </c>
      <c r="K259" s="40">
        <f>SUM(T250:T258)</f>
        <v>485072.18</v>
      </c>
    </row>
    <row r="260" spans="1:29" ht="14.15" x14ac:dyDescent="0.3">
      <c r="A260" s="43"/>
      <c r="B260" s="43"/>
      <c r="C260" s="43" t="s">
        <v>647</v>
      </c>
      <c r="D260" s="44" t="s">
        <v>648</v>
      </c>
      <c r="E260" s="45">
        <f>Source!AQ276</f>
        <v>16.600000000000001</v>
      </c>
      <c r="F260" s="46"/>
      <c r="G260" s="47" t="s">
        <v>29</v>
      </c>
      <c r="H260" s="45">
        <f>Source!AV277</f>
        <v>1.0469999999999999</v>
      </c>
      <c r="I260" s="46">
        <f>Source!U276</f>
        <v>1613.5777680000001</v>
      </c>
      <c r="J260" s="45"/>
      <c r="K260" s="46"/>
    </row>
    <row r="261" spans="1:29" ht="14.15" x14ac:dyDescent="0.3">
      <c r="C261" s="48" t="s">
        <v>649</v>
      </c>
      <c r="H261" s="49">
        <f>I252+I253+I254+I258+I259+SUM(I255:I257)-SUMIF(AC255:AC257, 5, I255:I257)-SUMIF(AC255:AC257, 6, I255:I257)</f>
        <v>206411.12</v>
      </c>
      <c r="I261" s="49"/>
      <c r="J261" s="49">
        <f>K252+K253+K254+K258+K259+SUM(K255:K257)-SUMIF(AC255:AC257, 5, K255:K257)-SUMIF(AC255:AC257, 6, K255:K257)</f>
        <v>3618851.1100000003</v>
      </c>
      <c r="K261" s="49"/>
    </row>
    <row r="262" spans="1:29" ht="14.15" hidden="1" x14ac:dyDescent="0.3">
      <c r="C262" s="48" t="s">
        <v>650</v>
      </c>
      <c r="H262" s="51">
        <f>SUMIF(AC255:AC257, 5, I255:I257)+SUMIF(AC255:AC257, 6, I255:I257)</f>
        <v>0</v>
      </c>
      <c r="I262" s="51"/>
      <c r="J262" s="51">
        <f>SUMIF(AC255:AC257, 5, K255:K257)+SUMIF(AC255:AC257, 6, K255:K257)</f>
        <v>0</v>
      </c>
      <c r="K262" s="51"/>
    </row>
    <row r="263" spans="1:29" ht="14.15" x14ac:dyDescent="0.3">
      <c r="C263" s="48" t="s">
        <v>651</v>
      </c>
      <c r="H263" s="51">
        <f>I252+I253+I254+I258+I259+SUM(I255:I257)</f>
        <v>206411.12</v>
      </c>
      <c r="I263" s="51"/>
      <c r="J263" s="51">
        <f>K252+K253+K254+K258+K259+SUM(K255:K257)</f>
        <v>3618851.1100000003</v>
      </c>
      <c r="K263" s="51"/>
      <c r="O263" s="52">
        <f>I252+I253+I254+I258+I259+SUM(I255:I257)</f>
        <v>206411.12</v>
      </c>
      <c r="P263" s="52">
        <f>K252+K253+K254+K258+K259+SUM(K255:K257)</f>
        <v>3618851.1100000003</v>
      </c>
    </row>
    <row r="265" spans="1:29" ht="78.45" x14ac:dyDescent="0.3">
      <c r="A265" s="36">
        <v>16</v>
      </c>
      <c r="B265" s="36" t="s">
        <v>690</v>
      </c>
      <c r="C265" s="36" t="s">
        <v>308</v>
      </c>
      <c r="D265" s="38" t="str">
        <f>Source!H292</f>
        <v>100 м</v>
      </c>
      <c r="E265" s="37">
        <f>Source!I292</f>
        <v>31.9</v>
      </c>
      <c r="F265" s="40"/>
      <c r="G265" s="39"/>
      <c r="H265" s="37"/>
      <c r="I265" s="40"/>
      <c r="J265" s="37"/>
      <c r="K265" s="40"/>
      <c r="Q265">
        <f>Source!X292</f>
        <v>1785.2</v>
      </c>
      <c r="R265">
        <f>Source!X293</f>
        <v>98167.87</v>
      </c>
      <c r="S265">
        <f>Source!Y292</f>
        <v>912.43</v>
      </c>
      <c r="T265">
        <f>Source!Y293</f>
        <v>50174.69</v>
      </c>
      <c r="U265">
        <f>ROUND((175/100)*ROUND(Source!R292, 2), 2)</f>
        <v>0</v>
      </c>
      <c r="V265">
        <f>ROUND((0/100)*ROUND(Source!R293, 2), 2)</f>
        <v>0</v>
      </c>
      <c r="AC265">
        <v>0</v>
      </c>
    </row>
    <row r="266" spans="1:29" x14ac:dyDescent="0.3">
      <c r="C266" s="53" t="str">
        <f>"Объем: "&amp;Source!I292&amp;"=(500+"&amp;"18600+"&amp;"970-"&amp;"8440*"&amp;"2)/"&amp;"100"</f>
        <v>Объем: 31,9=(500+18600+970-8440*2)/100</v>
      </c>
    </row>
    <row r="267" spans="1:29" ht="14.15" x14ac:dyDescent="0.3">
      <c r="A267" s="36"/>
      <c r="B267" s="36"/>
      <c r="C267" s="36" t="s">
        <v>637</v>
      </c>
      <c r="D267" s="38"/>
      <c r="E267" s="37"/>
      <c r="F267" s="40">
        <f>Source!AO292</f>
        <v>53.99</v>
      </c>
      <c r="G267" s="39" t="s">
        <v>29</v>
      </c>
      <c r="H267" s="37">
        <f>Source!AV293</f>
        <v>1.0469999999999999</v>
      </c>
      <c r="I267" s="40">
        <f>Source!S292</f>
        <v>1983.55</v>
      </c>
      <c r="J267" s="37">
        <f>IF(Source!BA293&lt;&gt; 0, Source!BA293, 1)</f>
        <v>54.99</v>
      </c>
      <c r="K267" s="40">
        <f>Source!S293</f>
        <v>109075.41</v>
      </c>
    </row>
    <row r="268" spans="1:29" ht="14.15" x14ac:dyDescent="0.3">
      <c r="A268" s="36"/>
      <c r="B268" s="36"/>
      <c r="C268" s="36" t="s">
        <v>640</v>
      </c>
      <c r="D268" s="38"/>
      <c r="E268" s="37"/>
      <c r="F268" s="40">
        <f>Source!AL292</f>
        <v>14.16</v>
      </c>
      <c r="G268" s="39"/>
      <c r="H268" s="37">
        <f>Source!AW293</f>
        <v>1</v>
      </c>
      <c r="I268" s="40">
        <f>Source!P292</f>
        <v>451.7</v>
      </c>
      <c r="J268" s="37">
        <f>IF(Source!BC293&lt;&gt; 0, Source!BC293, 1)</f>
        <v>4.8</v>
      </c>
      <c r="K268" s="40">
        <f>Source!P293</f>
        <v>2168.16</v>
      </c>
    </row>
    <row r="269" spans="1:29" ht="55.3" x14ac:dyDescent="0.3">
      <c r="A269" s="36" t="s">
        <v>310</v>
      </c>
      <c r="B269" s="36" t="str">
        <f>Source!F294</f>
        <v>КА 28</v>
      </c>
      <c r="C269" s="36" t="s">
        <v>691</v>
      </c>
      <c r="D269" s="38" t="str">
        <f>Source!H294</f>
        <v>км</v>
      </c>
      <c r="E269" s="37">
        <f>Source!I294</f>
        <v>0.51</v>
      </c>
      <c r="F269" s="40">
        <f>Source!AK294</f>
        <v>6894.29</v>
      </c>
      <c r="G269" s="42" t="s">
        <v>3</v>
      </c>
      <c r="H269" s="37">
        <f>Source!AW295</f>
        <v>1</v>
      </c>
      <c r="I269" s="40">
        <f>Source!O294</f>
        <v>3516.09</v>
      </c>
      <c r="J269" s="37">
        <f>IF(Source!BC295&lt;&gt; 0, Source!BC295, 1)</f>
        <v>9.8800000000000008</v>
      </c>
      <c r="K269" s="40">
        <f>Source!O295</f>
        <v>34738.97</v>
      </c>
      <c r="Q269">
        <f>Source!X294</f>
        <v>0</v>
      </c>
      <c r="R269">
        <f>Source!X295</f>
        <v>0</v>
      </c>
      <c r="S269">
        <f>Source!Y294</f>
        <v>0</v>
      </c>
      <c r="T269">
        <f>Source!Y295</f>
        <v>0</v>
      </c>
      <c r="U269">
        <f>ROUND((175/100)*ROUND(Source!R294, 2), 2)</f>
        <v>0</v>
      </c>
      <c r="V269">
        <f>ROUND((0/100)*ROUND(Source!R295, 2), 2)</f>
        <v>0</v>
      </c>
      <c r="AC269">
        <v>3</v>
      </c>
    </row>
    <row r="270" spans="1:29" ht="41.15" x14ac:dyDescent="0.3">
      <c r="A270" s="36" t="s">
        <v>314</v>
      </c>
      <c r="B270" s="36" t="str">
        <f>Source!F296</f>
        <v>КА 29</v>
      </c>
      <c r="C270" s="36" t="s">
        <v>689</v>
      </c>
      <c r="D270" s="38" t="str">
        <f>Source!H296</f>
        <v>км</v>
      </c>
      <c r="E270" s="37">
        <f>Source!I296</f>
        <v>1.7544</v>
      </c>
      <c r="F270" s="40">
        <f>Source!AK296</f>
        <v>4372.1699999999992</v>
      </c>
      <c r="G270" s="42" t="s">
        <v>3</v>
      </c>
      <c r="H270" s="37">
        <f>Source!AW297</f>
        <v>1</v>
      </c>
      <c r="I270" s="40">
        <f>Source!O296</f>
        <v>7670.54</v>
      </c>
      <c r="J270" s="37">
        <f>IF(Source!BC297&lt;&gt; 0, Source!BC297, 1)</f>
        <v>9.8800000000000008</v>
      </c>
      <c r="K270" s="40">
        <f>Source!O297</f>
        <v>75784.94</v>
      </c>
      <c r="Q270">
        <f>Source!X296</f>
        <v>0</v>
      </c>
      <c r="R270">
        <f>Source!X297</f>
        <v>0</v>
      </c>
      <c r="S270">
        <f>Source!Y296</f>
        <v>0</v>
      </c>
      <c r="T270">
        <f>Source!Y297</f>
        <v>0</v>
      </c>
      <c r="U270">
        <f>ROUND((175/100)*ROUND(Source!R296, 2), 2)</f>
        <v>0</v>
      </c>
      <c r="V270">
        <f>ROUND((0/100)*ROUND(Source!R297, 2), 2)</f>
        <v>0</v>
      </c>
      <c r="AC270">
        <v>3</v>
      </c>
    </row>
    <row r="271" spans="1:29" ht="41.15" x14ac:dyDescent="0.3">
      <c r="A271" s="36" t="s">
        <v>315</v>
      </c>
      <c r="B271" s="36" t="str">
        <f>Source!F298</f>
        <v>КА 30</v>
      </c>
      <c r="C271" s="36" t="s">
        <v>692</v>
      </c>
      <c r="D271" s="38" t="str">
        <f>Source!H298</f>
        <v>км</v>
      </c>
      <c r="E271" s="37">
        <f>Source!I298</f>
        <v>0.98939999999999995</v>
      </c>
      <c r="F271" s="40">
        <f>Source!AK298</f>
        <v>6661.49</v>
      </c>
      <c r="G271" s="42" t="s">
        <v>3</v>
      </c>
      <c r="H271" s="37">
        <f>Source!AW299</f>
        <v>1</v>
      </c>
      <c r="I271" s="40">
        <f>Source!O298</f>
        <v>6590.88</v>
      </c>
      <c r="J271" s="37">
        <f>IF(Source!BC299&lt;&gt; 0, Source!BC299, 1)</f>
        <v>9.8800000000000008</v>
      </c>
      <c r="K271" s="40">
        <f>Source!O299</f>
        <v>65117.89</v>
      </c>
      <c r="Q271">
        <f>Source!X298</f>
        <v>0</v>
      </c>
      <c r="R271">
        <f>Source!X299</f>
        <v>0</v>
      </c>
      <c r="S271">
        <f>Source!Y298</f>
        <v>0</v>
      </c>
      <c r="T271">
        <f>Source!Y299</f>
        <v>0</v>
      </c>
      <c r="U271">
        <f>ROUND((175/100)*ROUND(Source!R298, 2), 2)</f>
        <v>0</v>
      </c>
      <c r="V271">
        <f>ROUND((0/100)*ROUND(Source!R299, 2), 2)</f>
        <v>0</v>
      </c>
      <c r="AC271">
        <v>3</v>
      </c>
    </row>
    <row r="272" spans="1:29" ht="27" x14ac:dyDescent="0.3">
      <c r="A272" s="36" t="s">
        <v>319</v>
      </c>
      <c r="B272" s="36" t="str">
        <f>Source!F300</f>
        <v>КА 31</v>
      </c>
      <c r="C272" s="36" t="s">
        <v>693</v>
      </c>
      <c r="D272" s="38" t="str">
        <f>Source!H300</f>
        <v>шт.</v>
      </c>
      <c r="E272" s="37">
        <f>Source!I300</f>
        <v>44</v>
      </c>
      <c r="F272" s="40">
        <f>Source!AK300</f>
        <v>82.08</v>
      </c>
      <c r="G272" s="42" t="s">
        <v>3</v>
      </c>
      <c r="H272" s="37">
        <f>Source!AW301</f>
        <v>1</v>
      </c>
      <c r="I272" s="40">
        <f>Source!O300</f>
        <v>3611.52</v>
      </c>
      <c r="J272" s="37">
        <f>IF(Source!BC301&lt;&gt; 0, Source!BC301, 1)</f>
        <v>9.8800000000000008</v>
      </c>
      <c r="K272" s="40">
        <f>Source!O301</f>
        <v>35681.82</v>
      </c>
      <c r="Q272">
        <f>Source!X300</f>
        <v>0</v>
      </c>
      <c r="R272">
        <f>Source!X301</f>
        <v>0</v>
      </c>
      <c r="S272">
        <f>Source!Y300</f>
        <v>0</v>
      </c>
      <c r="T272">
        <f>Source!Y301</f>
        <v>0</v>
      </c>
      <c r="U272">
        <f>ROUND((175/100)*ROUND(Source!R300, 2), 2)</f>
        <v>0</v>
      </c>
      <c r="V272">
        <f>ROUND((0/100)*ROUND(Source!R301, 2), 2)</f>
        <v>0</v>
      </c>
      <c r="AC272">
        <v>3</v>
      </c>
    </row>
    <row r="273" spans="1:29" ht="42.45" x14ac:dyDescent="0.3">
      <c r="A273" s="36" t="s">
        <v>323</v>
      </c>
      <c r="B273" s="36" t="str">
        <f>Source!F302</f>
        <v>1.14-1-582</v>
      </c>
      <c r="C273" s="36" t="s">
        <v>325</v>
      </c>
      <c r="D273" s="38" t="str">
        <f>Source!H302</f>
        <v>100 шт.</v>
      </c>
      <c r="E273" s="37">
        <f>Source!I302</f>
        <v>0.16</v>
      </c>
      <c r="F273" s="40">
        <f>Source!AK302</f>
        <v>35.4</v>
      </c>
      <c r="G273" s="42" t="s">
        <v>3</v>
      </c>
      <c r="H273" s="37">
        <f>Source!AW303</f>
        <v>1</v>
      </c>
      <c r="I273" s="40">
        <f>Source!O302</f>
        <v>5.66</v>
      </c>
      <c r="J273" s="37">
        <f>IF(Source!BC303&lt;&gt; 0, Source!BC303, 1)</f>
        <v>13.11</v>
      </c>
      <c r="K273" s="40">
        <f>Source!O303</f>
        <v>74.2</v>
      </c>
      <c r="Q273">
        <f>Source!X302</f>
        <v>0</v>
      </c>
      <c r="R273">
        <f>Source!X303</f>
        <v>0</v>
      </c>
      <c r="S273">
        <f>Source!Y302</f>
        <v>0</v>
      </c>
      <c r="T273">
        <f>Source!Y303</f>
        <v>0</v>
      </c>
      <c r="U273">
        <f>ROUND((175/100)*ROUND(Source!R302, 2), 2)</f>
        <v>0</v>
      </c>
      <c r="V273">
        <f>ROUND((0/100)*ROUND(Source!R303, 2), 2)</f>
        <v>0</v>
      </c>
      <c r="AC273">
        <v>3</v>
      </c>
    </row>
    <row r="274" spans="1:29" ht="27" x14ac:dyDescent="0.3">
      <c r="A274" s="36" t="s">
        <v>327</v>
      </c>
      <c r="B274" s="36" t="str">
        <f>Source!F304</f>
        <v>КА 32</v>
      </c>
      <c r="C274" s="36" t="s">
        <v>694</v>
      </c>
      <c r="D274" s="38" t="str">
        <f>Source!H304</f>
        <v>шт.</v>
      </c>
      <c r="E274" s="37">
        <f>Source!I304</f>
        <v>44</v>
      </c>
      <c r="F274" s="40">
        <f>Source!AK304</f>
        <v>4.3899999999999997</v>
      </c>
      <c r="G274" s="42" t="s">
        <v>3</v>
      </c>
      <c r="H274" s="37">
        <f>Source!AW305</f>
        <v>1</v>
      </c>
      <c r="I274" s="40">
        <f>Source!O304</f>
        <v>193.16</v>
      </c>
      <c r="J274" s="37">
        <f>IF(Source!BC305&lt;&gt; 0, Source!BC305, 1)</f>
        <v>9.8800000000000008</v>
      </c>
      <c r="K274" s="40">
        <f>Source!O305</f>
        <v>1908.42</v>
      </c>
      <c r="Q274">
        <f>Source!X304</f>
        <v>0</v>
      </c>
      <c r="R274">
        <f>Source!X305</f>
        <v>0</v>
      </c>
      <c r="S274">
        <f>Source!Y304</f>
        <v>0</v>
      </c>
      <c r="T274">
        <f>Source!Y305</f>
        <v>0</v>
      </c>
      <c r="U274">
        <f>ROUND((175/100)*ROUND(Source!R304, 2), 2)</f>
        <v>0</v>
      </c>
      <c r="V274">
        <f>ROUND((0/100)*ROUND(Source!R305, 2), 2)</f>
        <v>0</v>
      </c>
      <c r="AC274">
        <v>3</v>
      </c>
    </row>
    <row r="275" spans="1:29" ht="14.15" x14ac:dyDescent="0.3">
      <c r="A275" s="36"/>
      <c r="B275" s="36"/>
      <c r="C275" s="36" t="s">
        <v>644</v>
      </c>
      <c r="D275" s="38" t="s">
        <v>645</v>
      </c>
      <c r="E275" s="37">
        <f>Source!BZ293</f>
        <v>90</v>
      </c>
      <c r="F275" s="40"/>
      <c r="G275" s="39"/>
      <c r="H275" s="37"/>
      <c r="I275" s="40">
        <f>SUM(Q265:Q274)</f>
        <v>1785.2</v>
      </c>
      <c r="J275" s="37">
        <f>Source!AT293</f>
        <v>90</v>
      </c>
      <c r="K275" s="40">
        <f>SUM(R265:R274)</f>
        <v>98167.87</v>
      </c>
    </row>
    <row r="276" spans="1:29" ht="14.15" x14ac:dyDescent="0.3">
      <c r="A276" s="36"/>
      <c r="B276" s="36"/>
      <c r="C276" s="36" t="s">
        <v>646</v>
      </c>
      <c r="D276" s="38" t="s">
        <v>645</v>
      </c>
      <c r="E276" s="37">
        <f>Source!CA293</f>
        <v>46</v>
      </c>
      <c r="F276" s="40"/>
      <c r="G276" s="39"/>
      <c r="H276" s="37"/>
      <c r="I276" s="40">
        <f>SUM(S265:S275)</f>
        <v>912.43</v>
      </c>
      <c r="J276" s="37">
        <f>Source!AU293</f>
        <v>46</v>
      </c>
      <c r="K276" s="40">
        <f>SUM(T265:T275)</f>
        <v>50174.69</v>
      </c>
    </row>
    <row r="277" spans="1:29" ht="14.15" x14ac:dyDescent="0.3">
      <c r="A277" s="43"/>
      <c r="B277" s="43"/>
      <c r="C277" s="43" t="s">
        <v>647</v>
      </c>
      <c r="D277" s="44" t="s">
        <v>648</v>
      </c>
      <c r="E277" s="45">
        <f>Source!AQ292</f>
        <v>4.55</v>
      </c>
      <c r="F277" s="46"/>
      <c r="G277" s="47" t="s">
        <v>29</v>
      </c>
      <c r="H277" s="45">
        <f>Source!AV293</f>
        <v>1.0469999999999999</v>
      </c>
      <c r="I277" s="46">
        <f>Source!U292</f>
        <v>167.16349649999998</v>
      </c>
      <c r="J277" s="45"/>
      <c r="K277" s="46"/>
    </row>
    <row r="278" spans="1:29" ht="14.15" x14ac:dyDescent="0.3">
      <c r="C278" s="48" t="s">
        <v>649</v>
      </c>
      <c r="H278" s="49">
        <f>I267+I268+I275+I276+SUM(I269:I274)-SUMIF(AC269:AC274, 5, I269:I274)-SUMIF(AC269:AC274, 6, I269:I274)</f>
        <v>26720.730000000003</v>
      </c>
      <c r="I278" s="49"/>
      <c r="J278" s="49">
        <f>K267+K268+K275+K276+SUM(K269:K274)-SUMIF(AC269:AC274, 5, K269:K274)-SUMIF(AC269:AC274, 6, K269:K274)</f>
        <v>472892.37</v>
      </c>
      <c r="K278" s="49"/>
    </row>
    <row r="279" spans="1:29" ht="14.15" hidden="1" x14ac:dyDescent="0.3">
      <c r="C279" s="48" t="s">
        <v>650</v>
      </c>
      <c r="H279" s="51">
        <f>SUMIF(AC269:AC274, 5, I269:I274)+SUMIF(AC269:AC274, 6, I269:I274)</f>
        <v>0</v>
      </c>
      <c r="I279" s="51"/>
      <c r="J279" s="51">
        <f>SUMIF(AC269:AC274, 5, K269:K274)+SUMIF(AC269:AC274, 6, K269:K274)</f>
        <v>0</v>
      </c>
      <c r="K279" s="51"/>
    </row>
    <row r="280" spans="1:29" ht="14.15" x14ac:dyDescent="0.3">
      <c r="C280" s="48" t="s">
        <v>651</v>
      </c>
      <c r="H280" s="51">
        <f>I267+I268+I275+I276+SUM(I269:I274)</f>
        <v>26720.730000000003</v>
      </c>
      <c r="I280" s="51"/>
      <c r="J280" s="51">
        <f>K267+K268+K275+K276+SUM(K269:K274)</f>
        <v>472892.37</v>
      </c>
      <c r="K280" s="51"/>
      <c r="O280" s="52">
        <f>I267+I268+I275+I276+SUM(I269:I274)</f>
        <v>26720.730000000003</v>
      </c>
      <c r="P280" s="52">
        <f>K267+K268+K275+K276+SUM(K269:K274)</f>
        <v>472892.37</v>
      </c>
    </row>
    <row r="282" spans="1:29" ht="78.45" x14ac:dyDescent="0.3">
      <c r="A282" s="36">
        <v>17</v>
      </c>
      <c r="B282" s="36" t="s">
        <v>695</v>
      </c>
      <c r="C282" s="36" t="s">
        <v>337</v>
      </c>
      <c r="D282" s="38" t="str">
        <f>Source!H320</f>
        <v>100 М ТРАССЫ</v>
      </c>
      <c r="E282" s="37">
        <f>Source!I320</f>
        <v>6.39</v>
      </c>
      <c r="F282" s="40"/>
      <c r="G282" s="39"/>
      <c r="H282" s="37"/>
      <c r="I282" s="40"/>
      <c r="J282" s="37"/>
      <c r="K282" s="40"/>
      <c r="Q282">
        <f>Source!X320</f>
        <v>1438.71</v>
      </c>
      <c r="R282">
        <f>Source!X321</f>
        <v>79114.87</v>
      </c>
      <c r="S282">
        <f>Source!Y320</f>
        <v>756.44</v>
      </c>
      <c r="T282">
        <f>Source!Y321</f>
        <v>41596.480000000003</v>
      </c>
      <c r="U282">
        <f>ROUND((175/100)*ROUND(Source!R320, 2), 2)</f>
        <v>8.51</v>
      </c>
      <c r="V282">
        <f>ROUND((0/100)*ROUND(Source!R321, 2), 2)</f>
        <v>0</v>
      </c>
      <c r="AC282">
        <v>0</v>
      </c>
    </row>
    <row r="283" spans="1:29" x14ac:dyDescent="0.3">
      <c r="C283" s="53" t="str">
        <f>"Объем: "&amp;Source!I320&amp;"=(81+"&amp;"124+"&amp;"8)*"&amp;"3/"&amp;"100"</f>
        <v>Объем: 6,39=(81+124+8)*3/100</v>
      </c>
    </row>
    <row r="284" spans="1:29" ht="14.15" x14ac:dyDescent="0.3">
      <c r="A284" s="36"/>
      <c r="B284" s="36"/>
      <c r="C284" s="36" t="s">
        <v>637</v>
      </c>
      <c r="D284" s="38"/>
      <c r="E284" s="37"/>
      <c r="F284" s="40">
        <f>Source!AO320</f>
        <v>200.88</v>
      </c>
      <c r="G284" s="39" t="s">
        <v>29</v>
      </c>
      <c r="H284" s="37">
        <f>Source!AV321</f>
        <v>1.0469999999999999</v>
      </c>
      <c r="I284" s="40">
        <f>Source!S320</f>
        <v>1478.35</v>
      </c>
      <c r="J284" s="37">
        <f>IF(Source!BA321&lt;&gt; 0, Source!BA321, 1)</f>
        <v>54.99</v>
      </c>
      <c r="K284" s="40">
        <f>Source!S321</f>
        <v>81294.47</v>
      </c>
    </row>
    <row r="285" spans="1:29" ht="14.15" x14ac:dyDescent="0.3">
      <c r="A285" s="36"/>
      <c r="B285" s="36"/>
      <c r="C285" s="36" t="s">
        <v>638</v>
      </c>
      <c r="D285" s="38"/>
      <c r="E285" s="37"/>
      <c r="F285" s="40">
        <f>Source!AM320</f>
        <v>3.74</v>
      </c>
      <c r="G285" s="39" t="s">
        <v>29</v>
      </c>
      <c r="H285" s="37">
        <f>Source!AV321</f>
        <v>1.0469999999999999</v>
      </c>
      <c r="I285" s="40">
        <f>Source!Q320</f>
        <v>27.52</v>
      </c>
      <c r="J285" s="37">
        <f>IF(Source!BB321&lt;&gt; 0, Source!BB321, 1)</f>
        <v>17.920000000000002</v>
      </c>
      <c r="K285" s="40">
        <f>Source!Q321</f>
        <v>493.16</v>
      </c>
    </row>
    <row r="286" spans="1:29" ht="14.15" x14ac:dyDescent="0.3">
      <c r="A286" s="36"/>
      <c r="B286" s="36"/>
      <c r="C286" s="36" t="s">
        <v>639</v>
      </c>
      <c r="D286" s="38"/>
      <c r="E286" s="37"/>
      <c r="F286" s="40">
        <f>Source!AN320</f>
        <v>0.66</v>
      </c>
      <c r="G286" s="39" t="s">
        <v>29</v>
      </c>
      <c r="H286" s="37">
        <f>Source!AV321</f>
        <v>1.0469999999999999</v>
      </c>
      <c r="I286" s="41">
        <f>Source!R320</f>
        <v>4.8600000000000003</v>
      </c>
      <c r="J286" s="37">
        <f>IF(Source!BS321&lt;&gt; 0, Source!BS321, 1)</f>
        <v>54.99</v>
      </c>
      <c r="K286" s="41">
        <f>Source!R321</f>
        <v>267.25</v>
      </c>
    </row>
    <row r="287" spans="1:29" ht="14.15" x14ac:dyDescent="0.3">
      <c r="A287" s="36"/>
      <c r="B287" s="36"/>
      <c r="C287" s="36" t="s">
        <v>640</v>
      </c>
      <c r="D287" s="38"/>
      <c r="E287" s="37"/>
      <c r="F287" s="40">
        <f>Source!AL320</f>
        <v>8.02</v>
      </c>
      <c r="G287" s="39"/>
      <c r="H287" s="37">
        <f>Source!AW321</f>
        <v>1</v>
      </c>
      <c r="I287" s="40">
        <f>Source!P320</f>
        <v>51.25</v>
      </c>
      <c r="J287" s="37">
        <f>IF(Source!BC321&lt;&gt; 0, Source!BC321, 1)</f>
        <v>7.41</v>
      </c>
      <c r="K287" s="40">
        <f>Source!P321</f>
        <v>379.76</v>
      </c>
    </row>
    <row r="288" spans="1:29" ht="56.6" x14ac:dyDescent="0.3">
      <c r="A288" s="36" t="s">
        <v>340</v>
      </c>
      <c r="B288" s="36" t="str">
        <f>Source!F322</f>
        <v>1.21-5-2321</v>
      </c>
      <c r="C288" s="36" t="s">
        <v>342</v>
      </c>
      <c r="D288" s="38" t="str">
        <f>Source!H322</f>
        <v>шт.</v>
      </c>
      <c r="E288" s="37">
        <f>Source!I322</f>
        <v>81</v>
      </c>
      <c r="F288" s="40">
        <f>Source!AK322</f>
        <v>127.99</v>
      </c>
      <c r="G288" s="42" t="s">
        <v>3</v>
      </c>
      <c r="H288" s="37">
        <f>Source!AW323</f>
        <v>1</v>
      </c>
      <c r="I288" s="40">
        <f>Source!O322</f>
        <v>10367.19</v>
      </c>
      <c r="J288" s="37">
        <f>IF(Source!BC323&lt;&gt; 0, Source!BC323, 1)</f>
        <v>8.76</v>
      </c>
      <c r="K288" s="40">
        <f>Source!O323</f>
        <v>90816.58</v>
      </c>
      <c r="Q288">
        <f>Source!X322</f>
        <v>0</v>
      </c>
      <c r="R288">
        <f>Source!X323</f>
        <v>0</v>
      </c>
      <c r="S288">
        <f>Source!Y322</f>
        <v>0</v>
      </c>
      <c r="T288">
        <f>Source!Y323</f>
        <v>0</v>
      </c>
      <c r="U288">
        <f>ROUND((175/100)*ROUND(Source!R322, 2), 2)</f>
        <v>0</v>
      </c>
      <c r="V288">
        <f>ROUND((0/100)*ROUND(Source!R323, 2), 2)</f>
        <v>0</v>
      </c>
      <c r="AC288">
        <v>3</v>
      </c>
    </row>
    <row r="289" spans="1:29" ht="56.6" x14ac:dyDescent="0.3">
      <c r="A289" s="36" t="s">
        <v>344</v>
      </c>
      <c r="B289" s="36" t="str">
        <f>Source!F324</f>
        <v>1.21-5-2323</v>
      </c>
      <c r="C289" s="36" t="s">
        <v>346</v>
      </c>
      <c r="D289" s="38" t="str">
        <f>Source!H324</f>
        <v>шт.</v>
      </c>
      <c r="E289" s="37">
        <f>Source!I324</f>
        <v>123.99999999999999</v>
      </c>
      <c r="F289" s="40">
        <f>Source!AK324</f>
        <v>85.89</v>
      </c>
      <c r="G289" s="42" t="s">
        <v>3</v>
      </c>
      <c r="H289" s="37">
        <f>Source!AW325</f>
        <v>1</v>
      </c>
      <c r="I289" s="40">
        <f>Source!O324</f>
        <v>10650.36</v>
      </c>
      <c r="J289" s="37">
        <f>IF(Source!BC325&lt;&gt; 0, Source!BC325, 1)</f>
        <v>8.76</v>
      </c>
      <c r="K289" s="40">
        <f>Source!O325</f>
        <v>93297.15</v>
      </c>
      <c r="Q289">
        <f>Source!X324</f>
        <v>0</v>
      </c>
      <c r="R289">
        <f>Source!X325</f>
        <v>0</v>
      </c>
      <c r="S289">
        <f>Source!Y324</f>
        <v>0</v>
      </c>
      <c r="T289">
        <f>Source!Y325</f>
        <v>0</v>
      </c>
      <c r="U289">
        <f>ROUND((175/100)*ROUND(Source!R324, 2), 2)</f>
        <v>0</v>
      </c>
      <c r="V289">
        <f>ROUND((0/100)*ROUND(Source!R325, 2), 2)</f>
        <v>0</v>
      </c>
      <c r="AC289">
        <v>3</v>
      </c>
    </row>
    <row r="290" spans="1:29" ht="56.6" x14ac:dyDescent="0.3">
      <c r="A290" s="36" t="s">
        <v>348</v>
      </c>
      <c r="B290" s="36" t="str">
        <f>Source!F326</f>
        <v>1.21-5-2324</v>
      </c>
      <c r="C290" s="36" t="s">
        <v>350</v>
      </c>
      <c r="D290" s="38" t="str">
        <f>Source!H326</f>
        <v>шт.</v>
      </c>
      <c r="E290" s="37">
        <f>Source!I326</f>
        <v>8</v>
      </c>
      <c r="F290" s="40">
        <f>Source!AK326</f>
        <v>74.94</v>
      </c>
      <c r="G290" s="42" t="s">
        <v>3</v>
      </c>
      <c r="H290" s="37">
        <f>Source!AW327</f>
        <v>1</v>
      </c>
      <c r="I290" s="40">
        <f>Source!O326</f>
        <v>599.52</v>
      </c>
      <c r="J290" s="37">
        <f>IF(Source!BC327&lt;&gt; 0, Source!BC327, 1)</f>
        <v>8.76</v>
      </c>
      <c r="K290" s="40">
        <f>Source!O327</f>
        <v>5251.8</v>
      </c>
      <c r="Q290">
        <f>Source!X326</f>
        <v>0</v>
      </c>
      <c r="R290">
        <f>Source!X327</f>
        <v>0</v>
      </c>
      <c r="S290">
        <f>Source!Y326</f>
        <v>0</v>
      </c>
      <c r="T290">
        <f>Source!Y327</f>
        <v>0</v>
      </c>
      <c r="U290">
        <f>ROUND((175/100)*ROUND(Source!R326, 2), 2)</f>
        <v>0</v>
      </c>
      <c r="V290">
        <f>ROUND((0/100)*ROUND(Source!R327, 2), 2)</f>
        <v>0</v>
      </c>
      <c r="AC290">
        <v>3</v>
      </c>
    </row>
    <row r="291" spans="1:29" ht="42.45" x14ac:dyDescent="0.3">
      <c r="A291" s="36" t="s">
        <v>357</v>
      </c>
      <c r="B291" s="36" t="str">
        <f>Source!F330</f>
        <v>1.1-1-8008</v>
      </c>
      <c r="C291" s="36" t="s">
        <v>359</v>
      </c>
      <c r="D291" s="38" t="str">
        <f>Source!H330</f>
        <v>т</v>
      </c>
      <c r="E291" s="37">
        <f>Source!I330</f>
        <v>5.5785000000000001E-2</v>
      </c>
      <c r="F291" s="40">
        <f>Source!AK330</f>
        <v>33827.69</v>
      </c>
      <c r="G291" s="42" t="s">
        <v>3</v>
      </c>
      <c r="H291" s="37">
        <f>Source!AW331</f>
        <v>1</v>
      </c>
      <c r="I291" s="40">
        <f>Source!O330</f>
        <v>1887.08</v>
      </c>
      <c r="J291" s="37">
        <f>IF(Source!BC331&lt;&gt; 0, Source!BC331, 1)</f>
        <v>4.6900000000000004</v>
      </c>
      <c r="K291" s="40">
        <f>Source!O331</f>
        <v>8850.41</v>
      </c>
      <c r="Q291">
        <f>Source!X330</f>
        <v>0</v>
      </c>
      <c r="R291">
        <f>Source!X331</f>
        <v>0</v>
      </c>
      <c r="S291">
        <f>Source!Y330</f>
        <v>0</v>
      </c>
      <c r="T291">
        <f>Source!Y331</f>
        <v>0</v>
      </c>
      <c r="U291">
        <f>ROUND((175/100)*ROUND(Source!R330, 2), 2)</f>
        <v>0</v>
      </c>
      <c r="V291">
        <f>ROUND((0/100)*ROUND(Source!R331, 2), 2)</f>
        <v>0</v>
      </c>
      <c r="AC291">
        <v>3</v>
      </c>
    </row>
    <row r="292" spans="1:29" ht="14.15" x14ac:dyDescent="0.3">
      <c r="A292" s="36"/>
      <c r="B292" s="36"/>
      <c r="C292" s="36" t="s">
        <v>644</v>
      </c>
      <c r="D292" s="38" t="s">
        <v>645</v>
      </c>
      <c r="E292" s="37">
        <f>Source!BZ321</f>
        <v>97</v>
      </c>
      <c r="F292" s="40"/>
      <c r="G292" s="39"/>
      <c r="H292" s="37"/>
      <c r="I292" s="40">
        <f>SUM(Q282:Q291)</f>
        <v>1438.71</v>
      </c>
      <c r="J292" s="37">
        <f>Source!AT321</f>
        <v>97</v>
      </c>
      <c r="K292" s="40">
        <f>SUM(R282:R291)</f>
        <v>79114.87</v>
      </c>
    </row>
    <row r="293" spans="1:29" ht="14.15" x14ac:dyDescent="0.3">
      <c r="A293" s="36"/>
      <c r="B293" s="36"/>
      <c r="C293" s="36" t="s">
        <v>646</v>
      </c>
      <c r="D293" s="38" t="s">
        <v>645</v>
      </c>
      <c r="E293" s="37">
        <f>Source!CA321</f>
        <v>51</v>
      </c>
      <c r="F293" s="40"/>
      <c r="G293" s="39"/>
      <c r="H293" s="37"/>
      <c r="I293" s="40">
        <f>SUM(S282:S292)</f>
        <v>756.44</v>
      </c>
      <c r="J293" s="37">
        <f>Source!AU321</f>
        <v>51</v>
      </c>
      <c r="K293" s="40">
        <f>SUM(T282:T292)</f>
        <v>41596.480000000003</v>
      </c>
    </row>
    <row r="294" spans="1:29" ht="14.15" x14ac:dyDescent="0.3">
      <c r="A294" s="43"/>
      <c r="B294" s="43"/>
      <c r="C294" s="43" t="s">
        <v>647</v>
      </c>
      <c r="D294" s="44" t="s">
        <v>648</v>
      </c>
      <c r="E294" s="45">
        <f>Source!AQ320</f>
        <v>17.64</v>
      </c>
      <c r="F294" s="46"/>
      <c r="G294" s="47" t="s">
        <v>29</v>
      </c>
      <c r="H294" s="45">
        <f>Source!AV321</f>
        <v>1.0469999999999999</v>
      </c>
      <c r="I294" s="46">
        <f>Source!U320</f>
        <v>129.81916332</v>
      </c>
      <c r="J294" s="45"/>
      <c r="K294" s="46"/>
    </row>
    <row r="295" spans="1:29" ht="14.15" x14ac:dyDescent="0.3">
      <c r="C295" s="48" t="s">
        <v>649</v>
      </c>
      <c r="H295" s="49">
        <f>I284+I285+I287+I292+I293+SUM(I288:I291)-SUMIF(AC288:AC291, 5, I288:I291)-SUMIF(AC288:AC291, 6, I288:I291)</f>
        <v>27256.420000000002</v>
      </c>
      <c r="I295" s="49"/>
      <c r="J295" s="49">
        <f>K284+K285+K287+K292+K293+SUM(K288:K291)-SUMIF(AC288:AC291, 5, K288:K291)-SUMIF(AC288:AC291, 6, K288:K291)</f>
        <v>401094.68</v>
      </c>
      <c r="K295" s="49"/>
    </row>
    <row r="296" spans="1:29" ht="14.15" hidden="1" x14ac:dyDescent="0.3">
      <c r="C296" s="48" t="s">
        <v>650</v>
      </c>
      <c r="H296" s="51">
        <f>SUMIF(AC288:AC291, 5, I288:I291)+SUMIF(AC288:AC291, 6, I288:I291)</f>
        <v>0</v>
      </c>
      <c r="I296" s="51"/>
      <c r="J296" s="51">
        <f>SUMIF(AC288:AC291, 5, K288:K291)+SUMIF(AC288:AC291, 6, K288:K291)</f>
        <v>0</v>
      </c>
      <c r="K296" s="51"/>
    </row>
    <row r="297" spans="1:29" ht="14.15" x14ac:dyDescent="0.3">
      <c r="C297" s="48" t="s">
        <v>651</v>
      </c>
      <c r="H297" s="51">
        <f>I284+I285+I287+I292+I293+SUM(I288:I291)</f>
        <v>27256.420000000002</v>
      </c>
      <c r="I297" s="51"/>
      <c r="J297" s="51">
        <f>K284+K285+K287+K292+K293+SUM(K288:K291)</f>
        <v>401094.68</v>
      </c>
      <c r="K297" s="51"/>
      <c r="O297" s="52">
        <f>I284+I285+I287+I292+I293+SUM(I288:I291)</f>
        <v>27256.420000000002</v>
      </c>
      <c r="P297" s="52">
        <f>K284+K285+K287+K292+K293+SUM(K288:K291)</f>
        <v>401094.68</v>
      </c>
    </row>
    <row r="299" spans="1:29" ht="78.45" x14ac:dyDescent="0.3">
      <c r="A299" s="36">
        <v>18</v>
      </c>
      <c r="B299" s="36" t="s">
        <v>696</v>
      </c>
      <c r="C299" s="36" t="s">
        <v>363</v>
      </c>
      <c r="D299" s="38" t="str">
        <f>Source!H332</f>
        <v>100 м</v>
      </c>
      <c r="E299" s="37">
        <f>Source!I332</f>
        <v>2.79</v>
      </c>
      <c r="F299" s="40"/>
      <c r="G299" s="39"/>
      <c r="H299" s="37"/>
      <c r="I299" s="40"/>
      <c r="J299" s="37"/>
      <c r="K299" s="40"/>
      <c r="Q299">
        <f>Source!X332</f>
        <v>1159.96</v>
      </c>
      <c r="R299">
        <f>Source!X333</f>
        <v>63786.46</v>
      </c>
      <c r="S299">
        <f>Source!Y332</f>
        <v>609.88</v>
      </c>
      <c r="T299">
        <f>Source!Y333</f>
        <v>33537.21</v>
      </c>
      <c r="U299">
        <f>ROUND((175/100)*ROUND(Source!R332, 2), 2)</f>
        <v>21.32</v>
      </c>
      <c r="V299">
        <f>ROUND((0/100)*ROUND(Source!R333, 2), 2)</f>
        <v>0</v>
      </c>
      <c r="AC299">
        <v>0</v>
      </c>
    </row>
    <row r="300" spans="1:29" x14ac:dyDescent="0.3">
      <c r="C300" s="53" t="str">
        <f>"Объем: "&amp;Source!I332&amp;"=279/"&amp;"100"</f>
        <v>Объем: 2,79=279/100</v>
      </c>
    </row>
    <row r="301" spans="1:29" ht="14.15" x14ac:dyDescent="0.3">
      <c r="A301" s="36"/>
      <c r="B301" s="36"/>
      <c r="C301" s="36" t="s">
        <v>637</v>
      </c>
      <c r="D301" s="38"/>
      <c r="E301" s="37"/>
      <c r="F301" s="40">
        <f>Source!AO332</f>
        <v>368.37</v>
      </c>
      <c r="G301" s="39" t="s">
        <v>29</v>
      </c>
      <c r="H301" s="37">
        <f>Source!AV333</f>
        <v>1.0469999999999999</v>
      </c>
      <c r="I301" s="40">
        <f>Source!S332</f>
        <v>1183.6600000000001</v>
      </c>
      <c r="J301" s="37">
        <f>IF(Source!BA333&lt;&gt; 0, Source!BA333, 1)</f>
        <v>54.99</v>
      </c>
      <c r="K301" s="40">
        <f>Source!S333</f>
        <v>65089.46</v>
      </c>
    </row>
    <row r="302" spans="1:29" ht="14.15" x14ac:dyDescent="0.3">
      <c r="A302" s="36"/>
      <c r="B302" s="36"/>
      <c r="C302" s="36" t="s">
        <v>638</v>
      </c>
      <c r="D302" s="38"/>
      <c r="E302" s="37"/>
      <c r="F302" s="40">
        <f>Source!AM332</f>
        <v>46.12</v>
      </c>
      <c r="G302" s="39" t="s">
        <v>29</v>
      </c>
      <c r="H302" s="37">
        <f>Source!AV333</f>
        <v>1.0469999999999999</v>
      </c>
      <c r="I302" s="40">
        <f>Source!Q332</f>
        <v>148.19</v>
      </c>
      <c r="J302" s="37">
        <f>IF(Source!BB333&lt;&gt; 0, Source!BB333, 1)</f>
        <v>13.82</v>
      </c>
      <c r="K302" s="40">
        <f>Source!Q333</f>
        <v>2047.99</v>
      </c>
    </row>
    <row r="303" spans="1:29" ht="14.15" x14ac:dyDescent="0.3">
      <c r="A303" s="36"/>
      <c r="B303" s="36"/>
      <c r="C303" s="36" t="s">
        <v>639</v>
      </c>
      <c r="D303" s="38"/>
      <c r="E303" s="37"/>
      <c r="F303" s="40">
        <f>Source!AN332</f>
        <v>3.79</v>
      </c>
      <c r="G303" s="39" t="s">
        <v>29</v>
      </c>
      <c r="H303" s="37">
        <f>Source!AV333</f>
        <v>1.0469999999999999</v>
      </c>
      <c r="I303" s="41">
        <f>Source!R332</f>
        <v>12.18</v>
      </c>
      <c r="J303" s="37">
        <f>IF(Source!BS333&lt;&gt; 0, Source!BS333, 1)</f>
        <v>54.99</v>
      </c>
      <c r="K303" s="41">
        <f>Source!R333</f>
        <v>669.78</v>
      </c>
    </row>
    <row r="304" spans="1:29" ht="14.15" x14ac:dyDescent="0.3">
      <c r="A304" s="36"/>
      <c r="B304" s="36"/>
      <c r="C304" s="36" t="s">
        <v>640</v>
      </c>
      <c r="D304" s="38"/>
      <c r="E304" s="37"/>
      <c r="F304" s="40">
        <f>Source!AL332</f>
        <v>663.31</v>
      </c>
      <c r="G304" s="39"/>
      <c r="H304" s="37">
        <f>Source!AW333</f>
        <v>1</v>
      </c>
      <c r="I304" s="40">
        <f>Source!P332</f>
        <v>1850.63</v>
      </c>
      <c r="J304" s="37">
        <f>IF(Source!BC333&lt;&gt; 0, Source!BC333, 1)</f>
        <v>3.11</v>
      </c>
      <c r="K304" s="40">
        <f>Source!P333</f>
        <v>5755.46</v>
      </c>
    </row>
    <row r="305" spans="1:29" ht="70.75" x14ac:dyDescent="0.3">
      <c r="A305" s="36" t="s">
        <v>365</v>
      </c>
      <c r="B305" s="36" t="str">
        <f>Source!F334</f>
        <v>1.12-5-44</v>
      </c>
      <c r="C305" s="36" t="s">
        <v>367</v>
      </c>
      <c r="D305" s="38" t="str">
        <f>Source!H334</f>
        <v>м</v>
      </c>
      <c r="E305" s="37">
        <f>Source!I334</f>
        <v>284.58</v>
      </c>
      <c r="F305" s="40">
        <f>Source!AK334</f>
        <v>9.16</v>
      </c>
      <c r="G305" s="42" t="s">
        <v>3</v>
      </c>
      <c r="H305" s="37">
        <f>Source!AW335</f>
        <v>1</v>
      </c>
      <c r="I305" s="40">
        <f>Source!O334</f>
        <v>2606.75</v>
      </c>
      <c r="J305" s="37">
        <f>IF(Source!BC335&lt;&gt; 0, Source!BC335, 1)</f>
        <v>5.62</v>
      </c>
      <c r="K305" s="40">
        <f>Source!O335</f>
        <v>14649.94</v>
      </c>
      <c r="Q305">
        <f>Source!X334</f>
        <v>0</v>
      </c>
      <c r="R305">
        <f>Source!X335</f>
        <v>0</v>
      </c>
      <c r="S305">
        <f>Source!Y334</f>
        <v>0</v>
      </c>
      <c r="T305">
        <f>Source!Y335</f>
        <v>0</v>
      </c>
      <c r="U305">
        <f>ROUND((175/100)*ROUND(Source!R334, 2), 2)</f>
        <v>0</v>
      </c>
      <c r="V305">
        <f>ROUND((0/100)*ROUND(Source!R335, 2), 2)</f>
        <v>0</v>
      </c>
      <c r="AC305">
        <v>3</v>
      </c>
    </row>
    <row r="306" spans="1:29" ht="28.3" x14ac:dyDescent="0.3">
      <c r="A306" s="36" t="s">
        <v>369</v>
      </c>
      <c r="B306" s="36" t="str">
        <f>Source!F336</f>
        <v>1.1-1-617</v>
      </c>
      <c r="C306" s="36" t="s">
        <v>371</v>
      </c>
      <c r="D306" s="38" t="str">
        <f>Source!H336</f>
        <v>кг</v>
      </c>
      <c r="E306" s="37">
        <f>Source!I336</f>
        <v>5</v>
      </c>
      <c r="F306" s="40">
        <f>Source!AK336</f>
        <v>42.53</v>
      </c>
      <c r="G306" s="42" t="s">
        <v>3</v>
      </c>
      <c r="H306" s="37">
        <f>Source!AW337</f>
        <v>1</v>
      </c>
      <c r="I306" s="40">
        <f>Source!O336</f>
        <v>212.65</v>
      </c>
      <c r="J306" s="37">
        <f>IF(Source!BC337&lt;&gt; 0, Source!BC337, 1)</f>
        <v>4.22</v>
      </c>
      <c r="K306" s="40">
        <f>Source!O337</f>
        <v>897.38</v>
      </c>
      <c r="Q306">
        <f>Source!X336</f>
        <v>0</v>
      </c>
      <c r="R306">
        <f>Source!X337</f>
        <v>0</v>
      </c>
      <c r="S306">
        <f>Source!Y336</f>
        <v>0</v>
      </c>
      <c r="T306">
        <f>Source!Y337</f>
        <v>0</v>
      </c>
      <c r="U306">
        <f>ROUND((175/100)*ROUND(Source!R336, 2), 2)</f>
        <v>0</v>
      </c>
      <c r="V306">
        <f>ROUND((0/100)*ROUND(Source!R337, 2), 2)</f>
        <v>0</v>
      </c>
      <c r="AC306">
        <v>3</v>
      </c>
    </row>
    <row r="307" spans="1:29" ht="14.15" x14ac:dyDescent="0.3">
      <c r="A307" s="36"/>
      <c r="B307" s="36"/>
      <c r="C307" s="36" t="s">
        <v>644</v>
      </c>
      <c r="D307" s="38" t="s">
        <v>645</v>
      </c>
      <c r="E307" s="37">
        <f>Source!BZ333</f>
        <v>97</v>
      </c>
      <c r="F307" s="40"/>
      <c r="G307" s="39"/>
      <c r="H307" s="37"/>
      <c r="I307" s="40">
        <f>SUM(Q299:Q306)</f>
        <v>1159.96</v>
      </c>
      <c r="J307" s="37">
        <f>Source!AT333</f>
        <v>97</v>
      </c>
      <c r="K307" s="40">
        <f>SUM(R299:R306)</f>
        <v>63786.46</v>
      </c>
    </row>
    <row r="308" spans="1:29" ht="14.15" x14ac:dyDescent="0.3">
      <c r="A308" s="36"/>
      <c r="B308" s="36"/>
      <c r="C308" s="36" t="s">
        <v>646</v>
      </c>
      <c r="D308" s="38" t="s">
        <v>645</v>
      </c>
      <c r="E308" s="37">
        <f>Source!CA333</f>
        <v>51</v>
      </c>
      <c r="F308" s="40"/>
      <c r="G308" s="39"/>
      <c r="H308" s="37"/>
      <c r="I308" s="40">
        <f>SUM(S299:S307)</f>
        <v>609.88</v>
      </c>
      <c r="J308" s="37">
        <f>Source!AU333</f>
        <v>51</v>
      </c>
      <c r="K308" s="40">
        <f>SUM(T299:T307)</f>
        <v>33537.21</v>
      </c>
    </row>
    <row r="309" spans="1:29" ht="14.15" x14ac:dyDescent="0.3">
      <c r="A309" s="43"/>
      <c r="B309" s="43"/>
      <c r="C309" s="43" t="s">
        <v>647</v>
      </c>
      <c r="D309" s="44" t="s">
        <v>648</v>
      </c>
      <c r="E309" s="45">
        <f>Source!AQ332</f>
        <v>29.9</v>
      </c>
      <c r="F309" s="46"/>
      <c r="G309" s="47" t="s">
        <v>29</v>
      </c>
      <c r="H309" s="45">
        <f>Source!AV333</f>
        <v>1.0469999999999999</v>
      </c>
      <c r="I309" s="46">
        <f>Source!U332</f>
        <v>96.075965699999983</v>
      </c>
      <c r="J309" s="45"/>
      <c r="K309" s="46"/>
    </row>
    <row r="310" spans="1:29" ht="14.15" x14ac:dyDescent="0.3">
      <c r="C310" s="48" t="s">
        <v>649</v>
      </c>
      <c r="H310" s="49">
        <f>I301+I302+I304+I307+I308+SUM(I305:I306)-SUMIF(AC305:AC306, 5, I305:I306)-SUMIF(AC305:AC306, 6, I305:I306)</f>
        <v>7771.7200000000012</v>
      </c>
      <c r="I310" s="49"/>
      <c r="J310" s="49">
        <f>K301+K302+K304+K307+K308+SUM(K305:K306)-SUMIF(AC305:AC306, 5, K305:K306)-SUMIF(AC305:AC306, 6, K305:K306)</f>
        <v>185763.9</v>
      </c>
      <c r="K310" s="49"/>
    </row>
    <row r="311" spans="1:29" ht="14.15" hidden="1" x14ac:dyDescent="0.3">
      <c r="C311" s="48" t="s">
        <v>650</v>
      </c>
      <c r="H311" s="51">
        <f>SUMIF(AC305:AC306, 5, I305:I306)+SUMIF(AC305:AC306, 6, I305:I306)</f>
        <v>0</v>
      </c>
      <c r="I311" s="51"/>
      <c r="J311" s="51">
        <f>SUMIF(AC305:AC306, 5, K305:K306)+SUMIF(AC305:AC306, 6, K305:K306)</f>
        <v>0</v>
      </c>
      <c r="K311" s="51"/>
    </row>
    <row r="312" spans="1:29" ht="14.15" x14ac:dyDescent="0.3">
      <c r="C312" s="48" t="s">
        <v>651</v>
      </c>
      <c r="H312" s="51">
        <f>I301+I302+I304+I307+I308+SUM(I305:I306)</f>
        <v>7771.7200000000012</v>
      </c>
      <c r="I312" s="51"/>
      <c r="J312" s="51">
        <f>K301+K302+K304+K307+K308+SUM(K305:K306)</f>
        <v>185763.9</v>
      </c>
      <c r="K312" s="51"/>
      <c r="O312" s="52">
        <f>I301+I302+I304+I307+I308+SUM(I305:I306)</f>
        <v>7771.7200000000012</v>
      </c>
      <c r="P312" s="52">
        <f>K301+K302+K304+K307+K308+SUM(K305:K306)</f>
        <v>185763.9</v>
      </c>
    </row>
    <row r="315" spans="1:29" ht="14.15" x14ac:dyDescent="0.35">
      <c r="A315" s="60" t="str">
        <f>CONCATENATE("Итого по разделу: ",IF(Source!G339&lt;&gt;"Новый раздел", Source!G339, ""))</f>
        <v>Итого по разделу: Кабель, трубы</v>
      </c>
      <c r="B315" s="60"/>
      <c r="C315" s="60"/>
      <c r="D315" s="60"/>
      <c r="E315" s="60"/>
      <c r="F315" s="60"/>
      <c r="G315" s="60"/>
      <c r="H315" s="51">
        <f>SUM(O249:O314)</f>
        <v>268159.99</v>
      </c>
      <c r="I315" s="50"/>
      <c r="J315" s="51">
        <f>SUM(P249:P314)</f>
        <v>4678602.0600000005</v>
      </c>
      <c r="K315" s="50"/>
    </row>
    <row r="316" spans="1:29" hidden="1" x14ac:dyDescent="0.3">
      <c r="A316" t="s">
        <v>659</v>
      </c>
      <c r="I316">
        <f>SUM(W249:W315)</f>
        <v>0</v>
      </c>
      <c r="J316">
        <f>SUM(X249:X315)</f>
        <v>0</v>
      </c>
    </row>
    <row r="317" spans="1:29" hidden="1" x14ac:dyDescent="0.3">
      <c r="A317" t="s">
        <v>660</v>
      </c>
      <c r="I317">
        <f>SUM(Y249:Y316)</f>
        <v>0</v>
      </c>
      <c r="J317">
        <f>SUM(Z249:Z316)</f>
        <v>0</v>
      </c>
    </row>
    <row r="319" spans="1:29" ht="14.15" x14ac:dyDescent="0.35">
      <c r="A319" s="60" t="str">
        <f>CONCATENATE("Итого по локальной смете: ",IF(Source!G369&lt;&gt;"Новая локальная смета", Source!G369, ""))</f>
        <v>Итого по локальной смете: Структурированная кабельная сеть</v>
      </c>
      <c r="B319" s="60"/>
      <c r="C319" s="60"/>
      <c r="D319" s="60"/>
      <c r="E319" s="60"/>
      <c r="F319" s="60"/>
      <c r="G319" s="60"/>
      <c r="H319" s="51">
        <f>SUM(O28:O318)</f>
        <v>1018202.68</v>
      </c>
      <c r="I319" s="50"/>
      <c r="J319" s="51">
        <f>SUM(P28:P318)</f>
        <v>12126021.729999999</v>
      </c>
      <c r="K319" s="50"/>
    </row>
    <row r="320" spans="1:29" hidden="1" x14ac:dyDescent="0.3">
      <c r="A320" t="s">
        <v>659</v>
      </c>
      <c r="I320">
        <f>SUM(W28:W319)</f>
        <v>0</v>
      </c>
      <c r="J320">
        <f>SUM(X28:X319)</f>
        <v>0</v>
      </c>
    </row>
    <row r="321" spans="1:11" hidden="1" x14ac:dyDescent="0.3">
      <c r="A321" t="s">
        <v>660</v>
      </c>
      <c r="I321">
        <f>SUM(Y28:Y320)</f>
        <v>0</v>
      </c>
      <c r="J321">
        <f>SUM(Z28:Z320)</f>
        <v>0</v>
      </c>
    </row>
    <row r="324" spans="1:11" ht="14.15" x14ac:dyDescent="0.35">
      <c r="A324" s="62" t="s">
        <v>698</v>
      </c>
      <c r="B324" s="62"/>
      <c r="C324" s="63" t="str">
        <f>IF(Source!AC12&lt;&gt;"", Source!AC12," ")</f>
        <v xml:space="preserve"> </v>
      </c>
      <c r="D324" s="63"/>
      <c r="E324" s="63"/>
      <c r="F324" s="63"/>
      <c r="G324" s="63"/>
      <c r="H324" s="25" t="str">
        <f>IF(Source!AB12&lt;&gt;"", Source!AB12," ")</f>
        <v>Лукьянова А.Л.</v>
      </c>
      <c r="I324" s="25"/>
      <c r="J324" s="25"/>
      <c r="K324" s="25"/>
    </row>
    <row r="325" spans="1:11" ht="14.15" x14ac:dyDescent="0.35">
      <c r="A325" s="12"/>
      <c r="B325" s="12"/>
      <c r="C325" s="14" t="s">
        <v>699</v>
      </c>
      <c r="D325" s="14"/>
      <c r="E325" s="14"/>
      <c r="F325" s="14"/>
      <c r="G325" s="14"/>
      <c r="H325" s="12"/>
      <c r="I325" s="12"/>
      <c r="J325" s="12"/>
      <c r="K325" s="12"/>
    </row>
    <row r="326" spans="1:11" ht="14.15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ht="14.15" x14ac:dyDescent="0.35">
      <c r="A327" s="62" t="s">
        <v>700</v>
      </c>
      <c r="B327" s="62"/>
      <c r="C327" s="63" t="str">
        <f>IF(Source!AE12&lt;&gt;"", Source!AE12," ")</f>
        <v xml:space="preserve"> </v>
      </c>
      <c r="D327" s="63"/>
      <c r="E327" s="63"/>
      <c r="F327" s="63"/>
      <c r="G327" s="63"/>
      <c r="H327" s="25" t="str">
        <f>IF(Source!AD12&lt;&gt;"", Source!AD12," ")</f>
        <v xml:space="preserve"> </v>
      </c>
      <c r="I327" s="25"/>
      <c r="J327" s="25"/>
      <c r="K327" s="25"/>
    </row>
    <row r="328" spans="1:11" ht="14.15" x14ac:dyDescent="0.35">
      <c r="A328" s="12"/>
      <c r="B328" s="12"/>
      <c r="C328" s="14" t="s">
        <v>699</v>
      </c>
      <c r="D328" s="14"/>
      <c r="E328" s="14"/>
      <c r="F328" s="14"/>
      <c r="G328" s="14"/>
      <c r="H328" s="12"/>
      <c r="I328" s="12"/>
      <c r="J328" s="12"/>
      <c r="K328" s="12"/>
    </row>
  </sheetData>
  <mergeCells count="154">
    <mergeCell ref="C325:G325"/>
    <mergeCell ref="A327:B327"/>
    <mergeCell ref="H327:K327"/>
    <mergeCell ref="C328:G328"/>
    <mergeCell ref="A315:G315"/>
    <mergeCell ref="J319:K319"/>
    <mergeCell ref="H319:I319"/>
    <mergeCell ref="A319:G319"/>
    <mergeCell ref="A324:B324"/>
    <mergeCell ref="H324:K324"/>
    <mergeCell ref="H311:I311"/>
    <mergeCell ref="J311:K311"/>
    <mergeCell ref="H312:I312"/>
    <mergeCell ref="J312:K312"/>
    <mergeCell ref="J315:K315"/>
    <mergeCell ref="H315:I315"/>
    <mergeCell ref="H296:I296"/>
    <mergeCell ref="J296:K296"/>
    <mergeCell ref="H297:I297"/>
    <mergeCell ref="J297:K297"/>
    <mergeCell ref="H310:I310"/>
    <mergeCell ref="J310:K310"/>
    <mergeCell ref="H279:I279"/>
    <mergeCell ref="J279:K279"/>
    <mergeCell ref="H280:I280"/>
    <mergeCell ref="J280:K280"/>
    <mergeCell ref="H295:I295"/>
    <mergeCell ref="J295:K295"/>
    <mergeCell ref="H262:I262"/>
    <mergeCell ref="J262:K262"/>
    <mergeCell ref="H263:I263"/>
    <mergeCell ref="J263:K263"/>
    <mergeCell ref="H278:I278"/>
    <mergeCell ref="J278:K278"/>
    <mergeCell ref="J245:K245"/>
    <mergeCell ref="H245:I245"/>
    <mergeCell ref="A245:G245"/>
    <mergeCell ref="A249:K249"/>
    <mergeCell ref="H261:I261"/>
    <mergeCell ref="J261:K261"/>
    <mergeCell ref="H240:I240"/>
    <mergeCell ref="J240:K240"/>
    <mergeCell ref="H241:I241"/>
    <mergeCell ref="J241:K241"/>
    <mergeCell ref="H242:I242"/>
    <mergeCell ref="J242:K242"/>
    <mergeCell ref="H229:I229"/>
    <mergeCell ref="J229:K229"/>
    <mergeCell ref="H230:I230"/>
    <mergeCell ref="J230:K230"/>
    <mergeCell ref="H231:I231"/>
    <mergeCell ref="J231:K231"/>
    <mergeCell ref="H218:I218"/>
    <mergeCell ref="J218:K218"/>
    <mergeCell ref="H219:I219"/>
    <mergeCell ref="J219:K219"/>
    <mergeCell ref="H220:I220"/>
    <mergeCell ref="J220:K220"/>
    <mergeCell ref="H205:I205"/>
    <mergeCell ref="J205:K205"/>
    <mergeCell ref="H206:I206"/>
    <mergeCell ref="J206:K206"/>
    <mergeCell ref="H207:I207"/>
    <mergeCell ref="J207:K207"/>
    <mergeCell ref="H185:I185"/>
    <mergeCell ref="J185:K185"/>
    <mergeCell ref="H186:I186"/>
    <mergeCell ref="J186:K186"/>
    <mergeCell ref="H187:I187"/>
    <mergeCell ref="J187:K187"/>
    <mergeCell ref="H173:I173"/>
    <mergeCell ref="J173:K173"/>
    <mergeCell ref="H174:I174"/>
    <mergeCell ref="J174:K174"/>
    <mergeCell ref="H175:I175"/>
    <mergeCell ref="J175:K175"/>
    <mergeCell ref="H151:I151"/>
    <mergeCell ref="J151:K151"/>
    <mergeCell ref="J154:K154"/>
    <mergeCell ref="H154:I154"/>
    <mergeCell ref="A154:G154"/>
    <mergeCell ref="A158:K158"/>
    <mergeCell ref="H141:I141"/>
    <mergeCell ref="J141:K141"/>
    <mergeCell ref="H149:I149"/>
    <mergeCell ref="J149:K149"/>
    <mergeCell ref="H150:I150"/>
    <mergeCell ref="J150:K150"/>
    <mergeCell ref="A122:G122"/>
    <mergeCell ref="A126:K126"/>
    <mergeCell ref="H139:I139"/>
    <mergeCell ref="J139:K139"/>
    <mergeCell ref="H140:I140"/>
    <mergeCell ref="J140:K140"/>
    <mergeCell ref="H118:I118"/>
    <mergeCell ref="J118:K118"/>
    <mergeCell ref="H119:I119"/>
    <mergeCell ref="J119:K119"/>
    <mergeCell ref="J122:K122"/>
    <mergeCell ref="H122:I122"/>
    <mergeCell ref="H102:I102"/>
    <mergeCell ref="J102:K102"/>
    <mergeCell ref="H103:I103"/>
    <mergeCell ref="J103:K103"/>
    <mergeCell ref="H117:I117"/>
    <mergeCell ref="J117:K117"/>
    <mergeCell ref="H90:I90"/>
    <mergeCell ref="J90:K90"/>
    <mergeCell ref="H91:I91"/>
    <mergeCell ref="J91:K91"/>
    <mergeCell ref="H101:I101"/>
    <mergeCell ref="J101:K101"/>
    <mergeCell ref="J72:K72"/>
    <mergeCell ref="H72:I72"/>
    <mergeCell ref="A72:G72"/>
    <mergeCell ref="A76:K76"/>
    <mergeCell ref="H89:I89"/>
    <mergeCell ref="J89:K89"/>
    <mergeCell ref="H67:I67"/>
    <mergeCell ref="J67:K67"/>
    <mergeCell ref="H68:I68"/>
    <mergeCell ref="J68:K68"/>
    <mergeCell ref="H69:I69"/>
    <mergeCell ref="J69:K69"/>
    <mergeCell ref="H57:I57"/>
    <mergeCell ref="J57:K57"/>
    <mergeCell ref="H58:I58"/>
    <mergeCell ref="J58:K58"/>
    <mergeCell ref="H59:I59"/>
    <mergeCell ref="J59:K59"/>
    <mergeCell ref="H41:I41"/>
    <mergeCell ref="J41:K41"/>
    <mergeCell ref="H42:I42"/>
    <mergeCell ref="J42:K42"/>
    <mergeCell ref="H43:I43"/>
    <mergeCell ref="J43:K43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1"/>
  <sheetViews>
    <sheetView zoomScaleNormal="100" workbookViewId="0"/>
  </sheetViews>
  <sheetFormatPr defaultRowHeight="12.45" x14ac:dyDescent="0.3"/>
  <cols>
    <col min="1" max="2" width="6.69140625" customWidth="1"/>
    <col min="3" max="3" width="75.69140625" customWidth="1"/>
    <col min="4" max="8" width="15.69140625" customWidth="1"/>
    <col min="30" max="32" width="0" hidden="1" customWidth="1"/>
  </cols>
  <sheetData>
    <row r="1" spans="1:8" x14ac:dyDescent="0.3">
      <c r="A1" s="11" t="str">
        <f>Source!B1</f>
        <v>Smeta.RU  (495) 974-1589</v>
      </c>
    </row>
    <row r="2" spans="1:8" ht="14.15" x14ac:dyDescent="0.35">
      <c r="D2" s="12"/>
      <c r="E2" s="12"/>
    </row>
    <row r="3" spans="1:8" ht="14.15" x14ac:dyDescent="0.35">
      <c r="D3" s="12"/>
      <c r="E3" s="59" t="s">
        <v>701</v>
      </c>
    </row>
    <row r="4" spans="1:8" ht="14.15" x14ac:dyDescent="0.35">
      <c r="D4" s="59"/>
      <c r="E4" s="59"/>
    </row>
    <row r="5" spans="1:8" ht="14.15" x14ac:dyDescent="0.35">
      <c r="D5" s="64" t="s">
        <v>702</v>
      </c>
      <c r="E5" s="64"/>
    </row>
    <row r="6" spans="1:8" ht="14.15" x14ac:dyDescent="0.35">
      <c r="D6" s="65"/>
      <c r="E6" s="65"/>
    </row>
    <row r="7" spans="1:8" ht="14.15" x14ac:dyDescent="0.35">
      <c r="D7" s="64" t="s">
        <v>702</v>
      </c>
      <c r="E7" s="64"/>
    </row>
    <row r="8" spans="1:8" ht="14.15" x14ac:dyDescent="0.35">
      <c r="D8" s="65"/>
      <c r="E8" s="65"/>
    </row>
    <row r="9" spans="1:8" ht="14.15" x14ac:dyDescent="0.35">
      <c r="D9" s="59" t="s">
        <v>703</v>
      </c>
      <c r="E9" s="12"/>
    </row>
    <row r="10" spans="1:8" ht="14.15" x14ac:dyDescent="0.35">
      <c r="D10" s="12"/>
      <c r="E10" s="12"/>
    </row>
    <row r="12" spans="1:8" ht="15.45" x14ac:dyDescent="0.3">
      <c r="B12" s="66" t="str">
        <f>CONCATENATE("Ведомость объемов работ ", IF(Source!AN15&lt;&gt;"", Source!AN15," "))</f>
        <v xml:space="preserve">Ведомость объемов работ  </v>
      </c>
      <c r="C12" s="66"/>
      <c r="D12" s="66"/>
      <c r="E12" s="66"/>
    </row>
    <row r="13" spans="1:8" ht="14.15" x14ac:dyDescent="0.3">
      <c r="B13" s="67" t="str">
        <f>CONCATENATE(Source!F12, " ", Source!G12)</f>
        <v>02-01-12 02-01-12 СКС</v>
      </c>
      <c r="C13" s="67"/>
      <c r="D13" s="67"/>
      <c r="E13" s="67"/>
    </row>
    <row r="14" spans="1:8" hidden="1" x14ac:dyDescent="0.3"/>
    <row r="16" spans="1:8" ht="70.75" x14ac:dyDescent="0.3">
      <c r="A16" s="31" t="s">
        <v>621</v>
      </c>
      <c r="B16" s="31" t="s">
        <v>704</v>
      </c>
      <c r="C16" s="31" t="s">
        <v>623</v>
      </c>
      <c r="D16" s="31" t="s">
        <v>705</v>
      </c>
      <c r="E16" s="31" t="s">
        <v>706</v>
      </c>
      <c r="F16" s="31" t="s">
        <v>707</v>
      </c>
      <c r="G16" s="31" t="s">
        <v>708</v>
      </c>
      <c r="H16" s="31" t="s">
        <v>709</v>
      </c>
    </row>
    <row r="17" spans="1:8" ht="14.15" x14ac:dyDescent="0.3">
      <c r="A17" s="31">
        <v>1</v>
      </c>
      <c r="B17" s="31">
        <v>2</v>
      </c>
      <c r="C17" s="31">
        <v>3</v>
      </c>
      <c r="D17" s="31">
        <v>4</v>
      </c>
      <c r="E17" s="31">
        <v>5</v>
      </c>
      <c r="F17" s="31">
        <v>6</v>
      </c>
      <c r="G17" s="31">
        <v>7</v>
      </c>
      <c r="H17" s="31">
        <v>8</v>
      </c>
    </row>
    <row r="18" spans="1:8" ht="16.3" x14ac:dyDescent="0.4">
      <c r="A18" s="68" t="str">
        <f>CONCATENATE("Локальная смета: ", Source!G20)</f>
        <v>Локальная смета: Структурированная кабельная сеть</v>
      </c>
      <c r="B18" s="68"/>
      <c r="C18" s="68"/>
      <c r="D18" s="68"/>
      <c r="E18" s="68"/>
      <c r="F18" s="68"/>
      <c r="G18" s="68"/>
      <c r="H18" s="68"/>
    </row>
    <row r="19" spans="1:8" ht="16.3" x14ac:dyDescent="0.4">
      <c r="A19" s="68" t="str">
        <f>CONCATENATE("Раздел: ", Source!G24)</f>
        <v>Раздел: Телекоммуникационный шкаф 47U 19" ШТ1-01</v>
      </c>
      <c r="B19" s="68"/>
      <c r="C19" s="68"/>
      <c r="D19" s="68"/>
      <c r="E19" s="68"/>
      <c r="F19" s="68"/>
      <c r="G19" s="68"/>
      <c r="H19" s="68"/>
    </row>
    <row r="20" spans="1:8" ht="14.15" x14ac:dyDescent="0.3">
      <c r="A20" s="31">
        <v>1</v>
      </c>
      <c r="B20" s="31" t="str">
        <f>Source!E28</f>
        <v>1</v>
      </c>
      <c r="C20" s="71" t="str">
        <f>Source!G28</f>
        <v>Монтаж стойки, полустойки, каркаса стойки или шкафа массой до 100 кг</v>
      </c>
      <c r="D20" s="31" t="s">
        <v>22</v>
      </c>
      <c r="E20" s="72">
        <f>Source!I28</f>
        <v>1</v>
      </c>
      <c r="F20" s="31" t="str">
        <f>Source!U24</f>
        <v/>
      </c>
      <c r="G20" s="31">
        <f>Source!I28</f>
        <v>1</v>
      </c>
      <c r="H20" s="71"/>
    </row>
    <row r="21" spans="1:8" ht="14.15" x14ac:dyDescent="0.3">
      <c r="A21" s="31">
        <v>1.1000000000000001</v>
      </c>
      <c r="B21" s="31" t="str">
        <f>Source!E30</f>
        <v>1,1</v>
      </c>
      <c r="C21" s="71" t="str">
        <f>Source!G30</f>
        <v>Шкаф 19" серии Racknet S3000, 47U 60F-47-7C-94BL</v>
      </c>
      <c r="D21" s="31" t="s">
        <v>32</v>
      </c>
      <c r="E21" s="72">
        <f>Source!I30</f>
        <v>1</v>
      </c>
      <c r="F21" s="31" t="str">
        <f>Source!U24</f>
        <v/>
      </c>
      <c r="G21" s="31"/>
      <c r="H21" s="71"/>
    </row>
    <row r="22" spans="1:8" ht="14.15" x14ac:dyDescent="0.3">
      <c r="A22" s="31">
        <v>1.2</v>
      </c>
      <c r="B22" s="31" t="str">
        <f>Source!E32</f>
        <v>1,2</v>
      </c>
      <c r="C22" s="71" t="str">
        <f>Source!G32</f>
        <v>Вертикальный органайзер 60А-18-47-01-31BL</v>
      </c>
      <c r="D22" s="31" t="s">
        <v>32</v>
      </c>
      <c r="E22" s="72">
        <f>Source!I32</f>
        <v>1</v>
      </c>
      <c r="F22" s="31" t="str">
        <f>Source!U24</f>
        <v/>
      </c>
      <c r="G22" s="31"/>
      <c r="H22" s="71"/>
    </row>
    <row r="23" spans="1:8" ht="14.15" x14ac:dyDescent="0.3">
      <c r="A23" s="31">
        <v>1.3</v>
      </c>
      <c r="B23" s="31" t="str">
        <f>Source!E34</f>
        <v>1,3</v>
      </c>
      <c r="C23" s="71" t="str">
        <f>Source!G34</f>
        <v>Набор для креnленuя лоmков к крышке шкафов, высоmа 50мм 60А-31-08-ЗЗВL</v>
      </c>
      <c r="D23" s="31" t="s">
        <v>32</v>
      </c>
      <c r="E23" s="72">
        <f>Source!I34</f>
        <v>1</v>
      </c>
      <c r="F23" s="31" t="str">
        <f>Source!U24</f>
        <v/>
      </c>
      <c r="G23" s="31"/>
      <c r="H23" s="71"/>
    </row>
    <row r="24" spans="1:8" ht="14.15" x14ac:dyDescent="0.3">
      <c r="A24" s="31">
        <v>2</v>
      </c>
      <c r="B24" s="31" t="str">
        <f>Source!E36</f>
        <v>2</v>
      </c>
      <c r="C24" s="71" t="str">
        <f>Source!G36</f>
        <v>Установка съемных и выдвижных блоков (модулей, ячеек, ТЭЗ) массой до 5 кг</v>
      </c>
      <c r="D24" s="31" t="s">
        <v>22</v>
      </c>
      <c r="E24" s="72">
        <f>Source!I36</f>
        <v>4</v>
      </c>
      <c r="F24" s="31" t="str">
        <f>Source!U24</f>
        <v/>
      </c>
      <c r="G24" s="31" t="str">
        <f>"=1+"&amp;"1+"&amp;"1+"&amp;"1"</f>
        <v>=1+1+1+1</v>
      </c>
      <c r="H24" s="71"/>
    </row>
    <row r="25" spans="1:8" ht="14.15" x14ac:dyDescent="0.3">
      <c r="A25" s="31">
        <v>2.1</v>
      </c>
      <c r="B25" s="31" t="str">
        <f>Source!E38</f>
        <v>2,1</v>
      </c>
      <c r="C25" s="71" t="str">
        <f>Source!G38</f>
        <v>Вентиляторная панель 60А-91-11-30ВL</v>
      </c>
      <c r="D25" s="31" t="s">
        <v>32</v>
      </c>
      <c r="E25" s="72">
        <f>Source!I38</f>
        <v>1</v>
      </c>
      <c r="F25" s="31" t="str">
        <f>Source!U24</f>
        <v/>
      </c>
      <c r="G25" s="31"/>
      <c r="H25" s="71"/>
    </row>
    <row r="26" spans="1:8" ht="14.15" x14ac:dyDescent="0.3">
      <c r="A26" s="31">
        <v>2.2000000000000002</v>
      </c>
      <c r="B26" s="31" t="str">
        <f>Source!E40</f>
        <v>2,2</v>
      </c>
      <c r="C26" s="71" t="str">
        <f>Source!G40</f>
        <v>Выдвижная полка для клавиатуры 60А-04-45-11BL</v>
      </c>
      <c r="D26" s="31" t="s">
        <v>32</v>
      </c>
      <c r="E26" s="72">
        <f>Source!I40</f>
        <v>1</v>
      </c>
      <c r="F26" s="31" t="str">
        <f>Source!U24</f>
        <v/>
      </c>
      <c r="G26" s="31"/>
      <c r="H26" s="71"/>
    </row>
    <row r="27" spans="1:8" ht="14.15" x14ac:dyDescent="0.3">
      <c r="A27" s="31">
        <v>2.2999999999999998</v>
      </c>
      <c r="B27" s="31" t="str">
        <f>Source!E42</f>
        <v>2,3</v>
      </c>
      <c r="C27" s="71" t="str">
        <f>Source!G42</f>
        <v>Полка сmацuонарная регулuруемая 1U до 50кг, 370мм, для 600мм</v>
      </c>
      <c r="D27" s="31" t="s">
        <v>32</v>
      </c>
      <c r="E27" s="72">
        <f>Source!I42</f>
        <v>1</v>
      </c>
      <c r="F27" s="31" t="str">
        <f>Source!U24</f>
        <v/>
      </c>
      <c r="G27" s="31"/>
      <c r="H27" s="71"/>
    </row>
    <row r="28" spans="1:8" ht="14.15" x14ac:dyDescent="0.3">
      <c r="A28" s="31">
        <v>2.4</v>
      </c>
      <c r="B28" s="31" t="str">
        <f>Source!E44</f>
        <v>2,4</v>
      </c>
      <c r="C28" s="71" t="str">
        <f>Source!G44</f>
        <v>Панель освещенuя на магнumах, унuверсальная цвеm черныu 60A-05-15BL</v>
      </c>
      <c r="D28" s="31" t="s">
        <v>32</v>
      </c>
      <c r="E28" s="72">
        <f>Source!I44</f>
        <v>1</v>
      </c>
      <c r="F28" s="31" t="str">
        <f>Source!U24</f>
        <v/>
      </c>
      <c r="G28" s="31"/>
      <c r="H28" s="71"/>
    </row>
    <row r="29" spans="1:8" ht="28.3" x14ac:dyDescent="0.3">
      <c r="A29" s="31">
        <v>3</v>
      </c>
      <c r="B29" s="31" t="str">
        <f>Source!E46</f>
        <v>3</v>
      </c>
      <c r="C29" s="71" t="str">
        <f>Source!G46</f>
        <v>Включение штепсельных разъемов в аппаратуру, количество контактов в разъеме до 14</v>
      </c>
      <c r="D29" s="31" t="s">
        <v>71</v>
      </c>
      <c r="E29" s="72">
        <f>Source!I46</f>
        <v>1</v>
      </c>
      <c r="F29" s="31" t="str">
        <f>Source!U24</f>
        <v/>
      </c>
      <c r="G29" s="31">
        <f>Source!I46</f>
        <v>1</v>
      </c>
      <c r="H29" s="71"/>
    </row>
    <row r="30" spans="1:8" ht="14.15" x14ac:dyDescent="0.3">
      <c r="A30" s="31">
        <v>3.1</v>
      </c>
      <c r="B30" s="31" t="str">
        <f>Source!E48</f>
        <v>3,1</v>
      </c>
      <c r="C30" s="71" t="str">
        <f>Source!G48</f>
        <v>Шнур питания для вент. панели IEC 320 C14</v>
      </c>
      <c r="D30" s="31" t="s">
        <v>32</v>
      </c>
      <c r="E30" s="72">
        <f>Source!I48</f>
        <v>1</v>
      </c>
      <c r="F30" s="31" t="str">
        <f>Source!U24</f>
        <v/>
      </c>
      <c r="G30" s="31"/>
      <c r="H30" s="71"/>
    </row>
    <row r="31" spans="1:8" ht="16.3" x14ac:dyDescent="0.4">
      <c r="A31" s="68" t="str">
        <f>CONCATENATE("Раздел: ", Source!G81)</f>
        <v>Раздел: Телекоммуникационный шкаф 42U 19" ШТ1-2,1-3,1-4; ШТ2-5,2-6; ШТ3-7,3-8</v>
      </c>
      <c r="B31" s="68"/>
      <c r="C31" s="68"/>
      <c r="D31" s="68"/>
      <c r="E31" s="68"/>
      <c r="F31" s="68"/>
      <c r="G31" s="68"/>
      <c r="H31" s="68"/>
    </row>
    <row r="32" spans="1:8" ht="14.15" x14ac:dyDescent="0.3">
      <c r="A32" s="31">
        <v>4</v>
      </c>
      <c r="B32" s="31" t="str">
        <f>Source!E85</f>
        <v>4</v>
      </c>
      <c r="C32" s="71" t="str">
        <f>Source!G85</f>
        <v>Монтаж стойки, полустойки, каркаса стойки или шкафа массой до 100 кг</v>
      </c>
      <c r="D32" s="31" t="s">
        <v>22</v>
      </c>
      <c r="E32" s="72">
        <f>Source!I85</f>
        <v>7</v>
      </c>
      <c r="F32" s="31" t="str">
        <f>Source!U81</f>
        <v/>
      </c>
      <c r="G32" s="31">
        <f>Source!I85</f>
        <v>7</v>
      </c>
      <c r="H32" s="71"/>
    </row>
    <row r="33" spans="1:8" ht="14.15" x14ac:dyDescent="0.3">
      <c r="A33" s="31">
        <v>4.0999999999999996</v>
      </c>
      <c r="B33" s="31" t="str">
        <f>Source!E87</f>
        <v>4,1</v>
      </c>
      <c r="C33" s="71" t="str">
        <f>Source!G87</f>
        <v>Шкаф 19" серии Racknet S3000, 42U 60F-42-88-31BL</v>
      </c>
      <c r="D33" s="31" t="s">
        <v>32</v>
      </c>
      <c r="E33" s="72">
        <f>Source!I87</f>
        <v>7</v>
      </c>
      <c r="F33" s="31" t="str">
        <f>Source!U81</f>
        <v/>
      </c>
      <c r="G33" s="31"/>
      <c r="H33" s="71"/>
    </row>
    <row r="34" spans="1:8" ht="14.15" x14ac:dyDescent="0.3">
      <c r="A34" s="31">
        <v>4.2</v>
      </c>
      <c r="B34" s="31" t="str">
        <f>Source!E89</f>
        <v>4,2</v>
      </c>
      <c r="C34" s="71" t="str">
        <f>Source!G89</f>
        <v>Вертикальный органайзер 60А-18-42-01-31BL</v>
      </c>
      <c r="D34" s="31" t="s">
        <v>32</v>
      </c>
      <c r="E34" s="72">
        <f>Source!I89</f>
        <v>7</v>
      </c>
      <c r="F34" s="31" t="str">
        <f>Source!U81</f>
        <v/>
      </c>
      <c r="G34" s="31"/>
      <c r="H34" s="71"/>
    </row>
    <row r="35" spans="1:8" ht="14.15" x14ac:dyDescent="0.3">
      <c r="A35" s="31">
        <v>4.3</v>
      </c>
      <c r="B35" s="31" t="str">
        <f>Source!E91</f>
        <v>4,3</v>
      </c>
      <c r="C35" s="71" t="str">
        <f>Source!G91</f>
        <v>Шuна заземленuя 19" (500мм), 20 mочек, 5х15мм 60A-14-11GR</v>
      </c>
      <c r="D35" s="31" t="s">
        <v>32</v>
      </c>
      <c r="E35" s="72">
        <f>Source!I91</f>
        <v>8</v>
      </c>
      <c r="F35" s="31" t="str">
        <f>Source!U81</f>
        <v/>
      </c>
      <c r="G35" s="31"/>
      <c r="H35" s="71"/>
    </row>
    <row r="36" spans="1:8" ht="14.15" x14ac:dyDescent="0.3">
      <c r="A36" s="31">
        <v>4.4000000000000004</v>
      </c>
      <c r="B36" s="31" t="str">
        <f>Source!E93</f>
        <v>4,4</v>
      </c>
      <c r="C36" s="71" t="str">
        <f>Source!G93</f>
        <v>Набор для креnленuя лоmков к крышке шкафов, высоmа 50мм 60А-31-08-ЗЗВL</v>
      </c>
      <c r="D36" s="31" t="s">
        <v>32</v>
      </c>
      <c r="E36" s="72">
        <f>Source!I93</f>
        <v>7</v>
      </c>
      <c r="F36" s="31" t="str">
        <f>Source!U81</f>
        <v/>
      </c>
      <c r="G36" s="31"/>
      <c r="H36" s="71"/>
    </row>
    <row r="37" spans="1:8" ht="28.3" x14ac:dyDescent="0.3">
      <c r="A37" s="31">
        <v>5</v>
      </c>
      <c r="B37" s="31" t="str">
        <f>Source!E95</f>
        <v>5</v>
      </c>
      <c r="C37" s="71" t="str">
        <f>Source!G95</f>
        <v>Включение штепсельных разъемов в аппаратуру, количество контактов в разъеме до 14</v>
      </c>
      <c r="D37" s="31" t="s">
        <v>71</v>
      </c>
      <c r="E37" s="72">
        <f>Source!I95</f>
        <v>71</v>
      </c>
      <c r="F37" s="31" t="str">
        <f>Source!U81</f>
        <v/>
      </c>
      <c r="G37" s="31" t="str">
        <f>"=7+"&amp;"8*"&amp;"8"</f>
        <v>=7+8*8</v>
      </c>
      <c r="H37" s="71"/>
    </row>
    <row r="38" spans="1:8" ht="14.15" x14ac:dyDescent="0.3">
      <c r="A38" s="31">
        <v>5.0999999999999996</v>
      </c>
      <c r="B38" s="31" t="str">
        <f>Source!E97</f>
        <v>5,1</v>
      </c>
      <c r="C38" s="71" t="str">
        <f>Source!G97</f>
        <v>Шнур питания для вент. панели IEC 320 C14</v>
      </c>
      <c r="D38" s="31" t="s">
        <v>32</v>
      </c>
      <c r="E38" s="72">
        <f>Source!I97</f>
        <v>6.9999999999999991</v>
      </c>
      <c r="F38" s="31" t="str">
        <f>Source!U81</f>
        <v/>
      </c>
      <c r="G38" s="31"/>
      <c r="H38" s="71"/>
    </row>
    <row r="39" spans="1:8" ht="28.3" x14ac:dyDescent="0.3">
      <c r="A39" s="31">
        <v>5.2</v>
      </c>
      <c r="B39" s="31" t="str">
        <f>Source!E99</f>
        <v>5,2</v>
      </c>
      <c r="C39" s="71" t="str">
        <f>Source!G99</f>
        <v>Набор nроводов заземленuя, 4 nровода 250ммх4мм2, 4 nровода, 150мм х4мм2 60A-14-13GR</v>
      </c>
      <c r="D39" s="31" t="s">
        <v>32</v>
      </c>
      <c r="E39" s="72">
        <f>Source!I99</f>
        <v>8</v>
      </c>
      <c r="F39" s="31" t="str">
        <f>Source!U81</f>
        <v/>
      </c>
      <c r="G39" s="31"/>
      <c r="H39" s="71"/>
    </row>
    <row r="40" spans="1:8" ht="14.15" x14ac:dyDescent="0.3">
      <c r="A40" s="31">
        <v>6</v>
      </c>
      <c r="B40" s="31" t="str">
        <f>Source!E101</f>
        <v>6</v>
      </c>
      <c r="C40" s="71" t="str">
        <f>Source!G101</f>
        <v>Установка съемных и выдвижных блоков (модулей, ячеек, ТЭЗ) массой до 5 кг</v>
      </c>
      <c r="D40" s="31" t="s">
        <v>22</v>
      </c>
      <c r="E40" s="72">
        <f>Source!I101</f>
        <v>28</v>
      </c>
      <c r="F40" s="31" t="str">
        <f>Source!U81</f>
        <v/>
      </c>
      <c r="G40" s="31" t="str">
        <f>"=7+"&amp;"7+"&amp;"7+"&amp;"7"</f>
        <v>=7+7+7+7</v>
      </c>
      <c r="H40" s="71"/>
    </row>
    <row r="41" spans="1:8" ht="14.15" x14ac:dyDescent="0.3">
      <c r="A41" s="31">
        <v>6.1</v>
      </c>
      <c r="B41" s="31" t="str">
        <f>Source!E103</f>
        <v>6,1</v>
      </c>
      <c r="C41" s="71" t="str">
        <f>Source!G103</f>
        <v>Вентиляторная панель 60А-91-11-30ВL</v>
      </c>
      <c r="D41" s="31" t="s">
        <v>32</v>
      </c>
      <c r="E41" s="72">
        <f>Source!I103</f>
        <v>7</v>
      </c>
      <c r="F41" s="31" t="str">
        <f>Source!U81</f>
        <v/>
      </c>
      <c r="G41" s="31"/>
      <c r="H41" s="71"/>
    </row>
    <row r="42" spans="1:8" ht="14.15" x14ac:dyDescent="0.3">
      <c r="A42" s="31">
        <v>6.2</v>
      </c>
      <c r="B42" s="31" t="str">
        <f>Source!E105</f>
        <v>6,2</v>
      </c>
      <c r="C42" s="71" t="str">
        <f>Source!G105</f>
        <v>Выдвижная полка для клавиатуры 60А-04-45-11BL</v>
      </c>
      <c r="D42" s="31" t="s">
        <v>32</v>
      </c>
      <c r="E42" s="72">
        <f>Source!I105</f>
        <v>7</v>
      </c>
      <c r="F42" s="31" t="str">
        <f>Source!U81</f>
        <v/>
      </c>
      <c r="G42" s="31"/>
      <c r="H42" s="71"/>
    </row>
    <row r="43" spans="1:8" ht="14.15" x14ac:dyDescent="0.3">
      <c r="A43" s="31">
        <v>6.3</v>
      </c>
      <c r="B43" s="31" t="str">
        <f>Source!E107</f>
        <v>6,3</v>
      </c>
      <c r="C43" s="71" t="str">
        <f>Source!G107</f>
        <v>Полка сmацuонарная регулuруемая 1U до 50кг, 370мм, для 600мм</v>
      </c>
      <c r="D43" s="31" t="s">
        <v>32</v>
      </c>
      <c r="E43" s="72">
        <f>Source!I107</f>
        <v>7</v>
      </c>
      <c r="F43" s="31" t="str">
        <f>Source!U81</f>
        <v/>
      </c>
      <c r="G43" s="31"/>
      <c r="H43" s="71"/>
    </row>
    <row r="44" spans="1:8" ht="14.15" x14ac:dyDescent="0.3">
      <c r="A44" s="31">
        <v>6.4</v>
      </c>
      <c r="B44" s="31" t="str">
        <f>Source!E109</f>
        <v>6,4</v>
      </c>
      <c r="C44" s="71" t="str">
        <f>Source!G109</f>
        <v>Панель освещенuя на магнumах, унuверсальная цвеm черныu 60A-05-15BL</v>
      </c>
      <c r="D44" s="31" t="s">
        <v>32</v>
      </c>
      <c r="E44" s="72">
        <f>Source!I109</f>
        <v>7</v>
      </c>
      <c r="F44" s="31" t="str">
        <f>Source!U81</f>
        <v/>
      </c>
      <c r="G44" s="31"/>
      <c r="H44" s="71"/>
    </row>
    <row r="45" spans="1:8" ht="16.3" x14ac:dyDescent="0.4">
      <c r="A45" s="68" t="str">
        <f>CONCATENATE("Раздел: ", Source!G142)</f>
        <v>Раздел: Источники электропитания</v>
      </c>
      <c r="B45" s="68"/>
      <c r="C45" s="68"/>
      <c r="D45" s="68"/>
      <c r="E45" s="68"/>
      <c r="F45" s="68"/>
      <c r="G45" s="68"/>
      <c r="H45" s="68"/>
    </row>
    <row r="46" spans="1:8" ht="14.15" x14ac:dyDescent="0.3">
      <c r="A46" s="31">
        <v>7</v>
      </c>
      <c r="B46" s="31" t="str">
        <f>Source!E146</f>
        <v>7</v>
      </c>
      <c r="C46" s="71" t="str">
        <f>Source!G146</f>
        <v>Монтаж отдельно устанавливаемого преобразователя или блока питания</v>
      </c>
      <c r="D46" s="31" t="s">
        <v>22</v>
      </c>
      <c r="E46" s="72">
        <f>Source!I146</f>
        <v>8</v>
      </c>
      <c r="F46" s="31" t="str">
        <f>Source!U142</f>
        <v/>
      </c>
      <c r="G46" s="31">
        <f>Source!I146</f>
        <v>8</v>
      </c>
      <c r="H46" s="71"/>
    </row>
    <row r="47" spans="1:8" ht="14.15" x14ac:dyDescent="0.3">
      <c r="A47" s="31">
        <v>7.1</v>
      </c>
      <c r="B47" s="31" t="str">
        <f>Source!E148</f>
        <v>7,1</v>
      </c>
      <c r="C47" s="71" t="str">
        <f>Source!G148</f>
        <v>Болты строительные с гайками, оцинкованные, М10х100 мм</v>
      </c>
      <c r="D47" s="31" t="s">
        <v>165</v>
      </c>
      <c r="E47" s="72">
        <f>Source!I148</f>
        <v>2.3999999999999998E-3</v>
      </c>
      <c r="F47" s="31" t="str">
        <f>Source!U142</f>
        <v/>
      </c>
      <c r="G47" s="31"/>
      <c r="H47" s="71"/>
    </row>
    <row r="48" spans="1:8" ht="28.3" x14ac:dyDescent="0.3">
      <c r="A48" s="31">
        <v>7.2</v>
      </c>
      <c r="B48" s="31" t="str">
        <f>Source!E150</f>
        <v>7,2</v>
      </c>
      <c r="C48" s="71" t="str">
        <f>Source!G150</f>
        <v>Наконечник кабельный, латунный, кольцевой, неизолированный, для жил сечением от 1,0 до 2,5 мм2</v>
      </c>
      <c r="D48" s="31" t="s">
        <v>32</v>
      </c>
      <c r="E48" s="72">
        <f>Source!I150</f>
        <v>80</v>
      </c>
      <c r="F48" s="31" t="str">
        <f>Source!U142</f>
        <v/>
      </c>
      <c r="G48" s="31"/>
      <c r="H48" s="71"/>
    </row>
    <row r="49" spans="1:8" ht="14.15" x14ac:dyDescent="0.3">
      <c r="A49" s="31">
        <v>7.3</v>
      </c>
      <c r="B49" s="31" t="str">
        <f>Source!E152</f>
        <v>7,3</v>
      </c>
      <c r="C49" s="71" t="str">
        <f>Source!G152</f>
        <v>ИБП ДКС Small-UPS Rackmount 3000VA/2700W 230B, 9A/ч</v>
      </c>
      <c r="D49" s="31" t="s">
        <v>32</v>
      </c>
      <c r="E49" s="72">
        <f>Source!I152</f>
        <v>8</v>
      </c>
      <c r="F49" s="31" t="str">
        <f>Source!U142</f>
        <v/>
      </c>
      <c r="G49" s="31"/>
      <c r="H49" s="71"/>
    </row>
    <row r="50" spans="1:8" ht="14.15" x14ac:dyDescent="0.3">
      <c r="A50" s="31">
        <v>7.4</v>
      </c>
      <c r="B50" s="31" t="str">
        <f>Source!E154</f>
        <v>7,4</v>
      </c>
      <c r="C50" s="71" t="str">
        <f>Source!G154</f>
        <v>Батарейный блок Small-R3AO Rack BPSMLR3-96V</v>
      </c>
      <c r="D50" s="31" t="s">
        <v>32</v>
      </c>
      <c r="E50" s="72">
        <f>Source!I154</f>
        <v>8</v>
      </c>
      <c r="F50" s="31" t="str">
        <f>Source!U142</f>
        <v/>
      </c>
      <c r="G50" s="31"/>
      <c r="H50" s="71"/>
    </row>
    <row r="51" spans="1:8" ht="14.15" x14ac:dyDescent="0.3">
      <c r="A51" s="31">
        <v>8</v>
      </c>
      <c r="B51" s="31" t="str">
        <f>Source!E156</f>
        <v>8</v>
      </c>
      <c r="C51" s="71" t="str">
        <f>Source!G156</f>
        <v>Установка прибора массой до 5 кг на металлоконструкциях или щитах</v>
      </c>
      <c r="D51" s="31" t="s">
        <v>22</v>
      </c>
      <c r="E51" s="72">
        <f>Source!I156</f>
        <v>16</v>
      </c>
      <c r="F51" s="31" t="str">
        <f>Source!U142</f>
        <v/>
      </c>
      <c r="G51" s="31">
        <f>Source!I156</f>
        <v>16</v>
      </c>
      <c r="H51" s="71"/>
    </row>
    <row r="52" spans="1:8" ht="14.15" x14ac:dyDescent="0.3">
      <c r="A52" s="31">
        <v>8.1</v>
      </c>
      <c r="B52" s="31" t="str">
        <f>Source!E158</f>
        <v>8,1</v>
      </c>
      <c r="C52" s="71" t="str">
        <f>Source!G158</f>
        <v>Блок базовый распределения питания, 8 выходных розеток</v>
      </c>
      <c r="D52" s="31" t="s">
        <v>32</v>
      </c>
      <c r="E52" s="72">
        <f>Source!I158</f>
        <v>16</v>
      </c>
      <c r="F52" s="31" t="str">
        <f>Source!U142</f>
        <v/>
      </c>
      <c r="G52" s="31"/>
      <c r="H52" s="71"/>
    </row>
    <row r="53" spans="1:8" ht="16.3" x14ac:dyDescent="0.4">
      <c r="A53" s="68" t="str">
        <f>CONCATENATE("Раздел: ", Source!G191)</f>
        <v>Раздел: Материалы</v>
      </c>
      <c r="B53" s="68"/>
      <c r="C53" s="68"/>
      <c r="D53" s="68"/>
      <c r="E53" s="68"/>
      <c r="F53" s="68"/>
      <c r="G53" s="68"/>
      <c r="H53" s="68"/>
    </row>
    <row r="54" spans="1:8" ht="14.15" x14ac:dyDescent="0.3">
      <c r="A54" s="31">
        <v>9</v>
      </c>
      <c r="B54" s="31" t="str">
        <f>Source!E195</f>
        <v>9</v>
      </c>
      <c r="C54" s="71" t="str">
        <f>Source!G195</f>
        <v>Монтаж платы дополнительной, устанавливаемой на готовом месте стойки</v>
      </c>
      <c r="D54" s="31" t="s">
        <v>22</v>
      </c>
      <c r="E54" s="72">
        <f>Source!I195</f>
        <v>33</v>
      </c>
      <c r="F54" s="31" t="str">
        <f>Source!U191</f>
        <v/>
      </c>
      <c r="G54" s="31" t="str">
        <f>"=12+"&amp;"6+"&amp;"1+"&amp;"13+"&amp;"1"</f>
        <v>=12+6+1+13+1</v>
      </c>
      <c r="H54" s="71"/>
    </row>
    <row r="55" spans="1:8" ht="14.15" x14ac:dyDescent="0.3">
      <c r="A55" s="31">
        <v>9.1</v>
      </c>
      <c r="B55" s="31" t="str">
        <f>Source!E197</f>
        <v>9,1</v>
      </c>
      <c r="C55" s="71" t="str">
        <f>Source!G197</f>
        <v>Коммутационная панель кат. 5е PLHD-48 Dual IDC-1U</v>
      </c>
      <c r="D55" s="31" t="s">
        <v>32</v>
      </c>
      <c r="E55" s="72">
        <f>Source!I197</f>
        <v>12</v>
      </c>
      <c r="F55" s="31" t="str">
        <f>Source!U191</f>
        <v/>
      </c>
      <c r="G55" s="31"/>
      <c r="H55" s="71"/>
    </row>
    <row r="56" spans="1:8" ht="14.15" x14ac:dyDescent="0.3">
      <c r="A56" s="31">
        <v>9.1999999999999993</v>
      </c>
      <c r="B56" s="31" t="str">
        <f>Source!E199</f>
        <v>9,2</v>
      </c>
      <c r="C56" s="71" t="str">
        <f>Source!G199</f>
        <v>Коммутационная панель кат. 5е PLHD-24 Dual IDC-1U</v>
      </c>
      <c r="D56" s="31" t="s">
        <v>32</v>
      </c>
      <c r="E56" s="72">
        <f>Source!I199</f>
        <v>6</v>
      </c>
      <c r="F56" s="31" t="str">
        <f>Source!U191</f>
        <v/>
      </c>
      <c r="G56" s="31"/>
      <c r="H56" s="71"/>
    </row>
    <row r="57" spans="1:8" ht="28.3" x14ac:dyDescent="0.3">
      <c r="A57" s="31">
        <v>9.3000000000000007</v>
      </c>
      <c r="B57" s="31" t="str">
        <f>Source!E201</f>
        <v>9,3</v>
      </c>
      <c r="C57" s="71" t="str">
        <f>Source!G201</f>
        <v>Горuзонmальныu органайзер, слоmовыu с крышкой, белый, 1U MX-CMC-1U-45-B</v>
      </c>
      <c r="D57" s="31" t="s">
        <v>32</v>
      </c>
      <c r="E57" s="72">
        <f>Source!I201</f>
        <v>63</v>
      </c>
      <c r="F57" s="31" t="str">
        <f>Source!U191</f>
        <v/>
      </c>
      <c r="G57" s="31"/>
      <c r="H57" s="71"/>
    </row>
    <row r="58" spans="1:8" ht="14.15" x14ac:dyDescent="0.3">
      <c r="A58" s="31">
        <v>9.4</v>
      </c>
      <c r="B58" s="31" t="str">
        <f>Source!E203</f>
        <v>9,4</v>
      </c>
      <c r="C58" s="71" t="str">
        <f>Source!G203</f>
        <v>Оптическая панель кроссовая КСП-19-3U-64FC/UPC-ОМ3 50/125</v>
      </c>
      <c r="D58" s="31" t="s">
        <v>32</v>
      </c>
      <c r="E58" s="72">
        <f>Source!I203</f>
        <v>1</v>
      </c>
      <c r="F58" s="31" t="str">
        <f>Source!U191</f>
        <v/>
      </c>
      <c r="G58" s="31"/>
      <c r="H58" s="71"/>
    </row>
    <row r="59" spans="1:8" ht="14.15" x14ac:dyDescent="0.3">
      <c r="A59" s="31">
        <v>9.5</v>
      </c>
      <c r="B59" s="31" t="str">
        <f>Source!E205</f>
        <v>9,5</v>
      </c>
      <c r="C59" s="71" t="str">
        <f>Source!G205</f>
        <v>Оптическая панель кроссовая 1U-RU24-LC/MM-4d-8-1</v>
      </c>
      <c r="D59" s="31" t="s">
        <v>32</v>
      </c>
      <c r="E59" s="72">
        <f>Source!I205</f>
        <v>13</v>
      </c>
      <c r="F59" s="31" t="str">
        <f>Source!U191</f>
        <v/>
      </c>
      <c r="G59" s="31"/>
      <c r="H59" s="71"/>
    </row>
    <row r="60" spans="1:8" ht="14.15" x14ac:dyDescent="0.3">
      <c r="A60" s="31">
        <v>9.6</v>
      </c>
      <c r="B60" s="31" t="str">
        <f>Source!E207</f>
        <v>9,6</v>
      </c>
      <c r="C60" s="71" t="str">
        <f>Source!G207</f>
        <v>Фальш-панель 1U</v>
      </c>
      <c r="D60" s="31" t="s">
        <v>32</v>
      </c>
      <c r="E60" s="72">
        <f>Source!I207</f>
        <v>1</v>
      </c>
      <c r="F60" s="31" t="str">
        <f>Source!U191</f>
        <v/>
      </c>
      <c r="G60" s="31"/>
      <c r="H60" s="71"/>
    </row>
    <row r="61" spans="1:8" ht="14.15" x14ac:dyDescent="0.3">
      <c r="A61" s="31">
        <v>10</v>
      </c>
      <c r="B61" s="31" t="str">
        <f>Source!E209</f>
        <v>10</v>
      </c>
      <c r="C61" s="71" t="str">
        <f>Source!G209</f>
        <v>Установка съемных и выдвижных блоков (модулей, ячеек, ТЭЗ) массой до 5 кг</v>
      </c>
      <c r="D61" s="31" t="s">
        <v>22</v>
      </c>
      <c r="E61" s="72">
        <f>Source!I209</f>
        <v>8</v>
      </c>
      <c r="F61" s="31" t="str">
        <f>Source!U191</f>
        <v/>
      </c>
      <c r="G61" s="31">
        <f>Source!I209</f>
        <v>8</v>
      </c>
      <c r="H61" s="71"/>
    </row>
    <row r="62" spans="1:8" ht="14.15" x14ac:dyDescent="0.3">
      <c r="A62" s="31">
        <v>10.1</v>
      </c>
      <c r="B62" s="31" t="str">
        <f>Source!E211</f>
        <v>10,1</v>
      </c>
      <c r="C62" s="71" t="str">
        <f>Source!G211</f>
        <v>Консольная полка 60А-01-30-08BL</v>
      </c>
      <c r="D62" s="31" t="s">
        <v>32</v>
      </c>
      <c r="E62" s="72">
        <f>Source!I211</f>
        <v>8</v>
      </c>
      <c r="F62" s="31" t="str">
        <f>Source!U191</f>
        <v/>
      </c>
      <c r="G62" s="31"/>
      <c r="H62" s="71"/>
    </row>
    <row r="63" spans="1:8" ht="28.3" x14ac:dyDescent="0.3">
      <c r="A63" s="31">
        <v>11</v>
      </c>
      <c r="B63" s="31" t="str">
        <f>Source!E213</f>
        <v>11</v>
      </c>
      <c r="C63" s="71" t="str">
        <f>Source!G213</f>
        <v>Монтаж розетки штепсельной трехполюсной</v>
      </c>
      <c r="D63" s="31" t="s">
        <v>223</v>
      </c>
      <c r="E63" s="72">
        <f>Source!I213</f>
        <v>3.65</v>
      </c>
      <c r="F63" s="31" t="str">
        <f>Source!U191</f>
        <v/>
      </c>
      <c r="G63" s="31" t="str">
        <f>"=(90+"&amp;"187+"&amp;"44+"&amp;"44)/"&amp;"100"</f>
        <v>=(90+187+44+44)/100</v>
      </c>
      <c r="H63" s="71"/>
    </row>
    <row r="64" spans="1:8" ht="14.15" x14ac:dyDescent="0.3">
      <c r="A64" s="31">
        <v>11.1</v>
      </c>
      <c r="B64" s="31" t="str">
        <f>Source!E215</f>
        <v>11,1</v>
      </c>
      <c r="C64" s="71" t="str">
        <f>Source!G215</f>
        <v>Болты строительные с гайками, оцинкованные, М10х100 мм</v>
      </c>
      <c r="D64" s="31" t="s">
        <v>165</v>
      </c>
      <c r="E64" s="72">
        <f>Source!I215</f>
        <v>5.4749999999999998E-3</v>
      </c>
      <c r="F64" s="31" t="str">
        <f>Source!U191</f>
        <v/>
      </c>
      <c r="G64" s="31"/>
      <c r="H64" s="71"/>
    </row>
    <row r="65" spans="1:8" ht="14.15" x14ac:dyDescent="0.3">
      <c r="A65" s="31">
        <v>11.2</v>
      </c>
      <c r="B65" s="31" t="str">
        <f>Source!E217</f>
        <v>11,2</v>
      </c>
      <c r="C65" s="71" t="str">
        <f>Source!G217</f>
        <v>Втулки полихлорвиниловые</v>
      </c>
      <c r="D65" s="31" t="s">
        <v>223</v>
      </c>
      <c r="E65" s="72">
        <f>Source!I217</f>
        <v>3.7229999999999999</v>
      </c>
      <c r="F65" s="31" t="str">
        <f>Source!U191</f>
        <v/>
      </c>
      <c r="G65" s="31"/>
      <c r="H65" s="71"/>
    </row>
    <row r="66" spans="1:8" ht="28.3" x14ac:dyDescent="0.3">
      <c r="A66" s="31">
        <v>11.3</v>
      </c>
      <c r="B66" s="31" t="str">
        <f>Source!E219</f>
        <v>11,3</v>
      </c>
      <c r="C66" s="71" t="str">
        <f>Source!G219</f>
        <v>Розетка локальной сети, разъем RJ-45, скрытой установки, раздельная, 1-местная, степень защиты IP20</v>
      </c>
      <c r="D66" s="31" t="s">
        <v>32</v>
      </c>
      <c r="E66" s="72">
        <f>Source!I219</f>
        <v>90</v>
      </c>
      <c r="F66" s="31" t="str">
        <f>Source!U191</f>
        <v/>
      </c>
      <c r="G66" s="31"/>
      <c r="H66" s="71"/>
    </row>
    <row r="67" spans="1:8" ht="28.3" x14ac:dyDescent="0.3">
      <c r="A67" s="31">
        <v>11.4</v>
      </c>
      <c r="B67" s="31" t="str">
        <f>Source!E221</f>
        <v>11,4</v>
      </c>
      <c r="C67" s="71" t="str">
        <f>Source!G221</f>
        <v>Розетка локальной сети, разъем RJ-45, скрытой установки, раздельная, 2-местная BR-U21-D-31-R01</v>
      </c>
      <c r="D67" s="31" t="s">
        <v>32</v>
      </c>
      <c r="E67" s="72">
        <f>Source!I221</f>
        <v>187</v>
      </c>
      <c r="F67" s="31" t="str">
        <f>Source!U191</f>
        <v/>
      </c>
      <c r="G67" s="31"/>
      <c r="H67" s="71"/>
    </row>
    <row r="68" spans="1:8" ht="28.3" x14ac:dyDescent="0.3">
      <c r="A68" s="31">
        <v>11.5</v>
      </c>
      <c r="B68" s="31" t="str">
        <f>Source!E223</f>
        <v>11,5</v>
      </c>
      <c r="C68" s="71" t="str">
        <f>Source!G223</f>
        <v>Коробка для установки выключателей, переключателей, штепсельных розеток в сборных гипсовых перегородках</v>
      </c>
      <c r="D68" s="31" t="s">
        <v>32</v>
      </c>
      <c r="E68" s="72">
        <f>Source!I223</f>
        <v>0.99999999999999989</v>
      </c>
      <c r="F68" s="31" t="str">
        <f>Source!U191</f>
        <v/>
      </c>
      <c r="G68" s="31"/>
      <c r="H68" s="71"/>
    </row>
    <row r="69" spans="1:8" ht="14.15" x14ac:dyDescent="0.3">
      <c r="A69" s="31">
        <v>11.6</v>
      </c>
      <c r="B69" s="31" t="str">
        <f>Source!E225</f>
        <v>11,6</v>
      </c>
      <c r="C69" s="71" t="str">
        <f>Source!G225</f>
        <v>Розетка HDMI BR-H10-K01</v>
      </c>
      <c r="D69" s="31" t="s">
        <v>32</v>
      </c>
      <c r="E69" s="72">
        <f>Source!I225</f>
        <v>44</v>
      </c>
      <c r="F69" s="31" t="str">
        <f>Source!U191</f>
        <v/>
      </c>
      <c r="G69" s="31"/>
      <c r="H69" s="71"/>
    </row>
    <row r="70" spans="1:8" ht="14.15" x14ac:dyDescent="0.3">
      <c r="A70" s="31">
        <v>11.7</v>
      </c>
      <c r="B70" s="31" t="str">
        <f>Source!E227</f>
        <v>11,7</v>
      </c>
      <c r="C70" s="71" t="str">
        <f>Source!G227</f>
        <v>Розетка USB одноместная BR-U21-D-31-R01</v>
      </c>
      <c r="D70" s="31" t="s">
        <v>32</v>
      </c>
      <c r="E70" s="72">
        <f>Source!I227</f>
        <v>44</v>
      </c>
      <c r="F70" s="31" t="str">
        <f>Source!U191</f>
        <v/>
      </c>
      <c r="G70" s="31"/>
      <c r="H70" s="71"/>
    </row>
    <row r="71" spans="1:8" ht="14.15" x14ac:dyDescent="0.3">
      <c r="A71" s="31">
        <v>12</v>
      </c>
      <c r="B71" s="31" t="str">
        <f>Source!E229</f>
        <v>12</v>
      </c>
      <c r="C71" s="71" t="str">
        <f>Source!G229</f>
        <v>Монтаж коммутатора испытательно-измерительного</v>
      </c>
      <c r="D71" s="31" t="s">
        <v>22</v>
      </c>
      <c r="E71" s="72">
        <f>Source!I229</f>
        <v>12</v>
      </c>
      <c r="F71" s="31" t="str">
        <f>Source!U191</f>
        <v/>
      </c>
      <c r="G71" s="31">
        <f>Source!I229</f>
        <v>12</v>
      </c>
      <c r="H71" s="71"/>
    </row>
    <row r="72" spans="1:8" ht="14.15" x14ac:dyDescent="0.3">
      <c r="A72" s="31">
        <v>12.1</v>
      </c>
      <c r="B72" s="31" t="str">
        <f>Source!E231</f>
        <v>12,1</v>
      </c>
      <c r="C72" s="71" t="str">
        <f>Source!G231</f>
        <v>Коммутатор доступа 48 портов уровня L3 MES2448B</v>
      </c>
      <c r="D72" s="31" t="s">
        <v>32</v>
      </c>
      <c r="E72" s="72">
        <f>Source!I231</f>
        <v>12</v>
      </c>
      <c r="F72" s="31" t="str">
        <f>Source!U191</f>
        <v/>
      </c>
      <c r="G72" s="31"/>
      <c r="H72" s="71"/>
    </row>
    <row r="73" spans="1:8" ht="28.3" x14ac:dyDescent="0.3">
      <c r="A73" s="31">
        <v>13</v>
      </c>
      <c r="B73" s="31" t="str">
        <f>Source!E233</f>
        <v>13</v>
      </c>
      <c r="C73" s="71" t="str">
        <f>Source!G233</f>
        <v>Монтаж и настройка электронных АТС типа Миником DX-500, станция с количеством номеров до 100, монтаж станции</v>
      </c>
      <c r="D73" s="31" t="s">
        <v>263</v>
      </c>
      <c r="E73" s="72">
        <f>Source!I233</f>
        <v>0.5</v>
      </c>
      <c r="F73" s="31" t="str">
        <f>Source!U191</f>
        <v/>
      </c>
      <c r="G73" s="31" t="str">
        <f>"=50/"&amp;"100"</f>
        <v>=50/100</v>
      </c>
      <c r="H73" s="71"/>
    </row>
    <row r="74" spans="1:8" ht="14.15" x14ac:dyDescent="0.3">
      <c r="A74" s="31">
        <v>13.1</v>
      </c>
      <c r="B74" s="31" t="str">
        <f>Source!E235</f>
        <v>13,1</v>
      </c>
      <c r="C74" s="71" t="str">
        <f>Source!G235</f>
        <v>Гибридная IP-ATC на 50 абонентов Artcom TC50</v>
      </c>
      <c r="D74" s="31" t="s">
        <v>32</v>
      </c>
      <c r="E74" s="72">
        <f>Source!I235</f>
        <v>1</v>
      </c>
      <c r="F74" s="31" t="str">
        <f>Source!U191</f>
        <v/>
      </c>
      <c r="G74" s="31"/>
      <c r="H74" s="71"/>
    </row>
    <row r="75" spans="1:8" ht="14.15" x14ac:dyDescent="0.3">
      <c r="A75" s="31">
        <v>14</v>
      </c>
      <c r="B75" s="31" t="str">
        <f>Source!E237</f>
        <v>14</v>
      </c>
      <c r="C75" s="71" t="str">
        <f>Source!G237</f>
        <v>Монтаж телефонного аппарата настольного системы ЦБ или АТС</v>
      </c>
      <c r="D75" s="31" t="s">
        <v>22</v>
      </c>
      <c r="E75" s="72">
        <f>Source!I237</f>
        <v>21</v>
      </c>
      <c r="F75" s="31" t="str">
        <f>Source!U191</f>
        <v/>
      </c>
      <c r="G75" s="31">
        <f>Source!I237</f>
        <v>21</v>
      </c>
      <c r="H75" s="71"/>
    </row>
    <row r="76" spans="1:8" ht="14.15" x14ac:dyDescent="0.3">
      <c r="A76" s="31">
        <v>14.1</v>
      </c>
      <c r="B76" s="31" t="str">
        <f>Source!E239</f>
        <v>14,1</v>
      </c>
      <c r="C76" s="71" t="str">
        <f>Source!G239</f>
        <v>IP-телефон VP-30P-WB</v>
      </c>
      <c r="D76" s="31" t="s">
        <v>32</v>
      </c>
      <c r="E76" s="72">
        <f>Source!I239</f>
        <v>21</v>
      </c>
      <c r="F76" s="31" t="str">
        <f>Source!U191</f>
        <v/>
      </c>
      <c r="G76" s="31"/>
      <c r="H76" s="71"/>
    </row>
    <row r="77" spans="1:8" ht="16.3" x14ac:dyDescent="0.4">
      <c r="A77" s="68" t="str">
        <f>CONCATENATE("Раздел: ", Source!G272)</f>
        <v>Раздел: Кабель, трубы</v>
      </c>
      <c r="B77" s="68"/>
      <c r="C77" s="68"/>
      <c r="D77" s="68"/>
      <c r="E77" s="68"/>
      <c r="F77" s="68"/>
      <c r="G77" s="68"/>
      <c r="H77" s="68"/>
    </row>
    <row r="78" spans="1:8" ht="42.45" x14ac:dyDescent="0.3">
      <c r="A78" s="31">
        <v>15</v>
      </c>
      <c r="B78" s="31" t="str">
        <f>Source!E276</f>
        <v>15</v>
      </c>
      <c r="C78" s="71" t="str">
        <f>Source!G276</f>
        <v>Прокладка кабеля связи симметричного для цифровых систем передачи в трубах гофрированных: по бетонным и кирпичным поверхностям стен и потолка</v>
      </c>
      <c r="D78" s="31" t="s">
        <v>281</v>
      </c>
      <c r="E78" s="72">
        <f>Source!I276</f>
        <v>84.4</v>
      </c>
      <c r="F78" s="31" t="str">
        <f>Source!U272</f>
        <v/>
      </c>
      <c r="G78" s="31" t="str">
        <f>"=8440/"&amp;"100"</f>
        <v>=8440/100</v>
      </c>
      <c r="H78" s="71"/>
    </row>
    <row r="79" spans="1:8" ht="42.45" x14ac:dyDescent="0.3">
      <c r="A79" s="31">
        <v>15.1</v>
      </c>
      <c r="B79" s="31" t="str">
        <f>Source!E278</f>
        <v>15,1</v>
      </c>
      <c r="C79" s="71" t="str">
        <f>Source!G278</f>
        <v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v>
      </c>
      <c r="D79" s="31" t="s">
        <v>286</v>
      </c>
      <c r="E79" s="72">
        <f>Source!I278</f>
        <v>8608.7999999999993</v>
      </c>
      <c r="F79" s="31" t="str">
        <f>Source!U272</f>
        <v/>
      </c>
      <c r="G79" s="31"/>
      <c r="H79" s="71"/>
    </row>
    <row r="80" spans="1:8" ht="28.3" x14ac:dyDescent="0.3">
      <c r="A80" s="31">
        <v>15.2</v>
      </c>
      <c r="B80" s="31" t="str">
        <f>Source!E280</f>
        <v>15,2</v>
      </c>
      <c r="C80" s="71" t="str">
        <f>Source!G280</f>
        <v>Держатель пластиковый с защелкой для крепления труб, рукавов и гибких вводов диаметром 25 мм</v>
      </c>
      <c r="D80" s="31" t="s">
        <v>223</v>
      </c>
      <c r="E80" s="72">
        <f>Source!I280</f>
        <v>182.64160000000001</v>
      </c>
      <c r="F80" s="31" t="str">
        <f>Source!U272</f>
        <v/>
      </c>
      <c r="G80" s="31"/>
      <c r="H80" s="71"/>
    </row>
    <row r="81" spans="1:8" ht="14.15" x14ac:dyDescent="0.3">
      <c r="A81" s="31">
        <v>15.3</v>
      </c>
      <c r="B81" s="31" t="str">
        <f>Source!E282</f>
        <v>15,3</v>
      </c>
      <c r="C81" s="71" t="str">
        <f>Source!G282</f>
        <v>Кабель cat.5е U/UTPнг(А)-LSLTx 4х0,52 арт.101162</v>
      </c>
      <c r="D81" s="31" t="s">
        <v>295</v>
      </c>
      <c r="E81" s="72">
        <f>Source!I282</f>
        <v>17.217600000000001</v>
      </c>
      <c r="F81" s="31" t="str">
        <f>Source!U272</f>
        <v/>
      </c>
      <c r="G81" s="31"/>
      <c r="H81" s="71"/>
    </row>
    <row r="82" spans="1:8" ht="28.3" x14ac:dyDescent="0.3">
      <c r="A82" s="31">
        <v>16</v>
      </c>
      <c r="B82" s="31" t="str">
        <f>Source!E292</f>
        <v>16</v>
      </c>
      <c r="C82" s="71" t="str">
        <f>Source!G292</f>
        <v>Прокладка кабеля связи симметричного для цифровых систем передачи по лоткам перфорированным</v>
      </c>
      <c r="D82" s="31" t="s">
        <v>281</v>
      </c>
      <c r="E82" s="72">
        <f>Source!I292</f>
        <v>31.9</v>
      </c>
      <c r="F82" s="31" t="str">
        <f>Source!U272</f>
        <v/>
      </c>
      <c r="G82" s="31" t="str">
        <f>"=(500+"&amp;"18600+"&amp;"970-"&amp;"8440*"&amp;"2)/"&amp;"100"</f>
        <v>=(500+18600+970-8440*2)/100</v>
      </c>
      <c r="H82" s="71"/>
    </row>
    <row r="83" spans="1:8" ht="28.3" x14ac:dyDescent="0.3">
      <c r="A83" s="31">
        <v>16.100000000000001</v>
      </c>
      <c r="B83" s="31" t="str">
        <f>Source!E294</f>
        <v>16,1</v>
      </c>
      <c r="C83" s="71" t="str">
        <f>Source!G294</f>
        <v>Кабель волоконно-оптический 50/125 многомодовый 8-волоконный ОБР-Внг(А) HFLTx 8 G651.1(ОМЗ) арт.46863</v>
      </c>
      <c r="D83" s="31" t="s">
        <v>295</v>
      </c>
      <c r="E83" s="72">
        <f>Source!I294</f>
        <v>0.51</v>
      </c>
      <c r="F83" s="31" t="str">
        <f>Source!U272</f>
        <v/>
      </c>
      <c r="G83" s="31"/>
      <c r="H83" s="71"/>
    </row>
    <row r="84" spans="1:8" ht="14.15" x14ac:dyDescent="0.3">
      <c r="A84" s="31">
        <v>16.2</v>
      </c>
      <c r="B84" s="31" t="str">
        <f>Source!E296</f>
        <v>16,2</v>
      </c>
      <c r="C84" s="71" t="str">
        <f>Source!G296</f>
        <v>Кабель cat.5е U/UTPнг(А)-LSLTx 4х0,52 арт.101162</v>
      </c>
      <c r="D84" s="31" t="s">
        <v>295</v>
      </c>
      <c r="E84" s="72">
        <f>Source!I296</f>
        <v>1.7544</v>
      </c>
      <c r="F84" s="31" t="str">
        <f>Source!U272</f>
        <v/>
      </c>
      <c r="G84" s="31"/>
      <c r="H84" s="71"/>
    </row>
    <row r="85" spans="1:8" ht="14.15" x14ac:dyDescent="0.3">
      <c r="A85" s="31">
        <v>16.3</v>
      </c>
      <c r="B85" s="31" t="str">
        <f>Source!E298</f>
        <v>16,3</v>
      </c>
      <c r="C85" s="71" t="str">
        <f>Source!G298</f>
        <v>Кабель cat.6е F/UTPнг(А)-LSLTx 4х2х0,57 арт.100458</v>
      </c>
      <c r="D85" s="31" t="s">
        <v>295</v>
      </c>
      <c r="E85" s="72">
        <f>Source!I298</f>
        <v>0.98939999999999995</v>
      </c>
      <c r="F85" s="31" t="str">
        <f>Source!U272</f>
        <v/>
      </c>
      <c r="G85" s="31"/>
      <c r="H85" s="71"/>
    </row>
    <row r="86" spans="1:8" ht="14.15" x14ac:dyDescent="0.3">
      <c r="A86" s="31">
        <v>16.399999999999999</v>
      </c>
      <c r="B86" s="31" t="str">
        <f>Source!E300</f>
        <v>16,4</v>
      </c>
      <c r="C86" s="71" t="str">
        <f>Source!G300</f>
        <v>Механизм HDMI 2.0, разъём Type A</v>
      </c>
      <c r="D86" s="31" t="s">
        <v>32</v>
      </c>
      <c r="E86" s="72">
        <f>Source!I300</f>
        <v>44</v>
      </c>
      <c r="F86" s="31" t="str">
        <f>Source!U272</f>
        <v/>
      </c>
      <c r="G86" s="31"/>
      <c r="H86" s="71"/>
    </row>
    <row r="87" spans="1:8" ht="14.15" x14ac:dyDescent="0.3">
      <c r="A87" s="31">
        <v>16.5</v>
      </c>
      <c r="B87" s="31" t="str">
        <f>Source!E302</f>
        <v>16,5</v>
      </c>
      <c r="C87" s="71" t="str">
        <f>Source!G302</f>
        <v>Коннектор (вилка) телекоммуникационный 8P8C, RJ45, категория 5E</v>
      </c>
      <c r="D87" s="31" t="s">
        <v>223</v>
      </c>
      <c r="E87" s="72">
        <f>Source!I302</f>
        <v>0.16</v>
      </c>
      <c r="F87" s="31" t="str">
        <f>Source!U272</f>
        <v/>
      </c>
      <c r="G87" s="31"/>
      <c r="H87" s="71"/>
    </row>
    <row r="88" spans="1:8" ht="14.15" x14ac:dyDescent="0.3">
      <c r="A88" s="31">
        <v>16.600000000000001</v>
      </c>
      <c r="B88" s="31" t="str">
        <f>Source!E304</f>
        <v>16,6</v>
      </c>
      <c r="C88" s="71" t="str">
        <f>Source!G304</f>
        <v>Разъём Type C для розетки USB</v>
      </c>
      <c r="D88" s="31" t="s">
        <v>32</v>
      </c>
      <c r="E88" s="72">
        <f>Source!I304</f>
        <v>44</v>
      </c>
      <c r="F88" s="31" t="str">
        <f>Source!U272</f>
        <v/>
      </c>
      <c r="G88" s="31"/>
      <c r="H88" s="71"/>
    </row>
    <row r="89" spans="1:8" ht="28.3" x14ac:dyDescent="0.3">
      <c r="A89" s="31">
        <v>17</v>
      </c>
      <c r="B89" s="31" t="str">
        <f>Source!E320</f>
        <v>17</v>
      </c>
      <c r="C89" s="71" t="str">
        <f>Source!G320</f>
        <v>Прокладка металлического перфорированного лотка по установленным конструкциям, массой погонного метра до 2 кг</v>
      </c>
      <c r="D89" s="31" t="s">
        <v>338</v>
      </c>
      <c r="E89" s="72">
        <f>Source!I320</f>
        <v>6.39</v>
      </c>
      <c r="F89" s="31" t="str">
        <f>Source!U272</f>
        <v/>
      </c>
      <c r="G89" s="31" t="str">
        <f>"=(81+"&amp;"124+"&amp;"8)*"&amp;"3/"&amp;"100"</f>
        <v>=(81+124+8)*3/100</v>
      </c>
      <c r="H89" s="71"/>
    </row>
    <row r="90" spans="1:8" ht="28.3" x14ac:dyDescent="0.3">
      <c r="A90" s="31">
        <v>17.100000000000001</v>
      </c>
      <c r="B90" s="31" t="str">
        <f>Source!E322</f>
        <v>17,1</v>
      </c>
      <c r="C90" s="71" t="str">
        <f>Source!G322</f>
        <v>Лоток кабельный проволочный стальной, оцинкованный, без крышки, диаметр проволоки 4,0 мм, размер 3000х400х50 мм</v>
      </c>
      <c r="D90" s="31" t="s">
        <v>32</v>
      </c>
      <c r="E90" s="72">
        <f>Source!I322</f>
        <v>81</v>
      </c>
      <c r="F90" s="31" t="str">
        <f>Source!U272</f>
        <v/>
      </c>
      <c r="G90" s="31"/>
      <c r="H90" s="71"/>
    </row>
    <row r="91" spans="1:8" ht="28.3" x14ac:dyDescent="0.3">
      <c r="A91" s="31">
        <v>17.2</v>
      </c>
      <c r="B91" s="31" t="str">
        <f>Source!E324</f>
        <v>17,2</v>
      </c>
      <c r="C91" s="71" t="str">
        <f>Source!G324</f>
        <v>Лоток кабельный проволочный стальной, оцинкованный, без крышки, диаметр проволоки 4,0 мм, размер 3000х200х50 мм</v>
      </c>
      <c r="D91" s="31" t="s">
        <v>32</v>
      </c>
      <c r="E91" s="72">
        <f>Source!I324</f>
        <v>123.99999999999999</v>
      </c>
      <c r="F91" s="31" t="str">
        <f>Source!U272</f>
        <v/>
      </c>
      <c r="G91" s="31"/>
      <c r="H91" s="71"/>
    </row>
    <row r="92" spans="1:8" ht="28.3" x14ac:dyDescent="0.3">
      <c r="A92" s="31">
        <v>17.3</v>
      </c>
      <c r="B92" s="31" t="str">
        <f>Source!E326</f>
        <v>17,3</v>
      </c>
      <c r="C92" s="71" t="str">
        <f>Source!G326</f>
        <v>Лоток кабельный проволочный стальной, оцинкованный, без крышки, диаметр проволоки 4,0 мм, размер 3000х150х50 мм</v>
      </c>
      <c r="D92" s="31" t="s">
        <v>32</v>
      </c>
      <c r="E92" s="72">
        <f>Source!I326</f>
        <v>8</v>
      </c>
      <c r="F92" s="31" t="str">
        <f>Source!U272</f>
        <v/>
      </c>
      <c r="G92" s="31"/>
      <c r="H92" s="71"/>
    </row>
    <row r="93" spans="1:8" ht="14.15" x14ac:dyDescent="0.3">
      <c r="A93" s="31">
        <v>17.399999999999999</v>
      </c>
      <c r="B93" s="31" t="str">
        <f>Source!E330</f>
        <v>17,5</v>
      </c>
      <c r="C93" s="71" t="str">
        <f>Source!G330</f>
        <v>Винты с полукруглой головкой, оцинкованные, диаметр 5 мм, длина 50 мм</v>
      </c>
      <c r="D93" s="31" t="s">
        <v>165</v>
      </c>
      <c r="E93" s="72">
        <f>Source!I330</f>
        <v>5.5785000000000001E-2</v>
      </c>
      <c r="F93" s="31" t="str">
        <f>Source!U272</f>
        <v/>
      </c>
      <c r="G93" s="31"/>
      <c r="H93" s="71"/>
    </row>
    <row r="94" spans="1:8" ht="42.45" x14ac:dyDescent="0.3">
      <c r="A94" s="31">
        <v>18</v>
      </c>
      <c r="B94" s="31" t="str">
        <f>Source!E332</f>
        <v>18</v>
      </c>
      <c r="C94" s="71" t="str">
        <f>Source!G332</f>
        <v>Прокладка по установленным конструкциям, по стенам и колоннам с креплением скобами винипластовой трубы диаметром до 50 мм (2024-00272-01-0-ИОС5.5СО, лист 5, п.11 - гильзы)</v>
      </c>
      <c r="D94" s="31" t="s">
        <v>281</v>
      </c>
      <c r="E94" s="72">
        <f>Source!I332</f>
        <v>2.79</v>
      </c>
      <c r="F94" s="31" t="str">
        <f>Source!U272</f>
        <v/>
      </c>
      <c r="G94" s="31" t="str">
        <f>"=279/"&amp;"100"</f>
        <v>=279/100</v>
      </c>
      <c r="H94" s="71"/>
    </row>
    <row r="95" spans="1:8" ht="42.45" x14ac:dyDescent="0.3">
      <c r="A95" s="31">
        <v>18.100000000000001</v>
      </c>
      <c r="B95" s="31" t="str">
        <f>Source!E334</f>
        <v>18,1</v>
      </c>
      <c r="C95" s="71" t="str">
        <f>Source!G334</f>
        <v>Трубы из непластифицированного вторичного ПВХ, гладкие, самозатухающие, усиленного типа, наружный диаметр 32 мм, толщина стенки 1,8 мм, для электропроводок</v>
      </c>
      <c r="D95" s="31" t="s">
        <v>286</v>
      </c>
      <c r="E95" s="72">
        <f>Source!I334</f>
        <v>284.58</v>
      </c>
      <c r="F95" s="31" t="str">
        <f>Source!U272</f>
        <v/>
      </c>
      <c r="G95" s="31"/>
      <c r="H95" s="71"/>
    </row>
    <row r="96" spans="1:8" ht="14.15" x14ac:dyDescent="0.3">
      <c r="A96" s="30">
        <v>18.2</v>
      </c>
      <c r="B96" s="30" t="str">
        <f>Source!E336</f>
        <v>18,2</v>
      </c>
      <c r="C96" s="69" t="str">
        <f>Source!G336</f>
        <v>Мастика тиоколовая, герметизирующая, нетвердеющая, типа АМ-05</v>
      </c>
      <c r="D96" s="30" t="s">
        <v>372</v>
      </c>
      <c r="E96" s="70">
        <f>Source!I336</f>
        <v>5</v>
      </c>
      <c r="F96" s="30" t="str">
        <f>Source!U272</f>
        <v/>
      </c>
      <c r="G96" s="30"/>
      <c r="H96" s="69"/>
    </row>
    <row r="99" spans="3:5" ht="14.15" x14ac:dyDescent="0.35">
      <c r="C99" s="73" t="s">
        <v>710</v>
      </c>
      <c r="D99" s="73" t="str">
        <f>IF(Source!X12&lt;&gt;"", Source!X12," ")</f>
        <v xml:space="preserve"> </v>
      </c>
      <c r="E99" s="74"/>
    </row>
    <row r="100" spans="3:5" ht="14.15" x14ac:dyDescent="0.35">
      <c r="C100" s="12"/>
      <c r="D100" s="74"/>
      <c r="E100" s="74"/>
    </row>
    <row r="101" spans="3:5" ht="14.15" x14ac:dyDescent="0.35">
      <c r="C101" s="75" t="s">
        <v>711</v>
      </c>
      <c r="D101" s="75" t="str">
        <f>IF(Source!AB12&lt;&gt;"", Source!AB12," ")</f>
        <v>Лукьянова А.Л.</v>
      </c>
      <c r="E101" s="74"/>
    </row>
  </sheetData>
  <mergeCells count="10">
    <mergeCell ref="A31:H31"/>
    <mergeCell ref="A45:H45"/>
    <mergeCell ref="A53:H53"/>
    <mergeCell ref="A77:H77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46"/>
  <sheetViews>
    <sheetView workbookViewId="0">
      <selection activeCell="A442" sqref="A442:AX442"/>
    </sheetView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438</v>
      </c>
      <c r="C12" s="1">
        <v>0</v>
      </c>
      <c r="D12" s="1">
        <f>ROW(A399)</f>
        <v>399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3">
      <c r="A18" s="4">
        <v>52</v>
      </c>
      <c r="B18" s="4">
        <f t="shared" ref="B18:G18" si="0">B399</f>
        <v>438</v>
      </c>
      <c r="C18" s="4">
        <f t="shared" si="0"/>
        <v>1</v>
      </c>
      <c r="D18" s="4">
        <f t="shared" si="0"/>
        <v>12</v>
      </c>
      <c r="E18" s="4">
        <f t="shared" si="0"/>
        <v>0</v>
      </c>
      <c r="F18" s="4" t="str">
        <f t="shared" si="0"/>
        <v>02-01-12</v>
      </c>
      <c r="G18" s="4" t="str">
        <f t="shared" si="0"/>
        <v>02-01-12 СКС</v>
      </c>
      <c r="H18" s="4"/>
      <c r="I18" s="4"/>
      <c r="J18" s="4"/>
      <c r="K18" s="4"/>
      <c r="L18" s="4"/>
      <c r="M18" s="4"/>
      <c r="N18" s="4"/>
      <c r="O18" s="4">
        <f t="shared" ref="O18:AT18" si="1">O399</f>
        <v>968093.54</v>
      </c>
      <c r="P18" s="4">
        <f t="shared" si="1"/>
        <v>929001.41</v>
      </c>
      <c r="Q18" s="4">
        <f t="shared" si="1"/>
        <v>3132.9</v>
      </c>
      <c r="R18" s="4">
        <f t="shared" si="1"/>
        <v>324.23</v>
      </c>
      <c r="S18" s="4">
        <f t="shared" si="1"/>
        <v>35959.230000000003</v>
      </c>
      <c r="T18" s="4">
        <f t="shared" si="1"/>
        <v>0</v>
      </c>
      <c r="U18" s="4">
        <f t="shared" si="1"/>
        <v>3008.2474253700002</v>
      </c>
      <c r="V18" s="4">
        <f t="shared" si="1"/>
        <v>0</v>
      </c>
      <c r="W18" s="4">
        <f t="shared" si="1"/>
        <v>0</v>
      </c>
      <c r="X18" s="4">
        <f t="shared" si="1"/>
        <v>33100.57</v>
      </c>
      <c r="Y18" s="4">
        <f t="shared" si="1"/>
        <v>17008.57</v>
      </c>
      <c r="Z18" s="4">
        <f t="shared" si="1"/>
        <v>0</v>
      </c>
      <c r="AA18" s="4">
        <f t="shared" si="1"/>
        <v>0</v>
      </c>
      <c r="AB18" s="4">
        <f t="shared" si="1"/>
        <v>0</v>
      </c>
      <c r="AC18" s="4">
        <f t="shared" si="1"/>
        <v>0</v>
      </c>
      <c r="AD18" s="4">
        <f t="shared" si="1"/>
        <v>0</v>
      </c>
      <c r="AE18" s="4">
        <f t="shared" si="1"/>
        <v>0</v>
      </c>
      <c r="AF18" s="4">
        <f t="shared" si="1"/>
        <v>0</v>
      </c>
      <c r="AG18" s="4">
        <f t="shared" si="1"/>
        <v>0</v>
      </c>
      <c r="AH18" s="4">
        <f t="shared" si="1"/>
        <v>0</v>
      </c>
      <c r="AI18" s="4">
        <f t="shared" si="1"/>
        <v>0</v>
      </c>
      <c r="AJ18" s="4">
        <f t="shared" si="1"/>
        <v>0</v>
      </c>
      <c r="AK18" s="4">
        <f t="shared" si="1"/>
        <v>0</v>
      </c>
      <c r="AL18" s="4">
        <f t="shared" si="1"/>
        <v>0</v>
      </c>
      <c r="AM18" s="4">
        <f t="shared" si="1"/>
        <v>0</v>
      </c>
      <c r="AN18" s="4">
        <f t="shared" si="1"/>
        <v>0</v>
      </c>
      <c r="AO18" s="4">
        <f t="shared" si="1"/>
        <v>0</v>
      </c>
      <c r="AP18" s="4">
        <f t="shared" si="1"/>
        <v>469730.01</v>
      </c>
      <c r="AQ18" s="4">
        <f t="shared" si="1"/>
        <v>0</v>
      </c>
      <c r="AR18" s="4">
        <f t="shared" si="1"/>
        <v>1018202.68</v>
      </c>
      <c r="AS18" s="4">
        <f t="shared" si="1"/>
        <v>0</v>
      </c>
      <c r="AT18" s="4">
        <f t="shared" si="1"/>
        <v>548472.67000000004</v>
      </c>
      <c r="AU18" s="4">
        <f t="shared" ref="AU18:BZ18" si="2">AU399</f>
        <v>0</v>
      </c>
      <c r="AV18" s="4">
        <f t="shared" si="2"/>
        <v>929001.41</v>
      </c>
      <c r="AW18" s="4">
        <f t="shared" si="2"/>
        <v>459271.4</v>
      </c>
      <c r="AX18" s="4">
        <f t="shared" si="2"/>
        <v>0</v>
      </c>
      <c r="AY18" s="4">
        <f t="shared" si="2"/>
        <v>459271.4</v>
      </c>
      <c r="AZ18" s="4">
        <f t="shared" si="2"/>
        <v>469730.01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si="2"/>
        <v>0</v>
      </c>
      <c r="BQ18" s="4">
        <f t="shared" si="2"/>
        <v>0</v>
      </c>
      <c r="BR18" s="4">
        <f t="shared" si="2"/>
        <v>0</v>
      </c>
      <c r="BS18" s="4">
        <f t="shared" si="2"/>
        <v>0</v>
      </c>
      <c r="BT18" s="4">
        <f t="shared" si="2"/>
        <v>0</v>
      </c>
      <c r="BU18" s="4">
        <f t="shared" si="2"/>
        <v>0</v>
      </c>
      <c r="BV18" s="4">
        <f t="shared" si="2"/>
        <v>0</v>
      </c>
      <c r="BW18" s="4">
        <f t="shared" si="2"/>
        <v>0</v>
      </c>
      <c r="BX18" s="4">
        <f t="shared" si="2"/>
        <v>0</v>
      </c>
      <c r="BY18" s="4">
        <f t="shared" si="2"/>
        <v>0</v>
      </c>
      <c r="BZ18" s="4">
        <f t="shared" si="2"/>
        <v>0</v>
      </c>
      <c r="CA18" s="4">
        <f t="shared" ref="CA18:DF18" si="3">CA399</f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  <c r="DC18" s="4">
        <f t="shared" si="3"/>
        <v>0</v>
      </c>
      <c r="DD18" s="4">
        <f t="shared" si="3"/>
        <v>0</v>
      </c>
      <c r="DE18" s="4">
        <f t="shared" si="3"/>
        <v>0</v>
      </c>
      <c r="DF18" s="4">
        <f t="shared" si="3"/>
        <v>0</v>
      </c>
      <c r="DG18" s="5">
        <f t="shared" ref="DG18:EL18" si="4">DG399</f>
        <v>9370519.4700000007</v>
      </c>
      <c r="DH18" s="5">
        <f t="shared" si="4"/>
        <v>7346074.7999999998</v>
      </c>
      <c r="DI18" s="5">
        <f t="shared" si="4"/>
        <v>47046.61</v>
      </c>
      <c r="DJ18" s="5">
        <f t="shared" si="4"/>
        <v>17829.400000000001</v>
      </c>
      <c r="DK18" s="5">
        <f t="shared" si="4"/>
        <v>1977398.06</v>
      </c>
      <c r="DL18" s="5">
        <f t="shared" si="4"/>
        <v>0</v>
      </c>
      <c r="DM18" s="5">
        <f t="shared" si="4"/>
        <v>3008.2474253700002</v>
      </c>
      <c r="DN18" s="5">
        <f t="shared" si="4"/>
        <v>0</v>
      </c>
      <c r="DO18" s="5">
        <f t="shared" si="4"/>
        <v>0</v>
      </c>
      <c r="DP18" s="5">
        <f t="shared" si="4"/>
        <v>1820200.59</v>
      </c>
      <c r="DQ18" s="5">
        <f t="shared" si="4"/>
        <v>935301.67</v>
      </c>
      <c r="DR18" s="5">
        <f t="shared" si="4"/>
        <v>0</v>
      </c>
      <c r="DS18" s="5">
        <f t="shared" si="4"/>
        <v>0</v>
      </c>
      <c r="DT18" s="5">
        <f t="shared" si="4"/>
        <v>0</v>
      </c>
      <c r="DU18" s="5">
        <f t="shared" si="4"/>
        <v>0</v>
      </c>
      <c r="DV18" s="5">
        <f t="shared" si="4"/>
        <v>0</v>
      </c>
      <c r="DW18" s="5">
        <f t="shared" si="4"/>
        <v>0</v>
      </c>
      <c r="DX18" s="5">
        <f t="shared" si="4"/>
        <v>0</v>
      </c>
      <c r="DY18" s="5">
        <f t="shared" si="4"/>
        <v>0</v>
      </c>
      <c r="DZ18" s="5">
        <f t="shared" si="4"/>
        <v>0</v>
      </c>
      <c r="EA18" s="5">
        <f t="shared" si="4"/>
        <v>0</v>
      </c>
      <c r="EB18" s="5">
        <f t="shared" si="4"/>
        <v>0</v>
      </c>
      <c r="EC18" s="5">
        <f t="shared" si="4"/>
        <v>0</v>
      </c>
      <c r="ED18" s="5">
        <f t="shared" si="4"/>
        <v>0</v>
      </c>
      <c r="EE18" s="5">
        <f t="shared" si="4"/>
        <v>0</v>
      </c>
      <c r="EF18" s="5">
        <f t="shared" si="4"/>
        <v>0</v>
      </c>
      <c r="EG18" s="5">
        <f t="shared" si="4"/>
        <v>0</v>
      </c>
      <c r="EH18" s="5">
        <f t="shared" si="4"/>
        <v>3475133.18</v>
      </c>
      <c r="EI18" s="5">
        <f t="shared" si="4"/>
        <v>0</v>
      </c>
      <c r="EJ18" s="5">
        <f t="shared" si="4"/>
        <v>12126021.73</v>
      </c>
      <c r="EK18" s="5">
        <f t="shared" si="4"/>
        <v>0</v>
      </c>
      <c r="EL18" s="5">
        <f t="shared" si="4"/>
        <v>8650888.5500000007</v>
      </c>
      <c r="EM18" s="5">
        <f t="shared" ref="EM18:FR18" si="5">EM399</f>
        <v>0</v>
      </c>
      <c r="EN18" s="5">
        <f t="shared" si="5"/>
        <v>7346074.7999999998</v>
      </c>
      <c r="EO18" s="5">
        <f t="shared" si="5"/>
        <v>3870941.62</v>
      </c>
      <c r="EP18" s="5">
        <f t="shared" si="5"/>
        <v>0</v>
      </c>
      <c r="EQ18" s="5">
        <f t="shared" si="5"/>
        <v>3870941.62</v>
      </c>
      <c r="ER18" s="5">
        <f t="shared" si="5"/>
        <v>3475133.18</v>
      </c>
      <c r="ES18" s="5">
        <f t="shared" si="5"/>
        <v>0</v>
      </c>
      <c r="ET18" s="5">
        <f t="shared" si="5"/>
        <v>0</v>
      </c>
      <c r="EU18" s="5">
        <f t="shared" si="5"/>
        <v>0</v>
      </c>
      <c r="EV18" s="5">
        <f t="shared" si="5"/>
        <v>0</v>
      </c>
      <c r="EW18" s="5">
        <f t="shared" si="5"/>
        <v>0</v>
      </c>
      <c r="EX18" s="5">
        <f t="shared" si="5"/>
        <v>0</v>
      </c>
      <c r="EY18" s="5">
        <f t="shared" si="5"/>
        <v>0</v>
      </c>
      <c r="EZ18" s="5">
        <f t="shared" si="5"/>
        <v>0</v>
      </c>
      <c r="FA18" s="5">
        <f t="shared" si="5"/>
        <v>0</v>
      </c>
      <c r="FB18" s="5">
        <f t="shared" si="5"/>
        <v>0</v>
      </c>
      <c r="FC18" s="5">
        <f t="shared" si="5"/>
        <v>0</v>
      </c>
      <c r="FD18" s="5">
        <f t="shared" si="5"/>
        <v>0</v>
      </c>
      <c r="FE18" s="5">
        <f t="shared" si="5"/>
        <v>0</v>
      </c>
      <c r="FF18" s="5">
        <f t="shared" si="5"/>
        <v>0</v>
      </c>
      <c r="FG18" s="5">
        <f t="shared" si="5"/>
        <v>0</v>
      </c>
      <c r="FH18" s="5">
        <f t="shared" si="5"/>
        <v>0</v>
      </c>
      <c r="FI18" s="5">
        <f t="shared" si="5"/>
        <v>0</v>
      </c>
      <c r="FJ18" s="5">
        <f t="shared" si="5"/>
        <v>0</v>
      </c>
      <c r="FK18" s="5">
        <f t="shared" si="5"/>
        <v>0</v>
      </c>
      <c r="FL18" s="5">
        <f t="shared" si="5"/>
        <v>0</v>
      </c>
      <c r="FM18" s="5">
        <f t="shared" si="5"/>
        <v>0</v>
      </c>
      <c r="FN18" s="5">
        <f t="shared" si="5"/>
        <v>0</v>
      </c>
      <c r="FO18" s="5">
        <f t="shared" si="5"/>
        <v>0</v>
      </c>
      <c r="FP18" s="5">
        <f t="shared" si="5"/>
        <v>0</v>
      </c>
      <c r="FQ18" s="5">
        <f t="shared" si="5"/>
        <v>0</v>
      </c>
      <c r="FR18" s="5">
        <f t="shared" si="5"/>
        <v>0</v>
      </c>
      <c r="FS18" s="5">
        <f t="shared" ref="FS18:GX18" si="6">FS399</f>
        <v>0</v>
      </c>
      <c r="FT18" s="5">
        <f t="shared" si="6"/>
        <v>0</v>
      </c>
      <c r="FU18" s="5">
        <f t="shared" si="6"/>
        <v>0</v>
      </c>
      <c r="FV18" s="5">
        <f t="shared" si="6"/>
        <v>0</v>
      </c>
      <c r="FW18" s="5">
        <f t="shared" si="6"/>
        <v>0</v>
      </c>
      <c r="FX18" s="5">
        <f t="shared" si="6"/>
        <v>0</v>
      </c>
      <c r="FY18" s="5">
        <f t="shared" si="6"/>
        <v>0</v>
      </c>
      <c r="FZ18" s="5">
        <f t="shared" si="6"/>
        <v>0</v>
      </c>
      <c r="GA18" s="5">
        <f t="shared" si="6"/>
        <v>0</v>
      </c>
      <c r="GB18" s="5">
        <f t="shared" si="6"/>
        <v>0</v>
      </c>
      <c r="GC18" s="5">
        <f t="shared" si="6"/>
        <v>0</v>
      </c>
      <c r="GD18" s="5">
        <f t="shared" si="6"/>
        <v>0</v>
      </c>
      <c r="GE18" s="5">
        <f t="shared" si="6"/>
        <v>0</v>
      </c>
      <c r="GF18" s="5">
        <f t="shared" si="6"/>
        <v>0</v>
      </c>
      <c r="GG18" s="5">
        <f t="shared" si="6"/>
        <v>0</v>
      </c>
      <c r="GH18" s="5">
        <f t="shared" si="6"/>
        <v>0</v>
      </c>
      <c r="GI18" s="5">
        <f t="shared" si="6"/>
        <v>0</v>
      </c>
      <c r="GJ18" s="5">
        <f t="shared" si="6"/>
        <v>0</v>
      </c>
      <c r="GK18" s="5">
        <f t="shared" si="6"/>
        <v>0</v>
      </c>
      <c r="GL18" s="5">
        <f t="shared" si="6"/>
        <v>0</v>
      </c>
      <c r="GM18" s="5">
        <f t="shared" si="6"/>
        <v>0</v>
      </c>
      <c r="GN18" s="5">
        <f t="shared" si="6"/>
        <v>0</v>
      </c>
      <c r="GO18" s="5">
        <f t="shared" si="6"/>
        <v>0</v>
      </c>
      <c r="GP18" s="5">
        <f t="shared" si="6"/>
        <v>0</v>
      </c>
      <c r="GQ18" s="5">
        <f t="shared" si="6"/>
        <v>0</v>
      </c>
      <c r="GR18" s="5">
        <f t="shared" si="6"/>
        <v>0</v>
      </c>
      <c r="GS18" s="5">
        <f t="shared" si="6"/>
        <v>0</v>
      </c>
      <c r="GT18" s="5">
        <f t="shared" si="6"/>
        <v>0</v>
      </c>
      <c r="GU18" s="5">
        <f t="shared" si="6"/>
        <v>0</v>
      </c>
      <c r="GV18" s="5">
        <f t="shared" si="6"/>
        <v>0</v>
      </c>
      <c r="GW18" s="5">
        <f t="shared" si="6"/>
        <v>0</v>
      </c>
      <c r="GX18" s="5">
        <f t="shared" si="6"/>
        <v>0</v>
      </c>
    </row>
    <row r="20" spans="1:255" x14ac:dyDescent="0.3">
      <c r="A20" s="1">
        <v>3</v>
      </c>
      <c r="B20" s="1">
        <v>1</v>
      </c>
      <c r="C20" s="1"/>
      <c r="D20" s="1">
        <f>ROW(A369)</f>
        <v>369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3">
      <c r="A22" s="4">
        <v>52</v>
      </c>
      <c r="B22" s="4">
        <f t="shared" ref="B22:G22" si="7">B369</f>
        <v>1</v>
      </c>
      <c r="C22" s="4">
        <f t="shared" si="7"/>
        <v>3</v>
      </c>
      <c r="D22" s="4">
        <f t="shared" si="7"/>
        <v>20</v>
      </c>
      <c r="E22" s="4">
        <f t="shared" si="7"/>
        <v>0</v>
      </c>
      <c r="F22" s="4" t="str">
        <f t="shared" si="7"/>
        <v>02-01-12</v>
      </c>
      <c r="G22" s="4" t="str">
        <f t="shared" si="7"/>
        <v>Структурированная кабельная сеть</v>
      </c>
      <c r="H22" s="4"/>
      <c r="I22" s="4"/>
      <c r="J22" s="4"/>
      <c r="K22" s="4"/>
      <c r="L22" s="4"/>
      <c r="M22" s="4"/>
      <c r="N22" s="4"/>
      <c r="O22" s="4">
        <f t="shared" ref="O22:AT22" si="8">O369</f>
        <v>968093.54</v>
      </c>
      <c r="P22" s="4">
        <f t="shared" si="8"/>
        <v>929001.41</v>
      </c>
      <c r="Q22" s="4">
        <f t="shared" si="8"/>
        <v>3132.9</v>
      </c>
      <c r="R22" s="4">
        <f t="shared" si="8"/>
        <v>324.23</v>
      </c>
      <c r="S22" s="4">
        <f t="shared" si="8"/>
        <v>35959.230000000003</v>
      </c>
      <c r="T22" s="4">
        <f t="shared" si="8"/>
        <v>0</v>
      </c>
      <c r="U22" s="4">
        <f t="shared" si="8"/>
        <v>3008.2474253700002</v>
      </c>
      <c r="V22" s="4">
        <f t="shared" si="8"/>
        <v>0</v>
      </c>
      <c r="W22" s="4">
        <f t="shared" si="8"/>
        <v>0</v>
      </c>
      <c r="X22" s="4">
        <f t="shared" si="8"/>
        <v>33100.57</v>
      </c>
      <c r="Y22" s="4">
        <f t="shared" si="8"/>
        <v>17008.57</v>
      </c>
      <c r="Z22" s="4">
        <f t="shared" si="8"/>
        <v>0</v>
      </c>
      <c r="AA22" s="4">
        <f t="shared" si="8"/>
        <v>0</v>
      </c>
      <c r="AB22" s="4">
        <f t="shared" si="8"/>
        <v>0</v>
      </c>
      <c r="AC22" s="4">
        <f t="shared" si="8"/>
        <v>0</v>
      </c>
      <c r="AD22" s="4">
        <f t="shared" si="8"/>
        <v>0</v>
      </c>
      <c r="AE22" s="4">
        <f t="shared" si="8"/>
        <v>0</v>
      </c>
      <c r="AF22" s="4">
        <f t="shared" si="8"/>
        <v>0</v>
      </c>
      <c r="AG22" s="4">
        <f t="shared" si="8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8"/>
        <v>0</v>
      </c>
      <c r="AL22" s="4">
        <f t="shared" si="8"/>
        <v>0</v>
      </c>
      <c r="AM22" s="4">
        <f t="shared" si="8"/>
        <v>0</v>
      </c>
      <c r="AN22" s="4">
        <f t="shared" si="8"/>
        <v>0</v>
      </c>
      <c r="AO22" s="4">
        <f t="shared" si="8"/>
        <v>0</v>
      </c>
      <c r="AP22" s="4">
        <f t="shared" si="8"/>
        <v>469730.01</v>
      </c>
      <c r="AQ22" s="4">
        <f t="shared" si="8"/>
        <v>0</v>
      </c>
      <c r="AR22" s="4">
        <f t="shared" si="8"/>
        <v>1018202.68</v>
      </c>
      <c r="AS22" s="4">
        <f t="shared" si="8"/>
        <v>0</v>
      </c>
      <c r="AT22" s="4">
        <f t="shared" si="8"/>
        <v>548472.67000000004</v>
      </c>
      <c r="AU22" s="4">
        <f t="shared" ref="AU22:BZ22" si="9">AU369</f>
        <v>0</v>
      </c>
      <c r="AV22" s="4">
        <f t="shared" si="9"/>
        <v>929001.41</v>
      </c>
      <c r="AW22" s="4">
        <f t="shared" si="9"/>
        <v>459271.4</v>
      </c>
      <c r="AX22" s="4">
        <f t="shared" si="9"/>
        <v>0</v>
      </c>
      <c r="AY22" s="4">
        <f t="shared" si="9"/>
        <v>459271.4</v>
      </c>
      <c r="AZ22" s="4">
        <f t="shared" si="9"/>
        <v>469730.01</v>
      </c>
      <c r="BA22" s="4">
        <f t="shared" si="9"/>
        <v>0</v>
      </c>
      <c r="BB22" s="4">
        <f t="shared" si="9"/>
        <v>0</v>
      </c>
      <c r="BC22" s="4">
        <f t="shared" si="9"/>
        <v>0</v>
      </c>
      <c r="BD22" s="4">
        <f t="shared" si="9"/>
        <v>0</v>
      </c>
      <c r="BE22" s="4">
        <f t="shared" si="9"/>
        <v>0</v>
      </c>
      <c r="BF22" s="4">
        <f t="shared" si="9"/>
        <v>0</v>
      </c>
      <c r="BG22" s="4">
        <f t="shared" si="9"/>
        <v>0</v>
      </c>
      <c r="BH22" s="4">
        <f t="shared" si="9"/>
        <v>0</v>
      </c>
      <c r="BI22" s="4">
        <f t="shared" si="9"/>
        <v>0</v>
      </c>
      <c r="BJ22" s="4">
        <f t="shared" si="9"/>
        <v>0</v>
      </c>
      <c r="BK22" s="4">
        <f t="shared" si="9"/>
        <v>0</v>
      </c>
      <c r="BL22" s="4">
        <f t="shared" si="9"/>
        <v>0</v>
      </c>
      <c r="BM22" s="4">
        <f t="shared" si="9"/>
        <v>0</v>
      </c>
      <c r="BN22" s="4">
        <f t="shared" si="9"/>
        <v>0</v>
      </c>
      <c r="BO22" s="4">
        <f t="shared" si="9"/>
        <v>0</v>
      </c>
      <c r="BP22" s="4">
        <f t="shared" si="9"/>
        <v>0</v>
      </c>
      <c r="BQ22" s="4">
        <f t="shared" si="9"/>
        <v>0</v>
      </c>
      <c r="BR22" s="4">
        <f t="shared" si="9"/>
        <v>0</v>
      </c>
      <c r="BS22" s="4">
        <f t="shared" si="9"/>
        <v>0</v>
      </c>
      <c r="BT22" s="4">
        <f t="shared" si="9"/>
        <v>0</v>
      </c>
      <c r="BU22" s="4">
        <f t="shared" si="9"/>
        <v>0</v>
      </c>
      <c r="BV22" s="4">
        <f t="shared" si="9"/>
        <v>0</v>
      </c>
      <c r="BW22" s="4">
        <f t="shared" si="9"/>
        <v>0</v>
      </c>
      <c r="BX22" s="4">
        <f t="shared" si="9"/>
        <v>0</v>
      </c>
      <c r="BY22" s="4">
        <f t="shared" si="9"/>
        <v>0</v>
      </c>
      <c r="BZ22" s="4">
        <f t="shared" si="9"/>
        <v>0</v>
      </c>
      <c r="CA22" s="4">
        <f t="shared" ref="CA22:DF22" si="10">CA369</f>
        <v>0</v>
      </c>
      <c r="CB22" s="4">
        <f t="shared" si="10"/>
        <v>0</v>
      </c>
      <c r="CC22" s="4">
        <f t="shared" si="10"/>
        <v>0</v>
      </c>
      <c r="CD22" s="4">
        <f t="shared" si="10"/>
        <v>0</v>
      </c>
      <c r="CE22" s="4">
        <f t="shared" si="10"/>
        <v>0</v>
      </c>
      <c r="CF22" s="4">
        <f t="shared" si="10"/>
        <v>0</v>
      </c>
      <c r="CG22" s="4">
        <f t="shared" si="10"/>
        <v>0</v>
      </c>
      <c r="CH22" s="4">
        <f t="shared" si="10"/>
        <v>0</v>
      </c>
      <c r="CI22" s="4">
        <f t="shared" si="10"/>
        <v>0</v>
      </c>
      <c r="CJ22" s="4">
        <f t="shared" si="10"/>
        <v>0</v>
      </c>
      <c r="CK22" s="4">
        <f t="shared" si="10"/>
        <v>0</v>
      </c>
      <c r="CL22" s="4">
        <f t="shared" si="10"/>
        <v>0</v>
      </c>
      <c r="CM22" s="4">
        <f t="shared" si="10"/>
        <v>0</v>
      </c>
      <c r="CN22" s="4">
        <f t="shared" si="10"/>
        <v>0</v>
      </c>
      <c r="CO22" s="4">
        <f t="shared" si="10"/>
        <v>0</v>
      </c>
      <c r="CP22" s="4">
        <f t="shared" si="10"/>
        <v>0</v>
      </c>
      <c r="CQ22" s="4">
        <f t="shared" si="10"/>
        <v>0</v>
      </c>
      <c r="CR22" s="4">
        <f t="shared" si="10"/>
        <v>0</v>
      </c>
      <c r="CS22" s="4">
        <f t="shared" si="10"/>
        <v>0</v>
      </c>
      <c r="CT22" s="4">
        <f t="shared" si="10"/>
        <v>0</v>
      </c>
      <c r="CU22" s="4">
        <f t="shared" si="10"/>
        <v>0</v>
      </c>
      <c r="CV22" s="4">
        <f t="shared" si="10"/>
        <v>0</v>
      </c>
      <c r="CW22" s="4">
        <f t="shared" si="10"/>
        <v>0</v>
      </c>
      <c r="CX22" s="4">
        <f t="shared" si="10"/>
        <v>0</v>
      </c>
      <c r="CY22" s="4">
        <f t="shared" si="10"/>
        <v>0</v>
      </c>
      <c r="CZ22" s="4">
        <f t="shared" si="10"/>
        <v>0</v>
      </c>
      <c r="DA22" s="4">
        <f t="shared" si="10"/>
        <v>0</v>
      </c>
      <c r="DB22" s="4">
        <f t="shared" si="10"/>
        <v>0</v>
      </c>
      <c r="DC22" s="4">
        <f t="shared" si="10"/>
        <v>0</v>
      </c>
      <c r="DD22" s="4">
        <f t="shared" si="10"/>
        <v>0</v>
      </c>
      <c r="DE22" s="4">
        <f t="shared" si="10"/>
        <v>0</v>
      </c>
      <c r="DF22" s="4">
        <f t="shared" si="10"/>
        <v>0</v>
      </c>
      <c r="DG22" s="5">
        <f t="shared" ref="DG22:EL22" si="11">DG369</f>
        <v>9370519.4700000007</v>
      </c>
      <c r="DH22" s="5">
        <f t="shared" si="11"/>
        <v>7346074.7999999998</v>
      </c>
      <c r="DI22" s="5">
        <f t="shared" si="11"/>
        <v>47046.61</v>
      </c>
      <c r="DJ22" s="5">
        <f t="shared" si="11"/>
        <v>17829.400000000001</v>
      </c>
      <c r="DK22" s="5">
        <f t="shared" si="11"/>
        <v>1977398.06</v>
      </c>
      <c r="DL22" s="5">
        <f t="shared" si="11"/>
        <v>0</v>
      </c>
      <c r="DM22" s="5">
        <f t="shared" si="11"/>
        <v>3008.2474253700002</v>
      </c>
      <c r="DN22" s="5">
        <f t="shared" si="11"/>
        <v>0</v>
      </c>
      <c r="DO22" s="5">
        <f t="shared" si="11"/>
        <v>0</v>
      </c>
      <c r="DP22" s="5">
        <f t="shared" si="11"/>
        <v>1820200.59</v>
      </c>
      <c r="DQ22" s="5">
        <f t="shared" si="11"/>
        <v>935301.67</v>
      </c>
      <c r="DR22" s="5">
        <f t="shared" si="11"/>
        <v>0</v>
      </c>
      <c r="DS22" s="5">
        <f t="shared" si="11"/>
        <v>0</v>
      </c>
      <c r="DT22" s="5">
        <f t="shared" si="11"/>
        <v>0</v>
      </c>
      <c r="DU22" s="5">
        <f t="shared" si="11"/>
        <v>0</v>
      </c>
      <c r="DV22" s="5">
        <f t="shared" si="11"/>
        <v>0</v>
      </c>
      <c r="DW22" s="5">
        <f t="shared" si="11"/>
        <v>0</v>
      </c>
      <c r="DX22" s="5">
        <f t="shared" si="11"/>
        <v>0</v>
      </c>
      <c r="DY22" s="5">
        <f t="shared" si="11"/>
        <v>0</v>
      </c>
      <c r="DZ22" s="5">
        <f t="shared" si="11"/>
        <v>0</v>
      </c>
      <c r="EA22" s="5">
        <f t="shared" si="11"/>
        <v>0</v>
      </c>
      <c r="EB22" s="5">
        <f t="shared" si="11"/>
        <v>0</v>
      </c>
      <c r="EC22" s="5">
        <f t="shared" si="11"/>
        <v>0</v>
      </c>
      <c r="ED22" s="5">
        <f t="shared" si="11"/>
        <v>0</v>
      </c>
      <c r="EE22" s="5">
        <f t="shared" si="11"/>
        <v>0</v>
      </c>
      <c r="EF22" s="5">
        <f t="shared" si="11"/>
        <v>0</v>
      </c>
      <c r="EG22" s="5">
        <f t="shared" si="11"/>
        <v>0</v>
      </c>
      <c r="EH22" s="5">
        <f t="shared" si="11"/>
        <v>3475133.18</v>
      </c>
      <c r="EI22" s="5">
        <f t="shared" si="11"/>
        <v>0</v>
      </c>
      <c r="EJ22" s="5">
        <f t="shared" si="11"/>
        <v>12126021.73</v>
      </c>
      <c r="EK22" s="5">
        <f t="shared" si="11"/>
        <v>0</v>
      </c>
      <c r="EL22" s="5">
        <f t="shared" si="11"/>
        <v>8650888.5500000007</v>
      </c>
      <c r="EM22" s="5">
        <f t="shared" ref="EM22:FR22" si="12">EM369</f>
        <v>0</v>
      </c>
      <c r="EN22" s="5">
        <f t="shared" si="12"/>
        <v>7346074.7999999998</v>
      </c>
      <c r="EO22" s="5">
        <f t="shared" si="12"/>
        <v>3870941.62</v>
      </c>
      <c r="EP22" s="5">
        <f t="shared" si="12"/>
        <v>0</v>
      </c>
      <c r="EQ22" s="5">
        <f t="shared" si="12"/>
        <v>3870941.62</v>
      </c>
      <c r="ER22" s="5">
        <f t="shared" si="12"/>
        <v>3475133.18</v>
      </c>
      <c r="ES22" s="5">
        <f t="shared" si="12"/>
        <v>0</v>
      </c>
      <c r="ET22" s="5">
        <f t="shared" si="12"/>
        <v>0</v>
      </c>
      <c r="EU22" s="5">
        <f t="shared" si="12"/>
        <v>0</v>
      </c>
      <c r="EV22" s="5">
        <f t="shared" si="12"/>
        <v>0</v>
      </c>
      <c r="EW22" s="5">
        <f t="shared" si="12"/>
        <v>0</v>
      </c>
      <c r="EX22" s="5">
        <f t="shared" si="12"/>
        <v>0</v>
      </c>
      <c r="EY22" s="5">
        <f t="shared" si="12"/>
        <v>0</v>
      </c>
      <c r="EZ22" s="5">
        <f t="shared" si="12"/>
        <v>0</v>
      </c>
      <c r="FA22" s="5">
        <f t="shared" si="12"/>
        <v>0</v>
      </c>
      <c r="FB22" s="5">
        <f t="shared" si="12"/>
        <v>0</v>
      </c>
      <c r="FC22" s="5">
        <f t="shared" si="12"/>
        <v>0</v>
      </c>
      <c r="FD22" s="5">
        <f t="shared" si="12"/>
        <v>0</v>
      </c>
      <c r="FE22" s="5">
        <f t="shared" si="12"/>
        <v>0</v>
      </c>
      <c r="FF22" s="5">
        <f t="shared" si="12"/>
        <v>0</v>
      </c>
      <c r="FG22" s="5">
        <f t="shared" si="12"/>
        <v>0</v>
      </c>
      <c r="FH22" s="5">
        <f t="shared" si="12"/>
        <v>0</v>
      </c>
      <c r="FI22" s="5">
        <f t="shared" si="12"/>
        <v>0</v>
      </c>
      <c r="FJ22" s="5">
        <f t="shared" si="12"/>
        <v>0</v>
      </c>
      <c r="FK22" s="5">
        <f t="shared" si="12"/>
        <v>0</v>
      </c>
      <c r="FL22" s="5">
        <f t="shared" si="12"/>
        <v>0</v>
      </c>
      <c r="FM22" s="5">
        <f t="shared" si="12"/>
        <v>0</v>
      </c>
      <c r="FN22" s="5">
        <f t="shared" si="12"/>
        <v>0</v>
      </c>
      <c r="FO22" s="5">
        <f t="shared" si="12"/>
        <v>0</v>
      </c>
      <c r="FP22" s="5">
        <f t="shared" si="12"/>
        <v>0</v>
      </c>
      <c r="FQ22" s="5">
        <f t="shared" si="12"/>
        <v>0</v>
      </c>
      <c r="FR22" s="5">
        <f t="shared" si="12"/>
        <v>0</v>
      </c>
      <c r="FS22" s="5">
        <f t="shared" ref="FS22:GX22" si="13">FS369</f>
        <v>0</v>
      </c>
      <c r="FT22" s="5">
        <f t="shared" si="13"/>
        <v>0</v>
      </c>
      <c r="FU22" s="5">
        <f t="shared" si="13"/>
        <v>0</v>
      </c>
      <c r="FV22" s="5">
        <f t="shared" si="13"/>
        <v>0</v>
      </c>
      <c r="FW22" s="5">
        <f t="shared" si="13"/>
        <v>0</v>
      </c>
      <c r="FX22" s="5">
        <f t="shared" si="13"/>
        <v>0</v>
      </c>
      <c r="FY22" s="5">
        <f t="shared" si="13"/>
        <v>0</v>
      </c>
      <c r="FZ22" s="5">
        <f t="shared" si="13"/>
        <v>0</v>
      </c>
      <c r="GA22" s="5">
        <f t="shared" si="13"/>
        <v>0</v>
      </c>
      <c r="GB22" s="5">
        <f t="shared" si="13"/>
        <v>0</v>
      </c>
      <c r="GC22" s="5">
        <f t="shared" si="13"/>
        <v>0</v>
      </c>
      <c r="GD22" s="5">
        <f t="shared" si="13"/>
        <v>0</v>
      </c>
      <c r="GE22" s="5">
        <f t="shared" si="13"/>
        <v>0</v>
      </c>
      <c r="GF22" s="5">
        <f t="shared" si="13"/>
        <v>0</v>
      </c>
      <c r="GG22" s="5">
        <f t="shared" si="13"/>
        <v>0</v>
      </c>
      <c r="GH22" s="5">
        <f t="shared" si="13"/>
        <v>0</v>
      </c>
      <c r="GI22" s="5">
        <f t="shared" si="13"/>
        <v>0</v>
      </c>
      <c r="GJ22" s="5">
        <f t="shared" si="13"/>
        <v>0</v>
      </c>
      <c r="GK22" s="5">
        <f t="shared" si="13"/>
        <v>0</v>
      </c>
      <c r="GL22" s="5">
        <f t="shared" si="13"/>
        <v>0</v>
      </c>
      <c r="GM22" s="5">
        <f t="shared" si="13"/>
        <v>0</v>
      </c>
      <c r="GN22" s="5">
        <f t="shared" si="13"/>
        <v>0</v>
      </c>
      <c r="GO22" s="5">
        <f t="shared" si="13"/>
        <v>0</v>
      </c>
      <c r="GP22" s="5">
        <f t="shared" si="13"/>
        <v>0</v>
      </c>
      <c r="GQ22" s="5">
        <f t="shared" si="13"/>
        <v>0</v>
      </c>
      <c r="GR22" s="5">
        <f t="shared" si="13"/>
        <v>0</v>
      </c>
      <c r="GS22" s="5">
        <f t="shared" si="13"/>
        <v>0</v>
      </c>
      <c r="GT22" s="5">
        <f t="shared" si="13"/>
        <v>0</v>
      </c>
      <c r="GU22" s="5">
        <f t="shared" si="13"/>
        <v>0</v>
      </c>
      <c r="GV22" s="5">
        <f t="shared" si="13"/>
        <v>0</v>
      </c>
      <c r="GW22" s="5">
        <f t="shared" si="13"/>
        <v>0</v>
      </c>
      <c r="GX22" s="5">
        <f t="shared" si="13"/>
        <v>0</v>
      </c>
    </row>
    <row r="24" spans="1:255" x14ac:dyDescent="0.3">
      <c r="A24" s="1">
        <v>4</v>
      </c>
      <c r="B24" s="1">
        <v>1</v>
      </c>
      <c r="C24" s="1"/>
      <c r="D24" s="1">
        <f>ROW(A51)</f>
        <v>51</v>
      </c>
      <c r="E24" s="1"/>
      <c r="F24" s="1" t="s">
        <v>3</v>
      </c>
      <c r="G24" s="1" t="s">
        <v>18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3">
      <c r="A26" s="4">
        <v>52</v>
      </c>
      <c r="B26" s="4">
        <f t="shared" ref="B26:G26" si="14">B51</f>
        <v>1</v>
      </c>
      <c r="C26" s="4">
        <f t="shared" si="14"/>
        <v>4</v>
      </c>
      <c r="D26" s="4">
        <f t="shared" si="14"/>
        <v>24</v>
      </c>
      <c r="E26" s="4">
        <f t="shared" si="14"/>
        <v>0</v>
      </c>
      <c r="F26" s="4" t="str">
        <f t="shared" si="14"/>
        <v/>
      </c>
      <c r="G26" s="4" t="str">
        <f t="shared" si="14"/>
        <v>Телекоммуникационный шкаф 47U 19" ШТ1-01</v>
      </c>
      <c r="H26" s="4"/>
      <c r="I26" s="4"/>
      <c r="J26" s="4"/>
      <c r="K26" s="4"/>
      <c r="L26" s="4"/>
      <c r="M26" s="4"/>
      <c r="N26" s="4"/>
      <c r="O26" s="4">
        <f t="shared" ref="O26:AT26" si="15">O51</f>
        <v>25651.89</v>
      </c>
      <c r="P26" s="4">
        <f t="shared" si="15"/>
        <v>25442.61</v>
      </c>
      <c r="Q26" s="4">
        <f t="shared" si="15"/>
        <v>47.12</v>
      </c>
      <c r="R26" s="4">
        <f t="shared" si="15"/>
        <v>5.16</v>
      </c>
      <c r="S26" s="4">
        <f t="shared" si="15"/>
        <v>162.16</v>
      </c>
      <c r="T26" s="4">
        <f t="shared" si="15"/>
        <v>0</v>
      </c>
      <c r="U26" s="4">
        <f t="shared" si="15"/>
        <v>14.442318</v>
      </c>
      <c r="V26" s="4">
        <f t="shared" si="15"/>
        <v>0</v>
      </c>
      <c r="W26" s="4">
        <f t="shared" si="15"/>
        <v>0</v>
      </c>
      <c r="X26" s="4">
        <f t="shared" si="15"/>
        <v>150.59</v>
      </c>
      <c r="Y26" s="4">
        <f t="shared" si="15"/>
        <v>76.959999999999994</v>
      </c>
      <c r="Z26" s="4">
        <f t="shared" si="15"/>
        <v>0</v>
      </c>
      <c r="AA26" s="4">
        <f t="shared" si="15"/>
        <v>0</v>
      </c>
      <c r="AB26" s="4">
        <f t="shared" si="15"/>
        <v>25651.89</v>
      </c>
      <c r="AC26" s="4">
        <f t="shared" si="15"/>
        <v>25442.61</v>
      </c>
      <c r="AD26" s="4">
        <f t="shared" si="15"/>
        <v>47.12</v>
      </c>
      <c r="AE26" s="4">
        <f t="shared" si="15"/>
        <v>5.16</v>
      </c>
      <c r="AF26" s="4">
        <f t="shared" si="15"/>
        <v>162.16</v>
      </c>
      <c r="AG26" s="4">
        <f t="shared" si="15"/>
        <v>0</v>
      </c>
      <c r="AH26" s="4">
        <f t="shared" si="15"/>
        <v>14.442318</v>
      </c>
      <c r="AI26" s="4">
        <f t="shared" si="15"/>
        <v>0</v>
      </c>
      <c r="AJ26" s="4">
        <f t="shared" si="15"/>
        <v>0</v>
      </c>
      <c r="AK26" s="4">
        <f t="shared" si="15"/>
        <v>150.59</v>
      </c>
      <c r="AL26" s="4">
        <f t="shared" si="15"/>
        <v>76.959999999999994</v>
      </c>
      <c r="AM26" s="4">
        <f t="shared" si="15"/>
        <v>0</v>
      </c>
      <c r="AN26" s="4">
        <f t="shared" si="15"/>
        <v>0</v>
      </c>
      <c r="AO26" s="4">
        <f t="shared" si="15"/>
        <v>0</v>
      </c>
      <c r="AP26" s="4">
        <f t="shared" si="15"/>
        <v>3213.03</v>
      </c>
      <c r="AQ26" s="4">
        <f t="shared" si="15"/>
        <v>0</v>
      </c>
      <c r="AR26" s="4">
        <f t="shared" si="15"/>
        <v>25879.439999999999</v>
      </c>
      <c r="AS26" s="4">
        <f t="shared" si="15"/>
        <v>0</v>
      </c>
      <c r="AT26" s="4">
        <f t="shared" si="15"/>
        <v>22666.41</v>
      </c>
      <c r="AU26" s="4">
        <f t="shared" ref="AU26:BZ26" si="16">AU51</f>
        <v>0</v>
      </c>
      <c r="AV26" s="4">
        <f t="shared" si="16"/>
        <v>25442.61</v>
      </c>
      <c r="AW26" s="4">
        <f t="shared" si="16"/>
        <v>22229.58</v>
      </c>
      <c r="AX26" s="4">
        <f t="shared" si="16"/>
        <v>0</v>
      </c>
      <c r="AY26" s="4">
        <f t="shared" si="16"/>
        <v>22229.58</v>
      </c>
      <c r="AZ26" s="4">
        <f t="shared" si="16"/>
        <v>3213.03</v>
      </c>
      <c r="BA26" s="4">
        <f t="shared" si="16"/>
        <v>0</v>
      </c>
      <c r="BB26" s="4">
        <f t="shared" si="16"/>
        <v>0</v>
      </c>
      <c r="BC26" s="4">
        <f t="shared" si="16"/>
        <v>0</v>
      </c>
      <c r="BD26" s="4">
        <f t="shared" si="16"/>
        <v>0</v>
      </c>
      <c r="BE26" s="4">
        <f t="shared" si="16"/>
        <v>0</v>
      </c>
      <c r="BF26" s="4">
        <f t="shared" si="16"/>
        <v>0</v>
      </c>
      <c r="BG26" s="4">
        <f t="shared" si="16"/>
        <v>0</v>
      </c>
      <c r="BH26" s="4">
        <f t="shared" si="16"/>
        <v>0</v>
      </c>
      <c r="BI26" s="4">
        <f t="shared" si="16"/>
        <v>0</v>
      </c>
      <c r="BJ26" s="4">
        <f t="shared" si="16"/>
        <v>0</v>
      </c>
      <c r="BK26" s="4">
        <f t="shared" si="16"/>
        <v>0</v>
      </c>
      <c r="BL26" s="4">
        <f t="shared" si="16"/>
        <v>0</v>
      </c>
      <c r="BM26" s="4">
        <f t="shared" si="16"/>
        <v>0</v>
      </c>
      <c r="BN26" s="4">
        <f t="shared" si="16"/>
        <v>0</v>
      </c>
      <c r="BO26" s="4">
        <f t="shared" si="16"/>
        <v>0</v>
      </c>
      <c r="BP26" s="4">
        <f t="shared" si="16"/>
        <v>0</v>
      </c>
      <c r="BQ26" s="4">
        <f t="shared" si="16"/>
        <v>0</v>
      </c>
      <c r="BR26" s="4">
        <f t="shared" si="16"/>
        <v>0</v>
      </c>
      <c r="BS26" s="4">
        <f t="shared" si="16"/>
        <v>0</v>
      </c>
      <c r="BT26" s="4">
        <f t="shared" si="16"/>
        <v>0</v>
      </c>
      <c r="BU26" s="4">
        <f t="shared" si="16"/>
        <v>0</v>
      </c>
      <c r="BV26" s="4">
        <f t="shared" si="16"/>
        <v>0</v>
      </c>
      <c r="BW26" s="4">
        <f t="shared" si="16"/>
        <v>0</v>
      </c>
      <c r="BX26" s="4">
        <f t="shared" si="16"/>
        <v>0</v>
      </c>
      <c r="BY26" s="4">
        <f t="shared" si="16"/>
        <v>3213.03</v>
      </c>
      <c r="BZ26" s="4">
        <f t="shared" si="16"/>
        <v>0</v>
      </c>
      <c r="CA26" s="4">
        <f t="shared" ref="CA26:DF26" si="17">CA51</f>
        <v>25879.439999999999</v>
      </c>
      <c r="CB26" s="4">
        <f t="shared" si="17"/>
        <v>0</v>
      </c>
      <c r="CC26" s="4">
        <f t="shared" si="17"/>
        <v>22666.41</v>
      </c>
      <c r="CD26" s="4">
        <f t="shared" si="17"/>
        <v>0</v>
      </c>
      <c r="CE26" s="4">
        <f t="shared" si="17"/>
        <v>25442.61</v>
      </c>
      <c r="CF26" s="4">
        <f t="shared" si="17"/>
        <v>22229.58</v>
      </c>
      <c r="CG26" s="4">
        <f t="shared" si="17"/>
        <v>0</v>
      </c>
      <c r="CH26" s="4">
        <f t="shared" si="17"/>
        <v>22229.58</v>
      </c>
      <c r="CI26" s="4">
        <f t="shared" si="17"/>
        <v>3213.03</v>
      </c>
      <c r="CJ26" s="4">
        <f t="shared" si="17"/>
        <v>0</v>
      </c>
      <c r="CK26" s="4">
        <f t="shared" si="17"/>
        <v>0</v>
      </c>
      <c r="CL26" s="4">
        <f t="shared" si="17"/>
        <v>0</v>
      </c>
      <c r="CM26" s="4">
        <f t="shared" si="17"/>
        <v>0</v>
      </c>
      <c r="CN26" s="4">
        <f t="shared" si="17"/>
        <v>0</v>
      </c>
      <c r="CO26" s="4">
        <f t="shared" si="17"/>
        <v>0</v>
      </c>
      <c r="CP26" s="4">
        <f t="shared" si="17"/>
        <v>0</v>
      </c>
      <c r="CQ26" s="4">
        <f t="shared" si="17"/>
        <v>0</v>
      </c>
      <c r="CR26" s="4">
        <f t="shared" si="17"/>
        <v>0</v>
      </c>
      <c r="CS26" s="4">
        <f t="shared" si="17"/>
        <v>0</v>
      </c>
      <c r="CT26" s="4">
        <f t="shared" si="17"/>
        <v>0</v>
      </c>
      <c r="CU26" s="4">
        <f t="shared" si="17"/>
        <v>0</v>
      </c>
      <c r="CV26" s="4">
        <f t="shared" si="17"/>
        <v>0</v>
      </c>
      <c r="CW26" s="4">
        <f t="shared" si="17"/>
        <v>0</v>
      </c>
      <c r="CX26" s="4">
        <f t="shared" si="17"/>
        <v>0</v>
      </c>
      <c r="CY26" s="4">
        <f t="shared" si="17"/>
        <v>0</v>
      </c>
      <c r="CZ26" s="4">
        <f t="shared" si="17"/>
        <v>0</v>
      </c>
      <c r="DA26" s="4">
        <f t="shared" si="17"/>
        <v>0</v>
      </c>
      <c r="DB26" s="4">
        <f t="shared" si="17"/>
        <v>0</v>
      </c>
      <c r="DC26" s="4">
        <f t="shared" si="17"/>
        <v>0</v>
      </c>
      <c r="DD26" s="4">
        <f t="shared" si="17"/>
        <v>0</v>
      </c>
      <c r="DE26" s="4">
        <f t="shared" si="17"/>
        <v>0</v>
      </c>
      <c r="DF26" s="4">
        <f t="shared" si="17"/>
        <v>0</v>
      </c>
      <c r="DG26" s="5">
        <f t="shared" ref="DG26:EL26" si="18">DG51</f>
        <v>253873.75</v>
      </c>
      <c r="DH26" s="5">
        <f t="shared" si="18"/>
        <v>244233.88</v>
      </c>
      <c r="DI26" s="5">
        <f t="shared" si="18"/>
        <v>722.7</v>
      </c>
      <c r="DJ26" s="5">
        <f t="shared" si="18"/>
        <v>283.75</v>
      </c>
      <c r="DK26" s="5">
        <f t="shared" si="18"/>
        <v>8917.17</v>
      </c>
      <c r="DL26" s="5">
        <f t="shared" si="18"/>
        <v>0</v>
      </c>
      <c r="DM26" s="5">
        <f t="shared" si="18"/>
        <v>14.442318</v>
      </c>
      <c r="DN26" s="5">
        <f t="shared" si="18"/>
        <v>0</v>
      </c>
      <c r="DO26" s="5">
        <f t="shared" si="18"/>
        <v>0</v>
      </c>
      <c r="DP26" s="5">
        <f t="shared" si="18"/>
        <v>8280.82</v>
      </c>
      <c r="DQ26" s="5">
        <f t="shared" si="18"/>
        <v>4232.42</v>
      </c>
      <c r="DR26" s="5">
        <f t="shared" si="18"/>
        <v>0</v>
      </c>
      <c r="DS26" s="5">
        <f t="shared" si="18"/>
        <v>0</v>
      </c>
      <c r="DT26" s="5">
        <f t="shared" si="18"/>
        <v>253873.75</v>
      </c>
      <c r="DU26" s="5">
        <f t="shared" si="18"/>
        <v>244233.88</v>
      </c>
      <c r="DV26" s="5">
        <f t="shared" si="18"/>
        <v>722.7</v>
      </c>
      <c r="DW26" s="5">
        <f t="shared" si="18"/>
        <v>283.75</v>
      </c>
      <c r="DX26" s="5">
        <f t="shared" si="18"/>
        <v>8917.17</v>
      </c>
      <c r="DY26" s="5">
        <f t="shared" si="18"/>
        <v>0</v>
      </c>
      <c r="DZ26" s="5">
        <f t="shared" si="18"/>
        <v>14.442318</v>
      </c>
      <c r="EA26" s="5">
        <f t="shared" si="18"/>
        <v>0</v>
      </c>
      <c r="EB26" s="5">
        <f t="shared" si="18"/>
        <v>0</v>
      </c>
      <c r="EC26" s="5">
        <f t="shared" si="18"/>
        <v>8280.82</v>
      </c>
      <c r="ED26" s="5">
        <f t="shared" si="18"/>
        <v>4232.42</v>
      </c>
      <c r="EE26" s="5">
        <f t="shared" si="18"/>
        <v>0</v>
      </c>
      <c r="EF26" s="5">
        <f t="shared" si="18"/>
        <v>0</v>
      </c>
      <c r="EG26" s="5">
        <f t="shared" si="18"/>
        <v>0</v>
      </c>
      <c r="EH26" s="5">
        <f t="shared" si="18"/>
        <v>24611.81</v>
      </c>
      <c r="EI26" s="5">
        <f t="shared" si="18"/>
        <v>0</v>
      </c>
      <c r="EJ26" s="5">
        <f t="shared" si="18"/>
        <v>266386.99</v>
      </c>
      <c r="EK26" s="5">
        <f t="shared" si="18"/>
        <v>0</v>
      </c>
      <c r="EL26" s="5">
        <f t="shared" si="18"/>
        <v>241775.18</v>
      </c>
      <c r="EM26" s="5">
        <f t="shared" ref="EM26:FR26" si="19">EM51</f>
        <v>0</v>
      </c>
      <c r="EN26" s="5">
        <f t="shared" si="19"/>
        <v>244233.88</v>
      </c>
      <c r="EO26" s="5">
        <f t="shared" si="19"/>
        <v>219622.07</v>
      </c>
      <c r="EP26" s="5">
        <f t="shared" si="19"/>
        <v>0</v>
      </c>
      <c r="EQ26" s="5">
        <f t="shared" si="19"/>
        <v>219622.07</v>
      </c>
      <c r="ER26" s="5">
        <f t="shared" si="19"/>
        <v>24611.81</v>
      </c>
      <c r="ES26" s="5">
        <f t="shared" si="19"/>
        <v>0</v>
      </c>
      <c r="ET26" s="5">
        <f t="shared" si="19"/>
        <v>0</v>
      </c>
      <c r="EU26" s="5">
        <f t="shared" si="19"/>
        <v>0</v>
      </c>
      <c r="EV26" s="5">
        <f t="shared" si="19"/>
        <v>0</v>
      </c>
      <c r="EW26" s="5">
        <f t="shared" si="19"/>
        <v>0</v>
      </c>
      <c r="EX26" s="5">
        <f t="shared" si="19"/>
        <v>0</v>
      </c>
      <c r="EY26" s="5">
        <f t="shared" si="19"/>
        <v>0</v>
      </c>
      <c r="EZ26" s="5">
        <f t="shared" si="19"/>
        <v>0</v>
      </c>
      <c r="FA26" s="5">
        <f t="shared" si="19"/>
        <v>0</v>
      </c>
      <c r="FB26" s="5">
        <f t="shared" si="19"/>
        <v>0</v>
      </c>
      <c r="FC26" s="5">
        <f t="shared" si="19"/>
        <v>0</v>
      </c>
      <c r="FD26" s="5">
        <f t="shared" si="19"/>
        <v>0</v>
      </c>
      <c r="FE26" s="5">
        <f t="shared" si="19"/>
        <v>0</v>
      </c>
      <c r="FF26" s="5">
        <f t="shared" si="19"/>
        <v>0</v>
      </c>
      <c r="FG26" s="5">
        <f t="shared" si="19"/>
        <v>0</v>
      </c>
      <c r="FH26" s="5">
        <f t="shared" si="19"/>
        <v>0</v>
      </c>
      <c r="FI26" s="5">
        <f t="shared" si="19"/>
        <v>0</v>
      </c>
      <c r="FJ26" s="5">
        <f t="shared" si="19"/>
        <v>0</v>
      </c>
      <c r="FK26" s="5">
        <f t="shared" si="19"/>
        <v>0</v>
      </c>
      <c r="FL26" s="5">
        <f t="shared" si="19"/>
        <v>0</v>
      </c>
      <c r="FM26" s="5">
        <f t="shared" si="19"/>
        <v>0</v>
      </c>
      <c r="FN26" s="5">
        <f t="shared" si="19"/>
        <v>0</v>
      </c>
      <c r="FO26" s="5">
        <f t="shared" si="19"/>
        <v>0</v>
      </c>
      <c r="FP26" s="5">
        <f t="shared" si="19"/>
        <v>0</v>
      </c>
      <c r="FQ26" s="5">
        <f t="shared" si="19"/>
        <v>24611.81</v>
      </c>
      <c r="FR26" s="5">
        <f t="shared" si="19"/>
        <v>0</v>
      </c>
      <c r="FS26" s="5">
        <f t="shared" ref="FS26:GX26" si="20">FS51</f>
        <v>266386.99</v>
      </c>
      <c r="FT26" s="5">
        <f t="shared" si="20"/>
        <v>0</v>
      </c>
      <c r="FU26" s="5">
        <f t="shared" si="20"/>
        <v>241775.18</v>
      </c>
      <c r="FV26" s="5">
        <f t="shared" si="20"/>
        <v>0</v>
      </c>
      <c r="FW26" s="5">
        <f t="shared" si="20"/>
        <v>244233.88</v>
      </c>
      <c r="FX26" s="5">
        <f t="shared" si="20"/>
        <v>219622.07</v>
      </c>
      <c r="FY26" s="5">
        <f t="shared" si="20"/>
        <v>0</v>
      </c>
      <c r="FZ26" s="5">
        <f t="shared" si="20"/>
        <v>219622.07</v>
      </c>
      <c r="GA26" s="5">
        <f t="shared" si="20"/>
        <v>24611.81</v>
      </c>
      <c r="GB26" s="5">
        <f t="shared" si="20"/>
        <v>0</v>
      </c>
      <c r="GC26" s="5">
        <f t="shared" si="20"/>
        <v>0</v>
      </c>
      <c r="GD26" s="5">
        <f t="shared" si="20"/>
        <v>0</v>
      </c>
      <c r="GE26" s="5">
        <f t="shared" si="20"/>
        <v>0</v>
      </c>
      <c r="GF26" s="5">
        <f t="shared" si="20"/>
        <v>0</v>
      </c>
      <c r="GG26" s="5">
        <f t="shared" si="20"/>
        <v>0</v>
      </c>
      <c r="GH26" s="5">
        <f t="shared" si="20"/>
        <v>0</v>
      </c>
      <c r="GI26" s="5">
        <f t="shared" si="20"/>
        <v>0</v>
      </c>
      <c r="GJ26" s="5">
        <f t="shared" si="20"/>
        <v>0</v>
      </c>
      <c r="GK26" s="5">
        <f t="shared" si="20"/>
        <v>0</v>
      </c>
      <c r="GL26" s="5">
        <f t="shared" si="20"/>
        <v>0</v>
      </c>
      <c r="GM26" s="5">
        <f t="shared" si="20"/>
        <v>0</v>
      </c>
      <c r="GN26" s="5">
        <f t="shared" si="20"/>
        <v>0</v>
      </c>
      <c r="GO26" s="5">
        <f t="shared" si="20"/>
        <v>0</v>
      </c>
      <c r="GP26" s="5">
        <f t="shared" si="20"/>
        <v>0</v>
      </c>
      <c r="GQ26" s="5">
        <f t="shared" si="20"/>
        <v>0</v>
      </c>
      <c r="GR26" s="5">
        <f t="shared" si="20"/>
        <v>0</v>
      </c>
      <c r="GS26" s="5">
        <f t="shared" si="20"/>
        <v>0</v>
      </c>
      <c r="GT26" s="5">
        <f t="shared" si="20"/>
        <v>0</v>
      </c>
      <c r="GU26" s="5">
        <f t="shared" si="20"/>
        <v>0</v>
      </c>
      <c r="GV26" s="5">
        <f t="shared" si="20"/>
        <v>0</v>
      </c>
      <c r="GW26" s="5">
        <f t="shared" si="20"/>
        <v>0</v>
      </c>
      <c r="GX26" s="5">
        <f t="shared" si="20"/>
        <v>0</v>
      </c>
    </row>
    <row r="28" spans="1:255" x14ac:dyDescent="0.3">
      <c r="A28" s="2">
        <v>17</v>
      </c>
      <c r="B28" s="2">
        <v>1</v>
      </c>
      <c r="C28" s="2"/>
      <c r="D28" s="2">
        <f>ROW(EtalonRes!A6)</f>
        <v>6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9" si="21">ROUND(CP28,2)</f>
        <v>154.33000000000001</v>
      </c>
      <c r="P28" s="2">
        <f t="shared" ref="P28:P37" si="22">ROUND((ROUND((AC28*AW28*I28),2)*BC28),2)</f>
        <v>3.92</v>
      </c>
      <c r="Q28" s="2">
        <f>(ROUND((ROUND((((ET28*1.1))*AV28*I28),2)*BB28),2)+ROUND((ROUND(((AE28-((EU28*1.1)))*AV28*I28),2)*BS28),2))</f>
        <v>44.82</v>
      </c>
      <c r="R28" s="2">
        <f t="shared" ref="R28:R49" si="23">ROUND((ROUND((AE28*AV28*I28),2)*BS28),2)</f>
        <v>4.79</v>
      </c>
      <c r="S28" s="2">
        <f t="shared" ref="S28:S49" si="24">ROUND((ROUND((AF28*AV28*I28),2)*BA28),2)</f>
        <v>105.59</v>
      </c>
      <c r="T28" s="2">
        <f t="shared" ref="T28:T49" si="25">ROUND(CU28*I28,2)</f>
        <v>0</v>
      </c>
      <c r="U28" s="2">
        <f t="shared" ref="U28:U49" si="26">CV28*I28</f>
        <v>9.4439399999999996</v>
      </c>
      <c r="V28" s="2">
        <f t="shared" ref="V28:V49" si="27">CW28*I28</f>
        <v>0</v>
      </c>
      <c r="W28" s="2">
        <f t="shared" ref="W28:W49" si="28">ROUND(CX28*I28,2)</f>
        <v>0</v>
      </c>
      <c r="X28" s="2">
        <f t="shared" ref="X28:X49" si="29">ROUND(CY28,2)</f>
        <v>99.34</v>
      </c>
      <c r="Y28" s="2">
        <f t="shared" ref="Y28:Y49" si="30">ROUND(CZ28,2)</f>
        <v>50.77</v>
      </c>
      <c r="Z28" s="2"/>
      <c r="AA28" s="2">
        <v>56505403</v>
      </c>
      <c r="AB28" s="2">
        <f t="shared" ref="AB28:AB49" si="31">ROUND((AC28+AD28+AF28),6)</f>
        <v>147.58000000000001</v>
      </c>
      <c r="AC28" s="2">
        <f t="shared" ref="AC28:AC49" si="32">ROUND((ES28),6)</f>
        <v>3.92</v>
      </c>
      <c r="AD28" s="2">
        <f>ROUND(((((ET28*1.1))-((EU28*1.1)))+AE28),6)</f>
        <v>42.811999999999998</v>
      </c>
      <c r="AE28" s="2">
        <f>ROUND(((EU28*1.1)),6)</f>
        <v>4.5759999999999996</v>
      </c>
      <c r="AF28" s="2">
        <f>ROUND(((EV28*1.1)),6)</f>
        <v>100.848</v>
      </c>
      <c r="AG28" s="2">
        <f t="shared" ref="AG28:AG49" si="33">ROUND((AP28),6)</f>
        <v>0</v>
      </c>
      <c r="AH28" s="2">
        <f>((EW28*1.1))</f>
        <v>9.02</v>
      </c>
      <c r="AI28" s="2">
        <f>((EX28*1.1))</f>
        <v>0</v>
      </c>
      <c r="AJ28" s="2">
        <f t="shared" ref="AJ28:AJ49" si="34">(AS28)</f>
        <v>0</v>
      </c>
      <c r="AK28" s="2">
        <v>134.52000000000001</v>
      </c>
      <c r="AL28" s="2">
        <v>3.92</v>
      </c>
      <c r="AM28" s="2">
        <v>38.92</v>
      </c>
      <c r="AN28" s="2">
        <v>4.16</v>
      </c>
      <c r="AO28" s="2">
        <v>91.68</v>
      </c>
      <c r="AP28" s="2">
        <v>0</v>
      </c>
      <c r="AQ28" s="2">
        <v>8.1999999999999993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49" si="35">(P28+Q28+S28)</f>
        <v>154.33000000000001</v>
      </c>
      <c r="CQ28" s="2">
        <f t="shared" ref="CQ28:CQ37" si="36">ROUND((ROUND((AC28*AW28*1),2)*BC28),2)</f>
        <v>3.92</v>
      </c>
      <c r="CR28" s="2">
        <f>(ROUND((ROUND((((ET28*1.1))*AV28*1),2)*BB28),2)+ROUND((ROUND(((AE28-((EU28*1.1)))*AV28*1),2)*BS28),2))</f>
        <v>44.82</v>
      </c>
      <c r="CS28" s="2">
        <f t="shared" ref="CS28:CS49" si="37">ROUND((ROUND((AE28*AV28*1),2)*BS28),2)</f>
        <v>4.79</v>
      </c>
      <c r="CT28" s="2">
        <f t="shared" ref="CT28:CT49" si="38">ROUND((ROUND((AF28*AV28*1),2)*BA28),2)</f>
        <v>105.59</v>
      </c>
      <c r="CU28" s="2">
        <f t="shared" ref="CU28:CU49" si="39">AG28</f>
        <v>0</v>
      </c>
      <c r="CV28" s="2">
        <f t="shared" ref="CV28:CV49" si="40">(AH28*AV28)</f>
        <v>9.4439399999999996</v>
      </c>
      <c r="CW28" s="2">
        <f t="shared" ref="CW28:CW49" si="41">AI28</f>
        <v>0</v>
      </c>
      <c r="CX28" s="2">
        <f t="shared" ref="CX28:CX49" si="42">AJ28</f>
        <v>0</v>
      </c>
      <c r="CY28" s="2">
        <f t="shared" ref="CY28:CY49" si="43">(((S28+R28)*AT28)/100)</f>
        <v>99.342000000000013</v>
      </c>
      <c r="CZ28" s="2">
        <f t="shared" ref="CZ28:CZ49" si="44">(((S28+R28)*AU28)/100)</f>
        <v>50.774800000000006</v>
      </c>
      <c r="DA28" s="2"/>
      <c r="DB28" s="2"/>
      <c r="DC28" s="2" t="s">
        <v>3</v>
      </c>
      <c r="DD28" s="2" t="s">
        <v>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58162630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68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134.52000000000001</v>
      </c>
      <c r="ES28" s="2">
        <v>3.92</v>
      </c>
      <c r="ET28" s="2">
        <v>38.92</v>
      </c>
      <c r="EU28" s="2">
        <v>4.16</v>
      </c>
      <c r="EV28" s="2">
        <v>91.68</v>
      </c>
      <c r="EW28" s="2">
        <v>8.1999999999999993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-1576476159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9" si="45">ROUND(IF(AND(BH28=3,BI28=3,FS28&lt;&gt;0),P28,0),2)</f>
        <v>0</v>
      </c>
      <c r="GM28" s="2">
        <f t="shared" ref="GM28:GM49" si="46">ROUND(O28+X28+Y28,2)+GX28</f>
        <v>304.44</v>
      </c>
      <c r="GN28" s="2">
        <f t="shared" ref="GN28:GN49" si="47">IF(OR(BI28=0,BI28=1),GM28-GX28,0)</f>
        <v>0</v>
      </c>
      <c r="GO28" s="2">
        <f t="shared" ref="GO28:GO49" si="48">IF(BI28=2,GM28-GX28,0)</f>
        <v>304.44</v>
      </c>
      <c r="GP28" s="2">
        <f t="shared" ref="GP28:GP49" si="49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9" si="50">ROUND((GT28),6)</f>
        <v>0</v>
      </c>
      <c r="GW28" s="2">
        <v>1</v>
      </c>
      <c r="GX28" s="2">
        <f t="shared" ref="GX28:GX49" si="51">ROUND(HC28*I28,2)</f>
        <v>0</v>
      </c>
      <c r="GY28" s="2"/>
      <c r="GZ28" s="2"/>
      <c r="HA28" s="2">
        <v>0</v>
      </c>
      <c r="HB28" s="2">
        <v>0</v>
      </c>
      <c r="HC28" s="2">
        <f t="shared" ref="HC28:HC49" si="52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3">
      <c r="A29" s="3">
        <v>17</v>
      </c>
      <c r="B29" s="3">
        <v>1</v>
      </c>
      <c r="C29" s="3"/>
      <c r="D29" s="3">
        <f>ROW(EtalonRes!A12)</f>
        <v>12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L29" s="3"/>
      <c r="M29" s="3"/>
      <c r="N29" s="3"/>
      <c r="O29" s="3">
        <f t="shared" si="21"/>
        <v>6524.23</v>
      </c>
      <c r="P29" s="3">
        <f t="shared" si="22"/>
        <v>32.54</v>
      </c>
      <c r="Q29" s="3">
        <f>(ROUND((ROUND((((ET29*1.1))*AV29*I29),2)*BB29),2)+ROUND((ROUND(((AE29-((EU29*1.1)))*AV29*I29),2)*BS29),2))</f>
        <v>685.3</v>
      </c>
      <c r="R29" s="3">
        <f t="shared" si="23"/>
        <v>263.39999999999998</v>
      </c>
      <c r="S29" s="3">
        <f t="shared" si="24"/>
        <v>5806.39</v>
      </c>
      <c r="T29" s="3">
        <f t="shared" si="25"/>
        <v>0</v>
      </c>
      <c r="U29" s="3">
        <f t="shared" si="26"/>
        <v>9.4439399999999996</v>
      </c>
      <c r="V29" s="3">
        <f t="shared" si="27"/>
        <v>0</v>
      </c>
      <c r="W29" s="3">
        <f t="shared" si="28"/>
        <v>0</v>
      </c>
      <c r="X29" s="3">
        <f t="shared" si="29"/>
        <v>5462.81</v>
      </c>
      <c r="Y29" s="3">
        <f t="shared" si="30"/>
        <v>2792.1</v>
      </c>
      <c r="Z29" s="3"/>
      <c r="AA29" s="3">
        <v>56505405</v>
      </c>
      <c r="AB29" s="3">
        <f t="shared" si="31"/>
        <v>147.58000000000001</v>
      </c>
      <c r="AC29" s="3">
        <f t="shared" si="32"/>
        <v>3.92</v>
      </c>
      <c r="AD29" s="3">
        <f>ROUND(((((ET29*1.1))-((EU29*1.1)))+AE29),6)</f>
        <v>42.811999999999998</v>
      </c>
      <c r="AE29" s="3">
        <f>ROUND(((EU29*1.1)),6)</f>
        <v>4.5759999999999996</v>
      </c>
      <c r="AF29" s="3">
        <f>ROUND(((EV29*1.1)),6)</f>
        <v>100.848</v>
      </c>
      <c r="AG29" s="3">
        <f t="shared" si="33"/>
        <v>0</v>
      </c>
      <c r="AH29" s="3">
        <f>((EW29*1.1))</f>
        <v>9.02</v>
      </c>
      <c r="AI29" s="3">
        <f>((EX29*1.1))</f>
        <v>0</v>
      </c>
      <c r="AJ29" s="3">
        <f t="shared" si="34"/>
        <v>0</v>
      </c>
      <c r="AK29" s="3">
        <v>134.52000000000001</v>
      </c>
      <c r="AL29" s="3">
        <v>3.92</v>
      </c>
      <c r="AM29" s="3">
        <v>38.92</v>
      </c>
      <c r="AN29" s="3">
        <v>4.16</v>
      </c>
      <c r="AO29" s="3">
        <v>91.68</v>
      </c>
      <c r="AP29" s="3">
        <v>0</v>
      </c>
      <c r="AQ29" s="3">
        <v>8.1999999999999993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X29" s="3"/>
      <c r="AY29" s="3"/>
      <c r="AZ29" s="3">
        <v>1</v>
      </c>
      <c r="BA29" s="3">
        <v>54.99</v>
      </c>
      <c r="BB29" s="3">
        <v>15.29</v>
      </c>
      <c r="BC29" s="3">
        <v>8.3000000000000007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K29" s="3"/>
      <c r="BL29" s="3"/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54.99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C29" s="3"/>
      <c r="CD29" s="3"/>
      <c r="CE29" s="3">
        <v>30</v>
      </c>
      <c r="CF29" s="3">
        <v>0</v>
      </c>
      <c r="CG29" s="3">
        <v>0</v>
      </c>
      <c r="CH29" s="3"/>
      <c r="CI29" s="3"/>
      <c r="CJ29" s="3"/>
      <c r="CK29" s="3"/>
      <c r="CL29" s="3"/>
      <c r="CM29" s="3">
        <v>0</v>
      </c>
      <c r="CN29" s="3" t="s">
        <v>3</v>
      </c>
      <c r="CO29" s="3">
        <v>0</v>
      </c>
      <c r="CP29" s="3">
        <f t="shared" si="35"/>
        <v>6524.2300000000005</v>
      </c>
      <c r="CQ29" s="3">
        <f t="shared" si="36"/>
        <v>32.54</v>
      </c>
      <c r="CR29" s="3">
        <f>(ROUND((ROUND((((ET29*1.1))*AV29*1),2)*BB29),2)+ROUND((ROUND(((AE29-((EU29*1.1)))*AV29*1),2)*BS29),2))</f>
        <v>685.3</v>
      </c>
      <c r="CS29" s="3">
        <f t="shared" si="37"/>
        <v>263.39999999999998</v>
      </c>
      <c r="CT29" s="3">
        <f t="shared" si="38"/>
        <v>5806.39</v>
      </c>
      <c r="CU29" s="3">
        <f t="shared" si="39"/>
        <v>0</v>
      </c>
      <c r="CV29" s="3">
        <f t="shared" si="40"/>
        <v>9.4439399999999996</v>
      </c>
      <c r="CW29" s="3">
        <f t="shared" si="41"/>
        <v>0</v>
      </c>
      <c r="CX29" s="3">
        <f t="shared" si="42"/>
        <v>0</v>
      </c>
      <c r="CY29" s="3">
        <f t="shared" si="43"/>
        <v>5462.8109999999997</v>
      </c>
      <c r="CZ29" s="3">
        <f t="shared" si="44"/>
        <v>2792.1034000000004</v>
      </c>
      <c r="DA29" s="3"/>
      <c r="DB29" s="3"/>
      <c r="DC29" s="3" t="s">
        <v>3</v>
      </c>
      <c r="DD29" s="3" t="s">
        <v>3</v>
      </c>
      <c r="DE29" s="3" t="s">
        <v>24</v>
      </c>
      <c r="DF29" s="3" t="s">
        <v>24</v>
      </c>
      <c r="DG29" s="3" t="s">
        <v>24</v>
      </c>
      <c r="DH29" s="3" t="s">
        <v>3</v>
      </c>
      <c r="DI29" s="3" t="s">
        <v>24</v>
      </c>
      <c r="DJ29" s="3" t="s">
        <v>24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R29" s="3"/>
      <c r="DS29" s="3"/>
      <c r="DT29" s="3"/>
      <c r="DU29" s="3">
        <v>1013</v>
      </c>
      <c r="DV29" s="3" t="s">
        <v>22</v>
      </c>
      <c r="DW29" s="3" t="s">
        <v>22</v>
      </c>
      <c r="DX29" s="3">
        <v>1</v>
      </c>
      <c r="DY29" s="3"/>
      <c r="DZ29" s="3" t="s">
        <v>3</v>
      </c>
      <c r="EA29" s="3" t="s">
        <v>3</v>
      </c>
      <c r="EB29" s="3" t="s">
        <v>3</v>
      </c>
      <c r="EC29" s="3" t="s">
        <v>3</v>
      </c>
      <c r="ED29" s="3"/>
      <c r="EE29" s="3">
        <v>58162630</v>
      </c>
      <c r="EF29" s="3">
        <v>40</v>
      </c>
      <c r="EG29" s="3" t="s">
        <v>25</v>
      </c>
      <c r="EH29" s="3">
        <v>0</v>
      </c>
      <c r="EI29" s="3" t="s">
        <v>3</v>
      </c>
      <c r="EJ29" s="3">
        <v>2</v>
      </c>
      <c r="EK29" s="3">
        <v>68</v>
      </c>
      <c r="EL29" s="3" t="s">
        <v>26</v>
      </c>
      <c r="EM29" s="3" t="s">
        <v>27</v>
      </c>
      <c r="EN29" s="3"/>
      <c r="EO29" s="3" t="s">
        <v>28</v>
      </c>
      <c r="EP29" s="3"/>
      <c r="EQ29" s="3">
        <v>0</v>
      </c>
      <c r="ER29" s="3">
        <v>134.52000000000001</v>
      </c>
      <c r="ES29" s="3">
        <v>3.92</v>
      </c>
      <c r="ET29" s="3">
        <v>38.92</v>
      </c>
      <c r="EU29" s="3">
        <v>4.16</v>
      </c>
      <c r="EV29" s="3">
        <v>91.68</v>
      </c>
      <c r="EW29" s="3">
        <v>8.1999999999999993</v>
      </c>
      <c r="EX29" s="3">
        <v>0</v>
      </c>
      <c r="EY29" s="3">
        <v>0</v>
      </c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>
        <v>0</v>
      </c>
      <c r="FR29" s="3">
        <v>0</v>
      </c>
      <c r="FS29" s="3">
        <v>0</v>
      </c>
      <c r="FT29" s="3"/>
      <c r="FU29" s="3"/>
      <c r="FV29" s="3"/>
      <c r="FW29" s="3"/>
      <c r="FX29" s="3">
        <v>90</v>
      </c>
      <c r="FY29" s="3">
        <v>46</v>
      </c>
      <c r="FZ29" s="3"/>
      <c r="GA29" s="3" t="s">
        <v>3</v>
      </c>
      <c r="GB29" s="3"/>
      <c r="GC29" s="3"/>
      <c r="GD29" s="3">
        <v>1</v>
      </c>
      <c r="GE29" s="3"/>
      <c r="GF29" s="3">
        <v>-1576476159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45"/>
        <v>0</v>
      </c>
      <c r="GM29" s="3">
        <f t="shared" si="46"/>
        <v>14779.14</v>
      </c>
      <c r="GN29" s="3">
        <f t="shared" si="47"/>
        <v>0</v>
      </c>
      <c r="GO29" s="3">
        <f t="shared" si="48"/>
        <v>14779.14</v>
      </c>
      <c r="GP29" s="3">
        <f t="shared" si="49"/>
        <v>0</v>
      </c>
      <c r="GQ29" s="3"/>
      <c r="GR29" s="3">
        <v>0</v>
      </c>
      <c r="GS29" s="3">
        <v>3</v>
      </c>
      <c r="GT29" s="3">
        <v>0</v>
      </c>
      <c r="GU29" s="3" t="s">
        <v>3</v>
      </c>
      <c r="GV29" s="3">
        <f t="shared" si="50"/>
        <v>0</v>
      </c>
      <c r="GW29" s="3">
        <v>1</v>
      </c>
      <c r="GX29" s="3">
        <f t="shared" si="51"/>
        <v>0</v>
      </c>
      <c r="GY29" s="3"/>
      <c r="GZ29" s="3"/>
      <c r="HA29" s="3">
        <v>0</v>
      </c>
      <c r="HB29" s="3">
        <v>0</v>
      </c>
      <c r="HC29" s="3">
        <f t="shared" si="52"/>
        <v>0</v>
      </c>
      <c r="HD29" s="3"/>
      <c r="HE29" s="3" t="s">
        <v>3</v>
      </c>
      <c r="HF29" s="3" t="s">
        <v>3</v>
      </c>
      <c r="HG29" s="3"/>
      <c r="HH29" s="3"/>
      <c r="HI29" s="3"/>
      <c r="HJ29" s="3"/>
      <c r="HK29" s="3"/>
      <c r="HL29" s="3"/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/>
      <c r="HS29" s="3">
        <v>0</v>
      </c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>
        <v>0</v>
      </c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x14ac:dyDescent="0.3">
      <c r="A30" s="2">
        <v>18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f>I28*J30</f>
        <v>1</v>
      </c>
      <c r="J30" s="2">
        <v>1</v>
      </c>
      <c r="K30" s="2">
        <v>1</v>
      </c>
      <c r="L30" s="2"/>
      <c r="M30" s="2"/>
      <c r="N30" s="2"/>
      <c r="O30" s="2">
        <f t="shared" si="21"/>
        <v>16818.37</v>
      </c>
      <c r="P30" s="2">
        <f t="shared" si="22"/>
        <v>16818.37</v>
      </c>
      <c r="Q30" s="2">
        <f t="shared" ref="Q30:Q35" si="53">(ROUND((ROUND(((ET30)*AV30*I30),2)*BB30),2)+ROUND((ROUND(((AE30-(EU30))*AV30*I30),2)*BS30),2))</f>
        <v>0</v>
      </c>
      <c r="R30" s="2">
        <f t="shared" si="23"/>
        <v>0</v>
      </c>
      <c r="S30" s="2">
        <f t="shared" si="24"/>
        <v>0</v>
      </c>
      <c r="T30" s="2">
        <f t="shared" si="25"/>
        <v>0</v>
      </c>
      <c r="U30" s="2">
        <f t="shared" si="26"/>
        <v>0</v>
      </c>
      <c r="V30" s="2">
        <f t="shared" si="27"/>
        <v>0</v>
      </c>
      <c r="W30" s="2">
        <f t="shared" si="28"/>
        <v>0</v>
      </c>
      <c r="X30" s="2">
        <f t="shared" si="29"/>
        <v>0</v>
      </c>
      <c r="Y30" s="2">
        <f t="shared" si="30"/>
        <v>0</v>
      </c>
      <c r="Z30" s="2"/>
      <c r="AA30" s="2">
        <v>56505403</v>
      </c>
      <c r="AB30" s="2">
        <f t="shared" si="31"/>
        <v>16818.37</v>
      </c>
      <c r="AC30" s="2">
        <f t="shared" si="32"/>
        <v>16818.37</v>
      </c>
      <c r="AD30" s="2">
        <f t="shared" ref="AD30:AD35" si="54">ROUND((((ET30)-(EU30))+AE30),6)</f>
        <v>0</v>
      </c>
      <c r="AE30" s="2">
        <f t="shared" ref="AE30:AF35" si="55">ROUND((EU30),6)</f>
        <v>0</v>
      </c>
      <c r="AF30" s="2">
        <f t="shared" si="55"/>
        <v>0</v>
      </c>
      <c r="AG30" s="2">
        <f t="shared" si="33"/>
        <v>0</v>
      </c>
      <c r="AH30" s="2">
        <f t="shared" ref="AH30:AI35" si="56">(EW30)</f>
        <v>0</v>
      </c>
      <c r="AI30" s="2">
        <f t="shared" si="56"/>
        <v>0</v>
      </c>
      <c r="AJ30" s="2">
        <f t="shared" si="34"/>
        <v>0</v>
      </c>
      <c r="AK30" s="2">
        <v>16818.37</v>
      </c>
      <c r="AL30" s="2">
        <v>16818.37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90</v>
      </c>
      <c r="AU30" s="2">
        <v>46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2</v>
      </c>
      <c r="BJ30" s="2" t="s">
        <v>3</v>
      </c>
      <c r="BK30" s="2"/>
      <c r="BL30" s="2"/>
      <c r="BM30" s="2">
        <v>68</v>
      </c>
      <c r="BN30" s="2">
        <v>0</v>
      </c>
      <c r="BO30" s="2" t="s">
        <v>3</v>
      </c>
      <c r="BP30" s="2">
        <v>0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5"/>
        <v>16818.37</v>
      </c>
      <c r="CQ30" s="2">
        <f t="shared" si="36"/>
        <v>16818.37</v>
      </c>
      <c r="CR30" s="2">
        <f t="shared" ref="CR30:CR35" si="57">(ROUND((ROUND(((ET30)*AV30*1),2)*BB30),2)+ROUND((ROUND(((AE30-(EU30))*AV30*1),2)*BS30),2))</f>
        <v>0</v>
      </c>
      <c r="CS30" s="2">
        <f t="shared" si="37"/>
        <v>0</v>
      </c>
      <c r="CT30" s="2">
        <f t="shared" si="38"/>
        <v>0</v>
      </c>
      <c r="CU30" s="2">
        <f t="shared" si="39"/>
        <v>0</v>
      </c>
      <c r="CV30" s="2">
        <f t="shared" si="40"/>
        <v>0</v>
      </c>
      <c r="CW30" s="2">
        <f t="shared" si="41"/>
        <v>0</v>
      </c>
      <c r="CX30" s="2">
        <f t="shared" si="42"/>
        <v>0</v>
      </c>
      <c r="CY30" s="2">
        <f t="shared" si="43"/>
        <v>0</v>
      </c>
      <c r="CZ30" s="2">
        <f t="shared" si="44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58162630</v>
      </c>
      <c r="EF30" s="2">
        <v>40</v>
      </c>
      <c r="EG30" s="2" t="s">
        <v>25</v>
      </c>
      <c r="EH30" s="2">
        <v>0</v>
      </c>
      <c r="EI30" s="2" t="s">
        <v>3</v>
      </c>
      <c r="EJ30" s="2">
        <v>2</v>
      </c>
      <c r="EK30" s="2">
        <v>68</v>
      </c>
      <c r="EL30" s="2" t="s">
        <v>26</v>
      </c>
      <c r="EM30" s="2" t="s">
        <v>27</v>
      </c>
      <c r="EN30" s="2"/>
      <c r="EO30" s="2" t="s">
        <v>3</v>
      </c>
      <c r="EP30" s="2"/>
      <c r="EQ30" s="2">
        <v>0</v>
      </c>
      <c r="ER30" s="2">
        <v>0</v>
      </c>
      <c r="ES30" s="2">
        <v>16818.37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33</v>
      </c>
      <c r="GB30" s="2"/>
      <c r="GC30" s="2"/>
      <c r="GD30" s="2">
        <v>1</v>
      </c>
      <c r="GE30" s="2"/>
      <c r="GF30" s="2">
        <v>-199742500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5"/>
        <v>0</v>
      </c>
      <c r="GM30" s="2">
        <f t="shared" si="46"/>
        <v>16818.37</v>
      </c>
      <c r="GN30" s="2">
        <f t="shared" si="47"/>
        <v>0</v>
      </c>
      <c r="GO30" s="2">
        <f t="shared" si="48"/>
        <v>16818.37</v>
      </c>
      <c r="GP30" s="2">
        <f t="shared" si="49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50"/>
        <v>0</v>
      </c>
      <c r="GW30" s="2">
        <v>1</v>
      </c>
      <c r="GX30" s="2">
        <f t="shared" si="51"/>
        <v>0</v>
      </c>
      <c r="GY30" s="2"/>
      <c r="GZ30" s="2"/>
      <c r="HA30" s="2">
        <v>0</v>
      </c>
      <c r="HB30" s="2">
        <v>0</v>
      </c>
      <c r="HC30" s="2">
        <f t="shared" si="52"/>
        <v>0</v>
      </c>
      <c r="HD30" s="2"/>
      <c r="HE30" s="2" t="s">
        <v>34</v>
      </c>
      <c r="HF30" s="2" t="s">
        <v>35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3">
      <c r="A31" s="3">
        <v>18</v>
      </c>
      <c r="B31" s="3">
        <v>1</v>
      </c>
      <c r="C31" s="3"/>
      <c r="D31" s="3"/>
      <c r="E31" s="3" t="s">
        <v>29</v>
      </c>
      <c r="F31" s="3" t="s">
        <v>30</v>
      </c>
      <c r="G31" s="3" t="s">
        <v>31</v>
      </c>
      <c r="H31" s="3" t="s">
        <v>32</v>
      </c>
      <c r="I31" s="3">
        <f>I29*J31</f>
        <v>1</v>
      </c>
      <c r="J31" s="3">
        <v>1</v>
      </c>
      <c r="K31" s="3">
        <v>1</v>
      </c>
      <c r="L31" s="3"/>
      <c r="M31" s="3"/>
      <c r="N31" s="3"/>
      <c r="O31" s="3">
        <f t="shared" si="21"/>
        <v>166165.5</v>
      </c>
      <c r="P31" s="3">
        <f t="shared" si="22"/>
        <v>166165.5</v>
      </c>
      <c r="Q31" s="3">
        <f t="shared" si="53"/>
        <v>0</v>
      </c>
      <c r="R31" s="3">
        <f t="shared" si="23"/>
        <v>0</v>
      </c>
      <c r="S31" s="3">
        <f t="shared" si="24"/>
        <v>0</v>
      </c>
      <c r="T31" s="3">
        <f t="shared" si="25"/>
        <v>0</v>
      </c>
      <c r="U31" s="3">
        <f t="shared" si="26"/>
        <v>0</v>
      </c>
      <c r="V31" s="3">
        <f t="shared" si="27"/>
        <v>0</v>
      </c>
      <c r="W31" s="3">
        <f t="shared" si="28"/>
        <v>0</v>
      </c>
      <c r="X31" s="3">
        <f t="shared" si="29"/>
        <v>0</v>
      </c>
      <c r="Y31" s="3">
        <f t="shared" si="30"/>
        <v>0</v>
      </c>
      <c r="Z31" s="3"/>
      <c r="AA31" s="3">
        <v>56505405</v>
      </c>
      <c r="AB31" s="3">
        <f t="shared" si="31"/>
        <v>16818.37</v>
      </c>
      <c r="AC31" s="3">
        <f t="shared" si="32"/>
        <v>16818.37</v>
      </c>
      <c r="AD31" s="3">
        <f t="shared" si="54"/>
        <v>0</v>
      </c>
      <c r="AE31" s="3">
        <f t="shared" si="55"/>
        <v>0</v>
      </c>
      <c r="AF31" s="3">
        <f t="shared" si="55"/>
        <v>0</v>
      </c>
      <c r="AG31" s="3">
        <f t="shared" si="33"/>
        <v>0</v>
      </c>
      <c r="AH31" s="3">
        <f t="shared" si="56"/>
        <v>0</v>
      </c>
      <c r="AI31" s="3">
        <f t="shared" si="56"/>
        <v>0</v>
      </c>
      <c r="AJ31" s="3">
        <f t="shared" si="34"/>
        <v>0</v>
      </c>
      <c r="AK31" s="3">
        <v>16818.37</v>
      </c>
      <c r="AL31" s="3">
        <v>16818.37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90</v>
      </c>
      <c r="AU31" s="3">
        <v>46</v>
      </c>
      <c r="AV31" s="3">
        <v>1</v>
      </c>
      <c r="AW31" s="3">
        <v>1</v>
      </c>
      <c r="AX31" s="3"/>
      <c r="AY31" s="3"/>
      <c r="AZ31" s="3">
        <v>1</v>
      </c>
      <c r="BA31" s="3">
        <v>1</v>
      </c>
      <c r="BB31" s="3">
        <v>1</v>
      </c>
      <c r="BC31" s="3">
        <v>9.8800000000000008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2</v>
      </c>
      <c r="BJ31" s="3" t="s">
        <v>3</v>
      </c>
      <c r="BK31" s="3"/>
      <c r="BL31" s="3"/>
      <c r="BM31" s="3">
        <v>68</v>
      </c>
      <c r="BN31" s="3">
        <v>0</v>
      </c>
      <c r="BO31" s="3" t="s">
        <v>3</v>
      </c>
      <c r="BP31" s="3">
        <v>0</v>
      </c>
      <c r="BQ31" s="3">
        <v>40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C31" s="3"/>
      <c r="CD31" s="3"/>
      <c r="CE31" s="3">
        <v>30</v>
      </c>
      <c r="CF31" s="3">
        <v>0</v>
      </c>
      <c r="CG31" s="3">
        <v>0</v>
      </c>
      <c r="CH31" s="3"/>
      <c r="CI31" s="3"/>
      <c r="CJ31" s="3"/>
      <c r="CK31" s="3"/>
      <c r="CL31" s="3"/>
      <c r="CM31" s="3">
        <v>0</v>
      </c>
      <c r="CN31" s="3" t="s">
        <v>3</v>
      </c>
      <c r="CO31" s="3">
        <v>0</v>
      </c>
      <c r="CP31" s="3">
        <f t="shared" si="35"/>
        <v>166165.5</v>
      </c>
      <c r="CQ31" s="3">
        <f t="shared" si="36"/>
        <v>166165.5</v>
      </c>
      <c r="CR31" s="3">
        <f t="shared" si="57"/>
        <v>0</v>
      </c>
      <c r="CS31" s="3">
        <f t="shared" si="37"/>
        <v>0</v>
      </c>
      <c r="CT31" s="3">
        <f t="shared" si="38"/>
        <v>0</v>
      </c>
      <c r="CU31" s="3">
        <f t="shared" si="39"/>
        <v>0</v>
      </c>
      <c r="CV31" s="3">
        <f t="shared" si="40"/>
        <v>0</v>
      </c>
      <c r="CW31" s="3">
        <f t="shared" si="41"/>
        <v>0</v>
      </c>
      <c r="CX31" s="3">
        <f t="shared" si="42"/>
        <v>0</v>
      </c>
      <c r="CY31" s="3">
        <f t="shared" si="43"/>
        <v>0</v>
      </c>
      <c r="CZ31" s="3">
        <f t="shared" si="44"/>
        <v>0</v>
      </c>
      <c r="DA31" s="3"/>
      <c r="DB31" s="3"/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R31" s="3"/>
      <c r="DS31" s="3"/>
      <c r="DT31" s="3"/>
      <c r="DU31" s="3">
        <v>1010</v>
      </c>
      <c r="DV31" s="3" t="s">
        <v>32</v>
      </c>
      <c r="DW31" s="3" t="s">
        <v>32</v>
      </c>
      <c r="DX31" s="3">
        <v>1</v>
      </c>
      <c r="DY31" s="3"/>
      <c r="DZ31" s="3" t="s">
        <v>3</v>
      </c>
      <c r="EA31" s="3" t="s">
        <v>3</v>
      </c>
      <c r="EB31" s="3" t="s">
        <v>3</v>
      </c>
      <c r="EC31" s="3" t="s">
        <v>3</v>
      </c>
      <c r="ED31" s="3"/>
      <c r="EE31" s="3">
        <v>58162630</v>
      </c>
      <c r="EF31" s="3">
        <v>40</v>
      </c>
      <c r="EG31" s="3" t="s">
        <v>25</v>
      </c>
      <c r="EH31" s="3">
        <v>0</v>
      </c>
      <c r="EI31" s="3" t="s">
        <v>3</v>
      </c>
      <c r="EJ31" s="3">
        <v>2</v>
      </c>
      <c r="EK31" s="3">
        <v>68</v>
      </c>
      <c r="EL31" s="3" t="s">
        <v>26</v>
      </c>
      <c r="EM31" s="3" t="s">
        <v>27</v>
      </c>
      <c r="EN31" s="3"/>
      <c r="EO31" s="3" t="s">
        <v>3</v>
      </c>
      <c r="EP31" s="3"/>
      <c r="EQ31" s="3">
        <v>0</v>
      </c>
      <c r="ER31" s="3">
        <v>16818.37</v>
      </c>
      <c r="ES31" s="3">
        <v>16818.37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/>
      <c r="EZ31" s="3">
        <v>5</v>
      </c>
      <c r="FA31" s="3"/>
      <c r="FB31" s="3"/>
      <c r="FC31" s="3">
        <v>1</v>
      </c>
      <c r="FD31" s="3">
        <v>18</v>
      </c>
      <c r="FE31" s="3"/>
      <c r="FF31" s="3">
        <v>195488.81</v>
      </c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>
        <v>0</v>
      </c>
      <c r="FR31" s="3">
        <v>0</v>
      </c>
      <c r="FS31" s="3">
        <v>0</v>
      </c>
      <c r="FT31" s="3"/>
      <c r="FU31" s="3"/>
      <c r="FV31" s="3"/>
      <c r="FW31" s="3"/>
      <c r="FX31" s="3">
        <v>90</v>
      </c>
      <c r="FY31" s="3">
        <v>46</v>
      </c>
      <c r="FZ31" s="3"/>
      <c r="GA31" s="3" t="s">
        <v>33</v>
      </c>
      <c r="GB31" s="3"/>
      <c r="GC31" s="3"/>
      <c r="GD31" s="3">
        <v>1</v>
      </c>
      <c r="GE31" s="3"/>
      <c r="GF31" s="3">
        <v>-199742500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45"/>
        <v>0</v>
      </c>
      <c r="GM31" s="3">
        <f t="shared" si="46"/>
        <v>166165.5</v>
      </c>
      <c r="GN31" s="3">
        <f t="shared" si="47"/>
        <v>0</v>
      </c>
      <c r="GO31" s="3">
        <f t="shared" si="48"/>
        <v>166165.5</v>
      </c>
      <c r="GP31" s="3">
        <f t="shared" si="49"/>
        <v>0</v>
      </c>
      <c r="GQ31" s="3"/>
      <c r="GR31" s="3">
        <v>1</v>
      </c>
      <c r="GS31" s="3">
        <v>1</v>
      </c>
      <c r="GT31" s="3">
        <v>0</v>
      </c>
      <c r="GU31" s="3" t="s">
        <v>3</v>
      </c>
      <c r="GV31" s="3">
        <f t="shared" si="50"/>
        <v>0</v>
      </c>
      <c r="GW31" s="3">
        <v>1</v>
      </c>
      <c r="GX31" s="3">
        <f t="shared" si="51"/>
        <v>0</v>
      </c>
      <c r="GY31" s="3"/>
      <c r="GZ31" s="3"/>
      <c r="HA31" s="3">
        <v>0</v>
      </c>
      <c r="HB31" s="3">
        <v>0</v>
      </c>
      <c r="HC31" s="3">
        <f t="shared" si="52"/>
        <v>0</v>
      </c>
      <c r="HD31" s="3"/>
      <c r="HE31" s="3" t="s">
        <v>34</v>
      </c>
      <c r="HF31" s="3" t="s">
        <v>35</v>
      </c>
      <c r="HG31" s="3"/>
      <c r="HH31" s="3"/>
      <c r="HI31" s="3"/>
      <c r="HJ31" s="3"/>
      <c r="HK31" s="3"/>
      <c r="HL31" s="3"/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/>
      <c r="HS31" s="3">
        <v>0</v>
      </c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>
        <v>0</v>
      </c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x14ac:dyDescent="0.3">
      <c r="A32" s="2">
        <v>18</v>
      </c>
      <c r="B32" s="2">
        <v>1</v>
      </c>
      <c r="C32" s="2"/>
      <c r="D32" s="2"/>
      <c r="E32" s="2" t="s">
        <v>36</v>
      </c>
      <c r="F32" s="2" t="s">
        <v>37</v>
      </c>
      <c r="G32" s="2" t="s">
        <v>38</v>
      </c>
      <c r="H32" s="2" t="s">
        <v>32</v>
      </c>
      <c r="I32" s="2">
        <f>I28*J32</f>
        <v>1</v>
      </c>
      <c r="J32" s="2">
        <v>1</v>
      </c>
      <c r="K32" s="2">
        <v>1</v>
      </c>
      <c r="L32" s="2"/>
      <c r="M32" s="2"/>
      <c r="N32" s="2"/>
      <c r="O32" s="2">
        <f t="shared" si="21"/>
        <v>3548.41</v>
      </c>
      <c r="P32" s="2">
        <f t="shared" si="22"/>
        <v>3548.41</v>
      </c>
      <c r="Q32" s="2">
        <f t="shared" si="53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  <c r="V32" s="2">
        <f t="shared" si="27"/>
        <v>0</v>
      </c>
      <c r="W32" s="2">
        <f t="shared" si="28"/>
        <v>0</v>
      </c>
      <c r="X32" s="2">
        <f t="shared" si="29"/>
        <v>0</v>
      </c>
      <c r="Y32" s="2">
        <f t="shared" si="30"/>
        <v>0</v>
      </c>
      <c r="Z32" s="2"/>
      <c r="AA32" s="2">
        <v>56505403</v>
      </c>
      <c r="AB32" s="2">
        <f t="shared" si="31"/>
        <v>3548.41</v>
      </c>
      <c r="AC32" s="2">
        <f t="shared" si="32"/>
        <v>3548.41</v>
      </c>
      <c r="AD32" s="2">
        <f t="shared" si="54"/>
        <v>0</v>
      </c>
      <c r="AE32" s="2">
        <f t="shared" si="55"/>
        <v>0</v>
      </c>
      <c r="AF32" s="2">
        <f t="shared" si="55"/>
        <v>0</v>
      </c>
      <c r="AG32" s="2">
        <f t="shared" si="33"/>
        <v>0</v>
      </c>
      <c r="AH32" s="2">
        <f t="shared" si="56"/>
        <v>0</v>
      </c>
      <c r="AI32" s="2">
        <f t="shared" si="56"/>
        <v>0</v>
      </c>
      <c r="AJ32" s="2">
        <f t="shared" si="34"/>
        <v>0</v>
      </c>
      <c r="AK32" s="2">
        <v>3548.41</v>
      </c>
      <c r="AL32" s="2">
        <v>3548.41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90</v>
      </c>
      <c r="AU32" s="2">
        <v>46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2</v>
      </c>
      <c r="BJ32" s="2" t="s">
        <v>3</v>
      </c>
      <c r="BK32" s="2"/>
      <c r="BL32" s="2"/>
      <c r="BM32" s="2">
        <v>68</v>
      </c>
      <c r="BN32" s="2">
        <v>0</v>
      </c>
      <c r="BO32" s="2" t="s">
        <v>3</v>
      </c>
      <c r="BP32" s="2">
        <v>0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5"/>
        <v>3548.41</v>
      </c>
      <c r="CQ32" s="2">
        <f t="shared" si="36"/>
        <v>3548.41</v>
      </c>
      <c r="CR32" s="2">
        <f t="shared" si="57"/>
        <v>0</v>
      </c>
      <c r="CS32" s="2">
        <f t="shared" si="37"/>
        <v>0</v>
      </c>
      <c r="CT32" s="2">
        <f t="shared" si="38"/>
        <v>0</v>
      </c>
      <c r="CU32" s="2">
        <f t="shared" si="39"/>
        <v>0</v>
      </c>
      <c r="CV32" s="2">
        <f t="shared" si="40"/>
        <v>0</v>
      </c>
      <c r="CW32" s="2">
        <f t="shared" si="41"/>
        <v>0</v>
      </c>
      <c r="CX32" s="2">
        <f t="shared" si="42"/>
        <v>0</v>
      </c>
      <c r="CY32" s="2">
        <f t="shared" si="43"/>
        <v>0</v>
      </c>
      <c r="CZ32" s="2">
        <f t="shared" si="44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32</v>
      </c>
      <c r="DW32" s="2" t="s">
        <v>32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58162630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68</v>
      </c>
      <c r="EL32" s="2" t="s">
        <v>26</v>
      </c>
      <c r="EM32" s="2" t="s">
        <v>27</v>
      </c>
      <c r="EN32" s="2"/>
      <c r="EO32" s="2" t="s">
        <v>3</v>
      </c>
      <c r="EP32" s="2"/>
      <c r="EQ32" s="2">
        <v>0</v>
      </c>
      <c r="ER32" s="2">
        <v>0</v>
      </c>
      <c r="ES32" s="2">
        <v>3548.41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39</v>
      </c>
      <c r="GB32" s="2"/>
      <c r="GC32" s="2"/>
      <c r="GD32" s="2">
        <v>1</v>
      </c>
      <c r="GE32" s="2"/>
      <c r="GF32" s="2">
        <v>1007668642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45"/>
        <v>0</v>
      </c>
      <c r="GM32" s="2">
        <f t="shared" si="46"/>
        <v>3548.41</v>
      </c>
      <c r="GN32" s="2">
        <f t="shared" si="47"/>
        <v>0</v>
      </c>
      <c r="GO32" s="2">
        <f t="shared" si="48"/>
        <v>3548.41</v>
      </c>
      <c r="GP32" s="2">
        <f t="shared" si="49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50"/>
        <v>0</v>
      </c>
      <c r="GW32" s="2">
        <v>1</v>
      </c>
      <c r="GX32" s="2">
        <f t="shared" si="51"/>
        <v>0</v>
      </c>
      <c r="GY32" s="2"/>
      <c r="GZ32" s="2"/>
      <c r="HA32" s="2">
        <v>0</v>
      </c>
      <c r="HB32" s="2">
        <v>0</v>
      </c>
      <c r="HC32" s="2">
        <f t="shared" si="52"/>
        <v>0</v>
      </c>
      <c r="HD32" s="2"/>
      <c r="HE32" s="2" t="s">
        <v>34</v>
      </c>
      <c r="HF32" s="2" t="s">
        <v>35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3">
      <c r="A33" s="3">
        <v>18</v>
      </c>
      <c r="B33" s="3">
        <v>1</v>
      </c>
      <c r="C33" s="3"/>
      <c r="D33" s="3"/>
      <c r="E33" s="3" t="s">
        <v>36</v>
      </c>
      <c r="F33" s="3" t="s">
        <v>37</v>
      </c>
      <c r="G33" s="3" t="s">
        <v>38</v>
      </c>
      <c r="H33" s="3" t="s">
        <v>32</v>
      </c>
      <c r="I33" s="3">
        <f>I29*J33</f>
        <v>1</v>
      </c>
      <c r="J33" s="3">
        <v>1</v>
      </c>
      <c r="K33" s="3">
        <v>1</v>
      </c>
      <c r="L33" s="3"/>
      <c r="M33" s="3"/>
      <c r="N33" s="3"/>
      <c r="O33" s="3">
        <f t="shared" si="21"/>
        <v>35058.29</v>
      </c>
      <c r="P33" s="3">
        <f t="shared" si="22"/>
        <v>35058.29</v>
      </c>
      <c r="Q33" s="3">
        <f t="shared" si="53"/>
        <v>0</v>
      </c>
      <c r="R33" s="3">
        <f t="shared" si="23"/>
        <v>0</v>
      </c>
      <c r="S33" s="3">
        <f t="shared" si="24"/>
        <v>0</v>
      </c>
      <c r="T33" s="3">
        <f t="shared" si="25"/>
        <v>0</v>
      </c>
      <c r="U33" s="3">
        <f t="shared" si="26"/>
        <v>0</v>
      </c>
      <c r="V33" s="3">
        <f t="shared" si="27"/>
        <v>0</v>
      </c>
      <c r="W33" s="3">
        <f t="shared" si="28"/>
        <v>0</v>
      </c>
      <c r="X33" s="3">
        <f t="shared" si="29"/>
        <v>0</v>
      </c>
      <c r="Y33" s="3">
        <f t="shared" si="30"/>
        <v>0</v>
      </c>
      <c r="Z33" s="3"/>
      <c r="AA33" s="3">
        <v>56505405</v>
      </c>
      <c r="AB33" s="3">
        <f t="shared" si="31"/>
        <v>3548.41</v>
      </c>
      <c r="AC33" s="3">
        <f t="shared" si="32"/>
        <v>3548.41</v>
      </c>
      <c r="AD33" s="3">
        <f t="shared" si="54"/>
        <v>0</v>
      </c>
      <c r="AE33" s="3">
        <f t="shared" si="55"/>
        <v>0</v>
      </c>
      <c r="AF33" s="3">
        <f t="shared" si="55"/>
        <v>0</v>
      </c>
      <c r="AG33" s="3">
        <f t="shared" si="33"/>
        <v>0</v>
      </c>
      <c r="AH33" s="3">
        <f t="shared" si="56"/>
        <v>0</v>
      </c>
      <c r="AI33" s="3">
        <f t="shared" si="56"/>
        <v>0</v>
      </c>
      <c r="AJ33" s="3">
        <f t="shared" si="34"/>
        <v>0</v>
      </c>
      <c r="AK33" s="3">
        <v>3548.41</v>
      </c>
      <c r="AL33" s="3">
        <v>3548.41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90</v>
      </c>
      <c r="AU33" s="3">
        <v>46</v>
      </c>
      <c r="AV33" s="3">
        <v>1</v>
      </c>
      <c r="AW33" s="3">
        <v>1</v>
      </c>
      <c r="AX33" s="3"/>
      <c r="AY33" s="3"/>
      <c r="AZ33" s="3">
        <v>1</v>
      </c>
      <c r="BA33" s="3">
        <v>1</v>
      </c>
      <c r="BB33" s="3">
        <v>1</v>
      </c>
      <c r="BC33" s="3">
        <v>9.8800000000000008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3</v>
      </c>
      <c r="BI33" s="3">
        <v>2</v>
      </c>
      <c r="BJ33" s="3" t="s">
        <v>3</v>
      </c>
      <c r="BK33" s="3"/>
      <c r="BL33" s="3"/>
      <c r="BM33" s="3">
        <v>68</v>
      </c>
      <c r="BN33" s="3">
        <v>0</v>
      </c>
      <c r="BO33" s="3" t="s">
        <v>3</v>
      </c>
      <c r="BP33" s="3">
        <v>0</v>
      </c>
      <c r="BQ33" s="3">
        <v>40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C33" s="3"/>
      <c r="CD33" s="3"/>
      <c r="CE33" s="3">
        <v>30</v>
      </c>
      <c r="CF33" s="3">
        <v>0</v>
      </c>
      <c r="CG33" s="3">
        <v>0</v>
      </c>
      <c r="CH33" s="3"/>
      <c r="CI33" s="3"/>
      <c r="CJ33" s="3"/>
      <c r="CK33" s="3"/>
      <c r="CL33" s="3"/>
      <c r="CM33" s="3">
        <v>0</v>
      </c>
      <c r="CN33" s="3" t="s">
        <v>3</v>
      </c>
      <c r="CO33" s="3">
        <v>0</v>
      </c>
      <c r="CP33" s="3">
        <f t="shared" si="35"/>
        <v>35058.29</v>
      </c>
      <c r="CQ33" s="3">
        <f t="shared" si="36"/>
        <v>35058.29</v>
      </c>
      <c r="CR33" s="3">
        <f t="shared" si="57"/>
        <v>0</v>
      </c>
      <c r="CS33" s="3">
        <f t="shared" si="37"/>
        <v>0</v>
      </c>
      <c r="CT33" s="3">
        <f t="shared" si="38"/>
        <v>0</v>
      </c>
      <c r="CU33" s="3">
        <f t="shared" si="39"/>
        <v>0</v>
      </c>
      <c r="CV33" s="3">
        <f t="shared" si="40"/>
        <v>0</v>
      </c>
      <c r="CW33" s="3">
        <f t="shared" si="41"/>
        <v>0</v>
      </c>
      <c r="CX33" s="3">
        <f t="shared" si="42"/>
        <v>0</v>
      </c>
      <c r="CY33" s="3">
        <f t="shared" si="43"/>
        <v>0</v>
      </c>
      <c r="CZ33" s="3">
        <f t="shared" si="44"/>
        <v>0</v>
      </c>
      <c r="DA33" s="3"/>
      <c r="DB33" s="3"/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R33" s="3"/>
      <c r="DS33" s="3"/>
      <c r="DT33" s="3"/>
      <c r="DU33" s="3">
        <v>1010</v>
      </c>
      <c r="DV33" s="3" t="s">
        <v>32</v>
      </c>
      <c r="DW33" s="3" t="s">
        <v>32</v>
      </c>
      <c r="DX33" s="3">
        <v>1</v>
      </c>
      <c r="DY33" s="3"/>
      <c r="DZ33" s="3" t="s">
        <v>3</v>
      </c>
      <c r="EA33" s="3" t="s">
        <v>3</v>
      </c>
      <c r="EB33" s="3" t="s">
        <v>3</v>
      </c>
      <c r="EC33" s="3" t="s">
        <v>3</v>
      </c>
      <c r="ED33" s="3"/>
      <c r="EE33" s="3">
        <v>58162630</v>
      </c>
      <c r="EF33" s="3">
        <v>40</v>
      </c>
      <c r="EG33" s="3" t="s">
        <v>25</v>
      </c>
      <c r="EH33" s="3">
        <v>0</v>
      </c>
      <c r="EI33" s="3" t="s">
        <v>3</v>
      </c>
      <c r="EJ33" s="3">
        <v>2</v>
      </c>
      <c r="EK33" s="3">
        <v>68</v>
      </c>
      <c r="EL33" s="3" t="s">
        <v>26</v>
      </c>
      <c r="EM33" s="3" t="s">
        <v>27</v>
      </c>
      <c r="EN33" s="3"/>
      <c r="EO33" s="3" t="s">
        <v>3</v>
      </c>
      <c r="EP33" s="3"/>
      <c r="EQ33" s="3">
        <v>0</v>
      </c>
      <c r="ER33" s="3">
        <v>3548.41</v>
      </c>
      <c r="ES33" s="3">
        <v>3548.41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/>
      <c r="EZ33" s="3">
        <v>5</v>
      </c>
      <c r="FA33" s="3"/>
      <c r="FB33" s="3"/>
      <c r="FC33" s="3">
        <v>1</v>
      </c>
      <c r="FD33" s="3">
        <v>18</v>
      </c>
      <c r="FE33" s="3"/>
      <c r="FF33" s="3">
        <v>41245</v>
      </c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>
        <v>0</v>
      </c>
      <c r="FR33" s="3">
        <v>0</v>
      </c>
      <c r="FS33" s="3">
        <v>0</v>
      </c>
      <c r="FT33" s="3"/>
      <c r="FU33" s="3"/>
      <c r="FV33" s="3"/>
      <c r="FW33" s="3"/>
      <c r="FX33" s="3">
        <v>90</v>
      </c>
      <c r="FY33" s="3">
        <v>46</v>
      </c>
      <c r="FZ33" s="3"/>
      <c r="GA33" s="3" t="s">
        <v>39</v>
      </c>
      <c r="GB33" s="3"/>
      <c r="GC33" s="3"/>
      <c r="GD33" s="3">
        <v>1</v>
      </c>
      <c r="GE33" s="3"/>
      <c r="GF33" s="3">
        <v>1007668642</v>
      </c>
      <c r="GG33" s="3">
        <v>2</v>
      </c>
      <c r="GH33" s="3">
        <v>3</v>
      </c>
      <c r="GI33" s="3">
        <v>5</v>
      </c>
      <c r="GJ33" s="3">
        <v>0</v>
      </c>
      <c r="GK33" s="3">
        <v>0</v>
      </c>
      <c r="GL33" s="3">
        <f t="shared" si="45"/>
        <v>0</v>
      </c>
      <c r="GM33" s="3">
        <f t="shared" si="46"/>
        <v>35058.29</v>
      </c>
      <c r="GN33" s="3">
        <f t="shared" si="47"/>
        <v>0</v>
      </c>
      <c r="GO33" s="3">
        <f t="shared" si="48"/>
        <v>35058.29</v>
      </c>
      <c r="GP33" s="3">
        <f t="shared" si="49"/>
        <v>0</v>
      </c>
      <c r="GQ33" s="3"/>
      <c r="GR33" s="3">
        <v>1</v>
      </c>
      <c r="GS33" s="3">
        <v>1</v>
      </c>
      <c r="GT33" s="3">
        <v>0</v>
      </c>
      <c r="GU33" s="3" t="s">
        <v>3</v>
      </c>
      <c r="GV33" s="3">
        <f t="shared" si="50"/>
        <v>0</v>
      </c>
      <c r="GW33" s="3">
        <v>1</v>
      </c>
      <c r="GX33" s="3">
        <f t="shared" si="51"/>
        <v>0</v>
      </c>
      <c r="GY33" s="3"/>
      <c r="GZ33" s="3"/>
      <c r="HA33" s="3">
        <v>0</v>
      </c>
      <c r="HB33" s="3">
        <v>0</v>
      </c>
      <c r="HC33" s="3">
        <f t="shared" si="52"/>
        <v>0</v>
      </c>
      <c r="HD33" s="3"/>
      <c r="HE33" s="3" t="s">
        <v>34</v>
      </c>
      <c r="HF33" s="3" t="s">
        <v>35</v>
      </c>
      <c r="HG33" s="3"/>
      <c r="HH33" s="3"/>
      <c r="HI33" s="3"/>
      <c r="HJ33" s="3"/>
      <c r="HK33" s="3"/>
      <c r="HL33" s="3"/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/>
      <c r="HS33" s="3">
        <v>0</v>
      </c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>
        <v>0</v>
      </c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x14ac:dyDescent="0.3">
      <c r="A34" s="2">
        <v>18</v>
      </c>
      <c r="B34" s="2">
        <v>1</v>
      </c>
      <c r="C34" s="2"/>
      <c r="D34" s="2"/>
      <c r="E34" s="2" t="s">
        <v>40</v>
      </c>
      <c r="F34" s="2" t="s">
        <v>41</v>
      </c>
      <c r="G34" s="2" t="s">
        <v>42</v>
      </c>
      <c r="H34" s="2" t="s">
        <v>32</v>
      </c>
      <c r="I34" s="2">
        <f>I28*J34</f>
        <v>1</v>
      </c>
      <c r="J34" s="2">
        <v>1</v>
      </c>
      <c r="K34" s="2">
        <v>1</v>
      </c>
      <c r="L34" s="2"/>
      <c r="M34" s="2"/>
      <c r="N34" s="2"/>
      <c r="O34" s="2">
        <f t="shared" si="21"/>
        <v>147.62</v>
      </c>
      <c r="P34" s="2">
        <f t="shared" si="22"/>
        <v>147.62</v>
      </c>
      <c r="Q34" s="2">
        <f t="shared" si="53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  <c r="V34" s="2">
        <f t="shared" si="27"/>
        <v>0</v>
      </c>
      <c r="W34" s="2">
        <f t="shared" si="28"/>
        <v>0</v>
      </c>
      <c r="X34" s="2">
        <f t="shared" si="29"/>
        <v>0</v>
      </c>
      <c r="Y34" s="2">
        <f t="shared" si="30"/>
        <v>0</v>
      </c>
      <c r="Z34" s="2"/>
      <c r="AA34" s="2">
        <v>56505403</v>
      </c>
      <c r="AB34" s="2">
        <f t="shared" si="31"/>
        <v>147.62</v>
      </c>
      <c r="AC34" s="2">
        <f t="shared" si="32"/>
        <v>147.62</v>
      </c>
      <c r="AD34" s="2">
        <f t="shared" si="54"/>
        <v>0</v>
      </c>
      <c r="AE34" s="2">
        <f t="shared" si="55"/>
        <v>0</v>
      </c>
      <c r="AF34" s="2">
        <f t="shared" si="55"/>
        <v>0</v>
      </c>
      <c r="AG34" s="2">
        <f t="shared" si="33"/>
        <v>0</v>
      </c>
      <c r="AH34" s="2">
        <f t="shared" si="56"/>
        <v>0</v>
      </c>
      <c r="AI34" s="2">
        <f t="shared" si="56"/>
        <v>0</v>
      </c>
      <c r="AJ34" s="2">
        <f t="shared" si="34"/>
        <v>0</v>
      </c>
      <c r="AK34" s="2">
        <v>147.61999999999998</v>
      </c>
      <c r="AL34" s="2">
        <v>147.61999999999998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90</v>
      </c>
      <c r="AU34" s="2">
        <v>46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2</v>
      </c>
      <c r="BJ34" s="2" t="s">
        <v>3</v>
      </c>
      <c r="BK34" s="2"/>
      <c r="BL34" s="2"/>
      <c r="BM34" s="2">
        <v>68</v>
      </c>
      <c r="BN34" s="2">
        <v>0</v>
      </c>
      <c r="BO34" s="2" t="s">
        <v>3</v>
      </c>
      <c r="BP34" s="2">
        <v>0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5"/>
        <v>147.62</v>
      </c>
      <c r="CQ34" s="2">
        <f t="shared" si="36"/>
        <v>147.62</v>
      </c>
      <c r="CR34" s="2">
        <f t="shared" si="57"/>
        <v>0</v>
      </c>
      <c r="CS34" s="2">
        <f t="shared" si="37"/>
        <v>0</v>
      </c>
      <c r="CT34" s="2">
        <f t="shared" si="38"/>
        <v>0</v>
      </c>
      <c r="CU34" s="2">
        <f t="shared" si="39"/>
        <v>0</v>
      </c>
      <c r="CV34" s="2">
        <f t="shared" si="40"/>
        <v>0</v>
      </c>
      <c r="CW34" s="2">
        <f t="shared" si="41"/>
        <v>0</v>
      </c>
      <c r="CX34" s="2">
        <f t="shared" si="42"/>
        <v>0</v>
      </c>
      <c r="CY34" s="2">
        <f t="shared" si="43"/>
        <v>0</v>
      </c>
      <c r="CZ34" s="2">
        <f t="shared" si="44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32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58162630</v>
      </c>
      <c r="EF34" s="2">
        <v>40</v>
      </c>
      <c r="EG34" s="2" t="s">
        <v>25</v>
      </c>
      <c r="EH34" s="2">
        <v>0</v>
      </c>
      <c r="EI34" s="2" t="s">
        <v>3</v>
      </c>
      <c r="EJ34" s="2">
        <v>2</v>
      </c>
      <c r="EK34" s="2">
        <v>68</v>
      </c>
      <c r="EL34" s="2" t="s">
        <v>26</v>
      </c>
      <c r="EM34" s="2" t="s">
        <v>27</v>
      </c>
      <c r="EN34" s="2"/>
      <c r="EO34" s="2" t="s">
        <v>3</v>
      </c>
      <c r="EP34" s="2"/>
      <c r="EQ34" s="2">
        <v>0</v>
      </c>
      <c r="ER34" s="2">
        <v>0</v>
      </c>
      <c r="ES34" s="2">
        <v>147.61999999999998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43</v>
      </c>
      <c r="GB34" s="2"/>
      <c r="GC34" s="2"/>
      <c r="GD34" s="2">
        <v>1</v>
      </c>
      <c r="GE34" s="2"/>
      <c r="GF34" s="2">
        <v>-957674279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5"/>
        <v>0</v>
      </c>
      <c r="GM34" s="2">
        <f t="shared" si="46"/>
        <v>147.62</v>
      </c>
      <c r="GN34" s="2">
        <f t="shared" si="47"/>
        <v>0</v>
      </c>
      <c r="GO34" s="2">
        <f t="shared" si="48"/>
        <v>147.62</v>
      </c>
      <c r="GP34" s="2">
        <f t="shared" si="49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50"/>
        <v>0</v>
      </c>
      <c r="GW34" s="2">
        <v>1</v>
      </c>
      <c r="GX34" s="2">
        <f t="shared" si="51"/>
        <v>0</v>
      </c>
      <c r="GY34" s="2"/>
      <c r="GZ34" s="2"/>
      <c r="HA34" s="2">
        <v>0</v>
      </c>
      <c r="HB34" s="2">
        <v>0</v>
      </c>
      <c r="HC34" s="2">
        <f t="shared" si="52"/>
        <v>0</v>
      </c>
      <c r="HD34" s="2"/>
      <c r="HE34" s="2" t="s">
        <v>34</v>
      </c>
      <c r="HF34" s="2" t="s">
        <v>35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3">
      <c r="A35" s="3">
        <v>18</v>
      </c>
      <c r="B35" s="3">
        <v>1</v>
      </c>
      <c r="C35" s="3"/>
      <c r="D35" s="3"/>
      <c r="E35" s="3" t="s">
        <v>40</v>
      </c>
      <c r="F35" s="3" t="s">
        <v>41</v>
      </c>
      <c r="G35" s="3" t="s">
        <v>42</v>
      </c>
      <c r="H35" s="3" t="s">
        <v>32</v>
      </c>
      <c r="I35" s="3">
        <f>I29*J35</f>
        <v>1</v>
      </c>
      <c r="J35" s="3">
        <v>1</v>
      </c>
      <c r="K35" s="3">
        <v>1</v>
      </c>
      <c r="L35" s="3"/>
      <c r="M35" s="3"/>
      <c r="N35" s="3"/>
      <c r="O35" s="3">
        <f t="shared" si="21"/>
        <v>1458.49</v>
      </c>
      <c r="P35" s="3">
        <f t="shared" si="22"/>
        <v>1458.49</v>
      </c>
      <c r="Q35" s="3">
        <f t="shared" si="53"/>
        <v>0</v>
      </c>
      <c r="R35" s="3">
        <f t="shared" si="23"/>
        <v>0</v>
      </c>
      <c r="S35" s="3">
        <f t="shared" si="24"/>
        <v>0</v>
      </c>
      <c r="T35" s="3">
        <f t="shared" si="25"/>
        <v>0</v>
      </c>
      <c r="U35" s="3">
        <f t="shared" si="26"/>
        <v>0</v>
      </c>
      <c r="V35" s="3">
        <f t="shared" si="27"/>
        <v>0</v>
      </c>
      <c r="W35" s="3">
        <f t="shared" si="28"/>
        <v>0</v>
      </c>
      <c r="X35" s="3">
        <f t="shared" si="29"/>
        <v>0</v>
      </c>
      <c r="Y35" s="3">
        <f t="shared" si="30"/>
        <v>0</v>
      </c>
      <c r="Z35" s="3"/>
      <c r="AA35" s="3">
        <v>56505405</v>
      </c>
      <c r="AB35" s="3">
        <f t="shared" si="31"/>
        <v>147.62</v>
      </c>
      <c r="AC35" s="3">
        <f t="shared" si="32"/>
        <v>147.62</v>
      </c>
      <c r="AD35" s="3">
        <f t="shared" si="54"/>
        <v>0</v>
      </c>
      <c r="AE35" s="3">
        <f t="shared" si="55"/>
        <v>0</v>
      </c>
      <c r="AF35" s="3">
        <f t="shared" si="55"/>
        <v>0</v>
      </c>
      <c r="AG35" s="3">
        <f t="shared" si="33"/>
        <v>0</v>
      </c>
      <c r="AH35" s="3">
        <f t="shared" si="56"/>
        <v>0</v>
      </c>
      <c r="AI35" s="3">
        <f t="shared" si="56"/>
        <v>0</v>
      </c>
      <c r="AJ35" s="3">
        <f t="shared" si="34"/>
        <v>0</v>
      </c>
      <c r="AK35" s="3">
        <v>147.61999999999998</v>
      </c>
      <c r="AL35" s="3">
        <v>147.61999999999998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90</v>
      </c>
      <c r="AU35" s="3">
        <v>46</v>
      </c>
      <c r="AV35" s="3">
        <v>1</v>
      </c>
      <c r="AW35" s="3">
        <v>1</v>
      </c>
      <c r="AX35" s="3"/>
      <c r="AY35" s="3"/>
      <c r="AZ35" s="3">
        <v>1</v>
      </c>
      <c r="BA35" s="3">
        <v>1</v>
      </c>
      <c r="BB35" s="3">
        <v>1</v>
      </c>
      <c r="BC35" s="3">
        <v>9.8800000000000008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2</v>
      </c>
      <c r="BJ35" s="3" t="s">
        <v>3</v>
      </c>
      <c r="BK35" s="3"/>
      <c r="BL35" s="3"/>
      <c r="BM35" s="3">
        <v>68</v>
      </c>
      <c r="BN35" s="3">
        <v>0</v>
      </c>
      <c r="BO35" s="3" t="s">
        <v>3</v>
      </c>
      <c r="BP35" s="3">
        <v>0</v>
      </c>
      <c r="BQ35" s="3">
        <v>40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C35" s="3"/>
      <c r="CD35" s="3"/>
      <c r="CE35" s="3">
        <v>30</v>
      </c>
      <c r="CF35" s="3">
        <v>0</v>
      </c>
      <c r="CG35" s="3">
        <v>0</v>
      </c>
      <c r="CH35" s="3"/>
      <c r="CI35" s="3"/>
      <c r="CJ35" s="3"/>
      <c r="CK35" s="3"/>
      <c r="CL35" s="3"/>
      <c r="CM35" s="3">
        <v>0</v>
      </c>
      <c r="CN35" s="3" t="s">
        <v>3</v>
      </c>
      <c r="CO35" s="3">
        <v>0</v>
      </c>
      <c r="CP35" s="3">
        <f t="shared" si="35"/>
        <v>1458.49</v>
      </c>
      <c r="CQ35" s="3">
        <f t="shared" si="36"/>
        <v>1458.49</v>
      </c>
      <c r="CR35" s="3">
        <f t="shared" si="57"/>
        <v>0</v>
      </c>
      <c r="CS35" s="3">
        <f t="shared" si="37"/>
        <v>0</v>
      </c>
      <c r="CT35" s="3">
        <f t="shared" si="38"/>
        <v>0</v>
      </c>
      <c r="CU35" s="3">
        <f t="shared" si="39"/>
        <v>0</v>
      </c>
      <c r="CV35" s="3">
        <f t="shared" si="40"/>
        <v>0</v>
      </c>
      <c r="CW35" s="3">
        <f t="shared" si="41"/>
        <v>0</v>
      </c>
      <c r="CX35" s="3">
        <f t="shared" si="42"/>
        <v>0</v>
      </c>
      <c r="CY35" s="3">
        <f t="shared" si="43"/>
        <v>0</v>
      </c>
      <c r="CZ35" s="3">
        <f t="shared" si="44"/>
        <v>0</v>
      </c>
      <c r="DA35" s="3"/>
      <c r="DB35" s="3"/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R35" s="3"/>
      <c r="DS35" s="3"/>
      <c r="DT35" s="3"/>
      <c r="DU35" s="3">
        <v>1010</v>
      </c>
      <c r="DV35" s="3" t="s">
        <v>32</v>
      </c>
      <c r="DW35" s="3" t="s">
        <v>32</v>
      </c>
      <c r="DX35" s="3">
        <v>1</v>
      </c>
      <c r="DY35" s="3"/>
      <c r="DZ35" s="3" t="s">
        <v>3</v>
      </c>
      <c r="EA35" s="3" t="s">
        <v>3</v>
      </c>
      <c r="EB35" s="3" t="s">
        <v>3</v>
      </c>
      <c r="EC35" s="3" t="s">
        <v>3</v>
      </c>
      <c r="ED35" s="3"/>
      <c r="EE35" s="3">
        <v>58162630</v>
      </c>
      <c r="EF35" s="3">
        <v>40</v>
      </c>
      <c r="EG35" s="3" t="s">
        <v>25</v>
      </c>
      <c r="EH35" s="3">
        <v>0</v>
      </c>
      <c r="EI35" s="3" t="s">
        <v>3</v>
      </c>
      <c r="EJ35" s="3">
        <v>2</v>
      </c>
      <c r="EK35" s="3">
        <v>68</v>
      </c>
      <c r="EL35" s="3" t="s">
        <v>26</v>
      </c>
      <c r="EM35" s="3" t="s">
        <v>27</v>
      </c>
      <c r="EN35" s="3"/>
      <c r="EO35" s="3" t="s">
        <v>3</v>
      </c>
      <c r="EP35" s="3"/>
      <c r="EQ35" s="3">
        <v>0</v>
      </c>
      <c r="ER35" s="3">
        <v>147.61999999999998</v>
      </c>
      <c r="ES35" s="3">
        <v>147.61999999999998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/>
      <c r="EZ35" s="3">
        <v>5</v>
      </c>
      <c r="FA35" s="3"/>
      <c r="FB35" s="3"/>
      <c r="FC35" s="3">
        <v>1</v>
      </c>
      <c r="FD35" s="3">
        <v>18</v>
      </c>
      <c r="FE35" s="3"/>
      <c r="FF35" s="3">
        <v>1715.95</v>
      </c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>
        <v>0</v>
      </c>
      <c r="FR35" s="3">
        <v>0</v>
      </c>
      <c r="FS35" s="3">
        <v>0</v>
      </c>
      <c r="FT35" s="3"/>
      <c r="FU35" s="3"/>
      <c r="FV35" s="3"/>
      <c r="FW35" s="3"/>
      <c r="FX35" s="3">
        <v>90</v>
      </c>
      <c r="FY35" s="3">
        <v>46</v>
      </c>
      <c r="FZ35" s="3"/>
      <c r="GA35" s="3" t="s">
        <v>43</v>
      </c>
      <c r="GB35" s="3"/>
      <c r="GC35" s="3"/>
      <c r="GD35" s="3">
        <v>1</v>
      </c>
      <c r="GE35" s="3"/>
      <c r="GF35" s="3">
        <v>-957674279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45"/>
        <v>0</v>
      </c>
      <c r="GM35" s="3">
        <f t="shared" si="46"/>
        <v>1458.49</v>
      </c>
      <c r="GN35" s="3">
        <f t="shared" si="47"/>
        <v>0</v>
      </c>
      <c r="GO35" s="3">
        <f t="shared" si="48"/>
        <v>1458.49</v>
      </c>
      <c r="GP35" s="3">
        <f t="shared" si="49"/>
        <v>0</v>
      </c>
      <c r="GQ35" s="3"/>
      <c r="GR35" s="3">
        <v>1</v>
      </c>
      <c r="GS35" s="3">
        <v>1</v>
      </c>
      <c r="GT35" s="3">
        <v>0</v>
      </c>
      <c r="GU35" s="3" t="s">
        <v>3</v>
      </c>
      <c r="GV35" s="3">
        <f t="shared" si="50"/>
        <v>0</v>
      </c>
      <c r="GW35" s="3">
        <v>1</v>
      </c>
      <c r="GX35" s="3">
        <f t="shared" si="51"/>
        <v>0</v>
      </c>
      <c r="GY35" s="3"/>
      <c r="GZ35" s="3"/>
      <c r="HA35" s="3">
        <v>0</v>
      </c>
      <c r="HB35" s="3">
        <v>0</v>
      </c>
      <c r="HC35" s="3">
        <f t="shared" si="52"/>
        <v>0</v>
      </c>
      <c r="HD35" s="3"/>
      <c r="HE35" s="3" t="s">
        <v>34</v>
      </c>
      <c r="HF35" s="3" t="s">
        <v>35</v>
      </c>
      <c r="HG35" s="3"/>
      <c r="HH35" s="3"/>
      <c r="HI35" s="3"/>
      <c r="HJ35" s="3"/>
      <c r="HK35" s="3"/>
      <c r="HL35" s="3"/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/>
      <c r="HS35" s="3">
        <v>0</v>
      </c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>
        <v>0</v>
      </c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x14ac:dyDescent="0.3">
      <c r="A36" s="2">
        <v>17</v>
      </c>
      <c r="B36" s="2">
        <v>1</v>
      </c>
      <c r="C36" s="2"/>
      <c r="D36" s="2">
        <f>ROW(EtalonRes!A15)</f>
        <v>15</v>
      </c>
      <c r="E36" s="2" t="s">
        <v>35</v>
      </c>
      <c r="F36" s="2" t="s">
        <v>44</v>
      </c>
      <c r="G36" s="2" t="s">
        <v>45</v>
      </c>
      <c r="H36" s="2" t="s">
        <v>22</v>
      </c>
      <c r="I36" s="2">
        <f>ROUND(1+1+1+1,9)</f>
        <v>4</v>
      </c>
      <c r="J36" s="2">
        <v>0</v>
      </c>
      <c r="K36" s="2">
        <f>ROUND(1+1+1+1,9)</f>
        <v>4</v>
      </c>
      <c r="L36" s="2"/>
      <c r="M36" s="2"/>
      <c r="N36" s="2"/>
      <c r="O36" s="2">
        <f t="shared" si="21"/>
        <v>55.97</v>
      </c>
      <c r="P36" s="2">
        <f t="shared" si="22"/>
        <v>0</v>
      </c>
      <c r="Q36" s="2">
        <f>(ROUND((ROUND((((ET36*1.1))*AV36*I36),2)*BB36),2)+ROUND((ROUND(((AE36-((EU36*1.1)))*AV36*I36),2)*BS36),2))</f>
        <v>2.2999999999999998</v>
      </c>
      <c r="R36" s="2">
        <f t="shared" si="23"/>
        <v>0.37</v>
      </c>
      <c r="S36" s="2">
        <f t="shared" si="24"/>
        <v>53.67</v>
      </c>
      <c r="T36" s="2">
        <f t="shared" si="25"/>
        <v>0</v>
      </c>
      <c r="U36" s="2">
        <f t="shared" si="26"/>
        <v>4.7450040000000007</v>
      </c>
      <c r="V36" s="2">
        <f t="shared" si="27"/>
        <v>0</v>
      </c>
      <c r="W36" s="2">
        <f t="shared" si="28"/>
        <v>0</v>
      </c>
      <c r="X36" s="2">
        <f t="shared" si="29"/>
        <v>48.64</v>
      </c>
      <c r="Y36" s="2">
        <f t="shared" si="30"/>
        <v>24.86</v>
      </c>
      <c r="Z36" s="2"/>
      <c r="AA36" s="2">
        <v>56505403</v>
      </c>
      <c r="AB36" s="2">
        <f t="shared" si="31"/>
        <v>13.365</v>
      </c>
      <c r="AC36" s="2">
        <f t="shared" si="32"/>
        <v>0</v>
      </c>
      <c r="AD36" s="2">
        <f>ROUND(((((ET36*1.1))-((EU36*1.1)))+AE36),6)</f>
        <v>0.55000000000000004</v>
      </c>
      <c r="AE36" s="2">
        <f>ROUND(((EU36*1.1)),6)</f>
        <v>8.7999999999999995E-2</v>
      </c>
      <c r="AF36" s="2">
        <f>ROUND(((EV36*1.1)),6)</f>
        <v>12.815</v>
      </c>
      <c r="AG36" s="2">
        <f t="shared" si="33"/>
        <v>0</v>
      </c>
      <c r="AH36" s="2">
        <f>((EW36*1.1))</f>
        <v>1.1330000000000002</v>
      </c>
      <c r="AI36" s="2">
        <f>((EX36*1.1))</f>
        <v>0</v>
      </c>
      <c r="AJ36" s="2">
        <f t="shared" si="34"/>
        <v>0</v>
      </c>
      <c r="AK36" s="2">
        <v>12.15</v>
      </c>
      <c r="AL36" s="2">
        <v>0</v>
      </c>
      <c r="AM36" s="2">
        <v>0.5</v>
      </c>
      <c r="AN36" s="2">
        <v>0.08</v>
      </c>
      <c r="AO36" s="2">
        <v>11.65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46</v>
      </c>
      <c r="BK36" s="2"/>
      <c r="BL36" s="2"/>
      <c r="BM36" s="2">
        <v>72</v>
      </c>
      <c r="BN36" s="2">
        <v>0</v>
      </c>
      <c r="BO36" s="2" t="s">
        <v>44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5"/>
        <v>55.97</v>
      </c>
      <c r="CQ36" s="2">
        <f t="shared" si="36"/>
        <v>0</v>
      </c>
      <c r="CR36" s="2">
        <f>(ROUND((ROUND((((ET36*1.1))*AV36*1),2)*BB36),2)+ROUND((ROUND(((AE36-((EU36*1.1)))*AV36*1),2)*BS36),2))</f>
        <v>0.57999999999999996</v>
      </c>
      <c r="CS36" s="2">
        <f t="shared" si="37"/>
        <v>0.09</v>
      </c>
      <c r="CT36" s="2">
        <f t="shared" si="38"/>
        <v>13.42</v>
      </c>
      <c r="CU36" s="2">
        <f t="shared" si="39"/>
        <v>0</v>
      </c>
      <c r="CV36" s="2">
        <f t="shared" si="40"/>
        <v>1.1862510000000002</v>
      </c>
      <c r="CW36" s="2">
        <f t="shared" si="41"/>
        <v>0</v>
      </c>
      <c r="CX36" s="2">
        <f t="shared" si="42"/>
        <v>0</v>
      </c>
      <c r="CY36" s="2">
        <f t="shared" si="43"/>
        <v>48.636000000000003</v>
      </c>
      <c r="CZ36" s="2">
        <f t="shared" si="44"/>
        <v>24.858400000000003</v>
      </c>
      <c r="DA36" s="2"/>
      <c r="DB36" s="2"/>
      <c r="DC36" s="2" t="s">
        <v>3</v>
      </c>
      <c r="DD36" s="2" t="s">
        <v>3</v>
      </c>
      <c r="DE36" s="2" t="s">
        <v>24</v>
      </c>
      <c r="DF36" s="2" t="s">
        <v>24</v>
      </c>
      <c r="DG36" s="2" t="s">
        <v>24</v>
      </c>
      <c r="DH36" s="2" t="s">
        <v>3</v>
      </c>
      <c r="DI36" s="2" t="s">
        <v>24</v>
      </c>
      <c r="DJ36" s="2" t="s">
        <v>24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58162634</v>
      </c>
      <c r="EF36" s="2">
        <v>40</v>
      </c>
      <c r="EG36" s="2" t="s">
        <v>25</v>
      </c>
      <c r="EH36" s="2">
        <v>0</v>
      </c>
      <c r="EI36" s="2" t="s">
        <v>3</v>
      </c>
      <c r="EJ36" s="2">
        <v>2</v>
      </c>
      <c r="EK36" s="2">
        <v>72</v>
      </c>
      <c r="EL36" s="2" t="s">
        <v>47</v>
      </c>
      <c r="EM36" s="2" t="s">
        <v>48</v>
      </c>
      <c r="EN36" s="2"/>
      <c r="EO36" s="2" t="s">
        <v>28</v>
      </c>
      <c r="EP36" s="2"/>
      <c r="EQ36" s="2">
        <v>0</v>
      </c>
      <c r="ER36" s="2">
        <v>12.15</v>
      </c>
      <c r="ES36" s="2">
        <v>0</v>
      </c>
      <c r="ET36" s="2">
        <v>0.5</v>
      </c>
      <c r="EU36" s="2">
        <v>0.08</v>
      </c>
      <c r="EV36" s="2">
        <v>11.65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1708693888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45"/>
        <v>0</v>
      </c>
      <c r="GM36" s="2">
        <f t="shared" si="46"/>
        <v>129.47</v>
      </c>
      <c r="GN36" s="2">
        <f t="shared" si="47"/>
        <v>0</v>
      </c>
      <c r="GO36" s="2">
        <f t="shared" si="48"/>
        <v>129.47</v>
      </c>
      <c r="GP36" s="2">
        <f t="shared" si="49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0"/>
        <v>0</v>
      </c>
      <c r="GW36" s="2">
        <v>1</v>
      </c>
      <c r="GX36" s="2">
        <f t="shared" si="51"/>
        <v>0</v>
      </c>
      <c r="GY36" s="2"/>
      <c r="GZ36" s="2"/>
      <c r="HA36" s="2">
        <v>0</v>
      </c>
      <c r="HB36" s="2">
        <v>0</v>
      </c>
      <c r="HC36" s="2">
        <f t="shared" si="52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3">
      <c r="A37" s="3">
        <v>17</v>
      </c>
      <c r="B37" s="3">
        <v>1</v>
      </c>
      <c r="C37" s="3"/>
      <c r="D37" s="3">
        <f>ROW(EtalonRes!A18)</f>
        <v>18</v>
      </c>
      <c r="E37" s="3" t="s">
        <v>35</v>
      </c>
      <c r="F37" s="3" t="s">
        <v>44</v>
      </c>
      <c r="G37" s="3" t="s">
        <v>45</v>
      </c>
      <c r="H37" s="3" t="s">
        <v>22</v>
      </c>
      <c r="I37" s="3">
        <f>ROUND(1+1+1+1,9)</f>
        <v>4</v>
      </c>
      <c r="J37" s="3">
        <v>0</v>
      </c>
      <c r="K37" s="3">
        <f>ROUND(1+1+1+1,9)</f>
        <v>4</v>
      </c>
      <c r="L37" s="3"/>
      <c r="M37" s="3"/>
      <c r="N37" s="3"/>
      <c r="O37" s="3">
        <f t="shared" si="21"/>
        <v>2988.71</v>
      </c>
      <c r="P37" s="3">
        <f t="shared" si="22"/>
        <v>0</v>
      </c>
      <c r="Q37" s="3">
        <f>(ROUND((ROUND((((ET37*1.1))*AV37*I37),2)*BB37),2)+ROUND((ROUND(((AE37-((EU37*1.1)))*AV37*I37),2)*BS37),2))</f>
        <v>37.4</v>
      </c>
      <c r="R37" s="3">
        <f t="shared" si="23"/>
        <v>20.350000000000001</v>
      </c>
      <c r="S37" s="3">
        <f t="shared" si="24"/>
        <v>2951.31</v>
      </c>
      <c r="T37" s="3">
        <f t="shared" si="25"/>
        <v>0</v>
      </c>
      <c r="U37" s="3">
        <f t="shared" si="26"/>
        <v>4.7450040000000007</v>
      </c>
      <c r="V37" s="3">
        <f t="shared" si="27"/>
        <v>0</v>
      </c>
      <c r="W37" s="3">
        <f t="shared" si="28"/>
        <v>0</v>
      </c>
      <c r="X37" s="3">
        <f t="shared" si="29"/>
        <v>2674.49</v>
      </c>
      <c r="Y37" s="3">
        <f t="shared" si="30"/>
        <v>1366.96</v>
      </c>
      <c r="Z37" s="3"/>
      <c r="AA37" s="3">
        <v>56505405</v>
      </c>
      <c r="AB37" s="3">
        <f t="shared" si="31"/>
        <v>13.365</v>
      </c>
      <c r="AC37" s="3">
        <f t="shared" si="32"/>
        <v>0</v>
      </c>
      <c r="AD37" s="3">
        <f>ROUND(((((ET37*1.1))-((EU37*1.1)))+AE37),6)</f>
        <v>0.55000000000000004</v>
      </c>
      <c r="AE37" s="3">
        <f>ROUND(((EU37*1.1)),6)</f>
        <v>8.7999999999999995E-2</v>
      </c>
      <c r="AF37" s="3">
        <f>ROUND(((EV37*1.1)),6)</f>
        <v>12.815</v>
      </c>
      <c r="AG37" s="3">
        <f t="shared" si="33"/>
        <v>0</v>
      </c>
      <c r="AH37" s="3">
        <f>((EW37*1.1))</f>
        <v>1.1330000000000002</v>
      </c>
      <c r="AI37" s="3">
        <f>((EX37*1.1))</f>
        <v>0</v>
      </c>
      <c r="AJ37" s="3">
        <f t="shared" si="34"/>
        <v>0</v>
      </c>
      <c r="AK37" s="3">
        <v>12.15</v>
      </c>
      <c r="AL37" s="3">
        <v>0</v>
      </c>
      <c r="AM37" s="3">
        <v>0.5</v>
      </c>
      <c r="AN37" s="3">
        <v>0.08</v>
      </c>
      <c r="AO37" s="3">
        <v>11.65</v>
      </c>
      <c r="AP37" s="3">
        <v>0</v>
      </c>
      <c r="AQ37" s="3">
        <v>1.03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X37" s="3"/>
      <c r="AY37" s="3"/>
      <c r="AZ37" s="3">
        <v>1</v>
      </c>
      <c r="BA37" s="3">
        <v>54.99</v>
      </c>
      <c r="BB37" s="3">
        <v>16.260000000000002</v>
      </c>
      <c r="BC37" s="3">
        <v>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46</v>
      </c>
      <c r="BK37" s="3"/>
      <c r="BL37" s="3"/>
      <c r="BM37" s="3">
        <v>72</v>
      </c>
      <c r="BN37" s="3">
        <v>0</v>
      </c>
      <c r="BO37" s="3" t="s">
        <v>44</v>
      </c>
      <c r="BP37" s="3">
        <v>1</v>
      </c>
      <c r="BQ37" s="3">
        <v>40</v>
      </c>
      <c r="BR37" s="3">
        <v>0</v>
      </c>
      <c r="BS37" s="3">
        <v>54.99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C37" s="3"/>
      <c r="CD37" s="3"/>
      <c r="CE37" s="3">
        <v>30</v>
      </c>
      <c r="CF37" s="3">
        <v>0</v>
      </c>
      <c r="CG37" s="3">
        <v>0</v>
      </c>
      <c r="CH37" s="3"/>
      <c r="CI37" s="3"/>
      <c r="CJ37" s="3"/>
      <c r="CK37" s="3"/>
      <c r="CL37" s="3"/>
      <c r="CM37" s="3">
        <v>0</v>
      </c>
      <c r="CN37" s="3" t="s">
        <v>3</v>
      </c>
      <c r="CO37" s="3">
        <v>0</v>
      </c>
      <c r="CP37" s="3">
        <f t="shared" si="35"/>
        <v>2988.71</v>
      </c>
      <c r="CQ37" s="3">
        <f t="shared" si="36"/>
        <v>0</v>
      </c>
      <c r="CR37" s="3">
        <f>(ROUND((ROUND((((ET37*1.1))*AV37*1),2)*BB37),2)+ROUND((ROUND(((AE37-((EU37*1.1)))*AV37*1),2)*BS37),2))</f>
        <v>9.43</v>
      </c>
      <c r="CS37" s="3">
        <f t="shared" si="37"/>
        <v>4.95</v>
      </c>
      <c r="CT37" s="3">
        <f t="shared" si="38"/>
        <v>737.97</v>
      </c>
      <c r="CU37" s="3">
        <f t="shared" si="39"/>
        <v>0</v>
      </c>
      <c r="CV37" s="3">
        <f t="shared" si="40"/>
        <v>1.1862510000000002</v>
      </c>
      <c r="CW37" s="3">
        <f t="shared" si="41"/>
        <v>0</v>
      </c>
      <c r="CX37" s="3">
        <f t="shared" si="42"/>
        <v>0</v>
      </c>
      <c r="CY37" s="3">
        <f t="shared" si="43"/>
        <v>2674.4939999999997</v>
      </c>
      <c r="CZ37" s="3">
        <f t="shared" si="44"/>
        <v>1366.9635999999998</v>
      </c>
      <c r="DA37" s="3"/>
      <c r="DB37" s="3"/>
      <c r="DC37" s="3" t="s">
        <v>3</v>
      </c>
      <c r="DD37" s="3" t="s">
        <v>3</v>
      </c>
      <c r="DE37" s="3" t="s">
        <v>24</v>
      </c>
      <c r="DF37" s="3" t="s">
        <v>24</v>
      </c>
      <c r="DG37" s="3" t="s">
        <v>24</v>
      </c>
      <c r="DH37" s="3" t="s">
        <v>3</v>
      </c>
      <c r="DI37" s="3" t="s">
        <v>24</v>
      </c>
      <c r="DJ37" s="3" t="s">
        <v>24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R37" s="3"/>
      <c r="DS37" s="3"/>
      <c r="DT37" s="3"/>
      <c r="DU37" s="3">
        <v>1013</v>
      </c>
      <c r="DV37" s="3" t="s">
        <v>22</v>
      </c>
      <c r="DW37" s="3" t="s">
        <v>22</v>
      </c>
      <c r="DX37" s="3">
        <v>1</v>
      </c>
      <c r="DY37" s="3"/>
      <c r="DZ37" s="3" t="s">
        <v>3</v>
      </c>
      <c r="EA37" s="3" t="s">
        <v>3</v>
      </c>
      <c r="EB37" s="3" t="s">
        <v>3</v>
      </c>
      <c r="EC37" s="3" t="s">
        <v>3</v>
      </c>
      <c r="ED37" s="3"/>
      <c r="EE37" s="3">
        <v>58162634</v>
      </c>
      <c r="EF37" s="3">
        <v>40</v>
      </c>
      <c r="EG37" s="3" t="s">
        <v>25</v>
      </c>
      <c r="EH37" s="3">
        <v>0</v>
      </c>
      <c r="EI37" s="3" t="s">
        <v>3</v>
      </c>
      <c r="EJ37" s="3">
        <v>2</v>
      </c>
      <c r="EK37" s="3">
        <v>72</v>
      </c>
      <c r="EL37" s="3" t="s">
        <v>47</v>
      </c>
      <c r="EM37" s="3" t="s">
        <v>48</v>
      </c>
      <c r="EN37" s="3"/>
      <c r="EO37" s="3" t="s">
        <v>28</v>
      </c>
      <c r="EP37" s="3"/>
      <c r="EQ37" s="3">
        <v>0</v>
      </c>
      <c r="ER37" s="3">
        <v>12.15</v>
      </c>
      <c r="ES37" s="3">
        <v>0</v>
      </c>
      <c r="ET37" s="3">
        <v>0.5</v>
      </c>
      <c r="EU37" s="3">
        <v>0.08</v>
      </c>
      <c r="EV37" s="3">
        <v>11.65</v>
      </c>
      <c r="EW37" s="3">
        <v>1.03</v>
      </c>
      <c r="EX37" s="3">
        <v>0</v>
      </c>
      <c r="EY37" s="3">
        <v>0</v>
      </c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>
        <v>0</v>
      </c>
      <c r="FR37" s="3">
        <v>0</v>
      </c>
      <c r="FS37" s="3">
        <v>0</v>
      </c>
      <c r="FT37" s="3"/>
      <c r="FU37" s="3"/>
      <c r="FV37" s="3"/>
      <c r="FW37" s="3"/>
      <c r="FX37" s="3">
        <v>90</v>
      </c>
      <c r="FY37" s="3">
        <v>46</v>
      </c>
      <c r="FZ37" s="3"/>
      <c r="GA37" s="3" t="s">
        <v>3</v>
      </c>
      <c r="GB37" s="3"/>
      <c r="GC37" s="3"/>
      <c r="GD37" s="3">
        <v>1</v>
      </c>
      <c r="GE37" s="3"/>
      <c r="GF37" s="3">
        <v>1708693888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45"/>
        <v>0</v>
      </c>
      <c r="GM37" s="3">
        <f t="shared" si="46"/>
        <v>7030.16</v>
      </c>
      <c r="GN37" s="3">
        <f t="shared" si="47"/>
        <v>0</v>
      </c>
      <c r="GO37" s="3">
        <f t="shared" si="48"/>
        <v>7030.16</v>
      </c>
      <c r="GP37" s="3">
        <f t="shared" si="49"/>
        <v>0</v>
      </c>
      <c r="GQ37" s="3"/>
      <c r="GR37" s="3">
        <v>0</v>
      </c>
      <c r="GS37" s="3">
        <v>3</v>
      </c>
      <c r="GT37" s="3">
        <v>0</v>
      </c>
      <c r="GU37" s="3" t="s">
        <v>3</v>
      </c>
      <c r="GV37" s="3">
        <f t="shared" si="50"/>
        <v>0</v>
      </c>
      <c r="GW37" s="3">
        <v>1</v>
      </c>
      <c r="GX37" s="3">
        <f t="shared" si="51"/>
        <v>0</v>
      </c>
      <c r="GY37" s="3"/>
      <c r="GZ37" s="3"/>
      <c r="HA37" s="3">
        <v>0</v>
      </c>
      <c r="HB37" s="3">
        <v>0</v>
      </c>
      <c r="HC37" s="3">
        <f t="shared" si="52"/>
        <v>0</v>
      </c>
      <c r="HD37" s="3"/>
      <c r="HE37" s="3" t="s">
        <v>3</v>
      </c>
      <c r="HF37" s="3" t="s">
        <v>3</v>
      </c>
      <c r="HG37" s="3"/>
      <c r="HH37" s="3"/>
      <c r="HI37" s="3"/>
      <c r="HJ37" s="3"/>
      <c r="HK37" s="3"/>
      <c r="HL37" s="3"/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R37" s="3"/>
      <c r="HS37" s="3">
        <v>0</v>
      </c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>
        <v>0</v>
      </c>
      <c r="IL37" s="3"/>
      <c r="IM37" s="3"/>
      <c r="IN37" s="3"/>
      <c r="IO37" s="3"/>
      <c r="IP37" s="3"/>
      <c r="IQ37" s="3"/>
      <c r="IR37" s="3"/>
      <c r="IS37" s="3"/>
      <c r="IT37" s="3"/>
      <c r="IU37" s="3"/>
    </row>
    <row r="38" spans="1:255" x14ac:dyDescent="0.3">
      <c r="A38" s="2">
        <v>18</v>
      </c>
      <c r="B38" s="2">
        <v>1</v>
      </c>
      <c r="C38" s="2"/>
      <c r="D38" s="2"/>
      <c r="E38" s="2" t="s">
        <v>49</v>
      </c>
      <c r="F38" s="2" t="s">
        <v>50</v>
      </c>
      <c r="G38" s="2" t="s">
        <v>51</v>
      </c>
      <c r="H38" s="2" t="s">
        <v>32</v>
      </c>
      <c r="I38" s="2">
        <f>I36*J38</f>
        <v>1</v>
      </c>
      <c r="J38" s="2">
        <v>0.25</v>
      </c>
      <c r="K38" s="2">
        <v>0.25</v>
      </c>
      <c r="L38" s="2"/>
      <c r="M38" s="2"/>
      <c r="N38" s="2"/>
      <c r="O38" s="2">
        <f t="shared" si="21"/>
        <v>3213.03</v>
      </c>
      <c r="P38" s="2">
        <f>ROUND((ROUND((AC38*I38),2)*BC38),2)</f>
        <v>3213.03</v>
      </c>
      <c r="Q38" s="2">
        <f t="shared" ref="Q38:Q45" si="58">(ROUND((ROUND(((ET38)*AV38*I38),2)*BB38),2)+ROUND((ROUND(((AE38-(EU38))*AV38*I38),2)*BS38),2))</f>
        <v>0</v>
      </c>
      <c r="R38" s="2">
        <f t="shared" si="23"/>
        <v>0</v>
      </c>
      <c r="S38" s="2">
        <f t="shared" si="24"/>
        <v>0</v>
      </c>
      <c r="T38" s="2">
        <f t="shared" si="25"/>
        <v>0</v>
      </c>
      <c r="U38" s="2">
        <f t="shared" si="26"/>
        <v>0</v>
      </c>
      <c r="V38" s="2">
        <f t="shared" si="27"/>
        <v>0</v>
      </c>
      <c r="W38" s="2">
        <f t="shared" si="28"/>
        <v>0</v>
      </c>
      <c r="X38" s="2">
        <f t="shared" si="29"/>
        <v>0</v>
      </c>
      <c r="Y38" s="2">
        <f t="shared" si="30"/>
        <v>0</v>
      </c>
      <c r="Z38" s="2"/>
      <c r="AA38" s="2">
        <v>56505403</v>
      </c>
      <c r="AB38" s="2">
        <f t="shared" si="31"/>
        <v>3213.03</v>
      </c>
      <c r="AC38" s="2">
        <f t="shared" si="32"/>
        <v>3213.03</v>
      </c>
      <c r="AD38" s="2">
        <f t="shared" ref="AD38:AD45" si="59">ROUND((((ET38)-(EU38))+AE38),6)</f>
        <v>0</v>
      </c>
      <c r="AE38" s="2">
        <f t="shared" ref="AE38:AF45" si="60">ROUND((EU38),6)</f>
        <v>0</v>
      </c>
      <c r="AF38" s="2">
        <f t="shared" si="60"/>
        <v>0</v>
      </c>
      <c r="AG38" s="2">
        <f t="shared" si="33"/>
        <v>0</v>
      </c>
      <c r="AH38" s="2">
        <f t="shared" ref="AH38:AI45" si="61">(EW38)</f>
        <v>0</v>
      </c>
      <c r="AI38" s="2">
        <f t="shared" si="61"/>
        <v>0</v>
      </c>
      <c r="AJ38" s="2">
        <f t="shared" si="34"/>
        <v>0</v>
      </c>
      <c r="AK38" s="2">
        <v>3213.0299999999997</v>
      </c>
      <c r="AL38" s="2">
        <v>3213.0299999999997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5"/>
        <v>3213.03</v>
      </c>
      <c r="CQ38" s="2">
        <f>ROUND((ROUND((AC38*1),2)*BC38),2)</f>
        <v>3213.03</v>
      </c>
      <c r="CR38" s="2">
        <f t="shared" ref="CR38:CR45" si="62">(ROUND((ROUND(((ET38)*AV38*1),2)*BB38),2)+ROUND((ROUND(((AE38-(EU38))*AV38*1),2)*BS38),2))</f>
        <v>0</v>
      </c>
      <c r="CS38" s="2">
        <f t="shared" si="37"/>
        <v>0</v>
      </c>
      <c r="CT38" s="2">
        <f t="shared" si="38"/>
        <v>0</v>
      </c>
      <c r="CU38" s="2">
        <f t="shared" si="39"/>
        <v>0</v>
      </c>
      <c r="CV38" s="2">
        <f t="shared" si="40"/>
        <v>0</v>
      </c>
      <c r="CW38" s="2">
        <f t="shared" si="41"/>
        <v>0</v>
      </c>
      <c r="CX38" s="2">
        <f t="shared" si="42"/>
        <v>0</v>
      </c>
      <c r="CY38" s="2">
        <f t="shared" si="43"/>
        <v>0</v>
      </c>
      <c r="CZ38" s="2">
        <f t="shared" si="44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32</v>
      </c>
      <c r="DW38" s="2" t="s">
        <v>32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58162750</v>
      </c>
      <c r="EF38" s="2">
        <v>130</v>
      </c>
      <c r="EG38" s="2" t="s">
        <v>52</v>
      </c>
      <c r="EH38" s="2">
        <v>0</v>
      </c>
      <c r="EI38" s="2" t="s">
        <v>3</v>
      </c>
      <c r="EJ38" s="2">
        <v>3</v>
      </c>
      <c r="EK38" s="2">
        <v>746</v>
      </c>
      <c r="EL38" s="2" t="s">
        <v>53</v>
      </c>
      <c r="EM38" s="2" t="s">
        <v>54</v>
      </c>
      <c r="EN38" s="2"/>
      <c r="EO38" s="2" t="s">
        <v>3</v>
      </c>
      <c r="EP38" s="2"/>
      <c r="EQ38" s="2">
        <v>0</v>
      </c>
      <c r="ER38" s="2">
        <v>0</v>
      </c>
      <c r="ES38" s="2">
        <v>3213.0299999999997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3213.03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55</v>
      </c>
      <c r="GB38" s="2"/>
      <c r="GC38" s="2"/>
      <c r="GD38" s="2">
        <v>1</v>
      </c>
      <c r="GE38" s="2"/>
      <c r="GF38" s="2">
        <v>174995452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5"/>
        <v>0</v>
      </c>
      <c r="GM38" s="2">
        <f t="shared" si="46"/>
        <v>3213.03</v>
      </c>
      <c r="GN38" s="2">
        <f t="shared" si="47"/>
        <v>0</v>
      </c>
      <c r="GO38" s="2">
        <f t="shared" si="48"/>
        <v>0</v>
      </c>
      <c r="GP38" s="2">
        <f t="shared" si="49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50"/>
        <v>0</v>
      </c>
      <c r="GW38" s="2">
        <v>1</v>
      </c>
      <c r="GX38" s="2">
        <f t="shared" si="51"/>
        <v>0</v>
      </c>
      <c r="GY38" s="2"/>
      <c r="GZ38" s="2"/>
      <c r="HA38" s="2">
        <v>0</v>
      </c>
      <c r="HB38" s="2">
        <v>0</v>
      </c>
      <c r="HC38" s="2">
        <f t="shared" si="52"/>
        <v>0</v>
      </c>
      <c r="HD38" s="2"/>
      <c r="HE38" s="2" t="s">
        <v>56</v>
      </c>
      <c r="HF38" s="2" t="s">
        <v>36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3">
      <c r="A39" s="3">
        <v>18</v>
      </c>
      <c r="B39" s="3">
        <v>1</v>
      </c>
      <c r="C39" s="3"/>
      <c r="D39" s="3"/>
      <c r="E39" s="3" t="s">
        <v>49</v>
      </c>
      <c r="F39" s="3" t="s">
        <v>50</v>
      </c>
      <c r="G39" s="3" t="s">
        <v>51</v>
      </c>
      <c r="H39" s="3" t="s">
        <v>32</v>
      </c>
      <c r="I39" s="3">
        <f>I37*J39</f>
        <v>1</v>
      </c>
      <c r="J39" s="3">
        <v>0.25</v>
      </c>
      <c r="K39" s="3">
        <v>0.25</v>
      </c>
      <c r="L39" s="3"/>
      <c r="M39" s="3"/>
      <c r="N39" s="3"/>
      <c r="O39" s="3">
        <f t="shared" si="21"/>
        <v>24611.81</v>
      </c>
      <c r="P39" s="3">
        <f>ROUND((ROUND((AC39*I39),2)*BC39),2)</f>
        <v>24611.81</v>
      </c>
      <c r="Q39" s="3">
        <f t="shared" si="58"/>
        <v>0</v>
      </c>
      <c r="R39" s="3">
        <f t="shared" si="23"/>
        <v>0</v>
      </c>
      <c r="S39" s="3">
        <f t="shared" si="24"/>
        <v>0</v>
      </c>
      <c r="T39" s="3">
        <f t="shared" si="25"/>
        <v>0</v>
      </c>
      <c r="U39" s="3">
        <f t="shared" si="26"/>
        <v>0</v>
      </c>
      <c r="V39" s="3">
        <f t="shared" si="27"/>
        <v>0</v>
      </c>
      <c r="W39" s="3">
        <f t="shared" si="28"/>
        <v>0</v>
      </c>
      <c r="X39" s="3">
        <f t="shared" si="29"/>
        <v>0</v>
      </c>
      <c r="Y39" s="3">
        <f t="shared" si="30"/>
        <v>0</v>
      </c>
      <c r="Z39" s="3"/>
      <c r="AA39" s="3">
        <v>56505405</v>
      </c>
      <c r="AB39" s="3">
        <f t="shared" si="31"/>
        <v>3213.03</v>
      </c>
      <c r="AC39" s="3">
        <f t="shared" si="32"/>
        <v>3213.03</v>
      </c>
      <c r="AD39" s="3">
        <f t="shared" si="59"/>
        <v>0</v>
      </c>
      <c r="AE39" s="3">
        <f t="shared" si="60"/>
        <v>0</v>
      </c>
      <c r="AF39" s="3">
        <f t="shared" si="60"/>
        <v>0</v>
      </c>
      <c r="AG39" s="3">
        <f t="shared" si="33"/>
        <v>0</v>
      </c>
      <c r="AH39" s="3">
        <f t="shared" si="61"/>
        <v>0</v>
      </c>
      <c r="AI39" s="3">
        <f t="shared" si="61"/>
        <v>0</v>
      </c>
      <c r="AJ39" s="3">
        <f t="shared" si="34"/>
        <v>0</v>
      </c>
      <c r="AK39" s="3">
        <v>3213.0299999999997</v>
      </c>
      <c r="AL39" s="3">
        <v>3213.0299999999997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1</v>
      </c>
      <c r="AX39" s="3"/>
      <c r="AY39" s="3"/>
      <c r="AZ39" s="3">
        <v>1</v>
      </c>
      <c r="BA39" s="3">
        <v>1</v>
      </c>
      <c r="BB39" s="3">
        <v>1</v>
      </c>
      <c r="BC39" s="3">
        <v>7.66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3</v>
      </c>
      <c r="BJ39" s="3" t="s">
        <v>3</v>
      </c>
      <c r="BK39" s="3"/>
      <c r="BL39" s="3"/>
      <c r="BM39" s="3">
        <v>746</v>
      </c>
      <c r="BN39" s="3">
        <v>0</v>
      </c>
      <c r="BO39" s="3" t="s">
        <v>3</v>
      </c>
      <c r="BP39" s="3">
        <v>0</v>
      </c>
      <c r="BQ39" s="3">
        <v>130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C39" s="3"/>
      <c r="CD39" s="3"/>
      <c r="CE39" s="3">
        <v>30</v>
      </c>
      <c r="CF39" s="3">
        <v>0</v>
      </c>
      <c r="CG39" s="3">
        <v>0</v>
      </c>
      <c r="CH39" s="3"/>
      <c r="CI39" s="3"/>
      <c r="CJ39" s="3"/>
      <c r="CK39" s="3"/>
      <c r="CL39" s="3"/>
      <c r="CM39" s="3">
        <v>0</v>
      </c>
      <c r="CN39" s="3" t="s">
        <v>3</v>
      </c>
      <c r="CO39" s="3">
        <v>0</v>
      </c>
      <c r="CP39" s="3">
        <f t="shared" si="35"/>
        <v>24611.81</v>
      </c>
      <c r="CQ39" s="3">
        <f>ROUND((ROUND((AC39*1),2)*BC39),2)</f>
        <v>24611.81</v>
      </c>
      <c r="CR39" s="3">
        <f t="shared" si="62"/>
        <v>0</v>
      </c>
      <c r="CS39" s="3">
        <f t="shared" si="37"/>
        <v>0</v>
      </c>
      <c r="CT39" s="3">
        <f t="shared" si="38"/>
        <v>0</v>
      </c>
      <c r="CU39" s="3">
        <f t="shared" si="39"/>
        <v>0</v>
      </c>
      <c r="CV39" s="3">
        <f t="shared" si="40"/>
        <v>0</v>
      </c>
      <c r="CW39" s="3">
        <f t="shared" si="41"/>
        <v>0</v>
      </c>
      <c r="CX39" s="3">
        <f t="shared" si="42"/>
        <v>0</v>
      </c>
      <c r="CY39" s="3">
        <f t="shared" si="43"/>
        <v>0</v>
      </c>
      <c r="CZ39" s="3">
        <f t="shared" si="44"/>
        <v>0</v>
      </c>
      <c r="DA39" s="3"/>
      <c r="DB39" s="3"/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R39" s="3"/>
      <c r="DS39" s="3"/>
      <c r="DT39" s="3"/>
      <c r="DU39" s="3">
        <v>1010</v>
      </c>
      <c r="DV39" s="3" t="s">
        <v>32</v>
      </c>
      <c r="DW39" s="3" t="s">
        <v>32</v>
      </c>
      <c r="DX39" s="3">
        <v>1</v>
      </c>
      <c r="DY39" s="3"/>
      <c r="DZ39" s="3" t="s">
        <v>3</v>
      </c>
      <c r="EA39" s="3" t="s">
        <v>3</v>
      </c>
      <c r="EB39" s="3" t="s">
        <v>3</v>
      </c>
      <c r="EC39" s="3" t="s">
        <v>3</v>
      </c>
      <c r="ED39" s="3"/>
      <c r="EE39" s="3">
        <v>58162750</v>
      </c>
      <c r="EF39" s="3">
        <v>130</v>
      </c>
      <c r="EG39" s="3" t="s">
        <v>52</v>
      </c>
      <c r="EH39" s="3">
        <v>0</v>
      </c>
      <c r="EI39" s="3" t="s">
        <v>3</v>
      </c>
      <c r="EJ39" s="3">
        <v>3</v>
      </c>
      <c r="EK39" s="3">
        <v>746</v>
      </c>
      <c r="EL39" s="3" t="s">
        <v>53</v>
      </c>
      <c r="EM39" s="3" t="s">
        <v>54</v>
      </c>
      <c r="EN39" s="3"/>
      <c r="EO39" s="3" t="s">
        <v>3</v>
      </c>
      <c r="EP39" s="3"/>
      <c r="EQ39" s="3">
        <v>0</v>
      </c>
      <c r="ER39" s="3">
        <v>2437.6400000000003</v>
      </c>
      <c r="ES39" s="3">
        <v>3213.0299999999997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/>
      <c r="EZ39" s="3">
        <v>5</v>
      </c>
      <c r="FA39" s="3"/>
      <c r="FB39" s="3"/>
      <c r="FC39" s="3">
        <v>1</v>
      </c>
      <c r="FD39" s="3">
        <v>18</v>
      </c>
      <c r="FE39" s="3"/>
      <c r="FF39" s="3">
        <v>28334</v>
      </c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>
        <v>0</v>
      </c>
      <c r="FR39" s="3">
        <f>P39</f>
        <v>24611.81</v>
      </c>
      <c r="FS39" s="3">
        <v>0</v>
      </c>
      <c r="FT39" s="3"/>
      <c r="FU39" s="3"/>
      <c r="FV39" s="3"/>
      <c r="FW39" s="3"/>
      <c r="FX39" s="3">
        <v>90</v>
      </c>
      <c r="FY39" s="3">
        <v>46</v>
      </c>
      <c r="FZ39" s="3"/>
      <c r="GA39" s="3" t="s">
        <v>55</v>
      </c>
      <c r="GB39" s="3"/>
      <c r="GC39" s="3"/>
      <c r="GD39" s="3">
        <v>1</v>
      </c>
      <c r="GE39" s="3"/>
      <c r="GF39" s="3">
        <v>174995452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45"/>
        <v>0</v>
      </c>
      <c r="GM39" s="3">
        <f t="shared" si="46"/>
        <v>24611.81</v>
      </c>
      <c r="GN39" s="3">
        <f t="shared" si="47"/>
        <v>0</v>
      </c>
      <c r="GO39" s="3">
        <f t="shared" si="48"/>
        <v>0</v>
      </c>
      <c r="GP39" s="3">
        <f t="shared" si="49"/>
        <v>0</v>
      </c>
      <c r="GQ39" s="3"/>
      <c r="GR39" s="3">
        <v>1</v>
      </c>
      <c r="GS39" s="3">
        <v>1</v>
      </c>
      <c r="GT39" s="3">
        <v>0</v>
      </c>
      <c r="GU39" s="3" t="s">
        <v>3</v>
      </c>
      <c r="GV39" s="3">
        <f t="shared" si="50"/>
        <v>0</v>
      </c>
      <c r="GW39" s="3">
        <v>1</v>
      </c>
      <c r="GX39" s="3">
        <f t="shared" si="51"/>
        <v>0</v>
      </c>
      <c r="GY39" s="3"/>
      <c r="GZ39" s="3"/>
      <c r="HA39" s="3">
        <v>0</v>
      </c>
      <c r="HB39" s="3">
        <v>0</v>
      </c>
      <c r="HC39" s="3">
        <f t="shared" si="52"/>
        <v>0</v>
      </c>
      <c r="HD39" s="3"/>
      <c r="HE39" s="3" t="s">
        <v>56</v>
      </c>
      <c r="HF39" s="3" t="s">
        <v>36</v>
      </c>
      <c r="HG39" s="3"/>
      <c r="HH39" s="3"/>
      <c r="HI39" s="3"/>
      <c r="HJ39" s="3"/>
      <c r="HK39" s="3"/>
      <c r="HL39" s="3"/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R39" s="3"/>
      <c r="HS39" s="3">
        <v>0</v>
      </c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>
        <v>0</v>
      </c>
      <c r="IL39" s="3"/>
      <c r="IM39" s="3"/>
      <c r="IN39" s="3"/>
      <c r="IO39" s="3"/>
      <c r="IP39" s="3"/>
      <c r="IQ39" s="3"/>
      <c r="IR39" s="3"/>
      <c r="IS39" s="3"/>
      <c r="IT39" s="3"/>
      <c r="IU39" s="3"/>
    </row>
    <row r="40" spans="1:255" x14ac:dyDescent="0.3">
      <c r="A40" s="2">
        <v>18</v>
      </c>
      <c r="B40" s="2">
        <v>1</v>
      </c>
      <c r="C40" s="2"/>
      <c r="D40" s="2"/>
      <c r="E40" s="2" t="s">
        <v>57</v>
      </c>
      <c r="F40" s="2" t="s">
        <v>58</v>
      </c>
      <c r="G40" s="2" t="s">
        <v>59</v>
      </c>
      <c r="H40" s="2" t="s">
        <v>32</v>
      </c>
      <c r="I40" s="2">
        <f>I36*J40</f>
        <v>1</v>
      </c>
      <c r="J40" s="2">
        <v>0.25</v>
      </c>
      <c r="K40" s="2">
        <v>0.25</v>
      </c>
      <c r="L40" s="2"/>
      <c r="M40" s="2"/>
      <c r="N40" s="2"/>
      <c r="O40" s="2">
        <f t="shared" si="21"/>
        <v>553.19000000000005</v>
      </c>
      <c r="P40" s="2">
        <f t="shared" ref="P40:P49" si="63">ROUND((ROUND((AC40*AW40*I40),2)*BC40),2)</f>
        <v>553.19000000000005</v>
      </c>
      <c r="Q40" s="2">
        <f t="shared" si="58"/>
        <v>0</v>
      </c>
      <c r="R40" s="2">
        <f t="shared" si="23"/>
        <v>0</v>
      </c>
      <c r="S40" s="2">
        <f t="shared" si="24"/>
        <v>0</v>
      </c>
      <c r="T40" s="2">
        <f t="shared" si="25"/>
        <v>0</v>
      </c>
      <c r="U40" s="2">
        <f t="shared" si="26"/>
        <v>0</v>
      </c>
      <c r="V40" s="2">
        <f t="shared" si="27"/>
        <v>0</v>
      </c>
      <c r="W40" s="2">
        <f t="shared" si="28"/>
        <v>0</v>
      </c>
      <c r="X40" s="2">
        <f t="shared" si="29"/>
        <v>0</v>
      </c>
      <c r="Y40" s="2">
        <f t="shared" si="30"/>
        <v>0</v>
      </c>
      <c r="Z40" s="2"/>
      <c r="AA40" s="2">
        <v>56505403</v>
      </c>
      <c r="AB40" s="2">
        <f t="shared" si="31"/>
        <v>553.19000000000005</v>
      </c>
      <c r="AC40" s="2">
        <f t="shared" si="32"/>
        <v>553.19000000000005</v>
      </c>
      <c r="AD40" s="2">
        <f t="shared" si="59"/>
        <v>0</v>
      </c>
      <c r="AE40" s="2">
        <f t="shared" si="60"/>
        <v>0</v>
      </c>
      <c r="AF40" s="2">
        <f t="shared" si="60"/>
        <v>0</v>
      </c>
      <c r="AG40" s="2">
        <f t="shared" si="33"/>
        <v>0</v>
      </c>
      <c r="AH40" s="2">
        <f t="shared" si="61"/>
        <v>0</v>
      </c>
      <c r="AI40" s="2">
        <f t="shared" si="61"/>
        <v>0</v>
      </c>
      <c r="AJ40" s="2">
        <f t="shared" si="34"/>
        <v>0</v>
      </c>
      <c r="AK40" s="2">
        <v>553.19000000000005</v>
      </c>
      <c r="AL40" s="2">
        <v>553.19000000000005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90</v>
      </c>
      <c r="AU40" s="2">
        <v>46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2</v>
      </c>
      <c r="BJ40" s="2" t="s">
        <v>3</v>
      </c>
      <c r="BK40" s="2"/>
      <c r="BL40" s="2"/>
      <c r="BM40" s="2">
        <v>72</v>
      </c>
      <c r="BN40" s="2">
        <v>0</v>
      </c>
      <c r="BO40" s="2" t="s">
        <v>3</v>
      </c>
      <c r="BP40" s="2">
        <v>0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5"/>
        <v>553.19000000000005</v>
      </c>
      <c r="CQ40" s="2">
        <f t="shared" ref="CQ40:CQ49" si="64">ROUND((ROUND((AC40*AW40*1),2)*BC40),2)</f>
        <v>553.19000000000005</v>
      </c>
      <c r="CR40" s="2">
        <f t="shared" si="62"/>
        <v>0</v>
      </c>
      <c r="CS40" s="2">
        <f t="shared" si="37"/>
        <v>0</v>
      </c>
      <c r="CT40" s="2">
        <f t="shared" si="38"/>
        <v>0</v>
      </c>
      <c r="CU40" s="2">
        <f t="shared" si="39"/>
        <v>0</v>
      </c>
      <c r="CV40" s="2">
        <f t="shared" si="40"/>
        <v>0</v>
      </c>
      <c r="CW40" s="2">
        <f t="shared" si="41"/>
        <v>0</v>
      </c>
      <c r="CX40" s="2">
        <f t="shared" si="42"/>
        <v>0</v>
      </c>
      <c r="CY40" s="2">
        <f t="shared" si="43"/>
        <v>0</v>
      </c>
      <c r="CZ40" s="2">
        <f t="shared" si="44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32</v>
      </c>
      <c r="DW40" s="2" t="s">
        <v>32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58162634</v>
      </c>
      <c r="EF40" s="2">
        <v>40</v>
      </c>
      <c r="EG40" s="2" t="s">
        <v>25</v>
      </c>
      <c r="EH40" s="2">
        <v>0</v>
      </c>
      <c r="EI40" s="2" t="s">
        <v>3</v>
      </c>
      <c r="EJ40" s="2">
        <v>2</v>
      </c>
      <c r="EK40" s="2">
        <v>72</v>
      </c>
      <c r="EL40" s="2" t="s">
        <v>47</v>
      </c>
      <c r="EM40" s="2" t="s">
        <v>48</v>
      </c>
      <c r="EN40" s="2"/>
      <c r="EO40" s="2" t="s">
        <v>3</v>
      </c>
      <c r="EP40" s="2"/>
      <c r="EQ40" s="2">
        <v>0</v>
      </c>
      <c r="ER40" s="2">
        <v>0</v>
      </c>
      <c r="ES40" s="2">
        <v>553.19000000000005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60</v>
      </c>
      <c r="GB40" s="2"/>
      <c r="GC40" s="2"/>
      <c r="GD40" s="2">
        <v>1</v>
      </c>
      <c r="GE40" s="2"/>
      <c r="GF40" s="2">
        <v>1122354003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45"/>
        <v>0</v>
      </c>
      <c r="GM40" s="2">
        <f t="shared" si="46"/>
        <v>553.19000000000005</v>
      </c>
      <c r="GN40" s="2">
        <f t="shared" si="47"/>
        <v>0</v>
      </c>
      <c r="GO40" s="2">
        <f t="shared" si="48"/>
        <v>553.19000000000005</v>
      </c>
      <c r="GP40" s="2">
        <f t="shared" si="49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50"/>
        <v>0</v>
      </c>
      <c r="GW40" s="2">
        <v>1</v>
      </c>
      <c r="GX40" s="2">
        <f t="shared" si="51"/>
        <v>0</v>
      </c>
      <c r="GY40" s="2"/>
      <c r="GZ40" s="2"/>
      <c r="HA40" s="2">
        <v>0</v>
      </c>
      <c r="HB40" s="2">
        <v>0</v>
      </c>
      <c r="HC40" s="2">
        <f t="shared" si="52"/>
        <v>0</v>
      </c>
      <c r="HD40" s="2"/>
      <c r="HE40" s="2" t="s">
        <v>34</v>
      </c>
      <c r="HF40" s="2" t="s">
        <v>35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3">
      <c r="A41" s="3">
        <v>18</v>
      </c>
      <c r="B41" s="3">
        <v>1</v>
      </c>
      <c r="C41" s="3"/>
      <c r="D41" s="3"/>
      <c r="E41" s="3" t="s">
        <v>57</v>
      </c>
      <c r="F41" s="3" t="s">
        <v>58</v>
      </c>
      <c r="G41" s="3" t="s">
        <v>59</v>
      </c>
      <c r="H41" s="3" t="s">
        <v>32</v>
      </c>
      <c r="I41" s="3">
        <f>I37*J41</f>
        <v>1</v>
      </c>
      <c r="J41" s="3">
        <v>0.25</v>
      </c>
      <c r="K41" s="3">
        <v>0.25</v>
      </c>
      <c r="L41" s="3"/>
      <c r="M41" s="3"/>
      <c r="N41" s="3"/>
      <c r="O41" s="3">
        <f t="shared" si="21"/>
        <v>5465.52</v>
      </c>
      <c r="P41" s="3">
        <f t="shared" si="63"/>
        <v>5465.52</v>
      </c>
      <c r="Q41" s="3">
        <f t="shared" si="58"/>
        <v>0</v>
      </c>
      <c r="R41" s="3">
        <f t="shared" si="23"/>
        <v>0</v>
      </c>
      <c r="S41" s="3">
        <f t="shared" si="24"/>
        <v>0</v>
      </c>
      <c r="T41" s="3">
        <f t="shared" si="25"/>
        <v>0</v>
      </c>
      <c r="U41" s="3">
        <f t="shared" si="26"/>
        <v>0</v>
      </c>
      <c r="V41" s="3">
        <f t="shared" si="27"/>
        <v>0</v>
      </c>
      <c r="W41" s="3">
        <f t="shared" si="28"/>
        <v>0</v>
      </c>
      <c r="X41" s="3">
        <f t="shared" si="29"/>
        <v>0</v>
      </c>
      <c r="Y41" s="3">
        <f t="shared" si="30"/>
        <v>0</v>
      </c>
      <c r="Z41" s="3"/>
      <c r="AA41" s="3">
        <v>56505405</v>
      </c>
      <c r="AB41" s="3">
        <f t="shared" si="31"/>
        <v>553.19000000000005</v>
      </c>
      <c r="AC41" s="3">
        <f t="shared" si="32"/>
        <v>553.19000000000005</v>
      </c>
      <c r="AD41" s="3">
        <f t="shared" si="59"/>
        <v>0</v>
      </c>
      <c r="AE41" s="3">
        <f t="shared" si="60"/>
        <v>0</v>
      </c>
      <c r="AF41" s="3">
        <f t="shared" si="60"/>
        <v>0</v>
      </c>
      <c r="AG41" s="3">
        <f t="shared" si="33"/>
        <v>0</v>
      </c>
      <c r="AH41" s="3">
        <f t="shared" si="61"/>
        <v>0</v>
      </c>
      <c r="AI41" s="3">
        <f t="shared" si="61"/>
        <v>0</v>
      </c>
      <c r="AJ41" s="3">
        <f t="shared" si="34"/>
        <v>0</v>
      </c>
      <c r="AK41" s="3">
        <v>553.19000000000005</v>
      </c>
      <c r="AL41" s="3">
        <v>553.19000000000005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90</v>
      </c>
      <c r="AU41" s="3">
        <v>46</v>
      </c>
      <c r="AV41" s="3">
        <v>1</v>
      </c>
      <c r="AW41" s="3">
        <v>1</v>
      </c>
      <c r="AX41" s="3"/>
      <c r="AY41" s="3"/>
      <c r="AZ41" s="3">
        <v>1</v>
      </c>
      <c r="BA41" s="3">
        <v>1</v>
      </c>
      <c r="BB41" s="3">
        <v>1</v>
      </c>
      <c r="BC41" s="3">
        <v>9.8800000000000008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2</v>
      </c>
      <c r="BJ41" s="3" t="s">
        <v>3</v>
      </c>
      <c r="BK41" s="3"/>
      <c r="BL41" s="3"/>
      <c r="BM41" s="3">
        <v>72</v>
      </c>
      <c r="BN41" s="3">
        <v>0</v>
      </c>
      <c r="BO41" s="3" t="s">
        <v>3</v>
      </c>
      <c r="BP41" s="3">
        <v>0</v>
      </c>
      <c r="BQ41" s="3">
        <v>40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C41" s="3"/>
      <c r="CD41" s="3"/>
      <c r="CE41" s="3">
        <v>30</v>
      </c>
      <c r="CF41" s="3">
        <v>0</v>
      </c>
      <c r="CG41" s="3">
        <v>0</v>
      </c>
      <c r="CH41" s="3"/>
      <c r="CI41" s="3"/>
      <c r="CJ41" s="3"/>
      <c r="CK41" s="3"/>
      <c r="CL41" s="3"/>
      <c r="CM41" s="3">
        <v>0</v>
      </c>
      <c r="CN41" s="3" t="s">
        <v>3</v>
      </c>
      <c r="CO41" s="3">
        <v>0</v>
      </c>
      <c r="CP41" s="3">
        <f t="shared" si="35"/>
        <v>5465.52</v>
      </c>
      <c r="CQ41" s="3">
        <f t="shared" si="64"/>
        <v>5465.52</v>
      </c>
      <c r="CR41" s="3">
        <f t="shared" si="62"/>
        <v>0</v>
      </c>
      <c r="CS41" s="3">
        <f t="shared" si="37"/>
        <v>0</v>
      </c>
      <c r="CT41" s="3">
        <f t="shared" si="38"/>
        <v>0</v>
      </c>
      <c r="CU41" s="3">
        <f t="shared" si="39"/>
        <v>0</v>
      </c>
      <c r="CV41" s="3">
        <f t="shared" si="40"/>
        <v>0</v>
      </c>
      <c r="CW41" s="3">
        <f t="shared" si="41"/>
        <v>0</v>
      </c>
      <c r="CX41" s="3">
        <f t="shared" si="42"/>
        <v>0</v>
      </c>
      <c r="CY41" s="3">
        <f t="shared" si="43"/>
        <v>0</v>
      </c>
      <c r="CZ41" s="3">
        <f t="shared" si="44"/>
        <v>0</v>
      </c>
      <c r="DA41" s="3"/>
      <c r="DB41" s="3"/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R41" s="3"/>
      <c r="DS41" s="3"/>
      <c r="DT41" s="3"/>
      <c r="DU41" s="3">
        <v>1010</v>
      </c>
      <c r="DV41" s="3" t="s">
        <v>32</v>
      </c>
      <c r="DW41" s="3" t="s">
        <v>32</v>
      </c>
      <c r="DX41" s="3">
        <v>1</v>
      </c>
      <c r="DY41" s="3"/>
      <c r="DZ41" s="3" t="s">
        <v>3</v>
      </c>
      <c r="EA41" s="3" t="s">
        <v>3</v>
      </c>
      <c r="EB41" s="3" t="s">
        <v>3</v>
      </c>
      <c r="EC41" s="3" t="s">
        <v>3</v>
      </c>
      <c r="ED41" s="3"/>
      <c r="EE41" s="3">
        <v>58162634</v>
      </c>
      <c r="EF41" s="3">
        <v>40</v>
      </c>
      <c r="EG41" s="3" t="s">
        <v>25</v>
      </c>
      <c r="EH41" s="3">
        <v>0</v>
      </c>
      <c r="EI41" s="3" t="s">
        <v>3</v>
      </c>
      <c r="EJ41" s="3">
        <v>2</v>
      </c>
      <c r="EK41" s="3">
        <v>72</v>
      </c>
      <c r="EL41" s="3" t="s">
        <v>47</v>
      </c>
      <c r="EM41" s="3" t="s">
        <v>48</v>
      </c>
      <c r="EN41" s="3"/>
      <c r="EO41" s="3" t="s">
        <v>3</v>
      </c>
      <c r="EP41" s="3"/>
      <c r="EQ41" s="3">
        <v>0</v>
      </c>
      <c r="ER41" s="3">
        <v>553.19000000000005</v>
      </c>
      <c r="ES41" s="3">
        <v>553.19000000000005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/>
      <c r="EZ41" s="3">
        <v>5</v>
      </c>
      <c r="FA41" s="3"/>
      <c r="FB41" s="3"/>
      <c r="FC41" s="3">
        <v>1</v>
      </c>
      <c r="FD41" s="3">
        <v>18</v>
      </c>
      <c r="FE41" s="3"/>
      <c r="FF41" s="3">
        <v>6430</v>
      </c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>
        <v>0</v>
      </c>
      <c r="FR41" s="3">
        <v>0</v>
      </c>
      <c r="FS41" s="3">
        <v>0</v>
      </c>
      <c r="FT41" s="3"/>
      <c r="FU41" s="3"/>
      <c r="FV41" s="3"/>
      <c r="FW41" s="3"/>
      <c r="FX41" s="3">
        <v>90</v>
      </c>
      <c r="FY41" s="3">
        <v>46</v>
      </c>
      <c r="FZ41" s="3"/>
      <c r="GA41" s="3" t="s">
        <v>60</v>
      </c>
      <c r="GB41" s="3"/>
      <c r="GC41" s="3"/>
      <c r="GD41" s="3">
        <v>1</v>
      </c>
      <c r="GE41" s="3"/>
      <c r="GF41" s="3">
        <v>1122354003</v>
      </c>
      <c r="GG41" s="3">
        <v>2</v>
      </c>
      <c r="GH41" s="3">
        <v>3</v>
      </c>
      <c r="GI41" s="3">
        <v>5</v>
      </c>
      <c r="GJ41" s="3">
        <v>0</v>
      </c>
      <c r="GK41" s="3">
        <v>0</v>
      </c>
      <c r="GL41" s="3">
        <f t="shared" si="45"/>
        <v>0</v>
      </c>
      <c r="GM41" s="3">
        <f t="shared" si="46"/>
        <v>5465.52</v>
      </c>
      <c r="GN41" s="3">
        <f t="shared" si="47"/>
        <v>0</v>
      </c>
      <c r="GO41" s="3">
        <f t="shared" si="48"/>
        <v>5465.52</v>
      </c>
      <c r="GP41" s="3">
        <f t="shared" si="49"/>
        <v>0</v>
      </c>
      <c r="GQ41" s="3"/>
      <c r="GR41" s="3">
        <v>1</v>
      </c>
      <c r="GS41" s="3">
        <v>1</v>
      </c>
      <c r="GT41" s="3">
        <v>0</v>
      </c>
      <c r="GU41" s="3" t="s">
        <v>3</v>
      </c>
      <c r="GV41" s="3">
        <f t="shared" si="50"/>
        <v>0</v>
      </c>
      <c r="GW41" s="3">
        <v>1</v>
      </c>
      <c r="GX41" s="3">
        <f t="shared" si="51"/>
        <v>0</v>
      </c>
      <c r="GY41" s="3"/>
      <c r="GZ41" s="3"/>
      <c r="HA41" s="3">
        <v>0</v>
      </c>
      <c r="HB41" s="3">
        <v>0</v>
      </c>
      <c r="HC41" s="3">
        <f t="shared" si="52"/>
        <v>0</v>
      </c>
      <c r="HD41" s="3"/>
      <c r="HE41" s="3" t="s">
        <v>34</v>
      </c>
      <c r="HF41" s="3" t="s">
        <v>35</v>
      </c>
      <c r="HG41" s="3"/>
      <c r="HH41" s="3"/>
      <c r="HI41" s="3"/>
      <c r="HJ41" s="3"/>
      <c r="HK41" s="3"/>
      <c r="HL41" s="3"/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R41" s="3"/>
      <c r="HS41" s="3">
        <v>0</v>
      </c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>
        <v>0</v>
      </c>
      <c r="IL41" s="3"/>
      <c r="IM41" s="3"/>
      <c r="IN41" s="3"/>
      <c r="IO41" s="3"/>
      <c r="IP41" s="3"/>
      <c r="IQ41" s="3"/>
      <c r="IR41" s="3"/>
      <c r="IS41" s="3"/>
      <c r="IT41" s="3"/>
      <c r="IU41" s="3"/>
    </row>
    <row r="42" spans="1:255" x14ac:dyDescent="0.3">
      <c r="A42" s="2">
        <v>18</v>
      </c>
      <c r="B42" s="2">
        <v>1</v>
      </c>
      <c r="C42" s="2"/>
      <c r="D42" s="2"/>
      <c r="E42" s="2" t="s">
        <v>61</v>
      </c>
      <c r="F42" s="2" t="s">
        <v>62</v>
      </c>
      <c r="G42" s="2" t="s">
        <v>63</v>
      </c>
      <c r="H42" s="2" t="s">
        <v>32</v>
      </c>
      <c r="I42" s="2">
        <f>I36*J42</f>
        <v>1</v>
      </c>
      <c r="J42" s="2">
        <v>0.25</v>
      </c>
      <c r="K42" s="2">
        <v>0.25</v>
      </c>
      <c r="L42" s="2"/>
      <c r="M42" s="2"/>
      <c r="N42" s="2"/>
      <c r="O42" s="2">
        <f t="shared" si="21"/>
        <v>381.47</v>
      </c>
      <c r="P42" s="2">
        <f t="shared" si="63"/>
        <v>381.47</v>
      </c>
      <c r="Q42" s="2">
        <f t="shared" si="58"/>
        <v>0</v>
      </c>
      <c r="R42" s="2">
        <f t="shared" si="23"/>
        <v>0</v>
      </c>
      <c r="S42" s="2">
        <f t="shared" si="24"/>
        <v>0</v>
      </c>
      <c r="T42" s="2">
        <f t="shared" si="25"/>
        <v>0</v>
      </c>
      <c r="U42" s="2">
        <f t="shared" si="26"/>
        <v>0</v>
      </c>
      <c r="V42" s="2">
        <f t="shared" si="27"/>
        <v>0</v>
      </c>
      <c r="W42" s="2">
        <f t="shared" si="28"/>
        <v>0</v>
      </c>
      <c r="X42" s="2">
        <f t="shared" si="29"/>
        <v>0</v>
      </c>
      <c r="Y42" s="2">
        <f t="shared" si="30"/>
        <v>0</v>
      </c>
      <c r="Z42" s="2"/>
      <c r="AA42" s="2">
        <v>56505403</v>
      </c>
      <c r="AB42" s="2">
        <f t="shared" si="31"/>
        <v>381.47</v>
      </c>
      <c r="AC42" s="2">
        <f t="shared" si="32"/>
        <v>381.47</v>
      </c>
      <c r="AD42" s="2">
        <f t="shared" si="59"/>
        <v>0</v>
      </c>
      <c r="AE42" s="2">
        <f t="shared" si="60"/>
        <v>0</v>
      </c>
      <c r="AF42" s="2">
        <f t="shared" si="60"/>
        <v>0</v>
      </c>
      <c r="AG42" s="2">
        <f t="shared" si="33"/>
        <v>0</v>
      </c>
      <c r="AH42" s="2">
        <f t="shared" si="61"/>
        <v>0</v>
      </c>
      <c r="AI42" s="2">
        <f t="shared" si="61"/>
        <v>0</v>
      </c>
      <c r="AJ42" s="2">
        <f t="shared" si="34"/>
        <v>0</v>
      </c>
      <c r="AK42" s="2">
        <v>381.47</v>
      </c>
      <c r="AL42" s="2">
        <v>381.47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90</v>
      </c>
      <c r="AU42" s="2">
        <v>46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2</v>
      </c>
      <c r="BJ42" s="2" t="s">
        <v>3</v>
      </c>
      <c r="BK42" s="2"/>
      <c r="BL42" s="2"/>
      <c r="BM42" s="2">
        <v>72</v>
      </c>
      <c r="BN42" s="2">
        <v>0</v>
      </c>
      <c r="BO42" s="2" t="s">
        <v>3</v>
      </c>
      <c r="BP42" s="2">
        <v>0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5"/>
        <v>381.47</v>
      </c>
      <c r="CQ42" s="2">
        <f t="shared" si="64"/>
        <v>381.47</v>
      </c>
      <c r="CR42" s="2">
        <f t="shared" si="62"/>
        <v>0</v>
      </c>
      <c r="CS42" s="2">
        <f t="shared" si="37"/>
        <v>0</v>
      </c>
      <c r="CT42" s="2">
        <f t="shared" si="38"/>
        <v>0</v>
      </c>
      <c r="CU42" s="2">
        <f t="shared" si="39"/>
        <v>0</v>
      </c>
      <c r="CV42" s="2">
        <f t="shared" si="40"/>
        <v>0</v>
      </c>
      <c r="CW42" s="2">
        <f t="shared" si="41"/>
        <v>0</v>
      </c>
      <c r="CX42" s="2">
        <f t="shared" si="42"/>
        <v>0</v>
      </c>
      <c r="CY42" s="2">
        <f t="shared" si="43"/>
        <v>0</v>
      </c>
      <c r="CZ42" s="2">
        <f t="shared" si="44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32</v>
      </c>
      <c r="DW42" s="2" t="s">
        <v>32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58162634</v>
      </c>
      <c r="EF42" s="2">
        <v>40</v>
      </c>
      <c r="EG42" s="2" t="s">
        <v>25</v>
      </c>
      <c r="EH42" s="2">
        <v>0</v>
      </c>
      <c r="EI42" s="2" t="s">
        <v>3</v>
      </c>
      <c r="EJ42" s="2">
        <v>2</v>
      </c>
      <c r="EK42" s="2">
        <v>72</v>
      </c>
      <c r="EL42" s="2" t="s">
        <v>47</v>
      </c>
      <c r="EM42" s="2" t="s">
        <v>48</v>
      </c>
      <c r="EN42" s="2"/>
      <c r="EO42" s="2" t="s">
        <v>3</v>
      </c>
      <c r="EP42" s="2"/>
      <c r="EQ42" s="2">
        <v>0</v>
      </c>
      <c r="ER42" s="2">
        <v>0</v>
      </c>
      <c r="ES42" s="2">
        <v>381.47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64</v>
      </c>
      <c r="GB42" s="2"/>
      <c r="GC42" s="2"/>
      <c r="GD42" s="2">
        <v>1</v>
      </c>
      <c r="GE42" s="2"/>
      <c r="GF42" s="2">
        <v>-1998996946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5"/>
        <v>0</v>
      </c>
      <c r="GM42" s="2">
        <f t="shared" si="46"/>
        <v>381.47</v>
      </c>
      <c r="GN42" s="2">
        <f t="shared" si="47"/>
        <v>0</v>
      </c>
      <c r="GO42" s="2">
        <f t="shared" si="48"/>
        <v>381.47</v>
      </c>
      <c r="GP42" s="2">
        <f t="shared" si="49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50"/>
        <v>0</v>
      </c>
      <c r="GW42" s="2">
        <v>1</v>
      </c>
      <c r="GX42" s="2">
        <f t="shared" si="51"/>
        <v>0</v>
      </c>
      <c r="GY42" s="2"/>
      <c r="GZ42" s="2"/>
      <c r="HA42" s="2">
        <v>0</v>
      </c>
      <c r="HB42" s="2">
        <v>0</v>
      </c>
      <c r="HC42" s="2">
        <f t="shared" si="52"/>
        <v>0</v>
      </c>
      <c r="HD42" s="2"/>
      <c r="HE42" s="2" t="s">
        <v>34</v>
      </c>
      <c r="HF42" s="2" t="s">
        <v>35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3">
      <c r="A43" s="3">
        <v>18</v>
      </c>
      <c r="B43" s="3">
        <v>1</v>
      </c>
      <c r="C43" s="3"/>
      <c r="D43" s="3"/>
      <c r="E43" s="3" t="s">
        <v>61</v>
      </c>
      <c r="F43" s="3" t="s">
        <v>62</v>
      </c>
      <c r="G43" s="3" t="s">
        <v>63</v>
      </c>
      <c r="H43" s="3" t="s">
        <v>32</v>
      </c>
      <c r="I43" s="3">
        <f>I37*J43</f>
        <v>1</v>
      </c>
      <c r="J43" s="3">
        <v>0.25</v>
      </c>
      <c r="K43" s="3">
        <v>0.25</v>
      </c>
      <c r="L43" s="3"/>
      <c r="M43" s="3"/>
      <c r="N43" s="3"/>
      <c r="O43" s="3">
        <f t="shared" si="21"/>
        <v>3768.92</v>
      </c>
      <c r="P43" s="3">
        <f t="shared" si="63"/>
        <v>3768.92</v>
      </c>
      <c r="Q43" s="3">
        <f t="shared" si="58"/>
        <v>0</v>
      </c>
      <c r="R43" s="3">
        <f t="shared" si="23"/>
        <v>0</v>
      </c>
      <c r="S43" s="3">
        <f t="shared" si="24"/>
        <v>0</v>
      </c>
      <c r="T43" s="3">
        <f t="shared" si="25"/>
        <v>0</v>
      </c>
      <c r="U43" s="3">
        <f t="shared" si="26"/>
        <v>0</v>
      </c>
      <c r="V43" s="3">
        <f t="shared" si="27"/>
        <v>0</v>
      </c>
      <c r="W43" s="3">
        <f t="shared" si="28"/>
        <v>0</v>
      </c>
      <c r="X43" s="3">
        <f t="shared" si="29"/>
        <v>0</v>
      </c>
      <c r="Y43" s="3">
        <f t="shared" si="30"/>
        <v>0</v>
      </c>
      <c r="Z43" s="3"/>
      <c r="AA43" s="3">
        <v>56505405</v>
      </c>
      <c r="AB43" s="3">
        <f t="shared" si="31"/>
        <v>381.47</v>
      </c>
      <c r="AC43" s="3">
        <f t="shared" si="32"/>
        <v>381.47</v>
      </c>
      <c r="AD43" s="3">
        <f t="shared" si="59"/>
        <v>0</v>
      </c>
      <c r="AE43" s="3">
        <f t="shared" si="60"/>
        <v>0</v>
      </c>
      <c r="AF43" s="3">
        <f t="shared" si="60"/>
        <v>0</v>
      </c>
      <c r="AG43" s="3">
        <f t="shared" si="33"/>
        <v>0</v>
      </c>
      <c r="AH43" s="3">
        <f t="shared" si="61"/>
        <v>0</v>
      </c>
      <c r="AI43" s="3">
        <f t="shared" si="61"/>
        <v>0</v>
      </c>
      <c r="AJ43" s="3">
        <f t="shared" si="34"/>
        <v>0</v>
      </c>
      <c r="AK43" s="3">
        <v>381.47</v>
      </c>
      <c r="AL43" s="3">
        <v>381.47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90</v>
      </c>
      <c r="AU43" s="3">
        <v>46</v>
      </c>
      <c r="AV43" s="3">
        <v>1</v>
      </c>
      <c r="AW43" s="3">
        <v>1</v>
      </c>
      <c r="AX43" s="3"/>
      <c r="AY43" s="3"/>
      <c r="AZ43" s="3">
        <v>1</v>
      </c>
      <c r="BA43" s="3">
        <v>1</v>
      </c>
      <c r="BB43" s="3">
        <v>1</v>
      </c>
      <c r="BC43" s="3">
        <v>9.8800000000000008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2</v>
      </c>
      <c r="BJ43" s="3" t="s">
        <v>3</v>
      </c>
      <c r="BK43" s="3"/>
      <c r="BL43" s="3"/>
      <c r="BM43" s="3">
        <v>72</v>
      </c>
      <c r="BN43" s="3">
        <v>0</v>
      </c>
      <c r="BO43" s="3" t="s">
        <v>3</v>
      </c>
      <c r="BP43" s="3">
        <v>0</v>
      </c>
      <c r="BQ43" s="3">
        <v>40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C43" s="3"/>
      <c r="CD43" s="3"/>
      <c r="CE43" s="3">
        <v>30</v>
      </c>
      <c r="CF43" s="3">
        <v>0</v>
      </c>
      <c r="CG43" s="3">
        <v>0</v>
      </c>
      <c r="CH43" s="3"/>
      <c r="CI43" s="3"/>
      <c r="CJ43" s="3"/>
      <c r="CK43" s="3"/>
      <c r="CL43" s="3"/>
      <c r="CM43" s="3">
        <v>0</v>
      </c>
      <c r="CN43" s="3" t="s">
        <v>3</v>
      </c>
      <c r="CO43" s="3">
        <v>0</v>
      </c>
      <c r="CP43" s="3">
        <f t="shared" si="35"/>
        <v>3768.92</v>
      </c>
      <c r="CQ43" s="3">
        <f t="shared" si="64"/>
        <v>3768.92</v>
      </c>
      <c r="CR43" s="3">
        <f t="shared" si="62"/>
        <v>0</v>
      </c>
      <c r="CS43" s="3">
        <f t="shared" si="37"/>
        <v>0</v>
      </c>
      <c r="CT43" s="3">
        <f t="shared" si="38"/>
        <v>0</v>
      </c>
      <c r="CU43" s="3">
        <f t="shared" si="39"/>
        <v>0</v>
      </c>
      <c r="CV43" s="3">
        <f t="shared" si="40"/>
        <v>0</v>
      </c>
      <c r="CW43" s="3">
        <f t="shared" si="41"/>
        <v>0</v>
      </c>
      <c r="CX43" s="3">
        <f t="shared" si="42"/>
        <v>0</v>
      </c>
      <c r="CY43" s="3">
        <f t="shared" si="43"/>
        <v>0</v>
      </c>
      <c r="CZ43" s="3">
        <f t="shared" si="44"/>
        <v>0</v>
      </c>
      <c r="DA43" s="3"/>
      <c r="DB43" s="3"/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R43" s="3"/>
      <c r="DS43" s="3"/>
      <c r="DT43" s="3"/>
      <c r="DU43" s="3">
        <v>1010</v>
      </c>
      <c r="DV43" s="3" t="s">
        <v>32</v>
      </c>
      <c r="DW43" s="3" t="s">
        <v>32</v>
      </c>
      <c r="DX43" s="3">
        <v>1</v>
      </c>
      <c r="DY43" s="3"/>
      <c r="DZ43" s="3" t="s">
        <v>3</v>
      </c>
      <c r="EA43" s="3" t="s">
        <v>3</v>
      </c>
      <c r="EB43" s="3" t="s">
        <v>3</v>
      </c>
      <c r="EC43" s="3" t="s">
        <v>3</v>
      </c>
      <c r="ED43" s="3"/>
      <c r="EE43" s="3">
        <v>58162634</v>
      </c>
      <c r="EF43" s="3">
        <v>40</v>
      </c>
      <c r="EG43" s="3" t="s">
        <v>25</v>
      </c>
      <c r="EH43" s="3">
        <v>0</v>
      </c>
      <c r="EI43" s="3" t="s">
        <v>3</v>
      </c>
      <c r="EJ43" s="3">
        <v>2</v>
      </c>
      <c r="EK43" s="3">
        <v>72</v>
      </c>
      <c r="EL43" s="3" t="s">
        <v>47</v>
      </c>
      <c r="EM43" s="3" t="s">
        <v>48</v>
      </c>
      <c r="EN43" s="3"/>
      <c r="EO43" s="3" t="s">
        <v>3</v>
      </c>
      <c r="EP43" s="3"/>
      <c r="EQ43" s="3">
        <v>0</v>
      </c>
      <c r="ER43" s="3">
        <v>381.47</v>
      </c>
      <c r="ES43" s="3">
        <v>381.47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/>
      <c r="EZ43" s="3">
        <v>5</v>
      </c>
      <c r="FA43" s="3"/>
      <c r="FB43" s="3"/>
      <c r="FC43" s="3">
        <v>1</v>
      </c>
      <c r="FD43" s="3">
        <v>18</v>
      </c>
      <c r="FE43" s="3"/>
      <c r="FF43" s="3">
        <v>4434</v>
      </c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>
        <v>0</v>
      </c>
      <c r="FR43" s="3">
        <v>0</v>
      </c>
      <c r="FS43" s="3">
        <v>0</v>
      </c>
      <c r="FT43" s="3"/>
      <c r="FU43" s="3"/>
      <c r="FV43" s="3"/>
      <c r="FW43" s="3"/>
      <c r="FX43" s="3">
        <v>90</v>
      </c>
      <c r="FY43" s="3">
        <v>46</v>
      </c>
      <c r="FZ43" s="3"/>
      <c r="GA43" s="3" t="s">
        <v>64</v>
      </c>
      <c r="GB43" s="3"/>
      <c r="GC43" s="3"/>
      <c r="GD43" s="3">
        <v>1</v>
      </c>
      <c r="GE43" s="3"/>
      <c r="GF43" s="3">
        <v>-1998996946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45"/>
        <v>0</v>
      </c>
      <c r="GM43" s="3">
        <f t="shared" si="46"/>
        <v>3768.92</v>
      </c>
      <c r="GN43" s="3">
        <f t="shared" si="47"/>
        <v>0</v>
      </c>
      <c r="GO43" s="3">
        <f t="shared" si="48"/>
        <v>3768.92</v>
      </c>
      <c r="GP43" s="3">
        <f t="shared" si="49"/>
        <v>0</v>
      </c>
      <c r="GQ43" s="3"/>
      <c r="GR43" s="3">
        <v>1</v>
      </c>
      <c r="GS43" s="3">
        <v>1</v>
      </c>
      <c r="GT43" s="3">
        <v>0</v>
      </c>
      <c r="GU43" s="3" t="s">
        <v>3</v>
      </c>
      <c r="GV43" s="3">
        <f t="shared" si="50"/>
        <v>0</v>
      </c>
      <c r="GW43" s="3">
        <v>1</v>
      </c>
      <c r="GX43" s="3">
        <f t="shared" si="51"/>
        <v>0</v>
      </c>
      <c r="GY43" s="3"/>
      <c r="GZ43" s="3"/>
      <c r="HA43" s="3">
        <v>0</v>
      </c>
      <c r="HB43" s="3">
        <v>0</v>
      </c>
      <c r="HC43" s="3">
        <f t="shared" si="52"/>
        <v>0</v>
      </c>
      <c r="HD43" s="3"/>
      <c r="HE43" s="3" t="s">
        <v>34</v>
      </c>
      <c r="HF43" s="3" t="s">
        <v>35</v>
      </c>
      <c r="HG43" s="3"/>
      <c r="HH43" s="3"/>
      <c r="HI43" s="3"/>
      <c r="HJ43" s="3"/>
      <c r="HK43" s="3"/>
      <c r="HL43" s="3"/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R43" s="3"/>
      <c r="HS43" s="3">
        <v>0</v>
      </c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>
        <v>0</v>
      </c>
      <c r="IL43" s="3"/>
      <c r="IM43" s="3"/>
      <c r="IN43" s="3"/>
      <c r="IO43" s="3"/>
      <c r="IP43" s="3"/>
      <c r="IQ43" s="3"/>
      <c r="IR43" s="3"/>
      <c r="IS43" s="3"/>
      <c r="IT43" s="3"/>
      <c r="IU43" s="3"/>
    </row>
    <row r="44" spans="1:255" x14ac:dyDescent="0.3">
      <c r="A44" s="2">
        <v>18</v>
      </c>
      <c r="B44" s="2">
        <v>1</v>
      </c>
      <c r="C44" s="2"/>
      <c r="D44" s="2"/>
      <c r="E44" s="2" t="s">
        <v>65</v>
      </c>
      <c r="F44" s="2" t="s">
        <v>66</v>
      </c>
      <c r="G44" s="2" t="s">
        <v>67</v>
      </c>
      <c r="H44" s="2" t="s">
        <v>32</v>
      </c>
      <c r="I44" s="2">
        <f>I36*J44</f>
        <v>1</v>
      </c>
      <c r="J44" s="2">
        <v>0.25</v>
      </c>
      <c r="K44" s="2">
        <v>0.25</v>
      </c>
      <c r="L44" s="2"/>
      <c r="M44" s="2"/>
      <c r="N44" s="2"/>
      <c r="O44" s="2">
        <f t="shared" si="21"/>
        <v>720.68</v>
      </c>
      <c r="P44" s="2">
        <f t="shared" si="63"/>
        <v>720.68</v>
      </c>
      <c r="Q44" s="2">
        <f t="shared" si="58"/>
        <v>0</v>
      </c>
      <c r="R44" s="2">
        <f t="shared" si="23"/>
        <v>0</v>
      </c>
      <c r="S44" s="2">
        <f t="shared" si="24"/>
        <v>0</v>
      </c>
      <c r="T44" s="2">
        <f t="shared" si="25"/>
        <v>0</v>
      </c>
      <c r="U44" s="2">
        <f t="shared" si="26"/>
        <v>0</v>
      </c>
      <c r="V44" s="2">
        <f t="shared" si="27"/>
        <v>0</v>
      </c>
      <c r="W44" s="2">
        <f t="shared" si="28"/>
        <v>0</v>
      </c>
      <c r="X44" s="2">
        <f t="shared" si="29"/>
        <v>0</v>
      </c>
      <c r="Y44" s="2">
        <f t="shared" si="30"/>
        <v>0</v>
      </c>
      <c r="Z44" s="2"/>
      <c r="AA44" s="2">
        <v>56505403</v>
      </c>
      <c r="AB44" s="2">
        <f t="shared" si="31"/>
        <v>720.68</v>
      </c>
      <c r="AC44" s="2">
        <f t="shared" si="32"/>
        <v>720.68</v>
      </c>
      <c r="AD44" s="2">
        <f t="shared" si="59"/>
        <v>0</v>
      </c>
      <c r="AE44" s="2">
        <f t="shared" si="60"/>
        <v>0</v>
      </c>
      <c r="AF44" s="2">
        <f t="shared" si="60"/>
        <v>0</v>
      </c>
      <c r="AG44" s="2">
        <f t="shared" si="33"/>
        <v>0</v>
      </c>
      <c r="AH44" s="2">
        <f t="shared" si="61"/>
        <v>0</v>
      </c>
      <c r="AI44" s="2">
        <f t="shared" si="61"/>
        <v>0</v>
      </c>
      <c r="AJ44" s="2">
        <f t="shared" si="34"/>
        <v>0</v>
      </c>
      <c r="AK44" s="2">
        <v>720.68</v>
      </c>
      <c r="AL44" s="2">
        <v>720.68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90</v>
      </c>
      <c r="AU44" s="2">
        <v>46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2</v>
      </c>
      <c r="BJ44" s="2" t="s">
        <v>3</v>
      </c>
      <c r="BK44" s="2"/>
      <c r="BL44" s="2"/>
      <c r="BM44" s="2">
        <v>72</v>
      </c>
      <c r="BN44" s="2">
        <v>0</v>
      </c>
      <c r="BO44" s="2" t="s">
        <v>3</v>
      </c>
      <c r="BP44" s="2">
        <v>0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5"/>
        <v>720.68</v>
      </c>
      <c r="CQ44" s="2">
        <f t="shared" si="64"/>
        <v>720.68</v>
      </c>
      <c r="CR44" s="2">
        <f t="shared" si="62"/>
        <v>0</v>
      </c>
      <c r="CS44" s="2">
        <f t="shared" si="37"/>
        <v>0</v>
      </c>
      <c r="CT44" s="2">
        <f t="shared" si="38"/>
        <v>0</v>
      </c>
      <c r="CU44" s="2">
        <f t="shared" si="39"/>
        <v>0</v>
      </c>
      <c r="CV44" s="2">
        <f t="shared" si="40"/>
        <v>0</v>
      </c>
      <c r="CW44" s="2">
        <f t="shared" si="41"/>
        <v>0</v>
      </c>
      <c r="CX44" s="2">
        <f t="shared" si="42"/>
        <v>0</v>
      </c>
      <c r="CY44" s="2">
        <f t="shared" si="43"/>
        <v>0</v>
      </c>
      <c r="CZ44" s="2">
        <f t="shared" si="44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32</v>
      </c>
      <c r="DW44" s="2" t="s">
        <v>32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58162634</v>
      </c>
      <c r="EF44" s="2">
        <v>40</v>
      </c>
      <c r="EG44" s="2" t="s">
        <v>25</v>
      </c>
      <c r="EH44" s="2">
        <v>0</v>
      </c>
      <c r="EI44" s="2" t="s">
        <v>3</v>
      </c>
      <c r="EJ44" s="2">
        <v>2</v>
      </c>
      <c r="EK44" s="2">
        <v>72</v>
      </c>
      <c r="EL44" s="2" t="s">
        <v>47</v>
      </c>
      <c r="EM44" s="2" t="s">
        <v>48</v>
      </c>
      <c r="EN44" s="2"/>
      <c r="EO44" s="2" t="s">
        <v>3</v>
      </c>
      <c r="EP44" s="2"/>
      <c r="EQ44" s="2">
        <v>0</v>
      </c>
      <c r="ER44" s="2">
        <v>0</v>
      </c>
      <c r="ES44" s="2">
        <v>720.68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68</v>
      </c>
      <c r="GB44" s="2"/>
      <c r="GC44" s="2"/>
      <c r="GD44" s="2">
        <v>1</v>
      </c>
      <c r="GE44" s="2"/>
      <c r="GF44" s="2">
        <v>-1548011914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45"/>
        <v>0</v>
      </c>
      <c r="GM44" s="2">
        <f t="shared" si="46"/>
        <v>720.68</v>
      </c>
      <c r="GN44" s="2">
        <f t="shared" si="47"/>
        <v>0</v>
      </c>
      <c r="GO44" s="2">
        <f t="shared" si="48"/>
        <v>720.68</v>
      </c>
      <c r="GP44" s="2">
        <f t="shared" si="49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50"/>
        <v>0</v>
      </c>
      <c r="GW44" s="2">
        <v>1</v>
      </c>
      <c r="GX44" s="2">
        <f t="shared" si="51"/>
        <v>0</v>
      </c>
      <c r="GY44" s="2"/>
      <c r="GZ44" s="2"/>
      <c r="HA44" s="2">
        <v>0</v>
      </c>
      <c r="HB44" s="2">
        <v>0</v>
      </c>
      <c r="HC44" s="2">
        <f t="shared" si="52"/>
        <v>0</v>
      </c>
      <c r="HD44" s="2"/>
      <c r="HE44" s="2" t="s">
        <v>34</v>
      </c>
      <c r="HF44" s="2" t="s">
        <v>35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3">
      <c r="A45" s="3">
        <v>18</v>
      </c>
      <c r="B45" s="3">
        <v>1</v>
      </c>
      <c r="C45" s="3"/>
      <c r="D45" s="3"/>
      <c r="E45" s="3" t="s">
        <v>65</v>
      </c>
      <c r="F45" s="3" t="s">
        <v>66</v>
      </c>
      <c r="G45" s="3" t="s">
        <v>67</v>
      </c>
      <c r="H45" s="3" t="s">
        <v>32</v>
      </c>
      <c r="I45" s="3">
        <f>I37*J45</f>
        <v>1</v>
      </c>
      <c r="J45" s="3">
        <v>0.25</v>
      </c>
      <c r="K45" s="3">
        <v>0.25</v>
      </c>
      <c r="L45" s="3"/>
      <c r="M45" s="3"/>
      <c r="N45" s="3"/>
      <c r="O45" s="3">
        <f t="shared" si="21"/>
        <v>7120.32</v>
      </c>
      <c r="P45" s="3">
        <f t="shared" si="63"/>
        <v>7120.32</v>
      </c>
      <c r="Q45" s="3">
        <f t="shared" si="58"/>
        <v>0</v>
      </c>
      <c r="R45" s="3">
        <f t="shared" si="23"/>
        <v>0</v>
      </c>
      <c r="S45" s="3">
        <f t="shared" si="24"/>
        <v>0</v>
      </c>
      <c r="T45" s="3">
        <f t="shared" si="25"/>
        <v>0</v>
      </c>
      <c r="U45" s="3">
        <f t="shared" si="26"/>
        <v>0</v>
      </c>
      <c r="V45" s="3">
        <f t="shared" si="27"/>
        <v>0</v>
      </c>
      <c r="W45" s="3">
        <f t="shared" si="28"/>
        <v>0</v>
      </c>
      <c r="X45" s="3">
        <f t="shared" si="29"/>
        <v>0</v>
      </c>
      <c r="Y45" s="3">
        <f t="shared" si="30"/>
        <v>0</v>
      </c>
      <c r="Z45" s="3"/>
      <c r="AA45" s="3">
        <v>56505405</v>
      </c>
      <c r="AB45" s="3">
        <f t="shared" si="31"/>
        <v>720.68</v>
      </c>
      <c r="AC45" s="3">
        <f t="shared" si="32"/>
        <v>720.68</v>
      </c>
      <c r="AD45" s="3">
        <f t="shared" si="59"/>
        <v>0</v>
      </c>
      <c r="AE45" s="3">
        <f t="shared" si="60"/>
        <v>0</v>
      </c>
      <c r="AF45" s="3">
        <f t="shared" si="60"/>
        <v>0</v>
      </c>
      <c r="AG45" s="3">
        <f t="shared" si="33"/>
        <v>0</v>
      </c>
      <c r="AH45" s="3">
        <f t="shared" si="61"/>
        <v>0</v>
      </c>
      <c r="AI45" s="3">
        <f t="shared" si="61"/>
        <v>0</v>
      </c>
      <c r="AJ45" s="3">
        <f t="shared" si="34"/>
        <v>0</v>
      </c>
      <c r="AK45" s="3">
        <v>720.68</v>
      </c>
      <c r="AL45" s="3">
        <v>720.68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90</v>
      </c>
      <c r="AU45" s="3">
        <v>46</v>
      </c>
      <c r="AV45" s="3">
        <v>1</v>
      </c>
      <c r="AW45" s="3">
        <v>1</v>
      </c>
      <c r="AX45" s="3"/>
      <c r="AY45" s="3"/>
      <c r="AZ45" s="3">
        <v>1</v>
      </c>
      <c r="BA45" s="3">
        <v>1</v>
      </c>
      <c r="BB45" s="3">
        <v>1</v>
      </c>
      <c r="BC45" s="3">
        <v>9.8800000000000008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2</v>
      </c>
      <c r="BJ45" s="3" t="s">
        <v>3</v>
      </c>
      <c r="BK45" s="3"/>
      <c r="BL45" s="3"/>
      <c r="BM45" s="3">
        <v>72</v>
      </c>
      <c r="BN45" s="3">
        <v>0</v>
      </c>
      <c r="BO45" s="3" t="s">
        <v>3</v>
      </c>
      <c r="BP45" s="3">
        <v>0</v>
      </c>
      <c r="BQ45" s="3">
        <v>40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C45" s="3"/>
      <c r="CD45" s="3"/>
      <c r="CE45" s="3">
        <v>30</v>
      </c>
      <c r="CF45" s="3">
        <v>0</v>
      </c>
      <c r="CG45" s="3">
        <v>0</v>
      </c>
      <c r="CH45" s="3"/>
      <c r="CI45" s="3"/>
      <c r="CJ45" s="3"/>
      <c r="CK45" s="3"/>
      <c r="CL45" s="3"/>
      <c r="CM45" s="3">
        <v>0</v>
      </c>
      <c r="CN45" s="3" t="s">
        <v>3</v>
      </c>
      <c r="CO45" s="3">
        <v>0</v>
      </c>
      <c r="CP45" s="3">
        <f t="shared" si="35"/>
        <v>7120.32</v>
      </c>
      <c r="CQ45" s="3">
        <f t="shared" si="64"/>
        <v>7120.32</v>
      </c>
      <c r="CR45" s="3">
        <f t="shared" si="62"/>
        <v>0</v>
      </c>
      <c r="CS45" s="3">
        <f t="shared" si="37"/>
        <v>0</v>
      </c>
      <c r="CT45" s="3">
        <f t="shared" si="38"/>
        <v>0</v>
      </c>
      <c r="CU45" s="3">
        <f t="shared" si="39"/>
        <v>0</v>
      </c>
      <c r="CV45" s="3">
        <f t="shared" si="40"/>
        <v>0</v>
      </c>
      <c r="CW45" s="3">
        <f t="shared" si="41"/>
        <v>0</v>
      </c>
      <c r="CX45" s="3">
        <f t="shared" si="42"/>
        <v>0</v>
      </c>
      <c r="CY45" s="3">
        <f t="shared" si="43"/>
        <v>0</v>
      </c>
      <c r="CZ45" s="3">
        <f t="shared" si="44"/>
        <v>0</v>
      </c>
      <c r="DA45" s="3"/>
      <c r="DB45" s="3"/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R45" s="3"/>
      <c r="DS45" s="3"/>
      <c r="DT45" s="3"/>
      <c r="DU45" s="3">
        <v>1010</v>
      </c>
      <c r="DV45" s="3" t="s">
        <v>32</v>
      </c>
      <c r="DW45" s="3" t="s">
        <v>32</v>
      </c>
      <c r="DX45" s="3">
        <v>1</v>
      </c>
      <c r="DY45" s="3"/>
      <c r="DZ45" s="3" t="s">
        <v>3</v>
      </c>
      <c r="EA45" s="3" t="s">
        <v>3</v>
      </c>
      <c r="EB45" s="3" t="s">
        <v>3</v>
      </c>
      <c r="EC45" s="3" t="s">
        <v>3</v>
      </c>
      <c r="ED45" s="3"/>
      <c r="EE45" s="3">
        <v>58162634</v>
      </c>
      <c r="EF45" s="3">
        <v>40</v>
      </c>
      <c r="EG45" s="3" t="s">
        <v>25</v>
      </c>
      <c r="EH45" s="3">
        <v>0</v>
      </c>
      <c r="EI45" s="3" t="s">
        <v>3</v>
      </c>
      <c r="EJ45" s="3">
        <v>2</v>
      </c>
      <c r="EK45" s="3">
        <v>72</v>
      </c>
      <c r="EL45" s="3" t="s">
        <v>47</v>
      </c>
      <c r="EM45" s="3" t="s">
        <v>48</v>
      </c>
      <c r="EN45" s="3"/>
      <c r="EO45" s="3" t="s">
        <v>3</v>
      </c>
      <c r="EP45" s="3"/>
      <c r="EQ45" s="3">
        <v>0</v>
      </c>
      <c r="ER45" s="3">
        <v>720.68</v>
      </c>
      <c r="ES45" s="3">
        <v>720.68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/>
      <c r="EZ45" s="3">
        <v>5</v>
      </c>
      <c r="FA45" s="3"/>
      <c r="FB45" s="3"/>
      <c r="FC45" s="3">
        <v>1</v>
      </c>
      <c r="FD45" s="3">
        <v>18</v>
      </c>
      <c r="FE45" s="3"/>
      <c r="FF45" s="3">
        <v>8376.7999999999993</v>
      </c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>
        <v>0</v>
      </c>
      <c r="FR45" s="3">
        <v>0</v>
      </c>
      <c r="FS45" s="3">
        <v>0</v>
      </c>
      <c r="FT45" s="3"/>
      <c r="FU45" s="3"/>
      <c r="FV45" s="3"/>
      <c r="FW45" s="3"/>
      <c r="FX45" s="3">
        <v>90</v>
      </c>
      <c r="FY45" s="3">
        <v>46</v>
      </c>
      <c r="FZ45" s="3"/>
      <c r="GA45" s="3" t="s">
        <v>68</v>
      </c>
      <c r="GB45" s="3"/>
      <c r="GC45" s="3"/>
      <c r="GD45" s="3">
        <v>1</v>
      </c>
      <c r="GE45" s="3"/>
      <c r="GF45" s="3">
        <v>-1548011914</v>
      </c>
      <c r="GG45" s="3">
        <v>2</v>
      </c>
      <c r="GH45" s="3">
        <v>3</v>
      </c>
      <c r="GI45" s="3">
        <v>5</v>
      </c>
      <c r="GJ45" s="3">
        <v>0</v>
      </c>
      <c r="GK45" s="3">
        <v>0</v>
      </c>
      <c r="GL45" s="3">
        <f t="shared" si="45"/>
        <v>0</v>
      </c>
      <c r="GM45" s="3">
        <f t="shared" si="46"/>
        <v>7120.32</v>
      </c>
      <c r="GN45" s="3">
        <f t="shared" si="47"/>
        <v>0</v>
      </c>
      <c r="GO45" s="3">
        <f t="shared" si="48"/>
        <v>7120.32</v>
      </c>
      <c r="GP45" s="3">
        <f t="shared" si="49"/>
        <v>0</v>
      </c>
      <c r="GQ45" s="3"/>
      <c r="GR45" s="3">
        <v>1</v>
      </c>
      <c r="GS45" s="3">
        <v>1</v>
      </c>
      <c r="GT45" s="3">
        <v>0</v>
      </c>
      <c r="GU45" s="3" t="s">
        <v>3</v>
      </c>
      <c r="GV45" s="3">
        <f t="shared" si="50"/>
        <v>0</v>
      </c>
      <c r="GW45" s="3">
        <v>1</v>
      </c>
      <c r="GX45" s="3">
        <f t="shared" si="51"/>
        <v>0</v>
      </c>
      <c r="GY45" s="3"/>
      <c r="GZ45" s="3"/>
      <c r="HA45" s="3">
        <v>0</v>
      </c>
      <c r="HB45" s="3">
        <v>0</v>
      </c>
      <c r="HC45" s="3">
        <f t="shared" si="52"/>
        <v>0</v>
      </c>
      <c r="HD45" s="3"/>
      <c r="HE45" s="3" t="s">
        <v>34</v>
      </c>
      <c r="HF45" s="3" t="s">
        <v>35</v>
      </c>
      <c r="HG45" s="3"/>
      <c r="HH45" s="3"/>
      <c r="HI45" s="3"/>
      <c r="HJ45" s="3"/>
      <c r="HK45" s="3"/>
      <c r="HL45" s="3"/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R45" s="3"/>
      <c r="HS45" s="3">
        <v>0</v>
      </c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>
        <v>0</v>
      </c>
      <c r="IL45" s="3"/>
      <c r="IM45" s="3"/>
      <c r="IN45" s="3"/>
      <c r="IO45" s="3"/>
      <c r="IP45" s="3"/>
      <c r="IQ45" s="3"/>
      <c r="IR45" s="3"/>
      <c r="IS45" s="3"/>
      <c r="IT45" s="3"/>
      <c r="IU45" s="3"/>
    </row>
    <row r="46" spans="1:255" x14ac:dyDescent="0.3">
      <c r="A46" s="2">
        <v>17</v>
      </c>
      <c r="B46" s="2">
        <v>1</v>
      </c>
      <c r="C46" s="2"/>
      <c r="D46" s="2">
        <f>ROW(EtalonRes!A19)</f>
        <v>19</v>
      </c>
      <c r="E46" s="2" t="s">
        <v>56</v>
      </c>
      <c r="F46" s="2" t="s">
        <v>69</v>
      </c>
      <c r="G46" s="2" t="s">
        <v>70</v>
      </c>
      <c r="H46" s="2" t="s">
        <v>71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2.9</v>
      </c>
      <c r="P46" s="2">
        <f t="shared" si="63"/>
        <v>0</v>
      </c>
      <c r="Q46" s="2">
        <f>(ROUND((ROUND((((ET46*1.1))*AV46*I46),2)*BB46),2)+ROUND((ROUND(((AE46-((EU46*1.1)))*AV46*I46),2)*BS46),2))</f>
        <v>0</v>
      </c>
      <c r="R46" s="2">
        <f t="shared" si="23"/>
        <v>0</v>
      </c>
      <c r="S46" s="2">
        <f t="shared" si="24"/>
        <v>2.9</v>
      </c>
      <c r="T46" s="2">
        <f t="shared" si="25"/>
        <v>0</v>
      </c>
      <c r="U46" s="2">
        <f t="shared" si="26"/>
        <v>0.25337399999999999</v>
      </c>
      <c r="V46" s="2">
        <f t="shared" si="27"/>
        <v>0</v>
      </c>
      <c r="W46" s="2">
        <f t="shared" si="28"/>
        <v>0</v>
      </c>
      <c r="X46" s="2">
        <f t="shared" si="29"/>
        <v>2.61</v>
      </c>
      <c r="Y46" s="2">
        <f t="shared" si="30"/>
        <v>1.33</v>
      </c>
      <c r="Z46" s="2"/>
      <c r="AA46" s="2">
        <v>56505403</v>
      </c>
      <c r="AB46" s="2">
        <f t="shared" si="31"/>
        <v>2.7719999999999998</v>
      </c>
      <c r="AC46" s="2">
        <f t="shared" si="32"/>
        <v>0</v>
      </c>
      <c r="AD46" s="2">
        <f>ROUND(((((ET46*1.1))-((EU46*1.1)))+AE46),6)</f>
        <v>0</v>
      </c>
      <c r="AE46" s="2">
        <f>ROUND(((EU46*1.1)),6)</f>
        <v>0</v>
      </c>
      <c r="AF46" s="2">
        <f>ROUND(((EV46*1.1)),6)</f>
        <v>2.7719999999999998</v>
      </c>
      <c r="AG46" s="2">
        <f t="shared" si="33"/>
        <v>0</v>
      </c>
      <c r="AH46" s="2">
        <f>((EW46*1.1))</f>
        <v>0.24200000000000002</v>
      </c>
      <c r="AI46" s="2">
        <f>((EX46*1.1))</f>
        <v>0</v>
      </c>
      <c r="AJ46" s="2">
        <f t="shared" si="34"/>
        <v>0</v>
      </c>
      <c r="AK46" s="2">
        <v>2.52</v>
      </c>
      <c r="AL46" s="2">
        <v>0</v>
      </c>
      <c r="AM46" s="2">
        <v>0</v>
      </c>
      <c r="AN46" s="2">
        <v>0</v>
      </c>
      <c r="AO46" s="2">
        <v>2.52</v>
      </c>
      <c r="AP46" s="2">
        <v>0</v>
      </c>
      <c r="AQ46" s="2">
        <v>0.22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72</v>
      </c>
      <c r="BK46" s="2"/>
      <c r="BL46" s="2"/>
      <c r="BM46" s="2">
        <v>72</v>
      </c>
      <c r="BN46" s="2">
        <v>0</v>
      </c>
      <c r="BO46" s="2" t="s">
        <v>69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5"/>
        <v>2.9</v>
      </c>
      <c r="CQ46" s="2">
        <f t="shared" si="64"/>
        <v>0</v>
      </c>
      <c r="CR46" s="2">
        <f>(ROUND((ROUND((((ET46*1.1))*AV46*1),2)*BB46),2)+ROUND((ROUND(((AE46-((EU46*1.1)))*AV46*1),2)*BS46),2))</f>
        <v>0</v>
      </c>
      <c r="CS46" s="2">
        <f t="shared" si="37"/>
        <v>0</v>
      </c>
      <c r="CT46" s="2">
        <f t="shared" si="38"/>
        <v>2.9</v>
      </c>
      <c r="CU46" s="2">
        <f t="shared" si="39"/>
        <v>0</v>
      </c>
      <c r="CV46" s="2">
        <f t="shared" si="40"/>
        <v>0.25337399999999999</v>
      </c>
      <c r="CW46" s="2">
        <f t="shared" si="41"/>
        <v>0</v>
      </c>
      <c r="CX46" s="2">
        <f t="shared" si="42"/>
        <v>0</v>
      </c>
      <c r="CY46" s="2">
        <f t="shared" si="43"/>
        <v>2.61</v>
      </c>
      <c r="CZ46" s="2">
        <f t="shared" si="44"/>
        <v>1.3340000000000001</v>
      </c>
      <c r="DA46" s="2"/>
      <c r="DB46" s="2"/>
      <c r="DC46" s="2" t="s">
        <v>3</v>
      </c>
      <c r="DD46" s="2" t="s">
        <v>3</v>
      </c>
      <c r="DE46" s="2" t="s">
        <v>24</v>
      </c>
      <c r="DF46" s="2" t="s">
        <v>24</v>
      </c>
      <c r="DG46" s="2" t="s">
        <v>24</v>
      </c>
      <c r="DH46" s="2" t="s">
        <v>3</v>
      </c>
      <c r="DI46" s="2" t="s">
        <v>24</v>
      </c>
      <c r="DJ46" s="2" t="s">
        <v>24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71</v>
      </c>
      <c r="DW46" s="2" t="s">
        <v>71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58162634</v>
      </c>
      <c r="EF46" s="2">
        <v>40</v>
      </c>
      <c r="EG46" s="2" t="s">
        <v>25</v>
      </c>
      <c r="EH46" s="2">
        <v>0</v>
      </c>
      <c r="EI46" s="2" t="s">
        <v>3</v>
      </c>
      <c r="EJ46" s="2">
        <v>2</v>
      </c>
      <c r="EK46" s="2">
        <v>72</v>
      </c>
      <c r="EL46" s="2" t="s">
        <v>47</v>
      </c>
      <c r="EM46" s="2" t="s">
        <v>48</v>
      </c>
      <c r="EN46" s="2"/>
      <c r="EO46" s="2" t="s">
        <v>28</v>
      </c>
      <c r="EP46" s="2"/>
      <c r="EQ46" s="2">
        <v>0</v>
      </c>
      <c r="ER46" s="2">
        <v>2.52</v>
      </c>
      <c r="ES46" s="2">
        <v>0</v>
      </c>
      <c r="ET46" s="2">
        <v>0</v>
      </c>
      <c r="EU46" s="2">
        <v>0</v>
      </c>
      <c r="EV46" s="2">
        <v>2.52</v>
      </c>
      <c r="EW46" s="2">
        <v>0.22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1774518925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45"/>
        <v>0</v>
      </c>
      <c r="GM46" s="2">
        <f t="shared" si="46"/>
        <v>6.84</v>
      </c>
      <c r="GN46" s="2">
        <f t="shared" si="47"/>
        <v>0</v>
      </c>
      <c r="GO46" s="2">
        <f t="shared" si="48"/>
        <v>6.84</v>
      </c>
      <c r="GP46" s="2">
        <f t="shared" si="49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0"/>
        <v>0</v>
      </c>
      <c r="GW46" s="2">
        <v>1</v>
      </c>
      <c r="GX46" s="2">
        <f t="shared" si="51"/>
        <v>0</v>
      </c>
      <c r="GY46" s="2"/>
      <c r="GZ46" s="2"/>
      <c r="HA46" s="2">
        <v>0</v>
      </c>
      <c r="HB46" s="2">
        <v>0</v>
      </c>
      <c r="HC46" s="2">
        <f t="shared" si="52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3">
      <c r="A47" s="3">
        <v>17</v>
      </c>
      <c r="B47" s="3">
        <v>1</v>
      </c>
      <c r="C47" s="3"/>
      <c r="D47" s="3">
        <f>ROW(EtalonRes!A20)</f>
        <v>20</v>
      </c>
      <c r="E47" s="3" t="s">
        <v>56</v>
      </c>
      <c r="F47" s="3" t="s">
        <v>69</v>
      </c>
      <c r="G47" s="3" t="s">
        <v>70</v>
      </c>
      <c r="H47" s="3" t="s">
        <v>71</v>
      </c>
      <c r="I47" s="3">
        <v>1</v>
      </c>
      <c r="J47" s="3">
        <v>0</v>
      </c>
      <c r="K47" s="3">
        <v>1</v>
      </c>
      <c r="L47" s="3"/>
      <c r="M47" s="3"/>
      <c r="N47" s="3"/>
      <c r="O47" s="3">
        <f t="shared" si="21"/>
        <v>159.47</v>
      </c>
      <c r="P47" s="3">
        <f t="shared" si="63"/>
        <v>0</v>
      </c>
      <c r="Q47" s="3">
        <f>(ROUND((ROUND((((ET47*1.1))*AV47*I47),2)*BB47),2)+ROUND((ROUND(((AE47-((EU47*1.1)))*AV47*I47),2)*BS47),2))</f>
        <v>0</v>
      </c>
      <c r="R47" s="3">
        <f t="shared" si="23"/>
        <v>0</v>
      </c>
      <c r="S47" s="3">
        <f t="shared" si="24"/>
        <v>159.47</v>
      </c>
      <c r="T47" s="3">
        <f t="shared" si="25"/>
        <v>0</v>
      </c>
      <c r="U47" s="3">
        <f t="shared" si="26"/>
        <v>0.25337399999999999</v>
      </c>
      <c r="V47" s="3">
        <f t="shared" si="27"/>
        <v>0</v>
      </c>
      <c r="W47" s="3">
        <f t="shared" si="28"/>
        <v>0</v>
      </c>
      <c r="X47" s="3">
        <f t="shared" si="29"/>
        <v>143.52000000000001</v>
      </c>
      <c r="Y47" s="3">
        <f t="shared" si="30"/>
        <v>73.36</v>
      </c>
      <c r="Z47" s="3"/>
      <c r="AA47" s="3">
        <v>56505405</v>
      </c>
      <c r="AB47" s="3">
        <f t="shared" si="31"/>
        <v>2.7719999999999998</v>
      </c>
      <c r="AC47" s="3">
        <f t="shared" si="32"/>
        <v>0</v>
      </c>
      <c r="AD47" s="3">
        <f>ROUND(((((ET47*1.1))-((EU47*1.1)))+AE47),6)</f>
        <v>0</v>
      </c>
      <c r="AE47" s="3">
        <f>ROUND(((EU47*1.1)),6)</f>
        <v>0</v>
      </c>
      <c r="AF47" s="3">
        <f>ROUND(((EV47*1.1)),6)</f>
        <v>2.7719999999999998</v>
      </c>
      <c r="AG47" s="3">
        <f t="shared" si="33"/>
        <v>0</v>
      </c>
      <c r="AH47" s="3">
        <f>((EW47*1.1))</f>
        <v>0.24200000000000002</v>
      </c>
      <c r="AI47" s="3">
        <f>((EX47*1.1))</f>
        <v>0</v>
      </c>
      <c r="AJ47" s="3">
        <f t="shared" si="34"/>
        <v>0</v>
      </c>
      <c r="AK47" s="3">
        <v>2.52</v>
      </c>
      <c r="AL47" s="3">
        <v>0</v>
      </c>
      <c r="AM47" s="3">
        <v>0</v>
      </c>
      <c r="AN47" s="3">
        <v>0</v>
      </c>
      <c r="AO47" s="3">
        <v>2.52</v>
      </c>
      <c r="AP47" s="3">
        <v>0</v>
      </c>
      <c r="AQ47" s="3">
        <v>0.22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X47" s="3"/>
      <c r="AY47" s="3"/>
      <c r="AZ47" s="3">
        <v>1</v>
      </c>
      <c r="BA47" s="3">
        <v>54.99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72</v>
      </c>
      <c r="BK47" s="3"/>
      <c r="BL47" s="3"/>
      <c r="BM47" s="3">
        <v>72</v>
      </c>
      <c r="BN47" s="3">
        <v>0</v>
      </c>
      <c r="BO47" s="3" t="s">
        <v>69</v>
      </c>
      <c r="BP47" s="3">
        <v>1</v>
      </c>
      <c r="BQ47" s="3">
        <v>40</v>
      </c>
      <c r="BR47" s="3">
        <v>0</v>
      </c>
      <c r="BS47" s="3">
        <v>54.99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C47" s="3"/>
      <c r="CD47" s="3"/>
      <c r="CE47" s="3">
        <v>30</v>
      </c>
      <c r="CF47" s="3">
        <v>0</v>
      </c>
      <c r="CG47" s="3">
        <v>0</v>
      </c>
      <c r="CH47" s="3"/>
      <c r="CI47" s="3"/>
      <c r="CJ47" s="3"/>
      <c r="CK47" s="3"/>
      <c r="CL47" s="3"/>
      <c r="CM47" s="3">
        <v>0</v>
      </c>
      <c r="CN47" s="3" t="s">
        <v>3</v>
      </c>
      <c r="CO47" s="3">
        <v>0</v>
      </c>
      <c r="CP47" s="3">
        <f t="shared" si="35"/>
        <v>159.47</v>
      </c>
      <c r="CQ47" s="3">
        <f t="shared" si="64"/>
        <v>0</v>
      </c>
      <c r="CR47" s="3">
        <f>(ROUND((ROUND((((ET47*1.1))*AV47*1),2)*BB47),2)+ROUND((ROUND(((AE47-((EU47*1.1)))*AV47*1),2)*BS47),2))</f>
        <v>0</v>
      </c>
      <c r="CS47" s="3">
        <f t="shared" si="37"/>
        <v>0</v>
      </c>
      <c r="CT47" s="3">
        <f t="shared" si="38"/>
        <v>159.47</v>
      </c>
      <c r="CU47" s="3">
        <f t="shared" si="39"/>
        <v>0</v>
      </c>
      <c r="CV47" s="3">
        <f t="shared" si="40"/>
        <v>0.25337399999999999</v>
      </c>
      <c r="CW47" s="3">
        <f t="shared" si="41"/>
        <v>0</v>
      </c>
      <c r="CX47" s="3">
        <f t="shared" si="42"/>
        <v>0</v>
      </c>
      <c r="CY47" s="3">
        <f t="shared" si="43"/>
        <v>143.523</v>
      </c>
      <c r="CZ47" s="3">
        <f t="shared" si="44"/>
        <v>73.356200000000001</v>
      </c>
      <c r="DA47" s="3"/>
      <c r="DB47" s="3"/>
      <c r="DC47" s="3" t="s">
        <v>3</v>
      </c>
      <c r="DD47" s="3" t="s">
        <v>3</v>
      </c>
      <c r="DE47" s="3" t="s">
        <v>24</v>
      </c>
      <c r="DF47" s="3" t="s">
        <v>24</v>
      </c>
      <c r="DG47" s="3" t="s">
        <v>24</v>
      </c>
      <c r="DH47" s="3" t="s">
        <v>3</v>
      </c>
      <c r="DI47" s="3" t="s">
        <v>24</v>
      </c>
      <c r="DJ47" s="3" t="s">
        <v>24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R47" s="3"/>
      <c r="DS47" s="3"/>
      <c r="DT47" s="3"/>
      <c r="DU47" s="3">
        <v>1013</v>
      </c>
      <c r="DV47" s="3" t="s">
        <v>71</v>
      </c>
      <c r="DW47" s="3" t="s">
        <v>71</v>
      </c>
      <c r="DX47" s="3">
        <v>1</v>
      </c>
      <c r="DY47" s="3"/>
      <c r="DZ47" s="3" t="s">
        <v>3</v>
      </c>
      <c r="EA47" s="3" t="s">
        <v>3</v>
      </c>
      <c r="EB47" s="3" t="s">
        <v>3</v>
      </c>
      <c r="EC47" s="3" t="s">
        <v>3</v>
      </c>
      <c r="ED47" s="3"/>
      <c r="EE47" s="3">
        <v>58162634</v>
      </c>
      <c r="EF47" s="3">
        <v>40</v>
      </c>
      <c r="EG47" s="3" t="s">
        <v>25</v>
      </c>
      <c r="EH47" s="3">
        <v>0</v>
      </c>
      <c r="EI47" s="3" t="s">
        <v>3</v>
      </c>
      <c r="EJ47" s="3">
        <v>2</v>
      </c>
      <c r="EK47" s="3">
        <v>72</v>
      </c>
      <c r="EL47" s="3" t="s">
        <v>47</v>
      </c>
      <c r="EM47" s="3" t="s">
        <v>48</v>
      </c>
      <c r="EN47" s="3"/>
      <c r="EO47" s="3" t="s">
        <v>28</v>
      </c>
      <c r="EP47" s="3"/>
      <c r="EQ47" s="3">
        <v>0</v>
      </c>
      <c r="ER47" s="3">
        <v>2.52</v>
      </c>
      <c r="ES47" s="3">
        <v>0</v>
      </c>
      <c r="ET47" s="3">
        <v>0</v>
      </c>
      <c r="EU47" s="3">
        <v>0</v>
      </c>
      <c r="EV47" s="3">
        <v>2.52</v>
      </c>
      <c r="EW47" s="3">
        <v>0.22</v>
      </c>
      <c r="EX47" s="3">
        <v>0</v>
      </c>
      <c r="EY47" s="3">
        <v>0</v>
      </c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>
        <v>0</v>
      </c>
      <c r="FR47" s="3">
        <v>0</v>
      </c>
      <c r="FS47" s="3">
        <v>0</v>
      </c>
      <c r="FT47" s="3"/>
      <c r="FU47" s="3"/>
      <c r="FV47" s="3"/>
      <c r="FW47" s="3"/>
      <c r="FX47" s="3">
        <v>90</v>
      </c>
      <c r="FY47" s="3">
        <v>46</v>
      </c>
      <c r="FZ47" s="3"/>
      <c r="GA47" s="3" t="s">
        <v>3</v>
      </c>
      <c r="GB47" s="3"/>
      <c r="GC47" s="3"/>
      <c r="GD47" s="3">
        <v>1</v>
      </c>
      <c r="GE47" s="3"/>
      <c r="GF47" s="3">
        <v>1774518925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45"/>
        <v>0</v>
      </c>
      <c r="GM47" s="3">
        <f t="shared" si="46"/>
        <v>376.35</v>
      </c>
      <c r="GN47" s="3">
        <f t="shared" si="47"/>
        <v>0</v>
      </c>
      <c r="GO47" s="3">
        <f t="shared" si="48"/>
        <v>376.35</v>
      </c>
      <c r="GP47" s="3">
        <f t="shared" si="49"/>
        <v>0</v>
      </c>
      <c r="GQ47" s="3"/>
      <c r="GR47" s="3">
        <v>0</v>
      </c>
      <c r="GS47" s="3">
        <v>3</v>
      </c>
      <c r="GT47" s="3">
        <v>0</v>
      </c>
      <c r="GU47" s="3" t="s">
        <v>3</v>
      </c>
      <c r="GV47" s="3">
        <f t="shared" si="50"/>
        <v>0</v>
      </c>
      <c r="GW47" s="3">
        <v>1</v>
      </c>
      <c r="GX47" s="3">
        <f t="shared" si="51"/>
        <v>0</v>
      </c>
      <c r="GY47" s="3"/>
      <c r="GZ47" s="3"/>
      <c r="HA47" s="3">
        <v>0</v>
      </c>
      <c r="HB47" s="3">
        <v>0</v>
      </c>
      <c r="HC47" s="3">
        <f t="shared" si="52"/>
        <v>0</v>
      </c>
      <c r="HD47" s="3"/>
      <c r="HE47" s="3" t="s">
        <v>3</v>
      </c>
      <c r="HF47" s="3" t="s">
        <v>3</v>
      </c>
      <c r="HG47" s="3"/>
      <c r="HH47" s="3"/>
      <c r="HI47" s="3"/>
      <c r="HJ47" s="3"/>
      <c r="HK47" s="3"/>
      <c r="HL47" s="3"/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R47" s="3"/>
      <c r="HS47" s="3">
        <v>0</v>
      </c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>
        <v>0</v>
      </c>
      <c r="IL47" s="3"/>
      <c r="IM47" s="3"/>
      <c r="IN47" s="3"/>
      <c r="IO47" s="3"/>
      <c r="IP47" s="3"/>
      <c r="IQ47" s="3"/>
      <c r="IR47" s="3"/>
      <c r="IS47" s="3"/>
      <c r="IT47" s="3"/>
      <c r="IU47" s="3"/>
    </row>
    <row r="48" spans="1:255" x14ac:dyDescent="0.3">
      <c r="A48" s="2">
        <v>18</v>
      </c>
      <c r="B48" s="2">
        <v>1</v>
      </c>
      <c r="C48" s="2"/>
      <c r="D48" s="2"/>
      <c r="E48" s="2" t="s">
        <v>73</v>
      </c>
      <c r="F48" s="2" t="s">
        <v>74</v>
      </c>
      <c r="G48" s="2" t="s">
        <v>75</v>
      </c>
      <c r="H48" s="2" t="s">
        <v>32</v>
      </c>
      <c r="I48" s="2">
        <f>I46*J48</f>
        <v>1</v>
      </c>
      <c r="J48" s="2">
        <v>1</v>
      </c>
      <c r="K48" s="2">
        <v>1</v>
      </c>
      <c r="L48" s="2"/>
      <c r="M48" s="2"/>
      <c r="N48" s="2"/>
      <c r="O48" s="2">
        <f t="shared" si="21"/>
        <v>55.92</v>
      </c>
      <c r="P48" s="2">
        <f t="shared" si="63"/>
        <v>55.92</v>
      </c>
      <c r="Q48" s="2">
        <f>(ROUND((ROUND(((ET48)*AV48*I48),2)*BB48),2)+ROUND((ROUND(((AE48-(EU48))*AV48*I48),2)*BS48),2))</f>
        <v>0</v>
      </c>
      <c r="R48" s="2">
        <f t="shared" si="23"/>
        <v>0</v>
      </c>
      <c r="S48" s="2">
        <f t="shared" si="24"/>
        <v>0</v>
      </c>
      <c r="T48" s="2">
        <f t="shared" si="25"/>
        <v>0</v>
      </c>
      <c r="U48" s="2">
        <f t="shared" si="26"/>
        <v>0</v>
      </c>
      <c r="V48" s="2">
        <f t="shared" si="27"/>
        <v>0</v>
      </c>
      <c r="W48" s="2">
        <f t="shared" si="28"/>
        <v>0</v>
      </c>
      <c r="X48" s="2">
        <f t="shared" si="29"/>
        <v>0</v>
      </c>
      <c r="Y48" s="2">
        <f t="shared" si="30"/>
        <v>0</v>
      </c>
      <c r="Z48" s="2"/>
      <c r="AA48" s="2">
        <v>56505403</v>
      </c>
      <c r="AB48" s="2">
        <f t="shared" si="31"/>
        <v>55.92</v>
      </c>
      <c r="AC48" s="2">
        <f t="shared" si="32"/>
        <v>55.92</v>
      </c>
      <c r="AD48" s="2">
        <f>ROUND((((ET48)-(EU48))+AE48),6)</f>
        <v>0</v>
      </c>
      <c r="AE48" s="2">
        <f>ROUND((EU48),6)</f>
        <v>0</v>
      </c>
      <c r="AF48" s="2">
        <f>ROUND((EV48),6)</f>
        <v>0</v>
      </c>
      <c r="AG48" s="2">
        <f t="shared" si="33"/>
        <v>0</v>
      </c>
      <c r="AH48" s="2">
        <f>(EW48)</f>
        <v>0</v>
      </c>
      <c r="AI48" s="2">
        <f>(EX48)</f>
        <v>0</v>
      </c>
      <c r="AJ48" s="2">
        <f t="shared" si="34"/>
        <v>0</v>
      </c>
      <c r="AK48" s="2">
        <v>55.92</v>
      </c>
      <c r="AL48" s="2">
        <v>55.92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90</v>
      </c>
      <c r="AU48" s="2">
        <v>46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2</v>
      </c>
      <c r="BJ48" s="2" t="s">
        <v>3</v>
      </c>
      <c r="BK48" s="2"/>
      <c r="BL48" s="2"/>
      <c r="BM48" s="2">
        <v>72</v>
      </c>
      <c r="BN48" s="2">
        <v>0</v>
      </c>
      <c r="BO48" s="2" t="s">
        <v>3</v>
      </c>
      <c r="BP48" s="2">
        <v>0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5"/>
        <v>55.92</v>
      </c>
      <c r="CQ48" s="2">
        <f t="shared" si="64"/>
        <v>55.92</v>
      </c>
      <c r="CR48" s="2">
        <f>(ROUND((ROUND(((ET48)*AV48*1),2)*BB48),2)+ROUND((ROUND(((AE48-(EU48))*AV48*1),2)*BS48),2))</f>
        <v>0</v>
      </c>
      <c r="CS48" s="2">
        <f t="shared" si="37"/>
        <v>0</v>
      </c>
      <c r="CT48" s="2">
        <f t="shared" si="38"/>
        <v>0</v>
      </c>
      <c r="CU48" s="2">
        <f t="shared" si="39"/>
        <v>0</v>
      </c>
      <c r="CV48" s="2">
        <f t="shared" si="40"/>
        <v>0</v>
      </c>
      <c r="CW48" s="2">
        <f t="shared" si="41"/>
        <v>0</v>
      </c>
      <c r="CX48" s="2">
        <f t="shared" si="42"/>
        <v>0</v>
      </c>
      <c r="CY48" s="2">
        <f t="shared" si="43"/>
        <v>0</v>
      </c>
      <c r="CZ48" s="2">
        <f t="shared" si="44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32</v>
      </c>
      <c r="DW48" s="2" t="s">
        <v>32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58162634</v>
      </c>
      <c r="EF48" s="2">
        <v>40</v>
      </c>
      <c r="EG48" s="2" t="s">
        <v>25</v>
      </c>
      <c r="EH48" s="2">
        <v>0</v>
      </c>
      <c r="EI48" s="2" t="s">
        <v>3</v>
      </c>
      <c r="EJ48" s="2">
        <v>2</v>
      </c>
      <c r="EK48" s="2">
        <v>72</v>
      </c>
      <c r="EL48" s="2" t="s">
        <v>47</v>
      </c>
      <c r="EM48" s="2" t="s">
        <v>48</v>
      </c>
      <c r="EN48" s="2"/>
      <c r="EO48" s="2" t="s">
        <v>3</v>
      </c>
      <c r="EP48" s="2"/>
      <c r="EQ48" s="2">
        <v>0</v>
      </c>
      <c r="ER48" s="2">
        <v>0</v>
      </c>
      <c r="ES48" s="2">
        <v>55.92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76</v>
      </c>
      <c r="GB48" s="2"/>
      <c r="GC48" s="2"/>
      <c r="GD48" s="2">
        <v>1</v>
      </c>
      <c r="GE48" s="2"/>
      <c r="GF48" s="2">
        <v>1530715677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5"/>
        <v>0</v>
      </c>
      <c r="GM48" s="2">
        <f t="shared" si="46"/>
        <v>55.92</v>
      </c>
      <c r="GN48" s="2">
        <f t="shared" si="47"/>
        <v>0</v>
      </c>
      <c r="GO48" s="2">
        <f t="shared" si="48"/>
        <v>55.92</v>
      </c>
      <c r="GP48" s="2">
        <f t="shared" si="49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50"/>
        <v>0</v>
      </c>
      <c r="GW48" s="2">
        <v>1</v>
      </c>
      <c r="GX48" s="2">
        <f t="shared" si="51"/>
        <v>0</v>
      </c>
      <c r="GY48" s="2"/>
      <c r="GZ48" s="2"/>
      <c r="HA48" s="2">
        <v>0</v>
      </c>
      <c r="HB48" s="2">
        <v>0</v>
      </c>
      <c r="HC48" s="2">
        <f t="shared" si="52"/>
        <v>0</v>
      </c>
      <c r="HD48" s="2"/>
      <c r="HE48" s="2" t="s">
        <v>34</v>
      </c>
      <c r="HF48" s="2" t="s">
        <v>35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3">
      <c r="A49" s="3">
        <v>18</v>
      </c>
      <c r="B49" s="3">
        <v>1</v>
      </c>
      <c r="C49" s="3"/>
      <c r="D49" s="3"/>
      <c r="E49" s="3" t="s">
        <v>73</v>
      </c>
      <c r="F49" s="3" t="s">
        <v>74</v>
      </c>
      <c r="G49" s="3" t="s">
        <v>75</v>
      </c>
      <c r="H49" s="3" t="s">
        <v>32</v>
      </c>
      <c r="I49" s="3">
        <f>I47*J49</f>
        <v>1</v>
      </c>
      <c r="J49" s="3">
        <v>1</v>
      </c>
      <c r="K49" s="3">
        <v>1</v>
      </c>
      <c r="L49" s="3"/>
      <c r="M49" s="3"/>
      <c r="N49" s="3"/>
      <c r="O49" s="3">
        <f t="shared" si="21"/>
        <v>552.49</v>
      </c>
      <c r="P49" s="3">
        <f t="shared" si="63"/>
        <v>552.49</v>
      </c>
      <c r="Q49" s="3">
        <f>(ROUND((ROUND(((ET49)*AV49*I49),2)*BB49),2)+ROUND((ROUND(((AE49-(EU49))*AV49*I49),2)*BS49),2))</f>
        <v>0</v>
      </c>
      <c r="R49" s="3">
        <f t="shared" si="23"/>
        <v>0</v>
      </c>
      <c r="S49" s="3">
        <f t="shared" si="24"/>
        <v>0</v>
      </c>
      <c r="T49" s="3">
        <f t="shared" si="25"/>
        <v>0</v>
      </c>
      <c r="U49" s="3">
        <f t="shared" si="26"/>
        <v>0</v>
      </c>
      <c r="V49" s="3">
        <f t="shared" si="27"/>
        <v>0</v>
      </c>
      <c r="W49" s="3">
        <f t="shared" si="28"/>
        <v>0</v>
      </c>
      <c r="X49" s="3">
        <f t="shared" si="29"/>
        <v>0</v>
      </c>
      <c r="Y49" s="3">
        <f t="shared" si="30"/>
        <v>0</v>
      </c>
      <c r="Z49" s="3"/>
      <c r="AA49" s="3">
        <v>56505405</v>
      </c>
      <c r="AB49" s="3">
        <f t="shared" si="31"/>
        <v>55.92</v>
      </c>
      <c r="AC49" s="3">
        <f t="shared" si="32"/>
        <v>55.92</v>
      </c>
      <c r="AD49" s="3">
        <f>ROUND((((ET49)-(EU49))+AE49),6)</f>
        <v>0</v>
      </c>
      <c r="AE49" s="3">
        <f>ROUND((EU49),6)</f>
        <v>0</v>
      </c>
      <c r="AF49" s="3">
        <f>ROUND((EV49),6)</f>
        <v>0</v>
      </c>
      <c r="AG49" s="3">
        <f t="shared" si="33"/>
        <v>0</v>
      </c>
      <c r="AH49" s="3">
        <f>(EW49)</f>
        <v>0</v>
      </c>
      <c r="AI49" s="3">
        <f>(EX49)</f>
        <v>0</v>
      </c>
      <c r="AJ49" s="3">
        <f t="shared" si="34"/>
        <v>0</v>
      </c>
      <c r="AK49" s="3">
        <v>55.92</v>
      </c>
      <c r="AL49" s="3">
        <v>55.92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90</v>
      </c>
      <c r="AU49" s="3">
        <v>46</v>
      </c>
      <c r="AV49" s="3">
        <v>1</v>
      </c>
      <c r="AW49" s="3">
        <v>1</v>
      </c>
      <c r="AX49" s="3"/>
      <c r="AY49" s="3"/>
      <c r="AZ49" s="3">
        <v>1</v>
      </c>
      <c r="BA49" s="3">
        <v>1</v>
      </c>
      <c r="BB49" s="3">
        <v>1</v>
      </c>
      <c r="BC49" s="3">
        <v>9.8800000000000008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2</v>
      </c>
      <c r="BJ49" s="3" t="s">
        <v>3</v>
      </c>
      <c r="BK49" s="3"/>
      <c r="BL49" s="3"/>
      <c r="BM49" s="3">
        <v>72</v>
      </c>
      <c r="BN49" s="3">
        <v>0</v>
      </c>
      <c r="BO49" s="3" t="s">
        <v>3</v>
      </c>
      <c r="BP49" s="3">
        <v>0</v>
      </c>
      <c r="BQ49" s="3">
        <v>40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C49" s="3"/>
      <c r="CD49" s="3"/>
      <c r="CE49" s="3">
        <v>30</v>
      </c>
      <c r="CF49" s="3">
        <v>0</v>
      </c>
      <c r="CG49" s="3">
        <v>0</v>
      </c>
      <c r="CH49" s="3"/>
      <c r="CI49" s="3"/>
      <c r="CJ49" s="3"/>
      <c r="CK49" s="3"/>
      <c r="CL49" s="3"/>
      <c r="CM49" s="3">
        <v>0</v>
      </c>
      <c r="CN49" s="3" t="s">
        <v>3</v>
      </c>
      <c r="CO49" s="3">
        <v>0</v>
      </c>
      <c r="CP49" s="3">
        <f t="shared" si="35"/>
        <v>552.49</v>
      </c>
      <c r="CQ49" s="3">
        <f t="shared" si="64"/>
        <v>552.49</v>
      </c>
      <c r="CR49" s="3">
        <f>(ROUND((ROUND(((ET49)*AV49*1),2)*BB49),2)+ROUND((ROUND(((AE49-(EU49))*AV49*1),2)*BS49),2))</f>
        <v>0</v>
      </c>
      <c r="CS49" s="3">
        <f t="shared" si="37"/>
        <v>0</v>
      </c>
      <c r="CT49" s="3">
        <f t="shared" si="38"/>
        <v>0</v>
      </c>
      <c r="CU49" s="3">
        <f t="shared" si="39"/>
        <v>0</v>
      </c>
      <c r="CV49" s="3">
        <f t="shared" si="40"/>
        <v>0</v>
      </c>
      <c r="CW49" s="3">
        <f t="shared" si="41"/>
        <v>0</v>
      </c>
      <c r="CX49" s="3">
        <f t="shared" si="42"/>
        <v>0</v>
      </c>
      <c r="CY49" s="3">
        <f t="shared" si="43"/>
        <v>0</v>
      </c>
      <c r="CZ49" s="3">
        <f t="shared" si="44"/>
        <v>0</v>
      </c>
      <c r="DA49" s="3"/>
      <c r="DB49" s="3"/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R49" s="3"/>
      <c r="DS49" s="3"/>
      <c r="DT49" s="3"/>
      <c r="DU49" s="3">
        <v>1010</v>
      </c>
      <c r="DV49" s="3" t="s">
        <v>32</v>
      </c>
      <c r="DW49" s="3" t="s">
        <v>32</v>
      </c>
      <c r="DX49" s="3">
        <v>1</v>
      </c>
      <c r="DY49" s="3"/>
      <c r="DZ49" s="3" t="s">
        <v>3</v>
      </c>
      <c r="EA49" s="3" t="s">
        <v>3</v>
      </c>
      <c r="EB49" s="3" t="s">
        <v>3</v>
      </c>
      <c r="EC49" s="3" t="s">
        <v>3</v>
      </c>
      <c r="ED49" s="3"/>
      <c r="EE49" s="3">
        <v>58162634</v>
      </c>
      <c r="EF49" s="3">
        <v>40</v>
      </c>
      <c r="EG49" s="3" t="s">
        <v>25</v>
      </c>
      <c r="EH49" s="3">
        <v>0</v>
      </c>
      <c r="EI49" s="3" t="s">
        <v>3</v>
      </c>
      <c r="EJ49" s="3">
        <v>2</v>
      </c>
      <c r="EK49" s="3">
        <v>72</v>
      </c>
      <c r="EL49" s="3" t="s">
        <v>47</v>
      </c>
      <c r="EM49" s="3" t="s">
        <v>48</v>
      </c>
      <c r="EN49" s="3"/>
      <c r="EO49" s="3" t="s">
        <v>3</v>
      </c>
      <c r="EP49" s="3"/>
      <c r="EQ49" s="3">
        <v>0</v>
      </c>
      <c r="ER49" s="3">
        <v>55.92</v>
      </c>
      <c r="ES49" s="3">
        <v>55.92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/>
      <c r="EZ49" s="3">
        <v>5</v>
      </c>
      <c r="FA49" s="3"/>
      <c r="FB49" s="3"/>
      <c r="FC49" s="3">
        <v>1</v>
      </c>
      <c r="FD49" s="3">
        <v>18</v>
      </c>
      <c r="FE49" s="3"/>
      <c r="FF49" s="3">
        <v>650</v>
      </c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>
        <v>0</v>
      </c>
      <c r="FR49" s="3">
        <v>0</v>
      </c>
      <c r="FS49" s="3">
        <v>0</v>
      </c>
      <c r="FT49" s="3"/>
      <c r="FU49" s="3"/>
      <c r="FV49" s="3"/>
      <c r="FW49" s="3"/>
      <c r="FX49" s="3">
        <v>90</v>
      </c>
      <c r="FY49" s="3">
        <v>46</v>
      </c>
      <c r="FZ49" s="3"/>
      <c r="GA49" s="3" t="s">
        <v>76</v>
      </c>
      <c r="GB49" s="3"/>
      <c r="GC49" s="3"/>
      <c r="GD49" s="3">
        <v>1</v>
      </c>
      <c r="GE49" s="3"/>
      <c r="GF49" s="3">
        <v>1530715677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45"/>
        <v>0</v>
      </c>
      <c r="GM49" s="3">
        <f t="shared" si="46"/>
        <v>552.49</v>
      </c>
      <c r="GN49" s="3">
        <f t="shared" si="47"/>
        <v>0</v>
      </c>
      <c r="GO49" s="3">
        <f t="shared" si="48"/>
        <v>552.49</v>
      </c>
      <c r="GP49" s="3">
        <f t="shared" si="49"/>
        <v>0</v>
      </c>
      <c r="GQ49" s="3"/>
      <c r="GR49" s="3">
        <v>1</v>
      </c>
      <c r="GS49" s="3">
        <v>1</v>
      </c>
      <c r="GT49" s="3">
        <v>0</v>
      </c>
      <c r="GU49" s="3" t="s">
        <v>3</v>
      </c>
      <c r="GV49" s="3">
        <f t="shared" si="50"/>
        <v>0</v>
      </c>
      <c r="GW49" s="3">
        <v>1</v>
      </c>
      <c r="GX49" s="3">
        <f t="shared" si="51"/>
        <v>0</v>
      </c>
      <c r="GY49" s="3"/>
      <c r="GZ49" s="3"/>
      <c r="HA49" s="3">
        <v>0</v>
      </c>
      <c r="HB49" s="3">
        <v>0</v>
      </c>
      <c r="HC49" s="3">
        <f t="shared" si="52"/>
        <v>0</v>
      </c>
      <c r="HD49" s="3"/>
      <c r="HE49" s="3" t="s">
        <v>34</v>
      </c>
      <c r="HF49" s="3" t="s">
        <v>35</v>
      </c>
      <c r="HG49" s="3"/>
      <c r="HH49" s="3"/>
      <c r="HI49" s="3"/>
      <c r="HJ49" s="3"/>
      <c r="HK49" s="3"/>
      <c r="HL49" s="3"/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R49" s="3"/>
      <c r="HS49" s="3">
        <v>0</v>
      </c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>
        <v>0</v>
      </c>
      <c r="IL49" s="3"/>
      <c r="IM49" s="3"/>
      <c r="IN49" s="3"/>
      <c r="IO49" s="3"/>
      <c r="IP49" s="3"/>
      <c r="IQ49" s="3"/>
      <c r="IR49" s="3"/>
      <c r="IS49" s="3"/>
      <c r="IT49" s="3"/>
      <c r="IU49" s="3"/>
    </row>
    <row r="51" spans="1:255" x14ac:dyDescent="0.3">
      <c r="A51" s="4">
        <v>51</v>
      </c>
      <c r="B51" s="4">
        <f>B24</f>
        <v>1</v>
      </c>
      <c r="C51" s="4">
        <f>A24</f>
        <v>4</v>
      </c>
      <c r="D51" s="4">
        <f>ROW(A24)</f>
        <v>24</v>
      </c>
      <c r="E51" s="4"/>
      <c r="F51" s="4" t="str">
        <f>IF(F24&lt;&gt;"",F24,"")</f>
        <v/>
      </c>
      <c r="G51" s="4" t="str">
        <f>IF(G24&lt;&gt;"",G24,"")</f>
        <v>Телекоммуникационный шкаф 47U 19" ШТ1-01</v>
      </c>
      <c r="H51" s="4">
        <v>0</v>
      </c>
      <c r="I51" s="4"/>
      <c r="J51" s="4"/>
      <c r="K51" s="4"/>
      <c r="L51" s="4"/>
      <c r="M51" s="4"/>
      <c r="N51" s="4"/>
      <c r="O51" s="4">
        <f t="shared" ref="O51:T51" si="65">ROUND(AB51,2)</f>
        <v>25651.89</v>
      </c>
      <c r="P51" s="4">
        <f t="shared" si="65"/>
        <v>25442.61</v>
      </c>
      <c r="Q51" s="4">
        <f t="shared" si="65"/>
        <v>47.12</v>
      </c>
      <c r="R51" s="4">
        <f t="shared" si="65"/>
        <v>5.16</v>
      </c>
      <c r="S51" s="4">
        <f t="shared" si="65"/>
        <v>162.16</v>
      </c>
      <c r="T51" s="4">
        <f t="shared" si="65"/>
        <v>0</v>
      </c>
      <c r="U51" s="4">
        <f>AH51</f>
        <v>14.442318</v>
      </c>
      <c r="V51" s="4">
        <f>AI51</f>
        <v>0</v>
      </c>
      <c r="W51" s="4">
        <f>ROUND(AJ51,2)</f>
        <v>0</v>
      </c>
      <c r="X51" s="4">
        <f>ROUND(AK51,2)</f>
        <v>150.59</v>
      </c>
      <c r="Y51" s="4">
        <f>ROUND(AL51,2)</f>
        <v>76.959999999999994</v>
      </c>
      <c r="Z51" s="4"/>
      <c r="AA51" s="4"/>
      <c r="AB51" s="4">
        <f>ROUND(SUMIF(AA28:AA49,"=56505403",O28:O49),2)</f>
        <v>25651.89</v>
      </c>
      <c r="AC51" s="4">
        <f>ROUND(SUMIF(AA28:AA49,"=56505403",P28:P49),2)</f>
        <v>25442.61</v>
      </c>
      <c r="AD51" s="4">
        <f>ROUND(SUMIF(AA28:AA49,"=56505403",Q28:Q49),2)</f>
        <v>47.12</v>
      </c>
      <c r="AE51" s="4">
        <f>ROUND(SUMIF(AA28:AA49,"=56505403",R28:R49),2)</f>
        <v>5.16</v>
      </c>
      <c r="AF51" s="4">
        <f>ROUND(SUMIF(AA28:AA49,"=56505403",S28:S49),2)</f>
        <v>162.16</v>
      </c>
      <c r="AG51" s="4">
        <f>ROUND(SUMIF(AA28:AA49,"=56505403",T28:T49),2)</f>
        <v>0</v>
      </c>
      <c r="AH51" s="4">
        <f>SUMIF(AA28:AA49,"=56505403",U28:U49)</f>
        <v>14.442318</v>
      </c>
      <c r="AI51" s="4">
        <f>SUMIF(AA28:AA49,"=56505403",V28:V49)</f>
        <v>0</v>
      </c>
      <c r="AJ51" s="4">
        <f>ROUND(SUMIF(AA28:AA49,"=56505403",W28:W49),2)</f>
        <v>0</v>
      </c>
      <c r="AK51" s="4">
        <f>ROUND(SUMIF(AA28:AA49,"=56505403",X28:X49),2)</f>
        <v>150.59</v>
      </c>
      <c r="AL51" s="4">
        <f>ROUND(SUMIF(AA28:AA49,"=56505403",Y28:Y49),2)</f>
        <v>76.959999999999994</v>
      </c>
      <c r="AM51" s="4"/>
      <c r="AN51" s="4"/>
      <c r="AO51" s="4">
        <f t="shared" ref="AO51:BD51" si="66">ROUND(BX51,2)</f>
        <v>0</v>
      </c>
      <c r="AP51" s="4">
        <f t="shared" si="66"/>
        <v>3213.03</v>
      </c>
      <c r="AQ51" s="4">
        <f t="shared" si="66"/>
        <v>0</v>
      </c>
      <c r="AR51" s="4">
        <f t="shared" si="66"/>
        <v>25879.439999999999</v>
      </c>
      <c r="AS51" s="4">
        <f t="shared" si="66"/>
        <v>0</v>
      </c>
      <c r="AT51" s="4">
        <f t="shared" si="66"/>
        <v>22666.41</v>
      </c>
      <c r="AU51" s="4">
        <f t="shared" si="66"/>
        <v>0</v>
      </c>
      <c r="AV51" s="4">
        <f t="shared" si="66"/>
        <v>25442.61</v>
      </c>
      <c r="AW51" s="4">
        <f t="shared" si="66"/>
        <v>22229.58</v>
      </c>
      <c r="AX51" s="4">
        <f t="shared" si="66"/>
        <v>0</v>
      </c>
      <c r="AY51" s="4">
        <f t="shared" si="66"/>
        <v>22229.58</v>
      </c>
      <c r="AZ51" s="4">
        <f t="shared" si="66"/>
        <v>3213.03</v>
      </c>
      <c r="BA51" s="4">
        <f t="shared" si="66"/>
        <v>0</v>
      </c>
      <c r="BB51" s="4">
        <f t="shared" si="66"/>
        <v>0</v>
      </c>
      <c r="BC51" s="4">
        <f t="shared" si="66"/>
        <v>0</v>
      </c>
      <c r="BD51" s="4">
        <f t="shared" si="66"/>
        <v>0</v>
      </c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>
        <f>ROUND(SUMIF(AA28:AA49,"=56505403",FQ28:FQ49),2)</f>
        <v>0</v>
      </c>
      <c r="BY51" s="4">
        <f>ROUND(SUMIF(AA28:AA49,"=56505403",FR28:FR49),2)</f>
        <v>3213.03</v>
      </c>
      <c r="BZ51" s="4">
        <f>ROUND(SUMIF(AA28:AA49,"=56505403",GL28:GL49),2)</f>
        <v>0</v>
      </c>
      <c r="CA51" s="4">
        <f>ROUND(SUMIF(AA28:AA49,"=56505403",GM28:GM49),2)</f>
        <v>25879.439999999999</v>
      </c>
      <c r="CB51" s="4">
        <f>ROUND(SUMIF(AA28:AA49,"=56505403",GN28:GN49),2)</f>
        <v>0</v>
      </c>
      <c r="CC51" s="4">
        <f>ROUND(SUMIF(AA28:AA49,"=56505403",GO28:GO49),2)</f>
        <v>22666.41</v>
      </c>
      <c r="CD51" s="4">
        <f>ROUND(SUMIF(AA28:AA49,"=56505403",GP28:GP49),2)</f>
        <v>0</v>
      </c>
      <c r="CE51" s="4">
        <f>AC51-BX51</f>
        <v>25442.61</v>
      </c>
      <c r="CF51" s="4">
        <f>AC51-BY51</f>
        <v>22229.58</v>
      </c>
      <c r="CG51" s="4">
        <f>BX51-BZ51</f>
        <v>0</v>
      </c>
      <c r="CH51" s="4">
        <f>AC51-BX51-BY51+BZ51</f>
        <v>22229.58</v>
      </c>
      <c r="CI51" s="4">
        <f>BY51-BZ51</f>
        <v>3213.03</v>
      </c>
      <c r="CJ51" s="4">
        <f>ROUND(SUMIF(AA28:AA49,"=56505403",GX28:GX49),2)</f>
        <v>0</v>
      </c>
      <c r="CK51" s="4">
        <f>ROUND(SUMIF(AA28:AA49,"=56505403",GY28:GY49),2)</f>
        <v>0</v>
      </c>
      <c r="CL51" s="4">
        <f>ROUND(SUMIF(AA28:AA49,"=56505403",GZ28:GZ49),2)</f>
        <v>0</v>
      </c>
      <c r="CM51" s="4">
        <f>ROUND(SUMIF(AA28:AA49,"=56505403",HD28:HD49),2)</f>
        <v>0</v>
      </c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5">
        <f t="shared" ref="DG51:DL51" si="67">ROUND(DT51,2)</f>
        <v>253873.75</v>
      </c>
      <c r="DH51" s="5">
        <f t="shared" si="67"/>
        <v>244233.88</v>
      </c>
      <c r="DI51" s="5">
        <f t="shared" si="67"/>
        <v>722.7</v>
      </c>
      <c r="DJ51" s="5">
        <f t="shared" si="67"/>
        <v>283.75</v>
      </c>
      <c r="DK51" s="5">
        <f t="shared" si="67"/>
        <v>8917.17</v>
      </c>
      <c r="DL51" s="5">
        <f t="shared" si="67"/>
        <v>0</v>
      </c>
      <c r="DM51" s="5">
        <f>DZ51</f>
        <v>14.442318</v>
      </c>
      <c r="DN51" s="5">
        <f>EA51</f>
        <v>0</v>
      </c>
      <c r="DO51" s="5">
        <f>ROUND(EB51,2)</f>
        <v>0</v>
      </c>
      <c r="DP51" s="5">
        <f>ROUND(EC51,2)</f>
        <v>8280.82</v>
      </c>
      <c r="DQ51" s="5">
        <f>ROUND(ED51,2)</f>
        <v>4232.42</v>
      </c>
      <c r="DR51" s="5"/>
      <c r="DS51" s="5"/>
      <c r="DT51" s="5">
        <f>ROUND(SUMIF(AA28:AA49,"=56505405",O28:O49),2)</f>
        <v>253873.75</v>
      </c>
      <c r="DU51" s="5">
        <f>ROUND(SUMIF(AA28:AA49,"=56505405",P28:P49),2)</f>
        <v>244233.88</v>
      </c>
      <c r="DV51" s="5">
        <f>ROUND(SUMIF(AA28:AA49,"=56505405",Q28:Q49),2)</f>
        <v>722.7</v>
      </c>
      <c r="DW51" s="5">
        <f>ROUND(SUMIF(AA28:AA49,"=56505405",R28:R49),2)</f>
        <v>283.75</v>
      </c>
      <c r="DX51" s="5">
        <f>ROUND(SUMIF(AA28:AA49,"=56505405",S28:S49),2)</f>
        <v>8917.17</v>
      </c>
      <c r="DY51" s="5">
        <f>ROUND(SUMIF(AA28:AA49,"=56505405",T28:T49),2)</f>
        <v>0</v>
      </c>
      <c r="DZ51" s="5">
        <f>SUMIF(AA28:AA49,"=56505405",U28:U49)</f>
        <v>14.442318</v>
      </c>
      <c r="EA51" s="5">
        <f>SUMIF(AA28:AA49,"=56505405",V28:V49)</f>
        <v>0</v>
      </c>
      <c r="EB51" s="5">
        <f>ROUND(SUMIF(AA28:AA49,"=56505405",W28:W49),2)</f>
        <v>0</v>
      </c>
      <c r="EC51" s="5">
        <f>ROUND(SUMIF(AA28:AA49,"=56505405",X28:X49),2)</f>
        <v>8280.82</v>
      </c>
      <c r="ED51" s="5">
        <f>ROUND(SUMIF(AA28:AA49,"=56505405",Y28:Y49),2)</f>
        <v>4232.42</v>
      </c>
      <c r="EE51" s="5"/>
      <c r="EF51" s="5"/>
      <c r="EG51" s="5">
        <f t="shared" ref="EG51:EV51" si="68">ROUND(FP51,2)</f>
        <v>0</v>
      </c>
      <c r="EH51" s="5">
        <f t="shared" si="68"/>
        <v>24611.81</v>
      </c>
      <c r="EI51" s="5">
        <f t="shared" si="68"/>
        <v>0</v>
      </c>
      <c r="EJ51" s="5">
        <f t="shared" si="68"/>
        <v>266386.99</v>
      </c>
      <c r="EK51" s="5">
        <f t="shared" si="68"/>
        <v>0</v>
      </c>
      <c r="EL51" s="5">
        <f t="shared" si="68"/>
        <v>241775.18</v>
      </c>
      <c r="EM51" s="5">
        <f t="shared" si="68"/>
        <v>0</v>
      </c>
      <c r="EN51" s="5">
        <f t="shared" si="68"/>
        <v>244233.88</v>
      </c>
      <c r="EO51" s="5">
        <f t="shared" si="68"/>
        <v>219622.07</v>
      </c>
      <c r="EP51" s="5">
        <f t="shared" si="68"/>
        <v>0</v>
      </c>
      <c r="EQ51" s="5">
        <f t="shared" si="68"/>
        <v>219622.07</v>
      </c>
      <c r="ER51" s="5">
        <f t="shared" si="68"/>
        <v>24611.81</v>
      </c>
      <c r="ES51" s="5">
        <f t="shared" si="68"/>
        <v>0</v>
      </c>
      <c r="ET51" s="5">
        <f t="shared" si="68"/>
        <v>0</v>
      </c>
      <c r="EU51" s="5">
        <f t="shared" si="68"/>
        <v>0</v>
      </c>
      <c r="EV51" s="5">
        <f t="shared" si="68"/>
        <v>0</v>
      </c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>
        <f>ROUND(SUMIF(AA28:AA49,"=56505405",FQ28:FQ49),2)</f>
        <v>0</v>
      </c>
      <c r="FQ51" s="5">
        <f>ROUND(SUMIF(AA28:AA49,"=56505405",FR28:FR49),2)</f>
        <v>24611.81</v>
      </c>
      <c r="FR51" s="5">
        <f>ROUND(SUMIF(AA28:AA49,"=56505405",GL28:GL49),2)</f>
        <v>0</v>
      </c>
      <c r="FS51" s="5">
        <f>ROUND(SUMIF(AA28:AA49,"=56505405",GM28:GM49),2)</f>
        <v>266386.99</v>
      </c>
      <c r="FT51" s="5">
        <f>ROUND(SUMIF(AA28:AA49,"=56505405",GN28:GN49),2)</f>
        <v>0</v>
      </c>
      <c r="FU51" s="5">
        <f>ROUND(SUMIF(AA28:AA49,"=56505405",GO28:GO49),2)</f>
        <v>241775.18</v>
      </c>
      <c r="FV51" s="5">
        <f>ROUND(SUMIF(AA28:AA49,"=56505405",GP28:GP49),2)</f>
        <v>0</v>
      </c>
      <c r="FW51" s="5">
        <f>DU51-FP51</f>
        <v>244233.88</v>
      </c>
      <c r="FX51" s="5">
        <f>DU51-FQ51</f>
        <v>219622.07</v>
      </c>
      <c r="FY51" s="5">
        <f>FP51-FR51</f>
        <v>0</v>
      </c>
      <c r="FZ51" s="5">
        <f>DU51-FP51-FQ51+FR51</f>
        <v>219622.07</v>
      </c>
      <c r="GA51" s="5">
        <f>FQ51-FR51</f>
        <v>24611.81</v>
      </c>
      <c r="GB51" s="5">
        <f>ROUND(SUMIF(AA28:AA49,"=56505405",GX28:GX49),2)</f>
        <v>0</v>
      </c>
      <c r="GC51" s="5">
        <f>ROUND(SUMIF(AA28:AA49,"=56505405",GY28:GY49),2)</f>
        <v>0</v>
      </c>
      <c r="GD51" s="5">
        <f>ROUND(SUMIF(AA28:AA49,"=56505405",GZ28:GZ49),2)</f>
        <v>0</v>
      </c>
      <c r="GE51" s="5">
        <f>ROUND(SUMIF(AA28:AA49,"=56505405",HD28:HD49),2)</f>
        <v>0</v>
      </c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>
        <v>0</v>
      </c>
    </row>
    <row r="53" spans="1:255" x14ac:dyDescent="0.3">
      <c r="A53" s="6">
        <v>50</v>
      </c>
      <c r="B53" s="6">
        <v>0</v>
      </c>
      <c r="C53" s="6">
        <v>0</v>
      </c>
      <c r="D53" s="6">
        <v>1</v>
      </c>
      <c r="E53" s="6">
        <v>201</v>
      </c>
      <c r="F53" s="6">
        <f>ROUND(Source!O51,O53)</f>
        <v>25651.89</v>
      </c>
      <c r="G53" s="6" t="s">
        <v>77</v>
      </c>
      <c r="H53" s="6" t="s">
        <v>78</v>
      </c>
      <c r="I53" s="6"/>
      <c r="J53" s="6"/>
      <c r="K53" s="6">
        <v>201</v>
      </c>
      <c r="L53" s="6">
        <v>1</v>
      </c>
      <c r="M53" s="6">
        <v>3</v>
      </c>
      <c r="N53" s="6" t="s">
        <v>3</v>
      </c>
      <c r="O53" s="6">
        <v>2</v>
      </c>
      <c r="P53" s="6">
        <f>ROUND(Source!DG51,O53)</f>
        <v>253873.75</v>
      </c>
      <c r="Q53" s="6"/>
      <c r="R53" s="6"/>
      <c r="S53" s="6"/>
      <c r="T53" s="6"/>
      <c r="U53" s="6"/>
      <c r="V53" s="6"/>
      <c r="W53" s="6">
        <v>25651.89</v>
      </c>
      <c r="X53" s="6">
        <v>1</v>
      </c>
      <c r="Y53" s="6">
        <v>25651.89</v>
      </c>
      <c r="Z53" s="6">
        <v>253873.75</v>
      </c>
      <c r="AA53" s="6">
        <v>1</v>
      </c>
      <c r="AB53" s="6">
        <v>253873.75</v>
      </c>
    </row>
    <row r="54" spans="1:255" x14ac:dyDescent="0.3">
      <c r="A54" s="6">
        <v>50</v>
      </c>
      <c r="B54" s="6">
        <v>0</v>
      </c>
      <c r="C54" s="6">
        <v>0</v>
      </c>
      <c r="D54" s="6">
        <v>1</v>
      </c>
      <c r="E54" s="6">
        <v>202</v>
      </c>
      <c r="F54" s="6">
        <f>ROUND(Source!P51,O54)</f>
        <v>25442.61</v>
      </c>
      <c r="G54" s="6" t="s">
        <v>79</v>
      </c>
      <c r="H54" s="6" t="s">
        <v>80</v>
      </c>
      <c r="I54" s="6"/>
      <c r="J54" s="6"/>
      <c r="K54" s="6">
        <v>202</v>
      </c>
      <c r="L54" s="6">
        <v>2</v>
      </c>
      <c r="M54" s="6">
        <v>3</v>
      </c>
      <c r="N54" s="6" t="s">
        <v>3</v>
      </c>
      <c r="O54" s="6">
        <v>2</v>
      </c>
      <c r="P54" s="6">
        <f>ROUND(Source!DH51,O54)</f>
        <v>244233.88</v>
      </c>
      <c r="Q54" s="6"/>
      <c r="R54" s="6"/>
      <c r="S54" s="6"/>
      <c r="T54" s="6"/>
      <c r="U54" s="6"/>
      <c r="V54" s="6"/>
      <c r="W54" s="6">
        <v>25442.61</v>
      </c>
      <c r="X54" s="6">
        <v>1</v>
      </c>
      <c r="Y54" s="6">
        <v>25442.61</v>
      </c>
      <c r="Z54" s="6">
        <v>244233.88</v>
      </c>
      <c r="AA54" s="6">
        <v>1</v>
      </c>
      <c r="AB54" s="6">
        <v>244233.88</v>
      </c>
    </row>
    <row r="55" spans="1:255" x14ac:dyDescent="0.3">
      <c r="A55" s="6">
        <v>50</v>
      </c>
      <c r="B55" s="6">
        <v>0</v>
      </c>
      <c r="C55" s="6">
        <v>0</v>
      </c>
      <c r="D55" s="6">
        <v>1</v>
      </c>
      <c r="E55" s="6">
        <v>222</v>
      </c>
      <c r="F55" s="6">
        <f>ROUND(Source!AO51,O55)</f>
        <v>0</v>
      </c>
      <c r="G55" s="6" t="s">
        <v>81</v>
      </c>
      <c r="H55" s="6" t="s">
        <v>82</v>
      </c>
      <c r="I55" s="6"/>
      <c r="J55" s="6"/>
      <c r="K55" s="6">
        <v>222</v>
      </c>
      <c r="L55" s="6">
        <v>3</v>
      </c>
      <c r="M55" s="6">
        <v>3</v>
      </c>
      <c r="N55" s="6" t="s">
        <v>3</v>
      </c>
      <c r="O55" s="6">
        <v>2</v>
      </c>
      <c r="P55" s="6">
        <f>ROUND(Source!EG51,O55)</f>
        <v>0</v>
      </c>
      <c r="Q55" s="6"/>
      <c r="R55" s="6"/>
      <c r="S55" s="6"/>
      <c r="T55" s="6"/>
      <c r="U55" s="6"/>
      <c r="V55" s="6"/>
      <c r="W55" s="6">
        <v>0</v>
      </c>
      <c r="X55" s="6">
        <v>1</v>
      </c>
      <c r="Y55" s="6">
        <v>0</v>
      </c>
      <c r="Z55" s="6">
        <v>0</v>
      </c>
      <c r="AA55" s="6">
        <v>1</v>
      </c>
      <c r="AB55" s="6">
        <v>0</v>
      </c>
    </row>
    <row r="56" spans="1:255" x14ac:dyDescent="0.3">
      <c r="A56" s="6">
        <v>50</v>
      </c>
      <c r="B56" s="6">
        <v>0</v>
      </c>
      <c r="C56" s="6">
        <v>0</v>
      </c>
      <c r="D56" s="6">
        <v>1</v>
      </c>
      <c r="E56" s="6">
        <v>225</v>
      </c>
      <c r="F56" s="6">
        <f>ROUND(Source!AV51,O56)</f>
        <v>25442.61</v>
      </c>
      <c r="G56" s="6" t="s">
        <v>83</v>
      </c>
      <c r="H56" s="6" t="s">
        <v>84</v>
      </c>
      <c r="I56" s="6"/>
      <c r="J56" s="6"/>
      <c r="K56" s="6">
        <v>225</v>
      </c>
      <c r="L56" s="6">
        <v>4</v>
      </c>
      <c r="M56" s="6">
        <v>3</v>
      </c>
      <c r="N56" s="6" t="s">
        <v>3</v>
      </c>
      <c r="O56" s="6">
        <v>2</v>
      </c>
      <c r="P56" s="6">
        <f>ROUND(Source!EN51,O56)</f>
        <v>244233.88</v>
      </c>
      <c r="Q56" s="6"/>
      <c r="R56" s="6"/>
      <c r="S56" s="6"/>
      <c r="T56" s="6"/>
      <c r="U56" s="6"/>
      <c r="V56" s="6"/>
      <c r="W56" s="6">
        <v>25442.61</v>
      </c>
      <c r="X56" s="6">
        <v>1</v>
      </c>
      <c r="Y56" s="6">
        <v>25442.61</v>
      </c>
      <c r="Z56" s="6">
        <v>244233.88</v>
      </c>
      <c r="AA56" s="6">
        <v>1</v>
      </c>
      <c r="AB56" s="6">
        <v>244233.88</v>
      </c>
    </row>
    <row r="57" spans="1:255" x14ac:dyDescent="0.3">
      <c r="A57" s="6">
        <v>50</v>
      </c>
      <c r="B57" s="6">
        <v>0</v>
      </c>
      <c r="C57" s="6">
        <v>0</v>
      </c>
      <c r="D57" s="6">
        <v>1</v>
      </c>
      <c r="E57" s="6">
        <v>226</v>
      </c>
      <c r="F57" s="6">
        <f>ROUND(Source!AW51,O57)</f>
        <v>22229.58</v>
      </c>
      <c r="G57" s="6" t="s">
        <v>85</v>
      </c>
      <c r="H57" s="6" t="s">
        <v>86</v>
      </c>
      <c r="I57" s="6"/>
      <c r="J57" s="6"/>
      <c r="K57" s="6">
        <v>226</v>
      </c>
      <c r="L57" s="6">
        <v>5</v>
      </c>
      <c r="M57" s="6">
        <v>3</v>
      </c>
      <c r="N57" s="6" t="s">
        <v>3</v>
      </c>
      <c r="O57" s="6">
        <v>2</v>
      </c>
      <c r="P57" s="6">
        <f>ROUND(Source!EO51,O57)</f>
        <v>219622.07</v>
      </c>
      <c r="Q57" s="6"/>
      <c r="R57" s="6"/>
      <c r="S57" s="6"/>
      <c r="T57" s="6"/>
      <c r="U57" s="6"/>
      <c r="V57" s="6"/>
      <c r="W57" s="6">
        <v>22229.58</v>
      </c>
      <c r="X57" s="6">
        <v>1</v>
      </c>
      <c r="Y57" s="6">
        <v>22229.58</v>
      </c>
      <c r="Z57" s="6">
        <v>219622.07</v>
      </c>
      <c r="AA57" s="6">
        <v>1</v>
      </c>
      <c r="AB57" s="6">
        <v>219622.07</v>
      </c>
    </row>
    <row r="58" spans="1:255" x14ac:dyDescent="0.3">
      <c r="A58" s="6">
        <v>50</v>
      </c>
      <c r="B58" s="6">
        <v>0</v>
      </c>
      <c r="C58" s="6">
        <v>0</v>
      </c>
      <c r="D58" s="6">
        <v>1</v>
      </c>
      <c r="E58" s="6">
        <v>227</v>
      </c>
      <c r="F58" s="6">
        <f>ROUND(Source!AX51,O58)</f>
        <v>0</v>
      </c>
      <c r="G58" s="6" t="s">
        <v>87</v>
      </c>
      <c r="H58" s="6" t="s">
        <v>88</v>
      </c>
      <c r="I58" s="6"/>
      <c r="J58" s="6"/>
      <c r="K58" s="6">
        <v>227</v>
      </c>
      <c r="L58" s="6">
        <v>6</v>
      </c>
      <c r="M58" s="6">
        <v>3</v>
      </c>
      <c r="N58" s="6" t="s">
        <v>3</v>
      </c>
      <c r="O58" s="6">
        <v>2</v>
      </c>
      <c r="P58" s="6">
        <f>ROUND(Source!EP51,O58)</f>
        <v>0</v>
      </c>
      <c r="Q58" s="6"/>
      <c r="R58" s="6"/>
      <c r="S58" s="6"/>
      <c r="T58" s="6"/>
      <c r="U58" s="6"/>
      <c r="V58" s="6"/>
      <c r="W58" s="6">
        <v>0</v>
      </c>
      <c r="X58" s="6">
        <v>1</v>
      </c>
      <c r="Y58" s="6">
        <v>0</v>
      </c>
      <c r="Z58" s="6">
        <v>0</v>
      </c>
      <c r="AA58" s="6">
        <v>1</v>
      </c>
      <c r="AB58" s="6">
        <v>0</v>
      </c>
    </row>
    <row r="59" spans="1:255" x14ac:dyDescent="0.3">
      <c r="A59" s="6">
        <v>50</v>
      </c>
      <c r="B59" s="6">
        <v>0</v>
      </c>
      <c r="C59" s="6">
        <v>0</v>
      </c>
      <c r="D59" s="6">
        <v>1</v>
      </c>
      <c r="E59" s="6">
        <v>228</v>
      </c>
      <c r="F59" s="6">
        <f>ROUND(Source!AY51,O59)</f>
        <v>22229.58</v>
      </c>
      <c r="G59" s="6" t="s">
        <v>89</v>
      </c>
      <c r="H59" s="6" t="s">
        <v>90</v>
      </c>
      <c r="I59" s="6"/>
      <c r="J59" s="6"/>
      <c r="K59" s="6">
        <v>228</v>
      </c>
      <c r="L59" s="6">
        <v>7</v>
      </c>
      <c r="M59" s="6">
        <v>3</v>
      </c>
      <c r="N59" s="6" t="s">
        <v>3</v>
      </c>
      <c r="O59" s="6">
        <v>2</v>
      </c>
      <c r="P59" s="6">
        <f>ROUND(Source!EQ51,O59)</f>
        <v>219622.07</v>
      </c>
      <c r="Q59" s="6"/>
      <c r="R59" s="6"/>
      <c r="S59" s="6"/>
      <c r="T59" s="6"/>
      <c r="U59" s="6"/>
      <c r="V59" s="6"/>
      <c r="W59" s="6">
        <v>22229.58</v>
      </c>
      <c r="X59" s="6">
        <v>1</v>
      </c>
      <c r="Y59" s="6">
        <v>22229.58</v>
      </c>
      <c r="Z59" s="6">
        <v>219622.07</v>
      </c>
      <c r="AA59" s="6">
        <v>1</v>
      </c>
      <c r="AB59" s="6">
        <v>219622.07</v>
      </c>
    </row>
    <row r="60" spans="1:255" x14ac:dyDescent="0.3">
      <c r="A60" s="6">
        <v>50</v>
      </c>
      <c r="B60" s="6">
        <v>0</v>
      </c>
      <c r="C60" s="6">
        <v>0</v>
      </c>
      <c r="D60" s="6">
        <v>1</v>
      </c>
      <c r="E60" s="6">
        <v>216</v>
      </c>
      <c r="F60" s="6">
        <f>ROUND(Source!AP51,O60)</f>
        <v>3213.03</v>
      </c>
      <c r="G60" s="6" t="s">
        <v>91</v>
      </c>
      <c r="H60" s="6" t="s">
        <v>92</v>
      </c>
      <c r="I60" s="6"/>
      <c r="J60" s="6"/>
      <c r="K60" s="6">
        <v>216</v>
      </c>
      <c r="L60" s="6">
        <v>8</v>
      </c>
      <c r="M60" s="6">
        <v>3</v>
      </c>
      <c r="N60" s="6" t="s">
        <v>3</v>
      </c>
      <c r="O60" s="6">
        <v>2</v>
      </c>
      <c r="P60" s="6">
        <f>ROUND(Source!EH51,O60)</f>
        <v>24611.81</v>
      </c>
      <c r="Q60" s="6"/>
      <c r="R60" s="6"/>
      <c r="S60" s="6"/>
      <c r="T60" s="6"/>
      <c r="U60" s="6"/>
      <c r="V60" s="6"/>
      <c r="W60" s="6">
        <v>3213.03</v>
      </c>
      <c r="X60" s="6">
        <v>1</v>
      </c>
      <c r="Y60" s="6">
        <v>3213.03</v>
      </c>
      <c r="Z60" s="6">
        <v>24611.81</v>
      </c>
      <c r="AA60" s="6">
        <v>1</v>
      </c>
      <c r="AB60" s="6">
        <v>24611.81</v>
      </c>
    </row>
    <row r="61" spans="1:255" x14ac:dyDescent="0.3">
      <c r="A61" s="6">
        <v>50</v>
      </c>
      <c r="B61" s="6">
        <v>0</v>
      </c>
      <c r="C61" s="6">
        <v>0</v>
      </c>
      <c r="D61" s="6">
        <v>1</v>
      </c>
      <c r="E61" s="6">
        <v>223</v>
      </c>
      <c r="F61" s="6">
        <f>ROUND(Source!AQ51,O61)</f>
        <v>0</v>
      </c>
      <c r="G61" s="6" t="s">
        <v>93</v>
      </c>
      <c r="H61" s="6" t="s">
        <v>94</v>
      </c>
      <c r="I61" s="6"/>
      <c r="J61" s="6"/>
      <c r="K61" s="6">
        <v>223</v>
      </c>
      <c r="L61" s="6">
        <v>9</v>
      </c>
      <c r="M61" s="6">
        <v>3</v>
      </c>
      <c r="N61" s="6" t="s">
        <v>3</v>
      </c>
      <c r="O61" s="6">
        <v>2</v>
      </c>
      <c r="P61" s="6">
        <f>ROUND(Source!EI51,O61)</f>
        <v>0</v>
      </c>
      <c r="Q61" s="6"/>
      <c r="R61" s="6"/>
      <c r="S61" s="6"/>
      <c r="T61" s="6"/>
      <c r="U61" s="6"/>
      <c r="V61" s="6"/>
      <c r="W61" s="6">
        <v>0</v>
      </c>
      <c r="X61" s="6">
        <v>1</v>
      </c>
      <c r="Y61" s="6">
        <v>0</v>
      </c>
      <c r="Z61" s="6">
        <v>0</v>
      </c>
      <c r="AA61" s="6">
        <v>1</v>
      </c>
      <c r="AB61" s="6">
        <v>0</v>
      </c>
    </row>
    <row r="62" spans="1:255" x14ac:dyDescent="0.3">
      <c r="A62" s="6">
        <v>50</v>
      </c>
      <c r="B62" s="6">
        <v>0</v>
      </c>
      <c r="C62" s="6">
        <v>0</v>
      </c>
      <c r="D62" s="6">
        <v>1</v>
      </c>
      <c r="E62" s="6">
        <v>229</v>
      </c>
      <c r="F62" s="6">
        <f>ROUND(Source!AZ51,O62)</f>
        <v>3213.03</v>
      </c>
      <c r="G62" s="6" t="s">
        <v>95</v>
      </c>
      <c r="H62" s="6" t="s">
        <v>96</v>
      </c>
      <c r="I62" s="6"/>
      <c r="J62" s="6"/>
      <c r="K62" s="6">
        <v>229</v>
      </c>
      <c r="L62" s="6">
        <v>10</v>
      </c>
      <c r="M62" s="6">
        <v>3</v>
      </c>
      <c r="N62" s="6" t="s">
        <v>3</v>
      </c>
      <c r="O62" s="6">
        <v>2</v>
      </c>
      <c r="P62" s="6">
        <f>ROUND(Source!ER51,O62)</f>
        <v>24611.81</v>
      </c>
      <c r="Q62" s="6"/>
      <c r="R62" s="6"/>
      <c r="S62" s="6"/>
      <c r="T62" s="6"/>
      <c r="U62" s="6"/>
      <c r="V62" s="6"/>
      <c r="W62" s="6">
        <v>3213.03</v>
      </c>
      <c r="X62" s="6">
        <v>1</v>
      </c>
      <c r="Y62" s="6">
        <v>3213.03</v>
      </c>
      <c r="Z62" s="6">
        <v>24611.81</v>
      </c>
      <c r="AA62" s="6">
        <v>1</v>
      </c>
      <c r="AB62" s="6">
        <v>24611.81</v>
      </c>
    </row>
    <row r="63" spans="1:255" x14ac:dyDescent="0.3">
      <c r="A63" s="6">
        <v>50</v>
      </c>
      <c r="B63" s="6">
        <v>0</v>
      </c>
      <c r="C63" s="6">
        <v>0</v>
      </c>
      <c r="D63" s="6">
        <v>1</v>
      </c>
      <c r="E63" s="6">
        <v>203</v>
      </c>
      <c r="F63" s="6">
        <f>ROUND(Source!Q51,O63)</f>
        <v>47.12</v>
      </c>
      <c r="G63" s="6" t="s">
        <v>97</v>
      </c>
      <c r="H63" s="6" t="s">
        <v>98</v>
      </c>
      <c r="I63" s="6"/>
      <c r="J63" s="6"/>
      <c r="K63" s="6">
        <v>203</v>
      </c>
      <c r="L63" s="6">
        <v>11</v>
      </c>
      <c r="M63" s="6">
        <v>3</v>
      </c>
      <c r="N63" s="6" t="s">
        <v>3</v>
      </c>
      <c r="O63" s="6">
        <v>2</v>
      </c>
      <c r="P63" s="6">
        <f>ROUND(Source!DI51,O63)</f>
        <v>722.7</v>
      </c>
      <c r="Q63" s="6"/>
      <c r="R63" s="6"/>
      <c r="S63" s="6"/>
      <c r="T63" s="6"/>
      <c r="U63" s="6"/>
      <c r="V63" s="6"/>
      <c r="W63" s="6">
        <v>47.12</v>
      </c>
      <c r="X63" s="6">
        <v>1</v>
      </c>
      <c r="Y63" s="6">
        <v>47.12</v>
      </c>
      <c r="Z63" s="6">
        <v>722.7</v>
      </c>
      <c r="AA63" s="6">
        <v>1</v>
      </c>
      <c r="AB63" s="6">
        <v>722.7</v>
      </c>
    </row>
    <row r="64" spans="1:255" x14ac:dyDescent="0.3">
      <c r="A64" s="6">
        <v>50</v>
      </c>
      <c r="B64" s="6">
        <v>0</v>
      </c>
      <c r="C64" s="6">
        <v>0</v>
      </c>
      <c r="D64" s="6">
        <v>1</v>
      </c>
      <c r="E64" s="6">
        <v>231</v>
      </c>
      <c r="F64" s="6">
        <f>ROUND(Source!BB51,O64)</f>
        <v>0</v>
      </c>
      <c r="G64" s="6" t="s">
        <v>99</v>
      </c>
      <c r="H64" s="6" t="s">
        <v>100</v>
      </c>
      <c r="I64" s="6"/>
      <c r="J64" s="6"/>
      <c r="K64" s="6">
        <v>231</v>
      </c>
      <c r="L64" s="6">
        <v>12</v>
      </c>
      <c r="M64" s="6">
        <v>3</v>
      </c>
      <c r="N64" s="6" t="s">
        <v>3</v>
      </c>
      <c r="O64" s="6">
        <v>2</v>
      </c>
      <c r="P64" s="6">
        <f>ROUND(Source!ET51,O64)</f>
        <v>0</v>
      </c>
      <c r="Q64" s="6"/>
      <c r="R64" s="6"/>
      <c r="S64" s="6"/>
      <c r="T64" s="6"/>
      <c r="U64" s="6"/>
      <c r="V64" s="6"/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6">
        <v>0</v>
      </c>
    </row>
    <row r="65" spans="1:28" x14ac:dyDescent="0.3">
      <c r="A65" s="6">
        <v>50</v>
      </c>
      <c r="B65" s="6">
        <v>0</v>
      </c>
      <c r="C65" s="6">
        <v>0</v>
      </c>
      <c r="D65" s="6">
        <v>1</v>
      </c>
      <c r="E65" s="6">
        <v>204</v>
      </c>
      <c r="F65" s="6">
        <f>ROUND(Source!R51,O65)</f>
        <v>5.16</v>
      </c>
      <c r="G65" s="6" t="s">
        <v>101</v>
      </c>
      <c r="H65" s="6" t="s">
        <v>102</v>
      </c>
      <c r="I65" s="6"/>
      <c r="J65" s="6"/>
      <c r="K65" s="6">
        <v>204</v>
      </c>
      <c r="L65" s="6">
        <v>13</v>
      </c>
      <c r="M65" s="6">
        <v>3</v>
      </c>
      <c r="N65" s="6" t="s">
        <v>3</v>
      </c>
      <c r="O65" s="6">
        <v>2</v>
      </c>
      <c r="P65" s="6">
        <f>ROUND(Source!DJ51,O65)</f>
        <v>283.75</v>
      </c>
      <c r="Q65" s="6"/>
      <c r="R65" s="6"/>
      <c r="S65" s="6"/>
      <c r="T65" s="6"/>
      <c r="U65" s="6"/>
      <c r="V65" s="6"/>
      <c r="W65" s="6">
        <v>5.16</v>
      </c>
      <c r="X65" s="6">
        <v>1</v>
      </c>
      <c r="Y65" s="6">
        <v>5.16</v>
      </c>
      <c r="Z65" s="6">
        <v>283.75</v>
      </c>
      <c r="AA65" s="6">
        <v>1</v>
      </c>
      <c r="AB65" s="6">
        <v>283.75</v>
      </c>
    </row>
    <row r="66" spans="1:28" x14ac:dyDescent="0.3">
      <c r="A66" s="6">
        <v>50</v>
      </c>
      <c r="B66" s="6">
        <v>0</v>
      </c>
      <c r="C66" s="6">
        <v>0</v>
      </c>
      <c r="D66" s="6">
        <v>1</v>
      </c>
      <c r="E66" s="6">
        <v>205</v>
      </c>
      <c r="F66" s="6">
        <f>ROUND(Source!S51,O66)</f>
        <v>162.16</v>
      </c>
      <c r="G66" s="6" t="s">
        <v>103</v>
      </c>
      <c r="H66" s="6" t="s">
        <v>104</v>
      </c>
      <c r="I66" s="6"/>
      <c r="J66" s="6"/>
      <c r="K66" s="6">
        <v>205</v>
      </c>
      <c r="L66" s="6">
        <v>14</v>
      </c>
      <c r="M66" s="6">
        <v>3</v>
      </c>
      <c r="N66" s="6" t="s">
        <v>3</v>
      </c>
      <c r="O66" s="6">
        <v>2</v>
      </c>
      <c r="P66" s="6">
        <f>ROUND(Source!DK51,O66)</f>
        <v>8917.17</v>
      </c>
      <c r="Q66" s="6"/>
      <c r="R66" s="6"/>
      <c r="S66" s="6"/>
      <c r="T66" s="6"/>
      <c r="U66" s="6"/>
      <c r="V66" s="6"/>
      <c r="W66" s="6">
        <v>162.16</v>
      </c>
      <c r="X66" s="6">
        <v>1</v>
      </c>
      <c r="Y66" s="6">
        <v>162.16</v>
      </c>
      <c r="Z66" s="6">
        <v>8917.17</v>
      </c>
      <c r="AA66" s="6">
        <v>1</v>
      </c>
      <c r="AB66" s="6">
        <v>8917.17</v>
      </c>
    </row>
    <row r="67" spans="1:28" x14ac:dyDescent="0.3">
      <c r="A67" s="6">
        <v>50</v>
      </c>
      <c r="B67" s="6">
        <v>0</v>
      </c>
      <c r="C67" s="6">
        <v>0</v>
      </c>
      <c r="D67" s="6">
        <v>1</v>
      </c>
      <c r="E67" s="6">
        <v>232</v>
      </c>
      <c r="F67" s="6">
        <f>ROUND(Source!BC51,O67)</f>
        <v>0</v>
      </c>
      <c r="G67" s="6" t="s">
        <v>105</v>
      </c>
      <c r="H67" s="6" t="s">
        <v>106</v>
      </c>
      <c r="I67" s="6"/>
      <c r="J67" s="6"/>
      <c r="K67" s="6">
        <v>232</v>
      </c>
      <c r="L67" s="6">
        <v>15</v>
      </c>
      <c r="M67" s="6">
        <v>3</v>
      </c>
      <c r="N67" s="6" t="s">
        <v>3</v>
      </c>
      <c r="O67" s="6">
        <v>2</v>
      </c>
      <c r="P67" s="6">
        <f>ROUND(Source!EU51,O67)</f>
        <v>0</v>
      </c>
      <c r="Q67" s="6"/>
      <c r="R67" s="6"/>
      <c r="S67" s="6"/>
      <c r="T67" s="6"/>
      <c r="U67" s="6"/>
      <c r="V67" s="6"/>
      <c r="W67" s="6">
        <v>0</v>
      </c>
      <c r="X67" s="6">
        <v>1</v>
      </c>
      <c r="Y67" s="6">
        <v>0</v>
      </c>
      <c r="Z67" s="6">
        <v>0</v>
      </c>
      <c r="AA67" s="6">
        <v>1</v>
      </c>
      <c r="AB67" s="6">
        <v>0</v>
      </c>
    </row>
    <row r="68" spans="1:28" x14ac:dyDescent="0.3">
      <c r="A68" s="6">
        <v>50</v>
      </c>
      <c r="B68" s="6">
        <v>0</v>
      </c>
      <c r="C68" s="6">
        <v>0</v>
      </c>
      <c r="D68" s="6">
        <v>1</v>
      </c>
      <c r="E68" s="6">
        <v>214</v>
      </c>
      <c r="F68" s="6">
        <f>ROUND(Source!AS51,O68)</f>
        <v>0</v>
      </c>
      <c r="G68" s="6" t="s">
        <v>107</v>
      </c>
      <c r="H68" s="6" t="s">
        <v>108</v>
      </c>
      <c r="I68" s="6"/>
      <c r="J68" s="6"/>
      <c r="K68" s="6">
        <v>214</v>
      </c>
      <c r="L68" s="6">
        <v>16</v>
      </c>
      <c r="M68" s="6">
        <v>3</v>
      </c>
      <c r="N68" s="6" t="s">
        <v>3</v>
      </c>
      <c r="O68" s="6">
        <v>2</v>
      </c>
      <c r="P68" s="6">
        <f>ROUND(Source!EK51,O68)</f>
        <v>0</v>
      </c>
      <c r="Q68" s="6"/>
      <c r="R68" s="6"/>
      <c r="S68" s="6"/>
      <c r="T68" s="6"/>
      <c r="U68" s="6"/>
      <c r="V68" s="6"/>
      <c r="W68" s="6">
        <v>0</v>
      </c>
      <c r="X68" s="6">
        <v>1</v>
      </c>
      <c r="Y68" s="6">
        <v>0</v>
      </c>
      <c r="Z68" s="6">
        <v>0</v>
      </c>
      <c r="AA68" s="6">
        <v>1</v>
      </c>
      <c r="AB68" s="6">
        <v>0</v>
      </c>
    </row>
    <row r="69" spans="1:28" x14ac:dyDescent="0.3">
      <c r="A69" s="6">
        <v>50</v>
      </c>
      <c r="B69" s="6">
        <v>0</v>
      </c>
      <c r="C69" s="6">
        <v>0</v>
      </c>
      <c r="D69" s="6">
        <v>1</v>
      </c>
      <c r="E69" s="6">
        <v>215</v>
      </c>
      <c r="F69" s="6">
        <f>ROUND(Source!AT51,O69)</f>
        <v>22666.41</v>
      </c>
      <c r="G69" s="6" t="s">
        <v>109</v>
      </c>
      <c r="H69" s="6" t="s">
        <v>110</v>
      </c>
      <c r="I69" s="6"/>
      <c r="J69" s="6"/>
      <c r="K69" s="6">
        <v>215</v>
      </c>
      <c r="L69" s="6">
        <v>17</v>
      </c>
      <c r="M69" s="6">
        <v>3</v>
      </c>
      <c r="N69" s="6" t="s">
        <v>3</v>
      </c>
      <c r="O69" s="6">
        <v>2</v>
      </c>
      <c r="P69" s="6">
        <f>ROUND(Source!EL51,O69)</f>
        <v>241775.18</v>
      </c>
      <c r="Q69" s="6"/>
      <c r="R69" s="6"/>
      <c r="S69" s="6"/>
      <c r="T69" s="6"/>
      <c r="U69" s="6"/>
      <c r="V69" s="6"/>
      <c r="W69" s="6">
        <v>22666.41</v>
      </c>
      <c r="X69" s="6">
        <v>1</v>
      </c>
      <c r="Y69" s="6">
        <v>22666.41</v>
      </c>
      <c r="Z69" s="6">
        <v>241775.18</v>
      </c>
      <c r="AA69" s="6">
        <v>1</v>
      </c>
      <c r="AB69" s="6">
        <v>241775.18</v>
      </c>
    </row>
    <row r="70" spans="1:28" x14ac:dyDescent="0.3">
      <c r="A70" s="6">
        <v>50</v>
      </c>
      <c r="B70" s="6">
        <v>0</v>
      </c>
      <c r="C70" s="6">
        <v>0</v>
      </c>
      <c r="D70" s="6">
        <v>1</v>
      </c>
      <c r="E70" s="6">
        <v>217</v>
      </c>
      <c r="F70" s="6">
        <f>ROUND(Source!AU51,O70)</f>
        <v>0</v>
      </c>
      <c r="G70" s="6" t="s">
        <v>111</v>
      </c>
      <c r="H70" s="6" t="s">
        <v>112</v>
      </c>
      <c r="I70" s="6"/>
      <c r="J70" s="6"/>
      <c r="K70" s="6">
        <v>217</v>
      </c>
      <c r="L70" s="6">
        <v>18</v>
      </c>
      <c r="M70" s="6">
        <v>3</v>
      </c>
      <c r="N70" s="6" t="s">
        <v>3</v>
      </c>
      <c r="O70" s="6">
        <v>2</v>
      </c>
      <c r="P70" s="6">
        <f>ROUND(Source!EM51,O70)</f>
        <v>0</v>
      </c>
      <c r="Q70" s="6"/>
      <c r="R70" s="6"/>
      <c r="S70" s="6"/>
      <c r="T70" s="6"/>
      <c r="U70" s="6"/>
      <c r="V70" s="6"/>
      <c r="W70" s="6">
        <v>0</v>
      </c>
      <c r="X70" s="6">
        <v>1</v>
      </c>
      <c r="Y70" s="6">
        <v>0</v>
      </c>
      <c r="Z70" s="6">
        <v>0</v>
      </c>
      <c r="AA70" s="6">
        <v>1</v>
      </c>
      <c r="AB70" s="6">
        <v>0</v>
      </c>
    </row>
    <row r="71" spans="1:28" x14ac:dyDescent="0.3">
      <c r="A71" s="6">
        <v>50</v>
      </c>
      <c r="B71" s="6">
        <v>0</v>
      </c>
      <c r="C71" s="6">
        <v>0</v>
      </c>
      <c r="D71" s="6">
        <v>1</v>
      </c>
      <c r="E71" s="6">
        <v>230</v>
      </c>
      <c r="F71" s="6">
        <f>ROUND(Source!BA51,O71)</f>
        <v>0</v>
      </c>
      <c r="G71" s="6" t="s">
        <v>113</v>
      </c>
      <c r="H71" s="6" t="s">
        <v>114</v>
      </c>
      <c r="I71" s="6"/>
      <c r="J71" s="6"/>
      <c r="K71" s="6">
        <v>230</v>
      </c>
      <c r="L71" s="6">
        <v>19</v>
      </c>
      <c r="M71" s="6">
        <v>3</v>
      </c>
      <c r="N71" s="6" t="s">
        <v>3</v>
      </c>
      <c r="O71" s="6">
        <v>2</v>
      </c>
      <c r="P71" s="6">
        <f>ROUND(Source!ES51,O71)</f>
        <v>0</v>
      </c>
      <c r="Q71" s="6"/>
      <c r="R71" s="6"/>
      <c r="S71" s="6"/>
      <c r="T71" s="6"/>
      <c r="U71" s="6"/>
      <c r="V71" s="6"/>
      <c r="W71" s="6">
        <v>0</v>
      </c>
      <c r="X71" s="6">
        <v>1</v>
      </c>
      <c r="Y71" s="6">
        <v>0</v>
      </c>
      <c r="Z71" s="6">
        <v>0</v>
      </c>
      <c r="AA71" s="6">
        <v>1</v>
      </c>
      <c r="AB71" s="6">
        <v>0</v>
      </c>
    </row>
    <row r="72" spans="1:28" x14ac:dyDescent="0.3">
      <c r="A72" s="6">
        <v>50</v>
      </c>
      <c r="B72" s="6">
        <v>0</v>
      </c>
      <c r="C72" s="6">
        <v>0</v>
      </c>
      <c r="D72" s="6">
        <v>1</v>
      </c>
      <c r="E72" s="6">
        <v>206</v>
      </c>
      <c r="F72" s="6">
        <f>ROUND(Source!T51,O72)</f>
        <v>0</v>
      </c>
      <c r="G72" s="6" t="s">
        <v>115</v>
      </c>
      <c r="H72" s="6" t="s">
        <v>116</v>
      </c>
      <c r="I72" s="6"/>
      <c r="J72" s="6"/>
      <c r="K72" s="6">
        <v>206</v>
      </c>
      <c r="L72" s="6">
        <v>20</v>
      </c>
      <c r="M72" s="6">
        <v>3</v>
      </c>
      <c r="N72" s="6" t="s">
        <v>3</v>
      </c>
      <c r="O72" s="6">
        <v>2</v>
      </c>
      <c r="P72" s="6">
        <f>ROUND(Source!DL51,O72)</f>
        <v>0</v>
      </c>
      <c r="Q72" s="6"/>
      <c r="R72" s="6"/>
      <c r="S72" s="6"/>
      <c r="T72" s="6"/>
      <c r="U72" s="6"/>
      <c r="V72" s="6"/>
      <c r="W72" s="6">
        <v>0</v>
      </c>
      <c r="X72" s="6">
        <v>1</v>
      </c>
      <c r="Y72" s="6">
        <v>0</v>
      </c>
      <c r="Z72" s="6">
        <v>0</v>
      </c>
      <c r="AA72" s="6">
        <v>1</v>
      </c>
      <c r="AB72" s="6">
        <v>0</v>
      </c>
    </row>
    <row r="73" spans="1:28" x14ac:dyDescent="0.3">
      <c r="A73" s="6">
        <v>50</v>
      </c>
      <c r="B73" s="6">
        <v>0</v>
      </c>
      <c r="C73" s="6">
        <v>0</v>
      </c>
      <c r="D73" s="6">
        <v>1</v>
      </c>
      <c r="E73" s="6">
        <v>207</v>
      </c>
      <c r="F73" s="6">
        <f>Source!U51</f>
        <v>14.442318</v>
      </c>
      <c r="G73" s="6" t="s">
        <v>117</v>
      </c>
      <c r="H73" s="6" t="s">
        <v>118</v>
      </c>
      <c r="I73" s="6"/>
      <c r="J73" s="6"/>
      <c r="K73" s="6">
        <v>207</v>
      </c>
      <c r="L73" s="6">
        <v>21</v>
      </c>
      <c r="M73" s="6">
        <v>3</v>
      </c>
      <c r="N73" s="6" t="s">
        <v>3</v>
      </c>
      <c r="O73" s="6">
        <v>-1</v>
      </c>
      <c r="P73" s="6">
        <f>Source!DM51</f>
        <v>14.442318</v>
      </c>
      <c r="Q73" s="6"/>
      <c r="R73" s="6"/>
      <c r="S73" s="6"/>
      <c r="T73" s="6"/>
      <c r="U73" s="6"/>
      <c r="V73" s="6"/>
      <c r="W73" s="6">
        <v>14.442318</v>
      </c>
      <c r="X73" s="6">
        <v>1</v>
      </c>
      <c r="Y73" s="6">
        <v>14.442318</v>
      </c>
      <c r="Z73" s="6">
        <v>14.442318</v>
      </c>
      <c r="AA73" s="6">
        <v>1</v>
      </c>
      <c r="AB73" s="6">
        <v>14.442318</v>
      </c>
    </row>
    <row r="74" spans="1:28" x14ac:dyDescent="0.3">
      <c r="A74" s="6">
        <v>50</v>
      </c>
      <c r="B74" s="6">
        <v>0</v>
      </c>
      <c r="C74" s="6">
        <v>0</v>
      </c>
      <c r="D74" s="6">
        <v>1</v>
      </c>
      <c r="E74" s="6">
        <v>208</v>
      </c>
      <c r="F74" s="6">
        <f>Source!V51</f>
        <v>0</v>
      </c>
      <c r="G74" s="6" t="s">
        <v>119</v>
      </c>
      <c r="H74" s="6" t="s">
        <v>120</v>
      </c>
      <c r="I74" s="6"/>
      <c r="J74" s="6"/>
      <c r="K74" s="6">
        <v>208</v>
      </c>
      <c r="L74" s="6">
        <v>22</v>
      </c>
      <c r="M74" s="6">
        <v>3</v>
      </c>
      <c r="N74" s="6" t="s">
        <v>3</v>
      </c>
      <c r="O74" s="6">
        <v>-1</v>
      </c>
      <c r="P74" s="6">
        <f>Source!DN51</f>
        <v>0</v>
      </c>
      <c r="Q74" s="6"/>
      <c r="R74" s="6"/>
      <c r="S74" s="6"/>
      <c r="T74" s="6"/>
      <c r="U74" s="6"/>
      <c r="V74" s="6"/>
      <c r="W74" s="6">
        <v>0</v>
      </c>
      <c r="X74" s="6">
        <v>1</v>
      </c>
      <c r="Y74" s="6">
        <v>0</v>
      </c>
      <c r="Z74" s="6">
        <v>0</v>
      </c>
      <c r="AA74" s="6">
        <v>1</v>
      </c>
      <c r="AB74" s="6">
        <v>0</v>
      </c>
    </row>
    <row r="75" spans="1:28" x14ac:dyDescent="0.3">
      <c r="A75" s="6">
        <v>50</v>
      </c>
      <c r="B75" s="6">
        <v>0</v>
      </c>
      <c r="C75" s="6">
        <v>0</v>
      </c>
      <c r="D75" s="6">
        <v>1</v>
      </c>
      <c r="E75" s="6">
        <v>209</v>
      </c>
      <c r="F75" s="6">
        <f>ROUND(Source!W51,O75)</f>
        <v>0</v>
      </c>
      <c r="G75" s="6" t="s">
        <v>121</v>
      </c>
      <c r="H75" s="6" t="s">
        <v>122</v>
      </c>
      <c r="I75" s="6"/>
      <c r="J75" s="6"/>
      <c r="K75" s="6">
        <v>209</v>
      </c>
      <c r="L75" s="6">
        <v>23</v>
      </c>
      <c r="M75" s="6">
        <v>3</v>
      </c>
      <c r="N75" s="6" t="s">
        <v>3</v>
      </c>
      <c r="O75" s="6">
        <v>2</v>
      </c>
      <c r="P75" s="6">
        <f>ROUND(Source!DO51,O75)</f>
        <v>0</v>
      </c>
      <c r="Q75" s="6"/>
      <c r="R75" s="6"/>
      <c r="S75" s="6"/>
      <c r="T75" s="6"/>
      <c r="U75" s="6"/>
      <c r="V75" s="6"/>
      <c r="W75" s="6">
        <v>0</v>
      </c>
      <c r="X75" s="6">
        <v>1</v>
      </c>
      <c r="Y75" s="6">
        <v>0</v>
      </c>
      <c r="Z75" s="6">
        <v>0</v>
      </c>
      <c r="AA75" s="6">
        <v>1</v>
      </c>
      <c r="AB75" s="6">
        <v>0</v>
      </c>
    </row>
    <row r="76" spans="1:28" x14ac:dyDescent="0.3">
      <c r="A76" s="6">
        <v>50</v>
      </c>
      <c r="B76" s="6">
        <v>0</v>
      </c>
      <c r="C76" s="6">
        <v>0</v>
      </c>
      <c r="D76" s="6">
        <v>1</v>
      </c>
      <c r="E76" s="6">
        <v>233</v>
      </c>
      <c r="F76" s="6">
        <f>ROUND(Source!BD51,O76)</f>
        <v>0</v>
      </c>
      <c r="G76" s="6" t="s">
        <v>123</v>
      </c>
      <c r="H76" s="6" t="s">
        <v>124</v>
      </c>
      <c r="I76" s="6"/>
      <c r="J76" s="6"/>
      <c r="K76" s="6">
        <v>233</v>
      </c>
      <c r="L76" s="6">
        <v>24</v>
      </c>
      <c r="M76" s="6">
        <v>3</v>
      </c>
      <c r="N76" s="6" t="s">
        <v>3</v>
      </c>
      <c r="O76" s="6">
        <v>2</v>
      </c>
      <c r="P76" s="6">
        <f>ROUND(Source!EV51,O76)</f>
        <v>0</v>
      </c>
      <c r="Q76" s="6"/>
      <c r="R76" s="6"/>
      <c r="S76" s="6"/>
      <c r="T76" s="6"/>
      <c r="U76" s="6"/>
      <c r="V76" s="6"/>
      <c r="W76" s="6">
        <v>0</v>
      </c>
      <c r="X76" s="6">
        <v>1</v>
      </c>
      <c r="Y76" s="6">
        <v>0</v>
      </c>
      <c r="Z76" s="6">
        <v>0</v>
      </c>
      <c r="AA76" s="6">
        <v>1</v>
      </c>
      <c r="AB76" s="6">
        <v>0</v>
      </c>
    </row>
    <row r="77" spans="1:28" x14ac:dyDescent="0.3">
      <c r="A77" s="6">
        <v>50</v>
      </c>
      <c r="B77" s="6">
        <v>0</v>
      </c>
      <c r="C77" s="6">
        <v>0</v>
      </c>
      <c r="D77" s="6">
        <v>1</v>
      </c>
      <c r="E77" s="6">
        <v>210</v>
      </c>
      <c r="F77" s="6">
        <f>ROUND(Source!X51,O77)</f>
        <v>150.59</v>
      </c>
      <c r="G77" s="6" t="s">
        <v>125</v>
      </c>
      <c r="H77" s="6" t="s">
        <v>126</v>
      </c>
      <c r="I77" s="6"/>
      <c r="J77" s="6"/>
      <c r="K77" s="6">
        <v>210</v>
      </c>
      <c r="L77" s="6">
        <v>25</v>
      </c>
      <c r="M77" s="6">
        <v>3</v>
      </c>
      <c r="N77" s="6" t="s">
        <v>3</v>
      </c>
      <c r="O77" s="6">
        <v>2</v>
      </c>
      <c r="P77" s="6">
        <f>ROUND(Source!DP51,O77)</f>
        <v>8280.82</v>
      </c>
      <c r="Q77" s="6"/>
      <c r="R77" s="6"/>
      <c r="S77" s="6"/>
      <c r="T77" s="6"/>
      <c r="U77" s="6"/>
      <c r="V77" s="6"/>
      <c r="W77" s="6">
        <v>150.59</v>
      </c>
      <c r="X77" s="6">
        <v>1</v>
      </c>
      <c r="Y77" s="6">
        <v>150.59</v>
      </c>
      <c r="Z77" s="6">
        <v>8280.82</v>
      </c>
      <c r="AA77" s="6">
        <v>1</v>
      </c>
      <c r="AB77" s="6">
        <v>8280.82</v>
      </c>
    </row>
    <row r="78" spans="1:28" x14ac:dyDescent="0.3">
      <c r="A78" s="6">
        <v>50</v>
      </c>
      <c r="B78" s="6">
        <v>0</v>
      </c>
      <c r="C78" s="6">
        <v>0</v>
      </c>
      <c r="D78" s="6">
        <v>1</v>
      </c>
      <c r="E78" s="6">
        <v>211</v>
      </c>
      <c r="F78" s="6">
        <f>ROUND(Source!Y51,O78)</f>
        <v>76.959999999999994</v>
      </c>
      <c r="G78" s="6" t="s">
        <v>127</v>
      </c>
      <c r="H78" s="6" t="s">
        <v>128</v>
      </c>
      <c r="I78" s="6"/>
      <c r="J78" s="6"/>
      <c r="K78" s="6">
        <v>211</v>
      </c>
      <c r="L78" s="6">
        <v>26</v>
      </c>
      <c r="M78" s="6">
        <v>3</v>
      </c>
      <c r="N78" s="6" t="s">
        <v>3</v>
      </c>
      <c r="O78" s="6">
        <v>2</v>
      </c>
      <c r="P78" s="6">
        <f>ROUND(Source!DQ51,O78)</f>
        <v>4232.42</v>
      </c>
      <c r="Q78" s="6"/>
      <c r="R78" s="6"/>
      <c r="S78" s="6"/>
      <c r="T78" s="6"/>
      <c r="U78" s="6"/>
      <c r="V78" s="6"/>
      <c r="W78" s="6">
        <v>76.959999999999994</v>
      </c>
      <c r="X78" s="6">
        <v>1</v>
      </c>
      <c r="Y78" s="6">
        <v>76.959999999999994</v>
      </c>
      <c r="Z78" s="6">
        <v>4232.42</v>
      </c>
      <c r="AA78" s="6">
        <v>1</v>
      </c>
      <c r="AB78" s="6">
        <v>4232.42</v>
      </c>
    </row>
    <row r="79" spans="1:28" x14ac:dyDescent="0.3">
      <c r="A79" s="6">
        <v>50</v>
      </c>
      <c r="B79" s="6">
        <v>0</v>
      </c>
      <c r="C79" s="6">
        <v>0</v>
      </c>
      <c r="D79" s="6">
        <v>1</v>
      </c>
      <c r="E79" s="6">
        <v>224</v>
      </c>
      <c r="F79" s="6">
        <f>ROUND(Source!AR51,O79)</f>
        <v>25879.439999999999</v>
      </c>
      <c r="G79" s="6" t="s">
        <v>129</v>
      </c>
      <c r="H79" s="6" t="s">
        <v>130</v>
      </c>
      <c r="I79" s="6"/>
      <c r="J79" s="6"/>
      <c r="K79" s="6">
        <v>224</v>
      </c>
      <c r="L79" s="6">
        <v>27</v>
      </c>
      <c r="M79" s="6">
        <v>3</v>
      </c>
      <c r="N79" s="6" t="s">
        <v>3</v>
      </c>
      <c r="O79" s="6">
        <v>2</v>
      </c>
      <c r="P79" s="6">
        <f>ROUND(Source!EJ51,O79)</f>
        <v>266386.99</v>
      </c>
      <c r="Q79" s="6"/>
      <c r="R79" s="6"/>
      <c r="S79" s="6"/>
      <c r="T79" s="6"/>
      <c r="U79" s="6"/>
      <c r="V79" s="6"/>
      <c r="W79" s="6">
        <v>25879.439999999999</v>
      </c>
      <c r="X79" s="6">
        <v>1</v>
      </c>
      <c r="Y79" s="6">
        <v>25879.439999999999</v>
      </c>
      <c r="Z79" s="6">
        <v>266386.99</v>
      </c>
      <c r="AA79" s="6">
        <v>1</v>
      </c>
      <c r="AB79" s="6">
        <v>266386.99</v>
      </c>
    </row>
    <row r="81" spans="1:255" x14ac:dyDescent="0.3">
      <c r="A81" s="1">
        <v>4</v>
      </c>
      <c r="B81" s="1">
        <v>1</v>
      </c>
      <c r="C81" s="1"/>
      <c r="D81" s="1">
        <f>ROW(A112)</f>
        <v>112</v>
      </c>
      <c r="E81" s="1"/>
      <c r="F81" s="1" t="s">
        <v>3</v>
      </c>
      <c r="G81" s="1" t="s">
        <v>131</v>
      </c>
      <c r="H81" s="1" t="s">
        <v>3</v>
      </c>
      <c r="I81" s="1">
        <v>0</v>
      </c>
      <c r="J81" s="1"/>
      <c r="K81" s="1">
        <v>-1</v>
      </c>
      <c r="L81" s="1"/>
      <c r="M81" s="1" t="s">
        <v>3</v>
      </c>
      <c r="N81" s="1"/>
      <c r="O81" s="1"/>
      <c r="P81" s="1"/>
      <c r="Q81" s="1"/>
      <c r="R81" s="1"/>
      <c r="S81" s="1">
        <v>0</v>
      </c>
      <c r="T81" s="1">
        <v>0</v>
      </c>
      <c r="U81" s="1" t="s">
        <v>3</v>
      </c>
      <c r="V81" s="1">
        <v>0</v>
      </c>
      <c r="W81" s="1"/>
      <c r="X81" s="1"/>
      <c r="Y81" s="1"/>
      <c r="Z81" s="1"/>
      <c r="AA81" s="1"/>
      <c r="AB81" s="1" t="s">
        <v>3</v>
      </c>
      <c r="AC81" s="1" t="s">
        <v>3</v>
      </c>
      <c r="AD81" s="1" t="s">
        <v>3</v>
      </c>
      <c r="AE81" s="1" t="s">
        <v>3</v>
      </c>
      <c r="AF81" s="1" t="s">
        <v>3</v>
      </c>
      <c r="AG81" s="1" t="s">
        <v>3</v>
      </c>
      <c r="AH81" s="1"/>
      <c r="AI81" s="1"/>
      <c r="AJ81" s="1"/>
      <c r="AK81" s="1"/>
      <c r="AL81" s="1"/>
      <c r="AM81" s="1"/>
      <c r="AN81" s="1"/>
      <c r="AO81" s="1"/>
      <c r="AP81" s="1" t="s">
        <v>3</v>
      </c>
      <c r="AQ81" s="1" t="s">
        <v>3</v>
      </c>
      <c r="AR81" s="1" t="s">
        <v>3</v>
      </c>
      <c r="AS81" s="1"/>
      <c r="AT81" s="1"/>
      <c r="AU81" s="1"/>
      <c r="AV81" s="1"/>
      <c r="AW81" s="1"/>
      <c r="AX81" s="1"/>
      <c r="AY81" s="1"/>
      <c r="AZ81" s="1" t="s">
        <v>3</v>
      </c>
      <c r="BA81" s="1"/>
      <c r="BB81" s="1" t="s">
        <v>3</v>
      </c>
      <c r="BC81" s="1" t="s">
        <v>3</v>
      </c>
      <c r="BD81" s="1" t="s">
        <v>3</v>
      </c>
      <c r="BE81" s="1" t="s">
        <v>3</v>
      </c>
      <c r="BF81" s="1" t="s">
        <v>3</v>
      </c>
      <c r="BG81" s="1" t="s">
        <v>3</v>
      </c>
      <c r="BH81" s="1" t="s">
        <v>3</v>
      </c>
      <c r="BI81" s="1" t="s">
        <v>3</v>
      </c>
      <c r="BJ81" s="1" t="s">
        <v>3</v>
      </c>
      <c r="BK81" s="1" t="s">
        <v>3</v>
      </c>
      <c r="BL81" s="1" t="s">
        <v>3</v>
      </c>
      <c r="BM81" s="1" t="s">
        <v>3</v>
      </c>
      <c r="BN81" s="1" t="s">
        <v>3</v>
      </c>
      <c r="BO81" s="1" t="s">
        <v>3</v>
      </c>
      <c r="BP81" s="1" t="s">
        <v>3</v>
      </c>
      <c r="BQ81" s="1"/>
      <c r="BR81" s="1"/>
      <c r="BS81" s="1"/>
      <c r="BT81" s="1"/>
      <c r="BU81" s="1"/>
      <c r="BV81" s="1"/>
      <c r="BW81" s="1"/>
      <c r="BX81" s="1">
        <v>0</v>
      </c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>
        <v>0</v>
      </c>
    </row>
    <row r="83" spans="1:255" x14ac:dyDescent="0.3">
      <c r="A83" s="4">
        <v>52</v>
      </c>
      <c r="B83" s="4">
        <f t="shared" ref="B83:G83" si="69">B112</f>
        <v>1</v>
      </c>
      <c r="C83" s="4">
        <f t="shared" si="69"/>
        <v>4</v>
      </c>
      <c r="D83" s="4">
        <f t="shared" si="69"/>
        <v>81</v>
      </c>
      <c r="E83" s="4">
        <f t="shared" si="69"/>
        <v>0</v>
      </c>
      <c r="F83" s="4" t="str">
        <f t="shared" si="69"/>
        <v/>
      </c>
      <c r="G83" s="4" t="str">
        <f t="shared" si="69"/>
        <v>Телекоммуникационный шкаф 42U 19" ШТ1-2,1-3,1-4; ШТ2-5,2-6; ШТ3-7,3-8</v>
      </c>
      <c r="H83" s="4"/>
      <c r="I83" s="4"/>
      <c r="J83" s="4"/>
      <c r="K83" s="4"/>
      <c r="L83" s="4"/>
      <c r="M83" s="4"/>
      <c r="N83" s="4"/>
      <c r="O83" s="4">
        <f t="shared" ref="O83:AT83" si="70">O112</f>
        <v>163143</v>
      </c>
      <c r="P83" s="4">
        <f t="shared" si="70"/>
        <v>161492.26</v>
      </c>
      <c r="Q83" s="4">
        <f t="shared" si="70"/>
        <v>329.89</v>
      </c>
      <c r="R83" s="4">
        <f t="shared" si="70"/>
        <v>36.119999999999997</v>
      </c>
      <c r="S83" s="4">
        <f t="shared" si="70"/>
        <v>1320.85</v>
      </c>
      <c r="T83" s="4">
        <f t="shared" si="70"/>
        <v>0</v>
      </c>
      <c r="U83" s="4">
        <f t="shared" si="70"/>
        <v>117.312162</v>
      </c>
      <c r="V83" s="4">
        <f t="shared" si="70"/>
        <v>0</v>
      </c>
      <c r="W83" s="4">
        <f t="shared" si="70"/>
        <v>0</v>
      </c>
      <c r="X83" s="4">
        <f t="shared" si="70"/>
        <v>1221.27</v>
      </c>
      <c r="Y83" s="4">
        <f t="shared" si="70"/>
        <v>624.21</v>
      </c>
      <c r="Z83" s="4">
        <f t="shared" si="70"/>
        <v>0</v>
      </c>
      <c r="AA83" s="4">
        <f t="shared" si="70"/>
        <v>0</v>
      </c>
      <c r="AB83" s="4">
        <f t="shared" si="70"/>
        <v>163143</v>
      </c>
      <c r="AC83" s="4">
        <f t="shared" si="70"/>
        <v>161492.26</v>
      </c>
      <c r="AD83" s="4">
        <f t="shared" si="70"/>
        <v>329.89</v>
      </c>
      <c r="AE83" s="4">
        <f t="shared" si="70"/>
        <v>36.119999999999997</v>
      </c>
      <c r="AF83" s="4">
        <f t="shared" si="70"/>
        <v>1320.85</v>
      </c>
      <c r="AG83" s="4">
        <f t="shared" si="70"/>
        <v>0</v>
      </c>
      <c r="AH83" s="4">
        <f t="shared" si="70"/>
        <v>117.312162</v>
      </c>
      <c r="AI83" s="4">
        <f t="shared" si="70"/>
        <v>0</v>
      </c>
      <c r="AJ83" s="4">
        <f t="shared" si="70"/>
        <v>0</v>
      </c>
      <c r="AK83" s="4">
        <f t="shared" si="70"/>
        <v>1221.27</v>
      </c>
      <c r="AL83" s="4">
        <f t="shared" si="70"/>
        <v>624.21</v>
      </c>
      <c r="AM83" s="4">
        <f t="shared" si="70"/>
        <v>0</v>
      </c>
      <c r="AN83" s="4">
        <f t="shared" si="70"/>
        <v>0</v>
      </c>
      <c r="AO83" s="4">
        <f t="shared" si="70"/>
        <v>0</v>
      </c>
      <c r="AP83" s="4">
        <f t="shared" si="70"/>
        <v>22491.21</v>
      </c>
      <c r="AQ83" s="4">
        <f t="shared" si="70"/>
        <v>0</v>
      </c>
      <c r="AR83" s="4">
        <f t="shared" si="70"/>
        <v>164988.48000000001</v>
      </c>
      <c r="AS83" s="4">
        <f t="shared" si="70"/>
        <v>0</v>
      </c>
      <c r="AT83" s="4">
        <f t="shared" si="70"/>
        <v>142497.26999999999</v>
      </c>
      <c r="AU83" s="4">
        <f t="shared" ref="AU83:BZ83" si="71">AU112</f>
        <v>0</v>
      </c>
      <c r="AV83" s="4">
        <f t="shared" si="71"/>
        <v>161492.26</v>
      </c>
      <c r="AW83" s="4">
        <f t="shared" si="71"/>
        <v>139001.04999999999</v>
      </c>
      <c r="AX83" s="4">
        <f t="shared" si="71"/>
        <v>0</v>
      </c>
      <c r="AY83" s="4">
        <f t="shared" si="71"/>
        <v>139001.04999999999</v>
      </c>
      <c r="AZ83" s="4">
        <f t="shared" si="71"/>
        <v>22491.21</v>
      </c>
      <c r="BA83" s="4">
        <f t="shared" si="71"/>
        <v>0</v>
      </c>
      <c r="BB83" s="4">
        <f t="shared" si="71"/>
        <v>0</v>
      </c>
      <c r="BC83" s="4">
        <f t="shared" si="71"/>
        <v>0</v>
      </c>
      <c r="BD83" s="4">
        <f t="shared" si="71"/>
        <v>0</v>
      </c>
      <c r="BE83" s="4">
        <f t="shared" si="71"/>
        <v>0</v>
      </c>
      <c r="BF83" s="4">
        <f t="shared" si="71"/>
        <v>0</v>
      </c>
      <c r="BG83" s="4">
        <f t="shared" si="71"/>
        <v>0</v>
      </c>
      <c r="BH83" s="4">
        <f t="shared" si="71"/>
        <v>0</v>
      </c>
      <c r="BI83" s="4">
        <f t="shared" si="71"/>
        <v>0</v>
      </c>
      <c r="BJ83" s="4">
        <f t="shared" si="71"/>
        <v>0</v>
      </c>
      <c r="BK83" s="4">
        <f t="shared" si="71"/>
        <v>0</v>
      </c>
      <c r="BL83" s="4">
        <f t="shared" si="71"/>
        <v>0</v>
      </c>
      <c r="BM83" s="4">
        <f t="shared" si="71"/>
        <v>0</v>
      </c>
      <c r="BN83" s="4">
        <f t="shared" si="71"/>
        <v>0</v>
      </c>
      <c r="BO83" s="4">
        <f t="shared" si="71"/>
        <v>0</v>
      </c>
      <c r="BP83" s="4">
        <f t="shared" si="71"/>
        <v>0</v>
      </c>
      <c r="BQ83" s="4">
        <f t="shared" si="71"/>
        <v>0</v>
      </c>
      <c r="BR83" s="4">
        <f t="shared" si="71"/>
        <v>0</v>
      </c>
      <c r="BS83" s="4">
        <f t="shared" si="71"/>
        <v>0</v>
      </c>
      <c r="BT83" s="4">
        <f t="shared" si="71"/>
        <v>0</v>
      </c>
      <c r="BU83" s="4">
        <f t="shared" si="71"/>
        <v>0</v>
      </c>
      <c r="BV83" s="4">
        <f t="shared" si="71"/>
        <v>0</v>
      </c>
      <c r="BW83" s="4">
        <f t="shared" si="71"/>
        <v>0</v>
      </c>
      <c r="BX83" s="4">
        <f t="shared" si="71"/>
        <v>0</v>
      </c>
      <c r="BY83" s="4">
        <f t="shared" si="71"/>
        <v>22491.21</v>
      </c>
      <c r="BZ83" s="4">
        <f t="shared" si="71"/>
        <v>0</v>
      </c>
      <c r="CA83" s="4">
        <f t="shared" ref="CA83:DF83" si="72">CA112</f>
        <v>164988.48000000001</v>
      </c>
      <c r="CB83" s="4">
        <f t="shared" si="72"/>
        <v>0</v>
      </c>
      <c r="CC83" s="4">
        <f t="shared" si="72"/>
        <v>142497.26999999999</v>
      </c>
      <c r="CD83" s="4">
        <f t="shared" si="72"/>
        <v>0</v>
      </c>
      <c r="CE83" s="4">
        <f t="shared" si="72"/>
        <v>161492.26</v>
      </c>
      <c r="CF83" s="4">
        <f t="shared" si="72"/>
        <v>139001.05000000002</v>
      </c>
      <c r="CG83" s="4">
        <f t="shared" si="72"/>
        <v>0</v>
      </c>
      <c r="CH83" s="4">
        <f t="shared" si="72"/>
        <v>139001.05000000002</v>
      </c>
      <c r="CI83" s="4">
        <f t="shared" si="72"/>
        <v>22491.21</v>
      </c>
      <c r="CJ83" s="4">
        <f t="shared" si="72"/>
        <v>0</v>
      </c>
      <c r="CK83" s="4">
        <f t="shared" si="72"/>
        <v>0</v>
      </c>
      <c r="CL83" s="4">
        <f t="shared" si="72"/>
        <v>0</v>
      </c>
      <c r="CM83" s="4">
        <f t="shared" si="72"/>
        <v>0</v>
      </c>
      <c r="CN83" s="4">
        <f t="shared" si="72"/>
        <v>0</v>
      </c>
      <c r="CO83" s="4">
        <f t="shared" si="72"/>
        <v>0</v>
      </c>
      <c r="CP83" s="4">
        <f t="shared" si="72"/>
        <v>0</v>
      </c>
      <c r="CQ83" s="4">
        <f t="shared" si="72"/>
        <v>0</v>
      </c>
      <c r="CR83" s="4">
        <f t="shared" si="72"/>
        <v>0</v>
      </c>
      <c r="CS83" s="4">
        <f t="shared" si="72"/>
        <v>0</v>
      </c>
      <c r="CT83" s="4">
        <f t="shared" si="72"/>
        <v>0</v>
      </c>
      <c r="CU83" s="4">
        <f t="shared" si="72"/>
        <v>0</v>
      </c>
      <c r="CV83" s="4">
        <f t="shared" si="72"/>
        <v>0</v>
      </c>
      <c r="CW83" s="4">
        <f t="shared" si="72"/>
        <v>0</v>
      </c>
      <c r="CX83" s="4">
        <f t="shared" si="72"/>
        <v>0</v>
      </c>
      <c r="CY83" s="4">
        <f t="shared" si="72"/>
        <v>0</v>
      </c>
      <c r="CZ83" s="4">
        <f t="shared" si="72"/>
        <v>0</v>
      </c>
      <c r="DA83" s="4">
        <f t="shared" si="72"/>
        <v>0</v>
      </c>
      <c r="DB83" s="4">
        <f t="shared" si="72"/>
        <v>0</v>
      </c>
      <c r="DC83" s="4">
        <f t="shared" si="72"/>
        <v>0</v>
      </c>
      <c r="DD83" s="4">
        <f t="shared" si="72"/>
        <v>0</v>
      </c>
      <c r="DE83" s="4">
        <f t="shared" si="72"/>
        <v>0</v>
      </c>
      <c r="DF83" s="4">
        <f t="shared" si="72"/>
        <v>0</v>
      </c>
      <c r="DG83" s="5">
        <f t="shared" ref="DG83:EL83" si="73">DG112</f>
        <v>1623262.88</v>
      </c>
      <c r="DH83" s="5">
        <f t="shared" si="73"/>
        <v>1545569.69</v>
      </c>
      <c r="DI83" s="5">
        <f t="shared" si="73"/>
        <v>5059.6499999999996</v>
      </c>
      <c r="DJ83" s="5">
        <f t="shared" si="73"/>
        <v>1986.23</v>
      </c>
      <c r="DK83" s="5">
        <f t="shared" si="73"/>
        <v>72633.539999999994</v>
      </c>
      <c r="DL83" s="5">
        <f t="shared" si="73"/>
        <v>0</v>
      </c>
      <c r="DM83" s="5">
        <f t="shared" si="73"/>
        <v>117.312162</v>
      </c>
      <c r="DN83" s="5">
        <f t="shared" si="73"/>
        <v>0</v>
      </c>
      <c r="DO83" s="5">
        <f t="shared" si="73"/>
        <v>0</v>
      </c>
      <c r="DP83" s="5">
        <f t="shared" si="73"/>
        <v>67157.8</v>
      </c>
      <c r="DQ83" s="5">
        <f t="shared" si="73"/>
        <v>34325.089999999997</v>
      </c>
      <c r="DR83" s="5">
        <f t="shared" si="73"/>
        <v>0</v>
      </c>
      <c r="DS83" s="5">
        <f t="shared" si="73"/>
        <v>0</v>
      </c>
      <c r="DT83" s="5">
        <f t="shared" si="73"/>
        <v>1623262.88</v>
      </c>
      <c r="DU83" s="5">
        <f t="shared" si="73"/>
        <v>1545569.69</v>
      </c>
      <c r="DV83" s="5">
        <f t="shared" si="73"/>
        <v>5059.6499999999996</v>
      </c>
      <c r="DW83" s="5">
        <f t="shared" si="73"/>
        <v>1986.23</v>
      </c>
      <c r="DX83" s="5">
        <f t="shared" si="73"/>
        <v>72633.539999999994</v>
      </c>
      <c r="DY83" s="5">
        <f t="shared" si="73"/>
        <v>0</v>
      </c>
      <c r="DZ83" s="5">
        <f t="shared" si="73"/>
        <v>117.312162</v>
      </c>
      <c r="EA83" s="5">
        <f t="shared" si="73"/>
        <v>0</v>
      </c>
      <c r="EB83" s="5">
        <f t="shared" si="73"/>
        <v>0</v>
      </c>
      <c r="EC83" s="5">
        <f t="shared" si="73"/>
        <v>67157.8</v>
      </c>
      <c r="ED83" s="5">
        <f t="shared" si="73"/>
        <v>34325.089999999997</v>
      </c>
      <c r="EE83" s="5">
        <f t="shared" si="73"/>
        <v>0</v>
      </c>
      <c r="EF83" s="5">
        <f t="shared" si="73"/>
        <v>0</v>
      </c>
      <c r="EG83" s="5">
        <f t="shared" si="73"/>
        <v>0</v>
      </c>
      <c r="EH83" s="5">
        <f t="shared" si="73"/>
        <v>172282.67</v>
      </c>
      <c r="EI83" s="5">
        <f t="shared" si="73"/>
        <v>0</v>
      </c>
      <c r="EJ83" s="5">
        <f t="shared" si="73"/>
        <v>1724745.77</v>
      </c>
      <c r="EK83" s="5">
        <f t="shared" si="73"/>
        <v>0</v>
      </c>
      <c r="EL83" s="5">
        <f t="shared" si="73"/>
        <v>1552463.1</v>
      </c>
      <c r="EM83" s="5">
        <f t="shared" ref="EM83:FR83" si="74">EM112</f>
        <v>0</v>
      </c>
      <c r="EN83" s="5">
        <f t="shared" si="74"/>
        <v>1545569.69</v>
      </c>
      <c r="EO83" s="5">
        <f t="shared" si="74"/>
        <v>1373287.02</v>
      </c>
      <c r="EP83" s="5">
        <f t="shared" si="74"/>
        <v>0</v>
      </c>
      <c r="EQ83" s="5">
        <f t="shared" si="74"/>
        <v>1373287.02</v>
      </c>
      <c r="ER83" s="5">
        <f t="shared" si="74"/>
        <v>172282.67</v>
      </c>
      <c r="ES83" s="5">
        <f t="shared" si="74"/>
        <v>0</v>
      </c>
      <c r="ET83" s="5">
        <f t="shared" si="74"/>
        <v>0</v>
      </c>
      <c r="EU83" s="5">
        <f t="shared" si="74"/>
        <v>0</v>
      </c>
      <c r="EV83" s="5">
        <f t="shared" si="74"/>
        <v>0</v>
      </c>
      <c r="EW83" s="5">
        <f t="shared" si="74"/>
        <v>0</v>
      </c>
      <c r="EX83" s="5">
        <f t="shared" si="74"/>
        <v>0</v>
      </c>
      <c r="EY83" s="5">
        <f t="shared" si="74"/>
        <v>0</v>
      </c>
      <c r="EZ83" s="5">
        <f t="shared" si="74"/>
        <v>0</v>
      </c>
      <c r="FA83" s="5">
        <f t="shared" si="74"/>
        <v>0</v>
      </c>
      <c r="FB83" s="5">
        <f t="shared" si="74"/>
        <v>0</v>
      </c>
      <c r="FC83" s="5">
        <f t="shared" si="74"/>
        <v>0</v>
      </c>
      <c r="FD83" s="5">
        <f t="shared" si="74"/>
        <v>0</v>
      </c>
      <c r="FE83" s="5">
        <f t="shared" si="74"/>
        <v>0</v>
      </c>
      <c r="FF83" s="5">
        <f t="shared" si="74"/>
        <v>0</v>
      </c>
      <c r="FG83" s="5">
        <f t="shared" si="74"/>
        <v>0</v>
      </c>
      <c r="FH83" s="5">
        <f t="shared" si="74"/>
        <v>0</v>
      </c>
      <c r="FI83" s="5">
        <f t="shared" si="74"/>
        <v>0</v>
      </c>
      <c r="FJ83" s="5">
        <f t="shared" si="74"/>
        <v>0</v>
      </c>
      <c r="FK83" s="5">
        <f t="shared" si="74"/>
        <v>0</v>
      </c>
      <c r="FL83" s="5">
        <f t="shared" si="74"/>
        <v>0</v>
      </c>
      <c r="FM83" s="5">
        <f t="shared" si="74"/>
        <v>0</v>
      </c>
      <c r="FN83" s="5">
        <f t="shared" si="74"/>
        <v>0</v>
      </c>
      <c r="FO83" s="5">
        <f t="shared" si="74"/>
        <v>0</v>
      </c>
      <c r="FP83" s="5">
        <f t="shared" si="74"/>
        <v>0</v>
      </c>
      <c r="FQ83" s="5">
        <f t="shared" si="74"/>
        <v>172282.67</v>
      </c>
      <c r="FR83" s="5">
        <f t="shared" si="74"/>
        <v>0</v>
      </c>
      <c r="FS83" s="5">
        <f t="shared" ref="FS83:GX83" si="75">FS112</f>
        <v>1724745.77</v>
      </c>
      <c r="FT83" s="5">
        <f t="shared" si="75"/>
        <v>0</v>
      </c>
      <c r="FU83" s="5">
        <f t="shared" si="75"/>
        <v>1552463.1</v>
      </c>
      <c r="FV83" s="5">
        <f t="shared" si="75"/>
        <v>0</v>
      </c>
      <c r="FW83" s="5">
        <f t="shared" si="75"/>
        <v>1545569.69</v>
      </c>
      <c r="FX83" s="5">
        <f t="shared" si="75"/>
        <v>1373287.02</v>
      </c>
      <c r="FY83" s="5">
        <f t="shared" si="75"/>
        <v>0</v>
      </c>
      <c r="FZ83" s="5">
        <f t="shared" si="75"/>
        <v>1373287.02</v>
      </c>
      <c r="GA83" s="5">
        <f t="shared" si="75"/>
        <v>172282.67</v>
      </c>
      <c r="GB83" s="5">
        <f t="shared" si="75"/>
        <v>0</v>
      </c>
      <c r="GC83" s="5">
        <f t="shared" si="75"/>
        <v>0</v>
      </c>
      <c r="GD83" s="5">
        <f t="shared" si="75"/>
        <v>0</v>
      </c>
      <c r="GE83" s="5">
        <f t="shared" si="75"/>
        <v>0</v>
      </c>
      <c r="GF83" s="5">
        <f t="shared" si="75"/>
        <v>0</v>
      </c>
      <c r="GG83" s="5">
        <f t="shared" si="75"/>
        <v>0</v>
      </c>
      <c r="GH83" s="5">
        <f t="shared" si="75"/>
        <v>0</v>
      </c>
      <c r="GI83" s="5">
        <f t="shared" si="75"/>
        <v>0</v>
      </c>
      <c r="GJ83" s="5">
        <f t="shared" si="75"/>
        <v>0</v>
      </c>
      <c r="GK83" s="5">
        <f t="shared" si="75"/>
        <v>0</v>
      </c>
      <c r="GL83" s="5">
        <f t="shared" si="75"/>
        <v>0</v>
      </c>
      <c r="GM83" s="5">
        <f t="shared" si="75"/>
        <v>0</v>
      </c>
      <c r="GN83" s="5">
        <f t="shared" si="75"/>
        <v>0</v>
      </c>
      <c r="GO83" s="5">
        <f t="shared" si="75"/>
        <v>0</v>
      </c>
      <c r="GP83" s="5">
        <f t="shared" si="75"/>
        <v>0</v>
      </c>
      <c r="GQ83" s="5">
        <f t="shared" si="75"/>
        <v>0</v>
      </c>
      <c r="GR83" s="5">
        <f t="shared" si="75"/>
        <v>0</v>
      </c>
      <c r="GS83" s="5">
        <f t="shared" si="75"/>
        <v>0</v>
      </c>
      <c r="GT83" s="5">
        <f t="shared" si="75"/>
        <v>0</v>
      </c>
      <c r="GU83" s="5">
        <f t="shared" si="75"/>
        <v>0</v>
      </c>
      <c r="GV83" s="5">
        <f t="shared" si="75"/>
        <v>0</v>
      </c>
      <c r="GW83" s="5">
        <f t="shared" si="75"/>
        <v>0</v>
      </c>
      <c r="GX83" s="5">
        <f t="shared" si="75"/>
        <v>0</v>
      </c>
    </row>
    <row r="85" spans="1:255" x14ac:dyDescent="0.3">
      <c r="A85" s="2">
        <v>17</v>
      </c>
      <c r="B85" s="2">
        <v>1</v>
      </c>
      <c r="C85" s="2"/>
      <c r="D85" s="2">
        <f>ROW(EtalonRes!A26)</f>
        <v>26</v>
      </c>
      <c r="E85" s="2" t="s">
        <v>132</v>
      </c>
      <c r="F85" s="2" t="s">
        <v>20</v>
      </c>
      <c r="G85" s="2" t="s">
        <v>21</v>
      </c>
      <c r="H85" s="2" t="s">
        <v>22</v>
      </c>
      <c r="I85" s="2">
        <v>7</v>
      </c>
      <c r="J85" s="2">
        <v>0</v>
      </c>
      <c r="K85" s="2">
        <v>7</v>
      </c>
      <c r="L85" s="2"/>
      <c r="M85" s="2"/>
      <c r="N85" s="2"/>
      <c r="O85" s="2">
        <f t="shared" ref="O85:O110" si="76">ROUND(CP85,2)</f>
        <v>1080.32</v>
      </c>
      <c r="P85" s="2">
        <f t="shared" ref="P85:P102" si="77">ROUND((ROUND((AC85*AW85*I85),2)*BC85),2)</f>
        <v>27.44</v>
      </c>
      <c r="Q85" s="2">
        <f>(ROUND((ROUND((((ET85*1.1))*AV85*I85),2)*BB85),2)+ROUND((ROUND(((AE85-((EU85*1.1)))*AV85*I85),2)*BS85),2))</f>
        <v>313.77</v>
      </c>
      <c r="R85" s="2">
        <f t="shared" ref="R85:R110" si="78">ROUND((ROUND((AE85*AV85*I85),2)*BS85),2)</f>
        <v>33.54</v>
      </c>
      <c r="S85" s="2">
        <f t="shared" ref="S85:S110" si="79">ROUND((ROUND((AF85*AV85*I85),2)*BA85),2)</f>
        <v>739.11</v>
      </c>
      <c r="T85" s="2">
        <f t="shared" ref="T85:T110" si="80">ROUND(CU85*I85,2)</f>
        <v>0</v>
      </c>
      <c r="U85" s="2">
        <f t="shared" ref="U85:U110" si="81">CV85*I85</f>
        <v>66.107579999999999</v>
      </c>
      <c r="V85" s="2">
        <f t="shared" ref="V85:V110" si="82">CW85*I85</f>
        <v>0</v>
      </c>
      <c r="W85" s="2">
        <f t="shared" ref="W85:W110" si="83">ROUND(CX85*I85,2)</f>
        <v>0</v>
      </c>
      <c r="X85" s="2">
        <f t="shared" ref="X85:X110" si="84">ROUND(CY85,2)</f>
        <v>695.39</v>
      </c>
      <c r="Y85" s="2">
        <f t="shared" ref="Y85:Y110" si="85">ROUND(CZ85,2)</f>
        <v>355.42</v>
      </c>
      <c r="Z85" s="2"/>
      <c r="AA85" s="2">
        <v>56505403</v>
      </c>
      <c r="AB85" s="2">
        <f t="shared" ref="AB85:AB110" si="86">ROUND((AC85+AD85+AF85),6)</f>
        <v>147.58000000000001</v>
      </c>
      <c r="AC85" s="2">
        <f t="shared" ref="AC85:AC110" si="87">ROUND((ES85),6)</f>
        <v>3.92</v>
      </c>
      <c r="AD85" s="2">
        <f>ROUND(((((ET85*1.1))-((EU85*1.1)))+AE85),6)</f>
        <v>42.811999999999998</v>
      </c>
      <c r="AE85" s="2">
        <f>ROUND(((EU85*1.1)),6)</f>
        <v>4.5759999999999996</v>
      </c>
      <c r="AF85" s="2">
        <f>ROUND(((EV85*1.1)),6)</f>
        <v>100.848</v>
      </c>
      <c r="AG85" s="2">
        <f t="shared" ref="AG85:AG110" si="88">ROUND((AP85),6)</f>
        <v>0</v>
      </c>
      <c r="AH85" s="2">
        <f>((EW85*1.1))</f>
        <v>9.02</v>
      </c>
      <c r="AI85" s="2">
        <f>((EX85*1.1))</f>
        <v>0</v>
      </c>
      <c r="AJ85" s="2">
        <f t="shared" ref="AJ85:AJ110" si="89">(AS85)</f>
        <v>0</v>
      </c>
      <c r="AK85" s="2">
        <v>134.52000000000001</v>
      </c>
      <c r="AL85" s="2">
        <v>3.92</v>
      </c>
      <c r="AM85" s="2">
        <v>38.92</v>
      </c>
      <c r="AN85" s="2">
        <v>4.16</v>
      </c>
      <c r="AO85" s="2">
        <v>91.68</v>
      </c>
      <c r="AP85" s="2">
        <v>0</v>
      </c>
      <c r="AQ85" s="2">
        <v>8.1999999999999993</v>
      </c>
      <c r="AR85" s="2">
        <v>0</v>
      </c>
      <c r="AS85" s="2">
        <v>0</v>
      </c>
      <c r="AT85" s="2">
        <v>90</v>
      </c>
      <c r="AU85" s="2">
        <v>46</v>
      </c>
      <c r="AV85" s="2">
        <v>1.0469999999999999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0</v>
      </c>
      <c r="BI85" s="2">
        <v>2</v>
      </c>
      <c r="BJ85" s="2" t="s">
        <v>23</v>
      </c>
      <c r="BK85" s="2"/>
      <c r="BL85" s="2"/>
      <c r="BM85" s="2">
        <v>68</v>
      </c>
      <c r="BN85" s="2">
        <v>0</v>
      </c>
      <c r="BO85" s="2" t="s">
        <v>20</v>
      </c>
      <c r="BP85" s="2">
        <v>1</v>
      </c>
      <c r="BQ85" s="2">
        <v>40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90</v>
      </c>
      <c r="CA85" s="2">
        <v>46</v>
      </c>
      <c r="CB85" s="2" t="s">
        <v>3</v>
      </c>
      <c r="CC85" s="2"/>
      <c r="CD85" s="2"/>
      <c r="CE85" s="2">
        <v>30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ref="CP85:CP110" si="90">(P85+Q85+S85)</f>
        <v>1080.32</v>
      </c>
      <c r="CQ85" s="2">
        <f t="shared" ref="CQ85:CQ102" si="91">ROUND((ROUND((AC85*AW85*1),2)*BC85),2)</f>
        <v>3.92</v>
      </c>
      <c r="CR85" s="2">
        <f>(ROUND((ROUND((((ET85*1.1))*AV85*1),2)*BB85),2)+ROUND((ROUND(((AE85-((EU85*1.1)))*AV85*1),2)*BS85),2))</f>
        <v>44.82</v>
      </c>
      <c r="CS85" s="2">
        <f t="shared" ref="CS85:CS110" si="92">ROUND((ROUND((AE85*AV85*1),2)*BS85),2)</f>
        <v>4.79</v>
      </c>
      <c r="CT85" s="2">
        <f t="shared" ref="CT85:CT110" si="93">ROUND((ROUND((AF85*AV85*1),2)*BA85),2)</f>
        <v>105.59</v>
      </c>
      <c r="CU85" s="2">
        <f t="shared" ref="CU85:CU110" si="94">AG85</f>
        <v>0</v>
      </c>
      <c r="CV85" s="2">
        <f t="shared" ref="CV85:CV110" si="95">(AH85*AV85)</f>
        <v>9.4439399999999996</v>
      </c>
      <c r="CW85" s="2">
        <f t="shared" ref="CW85:CW110" si="96">AI85</f>
        <v>0</v>
      </c>
      <c r="CX85" s="2">
        <f t="shared" ref="CX85:CX110" si="97">AJ85</f>
        <v>0</v>
      </c>
      <c r="CY85" s="2">
        <f t="shared" ref="CY85:CY110" si="98">(((S85+R85)*AT85)/100)</f>
        <v>695.38499999999999</v>
      </c>
      <c r="CZ85" s="2">
        <f t="shared" ref="CZ85:CZ110" si="99">(((S85+R85)*AU85)/100)</f>
        <v>355.41900000000004</v>
      </c>
      <c r="DA85" s="2"/>
      <c r="DB85" s="2"/>
      <c r="DC85" s="2" t="s">
        <v>3</v>
      </c>
      <c r="DD85" s="2" t="s">
        <v>3</v>
      </c>
      <c r="DE85" s="2" t="s">
        <v>24</v>
      </c>
      <c r="DF85" s="2" t="s">
        <v>24</v>
      </c>
      <c r="DG85" s="2" t="s">
        <v>24</v>
      </c>
      <c r="DH85" s="2" t="s">
        <v>3</v>
      </c>
      <c r="DI85" s="2" t="s">
        <v>24</v>
      </c>
      <c r="DJ85" s="2" t="s">
        <v>24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22</v>
      </c>
      <c r="DW85" s="2" t="s">
        <v>22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58162630</v>
      </c>
      <c r="EF85" s="2">
        <v>40</v>
      </c>
      <c r="EG85" s="2" t="s">
        <v>25</v>
      </c>
      <c r="EH85" s="2">
        <v>0</v>
      </c>
      <c r="EI85" s="2" t="s">
        <v>3</v>
      </c>
      <c r="EJ85" s="2">
        <v>2</v>
      </c>
      <c r="EK85" s="2">
        <v>68</v>
      </c>
      <c r="EL85" s="2" t="s">
        <v>26</v>
      </c>
      <c r="EM85" s="2" t="s">
        <v>27</v>
      </c>
      <c r="EN85" s="2"/>
      <c r="EO85" s="2" t="s">
        <v>28</v>
      </c>
      <c r="EP85" s="2"/>
      <c r="EQ85" s="2">
        <v>0</v>
      </c>
      <c r="ER85" s="2">
        <v>134.52000000000001</v>
      </c>
      <c r="ES85" s="2">
        <v>3.92</v>
      </c>
      <c r="ET85" s="2">
        <v>38.92</v>
      </c>
      <c r="EU85" s="2">
        <v>4.16</v>
      </c>
      <c r="EV85" s="2">
        <v>91.68</v>
      </c>
      <c r="EW85" s="2">
        <v>8.1999999999999993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90</v>
      </c>
      <c r="FY85" s="2">
        <v>46</v>
      </c>
      <c r="FZ85" s="2"/>
      <c r="GA85" s="2" t="s">
        <v>3</v>
      </c>
      <c r="GB85" s="2"/>
      <c r="GC85" s="2"/>
      <c r="GD85" s="2">
        <v>1</v>
      </c>
      <c r="GE85" s="2"/>
      <c r="GF85" s="2">
        <v>-1576476159</v>
      </c>
      <c r="GG85" s="2">
        <v>2</v>
      </c>
      <c r="GH85" s="2">
        <v>1</v>
      </c>
      <c r="GI85" s="2">
        <v>2</v>
      </c>
      <c r="GJ85" s="2">
        <v>0</v>
      </c>
      <c r="GK85" s="2">
        <v>0</v>
      </c>
      <c r="GL85" s="2">
        <f t="shared" ref="GL85:GL110" si="100">ROUND(IF(AND(BH85=3,BI85=3,FS85&lt;&gt;0),P85,0),2)</f>
        <v>0</v>
      </c>
      <c r="GM85" s="2">
        <f t="shared" ref="GM85:GM110" si="101">ROUND(O85+X85+Y85,2)+GX85</f>
        <v>2131.13</v>
      </c>
      <c r="GN85" s="2">
        <f t="shared" ref="GN85:GN110" si="102">IF(OR(BI85=0,BI85=1),GM85-GX85,0)</f>
        <v>0</v>
      </c>
      <c r="GO85" s="2">
        <f t="shared" ref="GO85:GO110" si="103">IF(BI85=2,GM85-GX85,0)</f>
        <v>2131.13</v>
      </c>
      <c r="GP85" s="2">
        <f t="shared" ref="GP85:GP110" si="104">IF(BI85=4,GM85-GX85,0)</f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ref="GV85:GV110" si="105">ROUND((GT85),6)</f>
        <v>0</v>
      </c>
      <c r="GW85" s="2">
        <v>1</v>
      </c>
      <c r="GX85" s="2">
        <f t="shared" ref="GX85:GX110" si="106">ROUND(HC85*I85,2)</f>
        <v>0</v>
      </c>
      <c r="GY85" s="2"/>
      <c r="GZ85" s="2"/>
      <c r="HA85" s="2">
        <v>0</v>
      </c>
      <c r="HB85" s="2">
        <v>0</v>
      </c>
      <c r="HC85" s="2">
        <f t="shared" ref="HC85:HC110" si="107">GV85*GW85</f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3">
      <c r="A86" s="3">
        <v>17</v>
      </c>
      <c r="B86" s="3">
        <v>1</v>
      </c>
      <c r="C86" s="3"/>
      <c r="D86" s="3">
        <f>ROW(EtalonRes!A32)</f>
        <v>32</v>
      </c>
      <c r="E86" s="3" t="s">
        <v>132</v>
      </c>
      <c r="F86" s="3" t="s">
        <v>20</v>
      </c>
      <c r="G86" s="3" t="s">
        <v>21</v>
      </c>
      <c r="H86" s="3" t="s">
        <v>22</v>
      </c>
      <c r="I86" s="3">
        <v>7</v>
      </c>
      <c r="J86" s="3">
        <v>0</v>
      </c>
      <c r="K86" s="3">
        <v>7</v>
      </c>
      <c r="L86" s="3"/>
      <c r="M86" s="3"/>
      <c r="N86" s="3"/>
      <c r="O86" s="3">
        <f t="shared" si="76"/>
        <v>45668.95</v>
      </c>
      <c r="P86" s="3">
        <f t="shared" si="77"/>
        <v>227.75</v>
      </c>
      <c r="Q86" s="3">
        <f>(ROUND((ROUND((((ET86*1.1))*AV86*I86),2)*BB86),2)+ROUND((ROUND(((AE86-((EU86*1.1)))*AV86*I86),2)*BS86),2))</f>
        <v>4797.54</v>
      </c>
      <c r="R86" s="3">
        <f t="shared" si="78"/>
        <v>1844.36</v>
      </c>
      <c r="S86" s="3">
        <f t="shared" si="79"/>
        <v>40643.660000000003</v>
      </c>
      <c r="T86" s="3">
        <f t="shared" si="80"/>
        <v>0</v>
      </c>
      <c r="U86" s="3">
        <f t="shared" si="81"/>
        <v>66.107579999999999</v>
      </c>
      <c r="V86" s="3">
        <f t="shared" si="82"/>
        <v>0</v>
      </c>
      <c r="W86" s="3">
        <f t="shared" si="83"/>
        <v>0</v>
      </c>
      <c r="X86" s="3">
        <f t="shared" si="84"/>
        <v>38239.22</v>
      </c>
      <c r="Y86" s="3">
        <f t="shared" si="85"/>
        <v>19544.490000000002</v>
      </c>
      <c r="Z86" s="3"/>
      <c r="AA86" s="3">
        <v>56505405</v>
      </c>
      <c r="AB86" s="3">
        <f t="shared" si="86"/>
        <v>147.58000000000001</v>
      </c>
      <c r="AC86" s="3">
        <f t="shared" si="87"/>
        <v>3.92</v>
      </c>
      <c r="AD86" s="3">
        <f>ROUND(((((ET86*1.1))-((EU86*1.1)))+AE86),6)</f>
        <v>42.811999999999998</v>
      </c>
      <c r="AE86" s="3">
        <f>ROUND(((EU86*1.1)),6)</f>
        <v>4.5759999999999996</v>
      </c>
      <c r="AF86" s="3">
        <f>ROUND(((EV86*1.1)),6)</f>
        <v>100.848</v>
      </c>
      <c r="AG86" s="3">
        <f t="shared" si="88"/>
        <v>0</v>
      </c>
      <c r="AH86" s="3">
        <f>((EW86*1.1))</f>
        <v>9.02</v>
      </c>
      <c r="AI86" s="3">
        <f>((EX86*1.1))</f>
        <v>0</v>
      </c>
      <c r="AJ86" s="3">
        <f t="shared" si="89"/>
        <v>0</v>
      </c>
      <c r="AK86" s="3">
        <v>134.52000000000001</v>
      </c>
      <c r="AL86" s="3">
        <v>3.92</v>
      </c>
      <c r="AM86" s="3">
        <v>38.92</v>
      </c>
      <c r="AN86" s="3">
        <v>4.16</v>
      </c>
      <c r="AO86" s="3">
        <v>91.68</v>
      </c>
      <c r="AP86" s="3">
        <v>0</v>
      </c>
      <c r="AQ86" s="3">
        <v>8.1999999999999993</v>
      </c>
      <c r="AR86" s="3">
        <v>0</v>
      </c>
      <c r="AS86" s="3">
        <v>0</v>
      </c>
      <c r="AT86" s="3">
        <v>90</v>
      </c>
      <c r="AU86" s="3">
        <v>46</v>
      </c>
      <c r="AV86" s="3">
        <v>1.0469999999999999</v>
      </c>
      <c r="AW86" s="3">
        <v>1</v>
      </c>
      <c r="AX86" s="3"/>
      <c r="AY86" s="3"/>
      <c r="AZ86" s="3">
        <v>1</v>
      </c>
      <c r="BA86" s="3">
        <v>54.99</v>
      </c>
      <c r="BB86" s="3">
        <v>15.29</v>
      </c>
      <c r="BC86" s="3">
        <v>8.3000000000000007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0</v>
      </c>
      <c r="BI86" s="3">
        <v>2</v>
      </c>
      <c r="BJ86" s="3" t="s">
        <v>23</v>
      </c>
      <c r="BK86" s="3"/>
      <c r="BL86" s="3"/>
      <c r="BM86" s="3">
        <v>68</v>
      </c>
      <c r="BN86" s="3">
        <v>0</v>
      </c>
      <c r="BO86" s="3" t="s">
        <v>20</v>
      </c>
      <c r="BP86" s="3">
        <v>1</v>
      </c>
      <c r="BQ86" s="3">
        <v>40</v>
      </c>
      <c r="BR86" s="3">
        <v>0</v>
      </c>
      <c r="BS86" s="3">
        <v>54.99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90</v>
      </c>
      <c r="CA86" s="3">
        <v>46</v>
      </c>
      <c r="CB86" s="3" t="s">
        <v>3</v>
      </c>
      <c r="CC86" s="3"/>
      <c r="CD86" s="3"/>
      <c r="CE86" s="3">
        <v>30</v>
      </c>
      <c r="CF86" s="3">
        <v>0</v>
      </c>
      <c r="CG86" s="3">
        <v>0</v>
      </c>
      <c r="CH86" s="3"/>
      <c r="CI86" s="3"/>
      <c r="CJ86" s="3"/>
      <c r="CK86" s="3"/>
      <c r="CL86" s="3"/>
      <c r="CM86" s="3">
        <v>0</v>
      </c>
      <c r="CN86" s="3" t="s">
        <v>3</v>
      </c>
      <c r="CO86" s="3">
        <v>0</v>
      </c>
      <c r="CP86" s="3">
        <f t="shared" si="90"/>
        <v>45668.950000000004</v>
      </c>
      <c r="CQ86" s="3">
        <f t="shared" si="91"/>
        <v>32.54</v>
      </c>
      <c r="CR86" s="3">
        <f>(ROUND((ROUND((((ET86*1.1))*AV86*1),2)*BB86),2)+ROUND((ROUND(((AE86-((EU86*1.1)))*AV86*1),2)*BS86),2))</f>
        <v>685.3</v>
      </c>
      <c r="CS86" s="3">
        <f t="shared" si="92"/>
        <v>263.39999999999998</v>
      </c>
      <c r="CT86" s="3">
        <f t="shared" si="93"/>
        <v>5806.39</v>
      </c>
      <c r="CU86" s="3">
        <f t="shared" si="94"/>
        <v>0</v>
      </c>
      <c r="CV86" s="3">
        <f t="shared" si="95"/>
        <v>9.4439399999999996</v>
      </c>
      <c r="CW86" s="3">
        <f t="shared" si="96"/>
        <v>0</v>
      </c>
      <c r="CX86" s="3">
        <f t="shared" si="97"/>
        <v>0</v>
      </c>
      <c r="CY86" s="3">
        <f t="shared" si="98"/>
        <v>38239.218000000001</v>
      </c>
      <c r="CZ86" s="3">
        <f t="shared" si="99"/>
        <v>19544.4892</v>
      </c>
      <c r="DA86" s="3"/>
      <c r="DB86" s="3"/>
      <c r="DC86" s="3" t="s">
        <v>3</v>
      </c>
      <c r="DD86" s="3" t="s">
        <v>3</v>
      </c>
      <c r="DE86" s="3" t="s">
        <v>24</v>
      </c>
      <c r="DF86" s="3" t="s">
        <v>24</v>
      </c>
      <c r="DG86" s="3" t="s">
        <v>24</v>
      </c>
      <c r="DH86" s="3" t="s">
        <v>3</v>
      </c>
      <c r="DI86" s="3" t="s">
        <v>24</v>
      </c>
      <c r="DJ86" s="3" t="s">
        <v>24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R86" s="3"/>
      <c r="DS86" s="3"/>
      <c r="DT86" s="3"/>
      <c r="DU86" s="3">
        <v>1013</v>
      </c>
      <c r="DV86" s="3" t="s">
        <v>22</v>
      </c>
      <c r="DW86" s="3" t="s">
        <v>22</v>
      </c>
      <c r="DX86" s="3">
        <v>1</v>
      </c>
      <c r="DY86" s="3"/>
      <c r="DZ86" s="3" t="s">
        <v>3</v>
      </c>
      <c r="EA86" s="3" t="s">
        <v>3</v>
      </c>
      <c r="EB86" s="3" t="s">
        <v>3</v>
      </c>
      <c r="EC86" s="3" t="s">
        <v>3</v>
      </c>
      <c r="ED86" s="3"/>
      <c r="EE86" s="3">
        <v>58162630</v>
      </c>
      <c r="EF86" s="3">
        <v>40</v>
      </c>
      <c r="EG86" s="3" t="s">
        <v>25</v>
      </c>
      <c r="EH86" s="3">
        <v>0</v>
      </c>
      <c r="EI86" s="3" t="s">
        <v>3</v>
      </c>
      <c r="EJ86" s="3">
        <v>2</v>
      </c>
      <c r="EK86" s="3">
        <v>68</v>
      </c>
      <c r="EL86" s="3" t="s">
        <v>26</v>
      </c>
      <c r="EM86" s="3" t="s">
        <v>27</v>
      </c>
      <c r="EN86" s="3"/>
      <c r="EO86" s="3" t="s">
        <v>28</v>
      </c>
      <c r="EP86" s="3"/>
      <c r="EQ86" s="3">
        <v>0</v>
      </c>
      <c r="ER86" s="3">
        <v>134.52000000000001</v>
      </c>
      <c r="ES86" s="3">
        <v>3.92</v>
      </c>
      <c r="ET86" s="3">
        <v>38.92</v>
      </c>
      <c r="EU86" s="3">
        <v>4.16</v>
      </c>
      <c r="EV86" s="3">
        <v>91.68</v>
      </c>
      <c r="EW86" s="3">
        <v>8.1999999999999993</v>
      </c>
      <c r="EX86" s="3">
        <v>0</v>
      </c>
      <c r="EY86" s="3">
        <v>0</v>
      </c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>
        <v>0</v>
      </c>
      <c r="FR86" s="3">
        <v>0</v>
      </c>
      <c r="FS86" s="3">
        <v>0</v>
      </c>
      <c r="FT86" s="3"/>
      <c r="FU86" s="3"/>
      <c r="FV86" s="3"/>
      <c r="FW86" s="3"/>
      <c r="FX86" s="3">
        <v>90</v>
      </c>
      <c r="FY86" s="3">
        <v>46</v>
      </c>
      <c r="FZ86" s="3"/>
      <c r="GA86" s="3" t="s">
        <v>3</v>
      </c>
      <c r="GB86" s="3"/>
      <c r="GC86" s="3"/>
      <c r="GD86" s="3">
        <v>1</v>
      </c>
      <c r="GE86" s="3"/>
      <c r="GF86" s="3">
        <v>-1576476159</v>
      </c>
      <c r="GG86" s="3">
        <v>2</v>
      </c>
      <c r="GH86" s="3">
        <v>1</v>
      </c>
      <c r="GI86" s="3">
        <v>2</v>
      </c>
      <c r="GJ86" s="3">
        <v>0</v>
      </c>
      <c r="GK86" s="3">
        <v>0</v>
      </c>
      <c r="GL86" s="3">
        <f t="shared" si="100"/>
        <v>0</v>
      </c>
      <c r="GM86" s="3">
        <f t="shared" si="101"/>
        <v>103452.66</v>
      </c>
      <c r="GN86" s="3">
        <f t="shared" si="102"/>
        <v>0</v>
      </c>
      <c r="GO86" s="3">
        <f t="shared" si="103"/>
        <v>103452.66</v>
      </c>
      <c r="GP86" s="3">
        <f t="shared" si="104"/>
        <v>0</v>
      </c>
      <c r="GQ86" s="3"/>
      <c r="GR86" s="3">
        <v>0</v>
      </c>
      <c r="GS86" s="3">
        <v>3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GY86" s="3"/>
      <c r="GZ86" s="3"/>
      <c r="HA86" s="3">
        <v>0</v>
      </c>
      <c r="HB86" s="3">
        <v>0</v>
      </c>
      <c r="HC86" s="3">
        <f t="shared" si="107"/>
        <v>0</v>
      </c>
      <c r="HD86" s="3"/>
      <c r="HE86" s="3" t="s">
        <v>3</v>
      </c>
      <c r="HF86" s="3" t="s">
        <v>3</v>
      </c>
      <c r="HG86" s="3"/>
      <c r="HH86" s="3"/>
      <c r="HI86" s="3"/>
      <c r="HJ86" s="3"/>
      <c r="HK86" s="3"/>
      <c r="HL86" s="3"/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R86" s="3"/>
      <c r="HS86" s="3">
        <v>0</v>
      </c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>
        <v>0</v>
      </c>
      <c r="IL86" s="3"/>
      <c r="IM86" s="3"/>
      <c r="IN86" s="3"/>
      <c r="IO86" s="3"/>
      <c r="IP86" s="3"/>
      <c r="IQ86" s="3"/>
      <c r="IR86" s="3"/>
      <c r="IS86" s="3"/>
      <c r="IT86" s="3"/>
      <c r="IU86" s="3"/>
    </row>
    <row r="87" spans="1:255" x14ac:dyDescent="0.3">
      <c r="A87" s="2">
        <v>18</v>
      </c>
      <c r="B87" s="2">
        <v>1</v>
      </c>
      <c r="C87" s="2"/>
      <c r="D87" s="2"/>
      <c r="E87" s="2" t="s">
        <v>133</v>
      </c>
      <c r="F87" s="2" t="s">
        <v>134</v>
      </c>
      <c r="G87" s="2" t="s">
        <v>135</v>
      </c>
      <c r="H87" s="2" t="s">
        <v>32</v>
      </c>
      <c r="I87" s="2">
        <f>I85*J87</f>
        <v>7</v>
      </c>
      <c r="J87" s="2">
        <v>1</v>
      </c>
      <c r="K87" s="2">
        <v>1</v>
      </c>
      <c r="L87" s="2"/>
      <c r="M87" s="2"/>
      <c r="N87" s="2"/>
      <c r="O87" s="2">
        <f t="shared" si="76"/>
        <v>99243.9</v>
      </c>
      <c r="P87" s="2">
        <f t="shared" si="77"/>
        <v>99243.9</v>
      </c>
      <c r="Q87" s="2">
        <f t="shared" ref="Q87:Q94" si="108">(ROUND((ROUND(((ET87)*AV87*I87),2)*BB87),2)+ROUND((ROUND(((AE87-(EU87))*AV87*I87),2)*BS87),2))</f>
        <v>0</v>
      </c>
      <c r="R87" s="2">
        <f t="shared" si="78"/>
        <v>0</v>
      </c>
      <c r="S87" s="2">
        <f t="shared" si="79"/>
        <v>0</v>
      </c>
      <c r="T87" s="2">
        <f t="shared" si="80"/>
        <v>0</v>
      </c>
      <c r="U87" s="2">
        <f t="shared" si="81"/>
        <v>0</v>
      </c>
      <c r="V87" s="2">
        <f t="shared" si="82"/>
        <v>0</v>
      </c>
      <c r="W87" s="2">
        <f t="shared" si="83"/>
        <v>0</v>
      </c>
      <c r="X87" s="2">
        <f t="shared" si="84"/>
        <v>0</v>
      </c>
      <c r="Y87" s="2">
        <f t="shared" si="85"/>
        <v>0</v>
      </c>
      <c r="Z87" s="2"/>
      <c r="AA87" s="2">
        <v>56505403</v>
      </c>
      <c r="AB87" s="2">
        <f t="shared" si="86"/>
        <v>14177.7</v>
      </c>
      <c r="AC87" s="2">
        <f t="shared" si="87"/>
        <v>14177.7</v>
      </c>
      <c r="AD87" s="2">
        <f t="shared" ref="AD87:AD94" si="109">ROUND((((ET87)-(EU87))+AE87),6)</f>
        <v>0</v>
      </c>
      <c r="AE87" s="2">
        <f t="shared" ref="AE87:AF94" si="110">ROUND((EU87),6)</f>
        <v>0</v>
      </c>
      <c r="AF87" s="2">
        <f t="shared" si="110"/>
        <v>0</v>
      </c>
      <c r="AG87" s="2">
        <f t="shared" si="88"/>
        <v>0</v>
      </c>
      <c r="AH87" s="2">
        <f t="shared" ref="AH87:AI94" si="111">(EW87)</f>
        <v>0</v>
      </c>
      <c r="AI87" s="2">
        <f t="shared" si="111"/>
        <v>0</v>
      </c>
      <c r="AJ87" s="2">
        <f t="shared" si="89"/>
        <v>0</v>
      </c>
      <c r="AK87" s="2">
        <v>14177.699999999999</v>
      </c>
      <c r="AL87" s="2">
        <v>14177.699999999999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90</v>
      </c>
      <c r="AU87" s="2">
        <v>46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2</v>
      </c>
      <c r="BJ87" s="2" t="s">
        <v>3</v>
      </c>
      <c r="BK87" s="2"/>
      <c r="BL87" s="2"/>
      <c r="BM87" s="2">
        <v>68</v>
      </c>
      <c r="BN87" s="2">
        <v>0</v>
      </c>
      <c r="BO87" s="2" t="s">
        <v>3</v>
      </c>
      <c r="BP87" s="2">
        <v>0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90</v>
      </c>
      <c r="CA87" s="2">
        <v>46</v>
      </c>
      <c r="CB87" s="2" t="s">
        <v>3</v>
      </c>
      <c r="CC87" s="2"/>
      <c r="CD87" s="2"/>
      <c r="CE87" s="2">
        <v>30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90"/>
        <v>99243.9</v>
      </c>
      <c r="CQ87" s="2">
        <f t="shared" si="91"/>
        <v>14177.7</v>
      </c>
      <c r="CR87" s="2">
        <f t="shared" ref="CR87:CR94" si="112">(ROUND((ROUND(((ET87)*AV87*1),2)*BB87),2)+ROUND((ROUND(((AE87-(EU87))*AV87*1),2)*BS87),2))</f>
        <v>0</v>
      </c>
      <c r="CS87" s="2">
        <f t="shared" si="92"/>
        <v>0</v>
      </c>
      <c r="CT87" s="2">
        <f t="shared" si="93"/>
        <v>0</v>
      </c>
      <c r="CU87" s="2">
        <f t="shared" si="94"/>
        <v>0</v>
      </c>
      <c r="CV87" s="2">
        <f t="shared" si="95"/>
        <v>0</v>
      </c>
      <c r="CW87" s="2">
        <f t="shared" si="96"/>
        <v>0</v>
      </c>
      <c r="CX87" s="2">
        <f t="shared" si="97"/>
        <v>0</v>
      </c>
      <c r="CY87" s="2">
        <f t="shared" si="98"/>
        <v>0</v>
      </c>
      <c r="CZ87" s="2">
        <f t="shared" si="99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1010</v>
      </c>
      <c r="DV87" s="2" t="s">
        <v>32</v>
      </c>
      <c r="DW87" s="2" t="s">
        <v>32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58162630</v>
      </c>
      <c r="EF87" s="2">
        <v>40</v>
      </c>
      <c r="EG87" s="2" t="s">
        <v>25</v>
      </c>
      <c r="EH87" s="2">
        <v>0</v>
      </c>
      <c r="EI87" s="2" t="s">
        <v>3</v>
      </c>
      <c r="EJ87" s="2">
        <v>2</v>
      </c>
      <c r="EK87" s="2">
        <v>68</v>
      </c>
      <c r="EL87" s="2" t="s">
        <v>26</v>
      </c>
      <c r="EM87" s="2" t="s">
        <v>27</v>
      </c>
      <c r="EN87" s="2"/>
      <c r="EO87" s="2" t="s">
        <v>3</v>
      </c>
      <c r="EP87" s="2"/>
      <c r="EQ87" s="2">
        <v>0</v>
      </c>
      <c r="ER87" s="2">
        <v>0</v>
      </c>
      <c r="ES87" s="2">
        <v>14177.699999999999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90</v>
      </c>
      <c r="FY87" s="2">
        <v>46</v>
      </c>
      <c r="FZ87" s="2"/>
      <c r="GA87" s="2" t="s">
        <v>136</v>
      </c>
      <c r="GB87" s="2"/>
      <c r="GC87" s="2"/>
      <c r="GD87" s="2">
        <v>1</v>
      </c>
      <c r="GE87" s="2"/>
      <c r="GF87" s="2">
        <v>-165771226</v>
      </c>
      <c r="GG87" s="2">
        <v>2</v>
      </c>
      <c r="GH87" s="2">
        <v>4</v>
      </c>
      <c r="GI87" s="2">
        <v>-2</v>
      </c>
      <c r="GJ87" s="2">
        <v>0</v>
      </c>
      <c r="GK87" s="2">
        <v>0</v>
      </c>
      <c r="GL87" s="2">
        <f t="shared" si="100"/>
        <v>0</v>
      </c>
      <c r="GM87" s="2">
        <f t="shared" si="101"/>
        <v>99243.9</v>
      </c>
      <c r="GN87" s="2">
        <f t="shared" si="102"/>
        <v>0</v>
      </c>
      <c r="GO87" s="2">
        <f t="shared" si="103"/>
        <v>99243.9</v>
      </c>
      <c r="GP87" s="2">
        <f t="shared" si="104"/>
        <v>0</v>
      </c>
      <c r="GQ87" s="2"/>
      <c r="GR87" s="2">
        <v>0</v>
      </c>
      <c r="GS87" s="2">
        <v>2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34</v>
      </c>
      <c r="HF87" s="2" t="s">
        <v>35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3">
      <c r="A88" s="3">
        <v>18</v>
      </c>
      <c r="B88" s="3">
        <v>1</v>
      </c>
      <c r="C88" s="3"/>
      <c r="D88" s="3"/>
      <c r="E88" s="3" t="s">
        <v>133</v>
      </c>
      <c r="F88" s="3" t="s">
        <v>134</v>
      </c>
      <c r="G88" s="3" t="s">
        <v>135</v>
      </c>
      <c r="H88" s="3" t="s">
        <v>32</v>
      </c>
      <c r="I88" s="3">
        <f>I86*J88</f>
        <v>7</v>
      </c>
      <c r="J88" s="3">
        <v>1</v>
      </c>
      <c r="K88" s="3">
        <v>1</v>
      </c>
      <c r="L88" s="3"/>
      <c r="M88" s="3"/>
      <c r="N88" s="3"/>
      <c r="O88" s="3">
        <f t="shared" si="76"/>
        <v>980529.73</v>
      </c>
      <c r="P88" s="3">
        <f t="shared" si="77"/>
        <v>980529.73</v>
      </c>
      <c r="Q88" s="3">
        <f t="shared" si="108"/>
        <v>0</v>
      </c>
      <c r="R88" s="3">
        <f t="shared" si="78"/>
        <v>0</v>
      </c>
      <c r="S88" s="3">
        <f t="shared" si="79"/>
        <v>0</v>
      </c>
      <c r="T88" s="3">
        <f t="shared" si="80"/>
        <v>0</v>
      </c>
      <c r="U88" s="3">
        <f t="shared" si="81"/>
        <v>0</v>
      </c>
      <c r="V88" s="3">
        <f t="shared" si="82"/>
        <v>0</v>
      </c>
      <c r="W88" s="3">
        <f t="shared" si="83"/>
        <v>0</v>
      </c>
      <c r="X88" s="3">
        <f t="shared" si="84"/>
        <v>0</v>
      </c>
      <c r="Y88" s="3">
        <f t="shared" si="85"/>
        <v>0</v>
      </c>
      <c r="Z88" s="3"/>
      <c r="AA88" s="3">
        <v>56505405</v>
      </c>
      <c r="AB88" s="3">
        <f t="shared" si="86"/>
        <v>14177.7</v>
      </c>
      <c r="AC88" s="3">
        <f t="shared" si="87"/>
        <v>14177.7</v>
      </c>
      <c r="AD88" s="3">
        <f t="shared" si="109"/>
        <v>0</v>
      </c>
      <c r="AE88" s="3">
        <f t="shared" si="110"/>
        <v>0</v>
      </c>
      <c r="AF88" s="3">
        <f t="shared" si="110"/>
        <v>0</v>
      </c>
      <c r="AG88" s="3">
        <f t="shared" si="88"/>
        <v>0</v>
      </c>
      <c r="AH88" s="3">
        <f t="shared" si="111"/>
        <v>0</v>
      </c>
      <c r="AI88" s="3">
        <f t="shared" si="111"/>
        <v>0</v>
      </c>
      <c r="AJ88" s="3">
        <f t="shared" si="89"/>
        <v>0</v>
      </c>
      <c r="AK88" s="3">
        <v>14177.699999999999</v>
      </c>
      <c r="AL88" s="3">
        <v>14177.699999999999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90</v>
      </c>
      <c r="AU88" s="3">
        <v>46</v>
      </c>
      <c r="AV88" s="3">
        <v>1</v>
      </c>
      <c r="AW88" s="3">
        <v>1</v>
      </c>
      <c r="AX88" s="3"/>
      <c r="AY88" s="3"/>
      <c r="AZ88" s="3">
        <v>1</v>
      </c>
      <c r="BA88" s="3">
        <v>1</v>
      </c>
      <c r="BB88" s="3">
        <v>1</v>
      </c>
      <c r="BC88" s="3">
        <v>9.8800000000000008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3</v>
      </c>
      <c r="BI88" s="3">
        <v>2</v>
      </c>
      <c r="BJ88" s="3" t="s">
        <v>3</v>
      </c>
      <c r="BK88" s="3"/>
      <c r="BL88" s="3"/>
      <c r="BM88" s="3">
        <v>68</v>
      </c>
      <c r="BN88" s="3">
        <v>0</v>
      </c>
      <c r="BO88" s="3" t="s">
        <v>3</v>
      </c>
      <c r="BP88" s="3">
        <v>0</v>
      </c>
      <c r="BQ88" s="3">
        <v>40</v>
      </c>
      <c r="BR88" s="3">
        <v>0</v>
      </c>
      <c r="BS88" s="3">
        <v>1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90</v>
      </c>
      <c r="CA88" s="3">
        <v>46</v>
      </c>
      <c r="CB88" s="3" t="s">
        <v>3</v>
      </c>
      <c r="CC88" s="3"/>
      <c r="CD88" s="3"/>
      <c r="CE88" s="3">
        <v>30</v>
      </c>
      <c r="CF88" s="3">
        <v>0</v>
      </c>
      <c r="CG88" s="3">
        <v>0</v>
      </c>
      <c r="CH88" s="3"/>
      <c r="CI88" s="3"/>
      <c r="CJ88" s="3"/>
      <c r="CK88" s="3"/>
      <c r="CL88" s="3"/>
      <c r="CM88" s="3">
        <v>0</v>
      </c>
      <c r="CN88" s="3" t="s">
        <v>3</v>
      </c>
      <c r="CO88" s="3">
        <v>0</v>
      </c>
      <c r="CP88" s="3">
        <f t="shared" si="90"/>
        <v>980529.73</v>
      </c>
      <c r="CQ88" s="3">
        <f t="shared" si="91"/>
        <v>140075.68</v>
      </c>
      <c r="CR88" s="3">
        <f t="shared" si="112"/>
        <v>0</v>
      </c>
      <c r="CS88" s="3">
        <f t="shared" si="92"/>
        <v>0</v>
      </c>
      <c r="CT88" s="3">
        <f t="shared" si="93"/>
        <v>0</v>
      </c>
      <c r="CU88" s="3">
        <f t="shared" si="94"/>
        <v>0</v>
      </c>
      <c r="CV88" s="3">
        <f t="shared" si="95"/>
        <v>0</v>
      </c>
      <c r="CW88" s="3">
        <f t="shared" si="96"/>
        <v>0</v>
      </c>
      <c r="CX88" s="3">
        <f t="shared" si="97"/>
        <v>0</v>
      </c>
      <c r="CY88" s="3">
        <f t="shared" si="98"/>
        <v>0</v>
      </c>
      <c r="CZ88" s="3">
        <f t="shared" si="99"/>
        <v>0</v>
      </c>
      <c r="DA88" s="3"/>
      <c r="DB88" s="3"/>
      <c r="DC88" s="3" t="s">
        <v>3</v>
      </c>
      <c r="DD88" s="3" t="s">
        <v>3</v>
      </c>
      <c r="DE88" s="3" t="s">
        <v>3</v>
      </c>
      <c r="DF88" s="3" t="s">
        <v>3</v>
      </c>
      <c r="DG88" s="3" t="s">
        <v>3</v>
      </c>
      <c r="DH88" s="3" t="s">
        <v>3</v>
      </c>
      <c r="DI88" s="3" t="s">
        <v>3</v>
      </c>
      <c r="DJ88" s="3" t="s">
        <v>3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R88" s="3"/>
      <c r="DS88" s="3"/>
      <c r="DT88" s="3"/>
      <c r="DU88" s="3">
        <v>1010</v>
      </c>
      <c r="DV88" s="3" t="s">
        <v>32</v>
      </c>
      <c r="DW88" s="3" t="s">
        <v>32</v>
      </c>
      <c r="DX88" s="3">
        <v>1</v>
      </c>
      <c r="DY88" s="3"/>
      <c r="DZ88" s="3" t="s">
        <v>3</v>
      </c>
      <c r="EA88" s="3" t="s">
        <v>3</v>
      </c>
      <c r="EB88" s="3" t="s">
        <v>3</v>
      </c>
      <c r="EC88" s="3" t="s">
        <v>3</v>
      </c>
      <c r="ED88" s="3"/>
      <c r="EE88" s="3">
        <v>58162630</v>
      </c>
      <c r="EF88" s="3">
        <v>40</v>
      </c>
      <c r="EG88" s="3" t="s">
        <v>25</v>
      </c>
      <c r="EH88" s="3">
        <v>0</v>
      </c>
      <c r="EI88" s="3" t="s">
        <v>3</v>
      </c>
      <c r="EJ88" s="3">
        <v>2</v>
      </c>
      <c r="EK88" s="3">
        <v>68</v>
      </c>
      <c r="EL88" s="3" t="s">
        <v>26</v>
      </c>
      <c r="EM88" s="3" t="s">
        <v>27</v>
      </c>
      <c r="EN88" s="3"/>
      <c r="EO88" s="3" t="s">
        <v>3</v>
      </c>
      <c r="EP88" s="3"/>
      <c r="EQ88" s="3">
        <v>0</v>
      </c>
      <c r="ER88" s="3">
        <v>14177.699999999999</v>
      </c>
      <c r="ES88" s="3">
        <v>14177.699999999999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/>
      <c r="EZ88" s="3">
        <v>5</v>
      </c>
      <c r="FA88" s="3"/>
      <c r="FB88" s="3"/>
      <c r="FC88" s="3">
        <v>1</v>
      </c>
      <c r="FD88" s="3">
        <v>18</v>
      </c>
      <c r="FE88" s="3"/>
      <c r="FF88" s="3">
        <v>164795</v>
      </c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>
        <v>0</v>
      </c>
      <c r="FR88" s="3">
        <v>0</v>
      </c>
      <c r="FS88" s="3">
        <v>0</v>
      </c>
      <c r="FT88" s="3"/>
      <c r="FU88" s="3"/>
      <c r="FV88" s="3"/>
      <c r="FW88" s="3"/>
      <c r="FX88" s="3">
        <v>90</v>
      </c>
      <c r="FY88" s="3">
        <v>46</v>
      </c>
      <c r="FZ88" s="3"/>
      <c r="GA88" s="3" t="s">
        <v>136</v>
      </c>
      <c r="GB88" s="3"/>
      <c r="GC88" s="3"/>
      <c r="GD88" s="3">
        <v>1</v>
      </c>
      <c r="GE88" s="3"/>
      <c r="GF88" s="3">
        <v>-165771226</v>
      </c>
      <c r="GG88" s="3">
        <v>2</v>
      </c>
      <c r="GH88" s="3">
        <v>3</v>
      </c>
      <c r="GI88" s="3">
        <v>5</v>
      </c>
      <c r="GJ88" s="3">
        <v>0</v>
      </c>
      <c r="GK88" s="3">
        <v>0</v>
      </c>
      <c r="GL88" s="3">
        <f t="shared" si="100"/>
        <v>0</v>
      </c>
      <c r="GM88" s="3">
        <f t="shared" si="101"/>
        <v>980529.73</v>
      </c>
      <c r="GN88" s="3">
        <f t="shared" si="102"/>
        <v>0</v>
      </c>
      <c r="GO88" s="3">
        <f t="shared" si="103"/>
        <v>980529.73</v>
      </c>
      <c r="GP88" s="3">
        <f t="shared" si="104"/>
        <v>0</v>
      </c>
      <c r="GQ88" s="3"/>
      <c r="GR88" s="3">
        <v>1</v>
      </c>
      <c r="GS88" s="3">
        <v>1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GY88" s="3"/>
      <c r="GZ88" s="3"/>
      <c r="HA88" s="3">
        <v>0</v>
      </c>
      <c r="HB88" s="3">
        <v>0</v>
      </c>
      <c r="HC88" s="3">
        <f t="shared" si="107"/>
        <v>0</v>
      </c>
      <c r="HD88" s="3"/>
      <c r="HE88" s="3" t="s">
        <v>34</v>
      </c>
      <c r="HF88" s="3" t="s">
        <v>35</v>
      </c>
      <c r="HG88" s="3"/>
      <c r="HH88" s="3"/>
      <c r="HI88" s="3"/>
      <c r="HJ88" s="3"/>
      <c r="HK88" s="3"/>
      <c r="HL88" s="3"/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R88" s="3"/>
      <c r="HS88" s="3">
        <v>0</v>
      </c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>
        <v>0</v>
      </c>
      <c r="IL88" s="3"/>
      <c r="IM88" s="3"/>
      <c r="IN88" s="3"/>
      <c r="IO88" s="3"/>
      <c r="IP88" s="3"/>
      <c r="IQ88" s="3"/>
      <c r="IR88" s="3"/>
      <c r="IS88" s="3"/>
      <c r="IT88" s="3"/>
      <c r="IU88" s="3"/>
    </row>
    <row r="89" spans="1:255" x14ac:dyDescent="0.3">
      <c r="A89" s="2">
        <v>18</v>
      </c>
      <c r="B89" s="2">
        <v>1</v>
      </c>
      <c r="C89" s="2"/>
      <c r="D89" s="2"/>
      <c r="E89" s="2" t="s">
        <v>137</v>
      </c>
      <c r="F89" s="2" t="s">
        <v>138</v>
      </c>
      <c r="G89" s="2" t="s">
        <v>139</v>
      </c>
      <c r="H89" s="2" t="s">
        <v>32</v>
      </c>
      <c r="I89" s="2">
        <f>I85*J89</f>
        <v>7</v>
      </c>
      <c r="J89" s="2">
        <v>1</v>
      </c>
      <c r="K89" s="2">
        <v>1</v>
      </c>
      <c r="L89" s="2"/>
      <c r="M89" s="2"/>
      <c r="N89" s="2"/>
      <c r="O89" s="2">
        <f t="shared" si="76"/>
        <v>22627.15</v>
      </c>
      <c r="P89" s="2">
        <f t="shared" si="77"/>
        <v>22627.15</v>
      </c>
      <c r="Q89" s="2">
        <f t="shared" si="108"/>
        <v>0</v>
      </c>
      <c r="R89" s="2">
        <f t="shared" si="78"/>
        <v>0</v>
      </c>
      <c r="S89" s="2">
        <f t="shared" si="79"/>
        <v>0</v>
      </c>
      <c r="T89" s="2">
        <f t="shared" si="80"/>
        <v>0</v>
      </c>
      <c r="U89" s="2">
        <f t="shared" si="81"/>
        <v>0</v>
      </c>
      <c r="V89" s="2">
        <f t="shared" si="82"/>
        <v>0</v>
      </c>
      <c r="W89" s="2">
        <f t="shared" si="83"/>
        <v>0</v>
      </c>
      <c r="X89" s="2">
        <f t="shared" si="84"/>
        <v>0</v>
      </c>
      <c r="Y89" s="2">
        <f t="shared" si="85"/>
        <v>0</v>
      </c>
      <c r="Z89" s="2"/>
      <c r="AA89" s="2">
        <v>56505403</v>
      </c>
      <c r="AB89" s="2">
        <f t="shared" si="86"/>
        <v>3232.45</v>
      </c>
      <c r="AC89" s="2">
        <f t="shared" si="87"/>
        <v>3232.45</v>
      </c>
      <c r="AD89" s="2">
        <f t="shared" si="109"/>
        <v>0</v>
      </c>
      <c r="AE89" s="2">
        <f t="shared" si="110"/>
        <v>0</v>
      </c>
      <c r="AF89" s="2">
        <f t="shared" si="110"/>
        <v>0</v>
      </c>
      <c r="AG89" s="2">
        <f t="shared" si="88"/>
        <v>0</v>
      </c>
      <c r="AH89" s="2">
        <f t="shared" si="111"/>
        <v>0</v>
      </c>
      <c r="AI89" s="2">
        <f t="shared" si="111"/>
        <v>0</v>
      </c>
      <c r="AJ89" s="2">
        <f t="shared" si="89"/>
        <v>0</v>
      </c>
      <c r="AK89" s="2">
        <v>3232.4500000000003</v>
      </c>
      <c r="AL89" s="2">
        <v>3232.4500000000003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90</v>
      </c>
      <c r="AU89" s="2">
        <v>46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2</v>
      </c>
      <c r="BJ89" s="2" t="s">
        <v>3</v>
      </c>
      <c r="BK89" s="2"/>
      <c r="BL89" s="2"/>
      <c r="BM89" s="2">
        <v>68</v>
      </c>
      <c r="BN89" s="2">
        <v>0</v>
      </c>
      <c r="BO89" s="2" t="s">
        <v>3</v>
      </c>
      <c r="BP89" s="2">
        <v>0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90</v>
      </c>
      <c r="CA89" s="2">
        <v>46</v>
      </c>
      <c r="CB89" s="2" t="s">
        <v>3</v>
      </c>
      <c r="CC89" s="2"/>
      <c r="CD89" s="2"/>
      <c r="CE89" s="2">
        <v>30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90"/>
        <v>22627.15</v>
      </c>
      <c r="CQ89" s="2">
        <f t="shared" si="91"/>
        <v>3232.45</v>
      </c>
      <c r="CR89" s="2">
        <f t="shared" si="112"/>
        <v>0</v>
      </c>
      <c r="CS89" s="2">
        <f t="shared" si="92"/>
        <v>0</v>
      </c>
      <c r="CT89" s="2">
        <f t="shared" si="93"/>
        <v>0</v>
      </c>
      <c r="CU89" s="2">
        <f t="shared" si="94"/>
        <v>0</v>
      </c>
      <c r="CV89" s="2">
        <f t="shared" si="95"/>
        <v>0</v>
      </c>
      <c r="CW89" s="2">
        <f t="shared" si="96"/>
        <v>0</v>
      </c>
      <c r="CX89" s="2">
        <f t="shared" si="97"/>
        <v>0</v>
      </c>
      <c r="CY89" s="2">
        <f t="shared" si="98"/>
        <v>0</v>
      </c>
      <c r="CZ89" s="2">
        <f t="shared" si="99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1010</v>
      </c>
      <c r="DV89" s="2" t="s">
        <v>32</v>
      </c>
      <c r="DW89" s="2" t="s">
        <v>32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58162630</v>
      </c>
      <c r="EF89" s="2">
        <v>40</v>
      </c>
      <c r="EG89" s="2" t="s">
        <v>25</v>
      </c>
      <c r="EH89" s="2">
        <v>0</v>
      </c>
      <c r="EI89" s="2" t="s">
        <v>3</v>
      </c>
      <c r="EJ89" s="2">
        <v>2</v>
      </c>
      <c r="EK89" s="2">
        <v>68</v>
      </c>
      <c r="EL89" s="2" t="s">
        <v>26</v>
      </c>
      <c r="EM89" s="2" t="s">
        <v>27</v>
      </c>
      <c r="EN89" s="2"/>
      <c r="EO89" s="2" t="s">
        <v>3</v>
      </c>
      <c r="EP89" s="2"/>
      <c r="EQ89" s="2">
        <v>0</v>
      </c>
      <c r="ER89" s="2">
        <v>0</v>
      </c>
      <c r="ES89" s="2">
        <v>3232.4500000000003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90</v>
      </c>
      <c r="FY89" s="2">
        <v>46</v>
      </c>
      <c r="FZ89" s="2"/>
      <c r="GA89" s="2" t="s">
        <v>140</v>
      </c>
      <c r="GB89" s="2"/>
      <c r="GC89" s="2"/>
      <c r="GD89" s="2">
        <v>1</v>
      </c>
      <c r="GE89" s="2"/>
      <c r="GF89" s="2">
        <v>362987725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22627.15</v>
      </c>
      <c r="GN89" s="2">
        <f t="shared" si="102"/>
        <v>0</v>
      </c>
      <c r="GO89" s="2">
        <f t="shared" si="103"/>
        <v>22627.15</v>
      </c>
      <c r="GP89" s="2">
        <f t="shared" si="104"/>
        <v>0</v>
      </c>
      <c r="GQ89" s="2"/>
      <c r="GR89" s="2">
        <v>0</v>
      </c>
      <c r="GS89" s="2">
        <v>2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34</v>
      </c>
      <c r="HF89" s="2" t="s">
        <v>35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3">
      <c r="A90" s="3">
        <v>18</v>
      </c>
      <c r="B90" s="3">
        <v>1</v>
      </c>
      <c r="C90" s="3"/>
      <c r="D90" s="3"/>
      <c r="E90" s="3" t="s">
        <v>137</v>
      </c>
      <c r="F90" s="3" t="s">
        <v>138</v>
      </c>
      <c r="G90" s="3" t="s">
        <v>139</v>
      </c>
      <c r="H90" s="3" t="s">
        <v>32</v>
      </c>
      <c r="I90" s="3">
        <f>I86*J90</f>
        <v>7</v>
      </c>
      <c r="J90" s="3">
        <v>1</v>
      </c>
      <c r="K90" s="3">
        <v>1</v>
      </c>
      <c r="L90" s="3"/>
      <c r="M90" s="3"/>
      <c r="N90" s="3"/>
      <c r="O90" s="3">
        <f t="shared" si="76"/>
        <v>223556.24</v>
      </c>
      <c r="P90" s="3">
        <f t="shared" si="77"/>
        <v>223556.24</v>
      </c>
      <c r="Q90" s="3">
        <f t="shared" si="108"/>
        <v>0</v>
      </c>
      <c r="R90" s="3">
        <f t="shared" si="78"/>
        <v>0</v>
      </c>
      <c r="S90" s="3">
        <f t="shared" si="79"/>
        <v>0</v>
      </c>
      <c r="T90" s="3">
        <f t="shared" si="80"/>
        <v>0</v>
      </c>
      <c r="U90" s="3">
        <f t="shared" si="81"/>
        <v>0</v>
      </c>
      <c r="V90" s="3">
        <f t="shared" si="82"/>
        <v>0</v>
      </c>
      <c r="W90" s="3">
        <f t="shared" si="83"/>
        <v>0</v>
      </c>
      <c r="X90" s="3">
        <f t="shared" si="84"/>
        <v>0</v>
      </c>
      <c r="Y90" s="3">
        <f t="shared" si="85"/>
        <v>0</v>
      </c>
      <c r="Z90" s="3"/>
      <c r="AA90" s="3">
        <v>56505405</v>
      </c>
      <c r="AB90" s="3">
        <f t="shared" si="86"/>
        <v>3232.45</v>
      </c>
      <c r="AC90" s="3">
        <f t="shared" si="87"/>
        <v>3232.45</v>
      </c>
      <c r="AD90" s="3">
        <f t="shared" si="109"/>
        <v>0</v>
      </c>
      <c r="AE90" s="3">
        <f t="shared" si="110"/>
        <v>0</v>
      </c>
      <c r="AF90" s="3">
        <f t="shared" si="110"/>
        <v>0</v>
      </c>
      <c r="AG90" s="3">
        <f t="shared" si="88"/>
        <v>0</v>
      </c>
      <c r="AH90" s="3">
        <f t="shared" si="111"/>
        <v>0</v>
      </c>
      <c r="AI90" s="3">
        <f t="shared" si="111"/>
        <v>0</v>
      </c>
      <c r="AJ90" s="3">
        <f t="shared" si="89"/>
        <v>0</v>
      </c>
      <c r="AK90" s="3">
        <v>3232.4500000000003</v>
      </c>
      <c r="AL90" s="3">
        <v>3232.4500000000003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90</v>
      </c>
      <c r="AU90" s="3">
        <v>46</v>
      </c>
      <c r="AV90" s="3">
        <v>1</v>
      </c>
      <c r="AW90" s="3">
        <v>1</v>
      </c>
      <c r="AX90" s="3"/>
      <c r="AY90" s="3"/>
      <c r="AZ90" s="3">
        <v>1</v>
      </c>
      <c r="BA90" s="3">
        <v>1</v>
      </c>
      <c r="BB90" s="3">
        <v>1</v>
      </c>
      <c r="BC90" s="3">
        <v>9.8800000000000008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2</v>
      </c>
      <c r="BJ90" s="3" t="s">
        <v>3</v>
      </c>
      <c r="BK90" s="3"/>
      <c r="BL90" s="3"/>
      <c r="BM90" s="3">
        <v>68</v>
      </c>
      <c r="BN90" s="3">
        <v>0</v>
      </c>
      <c r="BO90" s="3" t="s">
        <v>3</v>
      </c>
      <c r="BP90" s="3">
        <v>0</v>
      </c>
      <c r="BQ90" s="3">
        <v>40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90</v>
      </c>
      <c r="CA90" s="3">
        <v>46</v>
      </c>
      <c r="CB90" s="3" t="s">
        <v>3</v>
      </c>
      <c r="CC90" s="3"/>
      <c r="CD90" s="3"/>
      <c r="CE90" s="3">
        <v>30</v>
      </c>
      <c r="CF90" s="3">
        <v>0</v>
      </c>
      <c r="CG90" s="3">
        <v>0</v>
      </c>
      <c r="CH90" s="3"/>
      <c r="CI90" s="3"/>
      <c r="CJ90" s="3"/>
      <c r="CK90" s="3"/>
      <c r="CL90" s="3"/>
      <c r="CM90" s="3">
        <v>0</v>
      </c>
      <c r="CN90" s="3" t="s">
        <v>3</v>
      </c>
      <c r="CO90" s="3">
        <v>0</v>
      </c>
      <c r="CP90" s="3">
        <f t="shared" si="90"/>
        <v>223556.24</v>
      </c>
      <c r="CQ90" s="3">
        <f t="shared" si="91"/>
        <v>31936.61</v>
      </c>
      <c r="CR90" s="3">
        <f t="shared" si="112"/>
        <v>0</v>
      </c>
      <c r="CS90" s="3">
        <f t="shared" si="92"/>
        <v>0</v>
      </c>
      <c r="CT90" s="3">
        <f t="shared" si="93"/>
        <v>0</v>
      </c>
      <c r="CU90" s="3">
        <f t="shared" si="94"/>
        <v>0</v>
      </c>
      <c r="CV90" s="3">
        <f t="shared" si="95"/>
        <v>0</v>
      </c>
      <c r="CW90" s="3">
        <f t="shared" si="96"/>
        <v>0</v>
      </c>
      <c r="CX90" s="3">
        <f t="shared" si="97"/>
        <v>0</v>
      </c>
      <c r="CY90" s="3">
        <f t="shared" si="98"/>
        <v>0</v>
      </c>
      <c r="CZ90" s="3">
        <f t="shared" si="99"/>
        <v>0</v>
      </c>
      <c r="DA90" s="3"/>
      <c r="DB90" s="3"/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R90" s="3"/>
      <c r="DS90" s="3"/>
      <c r="DT90" s="3"/>
      <c r="DU90" s="3">
        <v>1010</v>
      </c>
      <c r="DV90" s="3" t="s">
        <v>32</v>
      </c>
      <c r="DW90" s="3" t="s">
        <v>32</v>
      </c>
      <c r="DX90" s="3">
        <v>1</v>
      </c>
      <c r="DY90" s="3"/>
      <c r="DZ90" s="3" t="s">
        <v>3</v>
      </c>
      <c r="EA90" s="3" t="s">
        <v>3</v>
      </c>
      <c r="EB90" s="3" t="s">
        <v>3</v>
      </c>
      <c r="EC90" s="3" t="s">
        <v>3</v>
      </c>
      <c r="ED90" s="3"/>
      <c r="EE90" s="3">
        <v>58162630</v>
      </c>
      <c r="EF90" s="3">
        <v>40</v>
      </c>
      <c r="EG90" s="3" t="s">
        <v>25</v>
      </c>
      <c r="EH90" s="3">
        <v>0</v>
      </c>
      <c r="EI90" s="3" t="s">
        <v>3</v>
      </c>
      <c r="EJ90" s="3">
        <v>2</v>
      </c>
      <c r="EK90" s="3">
        <v>68</v>
      </c>
      <c r="EL90" s="3" t="s">
        <v>26</v>
      </c>
      <c r="EM90" s="3" t="s">
        <v>27</v>
      </c>
      <c r="EN90" s="3"/>
      <c r="EO90" s="3" t="s">
        <v>3</v>
      </c>
      <c r="EP90" s="3"/>
      <c r="EQ90" s="3">
        <v>0</v>
      </c>
      <c r="ER90" s="3">
        <v>3232.4500000000003</v>
      </c>
      <c r="ES90" s="3">
        <v>3232.4500000000003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/>
      <c r="EZ90" s="3">
        <v>5</v>
      </c>
      <c r="FA90" s="3"/>
      <c r="FB90" s="3"/>
      <c r="FC90" s="3">
        <v>1</v>
      </c>
      <c r="FD90" s="3">
        <v>18</v>
      </c>
      <c r="FE90" s="3"/>
      <c r="FF90" s="3">
        <v>37572.47</v>
      </c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>
        <v>0</v>
      </c>
      <c r="FR90" s="3">
        <v>0</v>
      </c>
      <c r="FS90" s="3">
        <v>0</v>
      </c>
      <c r="FT90" s="3"/>
      <c r="FU90" s="3"/>
      <c r="FV90" s="3"/>
      <c r="FW90" s="3"/>
      <c r="FX90" s="3">
        <v>90</v>
      </c>
      <c r="FY90" s="3">
        <v>46</v>
      </c>
      <c r="FZ90" s="3"/>
      <c r="GA90" s="3" t="s">
        <v>140</v>
      </c>
      <c r="GB90" s="3"/>
      <c r="GC90" s="3"/>
      <c r="GD90" s="3">
        <v>1</v>
      </c>
      <c r="GE90" s="3"/>
      <c r="GF90" s="3">
        <v>362987725</v>
      </c>
      <c r="GG90" s="3">
        <v>2</v>
      </c>
      <c r="GH90" s="3">
        <v>3</v>
      </c>
      <c r="GI90" s="3">
        <v>5</v>
      </c>
      <c r="GJ90" s="3">
        <v>0</v>
      </c>
      <c r="GK90" s="3">
        <v>0</v>
      </c>
      <c r="GL90" s="3">
        <f t="shared" si="100"/>
        <v>0</v>
      </c>
      <c r="GM90" s="3">
        <f t="shared" si="101"/>
        <v>223556.24</v>
      </c>
      <c r="GN90" s="3">
        <f t="shared" si="102"/>
        <v>0</v>
      </c>
      <c r="GO90" s="3">
        <f t="shared" si="103"/>
        <v>223556.24</v>
      </c>
      <c r="GP90" s="3">
        <f t="shared" si="104"/>
        <v>0</v>
      </c>
      <c r="GQ90" s="3"/>
      <c r="GR90" s="3">
        <v>1</v>
      </c>
      <c r="GS90" s="3">
        <v>1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GY90" s="3"/>
      <c r="GZ90" s="3"/>
      <c r="HA90" s="3">
        <v>0</v>
      </c>
      <c r="HB90" s="3">
        <v>0</v>
      </c>
      <c r="HC90" s="3">
        <f t="shared" si="107"/>
        <v>0</v>
      </c>
      <c r="HD90" s="3"/>
      <c r="HE90" s="3" t="s">
        <v>34</v>
      </c>
      <c r="HF90" s="3" t="s">
        <v>35</v>
      </c>
      <c r="HG90" s="3"/>
      <c r="HH90" s="3"/>
      <c r="HI90" s="3"/>
      <c r="HJ90" s="3"/>
      <c r="HK90" s="3"/>
      <c r="HL90" s="3"/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R90" s="3"/>
      <c r="HS90" s="3">
        <v>0</v>
      </c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>
        <v>0</v>
      </c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pans="1:255" x14ac:dyDescent="0.3">
      <c r="A91" s="2">
        <v>18</v>
      </c>
      <c r="B91" s="2">
        <v>1</v>
      </c>
      <c r="C91" s="2"/>
      <c r="D91" s="2"/>
      <c r="E91" s="2" t="s">
        <v>141</v>
      </c>
      <c r="F91" s="2" t="s">
        <v>142</v>
      </c>
      <c r="G91" s="2" t="s">
        <v>143</v>
      </c>
      <c r="H91" s="2" t="s">
        <v>32</v>
      </c>
      <c r="I91" s="2">
        <f>I85*J91</f>
        <v>8</v>
      </c>
      <c r="J91" s="2">
        <v>1.1428571428571428</v>
      </c>
      <c r="K91" s="2">
        <v>1.1428571000000001</v>
      </c>
      <c r="L91" s="2"/>
      <c r="M91" s="2"/>
      <c r="N91" s="2"/>
      <c r="O91" s="2">
        <f t="shared" si="76"/>
        <v>2773.68</v>
      </c>
      <c r="P91" s="2">
        <f t="shared" si="77"/>
        <v>2773.68</v>
      </c>
      <c r="Q91" s="2">
        <f t="shared" si="108"/>
        <v>0</v>
      </c>
      <c r="R91" s="2">
        <f t="shared" si="78"/>
        <v>0</v>
      </c>
      <c r="S91" s="2">
        <f t="shared" si="79"/>
        <v>0</v>
      </c>
      <c r="T91" s="2">
        <f t="shared" si="80"/>
        <v>0</v>
      </c>
      <c r="U91" s="2">
        <f t="shared" si="81"/>
        <v>0</v>
      </c>
      <c r="V91" s="2">
        <f t="shared" si="82"/>
        <v>0</v>
      </c>
      <c r="W91" s="2">
        <f t="shared" si="83"/>
        <v>0</v>
      </c>
      <c r="X91" s="2">
        <f t="shared" si="84"/>
        <v>0</v>
      </c>
      <c r="Y91" s="2">
        <f t="shared" si="85"/>
        <v>0</v>
      </c>
      <c r="Z91" s="2"/>
      <c r="AA91" s="2">
        <v>56505403</v>
      </c>
      <c r="AB91" s="2">
        <f t="shared" si="86"/>
        <v>346.71</v>
      </c>
      <c r="AC91" s="2">
        <f t="shared" si="87"/>
        <v>346.71</v>
      </c>
      <c r="AD91" s="2">
        <f t="shared" si="109"/>
        <v>0</v>
      </c>
      <c r="AE91" s="2">
        <f t="shared" si="110"/>
        <v>0</v>
      </c>
      <c r="AF91" s="2">
        <f t="shared" si="110"/>
        <v>0</v>
      </c>
      <c r="AG91" s="2">
        <f t="shared" si="88"/>
        <v>0</v>
      </c>
      <c r="AH91" s="2">
        <f t="shared" si="111"/>
        <v>0</v>
      </c>
      <c r="AI91" s="2">
        <f t="shared" si="111"/>
        <v>0</v>
      </c>
      <c r="AJ91" s="2">
        <f t="shared" si="89"/>
        <v>0</v>
      </c>
      <c r="AK91" s="2">
        <v>346.71000000000004</v>
      </c>
      <c r="AL91" s="2">
        <v>346.71000000000004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90</v>
      </c>
      <c r="AU91" s="2">
        <v>46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2</v>
      </c>
      <c r="BJ91" s="2" t="s">
        <v>3</v>
      </c>
      <c r="BK91" s="2"/>
      <c r="BL91" s="2"/>
      <c r="BM91" s="2">
        <v>68</v>
      </c>
      <c r="BN91" s="2">
        <v>0</v>
      </c>
      <c r="BO91" s="2" t="s">
        <v>3</v>
      </c>
      <c r="BP91" s="2">
        <v>0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90</v>
      </c>
      <c r="CA91" s="2">
        <v>46</v>
      </c>
      <c r="CB91" s="2" t="s">
        <v>3</v>
      </c>
      <c r="CC91" s="2"/>
      <c r="CD91" s="2"/>
      <c r="CE91" s="2">
        <v>30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90"/>
        <v>2773.68</v>
      </c>
      <c r="CQ91" s="2">
        <f t="shared" si="91"/>
        <v>346.71</v>
      </c>
      <c r="CR91" s="2">
        <f t="shared" si="112"/>
        <v>0</v>
      </c>
      <c r="CS91" s="2">
        <f t="shared" si="92"/>
        <v>0</v>
      </c>
      <c r="CT91" s="2">
        <f t="shared" si="93"/>
        <v>0</v>
      </c>
      <c r="CU91" s="2">
        <f t="shared" si="94"/>
        <v>0</v>
      </c>
      <c r="CV91" s="2">
        <f t="shared" si="95"/>
        <v>0</v>
      </c>
      <c r="CW91" s="2">
        <f t="shared" si="96"/>
        <v>0</v>
      </c>
      <c r="CX91" s="2">
        <f t="shared" si="97"/>
        <v>0</v>
      </c>
      <c r="CY91" s="2">
        <f t="shared" si="98"/>
        <v>0</v>
      </c>
      <c r="CZ91" s="2">
        <f t="shared" si="99"/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1010</v>
      </c>
      <c r="DV91" s="2" t="s">
        <v>32</v>
      </c>
      <c r="DW91" s="2" t="s">
        <v>32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58162630</v>
      </c>
      <c r="EF91" s="2">
        <v>40</v>
      </c>
      <c r="EG91" s="2" t="s">
        <v>25</v>
      </c>
      <c r="EH91" s="2">
        <v>0</v>
      </c>
      <c r="EI91" s="2" t="s">
        <v>3</v>
      </c>
      <c r="EJ91" s="2">
        <v>2</v>
      </c>
      <c r="EK91" s="2">
        <v>68</v>
      </c>
      <c r="EL91" s="2" t="s">
        <v>26</v>
      </c>
      <c r="EM91" s="2" t="s">
        <v>27</v>
      </c>
      <c r="EN91" s="2"/>
      <c r="EO91" s="2" t="s">
        <v>3</v>
      </c>
      <c r="EP91" s="2"/>
      <c r="EQ91" s="2">
        <v>0</v>
      </c>
      <c r="ER91" s="2">
        <v>0</v>
      </c>
      <c r="ES91" s="2">
        <v>346.71000000000004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90</v>
      </c>
      <c r="FY91" s="2">
        <v>46</v>
      </c>
      <c r="FZ91" s="2"/>
      <c r="GA91" s="2" t="s">
        <v>144</v>
      </c>
      <c r="GB91" s="2"/>
      <c r="GC91" s="2"/>
      <c r="GD91" s="2">
        <v>1</v>
      </c>
      <c r="GE91" s="2"/>
      <c r="GF91" s="2">
        <v>1874541176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100"/>
        <v>0</v>
      </c>
      <c r="GM91" s="2">
        <f t="shared" si="101"/>
        <v>2773.68</v>
      </c>
      <c r="GN91" s="2">
        <f t="shared" si="102"/>
        <v>0</v>
      </c>
      <c r="GO91" s="2">
        <f t="shared" si="103"/>
        <v>2773.68</v>
      </c>
      <c r="GP91" s="2">
        <f t="shared" si="104"/>
        <v>0</v>
      </c>
      <c r="GQ91" s="2"/>
      <c r="GR91" s="2">
        <v>0</v>
      </c>
      <c r="GS91" s="2">
        <v>2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34</v>
      </c>
      <c r="HF91" s="2" t="s">
        <v>35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3">
      <c r="A92" s="3">
        <v>18</v>
      </c>
      <c r="B92" s="3">
        <v>1</v>
      </c>
      <c r="C92" s="3"/>
      <c r="D92" s="3"/>
      <c r="E92" s="3" t="s">
        <v>141</v>
      </c>
      <c r="F92" s="3" t="s">
        <v>142</v>
      </c>
      <c r="G92" s="3" t="s">
        <v>143</v>
      </c>
      <c r="H92" s="3" t="s">
        <v>32</v>
      </c>
      <c r="I92" s="3">
        <f>I86*J92</f>
        <v>8</v>
      </c>
      <c r="J92" s="3">
        <v>1.1428571428571428</v>
      </c>
      <c r="K92" s="3">
        <v>1.1428571000000001</v>
      </c>
      <c r="L92" s="3"/>
      <c r="M92" s="3"/>
      <c r="N92" s="3"/>
      <c r="O92" s="3">
        <f t="shared" si="76"/>
        <v>27403.96</v>
      </c>
      <c r="P92" s="3">
        <f t="shared" si="77"/>
        <v>27403.96</v>
      </c>
      <c r="Q92" s="3">
        <f t="shared" si="108"/>
        <v>0</v>
      </c>
      <c r="R92" s="3">
        <f t="shared" si="78"/>
        <v>0</v>
      </c>
      <c r="S92" s="3">
        <f t="shared" si="79"/>
        <v>0</v>
      </c>
      <c r="T92" s="3">
        <f t="shared" si="80"/>
        <v>0</v>
      </c>
      <c r="U92" s="3">
        <f t="shared" si="81"/>
        <v>0</v>
      </c>
      <c r="V92" s="3">
        <f t="shared" si="82"/>
        <v>0</v>
      </c>
      <c r="W92" s="3">
        <f t="shared" si="83"/>
        <v>0</v>
      </c>
      <c r="X92" s="3">
        <f t="shared" si="84"/>
        <v>0</v>
      </c>
      <c r="Y92" s="3">
        <f t="shared" si="85"/>
        <v>0</v>
      </c>
      <c r="Z92" s="3"/>
      <c r="AA92" s="3">
        <v>56505405</v>
      </c>
      <c r="AB92" s="3">
        <f t="shared" si="86"/>
        <v>346.71</v>
      </c>
      <c r="AC92" s="3">
        <f t="shared" si="87"/>
        <v>346.71</v>
      </c>
      <c r="AD92" s="3">
        <f t="shared" si="109"/>
        <v>0</v>
      </c>
      <c r="AE92" s="3">
        <f t="shared" si="110"/>
        <v>0</v>
      </c>
      <c r="AF92" s="3">
        <f t="shared" si="110"/>
        <v>0</v>
      </c>
      <c r="AG92" s="3">
        <f t="shared" si="88"/>
        <v>0</v>
      </c>
      <c r="AH92" s="3">
        <f t="shared" si="111"/>
        <v>0</v>
      </c>
      <c r="AI92" s="3">
        <f t="shared" si="111"/>
        <v>0</v>
      </c>
      <c r="AJ92" s="3">
        <f t="shared" si="89"/>
        <v>0</v>
      </c>
      <c r="AK92" s="3">
        <v>346.71000000000004</v>
      </c>
      <c r="AL92" s="3">
        <v>346.71000000000004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90</v>
      </c>
      <c r="AU92" s="3">
        <v>46</v>
      </c>
      <c r="AV92" s="3">
        <v>1</v>
      </c>
      <c r="AW92" s="3">
        <v>1</v>
      </c>
      <c r="AX92" s="3"/>
      <c r="AY92" s="3"/>
      <c r="AZ92" s="3">
        <v>1</v>
      </c>
      <c r="BA92" s="3">
        <v>1</v>
      </c>
      <c r="BB92" s="3">
        <v>1</v>
      </c>
      <c r="BC92" s="3">
        <v>9.8800000000000008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2</v>
      </c>
      <c r="BJ92" s="3" t="s">
        <v>3</v>
      </c>
      <c r="BK92" s="3"/>
      <c r="BL92" s="3"/>
      <c r="BM92" s="3">
        <v>68</v>
      </c>
      <c r="BN92" s="3">
        <v>0</v>
      </c>
      <c r="BO92" s="3" t="s">
        <v>3</v>
      </c>
      <c r="BP92" s="3">
        <v>0</v>
      </c>
      <c r="BQ92" s="3">
        <v>40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90</v>
      </c>
      <c r="CA92" s="3">
        <v>46</v>
      </c>
      <c r="CB92" s="3" t="s">
        <v>3</v>
      </c>
      <c r="CC92" s="3"/>
      <c r="CD92" s="3"/>
      <c r="CE92" s="3">
        <v>30</v>
      </c>
      <c r="CF92" s="3">
        <v>0</v>
      </c>
      <c r="CG92" s="3">
        <v>0</v>
      </c>
      <c r="CH92" s="3"/>
      <c r="CI92" s="3"/>
      <c r="CJ92" s="3"/>
      <c r="CK92" s="3"/>
      <c r="CL92" s="3"/>
      <c r="CM92" s="3">
        <v>0</v>
      </c>
      <c r="CN92" s="3" t="s">
        <v>3</v>
      </c>
      <c r="CO92" s="3">
        <v>0</v>
      </c>
      <c r="CP92" s="3">
        <f t="shared" si="90"/>
        <v>27403.96</v>
      </c>
      <c r="CQ92" s="3">
        <f t="shared" si="91"/>
        <v>3425.49</v>
      </c>
      <c r="CR92" s="3">
        <f t="shared" si="112"/>
        <v>0</v>
      </c>
      <c r="CS92" s="3">
        <f t="shared" si="92"/>
        <v>0</v>
      </c>
      <c r="CT92" s="3">
        <f t="shared" si="93"/>
        <v>0</v>
      </c>
      <c r="CU92" s="3">
        <f t="shared" si="94"/>
        <v>0</v>
      </c>
      <c r="CV92" s="3">
        <f t="shared" si="95"/>
        <v>0</v>
      </c>
      <c r="CW92" s="3">
        <f t="shared" si="96"/>
        <v>0</v>
      </c>
      <c r="CX92" s="3">
        <f t="shared" si="97"/>
        <v>0</v>
      </c>
      <c r="CY92" s="3">
        <f t="shared" si="98"/>
        <v>0</v>
      </c>
      <c r="CZ92" s="3">
        <f t="shared" si="99"/>
        <v>0</v>
      </c>
      <c r="DA92" s="3"/>
      <c r="DB92" s="3"/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R92" s="3"/>
      <c r="DS92" s="3"/>
      <c r="DT92" s="3"/>
      <c r="DU92" s="3">
        <v>1010</v>
      </c>
      <c r="DV92" s="3" t="s">
        <v>32</v>
      </c>
      <c r="DW92" s="3" t="s">
        <v>32</v>
      </c>
      <c r="DX92" s="3">
        <v>1</v>
      </c>
      <c r="DY92" s="3"/>
      <c r="DZ92" s="3" t="s">
        <v>3</v>
      </c>
      <c r="EA92" s="3" t="s">
        <v>3</v>
      </c>
      <c r="EB92" s="3" t="s">
        <v>3</v>
      </c>
      <c r="EC92" s="3" t="s">
        <v>3</v>
      </c>
      <c r="ED92" s="3"/>
      <c r="EE92" s="3">
        <v>58162630</v>
      </c>
      <c r="EF92" s="3">
        <v>40</v>
      </c>
      <c r="EG92" s="3" t="s">
        <v>25</v>
      </c>
      <c r="EH92" s="3">
        <v>0</v>
      </c>
      <c r="EI92" s="3" t="s">
        <v>3</v>
      </c>
      <c r="EJ92" s="3">
        <v>2</v>
      </c>
      <c r="EK92" s="3">
        <v>68</v>
      </c>
      <c r="EL92" s="3" t="s">
        <v>26</v>
      </c>
      <c r="EM92" s="3" t="s">
        <v>27</v>
      </c>
      <c r="EN92" s="3"/>
      <c r="EO92" s="3" t="s">
        <v>3</v>
      </c>
      <c r="EP92" s="3"/>
      <c r="EQ92" s="3">
        <v>0</v>
      </c>
      <c r="ER92" s="3">
        <v>346.71000000000004</v>
      </c>
      <c r="ES92" s="3">
        <v>346.71000000000004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/>
      <c r="EZ92" s="3">
        <v>5</v>
      </c>
      <c r="FA92" s="3"/>
      <c r="FB92" s="3"/>
      <c r="FC92" s="3">
        <v>1</v>
      </c>
      <c r="FD92" s="3">
        <v>18</v>
      </c>
      <c r="FE92" s="3"/>
      <c r="FF92" s="3">
        <v>4030</v>
      </c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>
        <v>0</v>
      </c>
      <c r="FR92" s="3">
        <v>0</v>
      </c>
      <c r="FS92" s="3">
        <v>0</v>
      </c>
      <c r="FT92" s="3"/>
      <c r="FU92" s="3"/>
      <c r="FV92" s="3"/>
      <c r="FW92" s="3"/>
      <c r="FX92" s="3">
        <v>90</v>
      </c>
      <c r="FY92" s="3">
        <v>46</v>
      </c>
      <c r="FZ92" s="3"/>
      <c r="GA92" s="3" t="s">
        <v>144</v>
      </c>
      <c r="GB92" s="3"/>
      <c r="GC92" s="3"/>
      <c r="GD92" s="3">
        <v>1</v>
      </c>
      <c r="GE92" s="3"/>
      <c r="GF92" s="3">
        <v>1874541176</v>
      </c>
      <c r="GG92" s="3">
        <v>2</v>
      </c>
      <c r="GH92" s="3">
        <v>3</v>
      </c>
      <c r="GI92" s="3">
        <v>5</v>
      </c>
      <c r="GJ92" s="3">
        <v>0</v>
      </c>
      <c r="GK92" s="3">
        <v>0</v>
      </c>
      <c r="GL92" s="3">
        <f t="shared" si="100"/>
        <v>0</v>
      </c>
      <c r="GM92" s="3">
        <f t="shared" si="101"/>
        <v>27403.96</v>
      </c>
      <c r="GN92" s="3">
        <f t="shared" si="102"/>
        <v>0</v>
      </c>
      <c r="GO92" s="3">
        <f t="shared" si="103"/>
        <v>27403.96</v>
      </c>
      <c r="GP92" s="3">
        <f t="shared" si="104"/>
        <v>0</v>
      </c>
      <c r="GQ92" s="3"/>
      <c r="GR92" s="3">
        <v>1</v>
      </c>
      <c r="GS92" s="3">
        <v>1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GY92" s="3"/>
      <c r="GZ92" s="3"/>
      <c r="HA92" s="3">
        <v>0</v>
      </c>
      <c r="HB92" s="3">
        <v>0</v>
      </c>
      <c r="HC92" s="3">
        <f t="shared" si="107"/>
        <v>0</v>
      </c>
      <c r="HD92" s="3"/>
      <c r="HE92" s="3" t="s">
        <v>34</v>
      </c>
      <c r="HF92" s="3" t="s">
        <v>35</v>
      </c>
      <c r="HG92" s="3"/>
      <c r="HH92" s="3"/>
      <c r="HI92" s="3"/>
      <c r="HJ92" s="3"/>
      <c r="HK92" s="3"/>
      <c r="HL92" s="3"/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R92" s="3"/>
      <c r="HS92" s="3">
        <v>0</v>
      </c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>
        <v>0</v>
      </c>
      <c r="IL92" s="3"/>
      <c r="IM92" s="3"/>
      <c r="IN92" s="3"/>
      <c r="IO92" s="3"/>
      <c r="IP92" s="3"/>
      <c r="IQ92" s="3"/>
      <c r="IR92" s="3"/>
      <c r="IS92" s="3"/>
      <c r="IT92" s="3"/>
      <c r="IU92" s="3"/>
    </row>
    <row r="93" spans="1:255" x14ac:dyDescent="0.3">
      <c r="A93" s="2">
        <v>18</v>
      </c>
      <c r="B93" s="2">
        <v>1</v>
      </c>
      <c r="C93" s="2"/>
      <c r="D93" s="2"/>
      <c r="E93" s="2" t="s">
        <v>145</v>
      </c>
      <c r="F93" s="2" t="s">
        <v>41</v>
      </c>
      <c r="G93" s="2" t="s">
        <v>42</v>
      </c>
      <c r="H93" s="2" t="s">
        <v>32</v>
      </c>
      <c r="I93" s="2">
        <f>I85*J93</f>
        <v>7</v>
      </c>
      <c r="J93" s="2">
        <v>1</v>
      </c>
      <c r="K93" s="2">
        <v>1</v>
      </c>
      <c r="L93" s="2"/>
      <c r="M93" s="2"/>
      <c r="N93" s="2"/>
      <c r="O93" s="2">
        <f t="shared" si="76"/>
        <v>1033.3399999999999</v>
      </c>
      <c r="P93" s="2">
        <f t="shared" si="77"/>
        <v>1033.3399999999999</v>
      </c>
      <c r="Q93" s="2">
        <f t="shared" si="108"/>
        <v>0</v>
      </c>
      <c r="R93" s="2">
        <f t="shared" si="78"/>
        <v>0</v>
      </c>
      <c r="S93" s="2">
        <f t="shared" si="79"/>
        <v>0</v>
      </c>
      <c r="T93" s="2">
        <f t="shared" si="80"/>
        <v>0</v>
      </c>
      <c r="U93" s="2">
        <f t="shared" si="81"/>
        <v>0</v>
      </c>
      <c r="V93" s="2">
        <f t="shared" si="82"/>
        <v>0</v>
      </c>
      <c r="W93" s="2">
        <f t="shared" si="83"/>
        <v>0</v>
      </c>
      <c r="X93" s="2">
        <f t="shared" si="84"/>
        <v>0</v>
      </c>
      <c r="Y93" s="2">
        <f t="shared" si="85"/>
        <v>0</v>
      </c>
      <c r="Z93" s="2"/>
      <c r="AA93" s="2">
        <v>56505403</v>
      </c>
      <c r="AB93" s="2">
        <f t="shared" si="86"/>
        <v>147.62</v>
      </c>
      <c r="AC93" s="2">
        <f t="shared" si="87"/>
        <v>147.62</v>
      </c>
      <c r="AD93" s="2">
        <f t="shared" si="109"/>
        <v>0</v>
      </c>
      <c r="AE93" s="2">
        <f t="shared" si="110"/>
        <v>0</v>
      </c>
      <c r="AF93" s="2">
        <f t="shared" si="110"/>
        <v>0</v>
      </c>
      <c r="AG93" s="2">
        <f t="shared" si="88"/>
        <v>0</v>
      </c>
      <c r="AH93" s="2">
        <f t="shared" si="111"/>
        <v>0</v>
      </c>
      <c r="AI93" s="2">
        <f t="shared" si="111"/>
        <v>0</v>
      </c>
      <c r="AJ93" s="2">
        <f t="shared" si="89"/>
        <v>0</v>
      </c>
      <c r="AK93" s="2">
        <v>147.61999999999998</v>
      </c>
      <c r="AL93" s="2">
        <v>147.61999999999998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90</v>
      </c>
      <c r="AU93" s="2">
        <v>46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2</v>
      </c>
      <c r="BJ93" s="2" t="s">
        <v>3</v>
      </c>
      <c r="BK93" s="2"/>
      <c r="BL93" s="2"/>
      <c r="BM93" s="2">
        <v>68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30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</v>
      </c>
      <c r="CO93" s="2">
        <v>0</v>
      </c>
      <c r="CP93" s="2">
        <f t="shared" si="90"/>
        <v>1033.3399999999999</v>
      </c>
      <c r="CQ93" s="2">
        <f t="shared" si="91"/>
        <v>147.62</v>
      </c>
      <c r="CR93" s="2">
        <f t="shared" si="112"/>
        <v>0</v>
      </c>
      <c r="CS93" s="2">
        <f t="shared" si="92"/>
        <v>0</v>
      </c>
      <c r="CT93" s="2">
        <f t="shared" si="93"/>
        <v>0</v>
      </c>
      <c r="CU93" s="2">
        <f t="shared" si="94"/>
        <v>0</v>
      </c>
      <c r="CV93" s="2">
        <f t="shared" si="95"/>
        <v>0</v>
      </c>
      <c r="CW93" s="2">
        <f t="shared" si="96"/>
        <v>0</v>
      </c>
      <c r="CX93" s="2">
        <f t="shared" si="97"/>
        <v>0</v>
      </c>
      <c r="CY93" s="2">
        <f t="shared" si="98"/>
        <v>0</v>
      </c>
      <c r="CZ93" s="2">
        <f t="shared" si="99"/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32</v>
      </c>
      <c r="DW93" s="2" t="s">
        <v>32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58162630</v>
      </c>
      <c r="EF93" s="2">
        <v>40</v>
      </c>
      <c r="EG93" s="2" t="s">
        <v>25</v>
      </c>
      <c r="EH93" s="2">
        <v>0</v>
      </c>
      <c r="EI93" s="2" t="s">
        <v>3</v>
      </c>
      <c r="EJ93" s="2">
        <v>2</v>
      </c>
      <c r="EK93" s="2">
        <v>68</v>
      </c>
      <c r="EL93" s="2" t="s">
        <v>26</v>
      </c>
      <c r="EM93" s="2" t="s">
        <v>27</v>
      </c>
      <c r="EN93" s="2"/>
      <c r="EO93" s="2" t="s">
        <v>3</v>
      </c>
      <c r="EP93" s="2"/>
      <c r="EQ93" s="2">
        <v>0</v>
      </c>
      <c r="ER93" s="2">
        <v>0</v>
      </c>
      <c r="ES93" s="2">
        <v>147.61999999999998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43</v>
      </c>
      <c r="GB93" s="2"/>
      <c r="GC93" s="2"/>
      <c r="GD93" s="2">
        <v>1</v>
      </c>
      <c r="GE93" s="2"/>
      <c r="GF93" s="2">
        <v>-957674279</v>
      </c>
      <c r="GG93" s="2">
        <v>2</v>
      </c>
      <c r="GH93" s="2">
        <v>4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1033.3399999999999</v>
      </c>
      <c r="GN93" s="2">
        <f t="shared" si="102"/>
        <v>0</v>
      </c>
      <c r="GO93" s="2">
        <f t="shared" si="103"/>
        <v>1033.3399999999999</v>
      </c>
      <c r="GP93" s="2">
        <f t="shared" si="104"/>
        <v>0</v>
      </c>
      <c r="GQ93" s="2"/>
      <c r="GR93" s="2">
        <v>0</v>
      </c>
      <c r="GS93" s="2">
        <v>2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34</v>
      </c>
      <c r="HF93" s="2" t="s">
        <v>35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3">
      <c r="A94" s="3">
        <v>18</v>
      </c>
      <c r="B94" s="3">
        <v>1</v>
      </c>
      <c r="C94" s="3"/>
      <c r="D94" s="3"/>
      <c r="E94" s="3" t="s">
        <v>145</v>
      </c>
      <c r="F94" s="3" t="s">
        <v>41</v>
      </c>
      <c r="G94" s="3" t="s">
        <v>42</v>
      </c>
      <c r="H94" s="3" t="s">
        <v>32</v>
      </c>
      <c r="I94" s="3">
        <f>I86*J94</f>
        <v>7</v>
      </c>
      <c r="J94" s="3">
        <v>1</v>
      </c>
      <c r="K94" s="3">
        <v>1</v>
      </c>
      <c r="L94" s="3"/>
      <c r="M94" s="3"/>
      <c r="N94" s="3"/>
      <c r="O94" s="3">
        <f t="shared" si="76"/>
        <v>10209.4</v>
      </c>
      <c r="P94" s="3">
        <f t="shared" si="77"/>
        <v>10209.4</v>
      </c>
      <c r="Q94" s="3">
        <f t="shared" si="108"/>
        <v>0</v>
      </c>
      <c r="R94" s="3">
        <f t="shared" si="78"/>
        <v>0</v>
      </c>
      <c r="S94" s="3">
        <f t="shared" si="79"/>
        <v>0</v>
      </c>
      <c r="T94" s="3">
        <f t="shared" si="80"/>
        <v>0</v>
      </c>
      <c r="U94" s="3">
        <f t="shared" si="81"/>
        <v>0</v>
      </c>
      <c r="V94" s="3">
        <f t="shared" si="82"/>
        <v>0</v>
      </c>
      <c r="W94" s="3">
        <f t="shared" si="83"/>
        <v>0</v>
      </c>
      <c r="X94" s="3">
        <f t="shared" si="84"/>
        <v>0</v>
      </c>
      <c r="Y94" s="3">
        <f t="shared" si="85"/>
        <v>0</v>
      </c>
      <c r="Z94" s="3"/>
      <c r="AA94" s="3">
        <v>56505405</v>
      </c>
      <c r="AB94" s="3">
        <f t="shared" si="86"/>
        <v>147.62</v>
      </c>
      <c r="AC94" s="3">
        <f t="shared" si="87"/>
        <v>147.62</v>
      </c>
      <c r="AD94" s="3">
        <f t="shared" si="109"/>
        <v>0</v>
      </c>
      <c r="AE94" s="3">
        <f t="shared" si="110"/>
        <v>0</v>
      </c>
      <c r="AF94" s="3">
        <f t="shared" si="110"/>
        <v>0</v>
      </c>
      <c r="AG94" s="3">
        <f t="shared" si="88"/>
        <v>0</v>
      </c>
      <c r="AH94" s="3">
        <f t="shared" si="111"/>
        <v>0</v>
      </c>
      <c r="AI94" s="3">
        <f t="shared" si="111"/>
        <v>0</v>
      </c>
      <c r="AJ94" s="3">
        <f t="shared" si="89"/>
        <v>0</v>
      </c>
      <c r="AK94" s="3">
        <v>147.61999999999998</v>
      </c>
      <c r="AL94" s="3">
        <v>147.61999999999998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90</v>
      </c>
      <c r="AU94" s="3">
        <v>46</v>
      </c>
      <c r="AV94" s="3">
        <v>1</v>
      </c>
      <c r="AW94" s="3">
        <v>1</v>
      </c>
      <c r="AX94" s="3"/>
      <c r="AY94" s="3"/>
      <c r="AZ94" s="3">
        <v>1</v>
      </c>
      <c r="BA94" s="3">
        <v>1</v>
      </c>
      <c r="BB94" s="3">
        <v>1</v>
      </c>
      <c r="BC94" s="3">
        <v>9.8800000000000008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2</v>
      </c>
      <c r="BJ94" s="3" t="s">
        <v>3</v>
      </c>
      <c r="BK94" s="3"/>
      <c r="BL94" s="3"/>
      <c r="BM94" s="3">
        <v>68</v>
      </c>
      <c r="BN94" s="3">
        <v>0</v>
      </c>
      <c r="BO94" s="3" t="s">
        <v>3</v>
      </c>
      <c r="BP94" s="3">
        <v>0</v>
      </c>
      <c r="BQ94" s="3">
        <v>40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C94" s="3"/>
      <c r="CD94" s="3"/>
      <c r="CE94" s="3">
        <v>30</v>
      </c>
      <c r="CF94" s="3">
        <v>0</v>
      </c>
      <c r="CG94" s="3">
        <v>0</v>
      </c>
      <c r="CH94" s="3"/>
      <c r="CI94" s="3"/>
      <c r="CJ94" s="3"/>
      <c r="CK94" s="3"/>
      <c r="CL94" s="3"/>
      <c r="CM94" s="3">
        <v>0</v>
      </c>
      <c r="CN94" s="3" t="s">
        <v>3</v>
      </c>
      <c r="CO94" s="3">
        <v>0</v>
      </c>
      <c r="CP94" s="3">
        <f t="shared" si="90"/>
        <v>10209.4</v>
      </c>
      <c r="CQ94" s="3">
        <f t="shared" si="91"/>
        <v>1458.49</v>
      </c>
      <c r="CR94" s="3">
        <f t="shared" si="112"/>
        <v>0</v>
      </c>
      <c r="CS94" s="3">
        <f t="shared" si="92"/>
        <v>0</v>
      </c>
      <c r="CT94" s="3">
        <f t="shared" si="93"/>
        <v>0</v>
      </c>
      <c r="CU94" s="3">
        <f t="shared" si="94"/>
        <v>0</v>
      </c>
      <c r="CV94" s="3">
        <f t="shared" si="95"/>
        <v>0</v>
      </c>
      <c r="CW94" s="3">
        <f t="shared" si="96"/>
        <v>0</v>
      </c>
      <c r="CX94" s="3">
        <f t="shared" si="97"/>
        <v>0</v>
      </c>
      <c r="CY94" s="3">
        <f t="shared" si="98"/>
        <v>0</v>
      </c>
      <c r="CZ94" s="3">
        <f t="shared" si="99"/>
        <v>0</v>
      </c>
      <c r="DA94" s="3"/>
      <c r="DB94" s="3"/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R94" s="3"/>
      <c r="DS94" s="3"/>
      <c r="DT94" s="3"/>
      <c r="DU94" s="3">
        <v>1010</v>
      </c>
      <c r="DV94" s="3" t="s">
        <v>32</v>
      </c>
      <c r="DW94" s="3" t="s">
        <v>32</v>
      </c>
      <c r="DX94" s="3">
        <v>1</v>
      </c>
      <c r="DY94" s="3"/>
      <c r="DZ94" s="3" t="s">
        <v>3</v>
      </c>
      <c r="EA94" s="3" t="s">
        <v>3</v>
      </c>
      <c r="EB94" s="3" t="s">
        <v>3</v>
      </c>
      <c r="EC94" s="3" t="s">
        <v>3</v>
      </c>
      <c r="ED94" s="3"/>
      <c r="EE94" s="3">
        <v>58162630</v>
      </c>
      <c r="EF94" s="3">
        <v>40</v>
      </c>
      <c r="EG94" s="3" t="s">
        <v>25</v>
      </c>
      <c r="EH94" s="3">
        <v>0</v>
      </c>
      <c r="EI94" s="3" t="s">
        <v>3</v>
      </c>
      <c r="EJ94" s="3">
        <v>2</v>
      </c>
      <c r="EK94" s="3">
        <v>68</v>
      </c>
      <c r="EL94" s="3" t="s">
        <v>26</v>
      </c>
      <c r="EM94" s="3" t="s">
        <v>27</v>
      </c>
      <c r="EN94" s="3"/>
      <c r="EO94" s="3" t="s">
        <v>3</v>
      </c>
      <c r="EP94" s="3"/>
      <c r="EQ94" s="3">
        <v>0</v>
      </c>
      <c r="ER94" s="3">
        <v>147.61999999999998</v>
      </c>
      <c r="ES94" s="3">
        <v>147.61999999999998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/>
      <c r="EZ94" s="3">
        <v>5</v>
      </c>
      <c r="FA94" s="3"/>
      <c r="FB94" s="3"/>
      <c r="FC94" s="3">
        <v>1</v>
      </c>
      <c r="FD94" s="3">
        <v>18</v>
      </c>
      <c r="FE94" s="3"/>
      <c r="FF94" s="3">
        <v>1715.95</v>
      </c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>
        <v>0</v>
      </c>
      <c r="FR94" s="3">
        <v>0</v>
      </c>
      <c r="FS94" s="3">
        <v>0</v>
      </c>
      <c r="FT94" s="3"/>
      <c r="FU94" s="3"/>
      <c r="FV94" s="3"/>
      <c r="FW94" s="3"/>
      <c r="FX94" s="3">
        <v>90</v>
      </c>
      <c r="FY94" s="3">
        <v>46</v>
      </c>
      <c r="FZ94" s="3"/>
      <c r="GA94" s="3" t="s">
        <v>43</v>
      </c>
      <c r="GB94" s="3"/>
      <c r="GC94" s="3"/>
      <c r="GD94" s="3">
        <v>1</v>
      </c>
      <c r="GE94" s="3"/>
      <c r="GF94" s="3">
        <v>-957674279</v>
      </c>
      <c r="GG94" s="3">
        <v>2</v>
      </c>
      <c r="GH94" s="3">
        <v>3</v>
      </c>
      <c r="GI94" s="3">
        <v>5</v>
      </c>
      <c r="GJ94" s="3">
        <v>0</v>
      </c>
      <c r="GK94" s="3">
        <v>0</v>
      </c>
      <c r="GL94" s="3">
        <f t="shared" si="100"/>
        <v>0</v>
      </c>
      <c r="GM94" s="3">
        <f t="shared" si="101"/>
        <v>10209.4</v>
      </c>
      <c r="GN94" s="3">
        <f t="shared" si="102"/>
        <v>0</v>
      </c>
      <c r="GO94" s="3">
        <f t="shared" si="103"/>
        <v>10209.4</v>
      </c>
      <c r="GP94" s="3">
        <f t="shared" si="104"/>
        <v>0</v>
      </c>
      <c r="GQ94" s="3"/>
      <c r="GR94" s="3">
        <v>1</v>
      </c>
      <c r="GS94" s="3">
        <v>1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GY94" s="3"/>
      <c r="GZ94" s="3"/>
      <c r="HA94" s="3">
        <v>0</v>
      </c>
      <c r="HB94" s="3">
        <v>0</v>
      </c>
      <c r="HC94" s="3">
        <f t="shared" si="107"/>
        <v>0</v>
      </c>
      <c r="HD94" s="3"/>
      <c r="HE94" s="3" t="s">
        <v>34</v>
      </c>
      <c r="HF94" s="3" t="s">
        <v>35</v>
      </c>
      <c r="HG94" s="3"/>
      <c r="HH94" s="3"/>
      <c r="HI94" s="3"/>
      <c r="HJ94" s="3"/>
      <c r="HK94" s="3"/>
      <c r="HL94" s="3"/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R94" s="3"/>
      <c r="HS94" s="3">
        <v>0</v>
      </c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>
        <v>0</v>
      </c>
      <c r="IL94" s="3"/>
      <c r="IM94" s="3"/>
      <c r="IN94" s="3"/>
      <c r="IO94" s="3"/>
      <c r="IP94" s="3"/>
      <c r="IQ94" s="3"/>
      <c r="IR94" s="3"/>
      <c r="IS94" s="3"/>
      <c r="IT94" s="3"/>
      <c r="IU94" s="3"/>
    </row>
    <row r="95" spans="1:255" x14ac:dyDescent="0.3">
      <c r="A95" s="2">
        <v>17</v>
      </c>
      <c r="B95" s="2">
        <v>1</v>
      </c>
      <c r="C95" s="2"/>
      <c r="D95" s="2">
        <f>ROW(EtalonRes!A33)</f>
        <v>33</v>
      </c>
      <c r="E95" s="2" t="s">
        <v>146</v>
      </c>
      <c r="F95" s="2" t="s">
        <v>69</v>
      </c>
      <c r="G95" s="2" t="s">
        <v>70</v>
      </c>
      <c r="H95" s="2" t="s">
        <v>71</v>
      </c>
      <c r="I95" s="2">
        <f>ROUND(7+8*8,9)</f>
        <v>71</v>
      </c>
      <c r="J95" s="2">
        <v>0</v>
      </c>
      <c r="K95" s="2">
        <f>ROUND(7+8*8,9)</f>
        <v>71</v>
      </c>
      <c r="L95" s="2"/>
      <c r="M95" s="2"/>
      <c r="N95" s="2"/>
      <c r="O95" s="2">
        <f t="shared" si="76"/>
        <v>206.06</v>
      </c>
      <c r="P95" s="2">
        <f t="shared" si="77"/>
        <v>0</v>
      </c>
      <c r="Q95" s="2">
        <f>(ROUND((ROUND((((ET95*1.1))*AV95*I95),2)*BB95),2)+ROUND((ROUND(((AE95-((EU95*1.1)))*AV95*I95),2)*BS95),2))</f>
        <v>0</v>
      </c>
      <c r="R95" s="2">
        <f t="shared" si="78"/>
        <v>0</v>
      </c>
      <c r="S95" s="2">
        <f t="shared" si="79"/>
        <v>206.06</v>
      </c>
      <c r="T95" s="2">
        <f t="shared" si="80"/>
        <v>0</v>
      </c>
      <c r="U95" s="2">
        <f t="shared" si="81"/>
        <v>17.989553999999998</v>
      </c>
      <c r="V95" s="2">
        <f t="shared" si="82"/>
        <v>0</v>
      </c>
      <c r="W95" s="2">
        <f t="shared" si="83"/>
        <v>0</v>
      </c>
      <c r="X95" s="2">
        <f t="shared" si="84"/>
        <v>185.45</v>
      </c>
      <c r="Y95" s="2">
        <f t="shared" si="85"/>
        <v>94.79</v>
      </c>
      <c r="Z95" s="2"/>
      <c r="AA95" s="2">
        <v>56505403</v>
      </c>
      <c r="AB95" s="2">
        <f t="shared" si="86"/>
        <v>2.7719999999999998</v>
      </c>
      <c r="AC95" s="2">
        <f t="shared" si="87"/>
        <v>0</v>
      </c>
      <c r="AD95" s="2">
        <f>ROUND(((((ET95*1.1))-((EU95*1.1)))+AE95),6)</f>
        <v>0</v>
      </c>
      <c r="AE95" s="2">
        <f>ROUND(((EU95*1.1)),6)</f>
        <v>0</v>
      </c>
      <c r="AF95" s="2">
        <f>ROUND(((EV95*1.1)),6)</f>
        <v>2.7719999999999998</v>
      </c>
      <c r="AG95" s="2">
        <f t="shared" si="88"/>
        <v>0</v>
      </c>
      <c r="AH95" s="2">
        <f>((EW95*1.1))</f>
        <v>0.24200000000000002</v>
      </c>
      <c r="AI95" s="2">
        <f>((EX95*1.1))</f>
        <v>0</v>
      </c>
      <c r="AJ95" s="2">
        <f t="shared" si="89"/>
        <v>0</v>
      </c>
      <c r="AK95" s="2">
        <v>2.52</v>
      </c>
      <c r="AL95" s="2">
        <v>0</v>
      </c>
      <c r="AM95" s="2">
        <v>0</v>
      </c>
      <c r="AN95" s="2">
        <v>0</v>
      </c>
      <c r="AO95" s="2">
        <v>2.52</v>
      </c>
      <c r="AP95" s="2">
        <v>0</v>
      </c>
      <c r="AQ95" s="2">
        <v>0.22</v>
      </c>
      <c r="AR95" s="2">
        <v>0</v>
      </c>
      <c r="AS95" s="2">
        <v>0</v>
      </c>
      <c r="AT95" s="2">
        <v>90</v>
      </c>
      <c r="AU95" s="2">
        <v>46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72</v>
      </c>
      <c r="BK95" s="2"/>
      <c r="BL95" s="2"/>
      <c r="BM95" s="2">
        <v>72</v>
      </c>
      <c r="BN95" s="2">
        <v>0</v>
      </c>
      <c r="BO95" s="2" t="s">
        <v>69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30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90"/>
        <v>206.06</v>
      </c>
      <c r="CQ95" s="2">
        <f t="shared" si="91"/>
        <v>0</v>
      </c>
      <c r="CR95" s="2">
        <f>(ROUND((ROUND((((ET95*1.1))*AV95*1),2)*BB95),2)+ROUND((ROUND(((AE95-((EU95*1.1)))*AV95*1),2)*BS95),2))</f>
        <v>0</v>
      </c>
      <c r="CS95" s="2">
        <f t="shared" si="92"/>
        <v>0</v>
      </c>
      <c r="CT95" s="2">
        <f t="shared" si="93"/>
        <v>2.9</v>
      </c>
      <c r="CU95" s="2">
        <f t="shared" si="94"/>
        <v>0</v>
      </c>
      <c r="CV95" s="2">
        <f t="shared" si="95"/>
        <v>0.25337399999999999</v>
      </c>
      <c r="CW95" s="2">
        <f t="shared" si="96"/>
        <v>0</v>
      </c>
      <c r="CX95" s="2">
        <f t="shared" si="97"/>
        <v>0</v>
      </c>
      <c r="CY95" s="2">
        <f t="shared" si="98"/>
        <v>185.45400000000001</v>
      </c>
      <c r="CZ95" s="2">
        <f t="shared" si="99"/>
        <v>94.787599999999998</v>
      </c>
      <c r="DA95" s="2"/>
      <c r="DB95" s="2"/>
      <c r="DC95" s="2" t="s">
        <v>3</v>
      </c>
      <c r="DD95" s="2" t="s">
        <v>3</v>
      </c>
      <c r="DE95" s="2" t="s">
        <v>24</v>
      </c>
      <c r="DF95" s="2" t="s">
        <v>24</v>
      </c>
      <c r="DG95" s="2" t="s">
        <v>24</v>
      </c>
      <c r="DH95" s="2" t="s">
        <v>3</v>
      </c>
      <c r="DI95" s="2" t="s">
        <v>24</v>
      </c>
      <c r="DJ95" s="2" t="s">
        <v>24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71</v>
      </c>
      <c r="DW95" s="2" t="s">
        <v>71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58162634</v>
      </c>
      <c r="EF95" s="2">
        <v>40</v>
      </c>
      <c r="EG95" s="2" t="s">
        <v>25</v>
      </c>
      <c r="EH95" s="2">
        <v>0</v>
      </c>
      <c r="EI95" s="2" t="s">
        <v>3</v>
      </c>
      <c r="EJ95" s="2">
        <v>2</v>
      </c>
      <c r="EK95" s="2">
        <v>72</v>
      </c>
      <c r="EL95" s="2" t="s">
        <v>47</v>
      </c>
      <c r="EM95" s="2" t="s">
        <v>48</v>
      </c>
      <c r="EN95" s="2"/>
      <c r="EO95" s="2" t="s">
        <v>28</v>
      </c>
      <c r="EP95" s="2"/>
      <c r="EQ95" s="2">
        <v>0</v>
      </c>
      <c r="ER95" s="2">
        <v>2.52</v>
      </c>
      <c r="ES95" s="2">
        <v>0</v>
      </c>
      <c r="ET95" s="2">
        <v>0</v>
      </c>
      <c r="EU95" s="2">
        <v>0</v>
      </c>
      <c r="EV95" s="2">
        <v>2.52</v>
      </c>
      <c r="EW95" s="2">
        <v>0.22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1774518925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100"/>
        <v>0</v>
      </c>
      <c r="GM95" s="2">
        <f t="shared" si="101"/>
        <v>486.3</v>
      </c>
      <c r="GN95" s="2">
        <f t="shared" si="102"/>
        <v>0</v>
      </c>
      <c r="GO95" s="2">
        <f t="shared" si="103"/>
        <v>486.3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3">
      <c r="A96" s="3">
        <v>17</v>
      </c>
      <c r="B96" s="3">
        <v>1</v>
      </c>
      <c r="C96" s="3"/>
      <c r="D96" s="3">
        <f>ROW(EtalonRes!A34)</f>
        <v>34</v>
      </c>
      <c r="E96" s="3" t="s">
        <v>146</v>
      </c>
      <c r="F96" s="3" t="s">
        <v>69</v>
      </c>
      <c r="G96" s="3" t="s">
        <v>70</v>
      </c>
      <c r="H96" s="3" t="s">
        <v>71</v>
      </c>
      <c r="I96" s="3">
        <f>ROUND(7+8*8,9)</f>
        <v>71</v>
      </c>
      <c r="J96" s="3">
        <v>0</v>
      </c>
      <c r="K96" s="3">
        <f>ROUND(7+8*8,9)</f>
        <v>71</v>
      </c>
      <c r="L96" s="3"/>
      <c r="M96" s="3"/>
      <c r="N96" s="3"/>
      <c r="O96" s="3">
        <f t="shared" si="76"/>
        <v>11331.24</v>
      </c>
      <c r="P96" s="3">
        <f t="shared" si="77"/>
        <v>0</v>
      </c>
      <c r="Q96" s="3">
        <f>(ROUND((ROUND((((ET96*1.1))*AV96*I96),2)*BB96),2)+ROUND((ROUND(((AE96-((EU96*1.1)))*AV96*I96),2)*BS96),2))</f>
        <v>0</v>
      </c>
      <c r="R96" s="3">
        <f t="shared" si="78"/>
        <v>0</v>
      </c>
      <c r="S96" s="3">
        <f t="shared" si="79"/>
        <v>11331.24</v>
      </c>
      <c r="T96" s="3">
        <f t="shared" si="80"/>
        <v>0</v>
      </c>
      <c r="U96" s="3">
        <f t="shared" si="81"/>
        <v>17.989553999999998</v>
      </c>
      <c r="V96" s="3">
        <f t="shared" si="82"/>
        <v>0</v>
      </c>
      <c r="W96" s="3">
        <f t="shared" si="83"/>
        <v>0</v>
      </c>
      <c r="X96" s="3">
        <f t="shared" si="84"/>
        <v>10198.120000000001</v>
      </c>
      <c r="Y96" s="3">
        <f t="shared" si="85"/>
        <v>5212.37</v>
      </c>
      <c r="Z96" s="3"/>
      <c r="AA96" s="3">
        <v>56505405</v>
      </c>
      <c r="AB96" s="3">
        <f t="shared" si="86"/>
        <v>2.7719999999999998</v>
      </c>
      <c r="AC96" s="3">
        <f t="shared" si="87"/>
        <v>0</v>
      </c>
      <c r="AD96" s="3">
        <f>ROUND(((((ET96*1.1))-((EU96*1.1)))+AE96),6)</f>
        <v>0</v>
      </c>
      <c r="AE96" s="3">
        <f>ROUND(((EU96*1.1)),6)</f>
        <v>0</v>
      </c>
      <c r="AF96" s="3">
        <f>ROUND(((EV96*1.1)),6)</f>
        <v>2.7719999999999998</v>
      </c>
      <c r="AG96" s="3">
        <f t="shared" si="88"/>
        <v>0</v>
      </c>
      <c r="AH96" s="3">
        <f>((EW96*1.1))</f>
        <v>0.24200000000000002</v>
      </c>
      <c r="AI96" s="3">
        <f>((EX96*1.1))</f>
        <v>0</v>
      </c>
      <c r="AJ96" s="3">
        <f t="shared" si="89"/>
        <v>0</v>
      </c>
      <c r="AK96" s="3">
        <v>2.52</v>
      </c>
      <c r="AL96" s="3">
        <v>0</v>
      </c>
      <c r="AM96" s="3">
        <v>0</v>
      </c>
      <c r="AN96" s="3">
        <v>0</v>
      </c>
      <c r="AO96" s="3">
        <v>2.52</v>
      </c>
      <c r="AP96" s="3">
        <v>0</v>
      </c>
      <c r="AQ96" s="3">
        <v>0.22</v>
      </c>
      <c r="AR96" s="3">
        <v>0</v>
      </c>
      <c r="AS96" s="3">
        <v>0</v>
      </c>
      <c r="AT96" s="3">
        <v>90</v>
      </c>
      <c r="AU96" s="3">
        <v>46</v>
      </c>
      <c r="AV96" s="3">
        <v>1.0469999999999999</v>
      </c>
      <c r="AW96" s="3">
        <v>1</v>
      </c>
      <c r="AX96" s="3"/>
      <c r="AY96" s="3"/>
      <c r="AZ96" s="3">
        <v>1</v>
      </c>
      <c r="BA96" s="3">
        <v>54.99</v>
      </c>
      <c r="BB96" s="3">
        <v>1</v>
      </c>
      <c r="BC96" s="3">
        <v>1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0</v>
      </c>
      <c r="BI96" s="3">
        <v>2</v>
      </c>
      <c r="BJ96" s="3" t="s">
        <v>72</v>
      </c>
      <c r="BK96" s="3"/>
      <c r="BL96" s="3"/>
      <c r="BM96" s="3">
        <v>72</v>
      </c>
      <c r="BN96" s="3">
        <v>0</v>
      </c>
      <c r="BO96" s="3" t="s">
        <v>69</v>
      </c>
      <c r="BP96" s="3">
        <v>1</v>
      </c>
      <c r="BQ96" s="3">
        <v>40</v>
      </c>
      <c r="BR96" s="3">
        <v>0</v>
      </c>
      <c r="BS96" s="3">
        <v>54.99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C96" s="3"/>
      <c r="CD96" s="3"/>
      <c r="CE96" s="3">
        <v>30</v>
      </c>
      <c r="CF96" s="3">
        <v>0</v>
      </c>
      <c r="CG96" s="3">
        <v>0</v>
      </c>
      <c r="CH96" s="3"/>
      <c r="CI96" s="3"/>
      <c r="CJ96" s="3"/>
      <c r="CK96" s="3"/>
      <c r="CL96" s="3"/>
      <c r="CM96" s="3">
        <v>0</v>
      </c>
      <c r="CN96" s="3" t="s">
        <v>3</v>
      </c>
      <c r="CO96" s="3">
        <v>0</v>
      </c>
      <c r="CP96" s="3">
        <f t="shared" si="90"/>
        <v>11331.24</v>
      </c>
      <c r="CQ96" s="3">
        <f t="shared" si="91"/>
        <v>0</v>
      </c>
      <c r="CR96" s="3">
        <f>(ROUND((ROUND((((ET96*1.1))*AV96*1),2)*BB96),2)+ROUND((ROUND(((AE96-((EU96*1.1)))*AV96*1),2)*BS96),2))</f>
        <v>0</v>
      </c>
      <c r="CS96" s="3">
        <f t="shared" si="92"/>
        <v>0</v>
      </c>
      <c r="CT96" s="3">
        <f t="shared" si="93"/>
        <v>159.47</v>
      </c>
      <c r="CU96" s="3">
        <f t="shared" si="94"/>
        <v>0</v>
      </c>
      <c r="CV96" s="3">
        <f t="shared" si="95"/>
        <v>0.25337399999999999</v>
      </c>
      <c r="CW96" s="3">
        <f t="shared" si="96"/>
        <v>0</v>
      </c>
      <c r="CX96" s="3">
        <f t="shared" si="97"/>
        <v>0</v>
      </c>
      <c r="CY96" s="3">
        <f t="shared" si="98"/>
        <v>10198.116</v>
      </c>
      <c r="CZ96" s="3">
        <f t="shared" si="99"/>
        <v>5212.3703999999998</v>
      </c>
      <c r="DA96" s="3"/>
      <c r="DB96" s="3"/>
      <c r="DC96" s="3" t="s">
        <v>3</v>
      </c>
      <c r="DD96" s="3" t="s">
        <v>3</v>
      </c>
      <c r="DE96" s="3" t="s">
        <v>24</v>
      </c>
      <c r="DF96" s="3" t="s">
        <v>24</v>
      </c>
      <c r="DG96" s="3" t="s">
        <v>24</v>
      </c>
      <c r="DH96" s="3" t="s">
        <v>3</v>
      </c>
      <c r="DI96" s="3" t="s">
        <v>24</v>
      </c>
      <c r="DJ96" s="3" t="s">
        <v>24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R96" s="3"/>
      <c r="DS96" s="3"/>
      <c r="DT96" s="3"/>
      <c r="DU96" s="3">
        <v>1013</v>
      </c>
      <c r="DV96" s="3" t="s">
        <v>71</v>
      </c>
      <c r="DW96" s="3" t="s">
        <v>71</v>
      </c>
      <c r="DX96" s="3">
        <v>1</v>
      </c>
      <c r="DY96" s="3"/>
      <c r="DZ96" s="3" t="s">
        <v>3</v>
      </c>
      <c r="EA96" s="3" t="s">
        <v>3</v>
      </c>
      <c r="EB96" s="3" t="s">
        <v>3</v>
      </c>
      <c r="EC96" s="3" t="s">
        <v>3</v>
      </c>
      <c r="ED96" s="3"/>
      <c r="EE96" s="3">
        <v>58162634</v>
      </c>
      <c r="EF96" s="3">
        <v>40</v>
      </c>
      <c r="EG96" s="3" t="s">
        <v>25</v>
      </c>
      <c r="EH96" s="3">
        <v>0</v>
      </c>
      <c r="EI96" s="3" t="s">
        <v>3</v>
      </c>
      <c r="EJ96" s="3">
        <v>2</v>
      </c>
      <c r="EK96" s="3">
        <v>72</v>
      </c>
      <c r="EL96" s="3" t="s">
        <v>47</v>
      </c>
      <c r="EM96" s="3" t="s">
        <v>48</v>
      </c>
      <c r="EN96" s="3"/>
      <c r="EO96" s="3" t="s">
        <v>28</v>
      </c>
      <c r="EP96" s="3"/>
      <c r="EQ96" s="3">
        <v>0</v>
      </c>
      <c r="ER96" s="3">
        <v>2.52</v>
      </c>
      <c r="ES96" s="3">
        <v>0</v>
      </c>
      <c r="ET96" s="3">
        <v>0</v>
      </c>
      <c r="EU96" s="3">
        <v>0</v>
      </c>
      <c r="EV96" s="3">
        <v>2.52</v>
      </c>
      <c r="EW96" s="3">
        <v>0.22</v>
      </c>
      <c r="EX96" s="3">
        <v>0</v>
      </c>
      <c r="EY96" s="3">
        <v>0</v>
      </c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>
        <v>0</v>
      </c>
      <c r="FR96" s="3">
        <v>0</v>
      </c>
      <c r="FS96" s="3">
        <v>0</v>
      </c>
      <c r="FT96" s="3"/>
      <c r="FU96" s="3"/>
      <c r="FV96" s="3"/>
      <c r="FW96" s="3"/>
      <c r="FX96" s="3">
        <v>90</v>
      </c>
      <c r="FY96" s="3">
        <v>46</v>
      </c>
      <c r="FZ96" s="3"/>
      <c r="GA96" s="3" t="s">
        <v>3</v>
      </c>
      <c r="GB96" s="3"/>
      <c r="GC96" s="3"/>
      <c r="GD96" s="3">
        <v>1</v>
      </c>
      <c r="GE96" s="3"/>
      <c r="GF96" s="3">
        <v>1774518925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26741.73</v>
      </c>
      <c r="GN96" s="3">
        <f t="shared" si="102"/>
        <v>0</v>
      </c>
      <c r="GO96" s="3">
        <f t="shared" si="103"/>
        <v>26741.73</v>
      </c>
      <c r="GP96" s="3">
        <f t="shared" si="104"/>
        <v>0</v>
      </c>
      <c r="GQ96" s="3"/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GY96" s="3"/>
      <c r="GZ96" s="3"/>
      <c r="HA96" s="3">
        <v>0</v>
      </c>
      <c r="HB96" s="3">
        <v>0</v>
      </c>
      <c r="HC96" s="3">
        <f t="shared" si="107"/>
        <v>0</v>
      </c>
      <c r="HD96" s="3"/>
      <c r="HE96" s="3" t="s">
        <v>3</v>
      </c>
      <c r="HF96" s="3" t="s">
        <v>3</v>
      </c>
      <c r="HG96" s="3"/>
      <c r="HH96" s="3"/>
      <c r="HI96" s="3"/>
      <c r="HJ96" s="3"/>
      <c r="HK96" s="3"/>
      <c r="HL96" s="3"/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R96" s="3"/>
      <c r="HS96" s="3">
        <v>0</v>
      </c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>
        <v>0</v>
      </c>
      <c r="IL96" s="3"/>
      <c r="IM96" s="3"/>
      <c r="IN96" s="3"/>
      <c r="IO96" s="3"/>
      <c r="IP96" s="3"/>
      <c r="IQ96" s="3"/>
      <c r="IR96" s="3"/>
      <c r="IS96" s="3"/>
      <c r="IT96" s="3"/>
      <c r="IU96" s="3"/>
    </row>
    <row r="97" spans="1:255" x14ac:dyDescent="0.3">
      <c r="A97" s="2">
        <v>18</v>
      </c>
      <c r="B97" s="2">
        <v>1</v>
      </c>
      <c r="C97" s="2"/>
      <c r="D97" s="2"/>
      <c r="E97" s="2" t="s">
        <v>147</v>
      </c>
      <c r="F97" s="2" t="s">
        <v>74</v>
      </c>
      <c r="G97" s="2" t="s">
        <v>75</v>
      </c>
      <c r="H97" s="2" t="s">
        <v>32</v>
      </c>
      <c r="I97" s="2">
        <f>I95*J97</f>
        <v>6.9999999999999991</v>
      </c>
      <c r="J97" s="2">
        <v>9.8591549295774641E-2</v>
      </c>
      <c r="K97" s="2">
        <v>9.859155E-2</v>
      </c>
      <c r="L97" s="2"/>
      <c r="M97" s="2"/>
      <c r="N97" s="2"/>
      <c r="O97" s="2">
        <f t="shared" si="76"/>
        <v>391.44</v>
      </c>
      <c r="P97" s="2">
        <f t="shared" si="77"/>
        <v>391.44</v>
      </c>
      <c r="Q97" s="2">
        <f>(ROUND((ROUND(((ET97)*AV97*I97),2)*BB97),2)+ROUND((ROUND(((AE97-(EU97))*AV97*I97),2)*BS97),2))</f>
        <v>0</v>
      </c>
      <c r="R97" s="2">
        <f t="shared" si="78"/>
        <v>0</v>
      </c>
      <c r="S97" s="2">
        <f t="shared" si="79"/>
        <v>0</v>
      </c>
      <c r="T97" s="2">
        <f t="shared" si="80"/>
        <v>0</v>
      </c>
      <c r="U97" s="2">
        <f t="shared" si="81"/>
        <v>0</v>
      </c>
      <c r="V97" s="2">
        <f t="shared" si="82"/>
        <v>0</v>
      </c>
      <c r="W97" s="2">
        <f t="shared" si="83"/>
        <v>0</v>
      </c>
      <c r="X97" s="2">
        <f t="shared" si="84"/>
        <v>0</v>
      </c>
      <c r="Y97" s="2">
        <f t="shared" si="85"/>
        <v>0</v>
      </c>
      <c r="Z97" s="2"/>
      <c r="AA97" s="2">
        <v>56505403</v>
      </c>
      <c r="AB97" s="2">
        <f t="shared" si="86"/>
        <v>55.92</v>
      </c>
      <c r="AC97" s="2">
        <f t="shared" si="87"/>
        <v>55.92</v>
      </c>
      <c r="AD97" s="2">
        <f>ROUND((((ET97)-(EU97))+AE97),6)</f>
        <v>0</v>
      </c>
      <c r="AE97" s="2">
        <f t="shared" ref="AE97:AF100" si="113">ROUND((EU97),6)</f>
        <v>0</v>
      </c>
      <c r="AF97" s="2">
        <f t="shared" si="113"/>
        <v>0</v>
      </c>
      <c r="AG97" s="2">
        <f t="shared" si="88"/>
        <v>0</v>
      </c>
      <c r="AH97" s="2">
        <f t="shared" ref="AH97:AI100" si="114">(EW97)</f>
        <v>0</v>
      </c>
      <c r="AI97" s="2">
        <f t="shared" si="114"/>
        <v>0</v>
      </c>
      <c r="AJ97" s="2">
        <f t="shared" si="89"/>
        <v>0</v>
      </c>
      <c r="AK97" s="2">
        <v>55.92</v>
      </c>
      <c r="AL97" s="2">
        <v>55.92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90</v>
      </c>
      <c r="AU97" s="2">
        <v>46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2</v>
      </c>
      <c r="BJ97" s="2" t="s">
        <v>3</v>
      </c>
      <c r="BK97" s="2"/>
      <c r="BL97" s="2"/>
      <c r="BM97" s="2">
        <v>72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90"/>
        <v>391.44</v>
      </c>
      <c r="CQ97" s="2">
        <f t="shared" si="91"/>
        <v>55.92</v>
      </c>
      <c r="CR97" s="2">
        <f>(ROUND((ROUND(((ET97)*AV97*1),2)*BB97),2)+ROUND((ROUND(((AE97-(EU97))*AV97*1),2)*BS97),2))</f>
        <v>0</v>
      </c>
      <c r="CS97" s="2">
        <f t="shared" si="92"/>
        <v>0</v>
      </c>
      <c r="CT97" s="2">
        <f t="shared" si="93"/>
        <v>0</v>
      </c>
      <c r="CU97" s="2">
        <f t="shared" si="94"/>
        <v>0</v>
      </c>
      <c r="CV97" s="2">
        <f t="shared" si="95"/>
        <v>0</v>
      </c>
      <c r="CW97" s="2">
        <f t="shared" si="96"/>
        <v>0</v>
      </c>
      <c r="CX97" s="2">
        <f t="shared" si="97"/>
        <v>0</v>
      </c>
      <c r="CY97" s="2">
        <f t="shared" si="98"/>
        <v>0</v>
      </c>
      <c r="CZ97" s="2">
        <f t="shared" si="99"/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1010</v>
      </c>
      <c r="DV97" s="2" t="s">
        <v>32</v>
      </c>
      <c r="DW97" s="2" t="s">
        <v>32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58162634</v>
      </c>
      <c r="EF97" s="2">
        <v>40</v>
      </c>
      <c r="EG97" s="2" t="s">
        <v>25</v>
      </c>
      <c r="EH97" s="2">
        <v>0</v>
      </c>
      <c r="EI97" s="2" t="s">
        <v>3</v>
      </c>
      <c r="EJ97" s="2">
        <v>2</v>
      </c>
      <c r="EK97" s="2">
        <v>72</v>
      </c>
      <c r="EL97" s="2" t="s">
        <v>47</v>
      </c>
      <c r="EM97" s="2" t="s">
        <v>48</v>
      </c>
      <c r="EN97" s="2"/>
      <c r="EO97" s="2" t="s">
        <v>3</v>
      </c>
      <c r="EP97" s="2"/>
      <c r="EQ97" s="2">
        <v>0</v>
      </c>
      <c r="ER97" s="2">
        <v>0</v>
      </c>
      <c r="ES97" s="2">
        <v>55.92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76</v>
      </c>
      <c r="GB97" s="2"/>
      <c r="GC97" s="2"/>
      <c r="GD97" s="2">
        <v>1</v>
      </c>
      <c r="GE97" s="2"/>
      <c r="GF97" s="2">
        <v>1530715677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100"/>
        <v>0</v>
      </c>
      <c r="GM97" s="2">
        <f t="shared" si="101"/>
        <v>391.44</v>
      </c>
      <c r="GN97" s="2">
        <f t="shared" si="102"/>
        <v>0</v>
      </c>
      <c r="GO97" s="2">
        <f t="shared" si="103"/>
        <v>391.44</v>
      </c>
      <c r="GP97" s="2">
        <f t="shared" si="104"/>
        <v>0</v>
      </c>
      <c r="GQ97" s="2"/>
      <c r="GR97" s="2">
        <v>0</v>
      </c>
      <c r="GS97" s="2">
        <v>2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34</v>
      </c>
      <c r="HF97" s="2" t="s">
        <v>35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3">
      <c r="A98" s="3">
        <v>18</v>
      </c>
      <c r="B98" s="3">
        <v>1</v>
      </c>
      <c r="C98" s="3"/>
      <c r="D98" s="3"/>
      <c r="E98" s="3" t="s">
        <v>147</v>
      </c>
      <c r="F98" s="3" t="s">
        <v>74</v>
      </c>
      <c r="G98" s="3" t="s">
        <v>75</v>
      </c>
      <c r="H98" s="3" t="s">
        <v>32</v>
      </c>
      <c r="I98" s="3">
        <f>I96*J98</f>
        <v>6.9999999999999991</v>
      </c>
      <c r="J98" s="3">
        <v>9.8591549295774641E-2</v>
      </c>
      <c r="K98" s="3">
        <v>9.859155E-2</v>
      </c>
      <c r="L98" s="3"/>
      <c r="M98" s="3"/>
      <c r="N98" s="3"/>
      <c r="O98" s="3">
        <f t="shared" si="76"/>
        <v>3867.43</v>
      </c>
      <c r="P98" s="3">
        <f t="shared" si="77"/>
        <v>3867.43</v>
      </c>
      <c r="Q98" s="3">
        <f>(ROUND((ROUND(((ET98)*AV98*I98),2)*BB98),2)+ROUND((ROUND(((AE98-(EU98))*AV98*I98),2)*BS98),2))</f>
        <v>0</v>
      </c>
      <c r="R98" s="3">
        <f t="shared" si="78"/>
        <v>0</v>
      </c>
      <c r="S98" s="3">
        <f t="shared" si="79"/>
        <v>0</v>
      </c>
      <c r="T98" s="3">
        <f t="shared" si="80"/>
        <v>0</v>
      </c>
      <c r="U98" s="3">
        <f t="shared" si="81"/>
        <v>0</v>
      </c>
      <c r="V98" s="3">
        <f t="shared" si="82"/>
        <v>0</v>
      </c>
      <c r="W98" s="3">
        <f t="shared" si="83"/>
        <v>0</v>
      </c>
      <c r="X98" s="3">
        <f t="shared" si="84"/>
        <v>0</v>
      </c>
      <c r="Y98" s="3">
        <f t="shared" si="85"/>
        <v>0</v>
      </c>
      <c r="Z98" s="3"/>
      <c r="AA98" s="3">
        <v>56505405</v>
      </c>
      <c r="AB98" s="3">
        <f t="shared" si="86"/>
        <v>55.92</v>
      </c>
      <c r="AC98" s="3">
        <f t="shared" si="87"/>
        <v>55.92</v>
      </c>
      <c r="AD98" s="3">
        <f>ROUND((((ET98)-(EU98))+AE98),6)</f>
        <v>0</v>
      </c>
      <c r="AE98" s="3">
        <f t="shared" si="113"/>
        <v>0</v>
      </c>
      <c r="AF98" s="3">
        <f t="shared" si="113"/>
        <v>0</v>
      </c>
      <c r="AG98" s="3">
        <f t="shared" si="88"/>
        <v>0</v>
      </c>
      <c r="AH98" s="3">
        <f t="shared" si="114"/>
        <v>0</v>
      </c>
      <c r="AI98" s="3">
        <f t="shared" si="114"/>
        <v>0</v>
      </c>
      <c r="AJ98" s="3">
        <f t="shared" si="89"/>
        <v>0</v>
      </c>
      <c r="AK98" s="3">
        <v>55.92</v>
      </c>
      <c r="AL98" s="3">
        <v>55.92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90</v>
      </c>
      <c r="AU98" s="3">
        <v>46</v>
      </c>
      <c r="AV98" s="3">
        <v>1</v>
      </c>
      <c r="AW98" s="3">
        <v>1</v>
      </c>
      <c r="AX98" s="3"/>
      <c r="AY98" s="3"/>
      <c r="AZ98" s="3">
        <v>1</v>
      </c>
      <c r="BA98" s="3">
        <v>1</v>
      </c>
      <c r="BB98" s="3">
        <v>1</v>
      </c>
      <c r="BC98" s="3">
        <v>9.8800000000000008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2</v>
      </c>
      <c r="BJ98" s="3" t="s">
        <v>3</v>
      </c>
      <c r="BK98" s="3"/>
      <c r="BL98" s="3"/>
      <c r="BM98" s="3">
        <v>72</v>
      </c>
      <c r="BN98" s="3">
        <v>0</v>
      </c>
      <c r="BO98" s="3" t="s">
        <v>3</v>
      </c>
      <c r="BP98" s="3">
        <v>0</v>
      </c>
      <c r="BQ98" s="3">
        <v>40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C98" s="3"/>
      <c r="CD98" s="3"/>
      <c r="CE98" s="3">
        <v>30</v>
      </c>
      <c r="CF98" s="3">
        <v>0</v>
      </c>
      <c r="CG98" s="3">
        <v>0</v>
      </c>
      <c r="CH98" s="3"/>
      <c r="CI98" s="3"/>
      <c r="CJ98" s="3"/>
      <c r="CK98" s="3"/>
      <c r="CL98" s="3"/>
      <c r="CM98" s="3">
        <v>0</v>
      </c>
      <c r="CN98" s="3" t="s">
        <v>3</v>
      </c>
      <c r="CO98" s="3">
        <v>0</v>
      </c>
      <c r="CP98" s="3">
        <f t="shared" si="90"/>
        <v>3867.43</v>
      </c>
      <c r="CQ98" s="3">
        <f t="shared" si="91"/>
        <v>552.49</v>
      </c>
      <c r="CR98" s="3">
        <f>(ROUND((ROUND(((ET98)*AV98*1),2)*BB98),2)+ROUND((ROUND(((AE98-(EU98))*AV98*1),2)*BS98),2))</f>
        <v>0</v>
      </c>
      <c r="CS98" s="3">
        <f t="shared" si="92"/>
        <v>0</v>
      </c>
      <c r="CT98" s="3">
        <f t="shared" si="93"/>
        <v>0</v>
      </c>
      <c r="CU98" s="3">
        <f t="shared" si="94"/>
        <v>0</v>
      </c>
      <c r="CV98" s="3">
        <f t="shared" si="95"/>
        <v>0</v>
      </c>
      <c r="CW98" s="3">
        <f t="shared" si="96"/>
        <v>0</v>
      </c>
      <c r="CX98" s="3">
        <f t="shared" si="97"/>
        <v>0</v>
      </c>
      <c r="CY98" s="3">
        <f t="shared" si="98"/>
        <v>0</v>
      </c>
      <c r="CZ98" s="3">
        <f t="shared" si="99"/>
        <v>0</v>
      </c>
      <c r="DA98" s="3"/>
      <c r="DB98" s="3"/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R98" s="3"/>
      <c r="DS98" s="3"/>
      <c r="DT98" s="3"/>
      <c r="DU98" s="3">
        <v>1010</v>
      </c>
      <c r="DV98" s="3" t="s">
        <v>32</v>
      </c>
      <c r="DW98" s="3" t="s">
        <v>32</v>
      </c>
      <c r="DX98" s="3">
        <v>1</v>
      </c>
      <c r="DY98" s="3"/>
      <c r="DZ98" s="3" t="s">
        <v>3</v>
      </c>
      <c r="EA98" s="3" t="s">
        <v>3</v>
      </c>
      <c r="EB98" s="3" t="s">
        <v>3</v>
      </c>
      <c r="EC98" s="3" t="s">
        <v>3</v>
      </c>
      <c r="ED98" s="3"/>
      <c r="EE98" s="3">
        <v>58162634</v>
      </c>
      <c r="EF98" s="3">
        <v>40</v>
      </c>
      <c r="EG98" s="3" t="s">
        <v>25</v>
      </c>
      <c r="EH98" s="3">
        <v>0</v>
      </c>
      <c r="EI98" s="3" t="s">
        <v>3</v>
      </c>
      <c r="EJ98" s="3">
        <v>2</v>
      </c>
      <c r="EK98" s="3">
        <v>72</v>
      </c>
      <c r="EL98" s="3" t="s">
        <v>47</v>
      </c>
      <c r="EM98" s="3" t="s">
        <v>48</v>
      </c>
      <c r="EN98" s="3"/>
      <c r="EO98" s="3" t="s">
        <v>3</v>
      </c>
      <c r="EP98" s="3"/>
      <c r="EQ98" s="3">
        <v>0</v>
      </c>
      <c r="ER98" s="3">
        <v>55.92</v>
      </c>
      <c r="ES98" s="3">
        <v>55.92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/>
      <c r="EZ98" s="3">
        <v>5</v>
      </c>
      <c r="FA98" s="3"/>
      <c r="FB98" s="3"/>
      <c r="FC98" s="3">
        <v>1</v>
      </c>
      <c r="FD98" s="3">
        <v>18</v>
      </c>
      <c r="FE98" s="3"/>
      <c r="FF98" s="3">
        <v>650</v>
      </c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>
        <v>0</v>
      </c>
      <c r="FR98" s="3">
        <v>0</v>
      </c>
      <c r="FS98" s="3">
        <v>0</v>
      </c>
      <c r="FT98" s="3"/>
      <c r="FU98" s="3"/>
      <c r="FV98" s="3"/>
      <c r="FW98" s="3"/>
      <c r="FX98" s="3">
        <v>90</v>
      </c>
      <c r="FY98" s="3">
        <v>46</v>
      </c>
      <c r="FZ98" s="3"/>
      <c r="GA98" s="3" t="s">
        <v>76</v>
      </c>
      <c r="GB98" s="3"/>
      <c r="GC98" s="3"/>
      <c r="GD98" s="3">
        <v>1</v>
      </c>
      <c r="GE98" s="3"/>
      <c r="GF98" s="3">
        <v>1530715677</v>
      </c>
      <c r="GG98" s="3">
        <v>2</v>
      </c>
      <c r="GH98" s="3">
        <v>3</v>
      </c>
      <c r="GI98" s="3">
        <v>5</v>
      </c>
      <c r="GJ98" s="3">
        <v>0</v>
      </c>
      <c r="GK98" s="3">
        <v>0</v>
      </c>
      <c r="GL98" s="3">
        <f t="shared" si="100"/>
        <v>0</v>
      </c>
      <c r="GM98" s="3">
        <f t="shared" si="101"/>
        <v>3867.43</v>
      </c>
      <c r="GN98" s="3">
        <f t="shared" si="102"/>
        <v>0</v>
      </c>
      <c r="GO98" s="3">
        <f t="shared" si="103"/>
        <v>3867.43</v>
      </c>
      <c r="GP98" s="3">
        <f t="shared" si="104"/>
        <v>0</v>
      </c>
      <c r="GQ98" s="3"/>
      <c r="GR98" s="3">
        <v>1</v>
      </c>
      <c r="GS98" s="3">
        <v>1</v>
      </c>
      <c r="GT98" s="3">
        <v>0</v>
      </c>
      <c r="GU98" s="3" t="s">
        <v>3</v>
      </c>
      <c r="GV98" s="3">
        <f t="shared" si="105"/>
        <v>0</v>
      </c>
      <c r="GW98" s="3">
        <v>1</v>
      </c>
      <c r="GX98" s="3">
        <f t="shared" si="106"/>
        <v>0</v>
      </c>
      <c r="GY98" s="3"/>
      <c r="GZ98" s="3"/>
      <c r="HA98" s="3">
        <v>0</v>
      </c>
      <c r="HB98" s="3">
        <v>0</v>
      </c>
      <c r="HC98" s="3">
        <f t="shared" si="107"/>
        <v>0</v>
      </c>
      <c r="HD98" s="3"/>
      <c r="HE98" s="3" t="s">
        <v>34</v>
      </c>
      <c r="HF98" s="3" t="s">
        <v>35</v>
      </c>
      <c r="HG98" s="3"/>
      <c r="HH98" s="3"/>
      <c r="HI98" s="3"/>
      <c r="HJ98" s="3"/>
      <c r="HK98" s="3"/>
      <c r="HL98" s="3"/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R98" s="3"/>
      <c r="HS98" s="3">
        <v>0</v>
      </c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>
        <v>0</v>
      </c>
      <c r="IL98" s="3"/>
      <c r="IM98" s="3"/>
      <c r="IN98" s="3"/>
      <c r="IO98" s="3"/>
      <c r="IP98" s="3"/>
      <c r="IQ98" s="3"/>
      <c r="IR98" s="3"/>
      <c r="IS98" s="3"/>
      <c r="IT98" s="3"/>
      <c r="IU98" s="3"/>
    </row>
    <row r="99" spans="1:255" x14ac:dyDescent="0.3">
      <c r="A99" s="2">
        <v>18</v>
      </c>
      <c r="B99" s="2">
        <v>1</v>
      </c>
      <c r="C99" s="2"/>
      <c r="D99" s="2"/>
      <c r="E99" s="2" t="s">
        <v>148</v>
      </c>
      <c r="F99" s="2" t="s">
        <v>149</v>
      </c>
      <c r="G99" s="2" t="s">
        <v>150</v>
      </c>
      <c r="H99" s="2" t="s">
        <v>32</v>
      </c>
      <c r="I99" s="2">
        <f>I95*J99</f>
        <v>8</v>
      </c>
      <c r="J99" s="2">
        <v>0.11267605633802817</v>
      </c>
      <c r="K99" s="2">
        <v>0.11267605999999999</v>
      </c>
      <c r="L99" s="2"/>
      <c r="M99" s="2"/>
      <c r="N99" s="2"/>
      <c r="O99" s="2">
        <f t="shared" si="76"/>
        <v>1316.72</v>
      </c>
      <c r="P99" s="2">
        <f t="shared" si="77"/>
        <v>1316.72</v>
      </c>
      <c r="Q99" s="2">
        <f>(ROUND((ROUND(((ET99)*AV99*I99),2)*BB99),2)+ROUND((ROUND(((AE99-(EU99))*AV99*I99),2)*BS99),2))</f>
        <v>0</v>
      </c>
      <c r="R99" s="2">
        <f t="shared" si="78"/>
        <v>0</v>
      </c>
      <c r="S99" s="2">
        <f t="shared" si="79"/>
        <v>0</v>
      </c>
      <c r="T99" s="2">
        <f t="shared" si="80"/>
        <v>0</v>
      </c>
      <c r="U99" s="2">
        <f t="shared" si="81"/>
        <v>0</v>
      </c>
      <c r="V99" s="2">
        <f t="shared" si="82"/>
        <v>0</v>
      </c>
      <c r="W99" s="2">
        <f t="shared" si="83"/>
        <v>0</v>
      </c>
      <c r="X99" s="2">
        <f t="shared" si="84"/>
        <v>0</v>
      </c>
      <c r="Y99" s="2">
        <f t="shared" si="85"/>
        <v>0</v>
      </c>
      <c r="Z99" s="2"/>
      <c r="AA99" s="2">
        <v>56505403</v>
      </c>
      <c r="AB99" s="2">
        <f t="shared" si="86"/>
        <v>164.59</v>
      </c>
      <c r="AC99" s="2">
        <f t="shared" si="87"/>
        <v>164.59</v>
      </c>
      <c r="AD99" s="2">
        <f>ROUND((((ET99)-(EU99))+AE99),6)</f>
        <v>0</v>
      </c>
      <c r="AE99" s="2">
        <f t="shared" si="113"/>
        <v>0</v>
      </c>
      <c r="AF99" s="2">
        <f t="shared" si="113"/>
        <v>0</v>
      </c>
      <c r="AG99" s="2">
        <f t="shared" si="88"/>
        <v>0</v>
      </c>
      <c r="AH99" s="2">
        <f t="shared" si="114"/>
        <v>0</v>
      </c>
      <c r="AI99" s="2">
        <f t="shared" si="114"/>
        <v>0</v>
      </c>
      <c r="AJ99" s="2">
        <f t="shared" si="89"/>
        <v>0</v>
      </c>
      <c r="AK99" s="2">
        <v>164.59</v>
      </c>
      <c r="AL99" s="2">
        <v>164.59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90</v>
      </c>
      <c r="AU99" s="2">
        <v>46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2</v>
      </c>
      <c r="BJ99" s="2" t="s">
        <v>3</v>
      </c>
      <c r="BK99" s="2"/>
      <c r="BL99" s="2"/>
      <c r="BM99" s="2">
        <v>72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0"/>
        <v>1316.72</v>
      </c>
      <c r="CQ99" s="2">
        <f t="shared" si="91"/>
        <v>164.59</v>
      </c>
      <c r="CR99" s="2">
        <f>(ROUND((ROUND(((ET99)*AV99*1),2)*BB99),2)+ROUND((ROUND(((AE99-(EU99))*AV99*1),2)*BS99),2))</f>
        <v>0</v>
      </c>
      <c r="CS99" s="2">
        <f t="shared" si="92"/>
        <v>0</v>
      </c>
      <c r="CT99" s="2">
        <f t="shared" si="93"/>
        <v>0</v>
      </c>
      <c r="CU99" s="2">
        <f t="shared" si="94"/>
        <v>0</v>
      </c>
      <c r="CV99" s="2">
        <f t="shared" si="95"/>
        <v>0</v>
      </c>
      <c r="CW99" s="2">
        <f t="shared" si="96"/>
        <v>0</v>
      </c>
      <c r="CX99" s="2">
        <f t="shared" si="97"/>
        <v>0</v>
      </c>
      <c r="CY99" s="2">
        <f t="shared" si="98"/>
        <v>0</v>
      </c>
      <c r="CZ99" s="2">
        <f t="shared" si="99"/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32</v>
      </c>
      <c r="DW99" s="2" t="s">
        <v>32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58162634</v>
      </c>
      <c r="EF99" s="2">
        <v>40</v>
      </c>
      <c r="EG99" s="2" t="s">
        <v>25</v>
      </c>
      <c r="EH99" s="2">
        <v>0</v>
      </c>
      <c r="EI99" s="2" t="s">
        <v>3</v>
      </c>
      <c r="EJ99" s="2">
        <v>2</v>
      </c>
      <c r="EK99" s="2">
        <v>72</v>
      </c>
      <c r="EL99" s="2" t="s">
        <v>47</v>
      </c>
      <c r="EM99" s="2" t="s">
        <v>48</v>
      </c>
      <c r="EN99" s="2"/>
      <c r="EO99" s="2" t="s">
        <v>3</v>
      </c>
      <c r="EP99" s="2"/>
      <c r="EQ99" s="2">
        <v>0</v>
      </c>
      <c r="ER99" s="2">
        <v>0</v>
      </c>
      <c r="ES99" s="2">
        <v>164.59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151</v>
      </c>
      <c r="GB99" s="2"/>
      <c r="GC99" s="2"/>
      <c r="GD99" s="2">
        <v>1</v>
      </c>
      <c r="GE99" s="2"/>
      <c r="GF99" s="2">
        <v>-502968707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1316.72</v>
      </c>
      <c r="GN99" s="2">
        <f t="shared" si="102"/>
        <v>0</v>
      </c>
      <c r="GO99" s="2">
        <f t="shared" si="103"/>
        <v>1316.72</v>
      </c>
      <c r="GP99" s="2">
        <f t="shared" si="104"/>
        <v>0</v>
      </c>
      <c r="GQ99" s="2"/>
      <c r="GR99" s="2">
        <v>0</v>
      </c>
      <c r="GS99" s="2">
        <v>2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34</v>
      </c>
      <c r="HF99" s="2" t="s">
        <v>35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3">
      <c r="A100" s="3">
        <v>18</v>
      </c>
      <c r="B100" s="3">
        <v>1</v>
      </c>
      <c r="C100" s="3"/>
      <c r="D100" s="3"/>
      <c r="E100" s="3" t="s">
        <v>148</v>
      </c>
      <c r="F100" s="3" t="s">
        <v>149</v>
      </c>
      <c r="G100" s="3" t="s">
        <v>150</v>
      </c>
      <c r="H100" s="3" t="s">
        <v>32</v>
      </c>
      <c r="I100" s="3">
        <f>I96*J100</f>
        <v>8</v>
      </c>
      <c r="J100" s="3">
        <v>0.11267605633802817</v>
      </c>
      <c r="K100" s="3">
        <v>0.11267605999999999</v>
      </c>
      <c r="L100" s="3"/>
      <c r="M100" s="3"/>
      <c r="N100" s="3"/>
      <c r="O100" s="3">
        <f t="shared" si="76"/>
        <v>13009.19</v>
      </c>
      <c r="P100" s="3">
        <f t="shared" si="77"/>
        <v>13009.19</v>
      </c>
      <c r="Q100" s="3">
        <f>(ROUND((ROUND(((ET100)*AV100*I100),2)*BB100),2)+ROUND((ROUND(((AE100-(EU100))*AV100*I100),2)*BS100),2))</f>
        <v>0</v>
      </c>
      <c r="R100" s="3">
        <f t="shared" si="78"/>
        <v>0</v>
      </c>
      <c r="S100" s="3">
        <f t="shared" si="79"/>
        <v>0</v>
      </c>
      <c r="T100" s="3">
        <f t="shared" si="80"/>
        <v>0</v>
      </c>
      <c r="U100" s="3">
        <f t="shared" si="81"/>
        <v>0</v>
      </c>
      <c r="V100" s="3">
        <f t="shared" si="82"/>
        <v>0</v>
      </c>
      <c r="W100" s="3">
        <f t="shared" si="83"/>
        <v>0</v>
      </c>
      <c r="X100" s="3">
        <f t="shared" si="84"/>
        <v>0</v>
      </c>
      <c r="Y100" s="3">
        <f t="shared" si="85"/>
        <v>0</v>
      </c>
      <c r="Z100" s="3"/>
      <c r="AA100" s="3">
        <v>56505405</v>
      </c>
      <c r="AB100" s="3">
        <f t="shared" si="86"/>
        <v>164.59</v>
      </c>
      <c r="AC100" s="3">
        <f t="shared" si="87"/>
        <v>164.59</v>
      </c>
      <c r="AD100" s="3">
        <f>ROUND((((ET100)-(EU100))+AE100),6)</f>
        <v>0</v>
      </c>
      <c r="AE100" s="3">
        <f t="shared" si="113"/>
        <v>0</v>
      </c>
      <c r="AF100" s="3">
        <f t="shared" si="113"/>
        <v>0</v>
      </c>
      <c r="AG100" s="3">
        <f t="shared" si="88"/>
        <v>0</v>
      </c>
      <c r="AH100" s="3">
        <f t="shared" si="114"/>
        <v>0</v>
      </c>
      <c r="AI100" s="3">
        <f t="shared" si="114"/>
        <v>0</v>
      </c>
      <c r="AJ100" s="3">
        <f t="shared" si="89"/>
        <v>0</v>
      </c>
      <c r="AK100" s="3">
        <v>164.59</v>
      </c>
      <c r="AL100" s="3">
        <v>164.59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90</v>
      </c>
      <c r="AU100" s="3">
        <v>46</v>
      </c>
      <c r="AV100" s="3">
        <v>1</v>
      </c>
      <c r="AW100" s="3">
        <v>1</v>
      </c>
      <c r="AX100" s="3"/>
      <c r="AY100" s="3"/>
      <c r="AZ100" s="3">
        <v>1</v>
      </c>
      <c r="BA100" s="3">
        <v>1</v>
      </c>
      <c r="BB100" s="3">
        <v>1</v>
      </c>
      <c r="BC100" s="3">
        <v>9.8800000000000008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2</v>
      </c>
      <c r="BJ100" s="3" t="s">
        <v>3</v>
      </c>
      <c r="BK100" s="3"/>
      <c r="BL100" s="3"/>
      <c r="BM100" s="3">
        <v>72</v>
      </c>
      <c r="BN100" s="3">
        <v>0</v>
      </c>
      <c r="BO100" s="3" t="s">
        <v>3</v>
      </c>
      <c r="BP100" s="3">
        <v>0</v>
      </c>
      <c r="BQ100" s="3">
        <v>40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C100" s="3"/>
      <c r="CD100" s="3"/>
      <c r="CE100" s="3">
        <v>30</v>
      </c>
      <c r="CF100" s="3">
        <v>0</v>
      </c>
      <c r="CG100" s="3">
        <v>0</v>
      </c>
      <c r="CH100" s="3"/>
      <c r="CI100" s="3"/>
      <c r="CJ100" s="3"/>
      <c r="CK100" s="3"/>
      <c r="CL100" s="3"/>
      <c r="CM100" s="3">
        <v>0</v>
      </c>
      <c r="CN100" s="3" t="s">
        <v>3</v>
      </c>
      <c r="CO100" s="3">
        <v>0</v>
      </c>
      <c r="CP100" s="3">
        <f t="shared" si="90"/>
        <v>13009.19</v>
      </c>
      <c r="CQ100" s="3">
        <f t="shared" si="91"/>
        <v>1626.15</v>
      </c>
      <c r="CR100" s="3">
        <f>(ROUND((ROUND(((ET100)*AV100*1),2)*BB100),2)+ROUND((ROUND(((AE100-(EU100))*AV100*1),2)*BS100),2))</f>
        <v>0</v>
      </c>
      <c r="CS100" s="3">
        <f t="shared" si="92"/>
        <v>0</v>
      </c>
      <c r="CT100" s="3">
        <f t="shared" si="93"/>
        <v>0</v>
      </c>
      <c r="CU100" s="3">
        <f t="shared" si="94"/>
        <v>0</v>
      </c>
      <c r="CV100" s="3">
        <f t="shared" si="95"/>
        <v>0</v>
      </c>
      <c r="CW100" s="3">
        <f t="shared" si="96"/>
        <v>0</v>
      </c>
      <c r="CX100" s="3">
        <f t="shared" si="97"/>
        <v>0</v>
      </c>
      <c r="CY100" s="3">
        <f t="shared" si="98"/>
        <v>0</v>
      </c>
      <c r="CZ100" s="3">
        <f t="shared" si="99"/>
        <v>0</v>
      </c>
      <c r="DA100" s="3"/>
      <c r="DB100" s="3"/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R100" s="3"/>
      <c r="DS100" s="3"/>
      <c r="DT100" s="3"/>
      <c r="DU100" s="3">
        <v>1010</v>
      </c>
      <c r="DV100" s="3" t="s">
        <v>32</v>
      </c>
      <c r="DW100" s="3" t="s">
        <v>32</v>
      </c>
      <c r="DX100" s="3">
        <v>1</v>
      </c>
      <c r="DY100" s="3"/>
      <c r="DZ100" s="3" t="s">
        <v>3</v>
      </c>
      <c r="EA100" s="3" t="s">
        <v>3</v>
      </c>
      <c r="EB100" s="3" t="s">
        <v>3</v>
      </c>
      <c r="EC100" s="3" t="s">
        <v>3</v>
      </c>
      <c r="ED100" s="3"/>
      <c r="EE100" s="3">
        <v>58162634</v>
      </c>
      <c r="EF100" s="3">
        <v>40</v>
      </c>
      <c r="EG100" s="3" t="s">
        <v>25</v>
      </c>
      <c r="EH100" s="3">
        <v>0</v>
      </c>
      <c r="EI100" s="3" t="s">
        <v>3</v>
      </c>
      <c r="EJ100" s="3">
        <v>2</v>
      </c>
      <c r="EK100" s="3">
        <v>72</v>
      </c>
      <c r="EL100" s="3" t="s">
        <v>47</v>
      </c>
      <c r="EM100" s="3" t="s">
        <v>48</v>
      </c>
      <c r="EN100" s="3"/>
      <c r="EO100" s="3" t="s">
        <v>3</v>
      </c>
      <c r="EP100" s="3"/>
      <c r="EQ100" s="3">
        <v>0</v>
      </c>
      <c r="ER100" s="3">
        <v>164.59</v>
      </c>
      <c r="ES100" s="3">
        <v>164.59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/>
      <c r="EZ100" s="3">
        <v>5</v>
      </c>
      <c r="FA100" s="3"/>
      <c r="FB100" s="3"/>
      <c r="FC100" s="3">
        <v>1</v>
      </c>
      <c r="FD100" s="3">
        <v>18</v>
      </c>
      <c r="FE100" s="3"/>
      <c r="FF100" s="3">
        <v>1913.04</v>
      </c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>
        <v>0</v>
      </c>
      <c r="FR100" s="3">
        <v>0</v>
      </c>
      <c r="FS100" s="3">
        <v>0</v>
      </c>
      <c r="FT100" s="3"/>
      <c r="FU100" s="3"/>
      <c r="FV100" s="3"/>
      <c r="FW100" s="3"/>
      <c r="FX100" s="3">
        <v>90</v>
      </c>
      <c r="FY100" s="3">
        <v>46</v>
      </c>
      <c r="FZ100" s="3"/>
      <c r="GA100" s="3" t="s">
        <v>151</v>
      </c>
      <c r="GB100" s="3"/>
      <c r="GC100" s="3"/>
      <c r="GD100" s="3">
        <v>1</v>
      </c>
      <c r="GE100" s="3"/>
      <c r="GF100" s="3">
        <v>-502968707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00"/>
        <v>0</v>
      </c>
      <c r="GM100" s="3">
        <f t="shared" si="101"/>
        <v>13009.19</v>
      </c>
      <c r="GN100" s="3">
        <f t="shared" si="102"/>
        <v>0</v>
      </c>
      <c r="GO100" s="3">
        <f t="shared" si="103"/>
        <v>13009.19</v>
      </c>
      <c r="GP100" s="3">
        <f t="shared" si="104"/>
        <v>0</v>
      </c>
      <c r="GQ100" s="3"/>
      <c r="GR100" s="3">
        <v>1</v>
      </c>
      <c r="GS100" s="3">
        <v>1</v>
      </c>
      <c r="GT100" s="3">
        <v>0</v>
      </c>
      <c r="GU100" s="3" t="s">
        <v>3</v>
      </c>
      <c r="GV100" s="3">
        <f t="shared" si="105"/>
        <v>0</v>
      </c>
      <c r="GW100" s="3">
        <v>1</v>
      </c>
      <c r="GX100" s="3">
        <f t="shared" si="106"/>
        <v>0</v>
      </c>
      <c r="GY100" s="3"/>
      <c r="GZ100" s="3"/>
      <c r="HA100" s="3">
        <v>0</v>
      </c>
      <c r="HB100" s="3">
        <v>0</v>
      </c>
      <c r="HC100" s="3">
        <f t="shared" si="107"/>
        <v>0</v>
      </c>
      <c r="HD100" s="3"/>
      <c r="HE100" s="3" t="s">
        <v>34</v>
      </c>
      <c r="HF100" s="3" t="s">
        <v>35</v>
      </c>
      <c r="HG100" s="3"/>
      <c r="HH100" s="3"/>
      <c r="HI100" s="3"/>
      <c r="HJ100" s="3"/>
      <c r="HK100" s="3"/>
      <c r="HL100" s="3"/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R100" s="3"/>
      <c r="HS100" s="3">
        <v>0</v>
      </c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>
        <v>0</v>
      </c>
      <c r="IL100" s="3"/>
      <c r="IM100" s="3"/>
      <c r="IN100" s="3"/>
      <c r="IO100" s="3"/>
      <c r="IP100" s="3"/>
      <c r="IQ100" s="3"/>
      <c r="IR100" s="3"/>
      <c r="IS100" s="3"/>
      <c r="IT100" s="3"/>
      <c r="IU100" s="3"/>
    </row>
    <row r="101" spans="1:255" x14ac:dyDescent="0.3">
      <c r="A101" s="2">
        <v>17</v>
      </c>
      <c r="B101" s="2">
        <v>1</v>
      </c>
      <c r="C101" s="2"/>
      <c r="D101" s="2">
        <f>ROW(EtalonRes!A37)</f>
        <v>37</v>
      </c>
      <c r="E101" s="2" t="s">
        <v>152</v>
      </c>
      <c r="F101" s="2" t="s">
        <v>44</v>
      </c>
      <c r="G101" s="2" t="s">
        <v>45</v>
      </c>
      <c r="H101" s="2" t="s">
        <v>22</v>
      </c>
      <c r="I101" s="2">
        <f>ROUND(7+7+7+7,9)</f>
        <v>28</v>
      </c>
      <c r="J101" s="2">
        <v>0</v>
      </c>
      <c r="K101" s="2">
        <f>ROUND(7+7+7+7,9)</f>
        <v>28</v>
      </c>
      <c r="L101" s="2"/>
      <c r="M101" s="2"/>
      <c r="N101" s="2"/>
      <c r="O101" s="2">
        <f t="shared" si="76"/>
        <v>391.8</v>
      </c>
      <c r="P101" s="2">
        <f t="shared" si="77"/>
        <v>0</v>
      </c>
      <c r="Q101" s="2">
        <f>(ROUND((ROUND((((ET101*1.1))*AV101*I101),2)*BB101),2)+ROUND((ROUND(((AE101-((EU101*1.1)))*AV101*I101),2)*BS101),2))</f>
        <v>16.12</v>
      </c>
      <c r="R101" s="2">
        <f t="shared" si="78"/>
        <v>2.58</v>
      </c>
      <c r="S101" s="2">
        <f t="shared" si="79"/>
        <v>375.68</v>
      </c>
      <c r="T101" s="2">
        <f t="shared" si="80"/>
        <v>0</v>
      </c>
      <c r="U101" s="2">
        <f t="shared" si="81"/>
        <v>33.215028000000004</v>
      </c>
      <c r="V101" s="2">
        <f t="shared" si="82"/>
        <v>0</v>
      </c>
      <c r="W101" s="2">
        <f t="shared" si="83"/>
        <v>0</v>
      </c>
      <c r="X101" s="2">
        <f t="shared" si="84"/>
        <v>340.43</v>
      </c>
      <c r="Y101" s="2">
        <f t="shared" si="85"/>
        <v>174</v>
      </c>
      <c r="Z101" s="2"/>
      <c r="AA101" s="2">
        <v>56505403</v>
      </c>
      <c r="AB101" s="2">
        <f t="shared" si="86"/>
        <v>13.365</v>
      </c>
      <c r="AC101" s="2">
        <f t="shared" si="87"/>
        <v>0</v>
      </c>
      <c r="AD101" s="2">
        <f>ROUND(((((ET101*1.1))-((EU101*1.1)))+AE101),6)</f>
        <v>0.55000000000000004</v>
      </c>
      <c r="AE101" s="2">
        <f>ROUND(((EU101*1.1)),6)</f>
        <v>8.7999999999999995E-2</v>
      </c>
      <c r="AF101" s="2">
        <f>ROUND(((EV101*1.1)),6)</f>
        <v>12.815</v>
      </c>
      <c r="AG101" s="2">
        <f t="shared" si="88"/>
        <v>0</v>
      </c>
      <c r="AH101" s="2">
        <f>((EW101*1.1))</f>
        <v>1.1330000000000002</v>
      </c>
      <c r="AI101" s="2">
        <f>((EX101*1.1))</f>
        <v>0</v>
      </c>
      <c r="AJ101" s="2">
        <f t="shared" si="89"/>
        <v>0</v>
      </c>
      <c r="AK101" s="2">
        <v>12.15</v>
      </c>
      <c r="AL101" s="2">
        <v>0</v>
      </c>
      <c r="AM101" s="2">
        <v>0.5</v>
      </c>
      <c r="AN101" s="2">
        <v>0.08</v>
      </c>
      <c r="AO101" s="2">
        <v>11.65</v>
      </c>
      <c r="AP101" s="2">
        <v>0</v>
      </c>
      <c r="AQ101" s="2">
        <v>1.03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46</v>
      </c>
      <c r="BK101" s="2"/>
      <c r="BL101" s="2"/>
      <c r="BM101" s="2">
        <v>72</v>
      </c>
      <c r="BN101" s="2">
        <v>0</v>
      </c>
      <c r="BO101" s="2" t="s">
        <v>44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90"/>
        <v>391.8</v>
      </c>
      <c r="CQ101" s="2">
        <f t="shared" si="91"/>
        <v>0</v>
      </c>
      <c r="CR101" s="2">
        <f>(ROUND((ROUND((((ET101*1.1))*AV101*1),2)*BB101),2)+ROUND((ROUND(((AE101-((EU101*1.1)))*AV101*1),2)*BS101),2))</f>
        <v>0.57999999999999996</v>
      </c>
      <c r="CS101" s="2">
        <f t="shared" si="92"/>
        <v>0.09</v>
      </c>
      <c r="CT101" s="2">
        <f t="shared" si="93"/>
        <v>13.42</v>
      </c>
      <c r="CU101" s="2">
        <f t="shared" si="94"/>
        <v>0</v>
      </c>
      <c r="CV101" s="2">
        <f t="shared" si="95"/>
        <v>1.1862510000000002</v>
      </c>
      <c r="CW101" s="2">
        <f t="shared" si="96"/>
        <v>0</v>
      </c>
      <c r="CX101" s="2">
        <f t="shared" si="97"/>
        <v>0</v>
      </c>
      <c r="CY101" s="2">
        <f t="shared" si="98"/>
        <v>340.43400000000003</v>
      </c>
      <c r="CZ101" s="2">
        <f t="shared" si="99"/>
        <v>173.99959999999999</v>
      </c>
      <c r="DA101" s="2"/>
      <c r="DB101" s="2"/>
      <c r="DC101" s="2" t="s">
        <v>3</v>
      </c>
      <c r="DD101" s="2" t="s">
        <v>3</v>
      </c>
      <c r="DE101" s="2" t="s">
        <v>24</v>
      </c>
      <c r="DF101" s="2" t="s">
        <v>24</v>
      </c>
      <c r="DG101" s="2" t="s">
        <v>24</v>
      </c>
      <c r="DH101" s="2" t="s">
        <v>3</v>
      </c>
      <c r="DI101" s="2" t="s">
        <v>24</v>
      </c>
      <c r="DJ101" s="2" t="s">
        <v>24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22</v>
      </c>
      <c r="DW101" s="2" t="s">
        <v>22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58162634</v>
      </c>
      <c r="EF101" s="2">
        <v>40</v>
      </c>
      <c r="EG101" s="2" t="s">
        <v>25</v>
      </c>
      <c r="EH101" s="2">
        <v>0</v>
      </c>
      <c r="EI101" s="2" t="s">
        <v>3</v>
      </c>
      <c r="EJ101" s="2">
        <v>2</v>
      </c>
      <c r="EK101" s="2">
        <v>72</v>
      </c>
      <c r="EL101" s="2" t="s">
        <v>47</v>
      </c>
      <c r="EM101" s="2" t="s">
        <v>48</v>
      </c>
      <c r="EN101" s="2"/>
      <c r="EO101" s="2" t="s">
        <v>28</v>
      </c>
      <c r="EP101" s="2"/>
      <c r="EQ101" s="2">
        <v>0</v>
      </c>
      <c r="ER101" s="2">
        <v>12.15</v>
      </c>
      <c r="ES101" s="2">
        <v>0</v>
      </c>
      <c r="ET101" s="2">
        <v>0.5</v>
      </c>
      <c r="EU101" s="2">
        <v>0.08</v>
      </c>
      <c r="EV101" s="2">
        <v>11.65</v>
      </c>
      <c r="EW101" s="2">
        <v>1.03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1708693888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906.23</v>
      </c>
      <c r="GN101" s="2">
        <f t="shared" si="102"/>
        <v>0</v>
      </c>
      <c r="GO101" s="2">
        <f t="shared" si="103"/>
        <v>906.23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3">
      <c r="A102" s="3">
        <v>17</v>
      </c>
      <c r="B102" s="3">
        <v>1</v>
      </c>
      <c r="C102" s="3"/>
      <c r="D102" s="3">
        <f>ROW(EtalonRes!A40)</f>
        <v>40</v>
      </c>
      <c r="E102" s="3" t="s">
        <v>152</v>
      </c>
      <c r="F102" s="3" t="s">
        <v>44</v>
      </c>
      <c r="G102" s="3" t="s">
        <v>45</v>
      </c>
      <c r="H102" s="3" t="s">
        <v>22</v>
      </c>
      <c r="I102" s="3">
        <f>ROUND(7+7+7+7,9)</f>
        <v>28</v>
      </c>
      <c r="J102" s="3">
        <v>0</v>
      </c>
      <c r="K102" s="3">
        <f>ROUND(7+7+7+7,9)</f>
        <v>28</v>
      </c>
      <c r="L102" s="3"/>
      <c r="M102" s="3"/>
      <c r="N102" s="3"/>
      <c r="O102" s="3">
        <f t="shared" si="76"/>
        <v>20920.75</v>
      </c>
      <c r="P102" s="3">
        <f t="shared" si="77"/>
        <v>0</v>
      </c>
      <c r="Q102" s="3">
        <f>(ROUND((ROUND((((ET102*1.1))*AV102*I102),2)*BB102),2)+ROUND((ROUND(((AE102-((EU102*1.1)))*AV102*I102),2)*BS102),2))</f>
        <v>262.11</v>
      </c>
      <c r="R102" s="3">
        <f t="shared" si="78"/>
        <v>141.87</v>
      </c>
      <c r="S102" s="3">
        <f t="shared" si="79"/>
        <v>20658.64</v>
      </c>
      <c r="T102" s="3">
        <f t="shared" si="80"/>
        <v>0</v>
      </c>
      <c r="U102" s="3">
        <f t="shared" si="81"/>
        <v>33.215028000000004</v>
      </c>
      <c r="V102" s="3">
        <f t="shared" si="82"/>
        <v>0</v>
      </c>
      <c r="W102" s="3">
        <f t="shared" si="83"/>
        <v>0</v>
      </c>
      <c r="X102" s="3">
        <f t="shared" si="84"/>
        <v>18720.46</v>
      </c>
      <c r="Y102" s="3">
        <f t="shared" si="85"/>
        <v>9568.23</v>
      </c>
      <c r="Z102" s="3"/>
      <c r="AA102" s="3">
        <v>56505405</v>
      </c>
      <c r="AB102" s="3">
        <f t="shared" si="86"/>
        <v>13.365</v>
      </c>
      <c r="AC102" s="3">
        <f t="shared" si="87"/>
        <v>0</v>
      </c>
      <c r="AD102" s="3">
        <f>ROUND(((((ET102*1.1))-((EU102*1.1)))+AE102),6)</f>
        <v>0.55000000000000004</v>
      </c>
      <c r="AE102" s="3">
        <f>ROUND(((EU102*1.1)),6)</f>
        <v>8.7999999999999995E-2</v>
      </c>
      <c r="AF102" s="3">
        <f>ROUND(((EV102*1.1)),6)</f>
        <v>12.815</v>
      </c>
      <c r="AG102" s="3">
        <f t="shared" si="88"/>
        <v>0</v>
      </c>
      <c r="AH102" s="3">
        <f>((EW102*1.1))</f>
        <v>1.1330000000000002</v>
      </c>
      <c r="AI102" s="3">
        <f>((EX102*1.1))</f>
        <v>0</v>
      </c>
      <c r="AJ102" s="3">
        <f t="shared" si="89"/>
        <v>0</v>
      </c>
      <c r="AK102" s="3">
        <v>12.15</v>
      </c>
      <c r="AL102" s="3">
        <v>0</v>
      </c>
      <c r="AM102" s="3">
        <v>0.5</v>
      </c>
      <c r="AN102" s="3">
        <v>0.08</v>
      </c>
      <c r="AO102" s="3">
        <v>11.65</v>
      </c>
      <c r="AP102" s="3">
        <v>0</v>
      </c>
      <c r="AQ102" s="3">
        <v>1.03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X102" s="3"/>
      <c r="AY102" s="3"/>
      <c r="AZ102" s="3">
        <v>1</v>
      </c>
      <c r="BA102" s="3">
        <v>54.99</v>
      </c>
      <c r="BB102" s="3">
        <v>16.260000000000002</v>
      </c>
      <c r="BC102" s="3">
        <v>1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46</v>
      </c>
      <c r="BK102" s="3"/>
      <c r="BL102" s="3"/>
      <c r="BM102" s="3">
        <v>72</v>
      </c>
      <c r="BN102" s="3">
        <v>0</v>
      </c>
      <c r="BO102" s="3" t="s">
        <v>44</v>
      </c>
      <c r="BP102" s="3">
        <v>1</v>
      </c>
      <c r="BQ102" s="3">
        <v>40</v>
      </c>
      <c r="BR102" s="3">
        <v>0</v>
      </c>
      <c r="BS102" s="3">
        <v>54.99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C102" s="3"/>
      <c r="CD102" s="3"/>
      <c r="CE102" s="3">
        <v>30</v>
      </c>
      <c r="CF102" s="3">
        <v>0</v>
      </c>
      <c r="CG102" s="3">
        <v>0</v>
      </c>
      <c r="CH102" s="3"/>
      <c r="CI102" s="3"/>
      <c r="CJ102" s="3"/>
      <c r="CK102" s="3"/>
      <c r="CL102" s="3"/>
      <c r="CM102" s="3">
        <v>0</v>
      </c>
      <c r="CN102" s="3" t="s">
        <v>3</v>
      </c>
      <c r="CO102" s="3">
        <v>0</v>
      </c>
      <c r="CP102" s="3">
        <f t="shared" si="90"/>
        <v>20920.75</v>
      </c>
      <c r="CQ102" s="3">
        <f t="shared" si="91"/>
        <v>0</v>
      </c>
      <c r="CR102" s="3">
        <f>(ROUND((ROUND((((ET102*1.1))*AV102*1),2)*BB102),2)+ROUND((ROUND(((AE102-((EU102*1.1)))*AV102*1),2)*BS102),2))</f>
        <v>9.43</v>
      </c>
      <c r="CS102" s="3">
        <f t="shared" si="92"/>
        <v>4.95</v>
      </c>
      <c r="CT102" s="3">
        <f t="shared" si="93"/>
        <v>737.97</v>
      </c>
      <c r="CU102" s="3">
        <f t="shared" si="94"/>
        <v>0</v>
      </c>
      <c r="CV102" s="3">
        <f t="shared" si="95"/>
        <v>1.1862510000000002</v>
      </c>
      <c r="CW102" s="3">
        <f t="shared" si="96"/>
        <v>0</v>
      </c>
      <c r="CX102" s="3">
        <f t="shared" si="97"/>
        <v>0</v>
      </c>
      <c r="CY102" s="3">
        <f t="shared" si="98"/>
        <v>18720.458999999999</v>
      </c>
      <c r="CZ102" s="3">
        <f t="shared" si="99"/>
        <v>9568.2345999999998</v>
      </c>
      <c r="DA102" s="3"/>
      <c r="DB102" s="3"/>
      <c r="DC102" s="3" t="s">
        <v>3</v>
      </c>
      <c r="DD102" s="3" t="s">
        <v>3</v>
      </c>
      <c r="DE102" s="3" t="s">
        <v>24</v>
      </c>
      <c r="DF102" s="3" t="s">
        <v>24</v>
      </c>
      <c r="DG102" s="3" t="s">
        <v>24</v>
      </c>
      <c r="DH102" s="3" t="s">
        <v>3</v>
      </c>
      <c r="DI102" s="3" t="s">
        <v>24</v>
      </c>
      <c r="DJ102" s="3" t="s">
        <v>24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R102" s="3"/>
      <c r="DS102" s="3"/>
      <c r="DT102" s="3"/>
      <c r="DU102" s="3">
        <v>1013</v>
      </c>
      <c r="DV102" s="3" t="s">
        <v>22</v>
      </c>
      <c r="DW102" s="3" t="s">
        <v>22</v>
      </c>
      <c r="DX102" s="3">
        <v>1</v>
      </c>
      <c r="DY102" s="3"/>
      <c r="DZ102" s="3" t="s">
        <v>3</v>
      </c>
      <c r="EA102" s="3" t="s">
        <v>3</v>
      </c>
      <c r="EB102" s="3" t="s">
        <v>3</v>
      </c>
      <c r="EC102" s="3" t="s">
        <v>3</v>
      </c>
      <c r="ED102" s="3"/>
      <c r="EE102" s="3">
        <v>58162634</v>
      </c>
      <c r="EF102" s="3">
        <v>40</v>
      </c>
      <c r="EG102" s="3" t="s">
        <v>25</v>
      </c>
      <c r="EH102" s="3">
        <v>0</v>
      </c>
      <c r="EI102" s="3" t="s">
        <v>3</v>
      </c>
      <c r="EJ102" s="3">
        <v>2</v>
      </c>
      <c r="EK102" s="3">
        <v>72</v>
      </c>
      <c r="EL102" s="3" t="s">
        <v>47</v>
      </c>
      <c r="EM102" s="3" t="s">
        <v>48</v>
      </c>
      <c r="EN102" s="3"/>
      <c r="EO102" s="3" t="s">
        <v>28</v>
      </c>
      <c r="EP102" s="3"/>
      <c r="EQ102" s="3">
        <v>0</v>
      </c>
      <c r="ER102" s="3">
        <v>12.15</v>
      </c>
      <c r="ES102" s="3">
        <v>0</v>
      </c>
      <c r="ET102" s="3">
        <v>0.5</v>
      </c>
      <c r="EU102" s="3">
        <v>0.08</v>
      </c>
      <c r="EV102" s="3">
        <v>11.65</v>
      </c>
      <c r="EW102" s="3">
        <v>1.03</v>
      </c>
      <c r="EX102" s="3">
        <v>0</v>
      </c>
      <c r="EY102" s="3">
        <v>0</v>
      </c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>
        <v>0</v>
      </c>
      <c r="FR102" s="3">
        <v>0</v>
      </c>
      <c r="FS102" s="3">
        <v>0</v>
      </c>
      <c r="FT102" s="3"/>
      <c r="FU102" s="3"/>
      <c r="FV102" s="3"/>
      <c r="FW102" s="3"/>
      <c r="FX102" s="3">
        <v>90</v>
      </c>
      <c r="FY102" s="3">
        <v>46</v>
      </c>
      <c r="FZ102" s="3"/>
      <c r="GA102" s="3" t="s">
        <v>3</v>
      </c>
      <c r="GB102" s="3"/>
      <c r="GC102" s="3"/>
      <c r="GD102" s="3">
        <v>1</v>
      </c>
      <c r="GE102" s="3"/>
      <c r="GF102" s="3">
        <v>1708693888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0"/>
        <v>0</v>
      </c>
      <c r="GM102" s="3">
        <f t="shared" si="101"/>
        <v>49209.440000000002</v>
      </c>
      <c r="GN102" s="3">
        <f t="shared" si="102"/>
        <v>0</v>
      </c>
      <c r="GO102" s="3">
        <f t="shared" si="103"/>
        <v>49209.440000000002</v>
      </c>
      <c r="GP102" s="3">
        <f t="shared" si="104"/>
        <v>0</v>
      </c>
      <c r="GQ102" s="3"/>
      <c r="GR102" s="3">
        <v>0</v>
      </c>
      <c r="GS102" s="3">
        <v>3</v>
      </c>
      <c r="GT102" s="3">
        <v>0</v>
      </c>
      <c r="GU102" s="3" t="s">
        <v>3</v>
      </c>
      <c r="GV102" s="3">
        <f t="shared" si="105"/>
        <v>0</v>
      </c>
      <c r="GW102" s="3">
        <v>1</v>
      </c>
      <c r="GX102" s="3">
        <f t="shared" si="106"/>
        <v>0</v>
      </c>
      <c r="GY102" s="3"/>
      <c r="GZ102" s="3"/>
      <c r="HA102" s="3">
        <v>0</v>
      </c>
      <c r="HB102" s="3">
        <v>0</v>
      </c>
      <c r="HC102" s="3">
        <f t="shared" si="107"/>
        <v>0</v>
      </c>
      <c r="HD102" s="3"/>
      <c r="HE102" s="3" t="s">
        <v>3</v>
      </c>
      <c r="HF102" s="3" t="s">
        <v>3</v>
      </c>
      <c r="HG102" s="3"/>
      <c r="HH102" s="3"/>
      <c r="HI102" s="3"/>
      <c r="HJ102" s="3"/>
      <c r="HK102" s="3"/>
      <c r="HL102" s="3"/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R102" s="3"/>
      <c r="HS102" s="3">
        <v>0</v>
      </c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>
        <v>0</v>
      </c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pans="1:255" x14ac:dyDescent="0.3">
      <c r="A103" s="2">
        <v>18</v>
      </c>
      <c r="B103" s="2">
        <v>1</v>
      </c>
      <c r="C103" s="2"/>
      <c r="D103" s="2"/>
      <c r="E103" s="2" t="s">
        <v>153</v>
      </c>
      <c r="F103" s="2" t="s">
        <v>50</v>
      </c>
      <c r="G103" s="2" t="s">
        <v>51</v>
      </c>
      <c r="H103" s="2" t="s">
        <v>32</v>
      </c>
      <c r="I103" s="2">
        <f>I101*J103</f>
        <v>7</v>
      </c>
      <c r="J103" s="2">
        <v>0.25</v>
      </c>
      <c r="K103" s="2">
        <v>0.25</v>
      </c>
      <c r="L103" s="2"/>
      <c r="M103" s="2"/>
      <c r="N103" s="2"/>
      <c r="O103" s="2">
        <f t="shared" si="76"/>
        <v>22491.21</v>
      </c>
      <c r="P103" s="2">
        <f>ROUND((ROUND((AC103*I103),2)*BC103),2)</f>
        <v>22491.21</v>
      </c>
      <c r="Q103" s="2">
        <f t="shared" ref="Q103:Q110" si="115">(ROUND((ROUND(((ET103)*AV103*I103),2)*BB103),2)+ROUND((ROUND(((AE103-(EU103))*AV103*I103),2)*BS103),2))</f>
        <v>0</v>
      </c>
      <c r="R103" s="2">
        <f t="shared" si="78"/>
        <v>0</v>
      </c>
      <c r="S103" s="2">
        <f t="shared" si="79"/>
        <v>0</v>
      </c>
      <c r="T103" s="2">
        <f t="shared" si="80"/>
        <v>0</v>
      </c>
      <c r="U103" s="2">
        <f t="shared" si="81"/>
        <v>0</v>
      </c>
      <c r="V103" s="2">
        <f t="shared" si="82"/>
        <v>0</v>
      </c>
      <c r="W103" s="2">
        <f t="shared" si="83"/>
        <v>0</v>
      </c>
      <c r="X103" s="2">
        <f t="shared" si="84"/>
        <v>0</v>
      </c>
      <c r="Y103" s="2">
        <f t="shared" si="85"/>
        <v>0</v>
      </c>
      <c r="Z103" s="2"/>
      <c r="AA103" s="2">
        <v>56505403</v>
      </c>
      <c r="AB103" s="2">
        <f t="shared" si="86"/>
        <v>3213.03</v>
      </c>
      <c r="AC103" s="2">
        <f t="shared" si="87"/>
        <v>3213.03</v>
      </c>
      <c r="AD103" s="2">
        <f t="shared" ref="AD103:AD110" si="116">ROUND((((ET103)-(EU103))+AE103),6)</f>
        <v>0</v>
      </c>
      <c r="AE103" s="2">
        <f t="shared" ref="AE103:AF110" si="117">ROUND((EU103),6)</f>
        <v>0</v>
      </c>
      <c r="AF103" s="2">
        <f t="shared" si="117"/>
        <v>0</v>
      </c>
      <c r="AG103" s="2">
        <f t="shared" si="88"/>
        <v>0</v>
      </c>
      <c r="AH103" s="2">
        <f t="shared" ref="AH103:AI110" si="118">(EW103)</f>
        <v>0</v>
      </c>
      <c r="AI103" s="2">
        <f t="shared" si="118"/>
        <v>0</v>
      </c>
      <c r="AJ103" s="2">
        <f t="shared" si="89"/>
        <v>0</v>
      </c>
      <c r="AK103" s="2">
        <v>3213.0299999999997</v>
      </c>
      <c r="AL103" s="2">
        <v>3213.0299999999997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3</v>
      </c>
      <c r="BK103" s="2"/>
      <c r="BL103" s="2"/>
      <c r="BM103" s="2">
        <v>746</v>
      </c>
      <c r="BN103" s="2">
        <v>0</v>
      </c>
      <c r="BO103" s="2" t="s">
        <v>3</v>
      </c>
      <c r="BP103" s="2">
        <v>0</v>
      </c>
      <c r="BQ103" s="2">
        <v>130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90</v>
      </c>
      <c r="CA103" s="2">
        <v>46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0"/>
        <v>22491.21</v>
      </c>
      <c r="CQ103" s="2">
        <f>ROUND((ROUND((AC103*1),2)*BC103),2)</f>
        <v>3213.03</v>
      </c>
      <c r="CR103" s="2">
        <f t="shared" ref="CR103:CR110" si="119">(ROUND((ROUND(((ET103)*AV103*1),2)*BB103),2)+ROUND((ROUND(((AE103-(EU103))*AV103*1),2)*BS103),2))</f>
        <v>0</v>
      </c>
      <c r="CS103" s="2">
        <f t="shared" si="92"/>
        <v>0</v>
      </c>
      <c r="CT103" s="2">
        <f t="shared" si="93"/>
        <v>0</v>
      </c>
      <c r="CU103" s="2">
        <f t="shared" si="94"/>
        <v>0</v>
      </c>
      <c r="CV103" s="2">
        <f t="shared" si="95"/>
        <v>0</v>
      </c>
      <c r="CW103" s="2">
        <f t="shared" si="96"/>
        <v>0</v>
      </c>
      <c r="CX103" s="2">
        <f t="shared" si="97"/>
        <v>0</v>
      </c>
      <c r="CY103" s="2">
        <f t="shared" si="98"/>
        <v>0</v>
      </c>
      <c r="CZ103" s="2">
        <f t="shared" si="99"/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1010</v>
      </c>
      <c r="DV103" s="2" t="s">
        <v>32</v>
      </c>
      <c r="DW103" s="2" t="s">
        <v>32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58162750</v>
      </c>
      <c r="EF103" s="2">
        <v>130</v>
      </c>
      <c r="EG103" s="2" t="s">
        <v>52</v>
      </c>
      <c r="EH103" s="2">
        <v>0</v>
      </c>
      <c r="EI103" s="2" t="s">
        <v>3</v>
      </c>
      <c r="EJ103" s="2">
        <v>3</v>
      </c>
      <c r="EK103" s="2">
        <v>746</v>
      </c>
      <c r="EL103" s="2" t="s">
        <v>53</v>
      </c>
      <c r="EM103" s="2" t="s">
        <v>54</v>
      </c>
      <c r="EN103" s="2"/>
      <c r="EO103" s="2" t="s">
        <v>3</v>
      </c>
      <c r="EP103" s="2"/>
      <c r="EQ103" s="2">
        <v>0</v>
      </c>
      <c r="ER103" s="2">
        <v>0</v>
      </c>
      <c r="ES103" s="2">
        <v>3213.0299999999997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22491.21</v>
      </c>
      <c r="FS103" s="2">
        <v>0</v>
      </c>
      <c r="FT103" s="2"/>
      <c r="FU103" s="2"/>
      <c r="FV103" s="2"/>
      <c r="FW103" s="2"/>
      <c r="FX103" s="2">
        <v>90</v>
      </c>
      <c r="FY103" s="2">
        <v>46</v>
      </c>
      <c r="FZ103" s="2"/>
      <c r="GA103" s="2" t="s">
        <v>55</v>
      </c>
      <c r="GB103" s="2"/>
      <c r="GC103" s="2"/>
      <c r="GD103" s="2">
        <v>1</v>
      </c>
      <c r="GE103" s="2"/>
      <c r="GF103" s="2">
        <v>174995452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22491.21</v>
      </c>
      <c r="GN103" s="2">
        <f t="shared" si="102"/>
        <v>0</v>
      </c>
      <c r="GO103" s="2">
        <f t="shared" si="103"/>
        <v>0</v>
      </c>
      <c r="GP103" s="2">
        <f t="shared" si="104"/>
        <v>0</v>
      </c>
      <c r="GQ103" s="2"/>
      <c r="GR103" s="2">
        <v>0</v>
      </c>
      <c r="GS103" s="2">
        <v>2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56</v>
      </c>
      <c r="HF103" s="2" t="s">
        <v>36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3">
      <c r="A104" s="3">
        <v>18</v>
      </c>
      <c r="B104" s="3">
        <v>1</v>
      </c>
      <c r="C104" s="3"/>
      <c r="D104" s="3"/>
      <c r="E104" s="3" t="s">
        <v>153</v>
      </c>
      <c r="F104" s="3" t="s">
        <v>50</v>
      </c>
      <c r="G104" s="3" t="s">
        <v>51</v>
      </c>
      <c r="H104" s="3" t="s">
        <v>32</v>
      </c>
      <c r="I104" s="3">
        <f>I102*J104</f>
        <v>7</v>
      </c>
      <c r="J104" s="3">
        <v>0.25</v>
      </c>
      <c r="K104" s="3">
        <v>0.25</v>
      </c>
      <c r="L104" s="3"/>
      <c r="M104" s="3"/>
      <c r="N104" s="3"/>
      <c r="O104" s="3">
        <f t="shared" si="76"/>
        <v>172282.67</v>
      </c>
      <c r="P104" s="3">
        <f>ROUND((ROUND((AC104*I104),2)*BC104),2)</f>
        <v>172282.67</v>
      </c>
      <c r="Q104" s="3">
        <f t="shared" si="115"/>
        <v>0</v>
      </c>
      <c r="R104" s="3">
        <f t="shared" si="78"/>
        <v>0</v>
      </c>
      <c r="S104" s="3">
        <f t="shared" si="79"/>
        <v>0</v>
      </c>
      <c r="T104" s="3">
        <f t="shared" si="80"/>
        <v>0</v>
      </c>
      <c r="U104" s="3">
        <f t="shared" si="81"/>
        <v>0</v>
      </c>
      <c r="V104" s="3">
        <f t="shared" si="82"/>
        <v>0</v>
      </c>
      <c r="W104" s="3">
        <f t="shared" si="83"/>
        <v>0</v>
      </c>
      <c r="X104" s="3">
        <f t="shared" si="84"/>
        <v>0</v>
      </c>
      <c r="Y104" s="3">
        <f t="shared" si="85"/>
        <v>0</v>
      </c>
      <c r="Z104" s="3"/>
      <c r="AA104" s="3">
        <v>56505405</v>
      </c>
      <c r="AB104" s="3">
        <f t="shared" si="86"/>
        <v>3213.03</v>
      </c>
      <c r="AC104" s="3">
        <f t="shared" si="87"/>
        <v>3213.03</v>
      </c>
      <c r="AD104" s="3">
        <f t="shared" si="116"/>
        <v>0</v>
      </c>
      <c r="AE104" s="3">
        <f t="shared" si="117"/>
        <v>0</v>
      </c>
      <c r="AF104" s="3">
        <f t="shared" si="117"/>
        <v>0</v>
      </c>
      <c r="AG104" s="3">
        <f t="shared" si="88"/>
        <v>0</v>
      </c>
      <c r="AH104" s="3">
        <f t="shared" si="118"/>
        <v>0</v>
      </c>
      <c r="AI104" s="3">
        <f t="shared" si="118"/>
        <v>0</v>
      </c>
      <c r="AJ104" s="3">
        <f t="shared" si="89"/>
        <v>0</v>
      </c>
      <c r="AK104" s="3">
        <v>3213.0299999999997</v>
      </c>
      <c r="AL104" s="3">
        <v>3213.0299999999997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X104" s="3"/>
      <c r="AY104" s="3"/>
      <c r="AZ104" s="3">
        <v>1</v>
      </c>
      <c r="BA104" s="3">
        <v>1</v>
      </c>
      <c r="BB104" s="3">
        <v>1</v>
      </c>
      <c r="BC104" s="3">
        <v>7.66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3</v>
      </c>
      <c r="BK104" s="3"/>
      <c r="BL104" s="3"/>
      <c r="BM104" s="3">
        <v>746</v>
      </c>
      <c r="BN104" s="3">
        <v>0</v>
      </c>
      <c r="BO104" s="3" t="s">
        <v>3</v>
      </c>
      <c r="BP104" s="3">
        <v>0</v>
      </c>
      <c r="BQ104" s="3">
        <v>130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90</v>
      </c>
      <c r="CA104" s="3">
        <v>46</v>
      </c>
      <c r="CB104" s="3" t="s">
        <v>3</v>
      </c>
      <c r="CC104" s="3"/>
      <c r="CD104" s="3"/>
      <c r="CE104" s="3">
        <v>30</v>
      </c>
      <c r="CF104" s="3">
        <v>0</v>
      </c>
      <c r="CG104" s="3">
        <v>0</v>
      </c>
      <c r="CH104" s="3"/>
      <c r="CI104" s="3"/>
      <c r="CJ104" s="3"/>
      <c r="CK104" s="3"/>
      <c r="CL104" s="3"/>
      <c r="CM104" s="3">
        <v>0</v>
      </c>
      <c r="CN104" s="3" t="s">
        <v>3</v>
      </c>
      <c r="CO104" s="3">
        <v>0</v>
      </c>
      <c r="CP104" s="3">
        <f t="shared" si="90"/>
        <v>172282.67</v>
      </c>
      <c r="CQ104" s="3">
        <f>ROUND((ROUND((AC104*1),2)*BC104),2)</f>
        <v>24611.81</v>
      </c>
      <c r="CR104" s="3">
        <f t="shared" si="119"/>
        <v>0</v>
      </c>
      <c r="CS104" s="3">
        <f t="shared" si="92"/>
        <v>0</v>
      </c>
      <c r="CT104" s="3">
        <f t="shared" si="93"/>
        <v>0</v>
      </c>
      <c r="CU104" s="3">
        <f t="shared" si="94"/>
        <v>0</v>
      </c>
      <c r="CV104" s="3">
        <f t="shared" si="95"/>
        <v>0</v>
      </c>
      <c r="CW104" s="3">
        <f t="shared" si="96"/>
        <v>0</v>
      </c>
      <c r="CX104" s="3">
        <f t="shared" si="97"/>
        <v>0</v>
      </c>
      <c r="CY104" s="3">
        <f t="shared" si="98"/>
        <v>0</v>
      </c>
      <c r="CZ104" s="3">
        <f t="shared" si="99"/>
        <v>0</v>
      </c>
      <c r="DA104" s="3"/>
      <c r="DB104" s="3"/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R104" s="3"/>
      <c r="DS104" s="3"/>
      <c r="DT104" s="3"/>
      <c r="DU104" s="3">
        <v>1010</v>
      </c>
      <c r="DV104" s="3" t="s">
        <v>32</v>
      </c>
      <c r="DW104" s="3" t="s">
        <v>32</v>
      </c>
      <c r="DX104" s="3">
        <v>1</v>
      </c>
      <c r="DY104" s="3"/>
      <c r="DZ104" s="3" t="s">
        <v>3</v>
      </c>
      <c r="EA104" s="3" t="s">
        <v>3</v>
      </c>
      <c r="EB104" s="3" t="s">
        <v>3</v>
      </c>
      <c r="EC104" s="3" t="s">
        <v>3</v>
      </c>
      <c r="ED104" s="3"/>
      <c r="EE104" s="3">
        <v>58162750</v>
      </c>
      <c r="EF104" s="3">
        <v>130</v>
      </c>
      <c r="EG104" s="3" t="s">
        <v>52</v>
      </c>
      <c r="EH104" s="3">
        <v>0</v>
      </c>
      <c r="EI104" s="3" t="s">
        <v>3</v>
      </c>
      <c r="EJ104" s="3">
        <v>3</v>
      </c>
      <c r="EK104" s="3">
        <v>746</v>
      </c>
      <c r="EL104" s="3" t="s">
        <v>53</v>
      </c>
      <c r="EM104" s="3" t="s">
        <v>54</v>
      </c>
      <c r="EN104" s="3"/>
      <c r="EO104" s="3" t="s">
        <v>3</v>
      </c>
      <c r="EP104" s="3"/>
      <c r="EQ104" s="3">
        <v>0</v>
      </c>
      <c r="ER104" s="3">
        <v>2437.6400000000003</v>
      </c>
      <c r="ES104" s="3">
        <v>3213.0299999999997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/>
      <c r="EZ104" s="3">
        <v>5</v>
      </c>
      <c r="FA104" s="3"/>
      <c r="FB104" s="3"/>
      <c r="FC104" s="3">
        <v>1</v>
      </c>
      <c r="FD104" s="3">
        <v>18</v>
      </c>
      <c r="FE104" s="3"/>
      <c r="FF104" s="3">
        <v>28334</v>
      </c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>
        <v>0</v>
      </c>
      <c r="FR104" s="3">
        <f>P104</f>
        <v>172282.67</v>
      </c>
      <c r="FS104" s="3">
        <v>0</v>
      </c>
      <c r="FT104" s="3"/>
      <c r="FU104" s="3"/>
      <c r="FV104" s="3"/>
      <c r="FW104" s="3"/>
      <c r="FX104" s="3">
        <v>90</v>
      </c>
      <c r="FY104" s="3">
        <v>46</v>
      </c>
      <c r="FZ104" s="3"/>
      <c r="GA104" s="3" t="s">
        <v>55</v>
      </c>
      <c r="GB104" s="3"/>
      <c r="GC104" s="3"/>
      <c r="GD104" s="3">
        <v>1</v>
      </c>
      <c r="GE104" s="3"/>
      <c r="GF104" s="3">
        <v>174995452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0"/>
        <v>0</v>
      </c>
      <c r="GM104" s="3">
        <f t="shared" si="101"/>
        <v>172282.67</v>
      </c>
      <c r="GN104" s="3">
        <f t="shared" si="102"/>
        <v>0</v>
      </c>
      <c r="GO104" s="3">
        <f t="shared" si="103"/>
        <v>0</v>
      </c>
      <c r="GP104" s="3">
        <f t="shared" si="104"/>
        <v>0</v>
      </c>
      <c r="GQ104" s="3"/>
      <c r="GR104" s="3">
        <v>1</v>
      </c>
      <c r="GS104" s="3">
        <v>1</v>
      </c>
      <c r="GT104" s="3">
        <v>0</v>
      </c>
      <c r="GU104" s="3" t="s">
        <v>3</v>
      </c>
      <c r="GV104" s="3">
        <f t="shared" si="105"/>
        <v>0</v>
      </c>
      <c r="GW104" s="3">
        <v>1</v>
      </c>
      <c r="GX104" s="3">
        <f t="shared" si="106"/>
        <v>0</v>
      </c>
      <c r="GY104" s="3"/>
      <c r="GZ104" s="3"/>
      <c r="HA104" s="3">
        <v>0</v>
      </c>
      <c r="HB104" s="3">
        <v>0</v>
      </c>
      <c r="HC104" s="3">
        <f t="shared" si="107"/>
        <v>0</v>
      </c>
      <c r="HD104" s="3"/>
      <c r="HE104" s="3" t="s">
        <v>56</v>
      </c>
      <c r="HF104" s="3" t="s">
        <v>36</v>
      </c>
      <c r="HG104" s="3"/>
      <c r="HH104" s="3"/>
      <c r="HI104" s="3"/>
      <c r="HJ104" s="3"/>
      <c r="HK104" s="3"/>
      <c r="HL104" s="3"/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R104" s="3"/>
      <c r="HS104" s="3">
        <v>0</v>
      </c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>
        <v>0</v>
      </c>
      <c r="IL104" s="3"/>
      <c r="IM104" s="3"/>
      <c r="IN104" s="3"/>
      <c r="IO104" s="3"/>
      <c r="IP104" s="3"/>
      <c r="IQ104" s="3"/>
      <c r="IR104" s="3"/>
      <c r="IS104" s="3"/>
      <c r="IT104" s="3"/>
      <c r="IU104" s="3"/>
    </row>
    <row r="105" spans="1:255" x14ac:dyDescent="0.3">
      <c r="A105" s="2">
        <v>18</v>
      </c>
      <c r="B105" s="2">
        <v>1</v>
      </c>
      <c r="C105" s="2"/>
      <c r="D105" s="2"/>
      <c r="E105" s="2" t="s">
        <v>154</v>
      </c>
      <c r="F105" s="2" t="s">
        <v>58</v>
      </c>
      <c r="G105" s="2" t="s">
        <v>59</v>
      </c>
      <c r="H105" s="2" t="s">
        <v>32</v>
      </c>
      <c r="I105" s="2">
        <f>I101*J105</f>
        <v>7</v>
      </c>
      <c r="J105" s="2">
        <v>0.25</v>
      </c>
      <c r="K105" s="2">
        <v>0.25</v>
      </c>
      <c r="L105" s="2"/>
      <c r="M105" s="2"/>
      <c r="N105" s="2"/>
      <c r="O105" s="2">
        <f t="shared" si="76"/>
        <v>3872.33</v>
      </c>
      <c r="P105" s="2">
        <f t="shared" ref="P105:P110" si="120">ROUND((ROUND((AC105*AW105*I105),2)*BC105),2)</f>
        <v>3872.33</v>
      </c>
      <c r="Q105" s="2">
        <f t="shared" si="115"/>
        <v>0</v>
      </c>
      <c r="R105" s="2">
        <f t="shared" si="78"/>
        <v>0</v>
      </c>
      <c r="S105" s="2">
        <f t="shared" si="79"/>
        <v>0</v>
      </c>
      <c r="T105" s="2">
        <f t="shared" si="80"/>
        <v>0</v>
      </c>
      <c r="U105" s="2">
        <f t="shared" si="81"/>
        <v>0</v>
      </c>
      <c r="V105" s="2">
        <f t="shared" si="82"/>
        <v>0</v>
      </c>
      <c r="W105" s="2">
        <f t="shared" si="83"/>
        <v>0</v>
      </c>
      <c r="X105" s="2">
        <f t="shared" si="84"/>
        <v>0</v>
      </c>
      <c r="Y105" s="2">
        <f t="shared" si="85"/>
        <v>0</v>
      </c>
      <c r="Z105" s="2"/>
      <c r="AA105" s="2">
        <v>56505403</v>
      </c>
      <c r="AB105" s="2">
        <f t="shared" si="86"/>
        <v>553.19000000000005</v>
      </c>
      <c r="AC105" s="2">
        <f t="shared" si="87"/>
        <v>553.19000000000005</v>
      </c>
      <c r="AD105" s="2">
        <f t="shared" si="116"/>
        <v>0</v>
      </c>
      <c r="AE105" s="2">
        <f t="shared" si="117"/>
        <v>0</v>
      </c>
      <c r="AF105" s="2">
        <f t="shared" si="117"/>
        <v>0</v>
      </c>
      <c r="AG105" s="2">
        <f t="shared" si="88"/>
        <v>0</v>
      </c>
      <c r="AH105" s="2">
        <f t="shared" si="118"/>
        <v>0</v>
      </c>
      <c r="AI105" s="2">
        <f t="shared" si="118"/>
        <v>0</v>
      </c>
      <c r="AJ105" s="2">
        <f t="shared" si="89"/>
        <v>0</v>
      </c>
      <c r="AK105" s="2">
        <v>553.19000000000005</v>
      </c>
      <c r="AL105" s="2">
        <v>553.19000000000005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90</v>
      </c>
      <c r="AU105" s="2">
        <v>46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3</v>
      </c>
      <c r="BK105" s="2"/>
      <c r="BL105" s="2"/>
      <c r="BM105" s="2">
        <v>72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90"/>
        <v>3872.33</v>
      </c>
      <c r="CQ105" s="2">
        <f t="shared" ref="CQ105:CQ110" si="121">ROUND((ROUND((AC105*AW105*1),2)*BC105),2)</f>
        <v>553.19000000000005</v>
      </c>
      <c r="CR105" s="2">
        <f t="shared" si="119"/>
        <v>0</v>
      </c>
      <c r="CS105" s="2">
        <f t="shared" si="92"/>
        <v>0</v>
      </c>
      <c r="CT105" s="2">
        <f t="shared" si="93"/>
        <v>0</v>
      </c>
      <c r="CU105" s="2">
        <f t="shared" si="94"/>
        <v>0</v>
      </c>
      <c r="CV105" s="2">
        <f t="shared" si="95"/>
        <v>0</v>
      </c>
      <c r="CW105" s="2">
        <f t="shared" si="96"/>
        <v>0</v>
      </c>
      <c r="CX105" s="2">
        <f t="shared" si="97"/>
        <v>0</v>
      </c>
      <c r="CY105" s="2">
        <f t="shared" si="98"/>
        <v>0</v>
      </c>
      <c r="CZ105" s="2">
        <f t="shared" si="99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32</v>
      </c>
      <c r="DW105" s="2" t="s">
        <v>32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58162634</v>
      </c>
      <c r="EF105" s="2">
        <v>40</v>
      </c>
      <c r="EG105" s="2" t="s">
        <v>25</v>
      </c>
      <c r="EH105" s="2">
        <v>0</v>
      </c>
      <c r="EI105" s="2" t="s">
        <v>3</v>
      </c>
      <c r="EJ105" s="2">
        <v>2</v>
      </c>
      <c r="EK105" s="2">
        <v>72</v>
      </c>
      <c r="EL105" s="2" t="s">
        <v>47</v>
      </c>
      <c r="EM105" s="2" t="s">
        <v>48</v>
      </c>
      <c r="EN105" s="2"/>
      <c r="EO105" s="2" t="s">
        <v>3</v>
      </c>
      <c r="EP105" s="2"/>
      <c r="EQ105" s="2">
        <v>0</v>
      </c>
      <c r="ER105" s="2">
        <v>0</v>
      </c>
      <c r="ES105" s="2">
        <v>553.19000000000005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60</v>
      </c>
      <c r="GB105" s="2"/>
      <c r="GC105" s="2"/>
      <c r="GD105" s="2">
        <v>1</v>
      </c>
      <c r="GE105" s="2"/>
      <c r="GF105" s="2">
        <v>1122354003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3872.33</v>
      </c>
      <c r="GN105" s="2">
        <f t="shared" si="102"/>
        <v>0</v>
      </c>
      <c r="GO105" s="2">
        <f t="shared" si="103"/>
        <v>3872.33</v>
      </c>
      <c r="GP105" s="2">
        <f t="shared" si="104"/>
        <v>0</v>
      </c>
      <c r="GQ105" s="2"/>
      <c r="GR105" s="2">
        <v>0</v>
      </c>
      <c r="GS105" s="2">
        <v>2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34</v>
      </c>
      <c r="HF105" s="2" t="s">
        <v>35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3">
      <c r="A106" s="3">
        <v>18</v>
      </c>
      <c r="B106" s="3">
        <v>1</v>
      </c>
      <c r="C106" s="3"/>
      <c r="D106" s="3"/>
      <c r="E106" s="3" t="s">
        <v>154</v>
      </c>
      <c r="F106" s="3" t="s">
        <v>58</v>
      </c>
      <c r="G106" s="3" t="s">
        <v>59</v>
      </c>
      <c r="H106" s="3" t="s">
        <v>32</v>
      </c>
      <c r="I106" s="3">
        <f>I102*J106</f>
        <v>7</v>
      </c>
      <c r="J106" s="3">
        <v>0.25</v>
      </c>
      <c r="K106" s="3">
        <v>0.25</v>
      </c>
      <c r="L106" s="3"/>
      <c r="M106" s="3"/>
      <c r="N106" s="3"/>
      <c r="O106" s="3">
        <f t="shared" si="76"/>
        <v>38258.620000000003</v>
      </c>
      <c r="P106" s="3">
        <f t="shared" si="120"/>
        <v>38258.620000000003</v>
      </c>
      <c r="Q106" s="3">
        <f t="shared" si="115"/>
        <v>0</v>
      </c>
      <c r="R106" s="3">
        <f t="shared" si="78"/>
        <v>0</v>
      </c>
      <c r="S106" s="3">
        <f t="shared" si="79"/>
        <v>0</v>
      </c>
      <c r="T106" s="3">
        <f t="shared" si="80"/>
        <v>0</v>
      </c>
      <c r="U106" s="3">
        <f t="shared" si="81"/>
        <v>0</v>
      </c>
      <c r="V106" s="3">
        <f t="shared" si="82"/>
        <v>0</v>
      </c>
      <c r="W106" s="3">
        <f t="shared" si="83"/>
        <v>0</v>
      </c>
      <c r="X106" s="3">
        <f t="shared" si="84"/>
        <v>0</v>
      </c>
      <c r="Y106" s="3">
        <f t="shared" si="85"/>
        <v>0</v>
      </c>
      <c r="Z106" s="3"/>
      <c r="AA106" s="3">
        <v>56505405</v>
      </c>
      <c r="AB106" s="3">
        <f t="shared" si="86"/>
        <v>553.19000000000005</v>
      </c>
      <c r="AC106" s="3">
        <f t="shared" si="87"/>
        <v>553.19000000000005</v>
      </c>
      <c r="AD106" s="3">
        <f t="shared" si="116"/>
        <v>0</v>
      </c>
      <c r="AE106" s="3">
        <f t="shared" si="117"/>
        <v>0</v>
      </c>
      <c r="AF106" s="3">
        <f t="shared" si="117"/>
        <v>0</v>
      </c>
      <c r="AG106" s="3">
        <f t="shared" si="88"/>
        <v>0</v>
      </c>
      <c r="AH106" s="3">
        <f t="shared" si="118"/>
        <v>0</v>
      </c>
      <c r="AI106" s="3">
        <f t="shared" si="118"/>
        <v>0</v>
      </c>
      <c r="AJ106" s="3">
        <f t="shared" si="89"/>
        <v>0</v>
      </c>
      <c r="AK106" s="3">
        <v>553.19000000000005</v>
      </c>
      <c r="AL106" s="3">
        <v>553.19000000000005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90</v>
      </c>
      <c r="AU106" s="3">
        <v>46</v>
      </c>
      <c r="AV106" s="3">
        <v>1</v>
      </c>
      <c r="AW106" s="3">
        <v>1</v>
      </c>
      <c r="AX106" s="3"/>
      <c r="AY106" s="3"/>
      <c r="AZ106" s="3">
        <v>1</v>
      </c>
      <c r="BA106" s="3">
        <v>1</v>
      </c>
      <c r="BB106" s="3">
        <v>1</v>
      </c>
      <c r="BC106" s="3">
        <v>9.8800000000000008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3</v>
      </c>
      <c r="BI106" s="3">
        <v>2</v>
      </c>
      <c r="BJ106" s="3" t="s">
        <v>3</v>
      </c>
      <c r="BK106" s="3"/>
      <c r="BL106" s="3"/>
      <c r="BM106" s="3">
        <v>72</v>
      </c>
      <c r="BN106" s="3">
        <v>0</v>
      </c>
      <c r="BO106" s="3" t="s">
        <v>3</v>
      </c>
      <c r="BP106" s="3">
        <v>0</v>
      </c>
      <c r="BQ106" s="3">
        <v>40</v>
      </c>
      <c r="BR106" s="3">
        <v>0</v>
      </c>
      <c r="BS106" s="3">
        <v>1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C106" s="3"/>
      <c r="CD106" s="3"/>
      <c r="CE106" s="3">
        <v>30</v>
      </c>
      <c r="CF106" s="3">
        <v>0</v>
      </c>
      <c r="CG106" s="3">
        <v>0</v>
      </c>
      <c r="CH106" s="3"/>
      <c r="CI106" s="3"/>
      <c r="CJ106" s="3"/>
      <c r="CK106" s="3"/>
      <c r="CL106" s="3"/>
      <c r="CM106" s="3">
        <v>0</v>
      </c>
      <c r="CN106" s="3" t="s">
        <v>3</v>
      </c>
      <c r="CO106" s="3">
        <v>0</v>
      </c>
      <c r="CP106" s="3">
        <f t="shared" si="90"/>
        <v>38258.620000000003</v>
      </c>
      <c r="CQ106" s="3">
        <f t="shared" si="121"/>
        <v>5465.52</v>
      </c>
      <c r="CR106" s="3">
        <f t="shared" si="119"/>
        <v>0</v>
      </c>
      <c r="CS106" s="3">
        <f t="shared" si="92"/>
        <v>0</v>
      </c>
      <c r="CT106" s="3">
        <f t="shared" si="93"/>
        <v>0</v>
      </c>
      <c r="CU106" s="3">
        <f t="shared" si="94"/>
        <v>0</v>
      </c>
      <c r="CV106" s="3">
        <f t="shared" si="95"/>
        <v>0</v>
      </c>
      <c r="CW106" s="3">
        <f t="shared" si="96"/>
        <v>0</v>
      </c>
      <c r="CX106" s="3">
        <f t="shared" si="97"/>
        <v>0</v>
      </c>
      <c r="CY106" s="3">
        <f t="shared" si="98"/>
        <v>0</v>
      </c>
      <c r="CZ106" s="3">
        <f t="shared" si="99"/>
        <v>0</v>
      </c>
      <c r="DA106" s="3"/>
      <c r="DB106" s="3"/>
      <c r="DC106" s="3" t="s">
        <v>3</v>
      </c>
      <c r="DD106" s="3" t="s">
        <v>3</v>
      </c>
      <c r="DE106" s="3" t="s">
        <v>3</v>
      </c>
      <c r="DF106" s="3" t="s">
        <v>3</v>
      </c>
      <c r="DG106" s="3" t="s">
        <v>3</v>
      </c>
      <c r="DH106" s="3" t="s">
        <v>3</v>
      </c>
      <c r="DI106" s="3" t="s">
        <v>3</v>
      </c>
      <c r="DJ106" s="3" t="s">
        <v>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R106" s="3"/>
      <c r="DS106" s="3"/>
      <c r="DT106" s="3"/>
      <c r="DU106" s="3">
        <v>1010</v>
      </c>
      <c r="DV106" s="3" t="s">
        <v>32</v>
      </c>
      <c r="DW106" s="3" t="s">
        <v>32</v>
      </c>
      <c r="DX106" s="3">
        <v>1</v>
      </c>
      <c r="DY106" s="3"/>
      <c r="DZ106" s="3" t="s">
        <v>3</v>
      </c>
      <c r="EA106" s="3" t="s">
        <v>3</v>
      </c>
      <c r="EB106" s="3" t="s">
        <v>3</v>
      </c>
      <c r="EC106" s="3" t="s">
        <v>3</v>
      </c>
      <c r="ED106" s="3"/>
      <c r="EE106" s="3">
        <v>58162634</v>
      </c>
      <c r="EF106" s="3">
        <v>40</v>
      </c>
      <c r="EG106" s="3" t="s">
        <v>25</v>
      </c>
      <c r="EH106" s="3">
        <v>0</v>
      </c>
      <c r="EI106" s="3" t="s">
        <v>3</v>
      </c>
      <c r="EJ106" s="3">
        <v>2</v>
      </c>
      <c r="EK106" s="3">
        <v>72</v>
      </c>
      <c r="EL106" s="3" t="s">
        <v>47</v>
      </c>
      <c r="EM106" s="3" t="s">
        <v>48</v>
      </c>
      <c r="EN106" s="3"/>
      <c r="EO106" s="3" t="s">
        <v>3</v>
      </c>
      <c r="EP106" s="3"/>
      <c r="EQ106" s="3">
        <v>0</v>
      </c>
      <c r="ER106" s="3">
        <v>553.19000000000005</v>
      </c>
      <c r="ES106" s="3">
        <v>553.19000000000005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/>
      <c r="EZ106" s="3">
        <v>5</v>
      </c>
      <c r="FA106" s="3"/>
      <c r="FB106" s="3"/>
      <c r="FC106" s="3">
        <v>1</v>
      </c>
      <c r="FD106" s="3">
        <v>18</v>
      </c>
      <c r="FE106" s="3"/>
      <c r="FF106" s="3">
        <v>6430</v>
      </c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>
        <v>0</v>
      </c>
      <c r="FR106" s="3">
        <v>0</v>
      </c>
      <c r="FS106" s="3">
        <v>0</v>
      </c>
      <c r="FT106" s="3"/>
      <c r="FU106" s="3"/>
      <c r="FV106" s="3"/>
      <c r="FW106" s="3"/>
      <c r="FX106" s="3">
        <v>90</v>
      </c>
      <c r="FY106" s="3">
        <v>46</v>
      </c>
      <c r="FZ106" s="3"/>
      <c r="GA106" s="3" t="s">
        <v>60</v>
      </c>
      <c r="GB106" s="3"/>
      <c r="GC106" s="3"/>
      <c r="GD106" s="3">
        <v>1</v>
      </c>
      <c r="GE106" s="3"/>
      <c r="GF106" s="3">
        <v>1122354003</v>
      </c>
      <c r="GG106" s="3">
        <v>2</v>
      </c>
      <c r="GH106" s="3">
        <v>3</v>
      </c>
      <c r="GI106" s="3">
        <v>5</v>
      </c>
      <c r="GJ106" s="3">
        <v>0</v>
      </c>
      <c r="GK106" s="3">
        <v>0</v>
      </c>
      <c r="GL106" s="3">
        <f t="shared" si="100"/>
        <v>0</v>
      </c>
      <c r="GM106" s="3">
        <f t="shared" si="101"/>
        <v>38258.620000000003</v>
      </c>
      <c r="GN106" s="3">
        <f t="shared" si="102"/>
        <v>0</v>
      </c>
      <c r="GO106" s="3">
        <f t="shared" si="103"/>
        <v>38258.620000000003</v>
      </c>
      <c r="GP106" s="3">
        <f t="shared" si="104"/>
        <v>0</v>
      </c>
      <c r="GQ106" s="3"/>
      <c r="GR106" s="3">
        <v>1</v>
      </c>
      <c r="GS106" s="3">
        <v>1</v>
      </c>
      <c r="GT106" s="3">
        <v>0</v>
      </c>
      <c r="GU106" s="3" t="s">
        <v>3</v>
      </c>
      <c r="GV106" s="3">
        <f t="shared" si="105"/>
        <v>0</v>
      </c>
      <c r="GW106" s="3">
        <v>1</v>
      </c>
      <c r="GX106" s="3">
        <f t="shared" si="106"/>
        <v>0</v>
      </c>
      <c r="GY106" s="3"/>
      <c r="GZ106" s="3"/>
      <c r="HA106" s="3">
        <v>0</v>
      </c>
      <c r="HB106" s="3">
        <v>0</v>
      </c>
      <c r="HC106" s="3">
        <f t="shared" si="107"/>
        <v>0</v>
      </c>
      <c r="HD106" s="3"/>
      <c r="HE106" s="3" t="s">
        <v>34</v>
      </c>
      <c r="HF106" s="3" t="s">
        <v>35</v>
      </c>
      <c r="HG106" s="3"/>
      <c r="HH106" s="3"/>
      <c r="HI106" s="3"/>
      <c r="HJ106" s="3"/>
      <c r="HK106" s="3"/>
      <c r="HL106" s="3"/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R106" s="3"/>
      <c r="HS106" s="3">
        <v>0</v>
      </c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>
        <v>0</v>
      </c>
      <c r="IL106" s="3"/>
      <c r="IM106" s="3"/>
      <c r="IN106" s="3"/>
      <c r="IO106" s="3"/>
      <c r="IP106" s="3"/>
      <c r="IQ106" s="3"/>
      <c r="IR106" s="3"/>
      <c r="IS106" s="3"/>
      <c r="IT106" s="3"/>
      <c r="IU106" s="3"/>
    </row>
    <row r="107" spans="1:255" x14ac:dyDescent="0.3">
      <c r="A107" s="2">
        <v>18</v>
      </c>
      <c r="B107" s="2">
        <v>1</v>
      </c>
      <c r="C107" s="2"/>
      <c r="D107" s="2"/>
      <c r="E107" s="2" t="s">
        <v>155</v>
      </c>
      <c r="F107" s="2" t="s">
        <v>62</v>
      </c>
      <c r="G107" s="2" t="s">
        <v>63</v>
      </c>
      <c r="H107" s="2" t="s">
        <v>32</v>
      </c>
      <c r="I107" s="2">
        <f>I101*J107</f>
        <v>7</v>
      </c>
      <c r="J107" s="2">
        <v>0.25</v>
      </c>
      <c r="K107" s="2">
        <v>0.25</v>
      </c>
      <c r="L107" s="2"/>
      <c r="M107" s="2"/>
      <c r="N107" s="2"/>
      <c r="O107" s="2">
        <f t="shared" si="76"/>
        <v>2670.29</v>
      </c>
      <c r="P107" s="2">
        <f t="shared" si="120"/>
        <v>2670.29</v>
      </c>
      <c r="Q107" s="2">
        <f t="shared" si="115"/>
        <v>0</v>
      </c>
      <c r="R107" s="2">
        <f t="shared" si="78"/>
        <v>0</v>
      </c>
      <c r="S107" s="2">
        <f t="shared" si="79"/>
        <v>0</v>
      </c>
      <c r="T107" s="2">
        <f t="shared" si="80"/>
        <v>0</v>
      </c>
      <c r="U107" s="2">
        <f t="shared" si="81"/>
        <v>0</v>
      </c>
      <c r="V107" s="2">
        <f t="shared" si="82"/>
        <v>0</v>
      </c>
      <c r="W107" s="2">
        <f t="shared" si="83"/>
        <v>0</v>
      </c>
      <c r="X107" s="2">
        <f t="shared" si="84"/>
        <v>0</v>
      </c>
      <c r="Y107" s="2">
        <f t="shared" si="85"/>
        <v>0</v>
      </c>
      <c r="Z107" s="2"/>
      <c r="AA107" s="2">
        <v>56505403</v>
      </c>
      <c r="AB107" s="2">
        <f t="shared" si="86"/>
        <v>381.47</v>
      </c>
      <c r="AC107" s="2">
        <f t="shared" si="87"/>
        <v>381.47</v>
      </c>
      <c r="AD107" s="2">
        <f t="shared" si="116"/>
        <v>0</v>
      </c>
      <c r="AE107" s="2">
        <f t="shared" si="117"/>
        <v>0</v>
      </c>
      <c r="AF107" s="2">
        <f t="shared" si="117"/>
        <v>0</v>
      </c>
      <c r="AG107" s="2">
        <f t="shared" si="88"/>
        <v>0</v>
      </c>
      <c r="AH107" s="2">
        <f t="shared" si="118"/>
        <v>0</v>
      </c>
      <c r="AI107" s="2">
        <f t="shared" si="118"/>
        <v>0</v>
      </c>
      <c r="AJ107" s="2">
        <f t="shared" si="89"/>
        <v>0</v>
      </c>
      <c r="AK107" s="2">
        <v>381.47</v>
      </c>
      <c r="AL107" s="2">
        <v>381.47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90</v>
      </c>
      <c r="AU107" s="2">
        <v>46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2</v>
      </c>
      <c r="BJ107" s="2" t="s">
        <v>3</v>
      </c>
      <c r="BK107" s="2"/>
      <c r="BL107" s="2"/>
      <c r="BM107" s="2">
        <v>72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90"/>
        <v>2670.29</v>
      </c>
      <c r="CQ107" s="2">
        <f t="shared" si="121"/>
        <v>381.47</v>
      </c>
      <c r="CR107" s="2">
        <f t="shared" si="119"/>
        <v>0</v>
      </c>
      <c r="CS107" s="2">
        <f t="shared" si="92"/>
        <v>0</v>
      </c>
      <c r="CT107" s="2">
        <f t="shared" si="93"/>
        <v>0</v>
      </c>
      <c r="CU107" s="2">
        <f t="shared" si="94"/>
        <v>0</v>
      </c>
      <c r="CV107" s="2">
        <f t="shared" si="95"/>
        <v>0</v>
      </c>
      <c r="CW107" s="2">
        <f t="shared" si="96"/>
        <v>0</v>
      </c>
      <c r="CX107" s="2">
        <f t="shared" si="97"/>
        <v>0</v>
      </c>
      <c r="CY107" s="2">
        <f t="shared" si="98"/>
        <v>0</v>
      </c>
      <c r="CZ107" s="2">
        <f t="shared" si="99"/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1010</v>
      </c>
      <c r="DV107" s="2" t="s">
        <v>32</v>
      </c>
      <c r="DW107" s="2" t="s">
        <v>32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58162634</v>
      </c>
      <c r="EF107" s="2">
        <v>40</v>
      </c>
      <c r="EG107" s="2" t="s">
        <v>25</v>
      </c>
      <c r="EH107" s="2">
        <v>0</v>
      </c>
      <c r="EI107" s="2" t="s">
        <v>3</v>
      </c>
      <c r="EJ107" s="2">
        <v>2</v>
      </c>
      <c r="EK107" s="2">
        <v>72</v>
      </c>
      <c r="EL107" s="2" t="s">
        <v>47</v>
      </c>
      <c r="EM107" s="2" t="s">
        <v>48</v>
      </c>
      <c r="EN107" s="2"/>
      <c r="EO107" s="2" t="s">
        <v>3</v>
      </c>
      <c r="EP107" s="2"/>
      <c r="EQ107" s="2">
        <v>0</v>
      </c>
      <c r="ER107" s="2">
        <v>0</v>
      </c>
      <c r="ES107" s="2">
        <v>381.47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64</v>
      </c>
      <c r="GB107" s="2"/>
      <c r="GC107" s="2"/>
      <c r="GD107" s="2">
        <v>1</v>
      </c>
      <c r="GE107" s="2"/>
      <c r="GF107" s="2">
        <v>-1998996946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2670.29</v>
      </c>
      <c r="GN107" s="2">
        <f t="shared" si="102"/>
        <v>0</v>
      </c>
      <c r="GO107" s="2">
        <f t="shared" si="103"/>
        <v>2670.29</v>
      </c>
      <c r="GP107" s="2">
        <f t="shared" si="104"/>
        <v>0</v>
      </c>
      <c r="GQ107" s="2"/>
      <c r="GR107" s="2">
        <v>0</v>
      </c>
      <c r="GS107" s="2">
        <v>2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34</v>
      </c>
      <c r="HF107" s="2" t="s">
        <v>35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3">
      <c r="A108" s="3">
        <v>18</v>
      </c>
      <c r="B108" s="3">
        <v>1</v>
      </c>
      <c r="C108" s="3"/>
      <c r="D108" s="3"/>
      <c r="E108" s="3" t="s">
        <v>155</v>
      </c>
      <c r="F108" s="3" t="s">
        <v>62</v>
      </c>
      <c r="G108" s="3" t="s">
        <v>63</v>
      </c>
      <c r="H108" s="3" t="s">
        <v>32</v>
      </c>
      <c r="I108" s="3">
        <f>I102*J108</f>
        <v>7</v>
      </c>
      <c r="J108" s="3">
        <v>0.25</v>
      </c>
      <c r="K108" s="3">
        <v>0.25</v>
      </c>
      <c r="L108" s="3"/>
      <c r="M108" s="3"/>
      <c r="N108" s="3"/>
      <c r="O108" s="3">
        <f t="shared" si="76"/>
        <v>26382.47</v>
      </c>
      <c r="P108" s="3">
        <f t="shared" si="120"/>
        <v>26382.47</v>
      </c>
      <c r="Q108" s="3">
        <f t="shared" si="115"/>
        <v>0</v>
      </c>
      <c r="R108" s="3">
        <f t="shared" si="78"/>
        <v>0</v>
      </c>
      <c r="S108" s="3">
        <f t="shared" si="79"/>
        <v>0</v>
      </c>
      <c r="T108" s="3">
        <f t="shared" si="80"/>
        <v>0</v>
      </c>
      <c r="U108" s="3">
        <f t="shared" si="81"/>
        <v>0</v>
      </c>
      <c r="V108" s="3">
        <f t="shared" si="82"/>
        <v>0</v>
      </c>
      <c r="W108" s="3">
        <f t="shared" si="83"/>
        <v>0</v>
      </c>
      <c r="X108" s="3">
        <f t="shared" si="84"/>
        <v>0</v>
      </c>
      <c r="Y108" s="3">
        <f t="shared" si="85"/>
        <v>0</v>
      </c>
      <c r="Z108" s="3"/>
      <c r="AA108" s="3">
        <v>56505405</v>
      </c>
      <c r="AB108" s="3">
        <f t="shared" si="86"/>
        <v>381.47</v>
      </c>
      <c r="AC108" s="3">
        <f t="shared" si="87"/>
        <v>381.47</v>
      </c>
      <c r="AD108" s="3">
        <f t="shared" si="116"/>
        <v>0</v>
      </c>
      <c r="AE108" s="3">
        <f t="shared" si="117"/>
        <v>0</v>
      </c>
      <c r="AF108" s="3">
        <f t="shared" si="117"/>
        <v>0</v>
      </c>
      <c r="AG108" s="3">
        <f t="shared" si="88"/>
        <v>0</v>
      </c>
      <c r="AH108" s="3">
        <f t="shared" si="118"/>
        <v>0</v>
      </c>
      <c r="AI108" s="3">
        <f t="shared" si="118"/>
        <v>0</v>
      </c>
      <c r="AJ108" s="3">
        <f t="shared" si="89"/>
        <v>0</v>
      </c>
      <c r="AK108" s="3">
        <v>381.47</v>
      </c>
      <c r="AL108" s="3">
        <v>381.47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90</v>
      </c>
      <c r="AU108" s="3">
        <v>46</v>
      </c>
      <c r="AV108" s="3">
        <v>1</v>
      </c>
      <c r="AW108" s="3">
        <v>1</v>
      </c>
      <c r="AX108" s="3"/>
      <c r="AY108" s="3"/>
      <c r="AZ108" s="3">
        <v>1</v>
      </c>
      <c r="BA108" s="3">
        <v>1</v>
      </c>
      <c r="BB108" s="3">
        <v>1</v>
      </c>
      <c r="BC108" s="3">
        <v>9.8800000000000008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2</v>
      </c>
      <c r="BJ108" s="3" t="s">
        <v>3</v>
      </c>
      <c r="BK108" s="3"/>
      <c r="BL108" s="3"/>
      <c r="BM108" s="3">
        <v>72</v>
      </c>
      <c r="BN108" s="3">
        <v>0</v>
      </c>
      <c r="BO108" s="3" t="s">
        <v>3</v>
      </c>
      <c r="BP108" s="3">
        <v>0</v>
      </c>
      <c r="BQ108" s="3">
        <v>40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C108" s="3"/>
      <c r="CD108" s="3"/>
      <c r="CE108" s="3">
        <v>30</v>
      </c>
      <c r="CF108" s="3">
        <v>0</v>
      </c>
      <c r="CG108" s="3">
        <v>0</v>
      </c>
      <c r="CH108" s="3"/>
      <c r="CI108" s="3"/>
      <c r="CJ108" s="3"/>
      <c r="CK108" s="3"/>
      <c r="CL108" s="3"/>
      <c r="CM108" s="3">
        <v>0</v>
      </c>
      <c r="CN108" s="3" t="s">
        <v>3</v>
      </c>
      <c r="CO108" s="3">
        <v>0</v>
      </c>
      <c r="CP108" s="3">
        <f t="shared" si="90"/>
        <v>26382.47</v>
      </c>
      <c r="CQ108" s="3">
        <f t="shared" si="121"/>
        <v>3768.92</v>
      </c>
      <c r="CR108" s="3">
        <f t="shared" si="119"/>
        <v>0</v>
      </c>
      <c r="CS108" s="3">
        <f t="shared" si="92"/>
        <v>0</v>
      </c>
      <c r="CT108" s="3">
        <f t="shared" si="93"/>
        <v>0</v>
      </c>
      <c r="CU108" s="3">
        <f t="shared" si="94"/>
        <v>0</v>
      </c>
      <c r="CV108" s="3">
        <f t="shared" si="95"/>
        <v>0</v>
      </c>
      <c r="CW108" s="3">
        <f t="shared" si="96"/>
        <v>0</v>
      </c>
      <c r="CX108" s="3">
        <f t="shared" si="97"/>
        <v>0</v>
      </c>
      <c r="CY108" s="3">
        <f t="shared" si="98"/>
        <v>0</v>
      </c>
      <c r="CZ108" s="3">
        <f t="shared" si="99"/>
        <v>0</v>
      </c>
      <c r="DA108" s="3"/>
      <c r="DB108" s="3"/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R108" s="3"/>
      <c r="DS108" s="3"/>
      <c r="DT108" s="3"/>
      <c r="DU108" s="3">
        <v>1010</v>
      </c>
      <c r="DV108" s="3" t="s">
        <v>32</v>
      </c>
      <c r="DW108" s="3" t="s">
        <v>32</v>
      </c>
      <c r="DX108" s="3">
        <v>1</v>
      </c>
      <c r="DY108" s="3"/>
      <c r="DZ108" s="3" t="s">
        <v>3</v>
      </c>
      <c r="EA108" s="3" t="s">
        <v>3</v>
      </c>
      <c r="EB108" s="3" t="s">
        <v>3</v>
      </c>
      <c r="EC108" s="3" t="s">
        <v>3</v>
      </c>
      <c r="ED108" s="3"/>
      <c r="EE108" s="3">
        <v>58162634</v>
      </c>
      <c r="EF108" s="3">
        <v>40</v>
      </c>
      <c r="EG108" s="3" t="s">
        <v>25</v>
      </c>
      <c r="EH108" s="3">
        <v>0</v>
      </c>
      <c r="EI108" s="3" t="s">
        <v>3</v>
      </c>
      <c r="EJ108" s="3">
        <v>2</v>
      </c>
      <c r="EK108" s="3">
        <v>72</v>
      </c>
      <c r="EL108" s="3" t="s">
        <v>47</v>
      </c>
      <c r="EM108" s="3" t="s">
        <v>48</v>
      </c>
      <c r="EN108" s="3"/>
      <c r="EO108" s="3" t="s">
        <v>3</v>
      </c>
      <c r="EP108" s="3"/>
      <c r="EQ108" s="3">
        <v>0</v>
      </c>
      <c r="ER108" s="3">
        <v>381.47</v>
      </c>
      <c r="ES108" s="3">
        <v>381.47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/>
      <c r="EZ108" s="3">
        <v>5</v>
      </c>
      <c r="FA108" s="3"/>
      <c r="FB108" s="3"/>
      <c r="FC108" s="3">
        <v>1</v>
      </c>
      <c r="FD108" s="3">
        <v>18</v>
      </c>
      <c r="FE108" s="3"/>
      <c r="FF108" s="3">
        <v>4434</v>
      </c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>
        <v>0</v>
      </c>
      <c r="FR108" s="3">
        <v>0</v>
      </c>
      <c r="FS108" s="3">
        <v>0</v>
      </c>
      <c r="FT108" s="3"/>
      <c r="FU108" s="3"/>
      <c r="FV108" s="3"/>
      <c r="FW108" s="3"/>
      <c r="FX108" s="3">
        <v>90</v>
      </c>
      <c r="FY108" s="3">
        <v>46</v>
      </c>
      <c r="FZ108" s="3"/>
      <c r="GA108" s="3" t="s">
        <v>64</v>
      </c>
      <c r="GB108" s="3"/>
      <c r="GC108" s="3"/>
      <c r="GD108" s="3">
        <v>1</v>
      </c>
      <c r="GE108" s="3"/>
      <c r="GF108" s="3">
        <v>-1998996946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0"/>
        <v>0</v>
      </c>
      <c r="GM108" s="3">
        <f t="shared" si="101"/>
        <v>26382.47</v>
      </c>
      <c r="GN108" s="3">
        <f t="shared" si="102"/>
        <v>0</v>
      </c>
      <c r="GO108" s="3">
        <f t="shared" si="103"/>
        <v>26382.47</v>
      </c>
      <c r="GP108" s="3">
        <f t="shared" si="104"/>
        <v>0</v>
      </c>
      <c r="GQ108" s="3"/>
      <c r="GR108" s="3">
        <v>1</v>
      </c>
      <c r="GS108" s="3">
        <v>1</v>
      </c>
      <c r="GT108" s="3">
        <v>0</v>
      </c>
      <c r="GU108" s="3" t="s">
        <v>3</v>
      </c>
      <c r="GV108" s="3">
        <f t="shared" si="105"/>
        <v>0</v>
      </c>
      <c r="GW108" s="3">
        <v>1</v>
      </c>
      <c r="GX108" s="3">
        <f t="shared" si="106"/>
        <v>0</v>
      </c>
      <c r="GY108" s="3"/>
      <c r="GZ108" s="3"/>
      <c r="HA108" s="3">
        <v>0</v>
      </c>
      <c r="HB108" s="3">
        <v>0</v>
      </c>
      <c r="HC108" s="3">
        <f t="shared" si="107"/>
        <v>0</v>
      </c>
      <c r="HD108" s="3"/>
      <c r="HE108" s="3" t="s">
        <v>34</v>
      </c>
      <c r="HF108" s="3" t="s">
        <v>35</v>
      </c>
      <c r="HG108" s="3"/>
      <c r="HH108" s="3"/>
      <c r="HI108" s="3"/>
      <c r="HJ108" s="3"/>
      <c r="HK108" s="3"/>
      <c r="HL108" s="3"/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R108" s="3"/>
      <c r="HS108" s="3">
        <v>0</v>
      </c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>
        <v>0</v>
      </c>
      <c r="IL108" s="3"/>
      <c r="IM108" s="3"/>
      <c r="IN108" s="3"/>
      <c r="IO108" s="3"/>
      <c r="IP108" s="3"/>
      <c r="IQ108" s="3"/>
      <c r="IR108" s="3"/>
      <c r="IS108" s="3"/>
      <c r="IT108" s="3"/>
      <c r="IU108" s="3"/>
    </row>
    <row r="109" spans="1:255" x14ac:dyDescent="0.3">
      <c r="A109" s="2">
        <v>18</v>
      </c>
      <c r="B109" s="2">
        <v>1</v>
      </c>
      <c r="C109" s="2"/>
      <c r="D109" s="2"/>
      <c r="E109" s="2" t="s">
        <v>156</v>
      </c>
      <c r="F109" s="2" t="s">
        <v>66</v>
      </c>
      <c r="G109" s="2" t="s">
        <v>67</v>
      </c>
      <c r="H109" s="2" t="s">
        <v>32</v>
      </c>
      <c r="I109" s="2">
        <f>I101*J109</f>
        <v>7</v>
      </c>
      <c r="J109" s="2">
        <v>0.25</v>
      </c>
      <c r="K109" s="2">
        <v>0.25</v>
      </c>
      <c r="L109" s="2"/>
      <c r="M109" s="2"/>
      <c r="N109" s="2"/>
      <c r="O109" s="2">
        <f t="shared" si="76"/>
        <v>5044.76</v>
      </c>
      <c r="P109" s="2">
        <f t="shared" si="120"/>
        <v>5044.76</v>
      </c>
      <c r="Q109" s="2">
        <f t="shared" si="115"/>
        <v>0</v>
      </c>
      <c r="R109" s="2">
        <f t="shared" si="78"/>
        <v>0</v>
      </c>
      <c r="S109" s="2">
        <f t="shared" si="79"/>
        <v>0</v>
      </c>
      <c r="T109" s="2">
        <f t="shared" si="80"/>
        <v>0</v>
      </c>
      <c r="U109" s="2">
        <f t="shared" si="81"/>
        <v>0</v>
      </c>
      <c r="V109" s="2">
        <f t="shared" si="82"/>
        <v>0</v>
      </c>
      <c r="W109" s="2">
        <f t="shared" si="83"/>
        <v>0</v>
      </c>
      <c r="X109" s="2">
        <f t="shared" si="84"/>
        <v>0</v>
      </c>
      <c r="Y109" s="2">
        <f t="shared" si="85"/>
        <v>0</v>
      </c>
      <c r="Z109" s="2"/>
      <c r="AA109" s="2">
        <v>56505403</v>
      </c>
      <c r="AB109" s="2">
        <f t="shared" si="86"/>
        <v>720.68</v>
      </c>
      <c r="AC109" s="2">
        <f t="shared" si="87"/>
        <v>720.68</v>
      </c>
      <c r="AD109" s="2">
        <f t="shared" si="116"/>
        <v>0</v>
      </c>
      <c r="AE109" s="2">
        <f t="shared" si="117"/>
        <v>0</v>
      </c>
      <c r="AF109" s="2">
        <f t="shared" si="117"/>
        <v>0</v>
      </c>
      <c r="AG109" s="2">
        <f t="shared" si="88"/>
        <v>0</v>
      </c>
      <c r="AH109" s="2">
        <f t="shared" si="118"/>
        <v>0</v>
      </c>
      <c r="AI109" s="2">
        <f t="shared" si="118"/>
        <v>0</v>
      </c>
      <c r="AJ109" s="2">
        <f t="shared" si="89"/>
        <v>0</v>
      </c>
      <c r="AK109" s="2">
        <v>720.68</v>
      </c>
      <c r="AL109" s="2">
        <v>720.68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90</v>
      </c>
      <c r="AU109" s="2">
        <v>46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3</v>
      </c>
      <c r="BK109" s="2"/>
      <c r="BL109" s="2"/>
      <c r="BM109" s="2">
        <v>72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90"/>
        <v>5044.76</v>
      </c>
      <c r="CQ109" s="2">
        <f t="shared" si="121"/>
        <v>720.68</v>
      </c>
      <c r="CR109" s="2">
        <f t="shared" si="119"/>
        <v>0</v>
      </c>
      <c r="CS109" s="2">
        <f t="shared" si="92"/>
        <v>0</v>
      </c>
      <c r="CT109" s="2">
        <f t="shared" si="93"/>
        <v>0</v>
      </c>
      <c r="CU109" s="2">
        <f t="shared" si="94"/>
        <v>0</v>
      </c>
      <c r="CV109" s="2">
        <f t="shared" si="95"/>
        <v>0</v>
      </c>
      <c r="CW109" s="2">
        <f t="shared" si="96"/>
        <v>0</v>
      </c>
      <c r="CX109" s="2">
        <f t="shared" si="97"/>
        <v>0</v>
      </c>
      <c r="CY109" s="2">
        <f t="shared" si="98"/>
        <v>0</v>
      </c>
      <c r="CZ109" s="2">
        <f t="shared" si="99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32</v>
      </c>
      <c r="DW109" s="2" t="s">
        <v>32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58162634</v>
      </c>
      <c r="EF109" s="2">
        <v>40</v>
      </c>
      <c r="EG109" s="2" t="s">
        <v>25</v>
      </c>
      <c r="EH109" s="2">
        <v>0</v>
      </c>
      <c r="EI109" s="2" t="s">
        <v>3</v>
      </c>
      <c r="EJ109" s="2">
        <v>2</v>
      </c>
      <c r="EK109" s="2">
        <v>72</v>
      </c>
      <c r="EL109" s="2" t="s">
        <v>47</v>
      </c>
      <c r="EM109" s="2" t="s">
        <v>48</v>
      </c>
      <c r="EN109" s="2"/>
      <c r="EO109" s="2" t="s">
        <v>3</v>
      </c>
      <c r="EP109" s="2"/>
      <c r="EQ109" s="2">
        <v>0</v>
      </c>
      <c r="ER109" s="2">
        <v>0</v>
      </c>
      <c r="ES109" s="2">
        <v>720.68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68</v>
      </c>
      <c r="GB109" s="2"/>
      <c r="GC109" s="2"/>
      <c r="GD109" s="2">
        <v>1</v>
      </c>
      <c r="GE109" s="2"/>
      <c r="GF109" s="2">
        <v>-1548011914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100"/>
        <v>0</v>
      </c>
      <c r="GM109" s="2">
        <f t="shared" si="101"/>
        <v>5044.76</v>
      </c>
      <c r="GN109" s="2">
        <f t="shared" si="102"/>
        <v>0</v>
      </c>
      <c r="GO109" s="2">
        <f t="shared" si="103"/>
        <v>5044.76</v>
      </c>
      <c r="GP109" s="2">
        <f t="shared" si="104"/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 t="shared" si="105"/>
        <v>0</v>
      </c>
      <c r="GW109" s="2">
        <v>1</v>
      </c>
      <c r="GX109" s="2">
        <f t="shared" si="106"/>
        <v>0</v>
      </c>
      <c r="GY109" s="2"/>
      <c r="GZ109" s="2"/>
      <c r="HA109" s="2">
        <v>0</v>
      </c>
      <c r="HB109" s="2">
        <v>0</v>
      </c>
      <c r="HC109" s="2">
        <f t="shared" si="107"/>
        <v>0</v>
      </c>
      <c r="HD109" s="2"/>
      <c r="HE109" s="2" t="s">
        <v>34</v>
      </c>
      <c r="HF109" s="2" t="s">
        <v>35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3">
      <c r="A110" s="3">
        <v>18</v>
      </c>
      <c r="B110" s="3">
        <v>1</v>
      </c>
      <c r="C110" s="3"/>
      <c r="D110" s="3"/>
      <c r="E110" s="3" t="s">
        <v>156</v>
      </c>
      <c r="F110" s="3" t="s">
        <v>66</v>
      </c>
      <c r="G110" s="3" t="s">
        <v>67</v>
      </c>
      <c r="H110" s="3" t="s">
        <v>32</v>
      </c>
      <c r="I110" s="3">
        <f>I102*J110</f>
        <v>7</v>
      </c>
      <c r="J110" s="3">
        <v>0.25</v>
      </c>
      <c r="K110" s="3">
        <v>0.25</v>
      </c>
      <c r="L110" s="3"/>
      <c r="M110" s="3"/>
      <c r="N110" s="3"/>
      <c r="O110" s="3">
        <f t="shared" si="76"/>
        <v>49842.23</v>
      </c>
      <c r="P110" s="3">
        <f t="shared" si="120"/>
        <v>49842.23</v>
      </c>
      <c r="Q110" s="3">
        <f t="shared" si="115"/>
        <v>0</v>
      </c>
      <c r="R110" s="3">
        <f t="shared" si="78"/>
        <v>0</v>
      </c>
      <c r="S110" s="3">
        <f t="shared" si="79"/>
        <v>0</v>
      </c>
      <c r="T110" s="3">
        <f t="shared" si="80"/>
        <v>0</v>
      </c>
      <c r="U110" s="3">
        <f t="shared" si="81"/>
        <v>0</v>
      </c>
      <c r="V110" s="3">
        <f t="shared" si="82"/>
        <v>0</v>
      </c>
      <c r="W110" s="3">
        <f t="shared" si="83"/>
        <v>0</v>
      </c>
      <c r="X110" s="3">
        <f t="shared" si="84"/>
        <v>0</v>
      </c>
      <c r="Y110" s="3">
        <f t="shared" si="85"/>
        <v>0</v>
      </c>
      <c r="Z110" s="3"/>
      <c r="AA110" s="3">
        <v>56505405</v>
      </c>
      <c r="AB110" s="3">
        <f t="shared" si="86"/>
        <v>720.68</v>
      </c>
      <c r="AC110" s="3">
        <f t="shared" si="87"/>
        <v>720.68</v>
      </c>
      <c r="AD110" s="3">
        <f t="shared" si="116"/>
        <v>0</v>
      </c>
      <c r="AE110" s="3">
        <f t="shared" si="117"/>
        <v>0</v>
      </c>
      <c r="AF110" s="3">
        <f t="shared" si="117"/>
        <v>0</v>
      </c>
      <c r="AG110" s="3">
        <f t="shared" si="88"/>
        <v>0</v>
      </c>
      <c r="AH110" s="3">
        <f t="shared" si="118"/>
        <v>0</v>
      </c>
      <c r="AI110" s="3">
        <f t="shared" si="118"/>
        <v>0</v>
      </c>
      <c r="AJ110" s="3">
        <f t="shared" si="89"/>
        <v>0</v>
      </c>
      <c r="AK110" s="3">
        <v>720.68</v>
      </c>
      <c r="AL110" s="3">
        <v>720.68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90</v>
      </c>
      <c r="AU110" s="3">
        <v>46</v>
      </c>
      <c r="AV110" s="3">
        <v>1</v>
      </c>
      <c r="AW110" s="3">
        <v>1</v>
      </c>
      <c r="AX110" s="3"/>
      <c r="AY110" s="3"/>
      <c r="AZ110" s="3">
        <v>1</v>
      </c>
      <c r="BA110" s="3">
        <v>1</v>
      </c>
      <c r="BB110" s="3">
        <v>1</v>
      </c>
      <c r="BC110" s="3">
        <v>9.8800000000000008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2</v>
      </c>
      <c r="BJ110" s="3" t="s">
        <v>3</v>
      </c>
      <c r="BK110" s="3"/>
      <c r="BL110" s="3"/>
      <c r="BM110" s="3">
        <v>72</v>
      </c>
      <c r="BN110" s="3">
        <v>0</v>
      </c>
      <c r="BO110" s="3" t="s">
        <v>3</v>
      </c>
      <c r="BP110" s="3">
        <v>0</v>
      </c>
      <c r="BQ110" s="3">
        <v>40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C110" s="3"/>
      <c r="CD110" s="3"/>
      <c r="CE110" s="3">
        <v>30</v>
      </c>
      <c r="CF110" s="3">
        <v>0</v>
      </c>
      <c r="CG110" s="3">
        <v>0</v>
      </c>
      <c r="CH110" s="3"/>
      <c r="CI110" s="3"/>
      <c r="CJ110" s="3"/>
      <c r="CK110" s="3"/>
      <c r="CL110" s="3"/>
      <c r="CM110" s="3">
        <v>0</v>
      </c>
      <c r="CN110" s="3" t="s">
        <v>3</v>
      </c>
      <c r="CO110" s="3">
        <v>0</v>
      </c>
      <c r="CP110" s="3">
        <f t="shared" si="90"/>
        <v>49842.23</v>
      </c>
      <c r="CQ110" s="3">
        <f t="shared" si="121"/>
        <v>7120.32</v>
      </c>
      <c r="CR110" s="3">
        <f t="shared" si="119"/>
        <v>0</v>
      </c>
      <c r="CS110" s="3">
        <f t="shared" si="92"/>
        <v>0</v>
      </c>
      <c r="CT110" s="3">
        <f t="shared" si="93"/>
        <v>0</v>
      </c>
      <c r="CU110" s="3">
        <f t="shared" si="94"/>
        <v>0</v>
      </c>
      <c r="CV110" s="3">
        <f t="shared" si="95"/>
        <v>0</v>
      </c>
      <c r="CW110" s="3">
        <f t="shared" si="96"/>
        <v>0</v>
      </c>
      <c r="CX110" s="3">
        <f t="shared" si="97"/>
        <v>0</v>
      </c>
      <c r="CY110" s="3">
        <f t="shared" si="98"/>
        <v>0</v>
      </c>
      <c r="CZ110" s="3">
        <f t="shared" si="99"/>
        <v>0</v>
      </c>
      <c r="DA110" s="3"/>
      <c r="DB110" s="3"/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R110" s="3"/>
      <c r="DS110" s="3"/>
      <c r="DT110" s="3"/>
      <c r="DU110" s="3">
        <v>1010</v>
      </c>
      <c r="DV110" s="3" t="s">
        <v>32</v>
      </c>
      <c r="DW110" s="3" t="s">
        <v>32</v>
      </c>
      <c r="DX110" s="3">
        <v>1</v>
      </c>
      <c r="DY110" s="3"/>
      <c r="DZ110" s="3" t="s">
        <v>3</v>
      </c>
      <c r="EA110" s="3" t="s">
        <v>3</v>
      </c>
      <c r="EB110" s="3" t="s">
        <v>3</v>
      </c>
      <c r="EC110" s="3" t="s">
        <v>3</v>
      </c>
      <c r="ED110" s="3"/>
      <c r="EE110" s="3">
        <v>58162634</v>
      </c>
      <c r="EF110" s="3">
        <v>40</v>
      </c>
      <c r="EG110" s="3" t="s">
        <v>25</v>
      </c>
      <c r="EH110" s="3">
        <v>0</v>
      </c>
      <c r="EI110" s="3" t="s">
        <v>3</v>
      </c>
      <c r="EJ110" s="3">
        <v>2</v>
      </c>
      <c r="EK110" s="3">
        <v>72</v>
      </c>
      <c r="EL110" s="3" t="s">
        <v>47</v>
      </c>
      <c r="EM110" s="3" t="s">
        <v>48</v>
      </c>
      <c r="EN110" s="3"/>
      <c r="EO110" s="3" t="s">
        <v>3</v>
      </c>
      <c r="EP110" s="3"/>
      <c r="EQ110" s="3">
        <v>0</v>
      </c>
      <c r="ER110" s="3">
        <v>720.68</v>
      </c>
      <c r="ES110" s="3">
        <v>720.68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/>
      <c r="EZ110" s="3">
        <v>5</v>
      </c>
      <c r="FA110" s="3"/>
      <c r="FB110" s="3"/>
      <c r="FC110" s="3">
        <v>1</v>
      </c>
      <c r="FD110" s="3">
        <v>18</v>
      </c>
      <c r="FE110" s="3"/>
      <c r="FF110" s="3">
        <v>8376.7999999999993</v>
      </c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>
        <v>0</v>
      </c>
      <c r="FR110" s="3">
        <v>0</v>
      </c>
      <c r="FS110" s="3">
        <v>0</v>
      </c>
      <c r="FT110" s="3"/>
      <c r="FU110" s="3"/>
      <c r="FV110" s="3"/>
      <c r="FW110" s="3"/>
      <c r="FX110" s="3">
        <v>90</v>
      </c>
      <c r="FY110" s="3">
        <v>46</v>
      </c>
      <c r="FZ110" s="3"/>
      <c r="GA110" s="3" t="s">
        <v>68</v>
      </c>
      <c r="GB110" s="3"/>
      <c r="GC110" s="3"/>
      <c r="GD110" s="3">
        <v>1</v>
      </c>
      <c r="GE110" s="3"/>
      <c r="GF110" s="3">
        <v>-1548011914</v>
      </c>
      <c r="GG110" s="3">
        <v>2</v>
      </c>
      <c r="GH110" s="3">
        <v>3</v>
      </c>
      <c r="GI110" s="3">
        <v>5</v>
      </c>
      <c r="GJ110" s="3">
        <v>0</v>
      </c>
      <c r="GK110" s="3">
        <v>0</v>
      </c>
      <c r="GL110" s="3">
        <f t="shared" si="100"/>
        <v>0</v>
      </c>
      <c r="GM110" s="3">
        <f t="shared" si="101"/>
        <v>49842.23</v>
      </c>
      <c r="GN110" s="3">
        <f t="shared" si="102"/>
        <v>0</v>
      </c>
      <c r="GO110" s="3">
        <f t="shared" si="103"/>
        <v>49842.23</v>
      </c>
      <c r="GP110" s="3">
        <f t="shared" si="104"/>
        <v>0</v>
      </c>
      <c r="GQ110" s="3"/>
      <c r="GR110" s="3">
        <v>1</v>
      </c>
      <c r="GS110" s="3">
        <v>1</v>
      </c>
      <c r="GT110" s="3">
        <v>0</v>
      </c>
      <c r="GU110" s="3" t="s">
        <v>3</v>
      </c>
      <c r="GV110" s="3">
        <f t="shared" si="105"/>
        <v>0</v>
      </c>
      <c r="GW110" s="3">
        <v>1</v>
      </c>
      <c r="GX110" s="3">
        <f t="shared" si="106"/>
        <v>0</v>
      </c>
      <c r="GY110" s="3"/>
      <c r="GZ110" s="3"/>
      <c r="HA110" s="3">
        <v>0</v>
      </c>
      <c r="HB110" s="3">
        <v>0</v>
      </c>
      <c r="HC110" s="3">
        <f t="shared" si="107"/>
        <v>0</v>
      </c>
      <c r="HD110" s="3"/>
      <c r="HE110" s="3" t="s">
        <v>34</v>
      </c>
      <c r="HF110" s="3" t="s">
        <v>35</v>
      </c>
      <c r="HG110" s="3"/>
      <c r="HH110" s="3"/>
      <c r="HI110" s="3"/>
      <c r="HJ110" s="3"/>
      <c r="HK110" s="3"/>
      <c r="HL110" s="3"/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R110" s="3"/>
      <c r="HS110" s="3">
        <v>0</v>
      </c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>
        <v>0</v>
      </c>
      <c r="IL110" s="3"/>
      <c r="IM110" s="3"/>
      <c r="IN110" s="3"/>
      <c r="IO110" s="3"/>
      <c r="IP110" s="3"/>
      <c r="IQ110" s="3"/>
      <c r="IR110" s="3"/>
      <c r="IS110" s="3"/>
      <c r="IT110" s="3"/>
      <c r="IU110" s="3"/>
    </row>
    <row r="112" spans="1:255" x14ac:dyDescent="0.3">
      <c r="A112" s="4">
        <v>51</v>
      </c>
      <c r="B112" s="4">
        <f>B81</f>
        <v>1</v>
      </c>
      <c r="C112" s="4">
        <f>A81</f>
        <v>4</v>
      </c>
      <c r="D112" s="4">
        <f>ROW(A81)</f>
        <v>81</v>
      </c>
      <c r="E112" s="4"/>
      <c r="F112" s="4" t="str">
        <f>IF(F81&lt;&gt;"",F81,"")</f>
        <v/>
      </c>
      <c r="G112" s="4" t="str">
        <f>IF(G81&lt;&gt;"",G81,"")</f>
        <v>Телекоммуникационный шкаф 42U 19" ШТ1-2,1-3,1-4; ШТ2-5,2-6; ШТ3-7,3-8</v>
      </c>
      <c r="H112" s="4">
        <v>0</v>
      </c>
      <c r="I112" s="4"/>
      <c r="J112" s="4"/>
      <c r="K112" s="4"/>
      <c r="L112" s="4"/>
      <c r="M112" s="4"/>
      <c r="N112" s="4"/>
      <c r="O112" s="4">
        <f t="shared" ref="O112:T112" si="122">ROUND(AB112,2)</f>
        <v>163143</v>
      </c>
      <c r="P112" s="4">
        <f t="shared" si="122"/>
        <v>161492.26</v>
      </c>
      <c r="Q112" s="4">
        <f t="shared" si="122"/>
        <v>329.89</v>
      </c>
      <c r="R112" s="4">
        <f t="shared" si="122"/>
        <v>36.119999999999997</v>
      </c>
      <c r="S112" s="4">
        <f t="shared" si="122"/>
        <v>1320.85</v>
      </c>
      <c r="T112" s="4">
        <f t="shared" si="122"/>
        <v>0</v>
      </c>
      <c r="U112" s="4">
        <f>AH112</f>
        <v>117.312162</v>
      </c>
      <c r="V112" s="4">
        <f>AI112</f>
        <v>0</v>
      </c>
      <c r="W112" s="4">
        <f>ROUND(AJ112,2)</f>
        <v>0</v>
      </c>
      <c r="X112" s="4">
        <f>ROUND(AK112,2)</f>
        <v>1221.27</v>
      </c>
      <c r="Y112" s="4">
        <f>ROUND(AL112,2)</f>
        <v>624.21</v>
      </c>
      <c r="Z112" s="4"/>
      <c r="AA112" s="4"/>
      <c r="AB112" s="4">
        <f>ROUND(SUMIF(AA85:AA110,"=56505403",O85:O110),2)</f>
        <v>163143</v>
      </c>
      <c r="AC112" s="4">
        <f>ROUND(SUMIF(AA85:AA110,"=56505403",P85:P110),2)</f>
        <v>161492.26</v>
      </c>
      <c r="AD112" s="4">
        <f>ROUND(SUMIF(AA85:AA110,"=56505403",Q85:Q110),2)</f>
        <v>329.89</v>
      </c>
      <c r="AE112" s="4">
        <f>ROUND(SUMIF(AA85:AA110,"=56505403",R85:R110),2)</f>
        <v>36.119999999999997</v>
      </c>
      <c r="AF112" s="4">
        <f>ROUND(SUMIF(AA85:AA110,"=56505403",S85:S110),2)</f>
        <v>1320.85</v>
      </c>
      <c r="AG112" s="4">
        <f>ROUND(SUMIF(AA85:AA110,"=56505403",T85:T110),2)</f>
        <v>0</v>
      </c>
      <c r="AH112" s="4">
        <f>SUMIF(AA85:AA110,"=56505403",U85:U110)</f>
        <v>117.312162</v>
      </c>
      <c r="AI112" s="4">
        <f>SUMIF(AA85:AA110,"=56505403",V85:V110)</f>
        <v>0</v>
      </c>
      <c r="AJ112" s="4">
        <f>ROUND(SUMIF(AA85:AA110,"=56505403",W85:W110),2)</f>
        <v>0</v>
      </c>
      <c r="AK112" s="4">
        <f>ROUND(SUMIF(AA85:AA110,"=56505403",X85:X110),2)</f>
        <v>1221.27</v>
      </c>
      <c r="AL112" s="4">
        <f>ROUND(SUMIF(AA85:AA110,"=56505403",Y85:Y110),2)</f>
        <v>624.21</v>
      </c>
      <c r="AM112" s="4"/>
      <c r="AN112" s="4"/>
      <c r="AO112" s="4">
        <f t="shared" ref="AO112:BD112" si="123">ROUND(BX112,2)</f>
        <v>0</v>
      </c>
      <c r="AP112" s="4">
        <f t="shared" si="123"/>
        <v>22491.21</v>
      </c>
      <c r="AQ112" s="4">
        <f t="shared" si="123"/>
        <v>0</v>
      </c>
      <c r="AR112" s="4">
        <f t="shared" si="123"/>
        <v>164988.48000000001</v>
      </c>
      <c r="AS112" s="4">
        <f t="shared" si="123"/>
        <v>0</v>
      </c>
      <c r="AT112" s="4">
        <f t="shared" si="123"/>
        <v>142497.26999999999</v>
      </c>
      <c r="AU112" s="4">
        <f t="shared" si="123"/>
        <v>0</v>
      </c>
      <c r="AV112" s="4">
        <f t="shared" si="123"/>
        <v>161492.26</v>
      </c>
      <c r="AW112" s="4">
        <f t="shared" si="123"/>
        <v>139001.04999999999</v>
      </c>
      <c r="AX112" s="4">
        <f t="shared" si="123"/>
        <v>0</v>
      </c>
      <c r="AY112" s="4">
        <f t="shared" si="123"/>
        <v>139001.04999999999</v>
      </c>
      <c r="AZ112" s="4">
        <f t="shared" si="123"/>
        <v>22491.21</v>
      </c>
      <c r="BA112" s="4">
        <f t="shared" si="123"/>
        <v>0</v>
      </c>
      <c r="BB112" s="4">
        <f t="shared" si="123"/>
        <v>0</v>
      </c>
      <c r="BC112" s="4">
        <f t="shared" si="123"/>
        <v>0</v>
      </c>
      <c r="BD112" s="4">
        <f t="shared" si="123"/>
        <v>0</v>
      </c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>
        <f>ROUND(SUMIF(AA85:AA110,"=56505403",FQ85:FQ110),2)</f>
        <v>0</v>
      </c>
      <c r="BY112" s="4">
        <f>ROUND(SUMIF(AA85:AA110,"=56505403",FR85:FR110),2)</f>
        <v>22491.21</v>
      </c>
      <c r="BZ112" s="4">
        <f>ROUND(SUMIF(AA85:AA110,"=56505403",GL85:GL110),2)</f>
        <v>0</v>
      </c>
      <c r="CA112" s="4">
        <f>ROUND(SUMIF(AA85:AA110,"=56505403",GM85:GM110),2)</f>
        <v>164988.48000000001</v>
      </c>
      <c r="CB112" s="4">
        <f>ROUND(SUMIF(AA85:AA110,"=56505403",GN85:GN110),2)</f>
        <v>0</v>
      </c>
      <c r="CC112" s="4">
        <f>ROUND(SUMIF(AA85:AA110,"=56505403",GO85:GO110),2)</f>
        <v>142497.26999999999</v>
      </c>
      <c r="CD112" s="4">
        <f>ROUND(SUMIF(AA85:AA110,"=56505403",GP85:GP110),2)</f>
        <v>0</v>
      </c>
      <c r="CE112" s="4">
        <f>AC112-BX112</f>
        <v>161492.26</v>
      </c>
      <c r="CF112" s="4">
        <f>AC112-BY112</f>
        <v>139001.05000000002</v>
      </c>
      <c r="CG112" s="4">
        <f>BX112-BZ112</f>
        <v>0</v>
      </c>
      <c r="CH112" s="4">
        <f>AC112-BX112-BY112+BZ112</f>
        <v>139001.05000000002</v>
      </c>
      <c r="CI112" s="4">
        <f>BY112-BZ112</f>
        <v>22491.21</v>
      </c>
      <c r="CJ112" s="4">
        <f>ROUND(SUMIF(AA85:AA110,"=56505403",GX85:GX110),2)</f>
        <v>0</v>
      </c>
      <c r="CK112" s="4">
        <f>ROUND(SUMIF(AA85:AA110,"=56505403",GY85:GY110),2)</f>
        <v>0</v>
      </c>
      <c r="CL112" s="4">
        <f>ROUND(SUMIF(AA85:AA110,"=56505403",GZ85:GZ110),2)</f>
        <v>0</v>
      </c>
      <c r="CM112" s="4">
        <f>ROUND(SUMIF(AA85:AA110,"=56505403",HD85:HD110),2)</f>
        <v>0</v>
      </c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5">
        <f t="shared" ref="DG112:DL112" si="124">ROUND(DT112,2)</f>
        <v>1623262.88</v>
      </c>
      <c r="DH112" s="5">
        <f t="shared" si="124"/>
        <v>1545569.69</v>
      </c>
      <c r="DI112" s="5">
        <f t="shared" si="124"/>
        <v>5059.6499999999996</v>
      </c>
      <c r="DJ112" s="5">
        <f t="shared" si="124"/>
        <v>1986.23</v>
      </c>
      <c r="DK112" s="5">
        <f t="shared" si="124"/>
        <v>72633.539999999994</v>
      </c>
      <c r="DL112" s="5">
        <f t="shared" si="124"/>
        <v>0</v>
      </c>
      <c r="DM112" s="5">
        <f>DZ112</f>
        <v>117.312162</v>
      </c>
      <c r="DN112" s="5">
        <f>EA112</f>
        <v>0</v>
      </c>
      <c r="DO112" s="5">
        <f>ROUND(EB112,2)</f>
        <v>0</v>
      </c>
      <c r="DP112" s="5">
        <f>ROUND(EC112,2)</f>
        <v>67157.8</v>
      </c>
      <c r="DQ112" s="5">
        <f>ROUND(ED112,2)</f>
        <v>34325.089999999997</v>
      </c>
      <c r="DR112" s="5"/>
      <c r="DS112" s="5"/>
      <c r="DT112" s="5">
        <f>ROUND(SUMIF(AA85:AA110,"=56505405",O85:O110),2)</f>
        <v>1623262.88</v>
      </c>
      <c r="DU112" s="5">
        <f>ROUND(SUMIF(AA85:AA110,"=56505405",P85:P110),2)</f>
        <v>1545569.69</v>
      </c>
      <c r="DV112" s="5">
        <f>ROUND(SUMIF(AA85:AA110,"=56505405",Q85:Q110),2)</f>
        <v>5059.6499999999996</v>
      </c>
      <c r="DW112" s="5">
        <f>ROUND(SUMIF(AA85:AA110,"=56505405",R85:R110),2)</f>
        <v>1986.23</v>
      </c>
      <c r="DX112" s="5">
        <f>ROUND(SUMIF(AA85:AA110,"=56505405",S85:S110),2)</f>
        <v>72633.539999999994</v>
      </c>
      <c r="DY112" s="5">
        <f>ROUND(SUMIF(AA85:AA110,"=56505405",T85:T110),2)</f>
        <v>0</v>
      </c>
      <c r="DZ112" s="5">
        <f>SUMIF(AA85:AA110,"=56505405",U85:U110)</f>
        <v>117.312162</v>
      </c>
      <c r="EA112" s="5">
        <f>SUMIF(AA85:AA110,"=56505405",V85:V110)</f>
        <v>0</v>
      </c>
      <c r="EB112" s="5">
        <f>ROUND(SUMIF(AA85:AA110,"=56505405",W85:W110),2)</f>
        <v>0</v>
      </c>
      <c r="EC112" s="5">
        <f>ROUND(SUMIF(AA85:AA110,"=56505405",X85:X110),2)</f>
        <v>67157.8</v>
      </c>
      <c r="ED112" s="5">
        <f>ROUND(SUMIF(AA85:AA110,"=56505405",Y85:Y110),2)</f>
        <v>34325.089999999997</v>
      </c>
      <c r="EE112" s="5"/>
      <c r="EF112" s="5"/>
      <c r="EG112" s="5">
        <f t="shared" ref="EG112:EV112" si="125">ROUND(FP112,2)</f>
        <v>0</v>
      </c>
      <c r="EH112" s="5">
        <f t="shared" si="125"/>
        <v>172282.67</v>
      </c>
      <c r="EI112" s="5">
        <f t="shared" si="125"/>
        <v>0</v>
      </c>
      <c r="EJ112" s="5">
        <f t="shared" si="125"/>
        <v>1724745.77</v>
      </c>
      <c r="EK112" s="5">
        <f t="shared" si="125"/>
        <v>0</v>
      </c>
      <c r="EL112" s="5">
        <f t="shared" si="125"/>
        <v>1552463.1</v>
      </c>
      <c r="EM112" s="5">
        <f t="shared" si="125"/>
        <v>0</v>
      </c>
      <c r="EN112" s="5">
        <f t="shared" si="125"/>
        <v>1545569.69</v>
      </c>
      <c r="EO112" s="5">
        <f t="shared" si="125"/>
        <v>1373287.02</v>
      </c>
      <c r="EP112" s="5">
        <f t="shared" si="125"/>
        <v>0</v>
      </c>
      <c r="EQ112" s="5">
        <f t="shared" si="125"/>
        <v>1373287.02</v>
      </c>
      <c r="ER112" s="5">
        <f t="shared" si="125"/>
        <v>172282.67</v>
      </c>
      <c r="ES112" s="5">
        <f t="shared" si="125"/>
        <v>0</v>
      </c>
      <c r="ET112" s="5">
        <f t="shared" si="125"/>
        <v>0</v>
      </c>
      <c r="EU112" s="5">
        <f t="shared" si="125"/>
        <v>0</v>
      </c>
      <c r="EV112" s="5">
        <f t="shared" si="125"/>
        <v>0</v>
      </c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>
        <f>ROUND(SUMIF(AA85:AA110,"=56505405",FQ85:FQ110),2)</f>
        <v>0</v>
      </c>
      <c r="FQ112" s="5">
        <f>ROUND(SUMIF(AA85:AA110,"=56505405",FR85:FR110),2)</f>
        <v>172282.67</v>
      </c>
      <c r="FR112" s="5">
        <f>ROUND(SUMIF(AA85:AA110,"=56505405",GL85:GL110),2)</f>
        <v>0</v>
      </c>
      <c r="FS112" s="5">
        <f>ROUND(SUMIF(AA85:AA110,"=56505405",GM85:GM110),2)</f>
        <v>1724745.77</v>
      </c>
      <c r="FT112" s="5">
        <f>ROUND(SUMIF(AA85:AA110,"=56505405",GN85:GN110),2)</f>
        <v>0</v>
      </c>
      <c r="FU112" s="5">
        <f>ROUND(SUMIF(AA85:AA110,"=56505405",GO85:GO110),2)</f>
        <v>1552463.1</v>
      </c>
      <c r="FV112" s="5">
        <f>ROUND(SUMIF(AA85:AA110,"=56505405",GP85:GP110),2)</f>
        <v>0</v>
      </c>
      <c r="FW112" s="5">
        <f>DU112-FP112</f>
        <v>1545569.69</v>
      </c>
      <c r="FX112" s="5">
        <f>DU112-FQ112</f>
        <v>1373287.02</v>
      </c>
      <c r="FY112" s="5">
        <f>FP112-FR112</f>
        <v>0</v>
      </c>
      <c r="FZ112" s="5">
        <f>DU112-FP112-FQ112+FR112</f>
        <v>1373287.02</v>
      </c>
      <c r="GA112" s="5">
        <f>FQ112-FR112</f>
        <v>172282.67</v>
      </c>
      <c r="GB112" s="5">
        <f>ROUND(SUMIF(AA85:AA110,"=56505405",GX85:GX110),2)</f>
        <v>0</v>
      </c>
      <c r="GC112" s="5">
        <f>ROUND(SUMIF(AA85:AA110,"=56505405",GY85:GY110),2)</f>
        <v>0</v>
      </c>
      <c r="GD112" s="5">
        <f>ROUND(SUMIF(AA85:AA110,"=56505405",GZ85:GZ110),2)</f>
        <v>0</v>
      </c>
      <c r="GE112" s="5">
        <f>ROUND(SUMIF(AA85:AA110,"=56505405",HD85:HD110),2)</f>
        <v>0</v>
      </c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>
        <v>0</v>
      </c>
    </row>
    <row r="114" spans="1:28" x14ac:dyDescent="0.3">
      <c r="A114" s="6">
        <v>50</v>
      </c>
      <c r="B114" s="6">
        <v>0</v>
      </c>
      <c r="C114" s="6">
        <v>0</v>
      </c>
      <c r="D114" s="6">
        <v>1</v>
      </c>
      <c r="E114" s="6">
        <v>201</v>
      </c>
      <c r="F114" s="6">
        <f>ROUND(Source!O112,O114)</f>
        <v>163143</v>
      </c>
      <c r="G114" s="6" t="s">
        <v>77</v>
      </c>
      <c r="H114" s="6" t="s">
        <v>78</v>
      </c>
      <c r="I114" s="6"/>
      <c r="J114" s="6"/>
      <c r="K114" s="6">
        <v>201</v>
      </c>
      <c r="L114" s="6">
        <v>1</v>
      </c>
      <c r="M114" s="6">
        <v>3</v>
      </c>
      <c r="N114" s="6" t="s">
        <v>3</v>
      </c>
      <c r="O114" s="6">
        <v>2</v>
      </c>
      <c r="P114" s="6">
        <f>ROUND(Source!DG112,O114)</f>
        <v>1623262.88</v>
      </c>
      <c r="Q114" s="6"/>
      <c r="R114" s="6"/>
      <c r="S114" s="6"/>
      <c r="T114" s="6"/>
      <c r="U114" s="6"/>
      <c r="V114" s="6"/>
      <c r="W114" s="6">
        <v>163143</v>
      </c>
      <c r="X114" s="6">
        <v>1</v>
      </c>
      <c r="Y114" s="6">
        <v>163143</v>
      </c>
      <c r="Z114" s="6">
        <v>1623262.88</v>
      </c>
      <c r="AA114" s="6">
        <v>1</v>
      </c>
      <c r="AB114" s="6">
        <v>1623262.88</v>
      </c>
    </row>
    <row r="115" spans="1:28" x14ac:dyDescent="0.3">
      <c r="A115" s="6">
        <v>50</v>
      </c>
      <c r="B115" s="6">
        <v>0</v>
      </c>
      <c r="C115" s="6">
        <v>0</v>
      </c>
      <c r="D115" s="6">
        <v>1</v>
      </c>
      <c r="E115" s="6">
        <v>202</v>
      </c>
      <c r="F115" s="6">
        <f>ROUND(Source!P112,O115)</f>
        <v>161492.26</v>
      </c>
      <c r="G115" s="6" t="s">
        <v>79</v>
      </c>
      <c r="H115" s="6" t="s">
        <v>80</v>
      </c>
      <c r="I115" s="6"/>
      <c r="J115" s="6"/>
      <c r="K115" s="6">
        <v>202</v>
      </c>
      <c r="L115" s="6">
        <v>2</v>
      </c>
      <c r="M115" s="6">
        <v>3</v>
      </c>
      <c r="N115" s="6" t="s">
        <v>3</v>
      </c>
      <c r="O115" s="6">
        <v>2</v>
      </c>
      <c r="P115" s="6">
        <f>ROUND(Source!DH112,O115)</f>
        <v>1545569.69</v>
      </c>
      <c r="Q115" s="6"/>
      <c r="R115" s="6"/>
      <c r="S115" s="6"/>
      <c r="T115" s="6"/>
      <c r="U115" s="6"/>
      <c r="V115" s="6"/>
      <c r="W115" s="6">
        <v>161492.26</v>
      </c>
      <c r="X115" s="6">
        <v>1</v>
      </c>
      <c r="Y115" s="6">
        <v>161492.26</v>
      </c>
      <c r="Z115" s="6">
        <v>1545569.69</v>
      </c>
      <c r="AA115" s="6">
        <v>1</v>
      </c>
      <c r="AB115" s="6">
        <v>1545569.69</v>
      </c>
    </row>
    <row r="116" spans="1:28" x14ac:dyDescent="0.3">
      <c r="A116" s="6">
        <v>50</v>
      </c>
      <c r="B116" s="6">
        <v>0</v>
      </c>
      <c r="C116" s="6">
        <v>0</v>
      </c>
      <c r="D116" s="6">
        <v>1</v>
      </c>
      <c r="E116" s="6">
        <v>222</v>
      </c>
      <c r="F116" s="6">
        <f>ROUND(Source!AO112,O116)</f>
        <v>0</v>
      </c>
      <c r="G116" s="6" t="s">
        <v>81</v>
      </c>
      <c r="H116" s="6" t="s">
        <v>82</v>
      </c>
      <c r="I116" s="6"/>
      <c r="J116" s="6"/>
      <c r="K116" s="6">
        <v>222</v>
      </c>
      <c r="L116" s="6">
        <v>3</v>
      </c>
      <c r="M116" s="6">
        <v>3</v>
      </c>
      <c r="N116" s="6" t="s">
        <v>3</v>
      </c>
      <c r="O116" s="6">
        <v>2</v>
      </c>
      <c r="P116" s="6">
        <f>ROUND(Source!EG112,O116)</f>
        <v>0</v>
      </c>
      <c r="Q116" s="6"/>
      <c r="R116" s="6"/>
      <c r="S116" s="6"/>
      <c r="T116" s="6"/>
      <c r="U116" s="6"/>
      <c r="V116" s="6"/>
      <c r="W116" s="6">
        <v>0</v>
      </c>
      <c r="X116" s="6">
        <v>1</v>
      </c>
      <c r="Y116" s="6">
        <v>0</v>
      </c>
      <c r="Z116" s="6">
        <v>0</v>
      </c>
      <c r="AA116" s="6">
        <v>1</v>
      </c>
      <c r="AB116" s="6">
        <v>0</v>
      </c>
    </row>
    <row r="117" spans="1:28" x14ac:dyDescent="0.3">
      <c r="A117" s="6">
        <v>50</v>
      </c>
      <c r="B117" s="6">
        <v>0</v>
      </c>
      <c r="C117" s="6">
        <v>0</v>
      </c>
      <c r="D117" s="6">
        <v>1</v>
      </c>
      <c r="E117" s="6">
        <v>225</v>
      </c>
      <c r="F117" s="6">
        <f>ROUND(Source!AV112,O117)</f>
        <v>161492.26</v>
      </c>
      <c r="G117" s="6" t="s">
        <v>83</v>
      </c>
      <c r="H117" s="6" t="s">
        <v>84</v>
      </c>
      <c r="I117" s="6"/>
      <c r="J117" s="6"/>
      <c r="K117" s="6">
        <v>225</v>
      </c>
      <c r="L117" s="6">
        <v>4</v>
      </c>
      <c r="M117" s="6">
        <v>3</v>
      </c>
      <c r="N117" s="6" t="s">
        <v>3</v>
      </c>
      <c r="O117" s="6">
        <v>2</v>
      </c>
      <c r="P117" s="6">
        <f>ROUND(Source!EN112,O117)</f>
        <v>1545569.69</v>
      </c>
      <c r="Q117" s="6"/>
      <c r="R117" s="6"/>
      <c r="S117" s="6"/>
      <c r="T117" s="6"/>
      <c r="U117" s="6"/>
      <c r="V117" s="6"/>
      <c r="W117" s="6">
        <v>161492.26</v>
      </c>
      <c r="X117" s="6">
        <v>1</v>
      </c>
      <c r="Y117" s="6">
        <v>161492.26</v>
      </c>
      <c r="Z117" s="6">
        <v>1545569.69</v>
      </c>
      <c r="AA117" s="6">
        <v>1</v>
      </c>
      <c r="AB117" s="6">
        <v>1545569.69</v>
      </c>
    </row>
    <row r="118" spans="1:28" x14ac:dyDescent="0.3">
      <c r="A118" s="6">
        <v>50</v>
      </c>
      <c r="B118" s="6">
        <v>0</v>
      </c>
      <c r="C118" s="6">
        <v>0</v>
      </c>
      <c r="D118" s="6">
        <v>1</v>
      </c>
      <c r="E118" s="6">
        <v>226</v>
      </c>
      <c r="F118" s="6">
        <f>ROUND(Source!AW112,O118)</f>
        <v>139001.04999999999</v>
      </c>
      <c r="G118" s="6" t="s">
        <v>85</v>
      </c>
      <c r="H118" s="6" t="s">
        <v>86</v>
      </c>
      <c r="I118" s="6"/>
      <c r="J118" s="6"/>
      <c r="K118" s="6">
        <v>226</v>
      </c>
      <c r="L118" s="6">
        <v>5</v>
      </c>
      <c r="M118" s="6">
        <v>3</v>
      </c>
      <c r="N118" s="6" t="s">
        <v>3</v>
      </c>
      <c r="O118" s="6">
        <v>2</v>
      </c>
      <c r="P118" s="6">
        <f>ROUND(Source!EO112,O118)</f>
        <v>1373287.02</v>
      </c>
      <c r="Q118" s="6"/>
      <c r="R118" s="6"/>
      <c r="S118" s="6"/>
      <c r="T118" s="6"/>
      <c r="U118" s="6"/>
      <c r="V118" s="6"/>
      <c r="W118" s="6">
        <v>139001.04999999999</v>
      </c>
      <c r="X118" s="6">
        <v>1</v>
      </c>
      <c r="Y118" s="6">
        <v>139001.04999999999</v>
      </c>
      <c r="Z118" s="6">
        <v>1373287.02</v>
      </c>
      <c r="AA118" s="6">
        <v>1</v>
      </c>
      <c r="AB118" s="6">
        <v>1373287.02</v>
      </c>
    </row>
    <row r="119" spans="1:28" x14ac:dyDescent="0.3">
      <c r="A119" s="6">
        <v>50</v>
      </c>
      <c r="B119" s="6">
        <v>0</v>
      </c>
      <c r="C119" s="6">
        <v>0</v>
      </c>
      <c r="D119" s="6">
        <v>1</v>
      </c>
      <c r="E119" s="6">
        <v>227</v>
      </c>
      <c r="F119" s="6">
        <f>ROUND(Source!AX112,O119)</f>
        <v>0</v>
      </c>
      <c r="G119" s="6" t="s">
        <v>87</v>
      </c>
      <c r="H119" s="6" t="s">
        <v>88</v>
      </c>
      <c r="I119" s="6"/>
      <c r="J119" s="6"/>
      <c r="K119" s="6">
        <v>227</v>
      </c>
      <c r="L119" s="6">
        <v>6</v>
      </c>
      <c r="M119" s="6">
        <v>3</v>
      </c>
      <c r="N119" s="6" t="s">
        <v>3</v>
      </c>
      <c r="O119" s="6">
        <v>2</v>
      </c>
      <c r="P119" s="6">
        <f>ROUND(Source!EP112,O119)</f>
        <v>0</v>
      </c>
      <c r="Q119" s="6"/>
      <c r="R119" s="6"/>
      <c r="S119" s="6"/>
      <c r="T119" s="6"/>
      <c r="U119" s="6"/>
      <c r="V119" s="6"/>
      <c r="W119" s="6">
        <v>0</v>
      </c>
      <c r="X119" s="6">
        <v>1</v>
      </c>
      <c r="Y119" s="6">
        <v>0</v>
      </c>
      <c r="Z119" s="6">
        <v>0</v>
      </c>
      <c r="AA119" s="6">
        <v>1</v>
      </c>
      <c r="AB119" s="6">
        <v>0</v>
      </c>
    </row>
    <row r="120" spans="1:28" x14ac:dyDescent="0.3">
      <c r="A120" s="6">
        <v>50</v>
      </c>
      <c r="B120" s="6">
        <v>0</v>
      </c>
      <c r="C120" s="6">
        <v>0</v>
      </c>
      <c r="D120" s="6">
        <v>1</v>
      </c>
      <c r="E120" s="6">
        <v>228</v>
      </c>
      <c r="F120" s="6">
        <f>ROUND(Source!AY112,O120)</f>
        <v>139001.04999999999</v>
      </c>
      <c r="G120" s="6" t="s">
        <v>89</v>
      </c>
      <c r="H120" s="6" t="s">
        <v>90</v>
      </c>
      <c r="I120" s="6"/>
      <c r="J120" s="6"/>
      <c r="K120" s="6">
        <v>228</v>
      </c>
      <c r="L120" s="6">
        <v>7</v>
      </c>
      <c r="M120" s="6">
        <v>3</v>
      </c>
      <c r="N120" s="6" t="s">
        <v>3</v>
      </c>
      <c r="O120" s="6">
        <v>2</v>
      </c>
      <c r="P120" s="6">
        <f>ROUND(Source!EQ112,O120)</f>
        <v>1373287.02</v>
      </c>
      <c r="Q120" s="6"/>
      <c r="R120" s="6"/>
      <c r="S120" s="6"/>
      <c r="T120" s="6"/>
      <c r="U120" s="6"/>
      <c r="V120" s="6"/>
      <c r="W120" s="6">
        <v>139001.04999999999</v>
      </c>
      <c r="X120" s="6">
        <v>1</v>
      </c>
      <c r="Y120" s="6">
        <v>139001.04999999999</v>
      </c>
      <c r="Z120" s="6">
        <v>1373287.02</v>
      </c>
      <c r="AA120" s="6">
        <v>1</v>
      </c>
      <c r="AB120" s="6">
        <v>1373287.02</v>
      </c>
    </row>
    <row r="121" spans="1:28" x14ac:dyDescent="0.3">
      <c r="A121" s="6">
        <v>50</v>
      </c>
      <c r="B121" s="6">
        <v>0</v>
      </c>
      <c r="C121" s="6">
        <v>0</v>
      </c>
      <c r="D121" s="6">
        <v>1</v>
      </c>
      <c r="E121" s="6">
        <v>216</v>
      </c>
      <c r="F121" s="6">
        <f>ROUND(Source!AP112,O121)</f>
        <v>22491.21</v>
      </c>
      <c r="G121" s="6" t="s">
        <v>91</v>
      </c>
      <c r="H121" s="6" t="s">
        <v>92</v>
      </c>
      <c r="I121" s="6"/>
      <c r="J121" s="6"/>
      <c r="K121" s="6">
        <v>216</v>
      </c>
      <c r="L121" s="6">
        <v>8</v>
      </c>
      <c r="M121" s="6">
        <v>3</v>
      </c>
      <c r="N121" s="6" t="s">
        <v>3</v>
      </c>
      <c r="O121" s="6">
        <v>2</v>
      </c>
      <c r="P121" s="6">
        <f>ROUND(Source!EH112,O121)</f>
        <v>172282.67</v>
      </c>
      <c r="Q121" s="6"/>
      <c r="R121" s="6"/>
      <c r="S121" s="6"/>
      <c r="T121" s="6"/>
      <c r="U121" s="6"/>
      <c r="V121" s="6"/>
      <c r="W121" s="6">
        <v>22491.21</v>
      </c>
      <c r="X121" s="6">
        <v>1</v>
      </c>
      <c r="Y121" s="6">
        <v>22491.21</v>
      </c>
      <c r="Z121" s="6">
        <v>172282.67</v>
      </c>
      <c r="AA121" s="6">
        <v>1</v>
      </c>
      <c r="AB121" s="6">
        <v>172282.67</v>
      </c>
    </row>
    <row r="122" spans="1:28" x14ac:dyDescent="0.3">
      <c r="A122" s="6">
        <v>50</v>
      </c>
      <c r="B122" s="6">
        <v>0</v>
      </c>
      <c r="C122" s="6">
        <v>0</v>
      </c>
      <c r="D122" s="6">
        <v>1</v>
      </c>
      <c r="E122" s="6">
        <v>223</v>
      </c>
      <c r="F122" s="6">
        <f>ROUND(Source!AQ112,O122)</f>
        <v>0</v>
      </c>
      <c r="G122" s="6" t="s">
        <v>93</v>
      </c>
      <c r="H122" s="6" t="s">
        <v>94</v>
      </c>
      <c r="I122" s="6"/>
      <c r="J122" s="6"/>
      <c r="K122" s="6">
        <v>223</v>
      </c>
      <c r="L122" s="6">
        <v>9</v>
      </c>
      <c r="M122" s="6">
        <v>3</v>
      </c>
      <c r="N122" s="6" t="s">
        <v>3</v>
      </c>
      <c r="O122" s="6">
        <v>2</v>
      </c>
      <c r="P122" s="6">
        <f>ROUND(Source!EI112,O122)</f>
        <v>0</v>
      </c>
      <c r="Q122" s="6"/>
      <c r="R122" s="6"/>
      <c r="S122" s="6"/>
      <c r="T122" s="6"/>
      <c r="U122" s="6"/>
      <c r="V122" s="6"/>
      <c r="W122" s="6">
        <v>0</v>
      </c>
      <c r="X122" s="6">
        <v>1</v>
      </c>
      <c r="Y122" s="6">
        <v>0</v>
      </c>
      <c r="Z122" s="6">
        <v>0</v>
      </c>
      <c r="AA122" s="6">
        <v>1</v>
      </c>
      <c r="AB122" s="6">
        <v>0</v>
      </c>
    </row>
    <row r="123" spans="1:28" x14ac:dyDescent="0.3">
      <c r="A123" s="6">
        <v>50</v>
      </c>
      <c r="B123" s="6">
        <v>0</v>
      </c>
      <c r="C123" s="6">
        <v>0</v>
      </c>
      <c r="D123" s="6">
        <v>1</v>
      </c>
      <c r="E123" s="6">
        <v>229</v>
      </c>
      <c r="F123" s="6">
        <f>ROUND(Source!AZ112,O123)</f>
        <v>22491.21</v>
      </c>
      <c r="G123" s="6" t="s">
        <v>95</v>
      </c>
      <c r="H123" s="6" t="s">
        <v>96</v>
      </c>
      <c r="I123" s="6"/>
      <c r="J123" s="6"/>
      <c r="K123" s="6">
        <v>229</v>
      </c>
      <c r="L123" s="6">
        <v>10</v>
      </c>
      <c r="M123" s="6">
        <v>3</v>
      </c>
      <c r="N123" s="6" t="s">
        <v>3</v>
      </c>
      <c r="O123" s="6">
        <v>2</v>
      </c>
      <c r="P123" s="6">
        <f>ROUND(Source!ER112,O123)</f>
        <v>172282.67</v>
      </c>
      <c r="Q123" s="6"/>
      <c r="R123" s="6"/>
      <c r="S123" s="6"/>
      <c r="T123" s="6"/>
      <c r="U123" s="6"/>
      <c r="V123" s="6"/>
      <c r="W123" s="6">
        <v>22491.21</v>
      </c>
      <c r="X123" s="6">
        <v>1</v>
      </c>
      <c r="Y123" s="6">
        <v>22491.21</v>
      </c>
      <c r="Z123" s="6">
        <v>172282.67</v>
      </c>
      <c r="AA123" s="6">
        <v>1</v>
      </c>
      <c r="AB123" s="6">
        <v>172282.67</v>
      </c>
    </row>
    <row r="124" spans="1:28" x14ac:dyDescent="0.3">
      <c r="A124" s="6">
        <v>50</v>
      </c>
      <c r="B124" s="6">
        <v>0</v>
      </c>
      <c r="C124" s="6">
        <v>0</v>
      </c>
      <c r="D124" s="6">
        <v>1</v>
      </c>
      <c r="E124" s="6">
        <v>203</v>
      </c>
      <c r="F124" s="6">
        <f>ROUND(Source!Q112,O124)</f>
        <v>329.89</v>
      </c>
      <c r="G124" s="6" t="s">
        <v>97</v>
      </c>
      <c r="H124" s="6" t="s">
        <v>98</v>
      </c>
      <c r="I124" s="6"/>
      <c r="J124" s="6"/>
      <c r="K124" s="6">
        <v>203</v>
      </c>
      <c r="L124" s="6">
        <v>11</v>
      </c>
      <c r="M124" s="6">
        <v>3</v>
      </c>
      <c r="N124" s="6" t="s">
        <v>3</v>
      </c>
      <c r="O124" s="6">
        <v>2</v>
      </c>
      <c r="P124" s="6">
        <f>ROUND(Source!DI112,O124)</f>
        <v>5059.6499999999996</v>
      </c>
      <c r="Q124" s="6"/>
      <c r="R124" s="6"/>
      <c r="S124" s="6"/>
      <c r="T124" s="6"/>
      <c r="U124" s="6"/>
      <c r="V124" s="6"/>
      <c r="W124" s="6">
        <v>329.89</v>
      </c>
      <c r="X124" s="6">
        <v>1</v>
      </c>
      <c r="Y124" s="6">
        <v>329.89</v>
      </c>
      <c r="Z124" s="6">
        <v>5059.6499999999996</v>
      </c>
      <c r="AA124" s="6">
        <v>1</v>
      </c>
      <c r="AB124" s="6">
        <v>5059.6499999999996</v>
      </c>
    </row>
    <row r="125" spans="1:28" x14ac:dyDescent="0.3">
      <c r="A125" s="6">
        <v>50</v>
      </c>
      <c r="B125" s="6">
        <v>0</v>
      </c>
      <c r="C125" s="6">
        <v>0</v>
      </c>
      <c r="D125" s="6">
        <v>1</v>
      </c>
      <c r="E125" s="6">
        <v>231</v>
      </c>
      <c r="F125" s="6">
        <f>ROUND(Source!BB112,O125)</f>
        <v>0</v>
      </c>
      <c r="G125" s="6" t="s">
        <v>99</v>
      </c>
      <c r="H125" s="6" t="s">
        <v>100</v>
      </c>
      <c r="I125" s="6"/>
      <c r="J125" s="6"/>
      <c r="K125" s="6">
        <v>231</v>
      </c>
      <c r="L125" s="6">
        <v>12</v>
      </c>
      <c r="M125" s="6">
        <v>3</v>
      </c>
      <c r="N125" s="6" t="s">
        <v>3</v>
      </c>
      <c r="O125" s="6">
        <v>2</v>
      </c>
      <c r="P125" s="6">
        <f>ROUND(Source!ET112,O125)</f>
        <v>0</v>
      </c>
      <c r="Q125" s="6"/>
      <c r="R125" s="6"/>
      <c r="S125" s="6"/>
      <c r="T125" s="6"/>
      <c r="U125" s="6"/>
      <c r="V125" s="6"/>
      <c r="W125" s="6">
        <v>0</v>
      </c>
      <c r="X125" s="6">
        <v>1</v>
      </c>
      <c r="Y125" s="6">
        <v>0</v>
      </c>
      <c r="Z125" s="6">
        <v>0</v>
      </c>
      <c r="AA125" s="6">
        <v>1</v>
      </c>
      <c r="AB125" s="6">
        <v>0</v>
      </c>
    </row>
    <row r="126" spans="1:28" x14ac:dyDescent="0.3">
      <c r="A126" s="6">
        <v>50</v>
      </c>
      <c r="B126" s="6">
        <v>0</v>
      </c>
      <c r="C126" s="6">
        <v>0</v>
      </c>
      <c r="D126" s="6">
        <v>1</v>
      </c>
      <c r="E126" s="6">
        <v>204</v>
      </c>
      <c r="F126" s="6">
        <f>ROUND(Source!R112,O126)</f>
        <v>36.119999999999997</v>
      </c>
      <c r="G126" s="6" t="s">
        <v>101</v>
      </c>
      <c r="H126" s="6" t="s">
        <v>102</v>
      </c>
      <c r="I126" s="6"/>
      <c r="J126" s="6"/>
      <c r="K126" s="6">
        <v>204</v>
      </c>
      <c r="L126" s="6">
        <v>13</v>
      </c>
      <c r="M126" s="6">
        <v>3</v>
      </c>
      <c r="N126" s="6" t="s">
        <v>3</v>
      </c>
      <c r="O126" s="6">
        <v>2</v>
      </c>
      <c r="P126" s="6">
        <f>ROUND(Source!DJ112,O126)</f>
        <v>1986.23</v>
      </c>
      <c r="Q126" s="6"/>
      <c r="R126" s="6"/>
      <c r="S126" s="6"/>
      <c r="T126" s="6"/>
      <c r="U126" s="6"/>
      <c r="V126" s="6"/>
      <c r="W126" s="6">
        <v>36.119999999999997</v>
      </c>
      <c r="X126" s="6">
        <v>1</v>
      </c>
      <c r="Y126" s="6">
        <v>36.119999999999997</v>
      </c>
      <c r="Z126" s="6">
        <v>1986.23</v>
      </c>
      <c r="AA126" s="6">
        <v>1</v>
      </c>
      <c r="AB126" s="6">
        <v>1986.23</v>
      </c>
    </row>
    <row r="127" spans="1:28" x14ac:dyDescent="0.3">
      <c r="A127" s="6">
        <v>50</v>
      </c>
      <c r="B127" s="6">
        <v>0</v>
      </c>
      <c r="C127" s="6">
        <v>0</v>
      </c>
      <c r="D127" s="6">
        <v>1</v>
      </c>
      <c r="E127" s="6">
        <v>205</v>
      </c>
      <c r="F127" s="6">
        <f>ROUND(Source!S112,O127)</f>
        <v>1320.85</v>
      </c>
      <c r="G127" s="6" t="s">
        <v>103</v>
      </c>
      <c r="H127" s="6" t="s">
        <v>104</v>
      </c>
      <c r="I127" s="6"/>
      <c r="J127" s="6"/>
      <c r="K127" s="6">
        <v>205</v>
      </c>
      <c r="L127" s="6">
        <v>14</v>
      </c>
      <c r="M127" s="6">
        <v>3</v>
      </c>
      <c r="N127" s="6" t="s">
        <v>3</v>
      </c>
      <c r="O127" s="6">
        <v>2</v>
      </c>
      <c r="P127" s="6">
        <f>ROUND(Source!DK112,O127)</f>
        <v>72633.539999999994</v>
      </c>
      <c r="Q127" s="6"/>
      <c r="R127" s="6"/>
      <c r="S127" s="6"/>
      <c r="T127" s="6"/>
      <c r="U127" s="6"/>
      <c r="V127" s="6"/>
      <c r="W127" s="6">
        <v>1320.85</v>
      </c>
      <c r="X127" s="6">
        <v>1</v>
      </c>
      <c r="Y127" s="6">
        <v>1320.85</v>
      </c>
      <c r="Z127" s="6">
        <v>72633.539999999994</v>
      </c>
      <c r="AA127" s="6">
        <v>1</v>
      </c>
      <c r="AB127" s="6">
        <v>72633.539999999994</v>
      </c>
    </row>
    <row r="128" spans="1:28" x14ac:dyDescent="0.3">
      <c r="A128" s="6">
        <v>50</v>
      </c>
      <c r="B128" s="6">
        <v>0</v>
      </c>
      <c r="C128" s="6">
        <v>0</v>
      </c>
      <c r="D128" s="6">
        <v>1</v>
      </c>
      <c r="E128" s="6">
        <v>232</v>
      </c>
      <c r="F128" s="6">
        <f>ROUND(Source!BC112,O128)</f>
        <v>0</v>
      </c>
      <c r="G128" s="6" t="s">
        <v>105</v>
      </c>
      <c r="H128" s="6" t="s">
        <v>106</v>
      </c>
      <c r="I128" s="6"/>
      <c r="J128" s="6"/>
      <c r="K128" s="6">
        <v>232</v>
      </c>
      <c r="L128" s="6">
        <v>15</v>
      </c>
      <c r="M128" s="6">
        <v>3</v>
      </c>
      <c r="N128" s="6" t="s">
        <v>3</v>
      </c>
      <c r="O128" s="6">
        <v>2</v>
      </c>
      <c r="P128" s="6">
        <f>ROUND(Source!EU112,O128)</f>
        <v>0</v>
      </c>
      <c r="Q128" s="6"/>
      <c r="R128" s="6"/>
      <c r="S128" s="6"/>
      <c r="T128" s="6"/>
      <c r="U128" s="6"/>
      <c r="V128" s="6"/>
      <c r="W128" s="6">
        <v>0</v>
      </c>
      <c r="X128" s="6">
        <v>1</v>
      </c>
      <c r="Y128" s="6">
        <v>0</v>
      </c>
      <c r="Z128" s="6">
        <v>0</v>
      </c>
      <c r="AA128" s="6">
        <v>1</v>
      </c>
      <c r="AB128" s="6">
        <v>0</v>
      </c>
    </row>
    <row r="129" spans="1:206" x14ac:dyDescent="0.3">
      <c r="A129" s="6">
        <v>50</v>
      </c>
      <c r="B129" s="6">
        <v>0</v>
      </c>
      <c r="C129" s="6">
        <v>0</v>
      </c>
      <c r="D129" s="6">
        <v>1</v>
      </c>
      <c r="E129" s="6">
        <v>214</v>
      </c>
      <c r="F129" s="6">
        <f>ROUND(Source!AS112,O129)</f>
        <v>0</v>
      </c>
      <c r="G129" s="6" t="s">
        <v>107</v>
      </c>
      <c r="H129" s="6" t="s">
        <v>108</v>
      </c>
      <c r="I129" s="6"/>
      <c r="J129" s="6"/>
      <c r="K129" s="6">
        <v>214</v>
      </c>
      <c r="L129" s="6">
        <v>16</v>
      </c>
      <c r="M129" s="6">
        <v>3</v>
      </c>
      <c r="N129" s="6" t="s">
        <v>3</v>
      </c>
      <c r="O129" s="6">
        <v>2</v>
      </c>
      <c r="P129" s="6">
        <f>ROUND(Source!EK112,O129)</f>
        <v>0</v>
      </c>
      <c r="Q129" s="6"/>
      <c r="R129" s="6"/>
      <c r="S129" s="6"/>
      <c r="T129" s="6"/>
      <c r="U129" s="6"/>
      <c r="V129" s="6"/>
      <c r="W129" s="6">
        <v>0</v>
      </c>
      <c r="X129" s="6">
        <v>1</v>
      </c>
      <c r="Y129" s="6">
        <v>0</v>
      </c>
      <c r="Z129" s="6">
        <v>0</v>
      </c>
      <c r="AA129" s="6">
        <v>1</v>
      </c>
      <c r="AB129" s="6">
        <v>0</v>
      </c>
    </row>
    <row r="130" spans="1:206" x14ac:dyDescent="0.3">
      <c r="A130" s="6">
        <v>50</v>
      </c>
      <c r="B130" s="6">
        <v>0</v>
      </c>
      <c r="C130" s="6">
        <v>0</v>
      </c>
      <c r="D130" s="6">
        <v>1</v>
      </c>
      <c r="E130" s="6">
        <v>215</v>
      </c>
      <c r="F130" s="6">
        <f>ROUND(Source!AT112,O130)</f>
        <v>142497.26999999999</v>
      </c>
      <c r="G130" s="6" t="s">
        <v>109</v>
      </c>
      <c r="H130" s="6" t="s">
        <v>110</v>
      </c>
      <c r="I130" s="6"/>
      <c r="J130" s="6"/>
      <c r="K130" s="6">
        <v>215</v>
      </c>
      <c r="L130" s="6">
        <v>17</v>
      </c>
      <c r="M130" s="6">
        <v>3</v>
      </c>
      <c r="N130" s="6" t="s">
        <v>3</v>
      </c>
      <c r="O130" s="6">
        <v>2</v>
      </c>
      <c r="P130" s="6">
        <f>ROUND(Source!EL112,O130)</f>
        <v>1552463.1</v>
      </c>
      <c r="Q130" s="6"/>
      <c r="R130" s="6"/>
      <c r="S130" s="6"/>
      <c r="T130" s="6"/>
      <c r="U130" s="6"/>
      <c r="V130" s="6"/>
      <c r="W130" s="6">
        <v>142497.26999999999</v>
      </c>
      <c r="X130" s="6">
        <v>1</v>
      </c>
      <c r="Y130" s="6">
        <v>142497.26999999999</v>
      </c>
      <c r="Z130" s="6">
        <v>1552463.1</v>
      </c>
      <c r="AA130" s="6">
        <v>1</v>
      </c>
      <c r="AB130" s="6">
        <v>1552463.1</v>
      </c>
    </row>
    <row r="131" spans="1:206" x14ac:dyDescent="0.3">
      <c r="A131" s="6">
        <v>50</v>
      </c>
      <c r="B131" s="6">
        <v>0</v>
      </c>
      <c r="C131" s="6">
        <v>0</v>
      </c>
      <c r="D131" s="6">
        <v>1</v>
      </c>
      <c r="E131" s="6">
        <v>217</v>
      </c>
      <c r="F131" s="6">
        <f>ROUND(Source!AU112,O131)</f>
        <v>0</v>
      </c>
      <c r="G131" s="6" t="s">
        <v>111</v>
      </c>
      <c r="H131" s="6" t="s">
        <v>112</v>
      </c>
      <c r="I131" s="6"/>
      <c r="J131" s="6"/>
      <c r="K131" s="6">
        <v>217</v>
      </c>
      <c r="L131" s="6">
        <v>18</v>
      </c>
      <c r="M131" s="6">
        <v>3</v>
      </c>
      <c r="N131" s="6" t="s">
        <v>3</v>
      </c>
      <c r="O131" s="6">
        <v>2</v>
      </c>
      <c r="P131" s="6">
        <f>ROUND(Source!EM112,O131)</f>
        <v>0</v>
      </c>
      <c r="Q131" s="6"/>
      <c r="R131" s="6"/>
      <c r="S131" s="6"/>
      <c r="T131" s="6"/>
      <c r="U131" s="6"/>
      <c r="V131" s="6"/>
      <c r="W131" s="6">
        <v>0</v>
      </c>
      <c r="X131" s="6">
        <v>1</v>
      </c>
      <c r="Y131" s="6">
        <v>0</v>
      </c>
      <c r="Z131" s="6">
        <v>0</v>
      </c>
      <c r="AA131" s="6">
        <v>1</v>
      </c>
      <c r="AB131" s="6">
        <v>0</v>
      </c>
    </row>
    <row r="132" spans="1:206" x14ac:dyDescent="0.3">
      <c r="A132" s="6">
        <v>50</v>
      </c>
      <c r="B132" s="6">
        <v>0</v>
      </c>
      <c r="C132" s="6">
        <v>0</v>
      </c>
      <c r="D132" s="6">
        <v>1</v>
      </c>
      <c r="E132" s="6">
        <v>230</v>
      </c>
      <c r="F132" s="6">
        <f>ROUND(Source!BA112,O132)</f>
        <v>0</v>
      </c>
      <c r="G132" s="6" t="s">
        <v>113</v>
      </c>
      <c r="H132" s="6" t="s">
        <v>114</v>
      </c>
      <c r="I132" s="6"/>
      <c r="J132" s="6"/>
      <c r="K132" s="6">
        <v>230</v>
      </c>
      <c r="L132" s="6">
        <v>19</v>
      </c>
      <c r="M132" s="6">
        <v>3</v>
      </c>
      <c r="N132" s="6" t="s">
        <v>3</v>
      </c>
      <c r="O132" s="6">
        <v>2</v>
      </c>
      <c r="P132" s="6">
        <f>ROUND(Source!ES112,O132)</f>
        <v>0</v>
      </c>
      <c r="Q132" s="6"/>
      <c r="R132" s="6"/>
      <c r="S132" s="6"/>
      <c r="T132" s="6"/>
      <c r="U132" s="6"/>
      <c r="V132" s="6"/>
      <c r="W132" s="6">
        <v>0</v>
      </c>
      <c r="X132" s="6">
        <v>1</v>
      </c>
      <c r="Y132" s="6">
        <v>0</v>
      </c>
      <c r="Z132" s="6">
        <v>0</v>
      </c>
      <c r="AA132" s="6">
        <v>1</v>
      </c>
      <c r="AB132" s="6">
        <v>0</v>
      </c>
    </row>
    <row r="133" spans="1:206" x14ac:dyDescent="0.3">
      <c r="A133" s="6">
        <v>50</v>
      </c>
      <c r="B133" s="6">
        <v>0</v>
      </c>
      <c r="C133" s="6">
        <v>0</v>
      </c>
      <c r="D133" s="6">
        <v>1</v>
      </c>
      <c r="E133" s="6">
        <v>206</v>
      </c>
      <c r="F133" s="6">
        <f>ROUND(Source!T112,O133)</f>
        <v>0</v>
      </c>
      <c r="G133" s="6" t="s">
        <v>115</v>
      </c>
      <c r="H133" s="6" t="s">
        <v>116</v>
      </c>
      <c r="I133" s="6"/>
      <c r="J133" s="6"/>
      <c r="K133" s="6">
        <v>206</v>
      </c>
      <c r="L133" s="6">
        <v>20</v>
      </c>
      <c r="M133" s="6">
        <v>3</v>
      </c>
      <c r="N133" s="6" t="s">
        <v>3</v>
      </c>
      <c r="O133" s="6">
        <v>2</v>
      </c>
      <c r="P133" s="6">
        <f>ROUND(Source!DL112,O133)</f>
        <v>0</v>
      </c>
      <c r="Q133" s="6"/>
      <c r="R133" s="6"/>
      <c r="S133" s="6"/>
      <c r="T133" s="6"/>
      <c r="U133" s="6"/>
      <c r="V133" s="6"/>
      <c r="W133" s="6">
        <v>0</v>
      </c>
      <c r="X133" s="6">
        <v>1</v>
      </c>
      <c r="Y133" s="6">
        <v>0</v>
      </c>
      <c r="Z133" s="6">
        <v>0</v>
      </c>
      <c r="AA133" s="6">
        <v>1</v>
      </c>
      <c r="AB133" s="6">
        <v>0</v>
      </c>
    </row>
    <row r="134" spans="1:206" x14ac:dyDescent="0.3">
      <c r="A134" s="6">
        <v>50</v>
      </c>
      <c r="B134" s="6">
        <v>0</v>
      </c>
      <c r="C134" s="6">
        <v>0</v>
      </c>
      <c r="D134" s="6">
        <v>1</v>
      </c>
      <c r="E134" s="6">
        <v>207</v>
      </c>
      <c r="F134" s="6">
        <f>Source!U112</f>
        <v>117.312162</v>
      </c>
      <c r="G134" s="6" t="s">
        <v>117</v>
      </c>
      <c r="H134" s="6" t="s">
        <v>118</v>
      </c>
      <c r="I134" s="6"/>
      <c r="J134" s="6"/>
      <c r="K134" s="6">
        <v>207</v>
      </c>
      <c r="L134" s="6">
        <v>21</v>
      </c>
      <c r="M134" s="6">
        <v>3</v>
      </c>
      <c r="N134" s="6" t="s">
        <v>3</v>
      </c>
      <c r="O134" s="6">
        <v>-1</v>
      </c>
      <c r="P134" s="6">
        <f>Source!DM112</f>
        <v>117.312162</v>
      </c>
      <c r="Q134" s="6"/>
      <c r="R134" s="6"/>
      <c r="S134" s="6"/>
      <c r="T134" s="6"/>
      <c r="U134" s="6"/>
      <c r="V134" s="6"/>
      <c r="W134" s="6">
        <v>117.312162</v>
      </c>
      <c r="X134" s="6">
        <v>1</v>
      </c>
      <c r="Y134" s="6">
        <v>117.312162</v>
      </c>
      <c r="Z134" s="6">
        <v>117.312162</v>
      </c>
      <c r="AA134" s="6">
        <v>1</v>
      </c>
      <c r="AB134" s="6">
        <v>117.312162</v>
      </c>
    </row>
    <row r="135" spans="1:206" x14ac:dyDescent="0.3">
      <c r="A135" s="6">
        <v>50</v>
      </c>
      <c r="B135" s="6">
        <v>0</v>
      </c>
      <c r="C135" s="6">
        <v>0</v>
      </c>
      <c r="D135" s="6">
        <v>1</v>
      </c>
      <c r="E135" s="6">
        <v>208</v>
      </c>
      <c r="F135" s="6">
        <f>Source!V112</f>
        <v>0</v>
      </c>
      <c r="G135" s="6" t="s">
        <v>119</v>
      </c>
      <c r="H135" s="6" t="s">
        <v>120</v>
      </c>
      <c r="I135" s="6"/>
      <c r="J135" s="6"/>
      <c r="K135" s="6">
        <v>208</v>
      </c>
      <c r="L135" s="6">
        <v>22</v>
      </c>
      <c r="M135" s="6">
        <v>3</v>
      </c>
      <c r="N135" s="6" t="s">
        <v>3</v>
      </c>
      <c r="O135" s="6">
        <v>-1</v>
      </c>
      <c r="P135" s="6">
        <f>Source!DN112</f>
        <v>0</v>
      </c>
      <c r="Q135" s="6"/>
      <c r="R135" s="6"/>
      <c r="S135" s="6"/>
      <c r="T135" s="6"/>
      <c r="U135" s="6"/>
      <c r="V135" s="6"/>
      <c r="W135" s="6">
        <v>0</v>
      </c>
      <c r="X135" s="6">
        <v>1</v>
      </c>
      <c r="Y135" s="6">
        <v>0</v>
      </c>
      <c r="Z135" s="6">
        <v>0</v>
      </c>
      <c r="AA135" s="6">
        <v>1</v>
      </c>
      <c r="AB135" s="6">
        <v>0</v>
      </c>
    </row>
    <row r="136" spans="1:206" x14ac:dyDescent="0.3">
      <c r="A136" s="6">
        <v>50</v>
      </c>
      <c r="B136" s="6">
        <v>0</v>
      </c>
      <c r="C136" s="6">
        <v>0</v>
      </c>
      <c r="D136" s="6">
        <v>1</v>
      </c>
      <c r="E136" s="6">
        <v>209</v>
      </c>
      <c r="F136" s="6">
        <f>ROUND(Source!W112,O136)</f>
        <v>0</v>
      </c>
      <c r="G136" s="6" t="s">
        <v>121</v>
      </c>
      <c r="H136" s="6" t="s">
        <v>122</v>
      </c>
      <c r="I136" s="6"/>
      <c r="J136" s="6"/>
      <c r="K136" s="6">
        <v>209</v>
      </c>
      <c r="L136" s="6">
        <v>23</v>
      </c>
      <c r="M136" s="6">
        <v>3</v>
      </c>
      <c r="N136" s="6" t="s">
        <v>3</v>
      </c>
      <c r="O136" s="6">
        <v>2</v>
      </c>
      <c r="P136" s="6">
        <f>ROUND(Source!DO112,O136)</f>
        <v>0</v>
      </c>
      <c r="Q136" s="6"/>
      <c r="R136" s="6"/>
      <c r="S136" s="6"/>
      <c r="T136" s="6"/>
      <c r="U136" s="6"/>
      <c r="V136" s="6"/>
      <c r="W136" s="6">
        <v>0</v>
      </c>
      <c r="X136" s="6">
        <v>1</v>
      </c>
      <c r="Y136" s="6">
        <v>0</v>
      </c>
      <c r="Z136" s="6">
        <v>0</v>
      </c>
      <c r="AA136" s="6">
        <v>1</v>
      </c>
      <c r="AB136" s="6">
        <v>0</v>
      </c>
    </row>
    <row r="137" spans="1:206" x14ac:dyDescent="0.3">
      <c r="A137" s="6">
        <v>50</v>
      </c>
      <c r="B137" s="6">
        <v>0</v>
      </c>
      <c r="C137" s="6">
        <v>0</v>
      </c>
      <c r="D137" s="6">
        <v>1</v>
      </c>
      <c r="E137" s="6">
        <v>233</v>
      </c>
      <c r="F137" s="6">
        <f>ROUND(Source!BD112,O137)</f>
        <v>0</v>
      </c>
      <c r="G137" s="6" t="s">
        <v>123</v>
      </c>
      <c r="H137" s="6" t="s">
        <v>124</v>
      </c>
      <c r="I137" s="6"/>
      <c r="J137" s="6"/>
      <c r="K137" s="6">
        <v>233</v>
      </c>
      <c r="L137" s="6">
        <v>24</v>
      </c>
      <c r="M137" s="6">
        <v>3</v>
      </c>
      <c r="N137" s="6" t="s">
        <v>3</v>
      </c>
      <c r="O137" s="6">
        <v>2</v>
      </c>
      <c r="P137" s="6">
        <f>ROUND(Source!EV112,O137)</f>
        <v>0</v>
      </c>
      <c r="Q137" s="6"/>
      <c r="R137" s="6"/>
      <c r="S137" s="6"/>
      <c r="T137" s="6"/>
      <c r="U137" s="6"/>
      <c r="V137" s="6"/>
      <c r="W137" s="6">
        <v>0</v>
      </c>
      <c r="X137" s="6">
        <v>1</v>
      </c>
      <c r="Y137" s="6">
        <v>0</v>
      </c>
      <c r="Z137" s="6">
        <v>0</v>
      </c>
      <c r="AA137" s="6">
        <v>1</v>
      </c>
      <c r="AB137" s="6">
        <v>0</v>
      </c>
    </row>
    <row r="138" spans="1:206" x14ac:dyDescent="0.3">
      <c r="A138" s="6">
        <v>50</v>
      </c>
      <c r="B138" s="6">
        <v>0</v>
      </c>
      <c r="C138" s="6">
        <v>0</v>
      </c>
      <c r="D138" s="6">
        <v>1</v>
      </c>
      <c r="E138" s="6">
        <v>210</v>
      </c>
      <c r="F138" s="6">
        <f>ROUND(Source!X112,O138)</f>
        <v>1221.27</v>
      </c>
      <c r="G138" s="6" t="s">
        <v>125</v>
      </c>
      <c r="H138" s="6" t="s">
        <v>126</v>
      </c>
      <c r="I138" s="6"/>
      <c r="J138" s="6"/>
      <c r="K138" s="6">
        <v>210</v>
      </c>
      <c r="L138" s="6">
        <v>25</v>
      </c>
      <c r="M138" s="6">
        <v>3</v>
      </c>
      <c r="N138" s="6" t="s">
        <v>3</v>
      </c>
      <c r="O138" s="6">
        <v>2</v>
      </c>
      <c r="P138" s="6">
        <f>ROUND(Source!DP112,O138)</f>
        <v>67157.8</v>
      </c>
      <c r="Q138" s="6"/>
      <c r="R138" s="6"/>
      <c r="S138" s="6"/>
      <c r="T138" s="6"/>
      <c r="U138" s="6"/>
      <c r="V138" s="6"/>
      <c r="W138" s="6">
        <v>1221.27</v>
      </c>
      <c r="X138" s="6">
        <v>1</v>
      </c>
      <c r="Y138" s="6">
        <v>1221.27</v>
      </c>
      <c r="Z138" s="6">
        <v>67157.8</v>
      </c>
      <c r="AA138" s="6">
        <v>1</v>
      </c>
      <c r="AB138" s="6">
        <v>67157.8</v>
      </c>
    </row>
    <row r="139" spans="1:206" x14ac:dyDescent="0.3">
      <c r="A139" s="6">
        <v>50</v>
      </c>
      <c r="B139" s="6">
        <v>0</v>
      </c>
      <c r="C139" s="6">
        <v>0</v>
      </c>
      <c r="D139" s="6">
        <v>1</v>
      </c>
      <c r="E139" s="6">
        <v>211</v>
      </c>
      <c r="F139" s="6">
        <f>ROUND(Source!Y112,O139)</f>
        <v>624.21</v>
      </c>
      <c r="G139" s="6" t="s">
        <v>127</v>
      </c>
      <c r="H139" s="6" t="s">
        <v>128</v>
      </c>
      <c r="I139" s="6"/>
      <c r="J139" s="6"/>
      <c r="K139" s="6">
        <v>211</v>
      </c>
      <c r="L139" s="6">
        <v>26</v>
      </c>
      <c r="M139" s="6">
        <v>3</v>
      </c>
      <c r="N139" s="6" t="s">
        <v>3</v>
      </c>
      <c r="O139" s="6">
        <v>2</v>
      </c>
      <c r="P139" s="6">
        <f>ROUND(Source!DQ112,O139)</f>
        <v>34325.089999999997</v>
      </c>
      <c r="Q139" s="6"/>
      <c r="R139" s="6"/>
      <c r="S139" s="6"/>
      <c r="T139" s="6"/>
      <c r="U139" s="6"/>
      <c r="V139" s="6"/>
      <c r="W139" s="6">
        <v>624.21</v>
      </c>
      <c r="X139" s="6">
        <v>1</v>
      </c>
      <c r="Y139" s="6">
        <v>624.21</v>
      </c>
      <c r="Z139" s="6">
        <v>34325.089999999997</v>
      </c>
      <c r="AA139" s="6">
        <v>1</v>
      </c>
      <c r="AB139" s="6">
        <v>34325.089999999997</v>
      </c>
    </row>
    <row r="140" spans="1:206" x14ac:dyDescent="0.3">
      <c r="A140" s="6">
        <v>50</v>
      </c>
      <c r="B140" s="6">
        <v>0</v>
      </c>
      <c r="C140" s="6">
        <v>0</v>
      </c>
      <c r="D140" s="6">
        <v>1</v>
      </c>
      <c r="E140" s="6">
        <v>224</v>
      </c>
      <c r="F140" s="6">
        <f>ROUND(Source!AR112,O140)</f>
        <v>164988.48000000001</v>
      </c>
      <c r="G140" s="6" t="s">
        <v>129</v>
      </c>
      <c r="H140" s="6" t="s">
        <v>130</v>
      </c>
      <c r="I140" s="6"/>
      <c r="J140" s="6"/>
      <c r="K140" s="6">
        <v>224</v>
      </c>
      <c r="L140" s="6">
        <v>27</v>
      </c>
      <c r="M140" s="6">
        <v>3</v>
      </c>
      <c r="N140" s="6" t="s">
        <v>3</v>
      </c>
      <c r="O140" s="6">
        <v>2</v>
      </c>
      <c r="P140" s="6">
        <f>ROUND(Source!EJ112,O140)</f>
        <v>1724745.77</v>
      </c>
      <c r="Q140" s="6"/>
      <c r="R140" s="6"/>
      <c r="S140" s="6"/>
      <c r="T140" s="6"/>
      <c r="U140" s="6"/>
      <c r="V140" s="6"/>
      <c r="W140" s="6">
        <v>164988.48000000001</v>
      </c>
      <c r="X140" s="6">
        <v>1</v>
      </c>
      <c r="Y140" s="6">
        <v>164988.48000000001</v>
      </c>
      <c r="Z140" s="6">
        <v>1724745.77</v>
      </c>
      <c r="AA140" s="6">
        <v>1</v>
      </c>
      <c r="AB140" s="6">
        <v>1724745.77</v>
      </c>
    </row>
    <row r="142" spans="1:206" x14ac:dyDescent="0.3">
      <c r="A142" s="1">
        <v>4</v>
      </c>
      <c r="B142" s="1">
        <v>1</v>
      </c>
      <c r="C142" s="1"/>
      <c r="D142" s="1">
        <f>ROW(A161)</f>
        <v>161</v>
      </c>
      <c r="E142" s="1"/>
      <c r="F142" s="1" t="s">
        <v>3</v>
      </c>
      <c r="G142" s="1" t="s">
        <v>157</v>
      </c>
      <c r="H142" s="1" t="s">
        <v>3</v>
      </c>
      <c r="I142" s="1">
        <v>0</v>
      </c>
      <c r="J142" s="1"/>
      <c r="K142" s="1">
        <v>-1</v>
      </c>
      <c r="L142" s="1"/>
      <c r="M142" s="1" t="s">
        <v>3</v>
      </c>
      <c r="N142" s="1"/>
      <c r="O142" s="1"/>
      <c r="P142" s="1"/>
      <c r="Q142" s="1"/>
      <c r="R142" s="1"/>
      <c r="S142" s="1">
        <v>0</v>
      </c>
      <c r="T142" s="1">
        <v>0</v>
      </c>
      <c r="U142" s="1" t="s">
        <v>3</v>
      </c>
      <c r="V142" s="1">
        <v>0</v>
      </c>
      <c r="W142" s="1"/>
      <c r="X142" s="1"/>
      <c r="Y142" s="1"/>
      <c r="Z142" s="1"/>
      <c r="AA142" s="1"/>
      <c r="AB142" s="1" t="s">
        <v>3</v>
      </c>
      <c r="AC142" s="1" t="s">
        <v>3</v>
      </c>
      <c r="AD142" s="1" t="s">
        <v>3</v>
      </c>
      <c r="AE142" s="1" t="s">
        <v>3</v>
      </c>
      <c r="AF142" s="1" t="s">
        <v>3</v>
      </c>
      <c r="AG142" s="1" t="s">
        <v>3</v>
      </c>
      <c r="AH142" s="1"/>
      <c r="AI142" s="1"/>
      <c r="AJ142" s="1"/>
      <c r="AK142" s="1"/>
      <c r="AL142" s="1"/>
      <c r="AM142" s="1"/>
      <c r="AN142" s="1"/>
      <c r="AO142" s="1"/>
      <c r="AP142" s="1" t="s">
        <v>3</v>
      </c>
      <c r="AQ142" s="1" t="s">
        <v>3</v>
      </c>
      <c r="AR142" s="1" t="s">
        <v>3</v>
      </c>
      <c r="AS142" s="1"/>
      <c r="AT142" s="1"/>
      <c r="AU142" s="1"/>
      <c r="AV142" s="1"/>
      <c r="AW142" s="1"/>
      <c r="AX142" s="1"/>
      <c r="AY142" s="1"/>
      <c r="AZ142" s="1" t="s">
        <v>3</v>
      </c>
      <c r="BA142" s="1"/>
      <c r="BB142" s="1" t="s">
        <v>3</v>
      </c>
      <c r="BC142" s="1" t="s">
        <v>3</v>
      </c>
      <c r="BD142" s="1" t="s">
        <v>3</v>
      </c>
      <c r="BE142" s="1" t="s">
        <v>3</v>
      </c>
      <c r="BF142" s="1" t="s">
        <v>3</v>
      </c>
      <c r="BG142" s="1" t="s">
        <v>3</v>
      </c>
      <c r="BH142" s="1" t="s">
        <v>3</v>
      </c>
      <c r="BI142" s="1" t="s">
        <v>3</v>
      </c>
      <c r="BJ142" s="1" t="s">
        <v>3</v>
      </c>
      <c r="BK142" s="1" t="s">
        <v>3</v>
      </c>
      <c r="BL142" s="1" t="s">
        <v>3</v>
      </c>
      <c r="BM142" s="1" t="s">
        <v>3</v>
      </c>
      <c r="BN142" s="1" t="s">
        <v>3</v>
      </c>
      <c r="BO142" s="1" t="s">
        <v>3</v>
      </c>
      <c r="BP142" s="1" t="s">
        <v>3</v>
      </c>
      <c r="BQ142" s="1"/>
      <c r="BR142" s="1"/>
      <c r="BS142" s="1"/>
      <c r="BT142" s="1"/>
      <c r="BU142" s="1"/>
      <c r="BV142" s="1"/>
      <c r="BW142" s="1"/>
      <c r="BX142" s="1">
        <v>0</v>
      </c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>
        <v>0</v>
      </c>
    </row>
    <row r="144" spans="1:206" x14ac:dyDescent="0.3">
      <c r="A144" s="4">
        <v>52</v>
      </c>
      <c r="B144" s="4">
        <f t="shared" ref="B144:G144" si="126">B161</f>
        <v>1</v>
      </c>
      <c r="C144" s="4">
        <f t="shared" si="126"/>
        <v>4</v>
      </c>
      <c r="D144" s="4">
        <f t="shared" si="126"/>
        <v>142</v>
      </c>
      <c r="E144" s="4">
        <f t="shared" si="126"/>
        <v>0</v>
      </c>
      <c r="F144" s="4" t="str">
        <f t="shared" si="126"/>
        <v/>
      </c>
      <c r="G144" s="4" t="str">
        <f t="shared" si="126"/>
        <v>Источники электропитания</v>
      </c>
      <c r="H144" s="4"/>
      <c r="I144" s="4"/>
      <c r="J144" s="4"/>
      <c r="K144" s="4"/>
      <c r="L144" s="4"/>
      <c r="M144" s="4"/>
      <c r="N144" s="4"/>
      <c r="O144" s="4">
        <f t="shared" ref="O144:AT144" si="127">O161</f>
        <v>150718.07999999999</v>
      </c>
      <c r="P144" s="4">
        <f t="shared" si="127"/>
        <v>148924.66</v>
      </c>
      <c r="Q144" s="4">
        <f t="shared" si="127"/>
        <v>423.18</v>
      </c>
      <c r="R144" s="4">
        <f t="shared" si="127"/>
        <v>46.53</v>
      </c>
      <c r="S144" s="4">
        <f t="shared" si="127"/>
        <v>1370.24</v>
      </c>
      <c r="T144" s="4">
        <f t="shared" si="127"/>
        <v>0</v>
      </c>
      <c r="U144" s="4">
        <f t="shared" si="127"/>
        <v>95.268624000000017</v>
      </c>
      <c r="V144" s="4">
        <f t="shared" si="127"/>
        <v>0</v>
      </c>
      <c r="W144" s="4">
        <f t="shared" si="127"/>
        <v>0</v>
      </c>
      <c r="X144" s="4">
        <f t="shared" si="127"/>
        <v>1275.0899999999999</v>
      </c>
      <c r="Y144" s="4">
        <f t="shared" si="127"/>
        <v>651.71</v>
      </c>
      <c r="Z144" s="4">
        <f t="shared" si="127"/>
        <v>0</v>
      </c>
      <c r="AA144" s="4">
        <f t="shared" si="127"/>
        <v>0</v>
      </c>
      <c r="AB144" s="4">
        <f t="shared" si="127"/>
        <v>150718.07999999999</v>
      </c>
      <c r="AC144" s="4">
        <f t="shared" si="127"/>
        <v>148924.66</v>
      </c>
      <c r="AD144" s="4">
        <f t="shared" si="127"/>
        <v>423.18</v>
      </c>
      <c r="AE144" s="4">
        <f t="shared" si="127"/>
        <v>46.53</v>
      </c>
      <c r="AF144" s="4">
        <f t="shared" si="127"/>
        <v>1370.24</v>
      </c>
      <c r="AG144" s="4">
        <f t="shared" si="127"/>
        <v>0</v>
      </c>
      <c r="AH144" s="4">
        <f t="shared" si="127"/>
        <v>95.268624000000017</v>
      </c>
      <c r="AI144" s="4">
        <f t="shared" si="127"/>
        <v>0</v>
      </c>
      <c r="AJ144" s="4">
        <f t="shared" si="127"/>
        <v>0</v>
      </c>
      <c r="AK144" s="4">
        <f t="shared" si="127"/>
        <v>1275.0899999999999</v>
      </c>
      <c r="AL144" s="4">
        <f t="shared" si="127"/>
        <v>651.71</v>
      </c>
      <c r="AM144" s="4">
        <f t="shared" si="127"/>
        <v>0</v>
      </c>
      <c r="AN144" s="4">
        <f t="shared" si="127"/>
        <v>0</v>
      </c>
      <c r="AO144" s="4">
        <f t="shared" si="127"/>
        <v>0</v>
      </c>
      <c r="AP144" s="4">
        <f t="shared" si="127"/>
        <v>148399.20000000001</v>
      </c>
      <c r="AQ144" s="4">
        <f t="shared" si="127"/>
        <v>0</v>
      </c>
      <c r="AR144" s="4">
        <f t="shared" si="127"/>
        <v>152644.88</v>
      </c>
      <c r="AS144" s="4">
        <f t="shared" si="127"/>
        <v>0</v>
      </c>
      <c r="AT144" s="4">
        <f t="shared" si="127"/>
        <v>4245.68</v>
      </c>
      <c r="AU144" s="4">
        <f t="shared" ref="AU144:BZ144" si="128">AU161</f>
        <v>0</v>
      </c>
      <c r="AV144" s="4">
        <f t="shared" si="128"/>
        <v>148924.66</v>
      </c>
      <c r="AW144" s="4">
        <f t="shared" si="128"/>
        <v>525.46</v>
      </c>
      <c r="AX144" s="4">
        <f t="shared" si="128"/>
        <v>0</v>
      </c>
      <c r="AY144" s="4">
        <f t="shared" si="128"/>
        <v>525.46</v>
      </c>
      <c r="AZ144" s="4">
        <f t="shared" si="128"/>
        <v>148399.20000000001</v>
      </c>
      <c r="BA144" s="4">
        <f t="shared" si="128"/>
        <v>0</v>
      </c>
      <c r="BB144" s="4">
        <f t="shared" si="128"/>
        <v>0</v>
      </c>
      <c r="BC144" s="4">
        <f t="shared" si="128"/>
        <v>0</v>
      </c>
      <c r="BD144" s="4">
        <f t="shared" si="128"/>
        <v>0</v>
      </c>
      <c r="BE144" s="4">
        <f t="shared" si="128"/>
        <v>0</v>
      </c>
      <c r="BF144" s="4">
        <f t="shared" si="128"/>
        <v>0</v>
      </c>
      <c r="BG144" s="4">
        <f t="shared" si="128"/>
        <v>0</v>
      </c>
      <c r="BH144" s="4">
        <f t="shared" si="128"/>
        <v>0</v>
      </c>
      <c r="BI144" s="4">
        <f t="shared" si="128"/>
        <v>0</v>
      </c>
      <c r="BJ144" s="4">
        <f t="shared" si="128"/>
        <v>0</v>
      </c>
      <c r="BK144" s="4">
        <f t="shared" si="128"/>
        <v>0</v>
      </c>
      <c r="BL144" s="4">
        <f t="shared" si="128"/>
        <v>0</v>
      </c>
      <c r="BM144" s="4">
        <f t="shared" si="128"/>
        <v>0</v>
      </c>
      <c r="BN144" s="4">
        <f t="shared" si="128"/>
        <v>0</v>
      </c>
      <c r="BO144" s="4">
        <f t="shared" si="128"/>
        <v>0</v>
      </c>
      <c r="BP144" s="4">
        <f t="shared" si="128"/>
        <v>0</v>
      </c>
      <c r="BQ144" s="4">
        <f t="shared" si="128"/>
        <v>0</v>
      </c>
      <c r="BR144" s="4">
        <f t="shared" si="128"/>
        <v>0</v>
      </c>
      <c r="BS144" s="4">
        <f t="shared" si="128"/>
        <v>0</v>
      </c>
      <c r="BT144" s="4">
        <f t="shared" si="128"/>
        <v>0</v>
      </c>
      <c r="BU144" s="4">
        <f t="shared" si="128"/>
        <v>0</v>
      </c>
      <c r="BV144" s="4">
        <f t="shared" si="128"/>
        <v>0</v>
      </c>
      <c r="BW144" s="4">
        <f t="shared" si="128"/>
        <v>0</v>
      </c>
      <c r="BX144" s="4">
        <f t="shared" si="128"/>
        <v>0</v>
      </c>
      <c r="BY144" s="4">
        <f t="shared" si="128"/>
        <v>148399.20000000001</v>
      </c>
      <c r="BZ144" s="4">
        <f t="shared" si="128"/>
        <v>0</v>
      </c>
      <c r="CA144" s="4">
        <f t="shared" ref="CA144:DF144" si="129">CA161</f>
        <v>152644.88</v>
      </c>
      <c r="CB144" s="4">
        <f t="shared" si="129"/>
        <v>0</v>
      </c>
      <c r="CC144" s="4">
        <f t="shared" si="129"/>
        <v>4245.68</v>
      </c>
      <c r="CD144" s="4">
        <f t="shared" si="129"/>
        <v>0</v>
      </c>
      <c r="CE144" s="4">
        <f t="shared" si="129"/>
        <v>148924.66</v>
      </c>
      <c r="CF144" s="4">
        <f t="shared" si="129"/>
        <v>525.45999999999185</v>
      </c>
      <c r="CG144" s="4">
        <f t="shared" si="129"/>
        <v>0</v>
      </c>
      <c r="CH144" s="4">
        <f t="shared" si="129"/>
        <v>525.45999999999185</v>
      </c>
      <c r="CI144" s="4">
        <f t="shared" si="129"/>
        <v>148399.20000000001</v>
      </c>
      <c r="CJ144" s="4">
        <f t="shared" si="129"/>
        <v>0</v>
      </c>
      <c r="CK144" s="4">
        <f t="shared" si="129"/>
        <v>0</v>
      </c>
      <c r="CL144" s="4">
        <f t="shared" si="129"/>
        <v>0</v>
      </c>
      <c r="CM144" s="4">
        <f t="shared" si="129"/>
        <v>0</v>
      </c>
      <c r="CN144" s="4">
        <f t="shared" si="129"/>
        <v>0</v>
      </c>
      <c r="CO144" s="4">
        <f t="shared" si="129"/>
        <v>0</v>
      </c>
      <c r="CP144" s="4">
        <f t="shared" si="129"/>
        <v>0</v>
      </c>
      <c r="CQ144" s="4">
        <f t="shared" si="129"/>
        <v>0</v>
      </c>
      <c r="CR144" s="4">
        <f t="shared" si="129"/>
        <v>0</v>
      </c>
      <c r="CS144" s="4">
        <f t="shared" si="129"/>
        <v>0</v>
      </c>
      <c r="CT144" s="4">
        <f t="shared" si="129"/>
        <v>0</v>
      </c>
      <c r="CU144" s="4">
        <f t="shared" si="129"/>
        <v>0</v>
      </c>
      <c r="CV144" s="4">
        <f t="shared" si="129"/>
        <v>0</v>
      </c>
      <c r="CW144" s="4">
        <f t="shared" si="129"/>
        <v>0</v>
      </c>
      <c r="CX144" s="4">
        <f t="shared" si="129"/>
        <v>0</v>
      </c>
      <c r="CY144" s="4">
        <f t="shared" si="129"/>
        <v>0</v>
      </c>
      <c r="CZ144" s="4">
        <f t="shared" si="129"/>
        <v>0</v>
      </c>
      <c r="DA144" s="4">
        <f t="shared" si="129"/>
        <v>0</v>
      </c>
      <c r="DB144" s="4">
        <f t="shared" si="129"/>
        <v>0</v>
      </c>
      <c r="DC144" s="4">
        <f t="shared" si="129"/>
        <v>0</v>
      </c>
      <c r="DD144" s="4">
        <f t="shared" si="129"/>
        <v>0</v>
      </c>
      <c r="DE144" s="4">
        <f t="shared" si="129"/>
        <v>0</v>
      </c>
      <c r="DF144" s="4">
        <f t="shared" si="129"/>
        <v>0</v>
      </c>
      <c r="DG144" s="5">
        <f t="shared" ref="DG144:EL144" si="130">DG161</f>
        <v>1100751.3500000001</v>
      </c>
      <c r="DH144" s="5">
        <f t="shared" si="130"/>
        <v>1018859.49</v>
      </c>
      <c r="DI144" s="5">
        <f t="shared" si="130"/>
        <v>6542.36</v>
      </c>
      <c r="DJ144" s="5">
        <f t="shared" si="130"/>
        <v>2558.6799999999998</v>
      </c>
      <c r="DK144" s="5">
        <f t="shared" si="130"/>
        <v>75349.5</v>
      </c>
      <c r="DL144" s="5">
        <f t="shared" si="130"/>
        <v>0</v>
      </c>
      <c r="DM144" s="5">
        <f t="shared" si="130"/>
        <v>95.268624000000017</v>
      </c>
      <c r="DN144" s="5">
        <f t="shared" si="130"/>
        <v>0</v>
      </c>
      <c r="DO144" s="5">
        <f t="shared" si="130"/>
        <v>0</v>
      </c>
      <c r="DP144" s="5">
        <f t="shared" si="130"/>
        <v>70117.36</v>
      </c>
      <c r="DQ144" s="5">
        <f t="shared" si="130"/>
        <v>35837.760000000002</v>
      </c>
      <c r="DR144" s="5">
        <f t="shared" si="130"/>
        <v>0</v>
      </c>
      <c r="DS144" s="5">
        <f t="shared" si="130"/>
        <v>0</v>
      </c>
      <c r="DT144" s="5">
        <f t="shared" si="130"/>
        <v>1100751.3500000001</v>
      </c>
      <c r="DU144" s="5">
        <f t="shared" si="130"/>
        <v>1018859.49</v>
      </c>
      <c r="DV144" s="5">
        <f t="shared" si="130"/>
        <v>6542.36</v>
      </c>
      <c r="DW144" s="5">
        <f t="shared" si="130"/>
        <v>2558.6799999999998</v>
      </c>
      <c r="DX144" s="5">
        <f t="shared" si="130"/>
        <v>75349.5</v>
      </c>
      <c r="DY144" s="5">
        <f t="shared" si="130"/>
        <v>0</v>
      </c>
      <c r="DZ144" s="5">
        <f t="shared" si="130"/>
        <v>95.268624000000017</v>
      </c>
      <c r="EA144" s="5">
        <f t="shared" si="130"/>
        <v>0</v>
      </c>
      <c r="EB144" s="5">
        <f t="shared" si="130"/>
        <v>0</v>
      </c>
      <c r="EC144" s="5">
        <f t="shared" si="130"/>
        <v>70117.36</v>
      </c>
      <c r="ED144" s="5">
        <f t="shared" si="130"/>
        <v>35837.760000000002</v>
      </c>
      <c r="EE144" s="5">
        <f t="shared" si="130"/>
        <v>0</v>
      </c>
      <c r="EF144" s="5">
        <f t="shared" si="130"/>
        <v>0</v>
      </c>
      <c r="EG144" s="5">
        <f t="shared" si="130"/>
        <v>0</v>
      </c>
      <c r="EH144" s="5">
        <f t="shared" si="130"/>
        <v>1013739.17</v>
      </c>
      <c r="EI144" s="5">
        <f t="shared" si="130"/>
        <v>0</v>
      </c>
      <c r="EJ144" s="5">
        <f t="shared" si="130"/>
        <v>1206706.47</v>
      </c>
      <c r="EK144" s="5">
        <f t="shared" si="130"/>
        <v>0</v>
      </c>
      <c r="EL144" s="5">
        <f t="shared" si="130"/>
        <v>192967.3</v>
      </c>
      <c r="EM144" s="5">
        <f t="shared" ref="EM144:FR144" si="131">EM161</f>
        <v>0</v>
      </c>
      <c r="EN144" s="5">
        <f t="shared" si="131"/>
        <v>1018859.49</v>
      </c>
      <c r="EO144" s="5">
        <f t="shared" si="131"/>
        <v>5120.32</v>
      </c>
      <c r="EP144" s="5">
        <f t="shared" si="131"/>
        <v>0</v>
      </c>
      <c r="EQ144" s="5">
        <f t="shared" si="131"/>
        <v>5120.32</v>
      </c>
      <c r="ER144" s="5">
        <f t="shared" si="131"/>
        <v>1013739.17</v>
      </c>
      <c r="ES144" s="5">
        <f t="shared" si="131"/>
        <v>0</v>
      </c>
      <c r="ET144" s="5">
        <f t="shared" si="131"/>
        <v>0</v>
      </c>
      <c r="EU144" s="5">
        <f t="shared" si="131"/>
        <v>0</v>
      </c>
      <c r="EV144" s="5">
        <f t="shared" si="131"/>
        <v>0</v>
      </c>
      <c r="EW144" s="5">
        <f t="shared" si="131"/>
        <v>0</v>
      </c>
      <c r="EX144" s="5">
        <f t="shared" si="131"/>
        <v>0</v>
      </c>
      <c r="EY144" s="5">
        <f t="shared" si="131"/>
        <v>0</v>
      </c>
      <c r="EZ144" s="5">
        <f t="shared" si="131"/>
        <v>0</v>
      </c>
      <c r="FA144" s="5">
        <f t="shared" si="131"/>
        <v>0</v>
      </c>
      <c r="FB144" s="5">
        <f t="shared" si="131"/>
        <v>0</v>
      </c>
      <c r="FC144" s="5">
        <f t="shared" si="131"/>
        <v>0</v>
      </c>
      <c r="FD144" s="5">
        <f t="shared" si="131"/>
        <v>0</v>
      </c>
      <c r="FE144" s="5">
        <f t="shared" si="131"/>
        <v>0</v>
      </c>
      <c r="FF144" s="5">
        <f t="shared" si="131"/>
        <v>0</v>
      </c>
      <c r="FG144" s="5">
        <f t="shared" si="131"/>
        <v>0</v>
      </c>
      <c r="FH144" s="5">
        <f t="shared" si="131"/>
        <v>0</v>
      </c>
      <c r="FI144" s="5">
        <f t="shared" si="131"/>
        <v>0</v>
      </c>
      <c r="FJ144" s="5">
        <f t="shared" si="131"/>
        <v>0</v>
      </c>
      <c r="FK144" s="5">
        <f t="shared" si="131"/>
        <v>0</v>
      </c>
      <c r="FL144" s="5">
        <f t="shared" si="131"/>
        <v>0</v>
      </c>
      <c r="FM144" s="5">
        <f t="shared" si="131"/>
        <v>0</v>
      </c>
      <c r="FN144" s="5">
        <f t="shared" si="131"/>
        <v>0</v>
      </c>
      <c r="FO144" s="5">
        <f t="shared" si="131"/>
        <v>0</v>
      </c>
      <c r="FP144" s="5">
        <f t="shared" si="131"/>
        <v>0</v>
      </c>
      <c r="FQ144" s="5">
        <f t="shared" si="131"/>
        <v>1013739.17</v>
      </c>
      <c r="FR144" s="5">
        <f t="shared" si="131"/>
        <v>0</v>
      </c>
      <c r="FS144" s="5">
        <f t="shared" ref="FS144:GX144" si="132">FS161</f>
        <v>1206706.47</v>
      </c>
      <c r="FT144" s="5">
        <f t="shared" si="132"/>
        <v>0</v>
      </c>
      <c r="FU144" s="5">
        <f t="shared" si="132"/>
        <v>192967.3</v>
      </c>
      <c r="FV144" s="5">
        <f t="shared" si="132"/>
        <v>0</v>
      </c>
      <c r="FW144" s="5">
        <f t="shared" si="132"/>
        <v>1018859.49</v>
      </c>
      <c r="FX144" s="5">
        <f t="shared" si="132"/>
        <v>5120.3199999999488</v>
      </c>
      <c r="FY144" s="5">
        <f t="shared" si="132"/>
        <v>0</v>
      </c>
      <c r="FZ144" s="5">
        <f t="shared" si="132"/>
        <v>5120.3199999999488</v>
      </c>
      <c r="GA144" s="5">
        <f t="shared" si="132"/>
        <v>1013739.17</v>
      </c>
      <c r="GB144" s="5">
        <f t="shared" si="132"/>
        <v>0</v>
      </c>
      <c r="GC144" s="5">
        <f t="shared" si="132"/>
        <v>0</v>
      </c>
      <c r="GD144" s="5">
        <f t="shared" si="132"/>
        <v>0</v>
      </c>
      <c r="GE144" s="5">
        <f t="shared" si="132"/>
        <v>0</v>
      </c>
      <c r="GF144" s="5">
        <f t="shared" si="132"/>
        <v>0</v>
      </c>
      <c r="GG144" s="5">
        <f t="shared" si="132"/>
        <v>0</v>
      </c>
      <c r="GH144" s="5">
        <f t="shared" si="132"/>
        <v>0</v>
      </c>
      <c r="GI144" s="5">
        <f t="shared" si="132"/>
        <v>0</v>
      </c>
      <c r="GJ144" s="5">
        <f t="shared" si="132"/>
        <v>0</v>
      </c>
      <c r="GK144" s="5">
        <f t="shared" si="132"/>
        <v>0</v>
      </c>
      <c r="GL144" s="5">
        <f t="shared" si="132"/>
        <v>0</v>
      </c>
      <c r="GM144" s="5">
        <f t="shared" si="132"/>
        <v>0</v>
      </c>
      <c r="GN144" s="5">
        <f t="shared" si="132"/>
        <v>0</v>
      </c>
      <c r="GO144" s="5">
        <f t="shared" si="132"/>
        <v>0</v>
      </c>
      <c r="GP144" s="5">
        <f t="shared" si="132"/>
        <v>0</v>
      </c>
      <c r="GQ144" s="5">
        <f t="shared" si="132"/>
        <v>0</v>
      </c>
      <c r="GR144" s="5">
        <f t="shared" si="132"/>
        <v>0</v>
      </c>
      <c r="GS144" s="5">
        <f t="shared" si="132"/>
        <v>0</v>
      </c>
      <c r="GT144" s="5">
        <f t="shared" si="132"/>
        <v>0</v>
      </c>
      <c r="GU144" s="5">
        <f t="shared" si="132"/>
        <v>0</v>
      </c>
      <c r="GV144" s="5">
        <f t="shared" si="132"/>
        <v>0</v>
      </c>
      <c r="GW144" s="5">
        <f t="shared" si="132"/>
        <v>0</v>
      </c>
      <c r="GX144" s="5">
        <f t="shared" si="132"/>
        <v>0</v>
      </c>
    </row>
    <row r="146" spans="1:255" x14ac:dyDescent="0.3">
      <c r="A146" s="2">
        <v>17</v>
      </c>
      <c r="B146" s="2">
        <v>1</v>
      </c>
      <c r="C146" s="2"/>
      <c r="D146" s="2">
        <f>ROW(EtalonRes!A56)</f>
        <v>56</v>
      </c>
      <c r="E146" s="2" t="s">
        <v>158</v>
      </c>
      <c r="F146" s="2" t="s">
        <v>159</v>
      </c>
      <c r="G146" s="2" t="s">
        <v>160</v>
      </c>
      <c r="H146" s="2" t="s">
        <v>22</v>
      </c>
      <c r="I146" s="2">
        <v>8</v>
      </c>
      <c r="J146" s="2">
        <v>0</v>
      </c>
      <c r="K146" s="2">
        <v>8</v>
      </c>
      <c r="L146" s="2"/>
      <c r="M146" s="2"/>
      <c r="N146" s="2"/>
      <c r="O146" s="2">
        <f t="shared" ref="O146:O159" si="133">ROUND(CP146,2)</f>
        <v>2115.44</v>
      </c>
      <c r="P146" s="2">
        <f t="shared" ref="P146:P151" si="134">ROUND((ROUND((AC146*AW146*I146),2)*BC146),2)</f>
        <v>446.4</v>
      </c>
      <c r="Q146" s="2">
        <f>(ROUND((ROUND((((ET146*1.1))*AV146*I146),2)*BB146),2)+ROUND((ROUND(((AE146-((EU146*1.1)))*AV146*I146),2)*BS146),2))</f>
        <v>423.18</v>
      </c>
      <c r="R146" s="2">
        <f t="shared" ref="R146:R159" si="135">ROUND((ROUND((AE146*AV146*I146),2)*BS146),2)</f>
        <v>46.53</v>
      </c>
      <c r="S146" s="2">
        <f t="shared" ref="S146:S159" si="136">ROUND((ROUND((AF146*AV146*I146),2)*BA146),2)</f>
        <v>1245.8599999999999</v>
      </c>
      <c r="T146" s="2">
        <f t="shared" ref="T146:T159" si="137">ROUND(CU146*I146,2)</f>
        <v>0</v>
      </c>
      <c r="U146" s="2">
        <f t="shared" ref="U146:U159" si="138">CV146*I146</f>
        <v>85.686480000000017</v>
      </c>
      <c r="V146" s="2">
        <f t="shared" ref="V146:V159" si="139">CW146*I146</f>
        <v>0</v>
      </c>
      <c r="W146" s="2">
        <f t="shared" ref="W146:W159" si="140">ROUND(CX146*I146,2)</f>
        <v>0</v>
      </c>
      <c r="X146" s="2">
        <f t="shared" ref="X146:X159" si="141">ROUND(CY146,2)</f>
        <v>1163.1500000000001</v>
      </c>
      <c r="Y146" s="2">
        <f t="shared" ref="Y146:Y159" si="142">ROUND(CZ146,2)</f>
        <v>594.5</v>
      </c>
      <c r="Z146" s="2"/>
      <c r="AA146" s="2">
        <v>56505403</v>
      </c>
      <c r="AB146" s="2">
        <f t="shared" ref="AB146:AB159" si="143">ROUND((AC146+AD146+AF146),6)</f>
        <v>255.065</v>
      </c>
      <c r="AC146" s="2">
        <f t="shared" ref="AC146:AC159" si="144">ROUND((ES146),6)</f>
        <v>55.8</v>
      </c>
      <c r="AD146" s="2">
        <f>ROUND(((((ET146*1.1))-((EU146*1.1)))+AE146),6)</f>
        <v>50.523000000000003</v>
      </c>
      <c r="AE146" s="2">
        <f>ROUND(((EU146*1.1)),6)</f>
        <v>5.5549999999999997</v>
      </c>
      <c r="AF146" s="2">
        <f>ROUND(((EV146*1.1)),6)</f>
        <v>148.74199999999999</v>
      </c>
      <c r="AG146" s="2">
        <f t="shared" ref="AG146:AG159" si="145">ROUND((AP146),6)</f>
        <v>0</v>
      </c>
      <c r="AH146" s="2">
        <f>((EW146*1.1))</f>
        <v>10.230000000000002</v>
      </c>
      <c r="AI146" s="2">
        <f>((EX146*1.1))</f>
        <v>0</v>
      </c>
      <c r="AJ146" s="2">
        <f t="shared" ref="AJ146:AJ159" si="146">(AS146)</f>
        <v>0</v>
      </c>
      <c r="AK146" s="2">
        <v>236.95</v>
      </c>
      <c r="AL146" s="2">
        <v>55.8</v>
      </c>
      <c r="AM146" s="2">
        <v>45.93</v>
      </c>
      <c r="AN146" s="2">
        <v>5.05</v>
      </c>
      <c r="AO146" s="2">
        <v>135.22</v>
      </c>
      <c r="AP146" s="2">
        <v>0</v>
      </c>
      <c r="AQ146" s="2">
        <v>9.3000000000000007</v>
      </c>
      <c r="AR146" s="2">
        <v>0</v>
      </c>
      <c r="AS146" s="2">
        <v>0</v>
      </c>
      <c r="AT146" s="2">
        <v>90</v>
      </c>
      <c r="AU146" s="2">
        <v>46</v>
      </c>
      <c r="AV146" s="2">
        <v>1.0469999999999999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2</v>
      </c>
      <c r="BJ146" s="2" t="s">
        <v>161</v>
      </c>
      <c r="BK146" s="2"/>
      <c r="BL146" s="2"/>
      <c r="BM146" s="2">
        <v>68</v>
      </c>
      <c r="BN146" s="2">
        <v>0</v>
      </c>
      <c r="BO146" s="2" t="s">
        <v>159</v>
      </c>
      <c r="BP146" s="2">
        <v>1</v>
      </c>
      <c r="BQ146" s="2">
        <v>40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90</v>
      </c>
      <c r="CA146" s="2">
        <v>46</v>
      </c>
      <c r="CB146" s="2" t="s">
        <v>3</v>
      </c>
      <c r="CC146" s="2"/>
      <c r="CD146" s="2"/>
      <c r="CE146" s="2">
        <v>30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3</v>
      </c>
      <c r="CO146" s="2">
        <v>0</v>
      </c>
      <c r="CP146" s="2">
        <f t="shared" ref="CP146:CP159" si="147">(P146+Q146+S146)</f>
        <v>2115.4399999999996</v>
      </c>
      <c r="CQ146" s="2">
        <f t="shared" ref="CQ146:CQ151" si="148">ROUND((ROUND((AC146*AW146*1),2)*BC146),2)</f>
        <v>55.8</v>
      </c>
      <c r="CR146" s="2">
        <f>(ROUND((ROUND((((ET146*1.1))*AV146*1),2)*BB146),2)+ROUND((ROUND(((AE146-((EU146*1.1)))*AV146*1),2)*BS146),2))</f>
        <v>52.9</v>
      </c>
      <c r="CS146" s="2">
        <f t="shared" ref="CS146:CS159" si="149">ROUND((ROUND((AE146*AV146*1),2)*BS146),2)</f>
        <v>5.82</v>
      </c>
      <c r="CT146" s="2">
        <f t="shared" ref="CT146:CT159" si="150">ROUND((ROUND((AF146*AV146*1),2)*BA146),2)</f>
        <v>155.72999999999999</v>
      </c>
      <c r="CU146" s="2">
        <f t="shared" ref="CU146:CU159" si="151">AG146</f>
        <v>0</v>
      </c>
      <c r="CV146" s="2">
        <f t="shared" ref="CV146:CV159" si="152">(AH146*AV146)</f>
        <v>10.710810000000002</v>
      </c>
      <c r="CW146" s="2">
        <f t="shared" ref="CW146:CW159" si="153">AI146</f>
        <v>0</v>
      </c>
      <c r="CX146" s="2">
        <f t="shared" ref="CX146:CX159" si="154">AJ146</f>
        <v>0</v>
      </c>
      <c r="CY146" s="2">
        <f t="shared" ref="CY146:CY159" si="155">(((S146+R146)*AT146)/100)</f>
        <v>1163.1509999999998</v>
      </c>
      <c r="CZ146" s="2">
        <f t="shared" ref="CZ146:CZ159" si="156">(((S146+R146)*AU146)/100)</f>
        <v>594.49939999999992</v>
      </c>
      <c r="DA146" s="2"/>
      <c r="DB146" s="2"/>
      <c r="DC146" s="2" t="s">
        <v>3</v>
      </c>
      <c r="DD146" s="2" t="s">
        <v>3</v>
      </c>
      <c r="DE146" s="2" t="s">
        <v>24</v>
      </c>
      <c r="DF146" s="2" t="s">
        <v>24</v>
      </c>
      <c r="DG146" s="2" t="s">
        <v>24</v>
      </c>
      <c r="DH146" s="2" t="s">
        <v>3</v>
      </c>
      <c r="DI146" s="2" t="s">
        <v>24</v>
      </c>
      <c r="DJ146" s="2" t="s">
        <v>24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22</v>
      </c>
      <c r="DW146" s="2" t="s">
        <v>22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58162630</v>
      </c>
      <c r="EF146" s="2">
        <v>40</v>
      </c>
      <c r="EG146" s="2" t="s">
        <v>25</v>
      </c>
      <c r="EH146" s="2">
        <v>0</v>
      </c>
      <c r="EI146" s="2" t="s">
        <v>3</v>
      </c>
      <c r="EJ146" s="2">
        <v>2</v>
      </c>
      <c r="EK146" s="2">
        <v>68</v>
      </c>
      <c r="EL146" s="2" t="s">
        <v>26</v>
      </c>
      <c r="EM146" s="2" t="s">
        <v>27</v>
      </c>
      <c r="EN146" s="2"/>
      <c r="EO146" s="2" t="s">
        <v>28</v>
      </c>
      <c r="EP146" s="2"/>
      <c r="EQ146" s="2">
        <v>0</v>
      </c>
      <c r="ER146" s="2">
        <v>236.95</v>
      </c>
      <c r="ES146" s="2">
        <v>55.8</v>
      </c>
      <c r="ET146" s="2">
        <v>45.93</v>
      </c>
      <c r="EU146" s="2">
        <v>5.05</v>
      </c>
      <c r="EV146" s="2">
        <v>135.22</v>
      </c>
      <c r="EW146" s="2">
        <v>9.3000000000000007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90</v>
      </c>
      <c r="FY146" s="2">
        <v>46</v>
      </c>
      <c r="FZ146" s="2"/>
      <c r="GA146" s="2" t="s">
        <v>3</v>
      </c>
      <c r="GB146" s="2"/>
      <c r="GC146" s="2"/>
      <c r="GD146" s="2">
        <v>1</v>
      </c>
      <c r="GE146" s="2"/>
      <c r="GF146" s="2">
        <v>934791509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ref="GL146:GL159" si="157">ROUND(IF(AND(BH146=3,BI146=3,FS146&lt;&gt;0),P146,0),2)</f>
        <v>0</v>
      </c>
      <c r="GM146" s="2">
        <f t="shared" ref="GM146:GM159" si="158">ROUND(O146+X146+Y146,2)+GX146</f>
        <v>3873.09</v>
      </c>
      <c r="GN146" s="2">
        <f t="shared" ref="GN146:GN159" si="159">IF(OR(BI146=0,BI146=1),GM146-GX146,0)</f>
        <v>0</v>
      </c>
      <c r="GO146" s="2">
        <f t="shared" ref="GO146:GO159" si="160">IF(BI146=2,GM146-GX146,0)</f>
        <v>3873.09</v>
      </c>
      <c r="GP146" s="2">
        <f t="shared" ref="GP146:GP159" si="161">IF(BI146=4,GM146-GX146,0)</f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ref="GV146:GV159" si="162">ROUND((GT146),6)</f>
        <v>0</v>
      </c>
      <c r="GW146" s="2">
        <v>1</v>
      </c>
      <c r="GX146" s="2">
        <f t="shared" ref="GX146:GX159" si="163">ROUND(HC146*I146,2)</f>
        <v>0</v>
      </c>
      <c r="GY146" s="2"/>
      <c r="GZ146" s="2"/>
      <c r="HA146" s="2">
        <v>0</v>
      </c>
      <c r="HB146" s="2">
        <v>0</v>
      </c>
      <c r="HC146" s="2">
        <f t="shared" ref="HC146:HC159" si="164">GV146*GW146</f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3">
      <c r="A147" s="3">
        <v>17</v>
      </c>
      <c r="B147" s="3">
        <v>1</v>
      </c>
      <c r="C147" s="3"/>
      <c r="D147" s="3">
        <f>ROW(EtalonRes!A72)</f>
        <v>72</v>
      </c>
      <c r="E147" s="3" t="s">
        <v>158</v>
      </c>
      <c r="F147" s="3" t="s">
        <v>159</v>
      </c>
      <c r="G147" s="3" t="s">
        <v>160</v>
      </c>
      <c r="H147" s="3" t="s">
        <v>22</v>
      </c>
      <c r="I147" s="3">
        <v>8</v>
      </c>
      <c r="J147" s="3">
        <v>0</v>
      </c>
      <c r="K147" s="3">
        <v>8</v>
      </c>
      <c r="L147" s="3"/>
      <c r="M147" s="3"/>
      <c r="N147" s="3"/>
      <c r="O147" s="3">
        <f t="shared" si="133"/>
        <v>79694.759999999995</v>
      </c>
      <c r="P147" s="3">
        <f t="shared" si="134"/>
        <v>4642.5600000000004</v>
      </c>
      <c r="Q147" s="3">
        <f>(ROUND((ROUND((((ET147*1.1))*AV147*I147),2)*BB147),2)+ROUND((ROUND(((AE147-((EU147*1.1)))*AV147*I147),2)*BS147),2))</f>
        <v>6542.36</v>
      </c>
      <c r="R147" s="3">
        <f t="shared" si="135"/>
        <v>2558.6799999999998</v>
      </c>
      <c r="S147" s="3">
        <f t="shared" si="136"/>
        <v>68509.84</v>
      </c>
      <c r="T147" s="3">
        <f t="shared" si="137"/>
        <v>0</v>
      </c>
      <c r="U147" s="3">
        <f t="shared" si="138"/>
        <v>85.686480000000017</v>
      </c>
      <c r="V147" s="3">
        <f t="shared" si="139"/>
        <v>0</v>
      </c>
      <c r="W147" s="3">
        <f t="shared" si="140"/>
        <v>0</v>
      </c>
      <c r="X147" s="3">
        <f t="shared" si="141"/>
        <v>63961.67</v>
      </c>
      <c r="Y147" s="3">
        <f t="shared" si="142"/>
        <v>32691.52</v>
      </c>
      <c r="Z147" s="3"/>
      <c r="AA147" s="3">
        <v>56505405</v>
      </c>
      <c r="AB147" s="3">
        <f t="shared" si="143"/>
        <v>255.065</v>
      </c>
      <c r="AC147" s="3">
        <f t="shared" si="144"/>
        <v>55.8</v>
      </c>
      <c r="AD147" s="3">
        <f>ROUND(((((ET147*1.1))-((EU147*1.1)))+AE147),6)</f>
        <v>50.523000000000003</v>
      </c>
      <c r="AE147" s="3">
        <f>ROUND(((EU147*1.1)),6)</f>
        <v>5.5549999999999997</v>
      </c>
      <c r="AF147" s="3">
        <f>ROUND(((EV147*1.1)),6)</f>
        <v>148.74199999999999</v>
      </c>
      <c r="AG147" s="3">
        <f t="shared" si="145"/>
        <v>0</v>
      </c>
      <c r="AH147" s="3">
        <f>((EW147*1.1))</f>
        <v>10.230000000000002</v>
      </c>
      <c r="AI147" s="3">
        <f>((EX147*1.1))</f>
        <v>0</v>
      </c>
      <c r="AJ147" s="3">
        <f t="shared" si="146"/>
        <v>0</v>
      </c>
      <c r="AK147" s="3">
        <v>236.95</v>
      </c>
      <c r="AL147" s="3">
        <v>55.8</v>
      </c>
      <c r="AM147" s="3">
        <v>45.93</v>
      </c>
      <c r="AN147" s="3">
        <v>5.05</v>
      </c>
      <c r="AO147" s="3">
        <v>135.22</v>
      </c>
      <c r="AP147" s="3">
        <v>0</v>
      </c>
      <c r="AQ147" s="3">
        <v>9.3000000000000007</v>
      </c>
      <c r="AR147" s="3">
        <v>0</v>
      </c>
      <c r="AS147" s="3">
        <v>0</v>
      </c>
      <c r="AT147" s="3">
        <v>90</v>
      </c>
      <c r="AU147" s="3">
        <v>46</v>
      </c>
      <c r="AV147" s="3">
        <v>1.0469999999999999</v>
      </c>
      <c r="AW147" s="3">
        <v>1</v>
      </c>
      <c r="AX147" s="3"/>
      <c r="AY147" s="3"/>
      <c r="AZ147" s="3">
        <v>1</v>
      </c>
      <c r="BA147" s="3">
        <v>54.99</v>
      </c>
      <c r="BB147" s="3">
        <v>15.46</v>
      </c>
      <c r="BC147" s="3">
        <v>10.4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2</v>
      </c>
      <c r="BJ147" s="3" t="s">
        <v>161</v>
      </c>
      <c r="BK147" s="3"/>
      <c r="BL147" s="3"/>
      <c r="BM147" s="3">
        <v>68</v>
      </c>
      <c r="BN147" s="3">
        <v>0</v>
      </c>
      <c r="BO147" s="3" t="s">
        <v>159</v>
      </c>
      <c r="BP147" s="3">
        <v>1</v>
      </c>
      <c r="BQ147" s="3">
        <v>40</v>
      </c>
      <c r="BR147" s="3">
        <v>0</v>
      </c>
      <c r="BS147" s="3">
        <v>54.99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90</v>
      </c>
      <c r="CA147" s="3">
        <v>46</v>
      </c>
      <c r="CB147" s="3" t="s">
        <v>3</v>
      </c>
      <c r="CC147" s="3"/>
      <c r="CD147" s="3"/>
      <c r="CE147" s="3">
        <v>30</v>
      </c>
      <c r="CF147" s="3">
        <v>0</v>
      </c>
      <c r="CG147" s="3">
        <v>0</v>
      </c>
      <c r="CH147" s="3"/>
      <c r="CI147" s="3"/>
      <c r="CJ147" s="3"/>
      <c r="CK147" s="3"/>
      <c r="CL147" s="3"/>
      <c r="CM147" s="3">
        <v>0</v>
      </c>
      <c r="CN147" s="3" t="s">
        <v>3</v>
      </c>
      <c r="CO147" s="3">
        <v>0</v>
      </c>
      <c r="CP147" s="3">
        <f t="shared" si="147"/>
        <v>79694.759999999995</v>
      </c>
      <c r="CQ147" s="3">
        <f t="shared" si="148"/>
        <v>580.32000000000005</v>
      </c>
      <c r="CR147" s="3">
        <f>(ROUND((ROUND((((ET147*1.1))*AV147*1),2)*BB147),2)+ROUND((ROUND(((AE147-((EU147*1.1)))*AV147*1),2)*BS147),2))</f>
        <v>817.83</v>
      </c>
      <c r="CS147" s="3">
        <f t="shared" si="149"/>
        <v>320.04000000000002</v>
      </c>
      <c r="CT147" s="3">
        <f t="shared" si="150"/>
        <v>8563.59</v>
      </c>
      <c r="CU147" s="3">
        <f t="shared" si="151"/>
        <v>0</v>
      </c>
      <c r="CV147" s="3">
        <f t="shared" si="152"/>
        <v>10.710810000000002</v>
      </c>
      <c r="CW147" s="3">
        <f t="shared" si="153"/>
        <v>0</v>
      </c>
      <c r="CX147" s="3">
        <f t="shared" si="154"/>
        <v>0</v>
      </c>
      <c r="CY147" s="3">
        <f t="shared" si="155"/>
        <v>63961.667999999991</v>
      </c>
      <c r="CZ147" s="3">
        <f t="shared" si="156"/>
        <v>32691.519199999995</v>
      </c>
      <c r="DA147" s="3"/>
      <c r="DB147" s="3"/>
      <c r="DC147" s="3" t="s">
        <v>3</v>
      </c>
      <c r="DD147" s="3" t="s">
        <v>3</v>
      </c>
      <c r="DE147" s="3" t="s">
        <v>24</v>
      </c>
      <c r="DF147" s="3" t="s">
        <v>24</v>
      </c>
      <c r="DG147" s="3" t="s">
        <v>24</v>
      </c>
      <c r="DH147" s="3" t="s">
        <v>3</v>
      </c>
      <c r="DI147" s="3" t="s">
        <v>24</v>
      </c>
      <c r="DJ147" s="3" t="s">
        <v>24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R147" s="3"/>
      <c r="DS147" s="3"/>
      <c r="DT147" s="3"/>
      <c r="DU147" s="3">
        <v>1013</v>
      </c>
      <c r="DV147" s="3" t="s">
        <v>22</v>
      </c>
      <c r="DW147" s="3" t="s">
        <v>22</v>
      </c>
      <c r="DX147" s="3">
        <v>1</v>
      </c>
      <c r="DY147" s="3"/>
      <c r="DZ147" s="3" t="s">
        <v>3</v>
      </c>
      <c r="EA147" s="3" t="s">
        <v>3</v>
      </c>
      <c r="EB147" s="3" t="s">
        <v>3</v>
      </c>
      <c r="EC147" s="3" t="s">
        <v>3</v>
      </c>
      <c r="ED147" s="3"/>
      <c r="EE147" s="3">
        <v>58162630</v>
      </c>
      <c r="EF147" s="3">
        <v>40</v>
      </c>
      <c r="EG147" s="3" t="s">
        <v>25</v>
      </c>
      <c r="EH147" s="3">
        <v>0</v>
      </c>
      <c r="EI147" s="3" t="s">
        <v>3</v>
      </c>
      <c r="EJ147" s="3">
        <v>2</v>
      </c>
      <c r="EK147" s="3">
        <v>68</v>
      </c>
      <c r="EL147" s="3" t="s">
        <v>26</v>
      </c>
      <c r="EM147" s="3" t="s">
        <v>27</v>
      </c>
      <c r="EN147" s="3"/>
      <c r="EO147" s="3" t="s">
        <v>28</v>
      </c>
      <c r="EP147" s="3"/>
      <c r="EQ147" s="3">
        <v>0</v>
      </c>
      <c r="ER147" s="3">
        <v>236.95</v>
      </c>
      <c r="ES147" s="3">
        <v>55.8</v>
      </c>
      <c r="ET147" s="3">
        <v>45.93</v>
      </c>
      <c r="EU147" s="3">
        <v>5.05</v>
      </c>
      <c r="EV147" s="3">
        <v>135.22</v>
      </c>
      <c r="EW147" s="3">
        <v>9.3000000000000007</v>
      </c>
      <c r="EX147" s="3">
        <v>0</v>
      </c>
      <c r="EY147" s="3">
        <v>0</v>
      </c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>
        <v>0</v>
      </c>
      <c r="FR147" s="3">
        <v>0</v>
      </c>
      <c r="FS147" s="3">
        <v>0</v>
      </c>
      <c r="FT147" s="3"/>
      <c r="FU147" s="3"/>
      <c r="FV147" s="3"/>
      <c r="FW147" s="3"/>
      <c r="FX147" s="3">
        <v>90</v>
      </c>
      <c r="FY147" s="3">
        <v>46</v>
      </c>
      <c r="FZ147" s="3"/>
      <c r="GA147" s="3" t="s">
        <v>3</v>
      </c>
      <c r="GB147" s="3"/>
      <c r="GC147" s="3"/>
      <c r="GD147" s="3">
        <v>1</v>
      </c>
      <c r="GE147" s="3"/>
      <c r="GF147" s="3">
        <v>934791509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57"/>
        <v>0</v>
      </c>
      <c r="GM147" s="3">
        <f t="shared" si="158"/>
        <v>176347.95</v>
      </c>
      <c r="GN147" s="3">
        <f t="shared" si="159"/>
        <v>0</v>
      </c>
      <c r="GO147" s="3">
        <f t="shared" si="160"/>
        <v>176347.95</v>
      </c>
      <c r="GP147" s="3">
        <f t="shared" si="161"/>
        <v>0</v>
      </c>
      <c r="GQ147" s="3"/>
      <c r="GR147" s="3">
        <v>0</v>
      </c>
      <c r="GS147" s="3">
        <v>3</v>
      </c>
      <c r="GT147" s="3">
        <v>0</v>
      </c>
      <c r="GU147" s="3" t="s">
        <v>3</v>
      </c>
      <c r="GV147" s="3">
        <f t="shared" si="162"/>
        <v>0</v>
      </c>
      <c r="GW147" s="3">
        <v>1</v>
      </c>
      <c r="GX147" s="3">
        <f t="shared" si="163"/>
        <v>0</v>
      </c>
      <c r="GY147" s="3"/>
      <c r="GZ147" s="3"/>
      <c r="HA147" s="3">
        <v>0</v>
      </c>
      <c r="HB147" s="3">
        <v>0</v>
      </c>
      <c r="HC147" s="3">
        <f t="shared" si="164"/>
        <v>0</v>
      </c>
      <c r="HD147" s="3"/>
      <c r="HE147" s="3" t="s">
        <v>3</v>
      </c>
      <c r="HF147" s="3" t="s">
        <v>3</v>
      </c>
      <c r="HG147" s="3"/>
      <c r="HH147" s="3"/>
      <c r="HI147" s="3"/>
      <c r="HJ147" s="3"/>
      <c r="HK147" s="3"/>
      <c r="HL147" s="3"/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R147" s="3"/>
      <c r="HS147" s="3">
        <v>0</v>
      </c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>
        <v>0</v>
      </c>
      <c r="IL147" s="3"/>
      <c r="IM147" s="3"/>
      <c r="IN147" s="3"/>
      <c r="IO147" s="3"/>
      <c r="IP147" s="3"/>
      <c r="IQ147" s="3"/>
      <c r="IR147" s="3"/>
      <c r="IS147" s="3"/>
      <c r="IT147" s="3"/>
      <c r="IU147" s="3"/>
    </row>
    <row r="148" spans="1:255" x14ac:dyDescent="0.3">
      <c r="A148" s="2">
        <v>18</v>
      </c>
      <c r="B148" s="2">
        <v>1</v>
      </c>
      <c r="C148" s="2"/>
      <c r="D148" s="2"/>
      <c r="E148" s="2" t="s">
        <v>162</v>
      </c>
      <c r="F148" s="2" t="s">
        <v>163</v>
      </c>
      <c r="G148" s="2" t="s">
        <v>164</v>
      </c>
      <c r="H148" s="2" t="s">
        <v>165</v>
      </c>
      <c r="I148" s="2">
        <f>I146*J148</f>
        <v>2.3999999999999998E-3</v>
      </c>
      <c r="J148" s="2">
        <v>2.9999999999999997E-4</v>
      </c>
      <c r="K148" s="2">
        <v>2.9999999999999997E-4</v>
      </c>
      <c r="L148" s="2"/>
      <c r="M148" s="2"/>
      <c r="N148" s="2"/>
      <c r="O148" s="2">
        <f t="shared" si="133"/>
        <v>59.06</v>
      </c>
      <c r="P148" s="2">
        <f t="shared" si="134"/>
        <v>59.06</v>
      </c>
      <c r="Q148" s="2">
        <f t="shared" ref="Q148:Q155" si="165">(ROUND((ROUND(((ET148)*AV148*I148),2)*BB148),2)+ROUND((ROUND(((AE148-(EU148))*AV148*I148),2)*BS148),2))</f>
        <v>0</v>
      </c>
      <c r="R148" s="2">
        <f t="shared" si="135"/>
        <v>0</v>
      </c>
      <c r="S148" s="2">
        <f t="shared" si="136"/>
        <v>0</v>
      </c>
      <c r="T148" s="2">
        <f t="shared" si="137"/>
        <v>0</v>
      </c>
      <c r="U148" s="2">
        <f t="shared" si="138"/>
        <v>0</v>
      </c>
      <c r="V148" s="2">
        <f t="shared" si="139"/>
        <v>0</v>
      </c>
      <c r="W148" s="2">
        <f t="shared" si="140"/>
        <v>0</v>
      </c>
      <c r="X148" s="2">
        <f t="shared" si="141"/>
        <v>0</v>
      </c>
      <c r="Y148" s="2">
        <f t="shared" si="142"/>
        <v>0</v>
      </c>
      <c r="Z148" s="2"/>
      <c r="AA148" s="2">
        <v>56505403</v>
      </c>
      <c r="AB148" s="2">
        <f t="shared" si="143"/>
        <v>24609.759999999998</v>
      </c>
      <c r="AC148" s="2">
        <f t="shared" si="144"/>
        <v>24609.759999999998</v>
      </c>
      <c r="AD148" s="2">
        <f t="shared" ref="AD148:AD155" si="166">ROUND((((ET148)-(EU148))+AE148),6)</f>
        <v>0</v>
      </c>
      <c r="AE148" s="2">
        <f t="shared" ref="AE148:AF155" si="167">ROUND((EU148),6)</f>
        <v>0</v>
      </c>
      <c r="AF148" s="2">
        <f t="shared" si="167"/>
        <v>0</v>
      </c>
      <c r="AG148" s="2">
        <f t="shared" si="145"/>
        <v>0</v>
      </c>
      <c r="AH148" s="2">
        <f t="shared" ref="AH148:AI155" si="168">(EW148)</f>
        <v>0</v>
      </c>
      <c r="AI148" s="2">
        <f t="shared" si="168"/>
        <v>0</v>
      </c>
      <c r="AJ148" s="2">
        <f t="shared" si="146"/>
        <v>0</v>
      </c>
      <c r="AK148" s="2">
        <v>24609.759999999998</v>
      </c>
      <c r="AL148" s="2">
        <v>24609.759999999998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90</v>
      </c>
      <c r="AU148" s="2">
        <v>46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2</v>
      </c>
      <c r="BJ148" s="2" t="s">
        <v>166</v>
      </c>
      <c r="BK148" s="2"/>
      <c r="BL148" s="2"/>
      <c r="BM148" s="2">
        <v>68</v>
      </c>
      <c r="BN148" s="2">
        <v>0</v>
      </c>
      <c r="BO148" s="2" t="s">
        <v>3</v>
      </c>
      <c r="BP148" s="2">
        <v>0</v>
      </c>
      <c r="BQ148" s="2">
        <v>40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90</v>
      </c>
      <c r="CA148" s="2">
        <v>46</v>
      </c>
      <c r="CB148" s="2" t="s">
        <v>3</v>
      </c>
      <c r="CC148" s="2"/>
      <c r="CD148" s="2"/>
      <c r="CE148" s="2">
        <v>30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147"/>
        <v>59.06</v>
      </c>
      <c r="CQ148" s="2">
        <f t="shared" si="148"/>
        <v>24609.759999999998</v>
      </c>
      <c r="CR148" s="2">
        <f t="shared" ref="CR148:CR155" si="169">(ROUND((ROUND(((ET148)*AV148*1),2)*BB148),2)+ROUND((ROUND(((AE148-(EU148))*AV148*1),2)*BS148),2))</f>
        <v>0</v>
      </c>
      <c r="CS148" s="2">
        <f t="shared" si="149"/>
        <v>0</v>
      </c>
      <c r="CT148" s="2">
        <f t="shared" si="150"/>
        <v>0</v>
      </c>
      <c r="CU148" s="2">
        <f t="shared" si="151"/>
        <v>0</v>
      </c>
      <c r="CV148" s="2">
        <f t="shared" si="152"/>
        <v>0</v>
      </c>
      <c r="CW148" s="2">
        <f t="shared" si="153"/>
        <v>0</v>
      </c>
      <c r="CX148" s="2">
        <f t="shared" si="154"/>
        <v>0</v>
      </c>
      <c r="CY148" s="2">
        <f t="shared" si="155"/>
        <v>0</v>
      </c>
      <c r="CZ148" s="2">
        <f t="shared" si="156"/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1009</v>
      </c>
      <c r="DV148" s="2" t="s">
        <v>165</v>
      </c>
      <c r="DW148" s="2" t="s">
        <v>165</v>
      </c>
      <c r="DX148" s="2">
        <v>1000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58162630</v>
      </c>
      <c r="EF148" s="2">
        <v>40</v>
      </c>
      <c r="EG148" s="2" t="s">
        <v>25</v>
      </c>
      <c r="EH148" s="2">
        <v>0</v>
      </c>
      <c r="EI148" s="2" t="s">
        <v>3</v>
      </c>
      <c r="EJ148" s="2">
        <v>2</v>
      </c>
      <c r="EK148" s="2">
        <v>68</v>
      </c>
      <c r="EL148" s="2" t="s">
        <v>26</v>
      </c>
      <c r="EM148" s="2" t="s">
        <v>27</v>
      </c>
      <c r="EN148" s="2"/>
      <c r="EO148" s="2" t="s">
        <v>3</v>
      </c>
      <c r="EP148" s="2"/>
      <c r="EQ148" s="2">
        <v>0</v>
      </c>
      <c r="ER148" s="2">
        <v>24609.759999999998</v>
      </c>
      <c r="ES148" s="2">
        <v>24609.759999999998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90</v>
      </c>
      <c r="FY148" s="2">
        <v>46</v>
      </c>
      <c r="FZ148" s="2"/>
      <c r="GA148" s="2" t="s">
        <v>3</v>
      </c>
      <c r="GB148" s="2"/>
      <c r="GC148" s="2"/>
      <c r="GD148" s="2">
        <v>1</v>
      </c>
      <c r="GE148" s="2"/>
      <c r="GF148" s="2">
        <v>-566361729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57"/>
        <v>0</v>
      </c>
      <c r="GM148" s="2">
        <f t="shared" si="158"/>
        <v>59.06</v>
      </c>
      <c r="GN148" s="2">
        <f t="shared" si="159"/>
        <v>0</v>
      </c>
      <c r="GO148" s="2">
        <f t="shared" si="160"/>
        <v>59.06</v>
      </c>
      <c r="GP148" s="2">
        <f t="shared" si="161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62"/>
        <v>0</v>
      </c>
      <c r="GW148" s="2">
        <v>1</v>
      </c>
      <c r="GX148" s="2">
        <f t="shared" si="163"/>
        <v>0</v>
      </c>
      <c r="GY148" s="2"/>
      <c r="GZ148" s="2"/>
      <c r="HA148" s="2">
        <v>0</v>
      </c>
      <c r="HB148" s="2">
        <v>0</v>
      </c>
      <c r="HC148" s="2">
        <f t="shared" si="164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3">
      <c r="A149" s="3">
        <v>18</v>
      </c>
      <c r="B149" s="3">
        <v>1</v>
      </c>
      <c r="C149" s="3"/>
      <c r="D149" s="3"/>
      <c r="E149" s="3" t="s">
        <v>162</v>
      </c>
      <c r="F149" s="3" t="s">
        <v>163</v>
      </c>
      <c r="G149" s="3" t="s">
        <v>164</v>
      </c>
      <c r="H149" s="3" t="s">
        <v>165</v>
      </c>
      <c r="I149" s="3">
        <f>I147*J149</f>
        <v>2.3999999999999998E-3</v>
      </c>
      <c r="J149" s="3">
        <v>2.9999999999999997E-4</v>
      </c>
      <c r="K149" s="3">
        <v>2.9999999999999997E-4</v>
      </c>
      <c r="L149" s="3"/>
      <c r="M149" s="3"/>
      <c r="N149" s="3"/>
      <c r="O149" s="3">
        <f t="shared" si="133"/>
        <v>304.16000000000003</v>
      </c>
      <c r="P149" s="3">
        <f t="shared" si="134"/>
        <v>304.16000000000003</v>
      </c>
      <c r="Q149" s="3">
        <f t="shared" si="165"/>
        <v>0</v>
      </c>
      <c r="R149" s="3">
        <f t="shared" si="135"/>
        <v>0</v>
      </c>
      <c r="S149" s="3">
        <f t="shared" si="136"/>
        <v>0</v>
      </c>
      <c r="T149" s="3">
        <f t="shared" si="137"/>
        <v>0</v>
      </c>
      <c r="U149" s="3">
        <f t="shared" si="138"/>
        <v>0</v>
      </c>
      <c r="V149" s="3">
        <f t="shared" si="139"/>
        <v>0</v>
      </c>
      <c r="W149" s="3">
        <f t="shared" si="140"/>
        <v>0</v>
      </c>
      <c r="X149" s="3">
        <f t="shared" si="141"/>
        <v>0</v>
      </c>
      <c r="Y149" s="3">
        <f t="shared" si="142"/>
        <v>0</v>
      </c>
      <c r="Z149" s="3"/>
      <c r="AA149" s="3">
        <v>56505405</v>
      </c>
      <c r="AB149" s="3">
        <f t="shared" si="143"/>
        <v>24609.759999999998</v>
      </c>
      <c r="AC149" s="3">
        <f t="shared" si="144"/>
        <v>24609.759999999998</v>
      </c>
      <c r="AD149" s="3">
        <f t="shared" si="166"/>
        <v>0</v>
      </c>
      <c r="AE149" s="3">
        <f t="shared" si="167"/>
        <v>0</v>
      </c>
      <c r="AF149" s="3">
        <f t="shared" si="167"/>
        <v>0</v>
      </c>
      <c r="AG149" s="3">
        <f t="shared" si="145"/>
        <v>0</v>
      </c>
      <c r="AH149" s="3">
        <f t="shared" si="168"/>
        <v>0</v>
      </c>
      <c r="AI149" s="3">
        <f t="shared" si="168"/>
        <v>0</v>
      </c>
      <c r="AJ149" s="3">
        <f t="shared" si="146"/>
        <v>0</v>
      </c>
      <c r="AK149" s="3">
        <v>24609.759999999998</v>
      </c>
      <c r="AL149" s="3">
        <v>24609.759999999998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90</v>
      </c>
      <c r="AU149" s="3">
        <v>46</v>
      </c>
      <c r="AV149" s="3">
        <v>1</v>
      </c>
      <c r="AW149" s="3">
        <v>1</v>
      </c>
      <c r="AX149" s="3"/>
      <c r="AY149" s="3"/>
      <c r="AZ149" s="3">
        <v>1</v>
      </c>
      <c r="BA149" s="3">
        <v>1</v>
      </c>
      <c r="BB149" s="3">
        <v>1</v>
      </c>
      <c r="BC149" s="3">
        <v>5.15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2</v>
      </c>
      <c r="BJ149" s="3" t="s">
        <v>166</v>
      </c>
      <c r="BK149" s="3"/>
      <c r="BL149" s="3"/>
      <c r="BM149" s="3">
        <v>68</v>
      </c>
      <c r="BN149" s="3">
        <v>0</v>
      </c>
      <c r="BO149" s="3" t="s">
        <v>163</v>
      </c>
      <c r="BP149" s="3">
        <v>1</v>
      </c>
      <c r="BQ149" s="3">
        <v>40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90</v>
      </c>
      <c r="CA149" s="3">
        <v>46</v>
      </c>
      <c r="CB149" s="3" t="s">
        <v>3</v>
      </c>
      <c r="CC149" s="3"/>
      <c r="CD149" s="3"/>
      <c r="CE149" s="3">
        <v>30</v>
      </c>
      <c r="CF149" s="3">
        <v>0</v>
      </c>
      <c r="CG149" s="3">
        <v>0</v>
      </c>
      <c r="CH149" s="3"/>
      <c r="CI149" s="3"/>
      <c r="CJ149" s="3"/>
      <c r="CK149" s="3"/>
      <c r="CL149" s="3"/>
      <c r="CM149" s="3">
        <v>0</v>
      </c>
      <c r="CN149" s="3" t="s">
        <v>3</v>
      </c>
      <c r="CO149" s="3">
        <v>0</v>
      </c>
      <c r="CP149" s="3">
        <f t="shared" si="147"/>
        <v>304.16000000000003</v>
      </c>
      <c r="CQ149" s="3">
        <f t="shared" si="148"/>
        <v>126740.26</v>
      </c>
      <c r="CR149" s="3">
        <f t="shared" si="169"/>
        <v>0</v>
      </c>
      <c r="CS149" s="3">
        <f t="shared" si="149"/>
        <v>0</v>
      </c>
      <c r="CT149" s="3">
        <f t="shared" si="150"/>
        <v>0</v>
      </c>
      <c r="CU149" s="3">
        <f t="shared" si="151"/>
        <v>0</v>
      </c>
      <c r="CV149" s="3">
        <f t="shared" si="152"/>
        <v>0</v>
      </c>
      <c r="CW149" s="3">
        <f t="shared" si="153"/>
        <v>0</v>
      </c>
      <c r="CX149" s="3">
        <f t="shared" si="154"/>
        <v>0</v>
      </c>
      <c r="CY149" s="3">
        <f t="shared" si="155"/>
        <v>0</v>
      </c>
      <c r="CZ149" s="3">
        <f t="shared" si="156"/>
        <v>0</v>
      </c>
      <c r="DA149" s="3"/>
      <c r="DB149" s="3"/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R149" s="3"/>
      <c r="DS149" s="3"/>
      <c r="DT149" s="3"/>
      <c r="DU149" s="3">
        <v>1009</v>
      </c>
      <c r="DV149" s="3" t="s">
        <v>165</v>
      </c>
      <c r="DW149" s="3" t="s">
        <v>165</v>
      </c>
      <c r="DX149" s="3">
        <v>1000</v>
      </c>
      <c r="DY149" s="3"/>
      <c r="DZ149" s="3" t="s">
        <v>3</v>
      </c>
      <c r="EA149" s="3" t="s">
        <v>3</v>
      </c>
      <c r="EB149" s="3" t="s">
        <v>3</v>
      </c>
      <c r="EC149" s="3" t="s">
        <v>3</v>
      </c>
      <c r="ED149" s="3"/>
      <c r="EE149" s="3">
        <v>58162630</v>
      </c>
      <c r="EF149" s="3">
        <v>40</v>
      </c>
      <c r="EG149" s="3" t="s">
        <v>25</v>
      </c>
      <c r="EH149" s="3">
        <v>0</v>
      </c>
      <c r="EI149" s="3" t="s">
        <v>3</v>
      </c>
      <c r="EJ149" s="3">
        <v>2</v>
      </c>
      <c r="EK149" s="3">
        <v>68</v>
      </c>
      <c r="EL149" s="3" t="s">
        <v>26</v>
      </c>
      <c r="EM149" s="3" t="s">
        <v>27</v>
      </c>
      <c r="EN149" s="3"/>
      <c r="EO149" s="3" t="s">
        <v>3</v>
      </c>
      <c r="EP149" s="3"/>
      <c r="EQ149" s="3">
        <v>0</v>
      </c>
      <c r="ER149" s="3">
        <v>24609.759999999998</v>
      </c>
      <c r="ES149" s="3">
        <v>24609.759999999998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>
        <v>0</v>
      </c>
      <c r="FR149" s="3">
        <v>0</v>
      </c>
      <c r="FS149" s="3">
        <v>0</v>
      </c>
      <c r="FT149" s="3"/>
      <c r="FU149" s="3"/>
      <c r="FV149" s="3"/>
      <c r="FW149" s="3"/>
      <c r="FX149" s="3">
        <v>90</v>
      </c>
      <c r="FY149" s="3">
        <v>46</v>
      </c>
      <c r="FZ149" s="3"/>
      <c r="GA149" s="3" t="s">
        <v>3</v>
      </c>
      <c r="GB149" s="3"/>
      <c r="GC149" s="3"/>
      <c r="GD149" s="3">
        <v>1</v>
      </c>
      <c r="GE149" s="3"/>
      <c r="GF149" s="3">
        <v>-566361729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57"/>
        <v>0</v>
      </c>
      <c r="GM149" s="3">
        <f t="shared" si="158"/>
        <v>304.16000000000003</v>
      </c>
      <c r="GN149" s="3">
        <f t="shared" si="159"/>
        <v>0</v>
      </c>
      <c r="GO149" s="3">
        <f t="shared" si="160"/>
        <v>304.16000000000003</v>
      </c>
      <c r="GP149" s="3">
        <f t="shared" si="161"/>
        <v>0</v>
      </c>
      <c r="GQ149" s="3"/>
      <c r="GR149" s="3">
        <v>0</v>
      </c>
      <c r="GS149" s="3">
        <v>3</v>
      </c>
      <c r="GT149" s="3">
        <v>0</v>
      </c>
      <c r="GU149" s="3" t="s">
        <v>3</v>
      </c>
      <c r="GV149" s="3">
        <f t="shared" si="162"/>
        <v>0</v>
      </c>
      <c r="GW149" s="3">
        <v>1</v>
      </c>
      <c r="GX149" s="3">
        <f t="shared" si="163"/>
        <v>0</v>
      </c>
      <c r="GY149" s="3"/>
      <c r="GZ149" s="3"/>
      <c r="HA149" s="3">
        <v>0</v>
      </c>
      <c r="HB149" s="3">
        <v>0</v>
      </c>
      <c r="HC149" s="3">
        <f t="shared" si="164"/>
        <v>0</v>
      </c>
      <c r="HD149" s="3"/>
      <c r="HE149" s="3" t="s">
        <v>3</v>
      </c>
      <c r="HF149" s="3" t="s">
        <v>3</v>
      </c>
      <c r="HG149" s="3"/>
      <c r="HH149" s="3"/>
      <c r="HI149" s="3"/>
      <c r="HJ149" s="3"/>
      <c r="HK149" s="3"/>
      <c r="HL149" s="3"/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R149" s="3"/>
      <c r="HS149" s="3">
        <v>0</v>
      </c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>
        <v>0</v>
      </c>
      <c r="IL149" s="3"/>
      <c r="IM149" s="3"/>
      <c r="IN149" s="3"/>
      <c r="IO149" s="3"/>
      <c r="IP149" s="3"/>
      <c r="IQ149" s="3"/>
      <c r="IR149" s="3"/>
      <c r="IS149" s="3"/>
      <c r="IT149" s="3"/>
      <c r="IU149" s="3"/>
    </row>
    <row r="150" spans="1:255" x14ac:dyDescent="0.3">
      <c r="A150" s="2">
        <v>18</v>
      </c>
      <c r="B150" s="2">
        <v>1</v>
      </c>
      <c r="C150" s="2"/>
      <c r="D150" s="2"/>
      <c r="E150" s="2" t="s">
        <v>167</v>
      </c>
      <c r="F150" s="2" t="s">
        <v>168</v>
      </c>
      <c r="G150" s="2" t="s">
        <v>169</v>
      </c>
      <c r="H150" s="2" t="s">
        <v>32</v>
      </c>
      <c r="I150" s="2">
        <f>I146*J150</f>
        <v>80</v>
      </c>
      <c r="J150" s="2">
        <v>10</v>
      </c>
      <c r="K150" s="2">
        <v>10</v>
      </c>
      <c r="L150" s="2"/>
      <c r="M150" s="2"/>
      <c r="N150" s="2"/>
      <c r="O150" s="2">
        <f t="shared" si="133"/>
        <v>20</v>
      </c>
      <c r="P150" s="2">
        <f t="shared" si="134"/>
        <v>20</v>
      </c>
      <c r="Q150" s="2">
        <f t="shared" si="165"/>
        <v>0</v>
      </c>
      <c r="R150" s="2">
        <f t="shared" si="135"/>
        <v>0</v>
      </c>
      <c r="S150" s="2">
        <f t="shared" si="136"/>
        <v>0</v>
      </c>
      <c r="T150" s="2">
        <f t="shared" si="137"/>
        <v>0</v>
      </c>
      <c r="U150" s="2">
        <f t="shared" si="138"/>
        <v>0</v>
      </c>
      <c r="V150" s="2">
        <f t="shared" si="139"/>
        <v>0</v>
      </c>
      <c r="W150" s="2">
        <f t="shared" si="140"/>
        <v>0</v>
      </c>
      <c r="X150" s="2">
        <f t="shared" si="141"/>
        <v>0</v>
      </c>
      <c r="Y150" s="2">
        <f t="shared" si="142"/>
        <v>0</v>
      </c>
      <c r="Z150" s="2"/>
      <c r="AA150" s="2">
        <v>56505403</v>
      </c>
      <c r="AB150" s="2">
        <f t="shared" si="143"/>
        <v>0.25</v>
      </c>
      <c r="AC150" s="2">
        <f t="shared" si="144"/>
        <v>0.25</v>
      </c>
      <c r="AD150" s="2">
        <f t="shared" si="166"/>
        <v>0</v>
      </c>
      <c r="AE150" s="2">
        <f t="shared" si="167"/>
        <v>0</v>
      </c>
      <c r="AF150" s="2">
        <f t="shared" si="167"/>
        <v>0</v>
      </c>
      <c r="AG150" s="2">
        <f t="shared" si="145"/>
        <v>0</v>
      </c>
      <c r="AH150" s="2">
        <f t="shared" si="168"/>
        <v>0</v>
      </c>
      <c r="AI150" s="2">
        <f t="shared" si="168"/>
        <v>0</v>
      </c>
      <c r="AJ150" s="2">
        <f t="shared" si="146"/>
        <v>0</v>
      </c>
      <c r="AK150" s="2">
        <v>0.25</v>
      </c>
      <c r="AL150" s="2">
        <v>0.25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90</v>
      </c>
      <c r="AU150" s="2">
        <v>46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2</v>
      </c>
      <c r="BJ150" s="2" t="s">
        <v>170</v>
      </c>
      <c r="BK150" s="2"/>
      <c r="BL150" s="2"/>
      <c r="BM150" s="2">
        <v>68</v>
      </c>
      <c r="BN150" s="2">
        <v>0</v>
      </c>
      <c r="BO150" s="2" t="s">
        <v>3</v>
      </c>
      <c r="BP150" s="2">
        <v>0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90</v>
      </c>
      <c r="CA150" s="2">
        <v>46</v>
      </c>
      <c r="CB150" s="2" t="s">
        <v>3</v>
      </c>
      <c r="CC150" s="2"/>
      <c r="CD150" s="2"/>
      <c r="CE150" s="2">
        <v>30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3</v>
      </c>
      <c r="CO150" s="2">
        <v>0</v>
      </c>
      <c r="CP150" s="2">
        <f t="shared" si="147"/>
        <v>20</v>
      </c>
      <c r="CQ150" s="2">
        <f t="shared" si="148"/>
        <v>0.25</v>
      </c>
      <c r="CR150" s="2">
        <f t="shared" si="169"/>
        <v>0</v>
      </c>
      <c r="CS150" s="2">
        <f t="shared" si="149"/>
        <v>0</v>
      </c>
      <c r="CT150" s="2">
        <f t="shared" si="150"/>
        <v>0</v>
      </c>
      <c r="CU150" s="2">
        <f t="shared" si="151"/>
        <v>0</v>
      </c>
      <c r="CV150" s="2">
        <f t="shared" si="152"/>
        <v>0</v>
      </c>
      <c r="CW150" s="2">
        <f t="shared" si="153"/>
        <v>0</v>
      </c>
      <c r="CX150" s="2">
        <f t="shared" si="154"/>
        <v>0</v>
      </c>
      <c r="CY150" s="2">
        <f t="shared" si="155"/>
        <v>0</v>
      </c>
      <c r="CZ150" s="2">
        <f t="shared" si="156"/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32</v>
      </c>
      <c r="DW150" s="2" t="s">
        <v>32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58162630</v>
      </c>
      <c r="EF150" s="2">
        <v>40</v>
      </c>
      <c r="EG150" s="2" t="s">
        <v>25</v>
      </c>
      <c r="EH150" s="2">
        <v>0</v>
      </c>
      <c r="EI150" s="2" t="s">
        <v>3</v>
      </c>
      <c r="EJ150" s="2">
        <v>2</v>
      </c>
      <c r="EK150" s="2">
        <v>68</v>
      </c>
      <c r="EL150" s="2" t="s">
        <v>26</v>
      </c>
      <c r="EM150" s="2" t="s">
        <v>27</v>
      </c>
      <c r="EN150" s="2"/>
      <c r="EO150" s="2" t="s">
        <v>3</v>
      </c>
      <c r="EP150" s="2"/>
      <c r="EQ150" s="2">
        <v>0</v>
      </c>
      <c r="ER150" s="2">
        <v>0.25</v>
      </c>
      <c r="ES150" s="2">
        <v>0.25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90</v>
      </c>
      <c r="FY150" s="2">
        <v>46</v>
      </c>
      <c r="FZ150" s="2"/>
      <c r="GA150" s="2" t="s">
        <v>3</v>
      </c>
      <c r="GB150" s="2"/>
      <c r="GC150" s="2"/>
      <c r="GD150" s="2">
        <v>1</v>
      </c>
      <c r="GE150" s="2"/>
      <c r="GF150" s="2">
        <v>45414805</v>
      </c>
      <c r="GG150" s="2">
        <v>2</v>
      </c>
      <c r="GH150" s="2">
        <v>1</v>
      </c>
      <c r="GI150" s="2">
        <v>-2</v>
      </c>
      <c r="GJ150" s="2">
        <v>0</v>
      </c>
      <c r="GK150" s="2">
        <v>0</v>
      </c>
      <c r="GL150" s="2">
        <f t="shared" si="157"/>
        <v>0</v>
      </c>
      <c r="GM150" s="2">
        <f t="shared" si="158"/>
        <v>20</v>
      </c>
      <c r="GN150" s="2">
        <f t="shared" si="159"/>
        <v>0</v>
      </c>
      <c r="GO150" s="2">
        <f t="shared" si="160"/>
        <v>20</v>
      </c>
      <c r="GP150" s="2">
        <f t="shared" si="161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62"/>
        <v>0</v>
      </c>
      <c r="GW150" s="2">
        <v>1</v>
      </c>
      <c r="GX150" s="2">
        <f t="shared" si="163"/>
        <v>0</v>
      </c>
      <c r="GY150" s="2"/>
      <c r="GZ150" s="2"/>
      <c r="HA150" s="2">
        <v>0</v>
      </c>
      <c r="HB150" s="2">
        <v>0</v>
      </c>
      <c r="HC150" s="2">
        <f t="shared" si="164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3">
      <c r="A151" s="3">
        <v>18</v>
      </c>
      <c r="B151" s="3">
        <v>1</v>
      </c>
      <c r="C151" s="3"/>
      <c r="D151" s="3"/>
      <c r="E151" s="3" t="s">
        <v>167</v>
      </c>
      <c r="F151" s="3" t="s">
        <v>168</v>
      </c>
      <c r="G151" s="3" t="s">
        <v>169</v>
      </c>
      <c r="H151" s="3" t="s">
        <v>32</v>
      </c>
      <c r="I151" s="3">
        <f>I147*J151</f>
        <v>80</v>
      </c>
      <c r="J151" s="3">
        <v>10</v>
      </c>
      <c r="K151" s="3">
        <v>10</v>
      </c>
      <c r="L151" s="3"/>
      <c r="M151" s="3"/>
      <c r="N151" s="3"/>
      <c r="O151" s="3">
        <f t="shared" si="133"/>
        <v>173.6</v>
      </c>
      <c r="P151" s="3">
        <f t="shared" si="134"/>
        <v>173.6</v>
      </c>
      <c r="Q151" s="3">
        <f t="shared" si="165"/>
        <v>0</v>
      </c>
      <c r="R151" s="3">
        <f t="shared" si="135"/>
        <v>0</v>
      </c>
      <c r="S151" s="3">
        <f t="shared" si="136"/>
        <v>0</v>
      </c>
      <c r="T151" s="3">
        <f t="shared" si="137"/>
        <v>0</v>
      </c>
      <c r="U151" s="3">
        <f t="shared" si="138"/>
        <v>0</v>
      </c>
      <c r="V151" s="3">
        <f t="shared" si="139"/>
        <v>0</v>
      </c>
      <c r="W151" s="3">
        <f t="shared" si="140"/>
        <v>0</v>
      </c>
      <c r="X151" s="3">
        <f t="shared" si="141"/>
        <v>0</v>
      </c>
      <c r="Y151" s="3">
        <f t="shared" si="142"/>
        <v>0</v>
      </c>
      <c r="Z151" s="3"/>
      <c r="AA151" s="3">
        <v>56505405</v>
      </c>
      <c r="AB151" s="3">
        <f t="shared" si="143"/>
        <v>0.25</v>
      </c>
      <c r="AC151" s="3">
        <f t="shared" si="144"/>
        <v>0.25</v>
      </c>
      <c r="AD151" s="3">
        <f t="shared" si="166"/>
        <v>0</v>
      </c>
      <c r="AE151" s="3">
        <f t="shared" si="167"/>
        <v>0</v>
      </c>
      <c r="AF151" s="3">
        <f t="shared" si="167"/>
        <v>0</v>
      </c>
      <c r="AG151" s="3">
        <f t="shared" si="145"/>
        <v>0</v>
      </c>
      <c r="AH151" s="3">
        <f t="shared" si="168"/>
        <v>0</v>
      </c>
      <c r="AI151" s="3">
        <f t="shared" si="168"/>
        <v>0</v>
      </c>
      <c r="AJ151" s="3">
        <f t="shared" si="146"/>
        <v>0</v>
      </c>
      <c r="AK151" s="3">
        <v>0.25</v>
      </c>
      <c r="AL151" s="3">
        <v>0.25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90</v>
      </c>
      <c r="AU151" s="3">
        <v>46</v>
      </c>
      <c r="AV151" s="3">
        <v>1</v>
      </c>
      <c r="AW151" s="3">
        <v>1</v>
      </c>
      <c r="AX151" s="3"/>
      <c r="AY151" s="3"/>
      <c r="AZ151" s="3">
        <v>1</v>
      </c>
      <c r="BA151" s="3">
        <v>1</v>
      </c>
      <c r="BB151" s="3">
        <v>1</v>
      </c>
      <c r="BC151" s="3">
        <v>8.68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2</v>
      </c>
      <c r="BJ151" s="3" t="s">
        <v>170</v>
      </c>
      <c r="BK151" s="3"/>
      <c r="BL151" s="3"/>
      <c r="BM151" s="3">
        <v>68</v>
      </c>
      <c r="BN151" s="3">
        <v>0</v>
      </c>
      <c r="BO151" s="3" t="s">
        <v>168</v>
      </c>
      <c r="BP151" s="3">
        <v>1</v>
      </c>
      <c r="BQ151" s="3">
        <v>40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90</v>
      </c>
      <c r="CA151" s="3">
        <v>46</v>
      </c>
      <c r="CB151" s="3" t="s">
        <v>3</v>
      </c>
      <c r="CC151" s="3"/>
      <c r="CD151" s="3"/>
      <c r="CE151" s="3">
        <v>30</v>
      </c>
      <c r="CF151" s="3">
        <v>0</v>
      </c>
      <c r="CG151" s="3">
        <v>0</v>
      </c>
      <c r="CH151" s="3"/>
      <c r="CI151" s="3"/>
      <c r="CJ151" s="3"/>
      <c r="CK151" s="3"/>
      <c r="CL151" s="3"/>
      <c r="CM151" s="3">
        <v>0</v>
      </c>
      <c r="CN151" s="3" t="s">
        <v>3</v>
      </c>
      <c r="CO151" s="3">
        <v>0</v>
      </c>
      <c r="CP151" s="3">
        <f t="shared" si="147"/>
        <v>173.6</v>
      </c>
      <c r="CQ151" s="3">
        <f t="shared" si="148"/>
        <v>2.17</v>
      </c>
      <c r="CR151" s="3">
        <f t="shared" si="169"/>
        <v>0</v>
      </c>
      <c r="CS151" s="3">
        <f t="shared" si="149"/>
        <v>0</v>
      </c>
      <c r="CT151" s="3">
        <f t="shared" si="150"/>
        <v>0</v>
      </c>
      <c r="CU151" s="3">
        <f t="shared" si="151"/>
        <v>0</v>
      </c>
      <c r="CV151" s="3">
        <f t="shared" si="152"/>
        <v>0</v>
      </c>
      <c r="CW151" s="3">
        <f t="shared" si="153"/>
        <v>0</v>
      </c>
      <c r="CX151" s="3">
        <f t="shared" si="154"/>
        <v>0</v>
      </c>
      <c r="CY151" s="3">
        <f t="shared" si="155"/>
        <v>0</v>
      </c>
      <c r="CZ151" s="3">
        <f t="shared" si="156"/>
        <v>0</v>
      </c>
      <c r="DA151" s="3"/>
      <c r="DB151" s="3"/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R151" s="3"/>
      <c r="DS151" s="3"/>
      <c r="DT151" s="3"/>
      <c r="DU151" s="3">
        <v>1010</v>
      </c>
      <c r="DV151" s="3" t="s">
        <v>32</v>
      </c>
      <c r="DW151" s="3" t="s">
        <v>32</v>
      </c>
      <c r="DX151" s="3">
        <v>1</v>
      </c>
      <c r="DY151" s="3"/>
      <c r="DZ151" s="3" t="s">
        <v>3</v>
      </c>
      <c r="EA151" s="3" t="s">
        <v>3</v>
      </c>
      <c r="EB151" s="3" t="s">
        <v>3</v>
      </c>
      <c r="EC151" s="3" t="s">
        <v>3</v>
      </c>
      <c r="ED151" s="3"/>
      <c r="EE151" s="3">
        <v>58162630</v>
      </c>
      <c r="EF151" s="3">
        <v>40</v>
      </c>
      <c r="EG151" s="3" t="s">
        <v>25</v>
      </c>
      <c r="EH151" s="3">
        <v>0</v>
      </c>
      <c r="EI151" s="3" t="s">
        <v>3</v>
      </c>
      <c r="EJ151" s="3">
        <v>2</v>
      </c>
      <c r="EK151" s="3">
        <v>68</v>
      </c>
      <c r="EL151" s="3" t="s">
        <v>26</v>
      </c>
      <c r="EM151" s="3" t="s">
        <v>27</v>
      </c>
      <c r="EN151" s="3"/>
      <c r="EO151" s="3" t="s">
        <v>3</v>
      </c>
      <c r="EP151" s="3"/>
      <c r="EQ151" s="3">
        <v>0</v>
      </c>
      <c r="ER151" s="3">
        <v>0.25</v>
      </c>
      <c r="ES151" s="3">
        <v>0.25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>
        <v>0</v>
      </c>
      <c r="FR151" s="3">
        <v>0</v>
      </c>
      <c r="FS151" s="3">
        <v>0</v>
      </c>
      <c r="FT151" s="3"/>
      <c r="FU151" s="3"/>
      <c r="FV151" s="3"/>
      <c r="FW151" s="3"/>
      <c r="FX151" s="3">
        <v>90</v>
      </c>
      <c r="FY151" s="3">
        <v>46</v>
      </c>
      <c r="FZ151" s="3"/>
      <c r="GA151" s="3" t="s">
        <v>3</v>
      </c>
      <c r="GB151" s="3"/>
      <c r="GC151" s="3"/>
      <c r="GD151" s="3">
        <v>1</v>
      </c>
      <c r="GE151" s="3"/>
      <c r="GF151" s="3">
        <v>45414805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57"/>
        <v>0</v>
      </c>
      <c r="GM151" s="3">
        <f t="shared" si="158"/>
        <v>173.6</v>
      </c>
      <c r="GN151" s="3">
        <f t="shared" si="159"/>
        <v>0</v>
      </c>
      <c r="GO151" s="3">
        <f t="shared" si="160"/>
        <v>173.6</v>
      </c>
      <c r="GP151" s="3">
        <f t="shared" si="161"/>
        <v>0</v>
      </c>
      <c r="GQ151" s="3"/>
      <c r="GR151" s="3">
        <v>0</v>
      </c>
      <c r="GS151" s="3">
        <v>3</v>
      </c>
      <c r="GT151" s="3">
        <v>0</v>
      </c>
      <c r="GU151" s="3" t="s">
        <v>3</v>
      </c>
      <c r="GV151" s="3">
        <f t="shared" si="162"/>
        <v>0</v>
      </c>
      <c r="GW151" s="3">
        <v>1</v>
      </c>
      <c r="GX151" s="3">
        <f t="shared" si="163"/>
        <v>0</v>
      </c>
      <c r="GY151" s="3"/>
      <c r="GZ151" s="3"/>
      <c r="HA151" s="3">
        <v>0</v>
      </c>
      <c r="HB151" s="3">
        <v>0</v>
      </c>
      <c r="HC151" s="3">
        <f t="shared" si="164"/>
        <v>0</v>
      </c>
      <c r="HD151" s="3"/>
      <c r="HE151" s="3" t="s">
        <v>3</v>
      </c>
      <c r="HF151" s="3" t="s">
        <v>3</v>
      </c>
      <c r="HG151" s="3"/>
      <c r="HH151" s="3"/>
      <c r="HI151" s="3"/>
      <c r="HJ151" s="3"/>
      <c r="HK151" s="3"/>
      <c r="HL151" s="3"/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R151" s="3"/>
      <c r="HS151" s="3">
        <v>0</v>
      </c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>
        <v>0</v>
      </c>
      <c r="IL151" s="3"/>
      <c r="IM151" s="3"/>
      <c r="IN151" s="3"/>
      <c r="IO151" s="3"/>
      <c r="IP151" s="3"/>
      <c r="IQ151" s="3"/>
      <c r="IR151" s="3"/>
      <c r="IS151" s="3"/>
      <c r="IT151" s="3"/>
      <c r="IU151" s="3"/>
    </row>
    <row r="152" spans="1:255" x14ac:dyDescent="0.3">
      <c r="A152" s="2">
        <v>18</v>
      </c>
      <c r="B152" s="2">
        <v>1</v>
      </c>
      <c r="C152" s="2"/>
      <c r="D152" s="2"/>
      <c r="E152" s="2" t="s">
        <v>171</v>
      </c>
      <c r="F152" s="2" t="s">
        <v>172</v>
      </c>
      <c r="G152" s="2" t="s">
        <v>173</v>
      </c>
      <c r="H152" s="2" t="s">
        <v>32</v>
      </c>
      <c r="I152" s="2">
        <f>I146*J152</f>
        <v>8</v>
      </c>
      <c r="J152" s="2">
        <v>1</v>
      </c>
      <c r="K152" s="2">
        <v>1</v>
      </c>
      <c r="L152" s="2"/>
      <c r="M152" s="2"/>
      <c r="N152" s="2"/>
      <c r="O152" s="2">
        <f t="shared" si="133"/>
        <v>82314.720000000001</v>
      </c>
      <c r="P152" s="2">
        <f>ROUND((ROUND((AC152*I152),2)*BC152),2)</f>
        <v>82314.720000000001</v>
      </c>
      <c r="Q152" s="2">
        <f t="shared" si="165"/>
        <v>0</v>
      </c>
      <c r="R152" s="2">
        <f t="shared" si="135"/>
        <v>0</v>
      </c>
      <c r="S152" s="2">
        <f t="shared" si="136"/>
        <v>0</v>
      </c>
      <c r="T152" s="2">
        <f t="shared" si="137"/>
        <v>0</v>
      </c>
      <c r="U152" s="2">
        <f t="shared" si="138"/>
        <v>0</v>
      </c>
      <c r="V152" s="2">
        <f t="shared" si="139"/>
        <v>0</v>
      </c>
      <c r="W152" s="2">
        <f t="shared" si="140"/>
        <v>0</v>
      </c>
      <c r="X152" s="2">
        <f t="shared" si="141"/>
        <v>0</v>
      </c>
      <c r="Y152" s="2">
        <f t="shared" si="142"/>
        <v>0</v>
      </c>
      <c r="Z152" s="2"/>
      <c r="AA152" s="2">
        <v>56505403</v>
      </c>
      <c r="AB152" s="2">
        <f t="shared" si="143"/>
        <v>10289.34</v>
      </c>
      <c r="AC152" s="2">
        <f t="shared" si="144"/>
        <v>10289.34</v>
      </c>
      <c r="AD152" s="2">
        <f t="shared" si="166"/>
        <v>0</v>
      </c>
      <c r="AE152" s="2">
        <f t="shared" si="167"/>
        <v>0</v>
      </c>
      <c r="AF152" s="2">
        <f t="shared" si="167"/>
        <v>0</v>
      </c>
      <c r="AG152" s="2">
        <f t="shared" si="145"/>
        <v>0</v>
      </c>
      <c r="AH152" s="2">
        <f t="shared" si="168"/>
        <v>0</v>
      </c>
      <c r="AI152" s="2">
        <f t="shared" si="168"/>
        <v>0</v>
      </c>
      <c r="AJ152" s="2">
        <f t="shared" si="146"/>
        <v>0</v>
      </c>
      <c r="AK152" s="2">
        <v>10289.34</v>
      </c>
      <c r="AL152" s="2">
        <v>10289.34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3</v>
      </c>
      <c r="BJ152" s="2" t="s">
        <v>3</v>
      </c>
      <c r="BK152" s="2"/>
      <c r="BL152" s="2"/>
      <c r="BM152" s="2">
        <v>746</v>
      </c>
      <c r="BN152" s="2">
        <v>0</v>
      </c>
      <c r="BO152" s="2" t="s">
        <v>3</v>
      </c>
      <c r="BP152" s="2">
        <v>0</v>
      </c>
      <c r="BQ152" s="2">
        <v>130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30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147"/>
        <v>82314.720000000001</v>
      </c>
      <c r="CQ152" s="2">
        <f>ROUND((ROUND((AC152*1),2)*BC152),2)</f>
        <v>10289.34</v>
      </c>
      <c r="CR152" s="2">
        <f t="shared" si="169"/>
        <v>0</v>
      </c>
      <c r="CS152" s="2">
        <f t="shared" si="149"/>
        <v>0</v>
      </c>
      <c r="CT152" s="2">
        <f t="shared" si="150"/>
        <v>0</v>
      </c>
      <c r="CU152" s="2">
        <f t="shared" si="151"/>
        <v>0</v>
      </c>
      <c r="CV152" s="2">
        <f t="shared" si="152"/>
        <v>0</v>
      </c>
      <c r="CW152" s="2">
        <f t="shared" si="153"/>
        <v>0</v>
      </c>
      <c r="CX152" s="2">
        <f t="shared" si="154"/>
        <v>0</v>
      </c>
      <c r="CY152" s="2">
        <f t="shared" si="155"/>
        <v>0</v>
      </c>
      <c r="CZ152" s="2">
        <f t="shared" si="156"/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32</v>
      </c>
      <c r="DW152" s="2" t="s">
        <v>32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58162750</v>
      </c>
      <c r="EF152" s="2">
        <v>130</v>
      </c>
      <c r="EG152" s="2" t="s">
        <v>52</v>
      </c>
      <c r="EH152" s="2">
        <v>0</v>
      </c>
      <c r="EI152" s="2" t="s">
        <v>3</v>
      </c>
      <c r="EJ152" s="2">
        <v>3</v>
      </c>
      <c r="EK152" s="2">
        <v>746</v>
      </c>
      <c r="EL152" s="2" t="s">
        <v>53</v>
      </c>
      <c r="EM152" s="2" t="s">
        <v>54</v>
      </c>
      <c r="EN152" s="2"/>
      <c r="EO152" s="2" t="s">
        <v>3</v>
      </c>
      <c r="EP152" s="2"/>
      <c r="EQ152" s="2">
        <v>0</v>
      </c>
      <c r="ER152" s="2">
        <v>0</v>
      </c>
      <c r="ES152" s="2">
        <v>10289.34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f>P152</f>
        <v>82314.720000000001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174</v>
      </c>
      <c r="GB152" s="2"/>
      <c r="GC152" s="2"/>
      <c r="GD152" s="2">
        <v>1</v>
      </c>
      <c r="GE152" s="2"/>
      <c r="GF152" s="2">
        <v>785270640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157"/>
        <v>0</v>
      </c>
      <c r="GM152" s="2">
        <f t="shared" si="158"/>
        <v>82314.720000000001</v>
      </c>
      <c r="GN152" s="2">
        <f t="shared" si="159"/>
        <v>0</v>
      </c>
      <c r="GO152" s="2">
        <f t="shared" si="160"/>
        <v>0</v>
      </c>
      <c r="GP152" s="2">
        <f t="shared" si="161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162"/>
        <v>0</v>
      </c>
      <c r="GW152" s="2">
        <v>1</v>
      </c>
      <c r="GX152" s="2">
        <f t="shared" si="163"/>
        <v>0</v>
      </c>
      <c r="GY152" s="2"/>
      <c r="GZ152" s="2"/>
      <c r="HA152" s="2">
        <v>0</v>
      </c>
      <c r="HB152" s="2">
        <v>0</v>
      </c>
      <c r="HC152" s="2">
        <f t="shared" si="164"/>
        <v>0</v>
      </c>
      <c r="HD152" s="2"/>
      <c r="HE152" s="2" t="s">
        <v>56</v>
      </c>
      <c r="HF152" s="2" t="s">
        <v>36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3">
      <c r="A153" s="3">
        <v>18</v>
      </c>
      <c r="B153" s="3">
        <v>1</v>
      </c>
      <c r="C153" s="3"/>
      <c r="D153" s="3"/>
      <c r="E153" s="3" t="s">
        <v>171</v>
      </c>
      <c r="F153" s="3" t="s">
        <v>172</v>
      </c>
      <c r="G153" s="3" t="s">
        <v>173</v>
      </c>
      <c r="H153" s="3" t="s">
        <v>32</v>
      </c>
      <c r="I153" s="3">
        <f>I147*J153</f>
        <v>8</v>
      </c>
      <c r="J153" s="3">
        <v>1</v>
      </c>
      <c r="K153" s="3">
        <v>1</v>
      </c>
      <c r="L153" s="3"/>
      <c r="M153" s="3"/>
      <c r="N153" s="3"/>
      <c r="O153" s="3">
        <f t="shared" si="133"/>
        <v>630530.76</v>
      </c>
      <c r="P153" s="3">
        <f>ROUND((ROUND((AC153*I153),2)*BC153),2)</f>
        <v>630530.76</v>
      </c>
      <c r="Q153" s="3">
        <f t="shared" si="165"/>
        <v>0</v>
      </c>
      <c r="R153" s="3">
        <f t="shared" si="135"/>
        <v>0</v>
      </c>
      <c r="S153" s="3">
        <f t="shared" si="136"/>
        <v>0</v>
      </c>
      <c r="T153" s="3">
        <f t="shared" si="137"/>
        <v>0</v>
      </c>
      <c r="U153" s="3">
        <f t="shared" si="138"/>
        <v>0</v>
      </c>
      <c r="V153" s="3">
        <f t="shared" si="139"/>
        <v>0</v>
      </c>
      <c r="W153" s="3">
        <f t="shared" si="140"/>
        <v>0</v>
      </c>
      <c r="X153" s="3">
        <f t="shared" si="141"/>
        <v>0</v>
      </c>
      <c r="Y153" s="3">
        <f t="shared" si="142"/>
        <v>0</v>
      </c>
      <c r="Z153" s="3"/>
      <c r="AA153" s="3">
        <v>56505405</v>
      </c>
      <c r="AB153" s="3">
        <f t="shared" si="143"/>
        <v>10289.34</v>
      </c>
      <c r="AC153" s="3">
        <f t="shared" si="144"/>
        <v>10289.34</v>
      </c>
      <c r="AD153" s="3">
        <f t="shared" si="166"/>
        <v>0</v>
      </c>
      <c r="AE153" s="3">
        <f t="shared" si="167"/>
        <v>0</v>
      </c>
      <c r="AF153" s="3">
        <f t="shared" si="167"/>
        <v>0</v>
      </c>
      <c r="AG153" s="3">
        <f t="shared" si="145"/>
        <v>0</v>
      </c>
      <c r="AH153" s="3">
        <f t="shared" si="168"/>
        <v>0</v>
      </c>
      <c r="AI153" s="3">
        <f t="shared" si="168"/>
        <v>0</v>
      </c>
      <c r="AJ153" s="3">
        <f t="shared" si="146"/>
        <v>0</v>
      </c>
      <c r="AK153" s="3">
        <v>10289.34</v>
      </c>
      <c r="AL153" s="3">
        <v>10289.34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1</v>
      </c>
      <c r="AX153" s="3"/>
      <c r="AY153" s="3"/>
      <c r="AZ153" s="3">
        <v>1</v>
      </c>
      <c r="BA153" s="3">
        <v>1</v>
      </c>
      <c r="BB153" s="3">
        <v>1</v>
      </c>
      <c r="BC153" s="3">
        <v>7.66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3</v>
      </c>
      <c r="BJ153" s="3" t="s">
        <v>3</v>
      </c>
      <c r="BK153" s="3"/>
      <c r="BL153" s="3"/>
      <c r="BM153" s="3">
        <v>746</v>
      </c>
      <c r="BN153" s="3">
        <v>0</v>
      </c>
      <c r="BO153" s="3" t="s">
        <v>3</v>
      </c>
      <c r="BP153" s="3">
        <v>0</v>
      </c>
      <c r="BQ153" s="3">
        <v>130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C153" s="3"/>
      <c r="CD153" s="3"/>
      <c r="CE153" s="3">
        <v>30</v>
      </c>
      <c r="CF153" s="3">
        <v>0</v>
      </c>
      <c r="CG153" s="3">
        <v>0</v>
      </c>
      <c r="CH153" s="3"/>
      <c r="CI153" s="3"/>
      <c r="CJ153" s="3"/>
      <c r="CK153" s="3"/>
      <c r="CL153" s="3"/>
      <c r="CM153" s="3">
        <v>0</v>
      </c>
      <c r="CN153" s="3" t="s">
        <v>3</v>
      </c>
      <c r="CO153" s="3">
        <v>0</v>
      </c>
      <c r="CP153" s="3">
        <f t="shared" si="147"/>
        <v>630530.76</v>
      </c>
      <c r="CQ153" s="3">
        <f>ROUND((ROUND((AC153*1),2)*BC153),2)</f>
        <v>78816.34</v>
      </c>
      <c r="CR153" s="3">
        <f t="shared" si="169"/>
        <v>0</v>
      </c>
      <c r="CS153" s="3">
        <f t="shared" si="149"/>
        <v>0</v>
      </c>
      <c r="CT153" s="3">
        <f t="shared" si="150"/>
        <v>0</v>
      </c>
      <c r="CU153" s="3">
        <f t="shared" si="151"/>
        <v>0</v>
      </c>
      <c r="CV153" s="3">
        <f t="shared" si="152"/>
        <v>0</v>
      </c>
      <c r="CW153" s="3">
        <f t="shared" si="153"/>
        <v>0</v>
      </c>
      <c r="CX153" s="3">
        <f t="shared" si="154"/>
        <v>0</v>
      </c>
      <c r="CY153" s="3">
        <f t="shared" si="155"/>
        <v>0</v>
      </c>
      <c r="CZ153" s="3">
        <f t="shared" si="156"/>
        <v>0</v>
      </c>
      <c r="DA153" s="3"/>
      <c r="DB153" s="3"/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R153" s="3"/>
      <c r="DS153" s="3"/>
      <c r="DT153" s="3"/>
      <c r="DU153" s="3">
        <v>1010</v>
      </c>
      <c r="DV153" s="3" t="s">
        <v>32</v>
      </c>
      <c r="DW153" s="3" t="s">
        <v>32</v>
      </c>
      <c r="DX153" s="3">
        <v>1</v>
      </c>
      <c r="DY153" s="3"/>
      <c r="DZ153" s="3" t="s">
        <v>3</v>
      </c>
      <c r="EA153" s="3" t="s">
        <v>3</v>
      </c>
      <c r="EB153" s="3" t="s">
        <v>3</v>
      </c>
      <c r="EC153" s="3" t="s">
        <v>3</v>
      </c>
      <c r="ED153" s="3"/>
      <c r="EE153" s="3">
        <v>58162750</v>
      </c>
      <c r="EF153" s="3">
        <v>130</v>
      </c>
      <c r="EG153" s="3" t="s">
        <v>52</v>
      </c>
      <c r="EH153" s="3">
        <v>0</v>
      </c>
      <c r="EI153" s="3" t="s">
        <v>3</v>
      </c>
      <c r="EJ153" s="3">
        <v>3</v>
      </c>
      <c r="EK153" s="3">
        <v>746</v>
      </c>
      <c r="EL153" s="3" t="s">
        <v>53</v>
      </c>
      <c r="EM153" s="3" t="s">
        <v>54</v>
      </c>
      <c r="EN153" s="3"/>
      <c r="EO153" s="3" t="s">
        <v>3</v>
      </c>
      <c r="EP153" s="3"/>
      <c r="EQ153" s="3">
        <v>0</v>
      </c>
      <c r="ER153" s="3">
        <v>10289.34</v>
      </c>
      <c r="ES153" s="3">
        <v>10289.34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/>
      <c r="EZ153" s="3">
        <v>5</v>
      </c>
      <c r="FA153" s="3"/>
      <c r="FB153" s="3"/>
      <c r="FC153" s="3">
        <v>1</v>
      </c>
      <c r="FD153" s="3">
        <v>18</v>
      </c>
      <c r="FE153" s="3"/>
      <c r="FF153" s="3">
        <v>90736</v>
      </c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>
        <v>0</v>
      </c>
      <c r="FR153" s="3">
        <f>P153</f>
        <v>630530.76</v>
      </c>
      <c r="FS153" s="3">
        <v>0</v>
      </c>
      <c r="FT153" s="3"/>
      <c r="FU153" s="3"/>
      <c r="FV153" s="3"/>
      <c r="FW153" s="3"/>
      <c r="FX153" s="3">
        <v>90</v>
      </c>
      <c r="FY153" s="3">
        <v>46</v>
      </c>
      <c r="FZ153" s="3"/>
      <c r="GA153" s="3" t="s">
        <v>174</v>
      </c>
      <c r="GB153" s="3"/>
      <c r="GC153" s="3"/>
      <c r="GD153" s="3">
        <v>1</v>
      </c>
      <c r="GE153" s="3"/>
      <c r="GF153" s="3">
        <v>785270640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157"/>
        <v>0</v>
      </c>
      <c r="GM153" s="3">
        <f t="shared" si="158"/>
        <v>630530.76</v>
      </c>
      <c r="GN153" s="3">
        <f t="shared" si="159"/>
        <v>0</v>
      </c>
      <c r="GO153" s="3">
        <f t="shared" si="160"/>
        <v>0</v>
      </c>
      <c r="GP153" s="3">
        <f t="shared" si="161"/>
        <v>0</v>
      </c>
      <c r="GQ153" s="3"/>
      <c r="GR153" s="3">
        <v>1</v>
      </c>
      <c r="GS153" s="3">
        <v>1</v>
      </c>
      <c r="GT153" s="3">
        <v>0</v>
      </c>
      <c r="GU153" s="3" t="s">
        <v>3</v>
      </c>
      <c r="GV153" s="3">
        <f t="shared" si="162"/>
        <v>0</v>
      </c>
      <c r="GW153" s="3">
        <v>1</v>
      </c>
      <c r="GX153" s="3">
        <f t="shared" si="163"/>
        <v>0</v>
      </c>
      <c r="GY153" s="3"/>
      <c r="GZ153" s="3"/>
      <c r="HA153" s="3">
        <v>0</v>
      </c>
      <c r="HB153" s="3">
        <v>0</v>
      </c>
      <c r="HC153" s="3">
        <f t="shared" si="164"/>
        <v>0</v>
      </c>
      <c r="HD153" s="3"/>
      <c r="HE153" s="3" t="s">
        <v>56</v>
      </c>
      <c r="HF153" s="3" t="s">
        <v>36</v>
      </c>
      <c r="HG153" s="3"/>
      <c r="HH153" s="3"/>
      <c r="HI153" s="3"/>
      <c r="HJ153" s="3"/>
      <c r="HK153" s="3"/>
      <c r="HL153" s="3"/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R153" s="3"/>
      <c r="HS153" s="3">
        <v>0</v>
      </c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>
        <v>0</v>
      </c>
      <c r="IL153" s="3"/>
      <c r="IM153" s="3"/>
      <c r="IN153" s="3"/>
      <c r="IO153" s="3"/>
      <c r="IP153" s="3"/>
      <c r="IQ153" s="3"/>
      <c r="IR153" s="3"/>
      <c r="IS153" s="3"/>
      <c r="IT153" s="3"/>
      <c r="IU153" s="3"/>
    </row>
    <row r="154" spans="1:255" x14ac:dyDescent="0.3">
      <c r="A154" s="2">
        <v>18</v>
      </c>
      <c r="B154" s="2">
        <v>1</v>
      </c>
      <c r="C154" s="2"/>
      <c r="D154" s="2"/>
      <c r="E154" s="2" t="s">
        <v>175</v>
      </c>
      <c r="F154" s="2" t="s">
        <v>176</v>
      </c>
      <c r="G154" s="2" t="s">
        <v>177</v>
      </c>
      <c r="H154" s="2" t="s">
        <v>32</v>
      </c>
      <c r="I154" s="2">
        <f>I146*J154</f>
        <v>8</v>
      </c>
      <c r="J154" s="2">
        <v>1</v>
      </c>
      <c r="K154" s="2">
        <v>1</v>
      </c>
      <c r="L154" s="2"/>
      <c r="M154" s="2"/>
      <c r="N154" s="2"/>
      <c r="O154" s="2">
        <f t="shared" si="133"/>
        <v>44505.760000000002</v>
      </c>
      <c r="P154" s="2">
        <f>ROUND((ROUND((AC154*I154),2)*BC154),2)</f>
        <v>44505.760000000002</v>
      </c>
      <c r="Q154" s="2">
        <f t="shared" si="165"/>
        <v>0</v>
      </c>
      <c r="R154" s="2">
        <f t="shared" si="135"/>
        <v>0</v>
      </c>
      <c r="S154" s="2">
        <f t="shared" si="136"/>
        <v>0</v>
      </c>
      <c r="T154" s="2">
        <f t="shared" si="137"/>
        <v>0</v>
      </c>
      <c r="U154" s="2">
        <f t="shared" si="138"/>
        <v>0</v>
      </c>
      <c r="V154" s="2">
        <f t="shared" si="139"/>
        <v>0</v>
      </c>
      <c r="W154" s="2">
        <f t="shared" si="140"/>
        <v>0</v>
      </c>
      <c r="X154" s="2">
        <f t="shared" si="141"/>
        <v>0</v>
      </c>
      <c r="Y154" s="2">
        <f t="shared" si="142"/>
        <v>0</v>
      </c>
      <c r="Z154" s="2"/>
      <c r="AA154" s="2">
        <v>56505403</v>
      </c>
      <c r="AB154" s="2">
        <f t="shared" si="143"/>
        <v>5563.22</v>
      </c>
      <c r="AC154" s="2">
        <f t="shared" si="144"/>
        <v>5563.22</v>
      </c>
      <c r="AD154" s="2">
        <f t="shared" si="166"/>
        <v>0</v>
      </c>
      <c r="AE154" s="2">
        <f t="shared" si="167"/>
        <v>0</v>
      </c>
      <c r="AF154" s="2">
        <f t="shared" si="167"/>
        <v>0</v>
      </c>
      <c r="AG154" s="2">
        <f t="shared" si="145"/>
        <v>0</v>
      </c>
      <c r="AH154" s="2">
        <f t="shared" si="168"/>
        <v>0</v>
      </c>
      <c r="AI154" s="2">
        <f t="shared" si="168"/>
        <v>0</v>
      </c>
      <c r="AJ154" s="2">
        <f t="shared" si="146"/>
        <v>0</v>
      </c>
      <c r="AK154" s="2">
        <v>5563.22</v>
      </c>
      <c r="AL154" s="2">
        <v>5563.22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3</v>
      </c>
      <c r="BK154" s="2"/>
      <c r="BL154" s="2"/>
      <c r="BM154" s="2">
        <v>746</v>
      </c>
      <c r="BN154" s="2">
        <v>0</v>
      </c>
      <c r="BO154" s="2" t="s">
        <v>3</v>
      </c>
      <c r="BP154" s="2">
        <v>0</v>
      </c>
      <c r="BQ154" s="2">
        <v>130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90</v>
      </c>
      <c r="CA154" s="2">
        <v>46</v>
      </c>
      <c r="CB154" s="2" t="s">
        <v>3</v>
      </c>
      <c r="CC154" s="2"/>
      <c r="CD154" s="2"/>
      <c r="CE154" s="2">
        <v>30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47"/>
        <v>44505.760000000002</v>
      </c>
      <c r="CQ154" s="2">
        <f>ROUND((ROUND((AC154*1),2)*BC154),2)</f>
        <v>5563.22</v>
      </c>
      <c r="CR154" s="2">
        <f t="shared" si="169"/>
        <v>0</v>
      </c>
      <c r="CS154" s="2">
        <f t="shared" si="149"/>
        <v>0</v>
      </c>
      <c r="CT154" s="2">
        <f t="shared" si="150"/>
        <v>0</v>
      </c>
      <c r="CU154" s="2">
        <f t="shared" si="151"/>
        <v>0</v>
      </c>
      <c r="CV154" s="2">
        <f t="shared" si="152"/>
        <v>0</v>
      </c>
      <c r="CW154" s="2">
        <f t="shared" si="153"/>
        <v>0</v>
      </c>
      <c r="CX154" s="2">
        <f t="shared" si="154"/>
        <v>0</v>
      </c>
      <c r="CY154" s="2">
        <f t="shared" si="155"/>
        <v>0</v>
      </c>
      <c r="CZ154" s="2">
        <f t="shared" si="156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32</v>
      </c>
      <c r="DW154" s="2" t="s">
        <v>32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58162750</v>
      </c>
      <c r="EF154" s="2">
        <v>130</v>
      </c>
      <c r="EG154" s="2" t="s">
        <v>52</v>
      </c>
      <c r="EH154" s="2">
        <v>0</v>
      </c>
      <c r="EI154" s="2" t="s">
        <v>3</v>
      </c>
      <c r="EJ154" s="2">
        <v>3</v>
      </c>
      <c r="EK154" s="2">
        <v>746</v>
      </c>
      <c r="EL154" s="2" t="s">
        <v>53</v>
      </c>
      <c r="EM154" s="2" t="s">
        <v>54</v>
      </c>
      <c r="EN154" s="2"/>
      <c r="EO154" s="2" t="s">
        <v>3</v>
      </c>
      <c r="EP154" s="2"/>
      <c r="EQ154" s="2">
        <v>0</v>
      </c>
      <c r="ER154" s="2">
        <v>0</v>
      </c>
      <c r="ES154" s="2">
        <v>5563.22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44505.760000000002</v>
      </c>
      <c r="FS154" s="2">
        <v>0</v>
      </c>
      <c r="FT154" s="2"/>
      <c r="FU154" s="2"/>
      <c r="FV154" s="2"/>
      <c r="FW154" s="2"/>
      <c r="FX154" s="2">
        <v>90</v>
      </c>
      <c r="FY154" s="2">
        <v>46</v>
      </c>
      <c r="FZ154" s="2"/>
      <c r="GA154" s="2" t="s">
        <v>178</v>
      </c>
      <c r="GB154" s="2"/>
      <c r="GC154" s="2"/>
      <c r="GD154" s="2">
        <v>1</v>
      </c>
      <c r="GE154" s="2"/>
      <c r="GF154" s="2">
        <v>918325485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157"/>
        <v>0</v>
      </c>
      <c r="GM154" s="2">
        <f t="shared" si="158"/>
        <v>44505.760000000002</v>
      </c>
      <c r="GN154" s="2">
        <f t="shared" si="159"/>
        <v>0</v>
      </c>
      <c r="GO154" s="2">
        <f t="shared" si="160"/>
        <v>0</v>
      </c>
      <c r="GP154" s="2">
        <f t="shared" si="161"/>
        <v>0</v>
      </c>
      <c r="GQ154" s="2"/>
      <c r="GR154" s="2">
        <v>0</v>
      </c>
      <c r="GS154" s="2">
        <v>2</v>
      </c>
      <c r="GT154" s="2">
        <v>0</v>
      </c>
      <c r="GU154" s="2" t="s">
        <v>3</v>
      </c>
      <c r="GV154" s="2">
        <f t="shared" si="162"/>
        <v>0</v>
      </c>
      <c r="GW154" s="2">
        <v>1</v>
      </c>
      <c r="GX154" s="2">
        <f t="shared" si="163"/>
        <v>0</v>
      </c>
      <c r="GY154" s="2"/>
      <c r="GZ154" s="2"/>
      <c r="HA154" s="2">
        <v>0</v>
      </c>
      <c r="HB154" s="2">
        <v>0</v>
      </c>
      <c r="HC154" s="2">
        <f t="shared" si="164"/>
        <v>0</v>
      </c>
      <c r="HD154" s="2"/>
      <c r="HE154" s="2" t="s">
        <v>56</v>
      </c>
      <c r="HF154" s="2" t="s">
        <v>36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3">
      <c r="A155" s="3">
        <v>18</v>
      </c>
      <c r="B155" s="3">
        <v>1</v>
      </c>
      <c r="C155" s="3"/>
      <c r="D155" s="3"/>
      <c r="E155" s="3" t="s">
        <v>175</v>
      </c>
      <c r="F155" s="3" t="s">
        <v>176</v>
      </c>
      <c r="G155" s="3" t="s">
        <v>177</v>
      </c>
      <c r="H155" s="3" t="s">
        <v>32</v>
      </c>
      <c r="I155" s="3">
        <f>I147*J155</f>
        <v>8</v>
      </c>
      <c r="J155" s="3">
        <v>1</v>
      </c>
      <c r="K155" s="3">
        <v>1</v>
      </c>
      <c r="L155" s="3"/>
      <c r="M155" s="3"/>
      <c r="N155" s="3"/>
      <c r="O155" s="3">
        <f t="shared" si="133"/>
        <v>340914.12</v>
      </c>
      <c r="P155" s="3">
        <f>ROUND((ROUND((AC155*I155),2)*BC155),2)</f>
        <v>340914.12</v>
      </c>
      <c r="Q155" s="3">
        <f t="shared" si="165"/>
        <v>0</v>
      </c>
      <c r="R155" s="3">
        <f t="shared" si="135"/>
        <v>0</v>
      </c>
      <c r="S155" s="3">
        <f t="shared" si="136"/>
        <v>0</v>
      </c>
      <c r="T155" s="3">
        <f t="shared" si="137"/>
        <v>0</v>
      </c>
      <c r="U155" s="3">
        <f t="shared" si="138"/>
        <v>0</v>
      </c>
      <c r="V155" s="3">
        <f t="shared" si="139"/>
        <v>0</v>
      </c>
      <c r="W155" s="3">
        <f t="shared" si="140"/>
        <v>0</v>
      </c>
      <c r="X155" s="3">
        <f t="shared" si="141"/>
        <v>0</v>
      </c>
      <c r="Y155" s="3">
        <f t="shared" si="142"/>
        <v>0</v>
      </c>
      <c r="Z155" s="3"/>
      <c r="AA155" s="3">
        <v>56505405</v>
      </c>
      <c r="AB155" s="3">
        <f t="shared" si="143"/>
        <v>5563.22</v>
      </c>
      <c r="AC155" s="3">
        <f t="shared" si="144"/>
        <v>5563.22</v>
      </c>
      <c r="AD155" s="3">
        <f t="shared" si="166"/>
        <v>0</v>
      </c>
      <c r="AE155" s="3">
        <f t="shared" si="167"/>
        <v>0</v>
      </c>
      <c r="AF155" s="3">
        <f t="shared" si="167"/>
        <v>0</v>
      </c>
      <c r="AG155" s="3">
        <f t="shared" si="145"/>
        <v>0</v>
      </c>
      <c r="AH155" s="3">
        <f t="shared" si="168"/>
        <v>0</v>
      </c>
      <c r="AI155" s="3">
        <f t="shared" si="168"/>
        <v>0</v>
      </c>
      <c r="AJ155" s="3">
        <f t="shared" si="146"/>
        <v>0</v>
      </c>
      <c r="AK155" s="3">
        <v>5563.22</v>
      </c>
      <c r="AL155" s="3">
        <v>5563.22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X155" s="3"/>
      <c r="AY155" s="3"/>
      <c r="AZ155" s="3">
        <v>1</v>
      </c>
      <c r="BA155" s="3">
        <v>1</v>
      </c>
      <c r="BB155" s="3">
        <v>1</v>
      </c>
      <c r="BC155" s="3">
        <v>7.66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3</v>
      </c>
      <c r="BK155" s="3"/>
      <c r="BL155" s="3"/>
      <c r="BM155" s="3">
        <v>746</v>
      </c>
      <c r="BN155" s="3">
        <v>0</v>
      </c>
      <c r="BO155" s="3" t="s">
        <v>3</v>
      </c>
      <c r="BP155" s="3">
        <v>0</v>
      </c>
      <c r="BQ155" s="3">
        <v>130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90</v>
      </c>
      <c r="CA155" s="3">
        <v>46</v>
      </c>
      <c r="CB155" s="3" t="s">
        <v>3</v>
      </c>
      <c r="CC155" s="3"/>
      <c r="CD155" s="3"/>
      <c r="CE155" s="3">
        <v>30</v>
      </c>
      <c r="CF155" s="3">
        <v>0</v>
      </c>
      <c r="CG155" s="3">
        <v>0</v>
      </c>
      <c r="CH155" s="3"/>
      <c r="CI155" s="3"/>
      <c r="CJ155" s="3"/>
      <c r="CK155" s="3"/>
      <c r="CL155" s="3"/>
      <c r="CM155" s="3">
        <v>0</v>
      </c>
      <c r="CN155" s="3" t="s">
        <v>3</v>
      </c>
      <c r="CO155" s="3">
        <v>0</v>
      </c>
      <c r="CP155" s="3">
        <f t="shared" si="147"/>
        <v>340914.12</v>
      </c>
      <c r="CQ155" s="3">
        <f>ROUND((ROUND((AC155*1),2)*BC155),2)</f>
        <v>42614.27</v>
      </c>
      <c r="CR155" s="3">
        <f t="shared" si="169"/>
        <v>0</v>
      </c>
      <c r="CS155" s="3">
        <f t="shared" si="149"/>
        <v>0</v>
      </c>
      <c r="CT155" s="3">
        <f t="shared" si="150"/>
        <v>0</v>
      </c>
      <c r="CU155" s="3">
        <f t="shared" si="151"/>
        <v>0</v>
      </c>
      <c r="CV155" s="3">
        <f t="shared" si="152"/>
        <v>0</v>
      </c>
      <c r="CW155" s="3">
        <f t="shared" si="153"/>
        <v>0</v>
      </c>
      <c r="CX155" s="3">
        <f t="shared" si="154"/>
        <v>0</v>
      </c>
      <c r="CY155" s="3">
        <f t="shared" si="155"/>
        <v>0</v>
      </c>
      <c r="CZ155" s="3">
        <f t="shared" si="156"/>
        <v>0</v>
      </c>
      <c r="DA155" s="3"/>
      <c r="DB155" s="3"/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R155" s="3"/>
      <c r="DS155" s="3"/>
      <c r="DT155" s="3"/>
      <c r="DU155" s="3">
        <v>1010</v>
      </c>
      <c r="DV155" s="3" t="s">
        <v>32</v>
      </c>
      <c r="DW155" s="3" t="s">
        <v>32</v>
      </c>
      <c r="DX155" s="3">
        <v>1</v>
      </c>
      <c r="DY155" s="3"/>
      <c r="DZ155" s="3" t="s">
        <v>3</v>
      </c>
      <c r="EA155" s="3" t="s">
        <v>3</v>
      </c>
      <c r="EB155" s="3" t="s">
        <v>3</v>
      </c>
      <c r="EC155" s="3" t="s">
        <v>3</v>
      </c>
      <c r="ED155" s="3"/>
      <c r="EE155" s="3">
        <v>58162750</v>
      </c>
      <c r="EF155" s="3">
        <v>130</v>
      </c>
      <c r="EG155" s="3" t="s">
        <v>52</v>
      </c>
      <c r="EH155" s="3">
        <v>0</v>
      </c>
      <c r="EI155" s="3" t="s">
        <v>3</v>
      </c>
      <c r="EJ155" s="3">
        <v>3</v>
      </c>
      <c r="EK155" s="3">
        <v>746</v>
      </c>
      <c r="EL155" s="3" t="s">
        <v>53</v>
      </c>
      <c r="EM155" s="3" t="s">
        <v>54</v>
      </c>
      <c r="EN155" s="3"/>
      <c r="EO155" s="3" t="s">
        <v>3</v>
      </c>
      <c r="EP155" s="3"/>
      <c r="EQ155" s="3">
        <v>0</v>
      </c>
      <c r="ER155" s="3">
        <v>5563.22</v>
      </c>
      <c r="ES155" s="3">
        <v>5563.22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/>
      <c r="EZ155" s="3">
        <v>5</v>
      </c>
      <c r="FA155" s="3"/>
      <c r="FB155" s="3"/>
      <c r="FC155" s="3">
        <v>1</v>
      </c>
      <c r="FD155" s="3">
        <v>18</v>
      </c>
      <c r="FE155" s="3"/>
      <c r="FF155" s="3">
        <v>49058.96</v>
      </c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>
        <v>0</v>
      </c>
      <c r="FR155" s="3">
        <f>P155</f>
        <v>340914.12</v>
      </c>
      <c r="FS155" s="3">
        <v>0</v>
      </c>
      <c r="FT155" s="3"/>
      <c r="FU155" s="3"/>
      <c r="FV155" s="3"/>
      <c r="FW155" s="3"/>
      <c r="FX155" s="3">
        <v>90</v>
      </c>
      <c r="FY155" s="3">
        <v>46</v>
      </c>
      <c r="FZ155" s="3"/>
      <c r="GA155" s="3" t="s">
        <v>178</v>
      </c>
      <c r="GB155" s="3"/>
      <c r="GC155" s="3"/>
      <c r="GD155" s="3">
        <v>1</v>
      </c>
      <c r="GE155" s="3"/>
      <c r="GF155" s="3">
        <v>918325485</v>
      </c>
      <c r="GG155" s="3">
        <v>2</v>
      </c>
      <c r="GH155" s="3">
        <v>3</v>
      </c>
      <c r="GI155" s="3">
        <v>5</v>
      </c>
      <c r="GJ155" s="3">
        <v>0</v>
      </c>
      <c r="GK155" s="3">
        <v>0</v>
      </c>
      <c r="GL155" s="3">
        <f t="shared" si="157"/>
        <v>0</v>
      </c>
      <c r="GM155" s="3">
        <f t="shared" si="158"/>
        <v>340914.12</v>
      </c>
      <c r="GN155" s="3">
        <f t="shared" si="159"/>
        <v>0</v>
      </c>
      <c r="GO155" s="3">
        <f t="shared" si="160"/>
        <v>0</v>
      </c>
      <c r="GP155" s="3">
        <f t="shared" si="161"/>
        <v>0</v>
      </c>
      <c r="GQ155" s="3"/>
      <c r="GR155" s="3">
        <v>1</v>
      </c>
      <c r="GS155" s="3">
        <v>1</v>
      </c>
      <c r="GT155" s="3">
        <v>0</v>
      </c>
      <c r="GU155" s="3" t="s">
        <v>3</v>
      </c>
      <c r="GV155" s="3">
        <f t="shared" si="162"/>
        <v>0</v>
      </c>
      <c r="GW155" s="3">
        <v>1</v>
      </c>
      <c r="GX155" s="3">
        <f t="shared" si="163"/>
        <v>0</v>
      </c>
      <c r="GY155" s="3"/>
      <c r="GZ155" s="3"/>
      <c r="HA155" s="3">
        <v>0</v>
      </c>
      <c r="HB155" s="3">
        <v>0</v>
      </c>
      <c r="HC155" s="3">
        <f t="shared" si="164"/>
        <v>0</v>
      </c>
      <c r="HD155" s="3"/>
      <c r="HE155" s="3" t="s">
        <v>56</v>
      </c>
      <c r="HF155" s="3" t="s">
        <v>36</v>
      </c>
      <c r="HG155" s="3"/>
      <c r="HH155" s="3"/>
      <c r="HI155" s="3"/>
      <c r="HJ155" s="3"/>
      <c r="HK155" s="3"/>
      <c r="HL155" s="3"/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R155" s="3"/>
      <c r="HS155" s="3">
        <v>0</v>
      </c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>
        <v>0</v>
      </c>
      <c r="IL155" s="3"/>
      <c r="IM155" s="3"/>
      <c r="IN155" s="3"/>
      <c r="IO155" s="3"/>
      <c r="IP155" s="3"/>
      <c r="IQ155" s="3"/>
      <c r="IR155" s="3"/>
      <c r="IS155" s="3"/>
      <c r="IT155" s="3"/>
      <c r="IU155" s="3"/>
    </row>
    <row r="156" spans="1:255" x14ac:dyDescent="0.3">
      <c r="A156" s="2">
        <v>17</v>
      </c>
      <c r="B156" s="2">
        <v>1</v>
      </c>
      <c r="C156" s="2"/>
      <c r="D156" s="2">
        <f>ROW(EtalonRes!A75)</f>
        <v>75</v>
      </c>
      <c r="E156" s="2" t="s">
        <v>179</v>
      </c>
      <c r="F156" s="2" t="s">
        <v>180</v>
      </c>
      <c r="G156" s="2" t="s">
        <v>181</v>
      </c>
      <c r="H156" s="2" t="s">
        <v>22</v>
      </c>
      <c r="I156" s="2">
        <v>16</v>
      </c>
      <c r="J156" s="2">
        <v>0</v>
      </c>
      <c r="K156" s="2">
        <v>16</v>
      </c>
      <c r="L156" s="2"/>
      <c r="M156" s="2"/>
      <c r="N156" s="2"/>
      <c r="O156" s="2">
        <f t="shared" si="133"/>
        <v>124.38</v>
      </c>
      <c r="P156" s="2">
        <f>ROUND((ROUND((AC156*AW156*I156),2)*BC156),2)</f>
        <v>0</v>
      </c>
      <c r="Q156" s="2">
        <f>(ROUND((ROUND((((ET156*1.1))*AV156*I156),2)*BB156),2)+ROUND((ROUND(((AE156-((EU156*1.1)))*AV156*I156),2)*BS156),2))</f>
        <v>0</v>
      </c>
      <c r="R156" s="2">
        <f t="shared" si="135"/>
        <v>0</v>
      </c>
      <c r="S156" s="2">
        <f t="shared" si="136"/>
        <v>124.38</v>
      </c>
      <c r="T156" s="2">
        <f t="shared" si="137"/>
        <v>0</v>
      </c>
      <c r="U156" s="2">
        <f t="shared" si="138"/>
        <v>9.5821439999999996</v>
      </c>
      <c r="V156" s="2">
        <f t="shared" si="139"/>
        <v>0</v>
      </c>
      <c r="W156" s="2">
        <f t="shared" si="140"/>
        <v>0</v>
      </c>
      <c r="X156" s="2">
        <f t="shared" si="141"/>
        <v>111.94</v>
      </c>
      <c r="Y156" s="2">
        <f t="shared" si="142"/>
        <v>57.21</v>
      </c>
      <c r="Z156" s="2"/>
      <c r="AA156" s="2">
        <v>56505403</v>
      </c>
      <c r="AB156" s="2">
        <f t="shared" si="143"/>
        <v>7.4249999999999998</v>
      </c>
      <c r="AC156" s="2">
        <f t="shared" si="144"/>
        <v>0</v>
      </c>
      <c r="AD156" s="2">
        <f>ROUND(((((ET156*1.1))-((EU156*1.1)))+AE156),6)</f>
        <v>0</v>
      </c>
      <c r="AE156" s="2">
        <f>ROUND(((EU156*1.1)),6)</f>
        <v>0</v>
      </c>
      <c r="AF156" s="2">
        <f>ROUND(((EV156*1.1)),6)</f>
        <v>7.4249999999999998</v>
      </c>
      <c r="AG156" s="2">
        <f t="shared" si="145"/>
        <v>0</v>
      </c>
      <c r="AH156" s="2">
        <f>((EW156*1.1))</f>
        <v>0.57200000000000006</v>
      </c>
      <c r="AI156" s="2">
        <f>((EX156*1.1))</f>
        <v>0</v>
      </c>
      <c r="AJ156" s="2">
        <f t="shared" si="146"/>
        <v>0</v>
      </c>
      <c r="AK156" s="2">
        <v>6.75</v>
      </c>
      <c r="AL156" s="2">
        <v>0</v>
      </c>
      <c r="AM156" s="2">
        <v>0</v>
      </c>
      <c r="AN156" s="2">
        <v>0</v>
      </c>
      <c r="AO156" s="2">
        <v>6.75</v>
      </c>
      <c r="AP156" s="2">
        <v>0</v>
      </c>
      <c r="AQ156" s="2">
        <v>0.52</v>
      </c>
      <c r="AR156" s="2">
        <v>0</v>
      </c>
      <c r="AS156" s="2">
        <v>0</v>
      </c>
      <c r="AT156" s="2">
        <v>90</v>
      </c>
      <c r="AU156" s="2">
        <v>46</v>
      </c>
      <c r="AV156" s="2">
        <v>1.0469999999999999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2</v>
      </c>
      <c r="BJ156" s="2" t="s">
        <v>182</v>
      </c>
      <c r="BK156" s="2"/>
      <c r="BL156" s="2"/>
      <c r="BM156" s="2">
        <v>72</v>
      </c>
      <c r="BN156" s="2">
        <v>0</v>
      </c>
      <c r="BO156" s="2" t="s">
        <v>180</v>
      </c>
      <c r="BP156" s="2">
        <v>1</v>
      </c>
      <c r="BQ156" s="2">
        <v>40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90</v>
      </c>
      <c r="CA156" s="2">
        <v>46</v>
      </c>
      <c r="CB156" s="2" t="s">
        <v>3</v>
      </c>
      <c r="CC156" s="2"/>
      <c r="CD156" s="2"/>
      <c r="CE156" s="2">
        <v>30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47"/>
        <v>124.38</v>
      </c>
      <c r="CQ156" s="2">
        <f>ROUND((ROUND((AC156*AW156*1),2)*BC156),2)</f>
        <v>0</v>
      </c>
      <c r="CR156" s="2">
        <f>(ROUND((ROUND((((ET156*1.1))*AV156*1),2)*BB156),2)+ROUND((ROUND(((AE156-((EU156*1.1)))*AV156*1),2)*BS156),2))</f>
        <v>0</v>
      </c>
      <c r="CS156" s="2">
        <f t="shared" si="149"/>
        <v>0</v>
      </c>
      <c r="CT156" s="2">
        <f t="shared" si="150"/>
        <v>7.77</v>
      </c>
      <c r="CU156" s="2">
        <f t="shared" si="151"/>
        <v>0</v>
      </c>
      <c r="CV156" s="2">
        <f t="shared" si="152"/>
        <v>0.59888399999999997</v>
      </c>
      <c r="CW156" s="2">
        <f t="shared" si="153"/>
        <v>0</v>
      </c>
      <c r="CX156" s="2">
        <f t="shared" si="154"/>
        <v>0</v>
      </c>
      <c r="CY156" s="2">
        <f t="shared" si="155"/>
        <v>111.94199999999999</v>
      </c>
      <c r="CZ156" s="2">
        <f t="shared" si="156"/>
        <v>57.214799999999997</v>
      </c>
      <c r="DA156" s="2"/>
      <c r="DB156" s="2"/>
      <c r="DC156" s="2" t="s">
        <v>3</v>
      </c>
      <c r="DD156" s="2" t="s">
        <v>3</v>
      </c>
      <c r="DE156" s="2" t="s">
        <v>24</v>
      </c>
      <c r="DF156" s="2" t="s">
        <v>24</v>
      </c>
      <c r="DG156" s="2" t="s">
        <v>24</v>
      </c>
      <c r="DH156" s="2" t="s">
        <v>3</v>
      </c>
      <c r="DI156" s="2" t="s">
        <v>24</v>
      </c>
      <c r="DJ156" s="2" t="s">
        <v>24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22</v>
      </c>
      <c r="DW156" s="2" t="s">
        <v>22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58162634</v>
      </c>
      <c r="EF156" s="2">
        <v>40</v>
      </c>
      <c r="EG156" s="2" t="s">
        <v>25</v>
      </c>
      <c r="EH156" s="2">
        <v>0</v>
      </c>
      <c r="EI156" s="2" t="s">
        <v>3</v>
      </c>
      <c r="EJ156" s="2">
        <v>2</v>
      </c>
      <c r="EK156" s="2">
        <v>72</v>
      </c>
      <c r="EL156" s="2" t="s">
        <v>47</v>
      </c>
      <c r="EM156" s="2" t="s">
        <v>48</v>
      </c>
      <c r="EN156" s="2"/>
      <c r="EO156" s="2" t="s">
        <v>28</v>
      </c>
      <c r="EP156" s="2"/>
      <c r="EQ156" s="2">
        <v>0</v>
      </c>
      <c r="ER156" s="2">
        <v>6.75</v>
      </c>
      <c r="ES156" s="2">
        <v>0</v>
      </c>
      <c r="ET156" s="2">
        <v>0</v>
      </c>
      <c r="EU156" s="2">
        <v>0</v>
      </c>
      <c r="EV156" s="2">
        <v>6.75</v>
      </c>
      <c r="EW156" s="2">
        <v>0.52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90</v>
      </c>
      <c r="FY156" s="2">
        <v>46</v>
      </c>
      <c r="FZ156" s="2"/>
      <c r="GA156" s="2" t="s">
        <v>3</v>
      </c>
      <c r="GB156" s="2"/>
      <c r="GC156" s="2"/>
      <c r="GD156" s="2">
        <v>1</v>
      </c>
      <c r="GE156" s="2"/>
      <c r="GF156" s="2">
        <v>338415528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si="157"/>
        <v>0</v>
      </c>
      <c r="GM156" s="2">
        <f t="shared" si="158"/>
        <v>293.52999999999997</v>
      </c>
      <c r="GN156" s="2">
        <f t="shared" si="159"/>
        <v>0</v>
      </c>
      <c r="GO156" s="2">
        <f t="shared" si="160"/>
        <v>293.52999999999997</v>
      </c>
      <c r="GP156" s="2">
        <f t="shared" si="161"/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si="162"/>
        <v>0</v>
      </c>
      <c r="GW156" s="2">
        <v>1</v>
      </c>
      <c r="GX156" s="2">
        <f t="shared" si="163"/>
        <v>0</v>
      </c>
      <c r="GY156" s="2"/>
      <c r="GZ156" s="2"/>
      <c r="HA156" s="2">
        <v>0</v>
      </c>
      <c r="HB156" s="2">
        <v>0</v>
      </c>
      <c r="HC156" s="2">
        <f t="shared" si="164"/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3">
      <c r="A157" s="3">
        <v>17</v>
      </c>
      <c r="B157" s="3">
        <v>1</v>
      </c>
      <c r="C157" s="3"/>
      <c r="D157" s="3">
        <f>ROW(EtalonRes!A78)</f>
        <v>78</v>
      </c>
      <c r="E157" s="3" t="s">
        <v>179</v>
      </c>
      <c r="F157" s="3" t="s">
        <v>180</v>
      </c>
      <c r="G157" s="3" t="s">
        <v>181</v>
      </c>
      <c r="H157" s="3" t="s">
        <v>22</v>
      </c>
      <c r="I157" s="3">
        <v>16</v>
      </c>
      <c r="J157" s="3">
        <v>0</v>
      </c>
      <c r="K157" s="3">
        <v>16</v>
      </c>
      <c r="L157" s="3"/>
      <c r="M157" s="3"/>
      <c r="N157" s="3"/>
      <c r="O157" s="3">
        <f t="shared" si="133"/>
        <v>6839.66</v>
      </c>
      <c r="P157" s="3">
        <f>ROUND((ROUND((AC157*AW157*I157),2)*BC157),2)</f>
        <v>0</v>
      </c>
      <c r="Q157" s="3">
        <f>(ROUND((ROUND((((ET157*1.1))*AV157*I157),2)*BB157),2)+ROUND((ROUND(((AE157-((EU157*1.1)))*AV157*I157),2)*BS157),2))</f>
        <v>0</v>
      </c>
      <c r="R157" s="3">
        <f t="shared" si="135"/>
        <v>0</v>
      </c>
      <c r="S157" s="3">
        <f t="shared" si="136"/>
        <v>6839.66</v>
      </c>
      <c r="T157" s="3">
        <f t="shared" si="137"/>
        <v>0</v>
      </c>
      <c r="U157" s="3">
        <f t="shared" si="138"/>
        <v>9.5821439999999996</v>
      </c>
      <c r="V157" s="3">
        <f t="shared" si="139"/>
        <v>0</v>
      </c>
      <c r="W157" s="3">
        <f t="shared" si="140"/>
        <v>0</v>
      </c>
      <c r="X157" s="3">
        <f t="shared" si="141"/>
        <v>6155.69</v>
      </c>
      <c r="Y157" s="3">
        <f t="shared" si="142"/>
        <v>3146.24</v>
      </c>
      <c r="Z157" s="3"/>
      <c r="AA157" s="3">
        <v>56505405</v>
      </c>
      <c r="AB157" s="3">
        <f t="shared" si="143"/>
        <v>7.4249999999999998</v>
      </c>
      <c r="AC157" s="3">
        <f t="shared" si="144"/>
        <v>0</v>
      </c>
      <c r="AD157" s="3">
        <f>ROUND(((((ET157*1.1))-((EU157*1.1)))+AE157),6)</f>
        <v>0</v>
      </c>
      <c r="AE157" s="3">
        <f>ROUND(((EU157*1.1)),6)</f>
        <v>0</v>
      </c>
      <c r="AF157" s="3">
        <f>ROUND(((EV157*1.1)),6)</f>
        <v>7.4249999999999998</v>
      </c>
      <c r="AG157" s="3">
        <f t="shared" si="145"/>
        <v>0</v>
      </c>
      <c r="AH157" s="3">
        <f>((EW157*1.1))</f>
        <v>0.57200000000000006</v>
      </c>
      <c r="AI157" s="3">
        <f>((EX157*1.1))</f>
        <v>0</v>
      </c>
      <c r="AJ157" s="3">
        <f t="shared" si="146"/>
        <v>0</v>
      </c>
      <c r="AK157" s="3">
        <v>6.75</v>
      </c>
      <c r="AL157" s="3">
        <v>0</v>
      </c>
      <c r="AM157" s="3">
        <v>0</v>
      </c>
      <c r="AN157" s="3">
        <v>0</v>
      </c>
      <c r="AO157" s="3">
        <v>6.75</v>
      </c>
      <c r="AP157" s="3">
        <v>0</v>
      </c>
      <c r="AQ157" s="3">
        <v>0.52</v>
      </c>
      <c r="AR157" s="3">
        <v>0</v>
      </c>
      <c r="AS157" s="3">
        <v>0</v>
      </c>
      <c r="AT157" s="3">
        <v>90</v>
      </c>
      <c r="AU157" s="3">
        <v>46</v>
      </c>
      <c r="AV157" s="3">
        <v>1.0469999999999999</v>
      </c>
      <c r="AW157" s="3">
        <v>1</v>
      </c>
      <c r="AX157" s="3"/>
      <c r="AY157" s="3"/>
      <c r="AZ157" s="3">
        <v>1</v>
      </c>
      <c r="BA157" s="3">
        <v>54.99</v>
      </c>
      <c r="BB157" s="3">
        <v>1</v>
      </c>
      <c r="BC157" s="3">
        <v>1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0</v>
      </c>
      <c r="BI157" s="3">
        <v>2</v>
      </c>
      <c r="BJ157" s="3" t="s">
        <v>182</v>
      </c>
      <c r="BK157" s="3"/>
      <c r="BL157" s="3"/>
      <c r="BM157" s="3">
        <v>72</v>
      </c>
      <c r="BN157" s="3">
        <v>0</v>
      </c>
      <c r="BO157" s="3" t="s">
        <v>180</v>
      </c>
      <c r="BP157" s="3">
        <v>1</v>
      </c>
      <c r="BQ157" s="3">
        <v>40</v>
      </c>
      <c r="BR157" s="3">
        <v>0</v>
      </c>
      <c r="BS157" s="3">
        <v>54.99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90</v>
      </c>
      <c r="CA157" s="3">
        <v>46</v>
      </c>
      <c r="CB157" s="3" t="s">
        <v>3</v>
      </c>
      <c r="CC157" s="3"/>
      <c r="CD157" s="3"/>
      <c r="CE157" s="3">
        <v>30</v>
      </c>
      <c r="CF157" s="3">
        <v>0</v>
      </c>
      <c r="CG157" s="3">
        <v>0</v>
      </c>
      <c r="CH157" s="3"/>
      <c r="CI157" s="3"/>
      <c r="CJ157" s="3"/>
      <c r="CK157" s="3"/>
      <c r="CL157" s="3"/>
      <c r="CM157" s="3">
        <v>0</v>
      </c>
      <c r="CN157" s="3" t="s">
        <v>3</v>
      </c>
      <c r="CO157" s="3">
        <v>0</v>
      </c>
      <c r="CP157" s="3">
        <f t="shared" si="147"/>
        <v>6839.66</v>
      </c>
      <c r="CQ157" s="3">
        <f>ROUND((ROUND((AC157*AW157*1),2)*BC157),2)</f>
        <v>0</v>
      </c>
      <c r="CR157" s="3">
        <f>(ROUND((ROUND((((ET157*1.1))*AV157*1),2)*BB157),2)+ROUND((ROUND(((AE157-((EU157*1.1)))*AV157*1),2)*BS157),2))</f>
        <v>0</v>
      </c>
      <c r="CS157" s="3">
        <f t="shared" si="149"/>
        <v>0</v>
      </c>
      <c r="CT157" s="3">
        <f t="shared" si="150"/>
        <v>427.27</v>
      </c>
      <c r="CU157" s="3">
        <f t="shared" si="151"/>
        <v>0</v>
      </c>
      <c r="CV157" s="3">
        <f t="shared" si="152"/>
        <v>0.59888399999999997</v>
      </c>
      <c r="CW157" s="3">
        <f t="shared" si="153"/>
        <v>0</v>
      </c>
      <c r="CX157" s="3">
        <f t="shared" si="154"/>
        <v>0</v>
      </c>
      <c r="CY157" s="3">
        <f t="shared" si="155"/>
        <v>6155.6940000000004</v>
      </c>
      <c r="CZ157" s="3">
        <f t="shared" si="156"/>
        <v>3146.2435999999998</v>
      </c>
      <c r="DA157" s="3"/>
      <c r="DB157" s="3"/>
      <c r="DC157" s="3" t="s">
        <v>3</v>
      </c>
      <c r="DD157" s="3" t="s">
        <v>3</v>
      </c>
      <c r="DE157" s="3" t="s">
        <v>24</v>
      </c>
      <c r="DF157" s="3" t="s">
        <v>24</v>
      </c>
      <c r="DG157" s="3" t="s">
        <v>24</v>
      </c>
      <c r="DH157" s="3" t="s">
        <v>3</v>
      </c>
      <c r="DI157" s="3" t="s">
        <v>24</v>
      </c>
      <c r="DJ157" s="3" t="s">
        <v>24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R157" s="3"/>
      <c r="DS157" s="3"/>
      <c r="DT157" s="3"/>
      <c r="DU157" s="3">
        <v>1013</v>
      </c>
      <c r="DV157" s="3" t="s">
        <v>22</v>
      </c>
      <c r="DW157" s="3" t="s">
        <v>22</v>
      </c>
      <c r="DX157" s="3">
        <v>1</v>
      </c>
      <c r="DY157" s="3"/>
      <c r="DZ157" s="3" t="s">
        <v>3</v>
      </c>
      <c r="EA157" s="3" t="s">
        <v>3</v>
      </c>
      <c r="EB157" s="3" t="s">
        <v>3</v>
      </c>
      <c r="EC157" s="3" t="s">
        <v>3</v>
      </c>
      <c r="ED157" s="3"/>
      <c r="EE157" s="3">
        <v>58162634</v>
      </c>
      <c r="EF157" s="3">
        <v>40</v>
      </c>
      <c r="EG157" s="3" t="s">
        <v>25</v>
      </c>
      <c r="EH157" s="3">
        <v>0</v>
      </c>
      <c r="EI157" s="3" t="s">
        <v>3</v>
      </c>
      <c r="EJ157" s="3">
        <v>2</v>
      </c>
      <c r="EK157" s="3">
        <v>72</v>
      </c>
      <c r="EL157" s="3" t="s">
        <v>47</v>
      </c>
      <c r="EM157" s="3" t="s">
        <v>48</v>
      </c>
      <c r="EN157" s="3"/>
      <c r="EO157" s="3" t="s">
        <v>28</v>
      </c>
      <c r="EP157" s="3"/>
      <c r="EQ157" s="3">
        <v>0</v>
      </c>
      <c r="ER157" s="3">
        <v>6.75</v>
      </c>
      <c r="ES157" s="3">
        <v>0</v>
      </c>
      <c r="ET157" s="3">
        <v>0</v>
      </c>
      <c r="EU157" s="3">
        <v>0</v>
      </c>
      <c r="EV157" s="3">
        <v>6.75</v>
      </c>
      <c r="EW157" s="3">
        <v>0.52</v>
      </c>
      <c r="EX157" s="3">
        <v>0</v>
      </c>
      <c r="EY157" s="3">
        <v>0</v>
      </c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>
        <v>0</v>
      </c>
      <c r="FR157" s="3">
        <v>0</v>
      </c>
      <c r="FS157" s="3">
        <v>0</v>
      </c>
      <c r="FT157" s="3"/>
      <c r="FU157" s="3"/>
      <c r="FV157" s="3"/>
      <c r="FW157" s="3"/>
      <c r="FX157" s="3">
        <v>90</v>
      </c>
      <c r="FY157" s="3">
        <v>46</v>
      </c>
      <c r="FZ157" s="3"/>
      <c r="GA157" s="3" t="s">
        <v>3</v>
      </c>
      <c r="GB157" s="3"/>
      <c r="GC157" s="3"/>
      <c r="GD157" s="3">
        <v>1</v>
      </c>
      <c r="GE157" s="3"/>
      <c r="GF157" s="3">
        <v>338415528</v>
      </c>
      <c r="GG157" s="3">
        <v>2</v>
      </c>
      <c r="GH157" s="3">
        <v>1</v>
      </c>
      <c r="GI157" s="3">
        <v>2</v>
      </c>
      <c r="GJ157" s="3">
        <v>0</v>
      </c>
      <c r="GK157" s="3">
        <v>0</v>
      </c>
      <c r="GL157" s="3">
        <f t="shared" si="157"/>
        <v>0</v>
      </c>
      <c r="GM157" s="3">
        <f t="shared" si="158"/>
        <v>16141.59</v>
      </c>
      <c r="GN157" s="3">
        <f t="shared" si="159"/>
        <v>0</v>
      </c>
      <c r="GO157" s="3">
        <f t="shared" si="160"/>
        <v>16141.59</v>
      </c>
      <c r="GP157" s="3">
        <f t="shared" si="161"/>
        <v>0</v>
      </c>
      <c r="GQ157" s="3"/>
      <c r="GR157" s="3">
        <v>0</v>
      </c>
      <c r="GS157" s="3">
        <v>3</v>
      </c>
      <c r="GT157" s="3">
        <v>0</v>
      </c>
      <c r="GU157" s="3" t="s">
        <v>3</v>
      </c>
      <c r="GV157" s="3">
        <f t="shared" si="162"/>
        <v>0</v>
      </c>
      <c r="GW157" s="3">
        <v>1</v>
      </c>
      <c r="GX157" s="3">
        <f t="shared" si="163"/>
        <v>0</v>
      </c>
      <c r="GY157" s="3"/>
      <c r="GZ157" s="3"/>
      <c r="HA157" s="3">
        <v>0</v>
      </c>
      <c r="HB157" s="3">
        <v>0</v>
      </c>
      <c r="HC157" s="3">
        <f t="shared" si="164"/>
        <v>0</v>
      </c>
      <c r="HD157" s="3"/>
      <c r="HE157" s="3" t="s">
        <v>3</v>
      </c>
      <c r="HF157" s="3" t="s">
        <v>3</v>
      </c>
      <c r="HG157" s="3"/>
      <c r="HH157" s="3"/>
      <c r="HI157" s="3"/>
      <c r="HJ157" s="3"/>
      <c r="HK157" s="3"/>
      <c r="HL157" s="3"/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R157" s="3"/>
      <c r="HS157" s="3">
        <v>0</v>
      </c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>
        <v>0</v>
      </c>
      <c r="IL157" s="3"/>
      <c r="IM157" s="3"/>
      <c r="IN157" s="3"/>
      <c r="IO157" s="3"/>
      <c r="IP157" s="3"/>
      <c r="IQ157" s="3"/>
      <c r="IR157" s="3"/>
      <c r="IS157" s="3"/>
      <c r="IT157" s="3"/>
      <c r="IU157" s="3"/>
    </row>
    <row r="158" spans="1:255" x14ac:dyDescent="0.3">
      <c r="A158" s="2">
        <v>18</v>
      </c>
      <c r="B158" s="2">
        <v>1</v>
      </c>
      <c r="C158" s="2"/>
      <c r="D158" s="2"/>
      <c r="E158" s="2" t="s">
        <v>183</v>
      </c>
      <c r="F158" s="2" t="s">
        <v>184</v>
      </c>
      <c r="G158" s="2" t="s">
        <v>185</v>
      </c>
      <c r="H158" s="2" t="s">
        <v>32</v>
      </c>
      <c r="I158" s="2">
        <f>I156*J158</f>
        <v>16</v>
      </c>
      <c r="J158" s="2">
        <v>1</v>
      </c>
      <c r="K158" s="2">
        <v>1</v>
      </c>
      <c r="L158" s="2"/>
      <c r="M158" s="2"/>
      <c r="N158" s="2"/>
      <c r="O158" s="2">
        <f t="shared" si="133"/>
        <v>21578.720000000001</v>
      </c>
      <c r="P158" s="2">
        <f>ROUND((ROUND((AC158*I158),2)*BC158),2)</f>
        <v>21578.720000000001</v>
      </c>
      <c r="Q158" s="2">
        <f>(ROUND((ROUND(((ET158)*AV158*I158),2)*BB158),2)+ROUND((ROUND(((AE158-(EU158))*AV158*I158),2)*BS158),2))</f>
        <v>0</v>
      </c>
      <c r="R158" s="2">
        <f t="shared" si="135"/>
        <v>0</v>
      </c>
      <c r="S158" s="2">
        <f t="shared" si="136"/>
        <v>0</v>
      </c>
      <c r="T158" s="2">
        <f t="shared" si="137"/>
        <v>0</v>
      </c>
      <c r="U158" s="2">
        <f t="shared" si="138"/>
        <v>0</v>
      </c>
      <c r="V158" s="2">
        <f t="shared" si="139"/>
        <v>0</v>
      </c>
      <c r="W158" s="2">
        <f t="shared" si="140"/>
        <v>0</v>
      </c>
      <c r="X158" s="2">
        <f t="shared" si="141"/>
        <v>0</v>
      </c>
      <c r="Y158" s="2">
        <f t="shared" si="142"/>
        <v>0</v>
      </c>
      <c r="Z158" s="2"/>
      <c r="AA158" s="2">
        <v>56505403</v>
      </c>
      <c r="AB158" s="2">
        <f t="shared" si="143"/>
        <v>1348.67</v>
      </c>
      <c r="AC158" s="2">
        <f t="shared" si="144"/>
        <v>1348.67</v>
      </c>
      <c r="AD158" s="2">
        <f>ROUND((((ET158)-(EU158))+AE158),6)</f>
        <v>0</v>
      </c>
      <c r="AE158" s="2">
        <f>ROUND((EU158),6)</f>
        <v>0</v>
      </c>
      <c r="AF158" s="2">
        <f>ROUND((EV158),6)</f>
        <v>0</v>
      </c>
      <c r="AG158" s="2">
        <f t="shared" si="145"/>
        <v>0</v>
      </c>
      <c r="AH158" s="2">
        <f>(EW158)</f>
        <v>0</v>
      </c>
      <c r="AI158" s="2">
        <f>(EX158)</f>
        <v>0</v>
      </c>
      <c r="AJ158" s="2">
        <f t="shared" si="146"/>
        <v>0</v>
      </c>
      <c r="AK158" s="2">
        <v>1348.67</v>
      </c>
      <c r="AL158" s="2">
        <v>1348.67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3</v>
      </c>
      <c r="BJ158" s="2" t="s">
        <v>3</v>
      </c>
      <c r="BK158" s="2"/>
      <c r="BL158" s="2"/>
      <c r="BM158" s="2">
        <v>746</v>
      </c>
      <c r="BN158" s="2">
        <v>0</v>
      </c>
      <c r="BO158" s="2" t="s">
        <v>3</v>
      </c>
      <c r="BP158" s="2">
        <v>0</v>
      </c>
      <c r="BQ158" s="2">
        <v>130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30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47"/>
        <v>21578.720000000001</v>
      </c>
      <c r="CQ158" s="2">
        <f>ROUND((ROUND((AC158*1),2)*BC158),2)</f>
        <v>1348.67</v>
      </c>
      <c r="CR158" s="2">
        <f>(ROUND((ROUND(((ET158)*AV158*1),2)*BB158),2)+ROUND((ROUND(((AE158-(EU158))*AV158*1),2)*BS158),2))</f>
        <v>0</v>
      </c>
      <c r="CS158" s="2">
        <f t="shared" si="149"/>
        <v>0</v>
      </c>
      <c r="CT158" s="2">
        <f t="shared" si="150"/>
        <v>0</v>
      </c>
      <c r="CU158" s="2">
        <f t="shared" si="151"/>
        <v>0</v>
      </c>
      <c r="CV158" s="2">
        <f t="shared" si="152"/>
        <v>0</v>
      </c>
      <c r="CW158" s="2">
        <f t="shared" si="153"/>
        <v>0</v>
      </c>
      <c r="CX158" s="2">
        <f t="shared" si="154"/>
        <v>0</v>
      </c>
      <c r="CY158" s="2">
        <f t="shared" si="155"/>
        <v>0</v>
      </c>
      <c r="CZ158" s="2">
        <f t="shared" si="156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1010</v>
      </c>
      <c r="DV158" s="2" t="s">
        <v>32</v>
      </c>
      <c r="DW158" s="2" t="s">
        <v>32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58162750</v>
      </c>
      <c r="EF158" s="2">
        <v>130</v>
      </c>
      <c r="EG158" s="2" t="s">
        <v>52</v>
      </c>
      <c r="EH158" s="2">
        <v>0</v>
      </c>
      <c r="EI158" s="2" t="s">
        <v>3</v>
      </c>
      <c r="EJ158" s="2">
        <v>3</v>
      </c>
      <c r="EK158" s="2">
        <v>746</v>
      </c>
      <c r="EL158" s="2" t="s">
        <v>53</v>
      </c>
      <c r="EM158" s="2" t="s">
        <v>54</v>
      </c>
      <c r="EN158" s="2"/>
      <c r="EO158" s="2" t="s">
        <v>3</v>
      </c>
      <c r="EP158" s="2"/>
      <c r="EQ158" s="2">
        <v>0</v>
      </c>
      <c r="ER158" s="2">
        <v>1348.67</v>
      </c>
      <c r="ES158" s="2">
        <v>1348.67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f>P158</f>
        <v>21578.720000000001</v>
      </c>
      <c r="FS158" s="2">
        <v>0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-369195218</v>
      </c>
      <c r="GG158" s="2">
        <v>2</v>
      </c>
      <c r="GH158" s="2">
        <v>1</v>
      </c>
      <c r="GI158" s="2">
        <v>-2</v>
      </c>
      <c r="GJ158" s="2">
        <v>0</v>
      </c>
      <c r="GK158" s="2">
        <v>0</v>
      </c>
      <c r="GL158" s="2">
        <f t="shared" si="157"/>
        <v>0</v>
      </c>
      <c r="GM158" s="2">
        <f t="shared" si="158"/>
        <v>21578.720000000001</v>
      </c>
      <c r="GN158" s="2">
        <f t="shared" si="159"/>
        <v>0</v>
      </c>
      <c r="GO158" s="2">
        <f t="shared" si="160"/>
        <v>0</v>
      </c>
      <c r="GP158" s="2">
        <f t="shared" si="161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62"/>
        <v>0</v>
      </c>
      <c r="GW158" s="2">
        <v>1</v>
      </c>
      <c r="GX158" s="2">
        <f t="shared" si="163"/>
        <v>0</v>
      </c>
      <c r="GY158" s="2"/>
      <c r="GZ158" s="2"/>
      <c r="HA158" s="2">
        <v>0</v>
      </c>
      <c r="HB158" s="2">
        <v>0</v>
      </c>
      <c r="HC158" s="2">
        <f t="shared" si="164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3">
      <c r="A159" s="3">
        <v>18</v>
      </c>
      <c r="B159" s="3">
        <v>1</v>
      </c>
      <c r="C159" s="3"/>
      <c r="D159" s="3"/>
      <c r="E159" s="3" t="s">
        <v>183</v>
      </c>
      <c r="F159" s="3" t="s">
        <v>184</v>
      </c>
      <c r="G159" s="3" t="s">
        <v>185</v>
      </c>
      <c r="H159" s="3" t="s">
        <v>32</v>
      </c>
      <c r="I159" s="3">
        <f>I157*J159</f>
        <v>16</v>
      </c>
      <c r="J159" s="3">
        <v>1</v>
      </c>
      <c r="K159" s="3">
        <v>1</v>
      </c>
      <c r="L159" s="3"/>
      <c r="M159" s="3"/>
      <c r="N159" s="3"/>
      <c r="O159" s="3">
        <f t="shared" si="133"/>
        <v>42294.29</v>
      </c>
      <c r="P159" s="3">
        <f>ROUND((ROUND((AC159*I159),2)*BC159),2)</f>
        <v>42294.29</v>
      </c>
      <c r="Q159" s="3">
        <f>(ROUND((ROUND(((ET159)*AV159*I159),2)*BB159),2)+ROUND((ROUND(((AE159-(EU159))*AV159*I159),2)*BS159),2))</f>
        <v>0</v>
      </c>
      <c r="R159" s="3">
        <f t="shared" si="135"/>
        <v>0</v>
      </c>
      <c r="S159" s="3">
        <f t="shared" si="136"/>
        <v>0</v>
      </c>
      <c r="T159" s="3">
        <f t="shared" si="137"/>
        <v>0</v>
      </c>
      <c r="U159" s="3">
        <f t="shared" si="138"/>
        <v>0</v>
      </c>
      <c r="V159" s="3">
        <f t="shared" si="139"/>
        <v>0</v>
      </c>
      <c r="W159" s="3">
        <f t="shared" si="140"/>
        <v>0</v>
      </c>
      <c r="X159" s="3">
        <f t="shared" si="141"/>
        <v>0</v>
      </c>
      <c r="Y159" s="3">
        <f t="shared" si="142"/>
        <v>0</v>
      </c>
      <c r="Z159" s="3"/>
      <c r="AA159" s="3">
        <v>56505405</v>
      </c>
      <c r="AB159" s="3">
        <f t="shared" si="143"/>
        <v>1348.67</v>
      </c>
      <c r="AC159" s="3">
        <f t="shared" si="144"/>
        <v>1348.67</v>
      </c>
      <c r="AD159" s="3">
        <f>ROUND((((ET159)-(EU159))+AE159),6)</f>
        <v>0</v>
      </c>
      <c r="AE159" s="3">
        <f>ROUND((EU159),6)</f>
        <v>0</v>
      </c>
      <c r="AF159" s="3">
        <f>ROUND((EV159),6)</f>
        <v>0</v>
      </c>
      <c r="AG159" s="3">
        <f t="shared" si="145"/>
        <v>0</v>
      </c>
      <c r="AH159" s="3">
        <f>(EW159)</f>
        <v>0</v>
      </c>
      <c r="AI159" s="3">
        <f>(EX159)</f>
        <v>0</v>
      </c>
      <c r="AJ159" s="3">
        <f t="shared" si="146"/>
        <v>0</v>
      </c>
      <c r="AK159" s="3">
        <v>1348.67</v>
      </c>
      <c r="AL159" s="3">
        <v>1348.67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1</v>
      </c>
      <c r="AX159" s="3"/>
      <c r="AY159" s="3"/>
      <c r="AZ159" s="3">
        <v>1</v>
      </c>
      <c r="BA159" s="3">
        <v>1</v>
      </c>
      <c r="BB159" s="3">
        <v>1</v>
      </c>
      <c r="BC159" s="3">
        <v>1.96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3</v>
      </c>
      <c r="BJ159" s="3" t="s">
        <v>3</v>
      </c>
      <c r="BK159" s="3"/>
      <c r="BL159" s="3"/>
      <c r="BM159" s="3">
        <v>746</v>
      </c>
      <c r="BN159" s="3">
        <v>0</v>
      </c>
      <c r="BO159" s="3" t="s">
        <v>3</v>
      </c>
      <c r="BP159" s="3">
        <v>0</v>
      </c>
      <c r="BQ159" s="3">
        <v>130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C159" s="3"/>
      <c r="CD159" s="3"/>
      <c r="CE159" s="3">
        <v>30</v>
      </c>
      <c r="CF159" s="3">
        <v>0</v>
      </c>
      <c r="CG159" s="3">
        <v>0</v>
      </c>
      <c r="CH159" s="3"/>
      <c r="CI159" s="3"/>
      <c r="CJ159" s="3"/>
      <c r="CK159" s="3"/>
      <c r="CL159" s="3"/>
      <c r="CM159" s="3">
        <v>0</v>
      </c>
      <c r="CN159" s="3" t="s">
        <v>3</v>
      </c>
      <c r="CO159" s="3">
        <v>0</v>
      </c>
      <c r="CP159" s="3">
        <f t="shared" si="147"/>
        <v>42294.29</v>
      </c>
      <c r="CQ159" s="3">
        <f>ROUND((ROUND((AC159*1),2)*BC159),2)</f>
        <v>2643.39</v>
      </c>
      <c r="CR159" s="3">
        <f>(ROUND((ROUND(((ET159)*AV159*1),2)*BB159),2)+ROUND((ROUND(((AE159-(EU159))*AV159*1),2)*BS159),2))</f>
        <v>0</v>
      </c>
      <c r="CS159" s="3">
        <f t="shared" si="149"/>
        <v>0</v>
      </c>
      <c r="CT159" s="3">
        <f t="shared" si="150"/>
        <v>0</v>
      </c>
      <c r="CU159" s="3">
        <f t="shared" si="151"/>
        <v>0</v>
      </c>
      <c r="CV159" s="3">
        <f t="shared" si="152"/>
        <v>0</v>
      </c>
      <c r="CW159" s="3">
        <f t="shared" si="153"/>
        <v>0</v>
      </c>
      <c r="CX159" s="3">
        <f t="shared" si="154"/>
        <v>0</v>
      </c>
      <c r="CY159" s="3">
        <f t="shared" si="155"/>
        <v>0</v>
      </c>
      <c r="CZ159" s="3">
        <f t="shared" si="156"/>
        <v>0</v>
      </c>
      <c r="DA159" s="3"/>
      <c r="DB159" s="3"/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R159" s="3"/>
      <c r="DS159" s="3"/>
      <c r="DT159" s="3"/>
      <c r="DU159" s="3">
        <v>1010</v>
      </c>
      <c r="DV159" s="3" t="s">
        <v>32</v>
      </c>
      <c r="DW159" s="3" t="s">
        <v>32</v>
      </c>
      <c r="DX159" s="3">
        <v>1</v>
      </c>
      <c r="DY159" s="3"/>
      <c r="DZ159" s="3" t="s">
        <v>3</v>
      </c>
      <c r="EA159" s="3" t="s">
        <v>3</v>
      </c>
      <c r="EB159" s="3" t="s">
        <v>3</v>
      </c>
      <c r="EC159" s="3" t="s">
        <v>3</v>
      </c>
      <c r="ED159" s="3"/>
      <c r="EE159" s="3">
        <v>58162750</v>
      </c>
      <c r="EF159" s="3">
        <v>130</v>
      </c>
      <c r="EG159" s="3" t="s">
        <v>52</v>
      </c>
      <c r="EH159" s="3">
        <v>0</v>
      </c>
      <c r="EI159" s="3" t="s">
        <v>3</v>
      </c>
      <c r="EJ159" s="3">
        <v>3</v>
      </c>
      <c r="EK159" s="3">
        <v>746</v>
      </c>
      <c r="EL159" s="3" t="s">
        <v>53</v>
      </c>
      <c r="EM159" s="3" t="s">
        <v>54</v>
      </c>
      <c r="EN159" s="3"/>
      <c r="EO159" s="3" t="s">
        <v>3</v>
      </c>
      <c r="EP159" s="3"/>
      <c r="EQ159" s="3">
        <v>0</v>
      </c>
      <c r="ER159" s="3">
        <v>1348.67</v>
      </c>
      <c r="ES159" s="3">
        <v>1348.67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>
        <v>0</v>
      </c>
      <c r="FR159" s="3">
        <f>P159</f>
        <v>42294.29</v>
      </c>
      <c r="FS159" s="3">
        <v>0</v>
      </c>
      <c r="FT159" s="3"/>
      <c r="FU159" s="3"/>
      <c r="FV159" s="3"/>
      <c r="FW159" s="3"/>
      <c r="FX159" s="3">
        <v>90</v>
      </c>
      <c r="FY159" s="3">
        <v>46</v>
      </c>
      <c r="FZ159" s="3"/>
      <c r="GA159" s="3" t="s">
        <v>3</v>
      </c>
      <c r="GB159" s="3"/>
      <c r="GC159" s="3"/>
      <c r="GD159" s="3">
        <v>1</v>
      </c>
      <c r="GE159" s="3"/>
      <c r="GF159" s="3">
        <v>-369195218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57"/>
        <v>0</v>
      </c>
      <c r="GM159" s="3">
        <f t="shared" si="158"/>
        <v>42294.29</v>
      </c>
      <c r="GN159" s="3">
        <f t="shared" si="159"/>
        <v>0</v>
      </c>
      <c r="GO159" s="3">
        <f t="shared" si="160"/>
        <v>0</v>
      </c>
      <c r="GP159" s="3">
        <f t="shared" si="161"/>
        <v>0</v>
      </c>
      <c r="GQ159" s="3"/>
      <c r="GR159" s="3">
        <v>0</v>
      </c>
      <c r="GS159" s="3">
        <v>3</v>
      </c>
      <c r="GT159" s="3">
        <v>0</v>
      </c>
      <c r="GU159" s="3" t="s">
        <v>3</v>
      </c>
      <c r="GV159" s="3">
        <f t="shared" si="162"/>
        <v>0</v>
      </c>
      <c r="GW159" s="3">
        <v>1</v>
      </c>
      <c r="GX159" s="3">
        <f t="shared" si="163"/>
        <v>0</v>
      </c>
      <c r="GY159" s="3"/>
      <c r="GZ159" s="3"/>
      <c r="HA159" s="3">
        <v>0</v>
      </c>
      <c r="HB159" s="3">
        <v>0</v>
      </c>
      <c r="HC159" s="3">
        <f t="shared" si="164"/>
        <v>0</v>
      </c>
      <c r="HD159" s="3"/>
      <c r="HE159" s="3" t="s">
        <v>3</v>
      </c>
      <c r="HF159" s="3" t="s">
        <v>3</v>
      </c>
      <c r="HG159" s="3"/>
      <c r="HH159" s="3"/>
      <c r="HI159" s="3"/>
      <c r="HJ159" s="3"/>
      <c r="HK159" s="3"/>
      <c r="HL159" s="3"/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R159" s="3"/>
      <c r="HS159" s="3">
        <v>0</v>
      </c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>
        <v>0</v>
      </c>
      <c r="IL159" s="3"/>
      <c r="IM159" s="3"/>
      <c r="IN159" s="3"/>
      <c r="IO159" s="3"/>
      <c r="IP159" s="3"/>
      <c r="IQ159" s="3"/>
      <c r="IR159" s="3"/>
      <c r="IS159" s="3"/>
      <c r="IT159" s="3"/>
      <c r="IU159" s="3"/>
    </row>
    <row r="161" spans="1:206" x14ac:dyDescent="0.3">
      <c r="A161" s="4">
        <v>51</v>
      </c>
      <c r="B161" s="4">
        <f>B142</f>
        <v>1</v>
      </c>
      <c r="C161" s="4">
        <f>A142</f>
        <v>4</v>
      </c>
      <c r="D161" s="4">
        <f>ROW(A142)</f>
        <v>142</v>
      </c>
      <c r="E161" s="4"/>
      <c r="F161" s="4" t="str">
        <f>IF(F142&lt;&gt;"",F142,"")</f>
        <v/>
      </c>
      <c r="G161" s="4" t="str">
        <f>IF(G142&lt;&gt;"",G142,"")</f>
        <v>Источники электропитания</v>
      </c>
      <c r="H161" s="4">
        <v>0</v>
      </c>
      <c r="I161" s="4"/>
      <c r="J161" s="4"/>
      <c r="K161" s="4"/>
      <c r="L161" s="4"/>
      <c r="M161" s="4"/>
      <c r="N161" s="4"/>
      <c r="O161" s="4">
        <f t="shared" ref="O161:T161" si="170">ROUND(AB161,2)</f>
        <v>150718.07999999999</v>
      </c>
      <c r="P161" s="4">
        <f t="shared" si="170"/>
        <v>148924.66</v>
      </c>
      <c r="Q161" s="4">
        <f t="shared" si="170"/>
        <v>423.18</v>
      </c>
      <c r="R161" s="4">
        <f t="shared" si="170"/>
        <v>46.53</v>
      </c>
      <c r="S161" s="4">
        <f t="shared" si="170"/>
        <v>1370.24</v>
      </c>
      <c r="T161" s="4">
        <f t="shared" si="170"/>
        <v>0</v>
      </c>
      <c r="U161" s="4">
        <f>AH161</f>
        <v>95.268624000000017</v>
      </c>
      <c r="V161" s="4">
        <f>AI161</f>
        <v>0</v>
      </c>
      <c r="W161" s="4">
        <f>ROUND(AJ161,2)</f>
        <v>0</v>
      </c>
      <c r="X161" s="4">
        <f>ROUND(AK161,2)</f>
        <v>1275.0899999999999</v>
      </c>
      <c r="Y161" s="4">
        <f>ROUND(AL161,2)</f>
        <v>651.71</v>
      </c>
      <c r="Z161" s="4"/>
      <c r="AA161" s="4"/>
      <c r="AB161" s="4">
        <f>ROUND(SUMIF(AA146:AA159,"=56505403",O146:O159),2)</f>
        <v>150718.07999999999</v>
      </c>
      <c r="AC161" s="4">
        <f>ROUND(SUMIF(AA146:AA159,"=56505403",P146:P159),2)</f>
        <v>148924.66</v>
      </c>
      <c r="AD161" s="4">
        <f>ROUND(SUMIF(AA146:AA159,"=56505403",Q146:Q159),2)</f>
        <v>423.18</v>
      </c>
      <c r="AE161" s="4">
        <f>ROUND(SUMIF(AA146:AA159,"=56505403",R146:R159),2)</f>
        <v>46.53</v>
      </c>
      <c r="AF161" s="4">
        <f>ROUND(SUMIF(AA146:AA159,"=56505403",S146:S159),2)</f>
        <v>1370.24</v>
      </c>
      <c r="AG161" s="4">
        <f>ROUND(SUMIF(AA146:AA159,"=56505403",T146:T159),2)</f>
        <v>0</v>
      </c>
      <c r="AH161" s="4">
        <f>SUMIF(AA146:AA159,"=56505403",U146:U159)</f>
        <v>95.268624000000017</v>
      </c>
      <c r="AI161" s="4">
        <f>SUMIF(AA146:AA159,"=56505403",V146:V159)</f>
        <v>0</v>
      </c>
      <c r="AJ161" s="4">
        <f>ROUND(SUMIF(AA146:AA159,"=56505403",W146:W159),2)</f>
        <v>0</v>
      </c>
      <c r="AK161" s="4">
        <f>ROUND(SUMIF(AA146:AA159,"=56505403",X146:X159),2)</f>
        <v>1275.0899999999999</v>
      </c>
      <c r="AL161" s="4">
        <f>ROUND(SUMIF(AA146:AA159,"=56505403",Y146:Y159),2)</f>
        <v>651.71</v>
      </c>
      <c r="AM161" s="4"/>
      <c r="AN161" s="4"/>
      <c r="AO161" s="4">
        <f t="shared" ref="AO161:BD161" si="171">ROUND(BX161,2)</f>
        <v>0</v>
      </c>
      <c r="AP161" s="4">
        <f t="shared" si="171"/>
        <v>148399.20000000001</v>
      </c>
      <c r="AQ161" s="4">
        <f t="shared" si="171"/>
        <v>0</v>
      </c>
      <c r="AR161" s="4">
        <f t="shared" si="171"/>
        <v>152644.88</v>
      </c>
      <c r="AS161" s="4">
        <f t="shared" si="171"/>
        <v>0</v>
      </c>
      <c r="AT161" s="4">
        <f t="shared" si="171"/>
        <v>4245.68</v>
      </c>
      <c r="AU161" s="4">
        <f t="shared" si="171"/>
        <v>0</v>
      </c>
      <c r="AV161" s="4">
        <f t="shared" si="171"/>
        <v>148924.66</v>
      </c>
      <c r="AW161" s="4">
        <f t="shared" si="171"/>
        <v>525.46</v>
      </c>
      <c r="AX161" s="4">
        <f t="shared" si="171"/>
        <v>0</v>
      </c>
      <c r="AY161" s="4">
        <f t="shared" si="171"/>
        <v>525.46</v>
      </c>
      <c r="AZ161" s="4">
        <f t="shared" si="171"/>
        <v>148399.20000000001</v>
      </c>
      <c r="BA161" s="4">
        <f t="shared" si="171"/>
        <v>0</v>
      </c>
      <c r="BB161" s="4">
        <f t="shared" si="171"/>
        <v>0</v>
      </c>
      <c r="BC161" s="4">
        <f t="shared" si="171"/>
        <v>0</v>
      </c>
      <c r="BD161" s="4">
        <f t="shared" si="171"/>
        <v>0</v>
      </c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>
        <f>ROUND(SUMIF(AA146:AA159,"=56505403",FQ146:FQ159),2)</f>
        <v>0</v>
      </c>
      <c r="BY161" s="4">
        <f>ROUND(SUMIF(AA146:AA159,"=56505403",FR146:FR159),2)</f>
        <v>148399.20000000001</v>
      </c>
      <c r="BZ161" s="4">
        <f>ROUND(SUMIF(AA146:AA159,"=56505403",GL146:GL159),2)</f>
        <v>0</v>
      </c>
      <c r="CA161" s="4">
        <f>ROUND(SUMIF(AA146:AA159,"=56505403",GM146:GM159),2)</f>
        <v>152644.88</v>
      </c>
      <c r="CB161" s="4">
        <f>ROUND(SUMIF(AA146:AA159,"=56505403",GN146:GN159),2)</f>
        <v>0</v>
      </c>
      <c r="CC161" s="4">
        <f>ROUND(SUMIF(AA146:AA159,"=56505403",GO146:GO159),2)</f>
        <v>4245.68</v>
      </c>
      <c r="CD161" s="4">
        <f>ROUND(SUMIF(AA146:AA159,"=56505403",GP146:GP159),2)</f>
        <v>0</v>
      </c>
      <c r="CE161" s="4">
        <f>AC161-BX161</f>
        <v>148924.66</v>
      </c>
      <c r="CF161" s="4">
        <f>AC161-BY161</f>
        <v>525.45999999999185</v>
      </c>
      <c r="CG161" s="4">
        <f>BX161-BZ161</f>
        <v>0</v>
      </c>
      <c r="CH161" s="4">
        <f>AC161-BX161-BY161+BZ161</f>
        <v>525.45999999999185</v>
      </c>
      <c r="CI161" s="4">
        <f>BY161-BZ161</f>
        <v>148399.20000000001</v>
      </c>
      <c r="CJ161" s="4">
        <f>ROUND(SUMIF(AA146:AA159,"=56505403",GX146:GX159),2)</f>
        <v>0</v>
      </c>
      <c r="CK161" s="4">
        <f>ROUND(SUMIF(AA146:AA159,"=56505403",GY146:GY159),2)</f>
        <v>0</v>
      </c>
      <c r="CL161" s="4">
        <f>ROUND(SUMIF(AA146:AA159,"=56505403",GZ146:GZ159),2)</f>
        <v>0</v>
      </c>
      <c r="CM161" s="4">
        <f>ROUND(SUMIF(AA146:AA159,"=56505403",HD146:HD159),2)</f>
        <v>0</v>
      </c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5">
        <f t="shared" ref="DG161:DL161" si="172">ROUND(DT161,2)</f>
        <v>1100751.3500000001</v>
      </c>
      <c r="DH161" s="5">
        <f t="shared" si="172"/>
        <v>1018859.49</v>
      </c>
      <c r="DI161" s="5">
        <f t="shared" si="172"/>
        <v>6542.36</v>
      </c>
      <c r="DJ161" s="5">
        <f t="shared" si="172"/>
        <v>2558.6799999999998</v>
      </c>
      <c r="DK161" s="5">
        <f t="shared" si="172"/>
        <v>75349.5</v>
      </c>
      <c r="DL161" s="5">
        <f t="shared" si="172"/>
        <v>0</v>
      </c>
      <c r="DM161" s="5">
        <f>DZ161</f>
        <v>95.268624000000017</v>
      </c>
      <c r="DN161" s="5">
        <f>EA161</f>
        <v>0</v>
      </c>
      <c r="DO161" s="5">
        <f>ROUND(EB161,2)</f>
        <v>0</v>
      </c>
      <c r="DP161" s="5">
        <f>ROUND(EC161,2)</f>
        <v>70117.36</v>
      </c>
      <c r="DQ161" s="5">
        <f>ROUND(ED161,2)</f>
        <v>35837.760000000002</v>
      </c>
      <c r="DR161" s="5"/>
      <c r="DS161" s="5"/>
      <c r="DT161" s="5">
        <f>ROUND(SUMIF(AA146:AA159,"=56505405",O146:O159),2)</f>
        <v>1100751.3500000001</v>
      </c>
      <c r="DU161" s="5">
        <f>ROUND(SUMIF(AA146:AA159,"=56505405",P146:P159),2)</f>
        <v>1018859.49</v>
      </c>
      <c r="DV161" s="5">
        <f>ROUND(SUMIF(AA146:AA159,"=56505405",Q146:Q159),2)</f>
        <v>6542.36</v>
      </c>
      <c r="DW161" s="5">
        <f>ROUND(SUMIF(AA146:AA159,"=56505405",R146:R159),2)</f>
        <v>2558.6799999999998</v>
      </c>
      <c r="DX161" s="5">
        <f>ROUND(SUMIF(AA146:AA159,"=56505405",S146:S159),2)</f>
        <v>75349.5</v>
      </c>
      <c r="DY161" s="5">
        <f>ROUND(SUMIF(AA146:AA159,"=56505405",T146:T159),2)</f>
        <v>0</v>
      </c>
      <c r="DZ161" s="5">
        <f>SUMIF(AA146:AA159,"=56505405",U146:U159)</f>
        <v>95.268624000000017</v>
      </c>
      <c r="EA161" s="5">
        <f>SUMIF(AA146:AA159,"=56505405",V146:V159)</f>
        <v>0</v>
      </c>
      <c r="EB161" s="5">
        <f>ROUND(SUMIF(AA146:AA159,"=56505405",W146:W159),2)</f>
        <v>0</v>
      </c>
      <c r="EC161" s="5">
        <f>ROUND(SUMIF(AA146:AA159,"=56505405",X146:X159),2)</f>
        <v>70117.36</v>
      </c>
      <c r="ED161" s="5">
        <f>ROUND(SUMIF(AA146:AA159,"=56505405",Y146:Y159),2)</f>
        <v>35837.760000000002</v>
      </c>
      <c r="EE161" s="5"/>
      <c r="EF161" s="5"/>
      <c r="EG161" s="5">
        <f t="shared" ref="EG161:EV161" si="173">ROUND(FP161,2)</f>
        <v>0</v>
      </c>
      <c r="EH161" s="5">
        <f t="shared" si="173"/>
        <v>1013739.17</v>
      </c>
      <c r="EI161" s="5">
        <f t="shared" si="173"/>
        <v>0</v>
      </c>
      <c r="EJ161" s="5">
        <f t="shared" si="173"/>
        <v>1206706.47</v>
      </c>
      <c r="EK161" s="5">
        <f t="shared" si="173"/>
        <v>0</v>
      </c>
      <c r="EL161" s="5">
        <f t="shared" si="173"/>
        <v>192967.3</v>
      </c>
      <c r="EM161" s="5">
        <f t="shared" si="173"/>
        <v>0</v>
      </c>
      <c r="EN161" s="5">
        <f t="shared" si="173"/>
        <v>1018859.49</v>
      </c>
      <c r="EO161" s="5">
        <f t="shared" si="173"/>
        <v>5120.32</v>
      </c>
      <c r="EP161" s="5">
        <f t="shared" si="173"/>
        <v>0</v>
      </c>
      <c r="EQ161" s="5">
        <f t="shared" si="173"/>
        <v>5120.32</v>
      </c>
      <c r="ER161" s="5">
        <f t="shared" si="173"/>
        <v>1013739.17</v>
      </c>
      <c r="ES161" s="5">
        <f t="shared" si="173"/>
        <v>0</v>
      </c>
      <c r="ET161" s="5">
        <f t="shared" si="173"/>
        <v>0</v>
      </c>
      <c r="EU161" s="5">
        <f t="shared" si="173"/>
        <v>0</v>
      </c>
      <c r="EV161" s="5">
        <f t="shared" si="173"/>
        <v>0</v>
      </c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>
        <f>ROUND(SUMIF(AA146:AA159,"=56505405",FQ146:FQ159),2)</f>
        <v>0</v>
      </c>
      <c r="FQ161" s="5">
        <f>ROUND(SUMIF(AA146:AA159,"=56505405",FR146:FR159),2)</f>
        <v>1013739.17</v>
      </c>
      <c r="FR161" s="5">
        <f>ROUND(SUMIF(AA146:AA159,"=56505405",GL146:GL159),2)</f>
        <v>0</v>
      </c>
      <c r="FS161" s="5">
        <f>ROUND(SUMIF(AA146:AA159,"=56505405",GM146:GM159),2)</f>
        <v>1206706.47</v>
      </c>
      <c r="FT161" s="5">
        <f>ROUND(SUMIF(AA146:AA159,"=56505405",GN146:GN159),2)</f>
        <v>0</v>
      </c>
      <c r="FU161" s="5">
        <f>ROUND(SUMIF(AA146:AA159,"=56505405",GO146:GO159),2)</f>
        <v>192967.3</v>
      </c>
      <c r="FV161" s="5">
        <f>ROUND(SUMIF(AA146:AA159,"=56505405",GP146:GP159),2)</f>
        <v>0</v>
      </c>
      <c r="FW161" s="5">
        <f>DU161-FP161</f>
        <v>1018859.49</v>
      </c>
      <c r="FX161" s="5">
        <f>DU161-FQ161</f>
        <v>5120.3199999999488</v>
      </c>
      <c r="FY161" s="5">
        <f>FP161-FR161</f>
        <v>0</v>
      </c>
      <c r="FZ161" s="5">
        <f>DU161-FP161-FQ161+FR161</f>
        <v>5120.3199999999488</v>
      </c>
      <c r="GA161" s="5">
        <f>FQ161-FR161</f>
        <v>1013739.17</v>
      </c>
      <c r="GB161" s="5">
        <f>ROUND(SUMIF(AA146:AA159,"=56505405",GX146:GX159),2)</f>
        <v>0</v>
      </c>
      <c r="GC161" s="5">
        <f>ROUND(SUMIF(AA146:AA159,"=56505405",GY146:GY159),2)</f>
        <v>0</v>
      </c>
      <c r="GD161" s="5">
        <f>ROUND(SUMIF(AA146:AA159,"=56505405",GZ146:GZ159),2)</f>
        <v>0</v>
      </c>
      <c r="GE161" s="5">
        <f>ROUND(SUMIF(AA146:AA159,"=56505405",HD146:HD159),2)</f>
        <v>0</v>
      </c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>
        <v>0</v>
      </c>
    </row>
    <row r="163" spans="1:206" x14ac:dyDescent="0.3">
      <c r="A163" s="6">
        <v>50</v>
      </c>
      <c r="B163" s="6">
        <v>0</v>
      </c>
      <c r="C163" s="6">
        <v>0</v>
      </c>
      <c r="D163" s="6">
        <v>1</v>
      </c>
      <c r="E163" s="6">
        <v>201</v>
      </c>
      <c r="F163" s="6">
        <f>ROUND(Source!O161,O163)</f>
        <v>150718.07999999999</v>
      </c>
      <c r="G163" s="6" t="s">
        <v>77</v>
      </c>
      <c r="H163" s="6" t="s">
        <v>78</v>
      </c>
      <c r="I163" s="6"/>
      <c r="J163" s="6"/>
      <c r="K163" s="6">
        <v>201</v>
      </c>
      <c r="L163" s="6">
        <v>1</v>
      </c>
      <c r="M163" s="6">
        <v>3</v>
      </c>
      <c r="N163" s="6" t="s">
        <v>3</v>
      </c>
      <c r="O163" s="6">
        <v>2</v>
      </c>
      <c r="P163" s="6">
        <f>ROUND(Source!DG161,O163)</f>
        <v>1100751.3500000001</v>
      </c>
      <c r="Q163" s="6"/>
      <c r="R163" s="6"/>
      <c r="S163" s="6"/>
      <c r="T163" s="6"/>
      <c r="U163" s="6"/>
      <c r="V163" s="6"/>
      <c r="W163" s="6">
        <v>150718.07999999999</v>
      </c>
      <c r="X163" s="6">
        <v>1</v>
      </c>
      <c r="Y163" s="6">
        <v>150718.07999999999</v>
      </c>
      <c r="Z163" s="6">
        <v>1100751.3500000001</v>
      </c>
      <c r="AA163" s="6">
        <v>1</v>
      </c>
      <c r="AB163" s="6">
        <v>1100751.3500000001</v>
      </c>
    </row>
    <row r="164" spans="1:206" x14ac:dyDescent="0.3">
      <c r="A164" s="6">
        <v>50</v>
      </c>
      <c r="B164" s="6">
        <v>0</v>
      </c>
      <c r="C164" s="6">
        <v>0</v>
      </c>
      <c r="D164" s="6">
        <v>1</v>
      </c>
      <c r="E164" s="6">
        <v>202</v>
      </c>
      <c r="F164" s="6">
        <f>ROUND(Source!P161,O164)</f>
        <v>148924.66</v>
      </c>
      <c r="G164" s="6" t="s">
        <v>79</v>
      </c>
      <c r="H164" s="6" t="s">
        <v>80</v>
      </c>
      <c r="I164" s="6"/>
      <c r="J164" s="6"/>
      <c r="K164" s="6">
        <v>202</v>
      </c>
      <c r="L164" s="6">
        <v>2</v>
      </c>
      <c r="M164" s="6">
        <v>3</v>
      </c>
      <c r="N164" s="6" t="s">
        <v>3</v>
      </c>
      <c r="O164" s="6">
        <v>2</v>
      </c>
      <c r="P164" s="6">
        <f>ROUND(Source!DH161,O164)</f>
        <v>1018859.49</v>
      </c>
      <c r="Q164" s="6"/>
      <c r="R164" s="6"/>
      <c r="S164" s="6"/>
      <c r="T164" s="6"/>
      <c r="U164" s="6"/>
      <c r="V164" s="6"/>
      <c r="W164" s="6">
        <v>148924.66</v>
      </c>
      <c r="X164" s="6">
        <v>1</v>
      </c>
      <c r="Y164" s="6">
        <v>148924.66</v>
      </c>
      <c r="Z164" s="6">
        <v>1018859.49</v>
      </c>
      <c r="AA164" s="6">
        <v>1</v>
      </c>
      <c r="AB164" s="6">
        <v>1018859.49</v>
      </c>
    </row>
    <row r="165" spans="1:206" x14ac:dyDescent="0.3">
      <c r="A165" s="6">
        <v>50</v>
      </c>
      <c r="B165" s="6">
        <v>0</v>
      </c>
      <c r="C165" s="6">
        <v>0</v>
      </c>
      <c r="D165" s="6">
        <v>1</v>
      </c>
      <c r="E165" s="6">
        <v>222</v>
      </c>
      <c r="F165" s="6">
        <f>ROUND(Source!AO161,O165)</f>
        <v>0</v>
      </c>
      <c r="G165" s="6" t="s">
        <v>81</v>
      </c>
      <c r="H165" s="6" t="s">
        <v>82</v>
      </c>
      <c r="I165" s="6"/>
      <c r="J165" s="6"/>
      <c r="K165" s="6">
        <v>222</v>
      </c>
      <c r="L165" s="6">
        <v>3</v>
      </c>
      <c r="M165" s="6">
        <v>3</v>
      </c>
      <c r="N165" s="6" t="s">
        <v>3</v>
      </c>
      <c r="O165" s="6">
        <v>2</v>
      </c>
      <c r="P165" s="6">
        <f>ROUND(Source!EG161,O165)</f>
        <v>0</v>
      </c>
      <c r="Q165" s="6"/>
      <c r="R165" s="6"/>
      <c r="S165" s="6"/>
      <c r="T165" s="6"/>
      <c r="U165" s="6"/>
      <c r="V165" s="6"/>
      <c r="W165" s="6">
        <v>0</v>
      </c>
      <c r="X165" s="6">
        <v>1</v>
      </c>
      <c r="Y165" s="6">
        <v>0</v>
      </c>
      <c r="Z165" s="6">
        <v>0</v>
      </c>
      <c r="AA165" s="6">
        <v>1</v>
      </c>
      <c r="AB165" s="6">
        <v>0</v>
      </c>
    </row>
    <row r="166" spans="1:206" x14ac:dyDescent="0.3">
      <c r="A166" s="6">
        <v>50</v>
      </c>
      <c r="B166" s="6">
        <v>0</v>
      </c>
      <c r="C166" s="6">
        <v>0</v>
      </c>
      <c r="D166" s="6">
        <v>1</v>
      </c>
      <c r="E166" s="6">
        <v>225</v>
      </c>
      <c r="F166" s="6">
        <f>ROUND(Source!AV161,O166)</f>
        <v>148924.66</v>
      </c>
      <c r="G166" s="6" t="s">
        <v>83</v>
      </c>
      <c r="H166" s="6" t="s">
        <v>84</v>
      </c>
      <c r="I166" s="6"/>
      <c r="J166" s="6"/>
      <c r="K166" s="6">
        <v>225</v>
      </c>
      <c r="L166" s="6">
        <v>4</v>
      </c>
      <c r="M166" s="6">
        <v>3</v>
      </c>
      <c r="N166" s="6" t="s">
        <v>3</v>
      </c>
      <c r="O166" s="6">
        <v>2</v>
      </c>
      <c r="P166" s="6">
        <f>ROUND(Source!EN161,O166)</f>
        <v>1018859.49</v>
      </c>
      <c r="Q166" s="6"/>
      <c r="R166" s="6"/>
      <c r="S166" s="6"/>
      <c r="T166" s="6"/>
      <c r="U166" s="6"/>
      <c r="V166" s="6"/>
      <c r="W166" s="6">
        <v>148924.66</v>
      </c>
      <c r="X166" s="6">
        <v>1</v>
      </c>
      <c r="Y166" s="6">
        <v>148924.66</v>
      </c>
      <c r="Z166" s="6">
        <v>1018859.49</v>
      </c>
      <c r="AA166" s="6">
        <v>1</v>
      </c>
      <c r="AB166" s="6">
        <v>1018859.49</v>
      </c>
    </row>
    <row r="167" spans="1:206" x14ac:dyDescent="0.3">
      <c r="A167" s="6">
        <v>50</v>
      </c>
      <c r="B167" s="6">
        <v>0</v>
      </c>
      <c r="C167" s="6">
        <v>0</v>
      </c>
      <c r="D167" s="6">
        <v>1</v>
      </c>
      <c r="E167" s="6">
        <v>226</v>
      </c>
      <c r="F167" s="6">
        <f>ROUND(Source!AW161,O167)</f>
        <v>525.46</v>
      </c>
      <c r="G167" s="6" t="s">
        <v>85</v>
      </c>
      <c r="H167" s="6" t="s">
        <v>86</v>
      </c>
      <c r="I167" s="6"/>
      <c r="J167" s="6"/>
      <c r="K167" s="6">
        <v>226</v>
      </c>
      <c r="L167" s="6">
        <v>5</v>
      </c>
      <c r="M167" s="6">
        <v>3</v>
      </c>
      <c r="N167" s="6" t="s">
        <v>3</v>
      </c>
      <c r="O167" s="6">
        <v>2</v>
      </c>
      <c r="P167" s="6">
        <f>ROUND(Source!EO161,O167)</f>
        <v>5120.32</v>
      </c>
      <c r="Q167" s="6"/>
      <c r="R167" s="6"/>
      <c r="S167" s="6"/>
      <c r="T167" s="6"/>
      <c r="U167" s="6"/>
      <c r="V167" s="6"/>
      <c r="W167" s="6">
        <v>525.46</v>
      </c>
      <c r="X167" s="6">
        <v>1</v>
      </c>
      <c r="Y167" s="6">
        <v>525.46</v>
      </c>
      <c r="Z167" s="6">
        <v>5120.32</v>
      </c>
      <c r="AA167" s="6">
        <v>1</v>
      </c>
      <c r="AB167" s="6">
        <v>5120.32</v>
      </c>
    </row>
    <row r="168" spans="1:206" x14ac:dyDescent="0.3">
      <c r="A168" s="6">
        <v>50</v>
      </c>
      <c r="B168" s="6">
        <v>0</v>
      </c>
      <c r="C168" s="6">
        <v>0</v>
      </c>
      <c r="D168" s="6">
        <v>1</v>
      </c>
      <c r="E168" s="6">
        <v>227</v>
      </c>
      <c r="F168" s="6">
        <f>ROUND(Source!AX161,O168)</f>
        <v>0</v>
      </c>
      <c r="G168" s="6" t="s">
        <v>87</v>
      </c>
      <c r="H168" s="6" t="s">
        <v>88</v>
      </c>
      <c r="I168" s="6"/>
      <c r="J168" s="6"/>
      <c r="K168" s="6">
        <v>227</v>
      </c>
      <c r="L168" s="6">
        <v>6</v>
      </c>
      <c r="M168" s="6">
        <v>3</v>
      </c>
      <c r="N168" s="6" t="s">
        <v>3</v>
      </c>
      <c r="O168" s="6">
        <v>2</v>
      </c>
      <c r="P168" s="6">
        <f>ROUND(Source!EP161,O168)</f>
        <v>0</v>
      </c>
      <c r="Q168" s="6"/>
      <c r="R168" s="6"/>
      <c r="S168" s="6"/>
      <c r="T168" s="6"/>
      <c r="U168" s="6"/>
      <c r="V168" s="6"/>
      <c r="W168" s="6">
        <v>0</v>
      </c>
      <c r="X168" s="6">
        <v>1</v>
      </c>
      <c r="Y168" s="6">
        <v>0</v>
      </c>
      <c r="Z168" s="6">
        <v>0</v>
      </c>
      <c r="AA168" s="6">
        <v>1</v>
      </c>
      <c r="AB168" s="6">
        <v>0</v>
      </c>
    </row>
    <row r="169" spans="1:206" x14ac:dyDescent="0.3">
      <c r="A169" s="6">
        <v>50</v>
      </c>
      <c r="B169" s="6">
        <v>0</v>
      </c>
      <c r="C169" s="6">
        <v>0</v>
      </c>
      <c r="D169" s="6">
        <v>1</v>
      </c>
      <c r="E169" s="6">
        <v>228</v>
      </c>
      <c r="F169" s="6">
        <f>ROUND(Source!AY161,O169)</f>
        <v>525.46</v>
      </c>
      <c r="G169" s="6" t="s">
        <v>89</v>
      </c>
      <c r="H169" s="6" t="s">
        <v>90</v>
      </c>
      <c r="I169" s="6"/>
      <c r="J169" s="6"/>
      <c r="K169" s="6">
        <v>228</v>
      </c>
      <c r="L169" s="6">
        <v>7</v>
      </c>
      <c r="M169" s="6">
        <v>3</v>
      </c>
      <c r="N169" s="6" t="s">
        <v>3</v>
      </c>
      <c r="O169" s="6">
        <v>2</v>
      </c>
      <c r="P169" s="6">
        <f>ROUND(Source!EQ161,O169)</f>
        <v>5120.32</v>
      </c>
      <c r="Q169" s="6"/>
      <c r="R169" s="6"/>
      <c r="S169" s="6"/>
      <c r="T169" s="6"/>
      <c r="U169" s="6"/>
      <c r="V169" s="6"/>
      <c r="W169" s="6">
        <v>525.46</v>
      </c>
      <c r="X169" s="6">
        <v>1</v>
      </c>
      <c r="Y169" s="6">
        <v>525.46</v>
      </c>
      <c r="Z169" s="6">
        <v>5120.32</v>
      </c>
      <c r="AA169" s="6">
        <v>1</v>
      </c>
      <c r="AB169" s="6">
        <v>5120.32</v>
      </c>
    </row>
    <row r="170" spans="1:206" x14ac:dyDescent="0.3">
      <c r="A170" s="6">
        <v>50</v>
      </c>
      <c r="B170" s="6">
        <v>0</v>
      </c>
      <c r="C170" s="6">
        <v>0</v>
      </c>
      <c r="D170" s="6">
        <v>1</v>
      </c>
      <c r="E170" s="6">
        <v>216</v>
      </c>
      <c r="F170" s="6">
        <f>ROUND(Source!AP161,O170)</f>
        <v>148399.20000000001</v>
      </c>
      <c r="G170" s="6" t="s">
        <v>91</v>
      </c>
      <c r="H170" s="6" t="s">
        <v>92</v>
      </c>
      <c r="I170" s="6"/>
      <c r="J170" s="6"/>
      <c r="K170" s="6">
        <v>216</v>
      </c>
      <c r="L170" s="6">
        <v>8</v>
      </c>
      <c r="M170" s="6">
        <v>3</v>
      </c>
      <c r="N170" s="6" t="s">
        <v>3</v>
      </c>
      <c r="O170" s="6">
        <v>2</v>
      </c>
      <c r="P170" s="6">
        <f>ROUND(Source!EH161,O170)</f>
        <v>1013739.17</v>
      </c>
      <c r="Q170" s="6"/>
      <c r="R170" s="6"/>
      <c r="S170" s="6"/>
      <c r="T170" s="6"/>
      <c r="U170" s="6"/>
      <c r="V170" s="6"/>
      <c r="W170" s="6">
        <v>148399.20000000001</v>
      </c>
      <c r="X170" s="6">
        <v>1</v>
      </c>
      <c r="Y170" s="6">
        <v>148399.20000000001</v>
      </c>
      <c r="Z170" s="6">
        <v>1013739.17</v>
      </c>
      <c r="AA170" s="6">
        <v>1</v>
      </c>
      <c r="AB170" s="6">
        <v>1013739.17</v>
      </c>
    </row>
    <row r="171" spans="1:206" x14ac:dyDescent="0.3">
      <c r="A171" s="6">
        <v>50</v>
      </c>
      <c r="B171" s="6">
        <v>0</v>
      </c>
      <c r="C171" s="6">
        <v>0</v>
      </c>
      <c r="D171" s="6">
        <v>1</v>
      </c>
      <c r="E171" s="6">
        <v>223</v>
      </c>
      <c r="F171" s="6">
        <f>ROUND(Source!AQ161,O171)</f>
        <v>0</v>
      </c>
      <c r="G171" s="6" t="s">
        <v>93</v>
      </c>
      <c r="H171" s="6" t="s">
        <v>94</v>
      </c>
      <c r="I171" s="6"/>
      <c r="J171" s="6"/>
      <c r="K171" s="6">
        <v>223</v>
      </c>
      <c r="L171" s="6">
        <v>9</v>
      </c>
      <c r="M171" s="6">
        <v>3</v>
      </c>
      <c r="N171" s="6" t="s">
        <v>3</v>
      </c>
      <c r="O171" s="6">
        <v>2</v>
      </c>
      <c r="P171" s="6">
        <f>ROUND(Source!EI161,O171)</f>
        <v>0</v>
      </c>
      <c r="Q171" s="6"/>
      <c r="R171" s="6"/>
      <c r="S171" s="6"/>
      <c r="T171" s="6"/>
      <c r="U171" s="6"/>
      <c r="V171" s="6"/>
      <c r="W171" s="6">
        <v>0</v>
      </c>
      <c r="X171" s="6">
        <v>1</v>
      </c>
      <c r="Y171" s="6">
        <v>0</v>
      </c>
      <c r="Z171" s="6">
        <v>0</v>
      </c>
      <c r="AA171" s="6">
        <v>1</v>
      </c>
      <c r="AB171" s="6">
        <v>0</v>
      </c>
    </row>
    <row r="172" spans="1:206" x14ac:dyDescent="0.3">
      <c r="A172" s="6">
        <v>50</v>
      </c>
      <c r="B172" s="6">
        <v>0</v>
      </c>
      <c r="C172" s="6">
        <v>0</v>
      </c>
      <c r="D172" s="6">
        <v>1</v>
      </c>
      <c r="E172" s="6">
        <v>229</v>
      </c>
      <c r="F172" s="6">
        <f>ROUND(Source!AZ161,O172)</f>
        <v>148399.20000000001</v>
      </c>
      <c r="G172" s="6" t="s">
        <v>95</v>
      </c>
      <c r="H172" s="6" t="s">
        <v>96</v>
      </c>
      <c r="I172" s="6"/>
      <c r="J172" s="6"/>
      <c r="K172" s="6">
        <v>229</v>
      </c>
      <c r="L172" s="6">
        <v>10</v>
      </c>
      <c r="M172" s="6">
        <v>3</v>
      </c>
      <c r="N172" s="6" t="s">
        <v>3</v>
      </c>
      <c r="O172" s="6">
        <v>2</v>
      </c>
      <c r="P172" s="6">
        <f>ROUND(Source!ER161,O172)</f>
        <v>1013739.17</v>
      </c>
      <c r="Q172" s="6"/>
      <c r="R172" s="6"/>
      <c r="S172" s="6"/>
      <c r="T172" s="6"/>
      <c r="U172" s="6"/>
      <c r="V172" s="6"/>
      <c r="W172" s="6">
        <v>148399.20000000001</v>
      </c>
      <c r="X172" s="6">
        <v>1</v>
      </c>
      <c r="Y172" s="6">
        <v>148399.20000000001</v>
      </c>
      <c r="Z172" s="6">
        <v>1013739.17</v>
      </c>
      <c r="AA172" s="6">
        <v>1</v>
      </c>
      <c r="AB172" s="6">
        <v>1013739.17</v>
      </c>
    </row>
    <row r="173" spans="1:206" x14ac:dyDescent="0.3">
      <c r="A173" s="6">
        <v>50</v>
      </c>
      <c r="B173" s="6">
        <v>0</v>
      </c>
      <c r="C173" s="6">
        <v>0</v>
      </c>
      <c r="D173" s="6">
        <v>1</v>
      </c>
      <c r="E173" s="6">
        <v>203</v>
      </c>
      <c r="F173" s="6">
        <f>ROUND(Source!Q161,O173)</f>
        <v>423.18</v>
      </c>
      <c r="G173" s="6" t="s">
        <v>97</v>
      </c>
      <c r="H173" s="6" t="s">
        <v>98</v>
      </c>
      <c r="I173" s="6"/>
      <c r="J173" s="6"/>
      <c r="K173" s="6">
        <v>203</v>
      </c>
      <c r="L173" s="6">
        <v>11</v>
      </c>
      <c r="M173" s="6">
        <v>3</v>
      </c>
      <c r="N173" s="6" t="s">
        <v>3</v>
      </c>
      <c r="O173" s="6">
        <v>2</v>
      </c>
      <c r="P173" s="6">
        <f>ROUND(Source!DI161,O173)</f>
        <v>6542.36</v>
      </c>
      <c r="Q173" s="6"/>
      <c r="R173" s="6"/>
      <c r="S173" s="6"/>
      <c r="T173" s="6"/>
      <c r="U173" s="6"/>
      <c r="V173" s="6"/>
      <c r="W173" s="6">
        <v>423.18</v>
      </c>
      <c r="X173" s="6">
        <v>1</v>
      </c>
      <c r="Y173" s="6">
        <v>423.18</v>
      </c>
      <c r="Z173" s="6">
        <v>6542.36</v>
      </c>
      <c r="AA173" s="6">
        <v>1</v>
      </c>
      <c r="AB173" s="6">
        <v>6542.36</v>
      </c>
    </row>
    <row r="174" spans="1:206" x14ac:dyDescent="0.3">
      <c r="A174" s="6">
        <v>50</v>
      </c>
      <c r="B174" s="6">
        <v>0</v>
      </c>
      <c r="C174" s="6">
        <v>0</v>
      </c>
      <c r="D174" s="6">
        <v>1</v>
      </c>
      <c r="E174" s="6">
        <v>231</v>
      </c>
      <c r="F174" s="6">
        <f>ROUND(Source!BB161,O174)</f>
        <v>0</v>
      </c>
      <c r="G174" s="6" t="s">
        <v>99</v>
      </c>
      <c r="H174" s="6" t="s">
        <v>100</v>
      </c>
      <c r="I174" s="6"/>
      <c r="J174" s="6"/>
      <c r="K174" s="6">
        <v>231</v>
      </c>
      <c r="L174" s="6">
        <v>12</v>
      </c>
      <c r="M174" s="6">
        <v>3</v>
      </c>
      <c r="N174" s="6" t="s">
        <v>3</v>
      </c>
      <c r="O174" s="6">
        <v>2</v>
      </c>
      <c r="P174" s="6">
        <f>ROUND(Source!ET161,O174)</f>
        <v>0</v>
      </c>
      <c r="Q174" s="6"/>
      <c r="R174" s="6"/>
      <c r="S174" s="6"/>
      <c r="T174" s="6"/>
      <c r="U174" s="6"/>
      <c r="V174" s="6"/>
      <c r="W174" s="6">
        <v>0</v>
      </c>
      <c r="X174" s="6">
        <v>1</v>
      </c>
      <c r="Y174" s="6">
        <v>0</v>
      </c>
      <c r="Z174" s="6">
        <v>0</v>
      </c>
      <c r="AA174" s="6">
        <v>1</v>
      </c>
      <c r="AB174" s="6">
        <v>0</v>
      </c>
    </row>
    <row r="175" spans="1:206" x14ac:dyDescent="0.3">
      <c r="A175" s="6">
        <v>50</v>
      </c>
      <c r="B175" s="6">
        <v>0</v>
      </c>
      <c r="C175" s="6">
        <v>0</v>
      </c>
      <c r="D175" s="6">
        <v>1</v>
      </c>
      <c r="E175" s="6">
        <v>204</v>
      </c>
      <c r="F175" s="6">
        <f>ROUND(Source!R161,O175)</f>
        <v>46.53</v>
      </c>
      <c r="G175" s="6" t="s">
        <v>101</v>
      </c>
      <c r="H175" s="6" t="s">
        <v>102</v>
      </c>
      <c r="I175" s="6"/>
      <c r="J175" s="6"/>
      <c r="K175" s="6">
        <v>204</v>
      </c>
      <c r="L175" s="6">
        <v>13</v>
      </c>
      <c r="M175" s="6">
        <v>3</v>
      </c>
      <c r="N175" s="6" t="s">
        <v>3</v>
      </c>
      <c r="O175" s="6">
        <v>2</v>
      </c>
      <c r="P175" s="6">
        <f>ROUND(Source!DJ161,O175)</f>
        <v>2558.6799999999998</v>
      </c>
      <c r="Q175" s="6"/>
      <c r="R175" s="6"/>
      <c r="S175" s="6"/>
      <c r="T175" s="6"/>
      <c r="U175" s="6"/>
      <c r="V175" s="6"/>
      <c r="W175" s="6">
        <v>46.53</v>
      </c>
      <c r="X175" s="6">
        <v>1</v>
      </c>
      <c r="Y175" s="6">
        <v>46.53</v>
      </c>
      <c r="Z175" s="6">
        <v>2558.6799999999998</v>
      </c>
      <c r="AA175" s="6">
        <v>1</v>
      </c>
      <c r="AB175" s="6">
        <v>2558.6799999999998</v>
      </c>
    </row>
    <row r="176" spans="1:206" x14ac:dyDescent="0.3">
      <c r="A176" s="6">
        <v>50</v>
      </c>
      <c r="B176" s="6">
        <v>0</v>
      </c>
      <c r="C176" s="6">
        <v>0</v>
      </c>
      <c r="D176" s="6">
        <v>1</v>
      </c>
      <c r="E176" s="6">
        <v>205</v>
      </c>
      <c r="F176" s="6">
        <f>ROUND(Source!S161,O176)</f>
        <v>1370.24</v>
      </c>
      <c r="G176" s="6" t="s">
        <v>103</v>
      </c>
      <c r="H176" s="6" t="s">
        <v>104</v>
      </c>
      <c r="I176" s="6"/>
      <c r="J176" s="6"/>
      <c r="K176" s="6">
        <v>205</v>
      </c>
      <c r="L176" s="6">
        <v>14</v>
      </c>
      <c r="M176" s="6">
        <v>3</v>
      </c>
      <c r="N176" s="6" t="s">
        <v>3</v>
      </c>
      <c r="O176" s="6">
        <v>2</v>
      </c>
      <c r="P176" s="6">
        <f>ROUND(Source!DK161,O176)</f>
        <v>75349.5</v>
      </c>
      <c r="Q176" s="6"/>
      <c r="R176" s="6"/>
      <c r="S176" s="6"/>
      <c r="T176" s="6"/>
      <c r="U176" s="6"/>
      <c r="V176" s="6"/>
      <c r="W176" s="6">
        <v>1370.24</v>
      </c>
      <c r="X176" s="6">
        <v>1</v>
      </c>
      <c r="Y176" s="6">
        <v>1370.24</v>
      </c>
      <c r="Z176" s="6">
        <v>75349.5</v>
      </c>
      <c r="AA176" s="6">
        <v>1</v>
      </c>
      <c r="AB176" s="6">
        <v>75349.5</v>
      </c>
    </row>
    <row r="177" spans="1:88" x14ac:dyDescent="0.3">
      <c r="A177" s="6">
        <v>50</v>
      </c>
      <c r="B177" s="6">
        <v>0</v>
      </c>
      <c r="C177" s="6">
        <v>0</v>
      </c>
      <c r="D177" s="6">
        <v>1</v>
      </c>
      <c r="E177" s="6">
        <v>232</v>
      </c>
      <c r="F177" s="6">
        <f>ROUND(Source!BC161,O177)</f>
        <v>0</v>
      </c>
      <c r="G177" s="6" t="s">
        <v>105</v>
      </c>
      <c r="H177" s="6" t="s">
        <v>106</v>
      </c>
      <c r="I177" s="6"/>
      <c r="J177" s="6"/>
      <c r="K177" s="6">
        <v>232</v>
      </c>
      <c r="L177" s="6">
        <v>15</v>
      </c>
      <c r="M177" s="6">
        <v>3</v>
      </c>
      <c r="N177" s="6" t="s">
        <v>3</v>
      </c>
      <c r="O177" s="6">
        <v>2</v>
      </c>
      <c r="P177" s="6">
        <f>ROUND(Source!EU161,O177)</f>
        <v>0</v>
      </c>
      <c r="Q177" s="6"/>
      <c r="R177" s="6"/>
      <c r="S177" s="6"/>
      <c r="T177" s="6"/>
      <c r="U177" s="6"/>
      <c r="V177" s="6"/>
      <c r="W177" s="6">
        <v>0</v>
      </c>
      <c r="X177" s="6">
        <v>1</v>
      </c>
      <c r="Y177" s="6">
        <v>0</v>
      </c>
      <c r="Z177" s="6">
        <v>0</v>
      </c>
      <c r="AA177" s="6">
        <v>1</v>
      </c>
      <c r="AB177" s="6">
        <v>0</v>
      </c>
    </row>
    <row r="178" spans="1:88" x14ac:dyDescent="0.3">
      <c r="A178" s="6">
        <v>50</v>
      </c>
      <c r="B178" s="6">
        <v>0</v>
      </c>
      <c r="C178" s="6">
        <v>0</v>
      </c>
      <c r="D178" s="6">
        <v>1</v>
      </c>
      <c r="E178" s="6">
        <v>214</v>
      </c>
      <c r="F178" s="6">
        <f>ROUND(Source!AS161,O178)</f>
        <v>0</v>
      </c>
      <c r="G178" s="6" t="s">
        <v>107</v>
      </c>
      <c r="H178" s="6" t="s">
        <v>108</v>
      </c>
      <c r="I178" s="6"/>
      <c r="J178" s="6"/>
      <c r="K178" s="6">
        <v>214</v>
      </c>
      <c r="L178" s="6">
        <v>16</v>
      </c>
      <c r="M178" s="6">
        <v>3</v>
      </c>
      <c r="N178" s="6" t="s">
        <v>3</v>
      </c>
      <c r="O178" s="6">
        <v>2</v>
      </c>
      <c r="P178" s="6">
        <f>ROUND(Source!EK161,O178)</f>
        <v>0</v>
      </c>
      <c r="Q178" s="6"/>
      <c r="R178" s="6"/>
      <c r="S178" s="6"/>
      <c r="T178" s="6"/>
      <c r="U178" s="6"/>
      <c r="V178" s="6"/>
      <c r="W178" s="6">
        <v>0</v>
      </c>
      <c r="X178" s="6">
        <v>1</v>
      </c>
      <c r="Y178" s="6">
        <v>0</v>
      </c>
      <c r="Z178" s="6">
        <v>0</v>
      </c>
      <c r="AA178" s="6">
        <v>1</v>
      </c>
      <c r="AB178" s="6">
        <v>0</v>
      </c>
    </row>
    <row r="179" spans="1:88" x14ac:dyDescent="0.3">
      <c r="A179" s="6">
        <v>50</v>
      </c>
      <c r="B179" s="6">
        <v>0</v>
      </c>
      <c r="C179" s="6">
        <v>0</v>
      </c>
      <c r="D179" s="6">
        <v>1</v>
      </c>
      <c r="E179" s="6">
        <v>215</v>
      </c>
      <c r="F179" s="6">
        <f>ROUND(Source!AT161,O179)</f>
        <v>4245.68</v>
      </c>
      <c r="G179" s="6" t="s">
        <v>109</v>
      </c>
      <c r="H179" s="6" t="s">
        <v>110</v>
      </c>
      <c r="I179" s="6"/>
      <c r="J179" s="6"/>
      <c r="K179" s="6">
        <v>215</v>
      </c>
      <c r="L179" s="6">
        <v>17</v>
      </c>
      <c r="M179" s="6">
        <v>3</v>
      </c>
      <c r="N179" s="6" t="s">
        <v>3</v>
      </c>
      <c r="O179" s="6">
        <v>2</v>
      </c>
      <c r="P179" s="6">
        <f>ROUND(Source!EL161,O179)</f>
        <v>192967.3</v>
      </c>
      <c r="Q179" s="6"/>
      <c r="R179" s="6"/>
      <c r="S179" s="6"/>
      <c r="T179" s="6"/>
      <c r="U179" s="6"/>
      <c r="V179" s="6"/>
      <c r="W179" s="6">
        <v>4245.68</v>
      </c>
      <c r="X179" s="6">
        <v>1</v>
      </c>
      <c r="Y179" s="6">
        <v>4245.68</v>
      </c>
      <c r="Z179" s="6">
        <v>192967.3</v>
      </c>
      <c r="AA179" s="6">
        <v>1</v>
      </c>
      <c r="AB179" s="6">
        <v>192967.3</v>
      </c>
    </row>
    <row r="180" spans="1:88" x14ac:dyDescent="0.3">
      <c r="A180" s="6">
        <v>50</v>
      </c>
      <c r="B180" s="6">
        <v>0</v>
      </c>
      <c r="C180" s="6">
        <v>0</v>
      </c>
      <c r="D180" s="6">
        <v>1</v>
      </c>
      <c r="E180" s="6">
        <v>217</v>
      </c>
      <c r="F180" s="6">
        <f>ROUND(Source!AU161,O180)</f>
        <v>0</v>
      </c>
      <c r="G180" s="6" t="s">
        <v>111</v>
      </c>
      <c r="H180" s="6" t="s">
        <v>112</v>
      </c>
      <c r="I180" s="6"/>
      <c r="J180" s="6"/>
      <c r="K180" s="6">
        <v>217</v>
      </c>
      <c r="L180" s="6">
        <v>18</v>
      </c>
      <c r="M180" s="6">
        <v>3</v>
      </c>
      <c r="N180" s="6" t="s">
        <v>3</v>
      </c>
      <c r="O180" s="6">
        <v>2</v>
      </c>
      <c r="P180" s="6">
        <f>ROUND(Source!EM161,O180)</f>
        <v>0</v>
      </c>
      <c r="Q180" s="6"/>
      <c r="R180" s="6"/>
      <c r="S180" s="6"/>
      <c r="T180" s="6"/>
      <c r="U180" s="6"/>
      <c r="V180" s="6"/>
      <c r="W180" s="6">
        <v>0</v>
      </c>
      <c r="X180" s="6">
        <v>1</v>
      </c>
      <c r="Y180" s="6">
        <v>0</v>
      </c>
      <c r="Z180" s="6">
        <v>0</v>
      </c>
      <c r="AA180" s="6">
        <v>1</v>
      </c>
      <c r="AB180" s="6">
        <v>0</v>
      </c>
    </row>
    <row r="181" spans="1:88" x14ac:dyDescent="0.3">
      <c r="A181" s="6">
        <v>50</v>
      </c>
      <c r="B181" s="6">
        <v>0</v>
      </c>
      <c r="C181" s="6">
        <v>0</v>
      </c>
      <c r="D181" s="6">
        <v>1</v>
      </c>
      <c r="E181" s="6">
        <v>230</v>
      </c>
      <c r="F181" s="6">
        <f>ROUND(Source!BA161,O181)</f>
        <v>0</v>
      </c>
      <c r="G181" s="6" t="s">
        <v>113</v>
      </c>
      <c r="H181" s="6" t="s">
        <v>114</v>
      </c>
      <c r="I181" s="6"/>
      <c r="J181" s="6"/>
      <c r="K181" s="6">
        <v>230</v>
      </c>
      <c r="L181" s="6">
        <v>19</v>
      </c>
      <c r="M181" s="6">
        <v>3</v>
      </c>
      <c r="N181" s="6" t="s">
        <v>3</v>
      </c>
      <c r="O181" s="6">
        <v>2</v>
      </c>
      <c r="P181" s="6">
        <f>ROUND(Source!ES161,O181)</f>
        <v>0</v>
      </c>
      <c r="Q181" s="6"/>
      <c r="R181" s="6"/>
      <c r="S181" s="6"/>
      <c r="T181" s="6"/>
      <c r="U181" s="6"/>
      <c r="V181" s="6"/>
      <c r="W181" s="6">
        <v>0</v>
      </c>
      <c r="X181" s="6">
        <v>1</v>
      </c>
      <c r="Y181" s="6">
        <v>0</v>
      </c>
      <c r="Z181" s="6">
        <v>0</v>
      </c>
      <c r="AA181" s="6">
        <v>1</v>
      </c>
      <c r="AB181" s="6">
        <v>0</v>
      </c>
    </row>
    <row r="182" spans="1:88" x14ac:dyDescent="0.3">
      <c r="A182" s="6">
        <v>50</v>
      </c>
      <c r="B182" s="6">
        <v>0</v>
      </c>
      <c r="C182" s="6">
        <v>0</v>
      </c>
      <c r="D182" s="6">
        <v>1</v>
      </c>
      <c r="E182" s="6">
        <v>206</v>
      </c>
      <c r="F182" s="6">
        <f>ROUND(Source!T161,O182)</f>
        <v>0</v>
      </c>
      <c r="G182" s="6" t="s">
        <v>115</v>
      </c>
      <c r="H182" s="6" t="s">
        <v>116</v>
      </c>
      <c r="I182" s="6"/>
      <c r="J182" s="6"/>
      <c r="K182" s="6">
        <v>206</v>
      </c>
      <c r="L182" s="6">
        <v>20</v>
      </c>
      <c r="M182" s="6">
        <v>3</v>
      </c>
      <c r="N182" s="6" t="s">
        <v>3</v>
      </c>
      <c r="O182" s="6">
        <v>2</v>
      </c>
      <c r="P182" s="6">
        <f>ROUND(Source!DL161,O182)</f>
        <v>0</v>
      </c>
      <c r="Q182" s="6"/>
      <c r="R182" s="6"/>
      <c r="S182" s="6"/>
      <c r="T182" s="6"/>
      <c r="U182" s="6"/>
      <c r="V182" s="6"/>
      <c r="W182" s="6">
        <v>0</v>
      </c>
      <c r="X182" s="6">
        <v>1</v>
      </c>
      <c r="Y182" s="6">
        <v>0</v>
      </c>
      <c r="Z182" s="6">
        <v>0</v>
      </c>
      <c r="AA182" s="6">
        <v>1</v>
      </c>
      <c r="AB182" s="6">
        <v>0</v>
      </c>
    </row>
    <row r="183" spans="1:88" x14ac:dyDescent="0.3">
      <c r="A183" s="6">
        <v>50</v>
      </c>
      <c r="B183" s="6">
        <v>0</v>
      </c>
      <c r="C183" s="6">
        <v>0</v>
      </c>
      <c r="D183" s="6">
        <v>1</v>
      </c>
      <c r="E183" s="6">
        <v>207</v>
      </c>
      <c r="F183" s="6">
        <f>Source!U161</f>
        <v>95.268624000000017</v>
      </c>
      <c r="G183" s="6" t="s">
        <v>117</v>
      </c>
      <c r="H183" s="6" t="s">
        <v>118</v>
      </c>
      <c r="I183" s="6"/>
      <c r="J183" s="6"/>
      <c r="K183" s="6">
        <v>207</v>
      </c>
      <c r="L183" s="6">
        <v>21</v>
      </c>
      <c r="M183" s="6">
        <v>3</v>
      </c>
      <c r="N183" s="6" t="s">
        <v>3</v>
      </c>
      <c r="O183" s="6">
        <v>-1</v>
      </c>
      <c r="P183" s="6">
        <f>Source!DM161</f>
        <v>95.268624000000017</v>
      </c>
      <c r="Q183" s="6"/>
      <c r="R183" s="6"/>
      <c r="S183" s="6"/>
      <c r="T183" s="6"/>
      <c r="U183" s="6"/>
      <c r="V183" s="6"/>
      <c r="W183" s="6">
        <v>95.268624000000003</v>
      </c>
      <c r="X183" s="6">
        <v>1</v>
      </c>
      <c r="Y183" s="6">
        <v>95.268624000000003</v>
      </c>
      <c r="Z183" s="6">
        <v>95.268624000000003</v>
      </c>
      <c r="AA183" s="6">
        <v>1</v>
      </c>
      <c r="AB183" s="6">
        <v>95.268624000000003</v>
      </c>
    </row>
    <row r="184" spans="1:88" x14ac:dyDescent="0.3">
      <c r="A184" s="6">
        <v>50</v>
      </c>
      <c r="B184" s="6">
        <v>0</v>
      </c>
      <c r="C184" s="6">
        <v>0</v>
      </c>
      <c r="D184" s="6">
        <v>1</v>
      </c>
      <c r="E184" s="6">
        <v>208</v>
      </c>
      <c r="F184" s="6">
        <f>Source!V161</f>
        <v>0</v>
      </c>
      <c r="G184" s="6" t="s">
        <v>119</v>
      </c>
      <c r="H184" s="6" t="s">
        <v>120</v>
      </c>
      <c r="I184" s="6"/>
      <c r="J184" s="6"/>
      <c r="K184" s="6">
        <v>208</v>
      </c>
      <c r="L184" s="6">
        <v>22</v>
      </c>
      <c r="M184" s="6">
        <v>3</v>
      </c>
      <c r="N184" s="6" t="s">
        <v>3</v>
      </c>
      <c r="O184" s="6">
        <v>-1</v>
      </c>
      <c r="P184" s="6">
        <f>Source!DN161</f>
        <v>0</v>
      </c>
      <c r="Q184" s="6"/>
      <c r="R184" s="6"/>
      <c r="S184" s="6"/>
      <c r="T184" s="6"/>
      <c r="U184" s="6"/>
      <c r="V184" s="6"/>
      <c r="W184" s="6">
        <v>0</v>
      </c>
      <c r="X184" s="6">
        <v>1</v>
      </c>
      <c r="Y184" s="6">
        <v>0</v>
      </c>
      <c r="Z184" s="6">
        <v>0</v>
      </c>
      <c r="AA184" s="6">
        <v>1</v>
      </c>
      <c r="AB184" s="6">
        <v>0</v>
      </c>
    </row>
    <row r="185" spans="1:88" x14ac:dyDescent="0.3">
      <c r="A185" s="6">
        <v>50</v>
      </c>
      <c r="B185" s="6">
        <v>0</v>
      </c>
      <c r="C185" s="6">
        <v>0</v>
      </c>
      <c r="D185" s="6">
        <v>1</v>
      </c>
      <c r="E185" s="6">
        <v>209</v>
      </c>
      <c r="F185" s="6">
        <f>ROUND(Source!W161,O185)</f>
        <v>0</v>
      </c>
      <c r="G185" s="6" t="s">
        <v>121</v>
      </c>
      <c r="H185" s="6" t="s">
        <v>122</v>
      </c>
      <c r="I185" s="6"/>
      <c r="J185" s="6"/>
      <c r="K185" s="6">
        <v>209</v>
      </c>
      <c r="L185" s="6">
        <v>23</v>
      </c>
      <c r="M185" s="6">
        <v>3</v>
      </c>
      <c r="N185" s="6" t="s">
        <v>3</v>
      </c>
      <c r="O185" s="6">
        <v>2</v>
      </c>
      <c r="P185" s="6">
        <f>ROUND(Source!DO161,O185)</f>
        <v>0</v>
      </c>
      <c r="Q185" s="6"/>
      <c r="R185" s="6"/>
      <c r="S185" s="6"/>
      <c r="T185" s="6"/>
      <c r="U185" s="6"/>
      <c r="V185" s="6"/>
      <c r="W185" s="6">
        <v>0</v>
      </c>
      <c r="X185" s="6">
        <v>1</v>
      </c>
      <c r="Y185" s="6">
        <v>0</v>
      </c>
      <c r="Z185" s="6">
        <v>0</v>
      </c>
      <c r="AA185" s="6">
        <v>1</v>
      </c>
      <c r="AB185" s="6">
        <v>0</v>
      </c>
    </row>
    <row r="186" spans="1:88" x14ac:dyDescent="0.3">
      <c r="A186" s="6">
        <v>50</v>
      </c>
      <c r="B186" s="6">
        <v>0</v>
      </c>
      <c r="C186" s="6">
        <v>0</v>
      </c>
      <c r="D186" s="6">
        <v>1</v>
      </c>
      <c r="E186" s="6">
        <v>233</v>
      </c>
      <c r="F186" s="6">
        <f>ROUND(Source!BD161,O186)</f>
        <v>0</v>
      </c>
      <c r="G186" s="6" t="s">
        <v>123</v>
      </c>
      <c r="H186" s="6" t="s">
        <v>124</v>
      </c>
      <c r="I186" s="6"/>
      <c r="J186" s="6"/>
      <c r="K186" s="6">
        <v>233</v>
      </c>
      <c r="L186" s="6">
        <v>24</v>
      </c>
      <c r="M186" s="6">
        <v>3</v>
      </c>
      <c r="N186" s="6" t="s">
        <v>3</v>
      </c>
      <c r="O186" s="6">
        <v>2</v>
      </c>
      <c r="P186" s="6">
        <f>ROUND(Source!EV161,O186)</f>
        <v>0</v>
      </c>
      <c r="Q186" s="6"/>
      <c r="R186" s="6"/>
      <c r="S186" s="6"/>
      <c r="T186" s="6"/>
      <c r="U186" s="6"/>
      <c r="V186" s="6"/>
      <c r="W186" s="6">
        <v>0</v>
      </c>
      <c r="X186" s="6">
        <v>1</v>
      </c>
      <c r="Y186" s="6">
        <v>0</v>
      </c>
      <c r="Z186" s="6">
        <v>0</v>
      </c>
      <c r="AA186" s="6">
        <v>1</v>
      </c>
      <c r="AB186" s="6">
        <v>0</v>
      </c>
    </row>
    <row r="187" spans="1:88" x14ac:dyDescent="0.3">
      <c r="A187" s="6">
        <v>50</v>
      </c>
      <c r="B187" s="6">
        <v>0</v>
      </c>
      <c r="C187" s="6">
        <v>0</v>
      </c>
      <c r="D187" s="6">
        <v>1</v>
      </c>
      <c r="E187" s="6">
        <v>210</v>
      </c>
      <c r="F187" s="6">
        <f>ROUND(Source!X161,O187)</f>
        <v>1275.0899999999999</v>
      </c>
      <c r="G187" s="6" t="s">
        <v>125</v>
      </c>
      <c r="H187" s="6" t="s">
        <v>126</v>
      </c>
      <c r="I187" s="6"/>
      <c r="J187" s="6"/>
      <c r="K187" s="6">
        <v>210</v>
      </c>
      <c r="L187" s="6">
        <v>25</v>
      </c>
      <c r="M187" s="6">
        <v>3</v>
      </c>
      <c r="N187" s="6" t="s">
        <v>3</v>
      </c>
      <c r="O187" s="6">
        <v>2</v>
      </c>
      <c r="P187" s="6">
        <f>ROUND(Source!DP161,O187)</f>
        <v>70117.36</v>
      </c>
      <c r="Q187" s="6"/>
      <c r="R187" s="6"/>
      <c r="S187" s="6"/>
      <c r="T187" s="6"/>
      <c r="U187" s="6"/>
      <c r="V187" s="6"/>
      <c r="W187" s="6">
        <v>1275.0899999999999</v>
      </c>
      <c r="X187" s="6">
        <v>1</v>
      </c>
      <c r="Y187" s="6">
        <v>1275.0899999999999</v>
      </c>
      <c r="Z187" s="6">
        <v>70117.36</v>
      </c>
      <c r="AA187" s="6">
        <v>1</v>
      </c>
      <c r="AB187" s="6">
        <v>70117.36</v>
      </c>
    </row>
    <row r="188" spans="1:88" x14ac:dyDescent="0.3">
      <c r="A188" s="6">
        <v>50</v>
      </c>
      <c r="B188" s="6">
        <v>0</v>
      </c>
      <c r="C188" s="6">
        <v>0</v>
      </c>
      <c r="D188" s="6">
        <v>1</v>
      </c>
      <c r="E188" s="6">
        <v>211</v>
      </c>
      <c r="F188" s="6">
        <f>ROUND(Source!Y161,O188)</f>
        <v>651.71</v>
      </c>
      <c r="G188" s="6" t="s">
        <v>127</v>
      </c>
      <c r="H188" s="6" t="s">
        <v>128</v>
      </c>
      <c r="I188" s="6"/>
      <c r="J188" s="6"/>
      <c r="K188" s="6">
        <v>211</v>
      </c>
      <c r="L188" s="6">
        <v>26</v>
      </c>
      <c r="M188" s="6">
        <v>3</v>
      </c>
      <c r="N188" s="6" t="s">
        <v>3</v>
      </c>
      <c r="O188" s="6">
        <v>2</v>
      </c>
      <c r="P188" s="6">
        <f>ROUND(Source!DQ161,O188)</f>
        <v>35837.760000000002</v>
      </c>
      <c r="Q188" s="6"/>
      <c r="R188" s="6"/>
      <c r="S188" s="6"/>
      <c r="T188" s="6"/>
      <c r="U188" s="6"/>
      <c r="V188" s="6"/>
      <c r="W188" s="6">
        <v>651.71</v>
      </c>
      <c r="X188" s="6">
        <v>1</v>
      </c>
      <c r="Y188" s="6">
        <v>651.71</v>
      </c>
      <c r="Z188" s="6">
        <v>35837.760000000002</v>
      </c>
      <c r="AA188" s="6">
        <v>1</v>
      </c>
      <c r="AB188" s="6">
        <v>35837.760000000002</v>
      </c>
    </row>
    <row r="189" spans="1:88" x14ac:dyDescent="0.3">
      <c r="A189" s="6">
        <v>50</v>
      </c>
      <c r="B189" s="6">
        <v>0</v>
      </c>
      <c r="C189" s="6">
        <v>0</v>
      </c>
      <c r="D189" s="6">
        <v>1</v>
      </c>
      <c r="E189" s="6">
        <v>224</v>
      </c>
      <c r="F189" s="6">
        <f>ROUND(Source!AR161,O189)</f>
        <v>152644.88</v>
      </c>
      <c r="G189" s="6" t="s">
        <v>129</v>
      </c>
      <c r="H189" s="6" t="s">
        <v>130</v>
      </c>
      <c r="I189" s="6"/>
      <c r="J189" s="6"/>
      <c r="K189" s="6">
        <v>224</v>
      </c>
      <c r="L189" s="6">
        <v>27</v>
      </c>
      <c r="M189" s="6">
        <v>3</v>
      </c>
      <c r="N189" s="6" t="s">
        <v>3</v>
      </c>
      <c r="O189" s="6">
        <v>2</v>
      </c>
      <c r="P189" s="6">
        <f>ROUND(Source!EJ161,O189)</f>
        <v>1206706.47</v>
      </c>
      <c r="Q189" s="6"/>
      <c r="R189" s="6"/>
      <c r="S189" s="6"/>
      <c r="T189" s="6"/>
      <c r="U189" s="6"/>
      <c r="V189" s="6"/>
      <c r="W189" s="6">
        <v>152644.88</v>
      </c>
      <c r="X189" s="6">
        <v>1</v>
      </c>
      <c r="Y189" s="6">
        <v>152644.88</v>
      </c>
      <c r="Z189" s="6">
        <v>1206706.47</v>
      </c>
      <c r="AA189" s="6">
        <v>1</v>
      </c>
      <c r="AB189" s="6">
        <v>1206706.47</v>
      </c>
    </row>
    <row r="191" spans="1:88" x14ac:dyDescent="0.3">
      <c r="A191" s="1">
        <v>4</v>
      </c>
      <c r="B191" s="1">
        <v>1</v>
      </c>
      <c r="C191" s="1"/>
      <c r="D191" s="1">
        <f>ROW(A242)</f>
        <v>242</v>
      </c>
      <c r="E191" s="1"/>
      <c r="F191" s="1" t="s">
        <v>3</v>
      </c>
      <c r="G191" s="1" t="s">
        <v>186</v>
      </c>
      <c r="H191" s="1" t="s">
        <v>3</v>
      </c>
      <c r="I191" s="1">
        <v>0</v>
      </c>
      <c r="J191" s="1"/>
      <c r="K191" s="1">
        <v>-1</v>
      </c>
      <c r="L191" s="1"/>
      <c r="M191" s="1" t="s">
        <v>3</v>
      </c>
      <c r="N191" s="1"/>
      <c r="O191" s="1"/>
      <c r="P191" s="1"/>
      <c r="Q191" s="1"/>
      <c r="R191" s="1"/>
      <c r="S191" s="1">
        <v>0</v>
      </c>
      <c r="T191" s="1">
        <v>0</v>
      </c>
      <c r="U191" s="1" t="s">
        <v>3</v>
      </c>
      <c r="V191" s="1">
        <v>0</v>
      </c>
      <c r="W191" s="1"/>
      <c r="X191" s="1"/>
      <c r="Y191" s="1"/>
      <c r="Z191" s="1"/>
      <c r="AA191" s="1"/>
      <c r="AB191" s="1" t="s">
        <v>3</v>
      </c>
      <c r="AC191" s="1" t="s">
        <v>3</v>
      </c>
      <c r="AD191" s="1" t="s">
        <v>3</v>
      </c>
      <c r="AE191" s="1" t="s">
        <v>3</v>
      </c>
      <c r="AF191" s="1" t="s">
        <v>3</v>
      </c>
      <c r="AG191" s="1" t="s">
        <v>3</v>
      </c>
      <c r="AH191" s="1"/>
      <c r="AI191" s="1"/>
      <c r="AJ191" s="1"/>
      <c r="AK191" s="1"/>
      <c r="AL191" s="1"/>
      <c r="AM191" s="1"/>
      <c r="AN191" s="1"/>
      <c r="AO191" s="1"/>
      <c r="AP191" s="1" t="s">
        <v>3</v>
      </c>
      <c r="AQ191" s="1" t="s">
        <v>3</v>
      </c>
      <c r="AR191" s="1" t="s">
        <v>3</v>
      </c>
      <c r="AS191" s="1"/>
      <c r="AT191" s="1"/>
      <c r="AU191" s="1"/>
      <c r="AV191" s="1"/>
      <c r="AW191" s="1"/>
      <c r="AX191" s="1"/>
      <c r="AY191" s="1"/>
      <c r="AZ191" s="1" t="s">
        <v>3</v>
      </c>
      <c r="BA191" s="1"/>
      <c r="BB191" s="1" t="s">
        <v>3</v>
      </c>
      <c r="BC191" s="1" t="s">
        <v>3</v>
      </c>
      <c r="BD191" s="1" t="s">
        <v>3</v>
      </c>
      <c r="BE191" s="1" t="s">
        <v>3</v>
      </c>
      <c r="BF191" s="1" t="s">
        <v>3</v>
      </c>
      <c r="BG191" s="1" t="s">
        <v>3</v>
      </c>
      <c r="BH191" s="1" t="s">
        <v>3</v>
      </c>
      <c r="BI191" s="1" t="s">
        <v>3</v>
      </c>
      <c r="BJ191" s="1" t="s">
        <v>3</v>
      </c>
      <c r="BK191" s="1" t="s">
        <v>3</v>
      </c>
      <c r="BL191" s="1" t="s">
        <v>3</v>
      </c>
      <c r="BM191" s="1" t="s">
        <v>3</v>
      </c>
      <c r="BN191" s="1" t="s">
        <v>3</v>
      </c>
      <c r="BO191" s="1" t="s">
        <v>3</v>
      </c>
      <c r="BP191" s="1" t="s">
        <v>3</v>
      </c>
      <c r="BQ191" s="1"/>
      <c r="BR191" s="1"/>
      <c r="BS191" s="1"/>
      <c r="BT191" s="1"/>
      <c r="BU191" s="1"/>
      <c r="BV191" s="1"/>
      <c r="BW191" s="1"/>
      <c r="BX191" s="1">
        <v>0</v>
      </c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>
        <v>0</v>
      </c>
    </row>
    <row r="193" spans="1:255" x14ac:dyDescent="0.3">
      <c r="A193" s="4">
        <v>52</v>
      </c>
      <c r="B193" s="4">
        <f t="shared" ref="B193:G193" si="174">B242</f>
        <v>1</v>
      </c>
      <c r="C193" s="4">
        <f t="shared" si="174"/>
        <v>4</v>
      </c>
      <c r="D193" s="4">
        <f t="shared" si="174"/>
        <v>191</v>
      </c>
      <c r="E193" s="4">
        <f t="shared" si="174"/>
        <v>0</v>
      </c>
      <c r="F193" s="4" t="str">
        <f t="shared" si="174"/>
        <v/>
      </c>
      <c r="G193" s="4" t="str">
        <f t="shared" si="174"/>
        <v>Материалы</v>
      </c>
      <c r="H193" s="4"/>
      <c r="I193" s="4"/>
      <c r="J193" s="4"/>
      <c r="K193" s="4"/>
      <c r="L193" s="4"/>
      <c r="M193" s="4"/>
      <c r="N193" s="4"/>
      <c r="O193" s="4">
        <f t="shared" ref="O193:AT193" si="175">O242</f>
        <v>393162.97</v>
      </c>
      <c r="P193" s="4">
        <f t="shared" si="175"/>
        <v>381890.01</v>
      </c>
      <c r="Q193" s="4">
        <f t="shared" si="175"/>
        <v>1988.84</v>
      </c>
      <c r="R193" s="4">
        <f t="shared" si="175"/>
        <v>219.38</v>
      </c>
      <c r="S193" s="4">
        <f t="shared" si="175"/>
        <v>9284.1200000000008</v>
      </c>
      <c r="T193" s="4">
        <f t="shared" si="175"/>
        <v>0</v>
      </c>
      <c r="U193" s="4">
        <f t="shared" si="175"/>
        <v>774.58792785000003</v>
      </c>
      <c r="V193" s="4">
        <f t="shared" si="175"/>
        <v>0</v>
      </c>
      <c r="W193" s="4">
        <f t="shared" si="175"/>
        <v>0</v>
      </c>
      <c r="X193" s="4">
        <f t="shared" si="175"/>
        <v>8811.08</v>
      </c>
      <c r="Y193" s="4">
        <f t="shared" si="175"/>
        <v>4555.84</v>
      </c>
      <c r="Z193" s="4">
        <f t="shared" si="175"/>
        <v>0</v>
      </c>
      <c r="AA193" s="4">
        <f t="shared" si="175"/>
        <v>0</v>
      </c>
      <c r="AB193" s="4">
        <f t="shared" si="175"/>
        <v>393162.97</v>
      </c>
      <c r="AC193" s="4">
        <f t="shared" si="175"/>
        <v>381890.01</v>
      </c>
      <c r="AD193" s="4">
        <f t="shared" si="175"/>
        <v>1988.84</v>
      </c>
      <c r="AE193" s="4">
        <f t="shared" si="175"/>
        <v>219.38</v>
      </c>
      <c r="AF193" s="4">
        <f t="shared" si="175"/>
        <v>9284.1200000000008</v>
      </c>
      <c r="AG193" s="4">
        <f t="shared" si="175"/>
        <v>0</v>
      </c>
      <c r="AH193" s="4">
        <f t="shared" si="175"/>
        <v>774.58792785000003</v>
      </c>
      <c r="AI193" s="4">
        <f t="shared" si="175"/>
        <v>0</v>
      </c>
      <c r="AJ193" s="4">
        <f t="shared" si="175"/>
        <v>0</v>
      </c>
      <c r="AK193" s="4">
        <f t="shared" si="175"/>
        <v>8811.08</v>
      </c>
      <c r="AL193" s="4">
        <f t="shared" si="175"/>
        <v>4555.84</v>
      </c>
      <c r="AM193" s="4">
        <f t="shared" si="175"/>
        <v>0</v>
      </c>
      <c r="AN193" s="4">
        <f t="shared" si="175"/>
        <v>0</v>
      </c>
      <c r="AO193" s="4">
        <f t="shared" si="175"/>
        <v>0</v>
      </c>
      <c r="AP193" s="4">
        <f t="shared" si="175"/>
        <v>295626.57</v>
      </c>
      <c r="AQ193" s="4">
        <f t="shared" si="175"/>
        <v>0</v>
      </c>
      <c r="AR193" s="4">
        <f t="shared" si="175"/>
        <v>406529.89</v>
      </c>
      <c r="AS193" s="4">
        <f t="shared" si="175"/>
        <v>0</v>
      </c>
      <c r="AT193" s="4">
        <f t="shared" si="175"/>
        <v>110903.32</v>
      </c>
      <c r="AU193" s="4">
        <f t="shared" ref="AU193:BZ193" si="176">AU242</f>
        <v>0</v>
      </c>
      <c r="AV193" s="4">
        <f t="shared" si="176"/>
        <v>381890.01</v>
      </c>
      <c r="AW193" s="4">
        <f t="shared" si="176"/>
        <v>86263.44</v>
      </c>
      <c r="AX193" s="4">
        <f t="shared" si="176"/>
        <v>0</v>
      </c>
      <c r="AY193" s="4">
        <f t="shared" si="176"/>
        <v>86263.44</v>
      </c>
      <c r="AZ193" s="4">
        <f t="shared" si="176"/>
        <v>295626.57</v>
      </c>
      <c r="BA193" s="4">
        <f t="shared" si="176"/>
        <v>0</v>
      </c>
      <c r="BB193" s="4">
        <f t="shared" si="176"/>
        <v>0</v>
      </c>
      <c r="BC193" s="4">
        <f t="shared" si="176"/>
        <v>0</v>
      </c>
      <c r="BD193" s="4">
        <f t="shared" si="176"/>
        <v>0</v>
      </c>
      <c r="BE193" s="4">
        <f t="shared" si="176"/>
        <v>0</v>
      </c>
      <c r="BF193" s="4">
        <f t="shared" si="176"/>
        <v>0</v>
      </c>
      <c r="BG193" s="4">
        <f t="shared" si="176"/>
        <v>0</v>
      </c>
      <c r="BH193" s="4">
        <f t="shared" si="176"/>
        <v>0</v>
      </c>
      <c r="BI193" s="4">
        <f t="shared" si="176"/>
        <v>0</v>
      </c>
      <c r="BJ193" s="4">
        <f t="shared" si="176"/>
        <v>0</v>
      </c>
      <c r="BK193" s="4">
        <f t="shared" si="176"/>
        <v>0</v>
      </c>
      <c r="BL193" s="4">
        <f t="shared" si="176"/>
        <v>0</v>
      </c>
      <c r="BM193" s="4">
        <f t="shared" si="176"/>
        <v>0</v>
      </c>
      <c r="BN193" s="4">
        <f t="shared" si="176"/>
        <v>0</v>
      </c>
      <c r="BO193" s="4">
        <f t="shared" si="176"/>
        <v>0</v>
      </c>
      <c r="BP193" s="4">
        <f t="shared" si="176"/>
        <v>0</v>
      </c>
      <c r="BQ193" s="4">
        <f t="shared" si="176"/>
        <v>0</v>
      </c>
      <c r="BR193" s="4">
        <f t="shared" si="176"/>
        <v>0</v>
      </c>
      <c r="BS193" s="4">
        <f t="shared" si="176"/>
        <v>0</v>
      </c>
      <c r="BT193" s="4">
        <f t="shared" si="176"/>
        <v>0</v>
      </c>
      <c r="BU193" s="4">
        <f t="shared" si="176"/>
        <v>0</v>
      </c>
      <c r="BV193" s="4">
        <f t="shared" si="176"/>
        <v>0</v>
      </c>
      <c r="BW193" s="4">
        <f t="shared" si="176"/>
        <v>0</v>
      </c>
      <c r="BX193" s="4">
        <f t="shared" si="176"/>
        <v>0</v>
      </c>
      <c r="BY193" s="4">
        <f t="shared" si="176"/>
        <v>295626.57</v>
      </c>
      <c r="BZ193" s="4">
        <f t="shared" si="176"/>
        <v>0</v>
      </c>
      <c r="CA193" s="4">
        <f t="shared" ref="CA193:DF193" si="177">CA242</f>
        <v>406529.89</v>
      </c>
      <c r="CB193" s="4">
        <f t="shared" si="177"/>
        <v>0</v>
      </c>
      <c r="CC193" s="4">
        <f t="shared" si="177"/>
        <v>110903.32</v>
      </c>
      <c r="CD193" s="4">
        <f t="shared" si="177"/>
        <v>0</v>
      </c>
      <c r="CE193" s="4">
        <f t="shared" si="177"/>
        <v>381890.01</v>
      </c>
      <c r="CF193" s="4">
        <f t="shared" si="177"/>
        <v>86263.44</v>
      </c>
      <c r="CG193" s="4">
        <f t="shared" si="177"/>
        <v>0</v>
      </c>
      <c r="CH193" s="4">
        <f t="shared" si="177"/>
        <v>86263.44</v>
      </c>
      <c r="CI193" s="4">
        <f t="shared" si="177"/>
        <v>295626.57</v>
      </c>
      <c r="CJ193" s="4">
        <f t="shared" si="177"/>
        <v>0</v>
      </c>
      <c r="CK193" s="4">
        <f t="shared" si="177"/>
        <v>0</v>
      </c>
      <c r="CL193" s="4">
        <f t="shared" si="177"/>
        <v>0</v>
      </c>
      <c r="CM193" s="4">
        <f t="shared" si="177"/>
        <v>0</v>
      </c>
      <c r="CN193" s="4">
        <f t="shared" si="177"/>
        <v>0</v>
      </c>
      <c r="CO193" s="4">
        <f t="shared" si="177"/>
        <v>0</v>
      </c>
      <c r="CP193" s="4">
        <f t="shared" si="177"/>
        <v>0</v>
      </c>
      <c r="CQ193" s="4">
        <f t="shared" si="177"/>
        <v>0</v>
      </c>
      <c r="CR193" s="4">
        <f t="shared" si="177"/>
        <v>0</v>
      </c>
      <c r="CS193" s="4">
        <f t="shared" si="177"/>
        <v>0</v>
      </c>
      <c r="CT193" s="4">
        <f t="shared" si="177"/>
        <v>0</v>
      </c>
      <c r="CU193" s="4">
        <f t="shared" si="177"/>
        <v>0</v>
      </c>
      <c r="CV193" s="4">
        <f t="shared" si="177"/>
        <v>0</v>
      </c>
      <c r="CW193" s="4">
        <f t="shared" si="177"/>
        <v>0</v>
      </c>
      <c r="CX193" s="4">
        <f t="shared" si="177"/>
        <v>0</v>
      </c>
      <c r="CY193" s="4">
        <f t="shared" si="177"/>
        <v>0</v>
      </c>
      <c r="CZ193" s="4">
        <f t="shared" si="177"/>
        <v>0</v>
      </c>
      <c r="DA193" s="4">
        <f t="shared" si="177"/>
        <v>0</v>
      </c>
      <c r="DB193" s="4">
        <f t="shared" si="177"/>
        <v>0</v>
      </c>
      <c r="DC193" s="4">
        <f t="shared" si="177"/>
        <v>0</v>
      </c>
      <c r="DD193" s="4">
        <f t="shared" si="177"/>
        <v>0</v>
      </c>
      <c r="DE193" s="4">
        <f t="shared" si="177"/>
        <v>0</v>
      </c>
      <c r="DF193" s="4">
        <f t="shared" si="177"/>
        <v>0</v>
      </c>
      <c r="DG193" s="5">
        <f t="shared" ref="DG193:EL193" si="178">DG242</f>
        <v>3514533.46</v>
      </c>
      <c r="DH193" s="5">
        <f t="shared" si="178"/>
        <v>2973283.61</v>
      </c>
      <c r="DI193" s="5">
        <f t="shared" si="178"/>
        <v>30716.080000000002</v>
      </c>
      <c r="DJ193" s="5">
        <f t="shared" si="178"/>
        <v>12063.71</v>
      </c>
      <c r="DK193" s="5">
        <f t="shared" si="178"/>
        <v>510533.77</v>
      </c>
      <c r="DL193" s="5">
        <f t="shared" si="178"/>
        <v>0</v>
      </c>
      <c r="DM193" s="5">
        <f t="shared" si="178"/>
        <v>774.58792785000003</v>
      </c>
      <c r="DN193" s="5">
        <f t="shared" si="178"/>
        <v>0</v>
      </c>
      <c r="DO193" s="5">
        <f t="shared" si="178"/>
        <v>0</v>
      </c>
      <c r="DP193" s="5">
        <f t="shared" si="178"/>
        <v>484521.14</v>
      </c>
      <c r="DQ193" s="5">
        <f t="shared" si="178"/>
        <v>250525.84</v>
      </c>
      <c r="DR193" s="5">
        <f t="shared" si="178"/>
        <v>0</v>
      </c>
      <c r="DS193" s="5">
        <f t="shared" si="178"/>
        <v>0</v>
      </c>
      <c r="DT193" s="5">
        <f t="shared" si="178"/>
        <v>3514533.46</v>
      </c>
      <c r="DU193" s="5">
        <f t="shared" si="178"/>
        <v>2973283.61</v>
      </c>
      <c r="DV193" s="5">
        <f t="shared" si="178"/>
        <v>30716.080000000002</v>
      </c>
      <c r="DW193" s="5">
        <f t="shared" si="178"/>
        <v>12063.71</v>
      </c>
      <c r="DX193" s="5">
        <f t="shared" si="178"/>
        <v>510533.77</v>
      </c>
      <c r="DY193" s="5">
        <f t="shared" si="178"/>
        <v>0</v>
      </c>
      <c r="DZ193" s="5">
        <f t="shared" si="178"/>
        <v>774.58792785000003</v>
      </c>
      <c r="EA193" s="5">
        <f t="shared" si="178"/>
        <v>0</v>
      </c>
      <c r="EB193" s="5">
        <f t="shared" si="178"/>
        <v>0</v>
      </c>
      <c r="EC193" s="5">
        <f t="shared" si="178"/>
        <v>484521.14</v>
      </c>
      <c r="ED193" s="5">
        <f t="shared" si="178"/>
        <v>250525.84</v>
      </c>
      <c r="EE193" s="5">
        <f t="shared" si="178"/>
        <v>0</v>
      </c>
      <c r="EF193" s="5">
        <f t="shared" si="178"/>
        <v>0</v>
      </c>
      <c r="EG193" s="5">
        <f t="shared" si="178"/>
        <v>0</v>
      </c>
      <c r="EH193" s="5">
        <f t="shared" si="178"/>
        <v>2264499.5299999998</v>
      </c>
      <c r="EI193" s="5">
        <f t="shared" si="178"/>
        <v>0</v>
      </c>
      <c r="EJ193" s="5">
        <f t="shared" si="178"/>
        <v>4249580.4400000004</v>
      </c>
      <c r="EK193" s="5">
        <f t="shared" si="178"/>
        <v>0</v>
      </c>
      <c r="EL193" s="5">
        <f t="shared" si="178"/>
        <v>1985080.91</v>
      </c>
      <c r="EM193" s="5">
        <f t="shared" ref="EM193:FR193" si="179">EM242</f>
        <v>0</v>
      </c>
      <c r="EN193" s="5">
        <f t="shared" si="179"/>
        <v>2973283.61</v>
      </c>
      <c r="EO193" s="5">
        <f t="shared" si="179"/>
        <v>708784.08</v>
      </c>
      <c r="EP193" s="5">
        <f t="shared" si="179"/>
        <v>0</v>
      </c>
      <c r="EQ193" s="5">
        <f t="shared" si="179"/>
        <v>708784.08</v>
      </c>
      <c r="ER193" s="5">
        <f t="shared" si="179"/>
        <v>2264499.5299999998</v>
      </c>
      <c r="ES193" s="5">
        <f t="shared" si="179"/>
        <v>0</v>
      </c>
      <c r="ET193" s="5">
        <f t="shared" si="179"/>
        <v>0</v>
      </c>
      <c r="EU193" s="5">
        <f t="shared" si="179"/>
        <v>0</v>
      </c>
      <c r="EV193" s="5">
        <f t="shared" si="179"/>
        <v>0</v>
      </c>
      <c r="EW193" s="5">
        <f t="shared" si="179"/>
        <v>0</v>
      </c>
      <c r="EX193" s="5">
        <f t="shared" si="179"/>
        <v>0</v>
      </c>
      <c r="EY193" s="5">
        <f t="shared" si="179"/>
        <v>0</v>
      </c>
      <c r="EZ193" s="5">
        <f t="shared" si="179"/>
        <v>0</v>
      </c>
      <c r="FA193" s="5">
        <f t="shared" si="179"/>
        <v>0</v>
      </c>
      <c r="FB193" s="5">
        <f t="shared" si="179"/>
        <v>0</v>
      </c>
      <c r="FC193" s="5">
        <f t="shared" si="179"/>
        <v>0</v>
      </c>
      <c r="FD193" s="5">
        <f t="shared" si="179"/>
        <v>0</v>
      </c>
      <c r="FE193" s="5">
        <f t="shared" si="179"/>
        <v>0</v>
      </c>
      <c r="FF193" s="5">
        <f t="shared" si="179"/>
        <v>0</v>
      </c>
      <c r="FG193" s="5">
        <f t="shared" si="179"/>
        <v>0</v>
      </c>
      <c r="FH193" s="5">
        <f t="shared" si="179"/>
        <v>0</v>
      </c>
      <c r="FI193" s="5">
        <f t="shared" si="179"/>
        <v>0</v>
      </c>
      <c r="FJ193" s="5">
        <f t="shared" si="179"/>
        <v>0</v>
      </c>
      <c r="FK193" s="5">
        <f t="shared" si="179"/>
        <v>0</v>
      </c>
      <c r="FL193" s="5">
        <f t="shared" si="179"/>
        <v>0</v>
      </c>
      <c r="FM193" s="5">
        <f t="shared" si="179"/>
        <v>0</v>
      </c>
      <c r="FN193" s="5">
        <f t="shared" si="179"/>
        <v>0</v>
      </c>
      <c r="FO193" s="5">
        <f t="shared" si="179"/>
        <v>0</v>
      </c>
      <c r="FP193" s="5">
        <f t="shared" si="179"/>
        <v>0</v>
      </c>
      <c r="FQ193" s="5">
        <f t="shared" si="179"/>
        <v>2264499.5299999998</v>
      </c>
      <c r="FR193" s="5">
        <f t="shared" si="179"/>
        <v>0</v>
      </c>
      <c r="FS193" s="5">
        <f t="shared" ref="FS193:GX193" si="180">FS242</f>
        <v>4249580.4400000004</v>
      </c>
      <c r="FT193" s="5">
        <f t="shared" si="180"/>
        <v>0</v>
      </c>
      <c r="FU193" s="5">
        <f t="shared" si="180"/>
        <v>1985080.91</v>
      </c>
      <c r="FV193" s="5">
        <f t="shared" si="180"/>
        <v>0</v>
      </c>
      <c r="FW193" s="5">
        <f t="shared" si="180"/>
        <v>2973283.61</v>
      </c>
      <c r="FX193" s="5">
        <f t="shared" si="180"/>
        <v>708784.08000000007</v>
      </c>
      <c r="FY193" s="5">
        <f t="shared" si="180"/>
        <v>0</v>
      </c>
      <c r="FZ193" s="5">
        <f t="shared" si="180"/>
        <v>708784.08000000007</v>
      </c>
      <c r="GA193" s="5">
        <f t="shared" si="180"/>
        <v>2264499.5299999998</v>
      </c>
      <c r="GB193" s="5">
        <f t="shared" si="180"/>
        <v>0</v>
      </c>
      <c r="GC193" s="5">
        <f t="shared" si="180"/>
        <v>0</v>
      </c>
      <c r="GD193" s="5">
        <f t="shared" si="180"/>
        <v>0</v>
      </c>
      <c r="GE193" s="5">
        <f t="shared" si="180"/>
        <v>0</v>
      </c>
      <c r="GF193" s="5">
        <f t="shared" si="180"/>
        <v>0</v>
      </c>
      <c r="GG193" s="5">
        <f t="shared" si="180"/>
        <v>0</v>
      </c>
      <c r="GH193" s="5">
        <f t="shared" si="180"/>
        <v>0</v>
      </c>
      <c r="GI193" s="5">
        <f t="shared" si="180"/>
        <v>0</v>
      </c>
      <c r="GJ193" s="5">
        <f t="shared" si="180"/>
        <v>0</v>
      </c>
      <c r="GK193" s="5">
        <f t="shared" si="180"/>
        <v>0</v>
      </c>
      <c r="GL193" s="5">
        <f t="shared" si="180"/>
        <v>0</v>
      </c>
      <c r="GM193" s="5">
        <f t="shared" si="180"/>
        <v>0</v>
      </c>
      <c r="GN193" s="5">
        <f t="shared" si="180"/>
        <v>0</v>
      </c>
      <c r="GO193" s="5">
        <f t="shared" si="180"/>
        <v>0</v>
      </c>
      <c r="GP193" s="5">
        <f t="shared" si="180"/>
        <v>0</v>
      </c>
      <c r="GQ193" s="5">
        <f t="shared" si="180"/>
        <v>0</v>
      </c>
      <c r="GR193" s="5">
        <f t="shared" si="180"/>
        <v>0</v>
      </c>
      <c r="GS193" s="5">
        <f t="shared" si="180"/>
        <v>0</v>
      </c>
      <c r="GT193" s="5">
        <f t="shared" si="180"/>
        <v>0</v>
      </c>
      <c r="GU193" s="5">
        <f t="shared" si="180"/>
        <v>0</v>
      </c>
      <c r="GV193" s="5">
        <f t="shared" si="180"/>
        <v>0</v>
      </c>
      <c r="GW193" s="5">
        <f t="shared" si="180"/>
        <v>0</v>
      </c>
      <c r="GX193" s="5">
        <f t="shared" si="180"/>
        <v>0</v>
      </c>
    </row>
    <row r="195" spans="1:255" x14ac:dyDescent="0.3">
      <c r="A195" s="2">
        <v>17</v>
      </c>
      <c r="B195" s="2">
        <v>1</v>
      </c>
      <c r="C195" s="2"/>
      <c r="D195" s="2">
        <f>ROW(EtalonRes!A81)</f>
        <v>81</v>
      </c>
      <c r="E195" s="2" t="s">
        <v>187</v>
      </c>
      <c r="F195" s="2" t="s">
        <v>188</v>
      </c>
      <c r="G195" s="2" t="s">
        <v>189</v>
      </c>
      <c r="H195" s="2" t="s">
        <v>22</v>
      </c>
      <c r="I195" s="2">
        <f>ROUND(12+6+1+13+1,9)</f>
        <v>33</v>
      </c>
      <c r="J195" s="2">
        <v>0</v>
      </c>
      <c r="K195" s="2">
        <f>ROUND(12+6+1+13+1,9)</f>
        <v>33</v>
      </c>
      <c r="L195" s="2"/>
      <c r="M195" s="2"/>
      <c r="N195" s="2"/>
      <c r="O195" s="2">
        <f t="shared" ref="O195:O240" si="181">ROUND(CP195,2)</f>
        <v>1241.6600000000001</v>
      </c>
      <c r="P195" s="2">
        <f t="shared" ref="P195:P230" si="182">ROUND((ROUND((AC195*AW195*I195),2)*BC195),2)</f>
        <v>0</v>
      </c>
      <c r="Q195" s="2">
        <f>(ROUND((ROUND((((ET195*1.1))*AV195*I195),2)*BB195),2)+ROUND((ROUND(((AE195-((EU195*1.1)))*AV195*I195),2)*BS195),2))</f>
        <v>349.28</v>
      </c>
      <c r="R195" s="2">
        <f t="shared" ref="R195:R240" si="183">ROUND((ROUND((AE195*AV195*I195),2)*BS195),2)</f>
        <v>38.39</v>
      </c>
      <c r="S195" s="2">
        <f t="shared" ref="S195:S240" si="184">ROUND((ROUND((AF195*AV195*I195),2)*BA195),2)</f>
        <v>892.38</v>
      </c>
      <c r="T195" s="2">
        <f t="shared" ref="T195:T240" si="185">ROUND(CU195*I195,2)</f>
        <v>0</v>
      </c>
      <c r="U195" s="2">
        <f t="shared" ref="U195:U240" si="186">CV195*I195</f>
        <v>79.812810000000013</v>
      </c>
      <c r="V195" s="2">
        <f t="shared" ref="V195:V240" si="187">CW195*I195</f>
        <v>0</v>
      </c>
      <c r="W195" s="2">
        <f t="shared" ref="W195:W240" si="188">ROUND(CX195*I195,2)</f>
        <v>0</v>
      </c>
      <c r="X195" s="2">
        <f t="shared" ref="X195:X240" si="189">ROUND(CY195,2)</f>
        <v>837.69</v>
      </c>
      <c r="Y195" s="2">
        <f t="shared" ref="Y195:Y240" si="190">ROUND(CZ195,2)</f>
        <v>428.15</v>
      </c>
      <c r="Z195" s="2"/>
      <c r="AA195" s="2">
        <v>56505403</v>
      </c>
      <c r="AB195" s="2">
        <f t="shared" ref="AB195:AB240" si="191">ROUND((AC195+AD195+AF195),6)</f>
        <v>35.936999999999998</v>
      </c>
      <c r="AC195" s="2">
        <f t="shared" ref="AC195:AC240" si="192">ROUND((ES195),6)</f>
        <v>0</v>
      </c>
      <c r="AD195" s="2">
        <f>ROUND(((((ET195*1.1))-((EU195*1.1)))+AE195),6)</f>
        <v>10.109</v>
      </c>
      <c r="AE195" s="2">
        <f>ROUND(((EU195*1.1)),6)</f>
        <v>1.111</v>
      </c>
      <c r="AF195" s="2">
        <f>ROUND(((EV195*1.1)),6)</f>
        <v>25.827999999999999</v>
      </c>
      <c r="AG195" s="2">
        <f t="shared" ref="AG195:AG240" si="193">ROUND((AP195),6)</f>
        <v>0</v>
      </c>
      <c r="AH195" s="2">
        <f>((EW195*1.1))</f>
        <v>2.3100000000000005</v>
      </c>
      <c r="AI195" s="2">
        <f>((EX195*1.1))</f>
        <v>0</v>
      </c>
      <c r="AJ195" s="2">
        <f t="shared" ref="AJ195:AJ240" si="194">(AS195)</f>
        <v>0</v>
      </c>
      <c r="AK195" s="2">
        <v>32.67</v>
      </c>
      <c r="AL195" s="2">
        <v>0</v>
      </c>
      <c r="AM195" s="2">
        <v>9.19</v>
      </c>
      <c r="AN195" s="2">
        <v>1.01</v>
      </c>
      <c r="AO195" s="2">
        <v>23.48</v>
      </c>
      <c r="AP195" s="2">
        <v>0</v>
      </c>
      <c r="AQ195" s="2">
        <v>2.1</v>
      </c>
      <c r="AR195" s="2">
        <v>0</v>
      </c>
      <c r="AS195" s="2">
        <v>0</v>
      </c>
      <c r="AT195" s="2">
        <v>90</v>
      </c>
      <c r="AU195" s="2">
        <v>46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190</v>
      </c>
      <c r="BK195" s="2"/>
      <c r="BL195" s="2"/>
      <c r="BM195" s="2">
        <v>68</v>
      </c>
      <c r="BN195" s="2">
        <v>0</v>
      </c>
      <c r="BO195" s="2" t="s">
        <v>188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90</v>
      </c>
      <c r="CA195" s="2">
        <v>46</v>
      </c>
      <c r="CB195" s="2" t="s">
        <v>3</v>
      </c>
      <c r="CC195" s="2"/>
      <c r="CD195" s="2"/>
      <c r="CE195" s="2">
        <v>30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</v>
      </c>
      <c r="CO195" s="2">
        <v>0</v>
      </c>
      <c r="CP195" s="2">
        <f t="shared" ref="CP195:CP240" si="195">(P195+Q195+S195)</f>
        <v>1241.6599999999999</v>
      </c>
      <c r="CQ195" s="2">
        <f t="shared" ref="CQ195:CQ230" si="196">ROUND((ROUND((AC195*AW195*1),2)*BC195),2)</f>
        <v>0</v>
      </c>
      <c r="CR195" s="2">
        <f>(ROUND((ROUND((((ET195*1.1))*AV195*1),2)*BB195),2)+ROUND((ROUND(((AE195-((EU195*1.1)))*AV195*1),2)*BS195),2))</f>
        <v>10.58</v>
      </c>
      <c r="CS195" s="2">
        <f t="shared" ref="CS195:CS240" si="197">ROUND((ROUND((AE195*AV195*1),2)*BS195),2)</f>
        <v>1.1599999999999999</v>
      </c>
      <c r="CT195" s="2">
        <f t="shared" ref="CT195:CT240" si="198">ROUND((ROUND((AF195*AV195*1),2)*BA195),2)</f>
        <v>27.04</v>
      </c>
      <c r="CU195" s="2">
        <f t="shared" ref="CU195:CU240" si="199">AG195</f>
        <v>0</v>
      </c>
      <c r="CV195" s="2">
        <f t="shared" ref="CV195:CV240" si="200">(AH195*AV195)</f>
        <v>2.4185700000000003</v>
      </c>
      <c r="CW195" s="2">
        <f t="shared" ref="CW195:CW240" si="201">AI195</f>
        <v>0</v>
      </c>
      <c r="CX195" s="2">
        <f t="shared" ref="CX195:CX240" si="202">AJ195</f>
        <v>0</v>
      </c>
      <c r="CY195" s="2">
        <f t="shared" ref="CY195:CY240" si="203">(((S195+R195)*AT195)/100)</f>
        <v>837.69299999999998</v>
      </c>
      <c r="CZ195" s="2">
        <f t="shared" ref="CZ195:CZ240" si="204">(((S195+R195)*AU195)/100)</f>
        <v>428.1542</v>
      </c>
      <c r="DA195" s="2"/>
      <c r="DB195" s="2"/>
      <c r="DC195" s="2" t="s">
        <v>3</v>
      </c>
      <c r="DD195" s="2" t="s">
        <v>3</v>
      </c>
      <c r="DE195" s="2" t="s">
        <v>24</v>
      </c>
      <c r="DF195" s="2" t="s">
        <v>24</v>
      </c>
      <c r="DG195" s="2" t="s">
        <v>24</v>
      </c>
      <c r="DH195" s="2" t="s">
        <v>3</v>
      </c>
      <c r="DI195" s="2" t="s">
        <v>24</v>
      </c>
      <c r="DJ195" s="2" t="s">
        <v>24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22</v>
      </c>
      <c r="DW195" s="2" t="s">
        <v>22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58162630</v>
      </c>
      <c r="EF195" s="2">
        <v>40</v>
      </c>
      <c r="EG195" s="2" t="s">
        <v>25</v>
      </c>
      <c r="EH195" s="2">
        <v>0</v>
      </c>
      <c r="EI195" s="2" t="s">
        <v>3</v>
      </c>
      <c r="EJ195" s="2">
        <v>2</v>
      </c>
      <c r="EK195" s="2">
        <v>68</v>
      </c>
      <c r="EL195" s="2" t="s">
        <v>26</v>
      </c>
      <c r="EM195" s="2" t="s">
        <v>27</v>
      </c>
      <c r="EN195" s="2"/>
      <c r="EO195" s="2" t="s">
        <v>28</v>
      </c>
      <c r="EP195" s="2"/>
      <c r="EQ195" s="2">
        <v>0</v>
      </c>
      <c r="ER195" s="2">
        <v>32.67</v>
      </c>
      <c r="ES195" s="2">
        <v>0</v>
      </c>
      <c r="ET195" s="2">
        <v>9.19</v>
      </c>
      <c r="EU195" s="2">
        <v>1.01</v>
      </c>
      <c r="EV195" s="2">
        <v>23.48</v>
      </c>
      <c r="EW195" s="2">
        <v>2.1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90</v>
      </c>
      <c r="FY195" s="2">
        <v>46</v>
      </c>
      <c r="FZ195" s="2"/>
      <c r="GA195" s="2" t="s">
        <v>3</v>
      </c>
      <c r="GB195" s="2"/>
      <c r="GC195" s="2"/>
      <c r="GD195" s="2">
        <v>1</v>
      </c>
      <c r="GE195" s="2"/>
      <c r="GF195" s="2">
        <v>329085480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ref="GL195:GL240" si="205">ROUND(IF(AND(BH195=3,BI195=3,FS195&lt;&gt;0),P195,0),2)</f>
        <v>0</v>
      </c>
      <c r="GM195" s="2">
        <f t="shared" ref="GM195:GM240" si="206">ROUND(O195+X195+Y195,2)+GX195</f>
        <v>2507.5</v>
      </c>
      <c r="GN195" s="2">
        <f t="shared" ref="GN195:GN240" si="207">IF(OR(BI195=0,BI195=1),GM195-GX195,0)</f>
        <v>0</v>
      </c>
      <c r="GO195" s="2">
        <f t="shared" ref="GO195:GO240" si="208">IF(BI195=2,GM195-GX195,0)</f>
        <v>2507.5</v>
      </c>
      <c r="GP195" s="2">
        <f t="shared" ref="GP195:GP240" si="209">IF(BI195=4,GM195-GX195,0)</f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ref="GV195:GV240" si="210">ROUND((GT195),6)</f>
        <v>0</v>
      </c>
      <c r="GW195" s="2">
        <v>1</v>
      </c>
      <c r="GX195" s="2">
        <f t="shared" ref="GX195:GX240" si="211">ROUND(HC195*I195,2)</f>
        <v>0</v>
      </c>
      <c r="GY195" s="2"/>
      <c r="GZ195" s="2"/>
      <c r="HA195" s="2">
        <v>0</v>
      </c>
      <c r="HB195" s="2">
        <v>0</v>
      </c>
      <c r="HC195" s="2">
        <f t="shared" ref="HC195:HC240" si="212">GV195*GW195</f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3">
      <c r="A196" s="3">
        <v>17</v>
      </c>
      <c r="B196" s="3">
        <v>1</v>
      </c>
      <c r="C196" s="3"/>
      <c r="D196" s="3">
        <f>ROW(EtalonRes!A84)</f>
        <v>84</v>
      </c>
      <c r="E196" s="3" t="s">
        <v>187</v>
      </c>
      <c r="F196" s="3" t="s">
        <v>188</v>
      </c>
      <c r="G196" s="3" t="s">
        <v>189</v>
      </c>
      <c r="H196" s="3" t="s">
        <v>22</v>
      </c>
      <c r="I196" s="3">
        <f>ROUND(12+6+1+13+1,9)</f>
        <v>33</v>
      </c>
      <c r="J196" s="3">
        <v>0</v>
      </c>
      <c r="K196" s="3">
        <f>ROUND(12+6+1+13+1,9)</f>
        <v>33</v>
      </c>
      <c r="L196" s="3"/>
      <c r="M196" s="3"/>
      <c r="N196" s="3"/>
      <c r="O196" s="3">
        <f t="shared" si="181"/>
        <v>54468.36</v>
      </c>
      <c r="P196" s="3">
        <f t="shared" si="182"/>
        <v>0</v>
      </c>
      <c r="Q196" s="3">
        <f>(ROUND((ROUND((((ET196*1.1))*AV196*I196),2)*BB196),2)+ROUND((ROUND(((AE196-((EU196*1.1)))*AV196*I196),2)*BS196),2))</f>
        <v>5396.38</v>
      </c>
      <c r="R196" s="3">
        <f t="shared" si="183"/>
        <v>2111.0700000000002</v>
      </c>
      <c r="S196" s="3">
        <f t="shared" si="184"/>
        <v>49071.98</v>
      </c>
      <c r="T196" s="3">
        <f t="shared" si="185"/>
        <v>0</v>
      </c>
      <c r="U196" s="3">
        <f t="shared" si="186"/>
        <v>79.812810000000013</v>
      </c>
      <c r="V196" s="3">
        <f t="shared" si="187"/>
        <v>0</v>
      </c>
      <c r="W196" s="3">
        <f t="shared" si="188"/>
        <v>0</v>
      </c>
      <c r="X196" s="3">
        <f t="shared" si="189"/>
        <v>46064.75</v>
      </c>
      <c r="Y196" s="3">
        <f t="shared" si="190"/>
        <v>23544.2</v>
      </c>
      <c r="Z196" s="3"/>
      <c r="AA196" s="3">
        <v>56505405</v>
      </c>
      <c r="AB196" s="3">
        <f t="shared" si="191"/>
        <v>35.936999999999998</v>
      </c>
      <c r="AC196" s="3">
        <f t="shared" si="192"/>
        <v>0</v>
      </c>
      <c r="AD196" s="3">
        <f>ROUND(((((ET196*1.1))-((EU196*1.1)))+AE196),6)</f>
        <v>10.109</v>
      </c>
      <c r="AE196" s="3">
        <f>ROUND(((EU196*1.1)),6)</f>
        <v>1.111</v>
      </c>
      <c r="AF196" s="3">
        <f>ROUND(((EV196*1.1)),6)</f>
        <v>25.827999999999999</v>
      </c>
      <c r="AG196" s="3">
        <f t="shared" si="193"/>
        <v>0</v>
      </c>
      <c r="AH196" s="3">
        <f>((EW196*1.1))</f>
        <v>2.3100000000000005</v>
      </c>
      <c r="AI196" s="3">
        <f>((EX196*1.1))</f>
        <v>0</v>
      </c>
      <c r="AJ196" s="3">
        <f t="shared" si="194"/>
        <v>0</v>
      </c>
      <c r="AK196" s="3">
        <v>32.67</v>
      </c>
      <c r="AL196" s="3">
        <v>0</v>
      </c>
      <c r="AM196" s="3">
        <v>9.19</v>
      </c>
      <c r="AN196" s="3">
        <v>1.01</v>
      </c>
      <c r="AO196" s="3">
        <v>23.48</v>
      </c>
      <c r="AP196" s="3">
        <v>0</v>
      </c>
      <c r="AQ196" s="3">
        <v>2.1</v>
      </c>
      <c r="AR196" s="3">
        <v>0</v>
      </c>
      <c r="AS196" s="3">
        <v>0</v>
      </c>
      <c r="AT196" s="3">
        <v>90</v>
      </c>
      <c r="AU196" s="3">
        <v>46</v>
      </c>
      <c r="AV196" s="3">
        <v>1.0469999999999999</v>
      </c>
      <c r="AW196" s="3">
        <v>1</v>
      </c>
      <c r="AX196" s="3"/>
      <c r="AY196" s="3"/>
      <c r="AZ196" s="3">
        <v>1</v>
      </c>
      <c r="BA196" s="3">
        <v>54.99</v>
      </c>
      <c r="BB196" s="3">
        <v>15.45</v>
      </c>
      <c r="BC196" s="3">
        <v>1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190</v>
      </c>
      <c r="BK196" s="3"/>
      <c r="BL196" s="3"/>
      <c r="BM196" s="3">
        <v>68</v>
      </c>
      <c r="BN196" s="3">
        <v>0</v>
      </c>
      <c r="BO196" s="3" t="s">
        <v>188</v>
      </c>
      <c r="BP196" s="3">
        <v>1</v>
      </c>
      <c r="BQ196" s="3">
        <v>40</v>
      </c>
      <c r="BR196" s="3">
        <v>0</v>
      </c>
      <c r="BS196" s="3">
        <v>54.99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90</v>
      </c>
      <c r="CA196" s="3">
        <v>46</v>
      </c>
      <c r="CB196" s="3" t="s">
        <v>3</v>
      </c>
      <c r="CC196" s="3"/>
      <c r="CD196" s="3"/>
      <c r="CE196" s="3">
        <v>30</v>
      </c>
      <c r="CF196" s="3">
        <v>0</v>
      </c>
      <c r="CG196" s="3">
        <v>0</v>
      </c>
      <c r="CH196" s="3"/>
      <c r="CI196" s="3"/>
      <c r="CJ196" s="3"/>
      <c r="CK196" s="3"/>
      <c r="CL196" s="3"/>
      <c r="CM196" s="3">
        <v>0</v>
      </c>
      <c r="CN196" s="3" t="s">
        <v>3</v>
      </c>
      <c r="CO196" s="3">
        <v>0</v>
      </c>
      <c r="CP196" s="3">
        <f t="shared" si="195"/>
        <v>54468.36</v>
      </c>
      <c r="CQ196" s="3">
        <f t="shared" si="196"/>
        <v>0</v>
      </c>
      <c r="CR196" s="3">
        <f>(ROUND((ROUND((((ET196*1.1))*AV196*1),2)*BB196),2)+ROUND((ROUND(((AE196-((EU196*1.1)))*AV196*1),2)*BS196),2))</f>
        <v>163.46</v>
      </c>
      <c r="CS196" s="3">
        <f t="shared" si="197"/>
        <v>63.79</v>
      </c>
      <c r="CT196" s="3">
        <f t="shared" si="198"/>
        <v>1486.93</v>
      </c>
      <c r="CU196" s="3">
        <f t="shared" si="199"/>
        <v>0</v>
      </c>
      <c r="CV196" s="3">
        <f t="shared" si="200"/>
        <v>2.4185700000000003</v>
      </c>
      <c r="CW196" s="3">
        <f t="shared" si="201"/>
        <v>0</v>
      </c>
      <c r="CX196" s="3">
        <f t="shared" si="202"/>
        <v>0</v>
      </c>
      <c r="CY196" s="3">
        <f t="shared" si="203"/>
        <v>46064.745000000003</v>
      </c>
      <c r="CZ196" s="3">
        <f t="shared" si="204"/>
        <v>23544.203000000001</v>
      </c>
      <c r="DA196" s="3"/>
      <c r="DB196" s="3"/>
      <c r="DC196" s="3" t="s">
        <v>3</v>
      </c>
      <c r="DD196" s="3" t="s">
        <v>3</v>
      </c>
      <c r="DE196" s="3" t="s">
        <v>24</v>
      </c>
      <c r="DF196" s="3" t="s">
        <v>24</v>
      </c>
      <c r="DG196" s="3" t="s">
        <v>24</v>
      </c>
      <c r="DH196" s="3" t="s">
        <v>3</v>
      </c>
      <c r="DI196" s="3" t="s">
        <v>24</v>
      </c>
      <c r="DJ196" s="3" t="s">
        <v>24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R196" s="3"/>
      <c r="DS196" s="3"/>
      <c r="DT196" s="3"/>
      <c r="DU196" s="3">
        <v>1013</v>
      </c>
      <c r="DV196" s="3" t="s">
        <v>22</v>
      </c>
      <c r="DW196" s="3" t="s">
        <v>22</v>
      </c>
      <c r="DX196" s="3">
        <v>1</v>
      </c>
      <c r="DY196" s="3"/>
      <c r="DZ196" s="3" t="s">
        <v>3</v>
      </c>
      <c r="EA196" s="3" t="s">
        <v>3</v>
      </c>
      <c r="EB196" s="3" t="s">
        <v>3</v>
      </c>
      <c r="EC196" s="3" t="s">
        <v>3</v>
      </c>
      <c r="ED196" s="3"/>
      <c r="EE196" s="3">
        <v>58162630</v>
      </c>
      <c r="EF196" s="3">
        <v>40</v>
      </c>
      <c r="EG196" s="3" t="s">
        <v>25</v>
      </c>
      <c r="EH196" s="3">
        <v>0</v>
      </c>
      <c r="EI196" s="3" t="s">
        <v>3</v>
      </c>
      <c r="EJ196" s="3">
        <v>2</v>
      </c>
      <c r="EK196" s="3">
        <v>68</v>
      </c>
      <c r="EL196" s="3" t="s">
        <v>26</v>
      </c>
      <c r="EM196" s="3" t="s">
        <v>27</v>
      </c>
      <c r="EN196" s="3"/>
      <c r="EO196" s="3" t="s">
        <v>28</v>
      </c>
      <c r="EP196" s="3"/>
      <c r="EQ196" s="3">
        <v>0</v>
      </c>
      <c r="ER196" s="3">
        <v>32.67</v>
      </c>
      <c r="ES196" s="3">
        <v>0</v>
      </c>
      <c r="ET196" s="3">
        <v>9.19</v>
      </c>
      <c r="EU196" s="3">
        <v>1.01</v>
      </c>
      <c r="EV196" s="3">
        <v>23.48</v>
      </c>
      <c r="EW196" s="3">
        <v>2.1</v>
      </c>
      <c r="EX196" s="3">
        <v>0</v>
      </c>
      <c r="EY196" s="3">
        <v>0</v>
      </c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>
        <v>0</v>
      </c>
      <c r="FR196" s="3">
        <v>0</v>
      </c>
      <c r="FS196" s="3">
        <v>0</v>
      </c>
      <c r="FT196" s="3"/>
      <c r="FU196" s="3"/>
      <c r="FV196" s="3"/>
      <c r="FW196" s="3"/>
      <c r="FX196" s="3">
        <v>90</v>
      </c>
      <c r="FY196" s="3">
        <v>46</v>
      </c>
      <c r="FZ196" s="3"/>
      <c r="GA196" s="3" t="s">
        <v>3</v>
      </c>
      <c r="GB196" s="3"/>
      <c r="GC196" s="3"/>
      <c r="GD196" s="3">
        <v>1</v>
      </c>
      <c r="GE196" s="3"/>
      <c r="GF196" s="3">
        <v>329085480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205"/>
        <v>0</v>
      </c>
      <c r="GM196" s="3">
        <f t="shared" si="206"/>
        <v>124077.31</v>
      </c>
      <c r="GN196" s="3">
        <f t="shared" si="207"/>
        <v>0</v>
      </c>
      <c r="GO196" s="3">
        <f t="shared" si="208"/>
        <v>124077.31</v>
      </c>
      <c r="GP196" s="3">
        <f t="shared" si="209"/>
        <v>0</v>
      </c>
      <c r="GQ196" s="3"/>
      <c r="GR196" s="3">
        <v>0</v>
      </c>
      <c r="GS196" s="3">
        <v>3</v>
      </c>
      <c r="GT196" s="3">
        <v>0</v>
      </c>
      <c r="GU196" s="3" t="s">
        <v>3</v>
      </c>
      <c r="GV196" s="3">
        <f t="shared" si="210"/>
        <v>0</v>
      </c>
      <c r="GW196" s="3">
        <v>1</v>
      </c>
      <c r="GX196" s="3">
        <f t="shared" si="211"/>
        <v>0</v>
      </c>
      <c r="GY196" s="3"/>
      <c r="GZ196" s="3"/>
      <c r="HA196" s="3">
        <v>0</v>
      </c>
      <c r="HB196" s="3">
        <v>0</v>
      </c>
      <c r="HC196" s="3">
        <f t="shared" si="212"/>
        <v>0</v>
      </c>
      <c r="HD196" s="3"/>
      <c r="HE196" s="3" t="s">
        <v>3</v>
      </c>
      <c r="HF196" s="3" t="s">
        <v>3</v>
      </c>
      <c r="HG196" s="3"/>
      <c r="HH196" s="3"/>
      <c r="HI196" s="3"/>
      <c r="HJ196" s="3"/>
      <c r="HK196" s="3"/>
      <c r="HL196" s="3"/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R196" s="3"/>
      <c r="HS196" s="3">
        <v>0</v>
      </c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>
        <v>0</v>
      </c>
      <c r="IL196" s="3"/>
      <c r="IM196" s="3"/>
      <c r="IN196" s="3"/>
      <c r="IO196" s="3"/>
      <c r="IP196" s="3"/>
      <c r="IQ196" s="3"/>
      <c r="IR196" s="3"/>
      <c r="IS196" s="3"/>
      <c r="IT196" s="3"/>
      <c r="IU196" s="3"/>
    </row>
    <row r="197" spans="1:255" x14ac:dyDescent="0.3">
      <c r="A197" s="2">
        <v>18</v>
      </c>
      <c r="B197" s="2">
        <v>1</v>
      </c>
      <c r="C197" s="2"/>
      <c r="D197" s="2"/>
      <c r="E197" s="2" t="s">
        <v>191</v>
      </c>
      <c r="F197" s="2" t="s">
        <v>192</v>
      </c>
      <c r="G197" s="2" t="s">
        <v>193</v>
      </c>
      <c r="H197" s="2" t="s">
        <v>32</v>
      </c>
      <c r="I197" s="2">
        <f>I195*J197</f>
        <v>12</v>
      </c>
      <c r="J197" s="2">
        <v>0.36363636363636365</v>
      </c>
      <c r="K197" s="2">
        <v>0.36363635999999999</v>
      </c>
      <c r="L197" s="2"/>
      <c r="M197" s="2"/>
      <c r="N197" s="2"/>
      <c r="O197" s="2">
        <f t="shared" si="181"/>
        <v>6904.56</v>
      </c>
      <c r="P197" s="2">
        <f t="shared" si="182"/>
        <v>6904.56</v>
      </c>
      <c r="Q197" s="2">
        <f t="shared" ref="Q197:Q208" si="213">(ROUND((ROUND(((ET197)*AV197*I197),2)*BB197),2)+ROUND((ROUND(((AE197-(EU197))*AV197*I197),2)*BS197),2))</f>
        <v>0</v>
      </c>
      <c r="R197" s="2">
        <f t="shared" si="183"/>
        <v>0</v>
      </c>
      <c r="S197" s="2">
        <f t="shared" si="184"/>
        <v>0</v>
      </c>
      <c r="T197" s="2">
        <f t="shared" si="185"/>
        <v>0</v>
      </c>
      <c r="U197" s="2">
        <f t="shared" si="186"/>
        <v>0</v>
      </c>
      <c r="V197" s="2">
        <f t="shared" si="187"/>
        <v>0</v>
      </c>
      <c r="W197" s="2">
        <f t="shared" si="188"/>
        <v>0</v>
      </c>
      <c r="X197" s="2">
        <f t="shared" si="189"/>
        <v>0</v>
      </c>
      <c r="Y197" s="2">
        <f t="shared" si="190"/>
        <v>0</v>
      </c>
      <c r="Z197" s="2"/>
      <c r="AA197" s="2">
        <v>56505403</v>
      </c>
      <c r="AB197" s="2">
        <f t="shared" si="191"/>
        <v>575.38</v>
      </c>
      <c r="AC197" s="2">
        <f t="shared" si="192"/>
        <v>575.38</v>
      </c>
      <c r="AD197" s="2">
        <f t="shared" ref="AD197:AD208" si="214">ROUND((((ET197)-(EU197))+AE197),6)</f>
        <v>0</v>
      </c>
      <c r="AE197" s="2">
        <f t="shared" ref="AE197:AE208" si="215">ROUND((EU197),6)</f>
        <v>0</v>
      </c>
      <c r="AF197" s="2">
        <f t="shared" ref="AF197:AF208" si="216">ROUND((EV197),6)</f>
        <v>0</v>
      </c>
      <c r="AG197" s="2">
        <f t="shared" si="193"/>
        <v>0</v>
      </c>
      <c r="AH197" s="2">
        <f t="shared" ref="AH197:AH208" si="217">(EW197)</f>
        <v>0</v>
      </c>
      <c r="AI197" s="2">
        <f t="shared" ref="AI197:AI208" si="218">(EX197)</f>
        <v>0</v>
      </c>
      <c r="AJ197" s="2">
        <f t="shared" si="194"/>
        <v>0</v>
      </c>
      <c r="AK197" s="2">
        <v>575.38</v>
      </c>
      <c r="AL197" s="2">
        <v>575.38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90</v>
      </c>
      <c r="AU197" s="2">
        <v>46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2</v>
      </c>
      <c r="BJ197" s="2" t="s">
        <v>3</v>
      </c>
      <c r="BK197" s="2"/>
      <c r="BL197" s="2"/>
      <c r="BM197" s="2">
        <v>68</v>
      </c>
      <c r="BN197" s="2">
        <v>0</v>
      </c>
      <c r="BO197" s="2" t="s">
        <v>3</v>
      </c>
      <c r="BP197" s="2">
        <v>0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90</v>
      </c>
      <c r="CA197" s="2">
        <v>46</v>
      </c>
      <c r="CB197" s="2" t="s">
        <v>3</v>
      </c>
      <c r="CC197" s="2"/>
      <c r="CD197" s="2"/>
      <c r="CE197" s="2">
        <v>30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195"/>
        <v>6904.56</v>
      </c>
      <c r="CQ197" s="2">
        <f t="shared" si="196"/>
        <v>575.38</v>
      </c>
      <c r="CR197" s="2">
        <f t="shared" ref="CR197:CR208" si="219">(ROUND((ROUND(((ET197)*AV197*1),2)*BB197),2)+ROUND((ROUND(((AE197-(EU197))*AV197*1),2)*BS197),2))</f>
        <v>0</v>
      </c>
      <c r="CS197" s="2">
        <f t="shared" si="197"/>
        <v>0</v>
      </c>
      <c r="CT197" s="2">
        <f t="shared" si="198"/>
        <v>0</v>
      </c>
      <c r="CU197" s="2">
        <f t="shared" si="199"/>
        <v>0</v>
      </c>
      <c r="CV197" s="2">
        <f t="shared" si="200"/>
        <v>0</v>
      </c>
      <c r="CW197" s="2">
        <f t="shared" si="201"/>
        <v>0</v>
      </c>
      <c r="CX197" s="2">
        <f t="shared" si="202"/>
        <v>0</v>
      </c>
      <c r="CY197" s="2">
        <f t="shared" si="203"/>
        <v>0</v>
      </c>
      <c r="CZ197" s="2">
        <f t="shared" si="204"/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32</v>
      </c>
      <c r="DW197" s="2" t="s">
        <v>32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58162630</v>
      </c>
      <c r="EF197" s="2">
        <v>40</v>
      </c>
      <c r="EG197" s="2" t="s">
        <v>25</v>
      </c>
      <c r="EH197" s="2">
        <v>0</v>
      </c>
      <c r="EI197" s="2" t="s">
        <v>3</v>
      </c>
      <c r="EJ197" s="2">
        <v>2</v>
      </c>
      <c r="EK197" s="2">
        <v>68</v>
      </c>
      <c r="EL197" s="2" t="s">
        <v>26</v>
      </c>
      <c r="EM197" s="2" t="s">
        <v>27</v>
      </c>
      <c r="EN197" s="2"/>
      <c r="EO197" s="2" t="s">
        <v>3</v>
      </c>
      <c r="EP197" s="2"/>
      <c r="EQ197" s="2">
        <v>0</v>
      </c>
      <c r="ER197" s="2">
        <v>0</v>
      </c>
      <c r="ES197" s="2">
        <v>575.38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90</v>
      </c>
      <c r="FY197" s="2">
        <v>46</v>
      </c>
      <c r="FZ197" s="2"/>
      <c r="GA197" s="2" t="s">
        <v>194</v>
      </c>
      <c r="GB197" s="2"/>
      <c r="GC197" s="2"/>
      <c r="GD197" s="2">
        <v>1</v>
      </c>
      <c r="GE197" s="2"/>
      <c r="GF197" s="2">
        <v>-1833629962</v>
      </c>
      <c r="GG197" s="2">
        <v>2</v>
      </c>
      <c r="GH197" s="2">
        <v>4</v>
      </c>
      <c r="GI197" s="2">
        <v>-2</v>
      </c>
      <c r="GJ197" s="2">
        <v>0</v>
      </c>
      <c r="GK197" s="2">
        <v>0</v>
      </c>
      <c r="GL197" s="2">
        <f t="shared" si="205"/>
        <v>0</v>
      </c>
      <c r="GM197" s="2">
        <f t="shared" si="206"/>
        <v>6904.56</v>
      </c>
      <c r="GN197" s="2">
        <f t="shared" si="207"/>
        <v>0</v>
      </c>
      <c r="GO197" s="2">
        <f t="shared" si="208"/>
        <v>6904.56</v>
      </c>
      <c r="GP197" s="2">
        <f t="shared" si="209"/>
        <v>0</v>
      </c>
      <c r="GQ197" s="2"/>
      <c r="GR197" s="2">
        <v>0</v>
      </c>
      <c r="GS197" s="2">
        <v>2</v>
      </c>
      <c r="GT197" s="2">
        <v>0</v>
      </c>
      <c r="GU197" s="2" t="s">
        <v>3</v>
      </c>
      <c r="GV197" s="2">
        <f t="shared" si="210"/>
        <v>0</v>
      </c>
      <c r="GW197" s="2">
        <v>1</v>
      </c>
      <c r="GX197" s="2">
        <f t="shared" si="211"/>
        <v>0</v>
      </c>
      <c r="GY197" s="2"/>
      <c r="GZ197" s="2"/>
      <c r="HA197" s="2">
        <v>0</v>
      </c>
      <c r="HB197" s="2">
        <v>0</v>
      </c>
      <c r="HC197" s="2">
        <f t="shared" si="212"/>
        <v>0</v>
      </c>
      <c r="HD197" s="2"/>
      <c r="HE197" s="2" t="s">
        <v>34</v>
      </c>
      <c r="HF197" s="2" t="s">
        <v>35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3">
      <c r="A198" s="3">
        <v>18</v>
      </c>
      <c r="B198" s="3">
        <v>1</v>
      </c>
      <c r="C198" s="3"/>
      <c r="D198" s="3"/>
      <c r="E198" s="3" t="s">
        <v>191</v>
      </c>
      <c r="F198" s="3" t="s">
        <v>192</v>
      </c>
      <c r="G198" s="3" t="s">
        <v>193</v>
      </c>
      <c r="H198" s="3" t="s">
        <v>32</v>
      </c>
      <c r="I198" s="3">
        <f>I196*J198</f>
        <v>12</v>
      </c>
      <c r="J198" s="3">
        <v>0.36363636363636365</v>
      </c>
      <c r="K198" s="3">
        <v>0.36363635999999999</v>
      </c>
      <c r="L198" s="3"/>
      <c r="M198" s="3"/>
      <c r="N198" s="3"/>
      <c r="O198" s="3">
        <f t="shared" si="181"/>
        <v>68217.05</v>
      </c>
      <c r="P198" s="3">
        <f t="shared" si="182"/>
        <v>68217.05</v>
      </c>
      <c r="Q198" s="3">
        <f t="shared" si="213"/>
        <v>0</v>
      </c>
      <c r="R198" s="3">
        <f t="shared" si="183"/>
        <v>0</v>
      </c>
      <c r="S198" s="3">
        <f t="shared" si="184"/>
        <v>0</v>
      </c>
      <c r="T198" s="3">
        <f t="shared" si="185"/>
        <v>0</v>
      </c>
      <c r="U198" s="3">
        <f t="shared" si="186"/>
        <v>0</v>
      </c>
      <c r="V198" s="3">
        <f t="shared" si="187"/>
        <v>0</v>
      </c>
      <c r="W198" s="3">
        <f t="shared" si="188"/>
        <v>0</v>
      </c>
      <c r="X198" s="3">
        <f t="shared" si="189"/>
        <v>0</v>
      </c>
      <c r="Y198" s="3">
        <f t="shared" si="190"/>
        <v>0</v>
      </c>
      <c r="Z198" s="3"/>
      <c r="AA198" s="3">
        <v>56505405</v>
      </c>
      <c r="AB198" s="3">
        <f t="shared" si="191"/>
        <v>575.38</v>
      </c>
      <c r="AC198" s="3">
        <f t="shared" si="192"/>
        <v>575.38</v>
      </c>
      <c r="AD198" s="3">
        <f t="shared" si="214"/>
        <v>0</v>
      </c>
      <c r="AE198" s="3">
        <f t="shared" si="215"/>
        <v>0</v>
      </c>
      <c r="AF198" s="3">
        <f t="shared" si="216"/>
        <v>0</v>
      </c>
      <c r="AG198" s="3">
        <f t="shared" si="193"/>
        <v>0</v>
      </c>
      <c r="AH198" s="3">
        <f t="shared" si="217"/>
        <v>0</v>
      </c>
      <c r="AI198" s="3">
        <f t="shared" si="218"/>
        <v>0</v>
      </c>
      <c r="AJ198" s="3">
        <f t="shared" si="194"/>
        <v>0</v>
      </c>
      <c r="AK198" s="3">
        <v>575.38</v>
      </c>
      <c r="AL198" s="3">
        <v>575.38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90</v>
      </c>
      <c r="AU198" s="3">
        <v>46</v>
      </c>
      <c r="AV198" s="3">
        <v>1</v>
      </c>
      <c r="AW198" s="3">
        <v>1</v>
      </c>
      <c r="AX198" s="3"/>
      <c r="AY198" s="3"/>
      <c r="AZ198" s="3">
        <v>1</v>
      </c>
      <c r="BA198" s="3">
        <v>1</v>
      </c>
      <c r="BB198" s="3">
        <v>1</v>
      </c>
      <c r="BC198" s="3">
        <v>9.8800000000000008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2</v>
      </c>
      <c r="BJ198" s="3" t="s">
        <v>3</v>
      </c>
      <c r="BK198" s="3"/>
      <c r="BL198" s="3"/>
      <c r="BM198" s="3">
        <v>68</v>
      </c>
      <c r="BN198" s="3">
        <v>0</v>
      </c>
      <c r="BO198" s="3" t="s">
        <v>3</v>
      </c>
      <c r="BP198" s="3">
        <v>0</v>
      </c>
      <c r="BQ198" s="3">
        <v>40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90</v>
      </c>
      <c r="CA198" s="3">
        <v>46</v>
      </c>
      <c r="CB198" s="3" t="s">
        <v>3</v>
      </c>
      <c r="CC198" s="3"/>
      <c r="CD198" s="3"/>
      <c r="CE198" s="3">
        <v>30</v>
      </c>
      <c r="CF198" s="3">
        <v>0</v>
      </c>
      <c r="CG198" s="3">
        <v>0</v>
      </c>
      <c r="CH198" s="3"/>
      <c r="CI198" s="3"/>
      <c r="CJ198" s="3"/>
      <c r="CK198" s="3"/>
      <c r="CL198" s="3"/>
      <c r="CM198" s="3">
        <v>0</v>
      </c>
      <c r="CN198" s="3" t="s">
        <v>3</v>
      </c>
      <c r="CO198" s="3">
        <v>0</v>
      </c>
      <c r="CP198" s="3">
        <f t="shared" si="195"/>
        <v>68217.05</v>
      </c>
      <c r="CQ198" s="3">
        <f t="shared" si="196"/>
        <v>5684.75</v>
      </c>
      <c r="CR198" s="3">
        <f t="shared" si="219"/>
        <v>0</v>
      </c>
      <c r="CS198" s="3">
        <f t="shared" si="197"/>
        <v>0</v>
      </c>
      <c r="CT198" s="3">
        <f t="shared" si="198"/>
        <v>0</v>
      </c>
      <c r="CU198" s="3">
        <f t="shared" si="199"/>
        <v>0</v>
      </c>
      <c r="CV198" s="3">
        <f t="shared" si="200"/>
        <v>0</v>
      </c>
      <c r="CW198" s="3">
        <f t="shared" si="201"/>
        <v>0</v>
      </c>
      <c r="CX198" s="3">
        <f t="shared" si="202"/>
        <v>0</v>
      </c>
      <c r="CY198" s="3">
        <f t="shared" si="203"/>
        <v>0</v>
      </c>
      <c r="CZ198" s="3">
        <f t="shared" si="204"/>
        <v>0</v>
      </c>
      <c r="DA198" s="3"/>
      <c r="DB198" s="3"/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R198" s="3"/>
      <c r="DS198" s="3"/>
      <c r="DT198" s="3"/>
      <c r="DU198" s="3">
        <v>1010</v>
      </c>
      <c r="DV198" s="3" t="s">
        <v>32</v>
      </c>
      <c r="DW198" s="3" t="s">
        <v>32</v>
      </c>
      <c r="DX198" s="3">
        <v>1</v>
      </c>
      <c r="DY198" s="3"/>
      <c r="DZ198" s="3" t="s">
        <v>3</v>
      </c>
      <c r="EA198" s="3" t="s">
        <v>3</v>
      </c>
      <c r="EB198" s="3" t="s">
        <v>3</v>
      </c>
      <c r="EC198" s="3" t="s">
        <v>3</v>
      </c>
      <c r="ED198" s="3"/>
      <c r="EE198" s="3">
        <v>58162630</v>
      </c>
      <c r="EF198" s="3">
        <v>40</v>
      </c>
      <c r="EG198" s="3" t="s">
        <v>25</v>
      </c>
      <c r="EH198" s="3">
        <v>0</v>
      </c>
      <c r="EI198" s="3" t="s">
        <v>3</v>
      </c>
      <c r="EJ198" s="3">
        <v>2</v>
      </c>
      <c r="EK198" s="3">
        <v>68</v>
      </c>
      <c r="EL198" s="3" t="s">
        <v>26</v>
      </c>
      <c r="EM198" s="3" t="s">
        <v>27</v>
      </c>
      <c r="EN198" s="3"/>
      <c r="EO198" s="3" t="s">
        <v>3</v>
      </c>
      <c r="EP198" s="3"/>
      <c r="EQ198" s="3">
        <v>0</v>
      </c>
      <c r="ER198" s="3">
        <v>575.38</v>
      </c>
      <c r="ES198" s="3">
        <v>575.38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/>
      <c r="EZ198" s="3">
        <v>5</v>
      </c>
      <c r="FA198" s="3"/>
      <c r="FB198" s="3"/>
      <c r="FC198" s="3">
        <v>1</v>
      </c>
      <c r="FD198" s="3">
        <v>18</v>
      </c>
      <c r="FE198" s="3"/>
      <c r="FF198" s="3">
        <v>6688</v>
      </c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>
        <v>0</v>
      </c>
      <c r="FR198" s="3">
        <v>0</v>
      </c>
      <c r="FS198" s="3">
        <v>0</v>
      </c>
      <c r="FT198" s="3"/>
      <c r="FU198" s="3"/>
      <c r="FV198" s="3"/>
      <c r="FW198" s="3"/>
      <c r="FX198" s="3">
        <v>90</v>
      </c>
      <c r="FY198" s="3">
        <v>46</v>
      </c>
      <c r="FZ198" s="3"/>
      <c r="GA198" s="3" t="s">
        <v>194</v>
      </c>
      <c r="GB198" s="3"/>
      <c r="GC198" s="3"/>
      <c r="GD198" s="3">
        <v>1</v>
      </c>
      <c r="GE198" s="3"/>
      <c r="GF198" s="3">
        <v>-1833629962</v>
      </c>
      <c r="GG198" s="3">
        <v>2</v>
      </c>
      <c r="GH198" s="3">
        <v>3</v>
      </c>
      <c r="GI198" s="3">
        <v>5</v>
      </c>
      <c r="GJ198" s="3">
        <v>0</v>
      </c>
      <c r="GK198" s="3">
        <v>0</v>
      </c>
      <c r="GL198" s="3">
        <f t="shared" si="205"/>
        <v>0</v>
      </c>
      <c r="GM198" s="3">
        <f t="shared" si="206"/>
        <v>68217.05</v>
      </c>
      <c r="GN198" s="3">
        <f t="shared" si="207"/>
        <v>0</v>
      </c>
      <c r="GO198" s="3">
        <f t="shared" si="208"/>
        <v>68217.05</v>
      </c>
      <c r="GP198" s="3">
        <f t="shared" si="209"/>
        <v>0</v>
      </c>
      <c r="GQ198" s="3"/>
      <c r="GR198" s="3">
        <v>1</v>
      </c>
      <c r="GS198" s="3">
        <v>1</v>
      </c>
      <c r="GT198" s="3">
        <v>0</v>
      </c>
      <c r="GU198" s="3" t="s">
        <v>3</v>
      </c>
      <c r="GV198" s="3">
        <f t="shared" si="210"/>
        <v>0</v>
      </c>
      <c r="GW198" s="3">
        <v>1</v>
      </c>
      <c r="GX198" s="3">
        <f t="shared" si="211"/>
        <v>0</v>
      </c>
      <c r="GY198" s="3"/>
      <c r="GZ198" s="3"/>
      <c r="HA198" s="3">
        <v>0</v>
      </c>
      <c r="HB198" s="3">
        <v>0</v>
      </c>
      <c r="HC198" s="3">
        <f t="shared" si="212"/>
        <v>0</v>
      </c>
      <c r="HD198" s="3"/>
      <c r="HE198" s="3" t="s">
        <v>34</v>
      </c>
      <c r="HF198" s="3" t="s">
        <v>35</v>
      </c>
      <c r="HG198" s="3"/>
      <c r="HH198" s="3"/>
      <c r="HI198" s="3"/>
      <c r="HJ198" s="3"/>
      <c r="HK198" s="3"/>
      <c r="HL198" s="3"/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R198" s="3"/>
      <c r="HS198" s="3">
        <v>0</v>
      </c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>
        <v>0</v>
      </c>
      <c r="IL198" s="3"/>
      <c r="IM198" s="3"/>
      <c r="IN198" s="3"/>
      <c r="IO198" s="3"/>
      <c r="IP198" s="3"/>
      <c r="IQ198" s="3"/>
      <c r="IR198" s="3"/>
      <c r="IS198" s="3"/>
      <c r="IT198" s="3"/>
      <c r="IU198" s="3"/>
    </row>
    <row r="199" spans="1:255" x14ac:dyDescent="0.3">
      <c r="A199" s="2">
        <v>18</v>
      </c>
      <c r="B199" s="2">
        <v>1</v>
      </c>
      <c r="C199" s="2"/>
      <c r="D199" s="2"/>
      <c r="E199" s="2" t="s">
        <v>195</v>
      </c>
      <c r="F199" s="2" t="s">
        <v>196</v>
      </c>
      <c r="G199" s="2" t="s">
        <v>197</v>
      </c>
      <c r="H199" s="2" t="s">
        <v>32</v>
      </c>
      <c r="I199" s="2">
        <f>I195*J199</f>
        <v>6</v>
      </c>
      <c r="J199" s="2">
        <v>0.18181818181818182</v>
      </c>
      <c r="K199" s="2">
        <v>0.18181818</v>
      </c>
      <c r="L199" s="2"/>
      <c r="M199" s="2"/>
      <c r="N199" s="2"/>
      <c r="O199" s="2">
        <f t="shared" si="181"/>
        <v>1258.44</v>
      </c>
      <c r="P199" s="2">
        <f t="shared" si="182"/>
        <v>1258.44</v>
      </c>
      <c r="Q199" s="2">
        <f t="shared" si="213"/>
        <v>0</v>
      </c>
      <c r="R199" s="2">
        <f t="shared" si="183"/>
        <v>0</v>
      </c>
      <c r="S199" s="2">
        <f t="shared" si="184"/>
        <v>0</v>
      </c>
      <c r="T199" s="2">
        <f t="shared" si="185"/>
        <v>0</v>
      </c>
      <c r="U199" s="2">
        <f t="shared" si="186"/>
        <v>0</v>
      </c>
      <c r="V199" s="2">
        <f t="shared" si="187"/>
        <v>0</v>
      </c>
      <c r="W199" s="2">
        <f t="shared" si="188"/>
        <v>0</v>
      </c>
      <c r="X199" s="2">
        <f t="shared" si="189"/>
        <v>0</v>
      </c>
      <c r="Y199" s="2">
        <f t="shared" si="190"/>
        <v>0</v>
      </c>
      <c r="Z199" s="2"/>
      <c r="AA199" s="2">
        <v>56505403</v>
      </c>
      <c r="AB199" s="2">
        <f t="shared" si="191"/>
        <v>209.74</v>
      </c>
      <c r="AC199" s="2">
        <f t="shared" si="192"/>
        <v>209.74</v>
      </c>
      <c r="AD199" s="2">
        <f t="shared" si="214"/>
        <v>0</v>
      </c>
      <c r="AE199" s="2">
        <f t="shared" si="215"/>
        <v>0</v>
      </c>
      <c r="AF199" s="2">
        <f t="shared" si="216"/>
        <v>0</v>
      </c>
      <c r="AG199" s="2">
        <f t="shared" si="193"/>
        <v>0</v>
      </c>
      <c r="AH199" s="2">
        <f t="shared" si="217"/>
        <v>0</v>
      </c>
      <c r="AI199" s="2">
        <f t="shared" si="218"/>
        <v>0</v>
      </c>
      <c r="AJ199" s="2">
        <f t="shared" si="194"/>
        <v>0</v>
      </c>
      <c r="AK199" s="2">
        <v>209.74</v>
      </c>
      <c r="AL199" s="2">
        <v>209.74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90</v>
      </c>
      <c r="AU199" s="2">
        <v>46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2</v>
      </c>
      <c r="BJ199" s="2" t="s">
        <v>3</v>
      </c>
      <c r="BK199" s="2"/>
      <c r="BL199" s="2"/>
      <c r="BM199" s="2">
        <v>68</v>
      </c>
      <c r="BN199" s="2">
        <v>0</v>
      </c>
      <c r="BO199" s="2" t="s">
        <v>3</v>
      </c>
      <c r="BP199" s="2">
        <v>0</v>
      </c>
      <c r="BQ199" s="2">
        <v>40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90</v>
      </c>
      <c r="CA199" s="2">
        <v>46</v>
      </c>
      <c r="CB199" s="2" t="s">
        <v>3</v>
      </c>
      <c r="CC199" s="2"/>
      <c r="CD199" s="2"/>
      <c r="CE199" s="2">
        <v>30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95"/>
        <v>1258.44</v>
      </c>
      <c r="CQ199" s="2">
        <f t="shared" si="196"/>
        <v>209.74</v>
      </c>
      <c r="CR199" s="2">
        <f t="shared" si="219"/>
        <v>0</v>
      </c>
      <c r="CS199" s="2">
        <f t="shared" si="197"/>
        <v>0</v>
      </c>
      <c r="CT199" s="2">
        <f t="shared" si="198"/>
        <v>0</v>
      </c>
      <c r="CU199" s="2">
        <f t="shared" si="199"/>
        <v>0</v>
      </c>
      <c r="CV199" s="2">
        <f t="shared" si="200"/>
        <v>0</v>
      </c>
      <c r="CW199" s="2">
        <f t="shared" si="201"/>
        <v>0</v>
      </c>
      <c r="CX199" s="2">
        <f t="shared" si="202"/>
        <v>0</v>
      </c>
      <c r="CY199" s="2">
        <f t="shared" si="203"/>
        <v>0</v>
      </c>
      <c r="CZ199" s="2">
        <f t="shared" si="204"/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32</v>
      </c>
      <c r="DW199" s="2" t="s">
        <v>32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58162630</v>
      </c>
      <c r="EF199" s="2">
        <v>40</v>
      </c>
      <c r="EG199" s="2" t="s">
        <v>25</v>
      </c>
      <c r="EH199" s="2">
        <v>0</v>
      </c>
      <c r="EI199" s="2" t="s">
        <v>3</v>
      </c>
      <c r="EJ199" s="2">
        <v>2</v>
      </c>
      <c r="EK199" s="2">
        <v>68</v>
      </c>
      <c r="EL199" s="2" t="s">
        <v>26</v>
      </c>
      <c r="EM199" s="2" t="s">
        <v>27</v>
      </c>
      <c r="EN199" s="2"/>
      <c r="EO199" s="2" t="s">
        <v>3</v>
      </c>
      <c r="EP199" s="2"/>
      <c r="EQ199" s="2">
        <v>0</v>
      </c>
      <c r="ER199" s="2">
        <v>0</v>
      </c>
      <c r="ES199" s="2">
        <v>209.74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90</v>
      </c>
      <c r="FY199" s="2">
        <v>46</v>
      </c>
      <c r="FZ199" s="2"/>
      <c r="GA199" s="2" t="s">
        <v>198</v>
      </c>
      <c r="GB199" s="2"/>
      <c r="GC199" s="2"/>
      <c r="GD199" s="2">
        <v>1</v>
      </c>
      <c r="GE199" s="2"/>
      <c r="GF199" s="2">
        <v>-1178691896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205"/>
        <v>0</v>
      </c>
      <c r="GM199" s="2">
        <f t="shared" si="206"/>
        <v>1258.44</v>
      </c>
      <c r="GN199" s="2">
        <f t="shared" si="207"/>
        <v>0</v>
      </c>
      <c r="GO199" s="2">
        <f t="shared" si="208"/>
        <v>1258.44</v>
      </c>
      <c r="GP199" s="2">
        <f t="shared" si="209"/>
        <v>0</v>
      </c>
      <c r="GQ199" s="2"/>
      <c r="GR199" s="2">
        <v>0</v>
      </c>
      <c r="GS199" s="2">
        <v>2</v>
      </c>
      <c r="GT199" s="2">
        <v>0</v>
      </c>
      <c r="GU199" s="2" t="s">
        <v>3</v>
      </c>
      <c r="GV199" s="2">
        <f t="shared" si="210"/>
        <v>0</v>
      </c>
      <c r="GW199" s="2">
        <v>1</v>
      </c>
      <c r="GX199" s="2">
        <f t="shared" si="211"/>
        <v>0</v>
      </c>
      <c r="GY199" s="2"/>
      <c r="GZ199" s="2"/>
      <c r="HA199" s="2">
        <v>0</v>
      </c>
      <c r="HB199" s="2">
        <v>0</v>
      </c>
      <c r="HC199" s="2">
        <f t="shared" si="212"/>
        <v>0</v>
      </c>
      <c r="HD199" s="2"/>
      <c r="HE199" s="2" t="s">
        <v>34</v>
      </c>
      <c r="HF199" s="2" t="s">
        <v>35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3">
      <c r="A200" s="3">
        <v>18</v>
      </c>
      <c r="B200" s="3">
        <v>1</v>
      </c>
      <c r="C200" s="3"/>
      <c r="D200" s="3"/>
      <c r="E200" s="3" t="s">
        <v>195</v>
      </c>
      <c r="F200" s="3" t="s">
        <v>196</v>
      </c>
      <c r="G200" s="3" t="s">
        <v>197</v>
      </c>
      <c r="H200" s="3" t="s">
        <v>32</v>
      </c>
      <c r="I200" s="3">
        <f>I196*J200</f>
        <v>6</v>
      </c>
      <c r="J200" s="3">
        <v>0.18181818181818182</v>
      </c>
      <c r="K200" s="3">
        <v>0.18181818</v>
      </c>
      <c r="L200" s="3"/>
      <c r="M200" s="3"/>
      <c r="N200" s="3"/>
      <c r="O200" s="3">
        <f t="shared" si="181"/>
        <v>12433.39</v>
      </c>
      <c r="P200" s="3">
        <f t="shared" si="182"/>
        <v>12433.39</v>
      </c>
      <c r="Q200" s="3">
        <f t="shared" si="213"/>
        <v>0</v>
      </c>
      <c r="R200" s="3">
        <f t="shared" si="183"/>
        <v>0</v>
      </c>
      <c r="S200" s="3">
        <f t="shared" si="184"/>
        <v>0</v>
      </c>
      <c r="T200" s="3">
        <f t="shared" si="185"/>
        <v>0</v>
      </c>
      <c r="U200" s="3">
        <f t="shared" si="186"/>
        <v>0</v>
      </c>
      <c r="V200" s="3">
        <f t="shared" si="187"/>
        <v>0</v>
      </c>
      <c r="W200" s="3">
        <f t="shared" si="188"/>
        <v>0</v>
      </c>
      <c r="X200" s="3">
        <f t="shared" si="189"/>
        <v>0</v>
      </c>
      <c r="Y200" s="3">
        <f t="shared" si="190"/>
        <v>0</v>
      </c>
      <c r="Z200" s="3"/>
      <c r="AA200" s="3">
        <v>56505405</v>
      </c>
      <c r="AB200" s="3">
        <f t="shared" si="191"/>
        <v>209.74</v>
      </c>
      <c r="AC200" s="3">
        <f t="shared" si="192"/>
        <v>209.74</v>
      </c>
      <c r="AD200" s="3">
        <f t="shared" si="214"/>
        <v>0</v>
      </c>
      <c r="AE200" s="3">
        <f t="shared" si="215"/>
        <v>0</v>
      </c>
      <c r="AF200" s="3">
        <f t="shared" si="216"/>
        <v>0</v>
      </c>
      <c r="AG200" s="3">
        <f t="shared" si="193"/>
        <v>0</v>
      </c>
      <c r="AH200" s="3">
        <f t="shared" si="217"/>
        <v>0</v>
      </c>
      <c r="AI200" s="3">
        <f t="shared" si="218"/>
        <v>0</v>
      </c>
      <c r="AJ200" s="3">
        <f t="shared" si="194"/>
        <v>0</v>
      </c>
      <c r="AK200" s="3">
        <v>209.74</v>
      </c>
      <c r="AL200" s="3">
        <v>209.74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90</v>
      </c>
      <c r="AU200" s="3">
        <v>46</v>
      </c>
      <c r="AV200" s="3">
        <v>1</v>
      </c>
      <c r="AW200" s="3">
        <v>1</v>
      </c>
      <c r="AX200" s="3"/>
      <c r="AY200" s="3"/>
      <c r="AZ200" s="3">
        <v>1</v>
      </c>
      <c r="BA200" s="3">
        <v>1</v>
      </c>
      <c r="BB200" s="3">
        <v>1</v>
      </c>
      <c r="BC200" s="3">
        <v>9.8800000000000008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2</v>
      </c>
      <c r="BJ200" s="3" t="s">
        <v>3</v>
      </c>
      <c r="BK200" s="3"/>
      <c r="BL200" s="3"/>
      <c r="BM200" s="3">
        <v>68</v>
      </c>
      <c r="BN200" s="3">
        <v>0</v>
      </c>
      <c r="BO200" s="3" t="s">
        <v>3</v>
      </c>
      <c r="BP200" s="3">
        <v>0</v>
      </c>
      <c r="BQ200" s="3">
        <v>40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90</v>
      </c>
      <c r="CA200" s="3">
        <v>46</v>
      </c>
      <c r="CB200" s="3" t="s">
        <v>3</v>
      </c>
      <c r="CC200" s="3"/>
      <c r="CD200" s="3"/>
      <c r="CE200" s="3">
        <v>30</v>
      </c>
      <c r="CF200" s="3">
        <v>0</v>
      </c>
      <c r="CG200" s="3">
        <v>0</v>
      </c>
      <c r="CH200" s="3"/>
      <c r="CI200" s="3"/>
      <c r="CJ200" s="3"/>
      <c r="CK200" s="3"/>
      <c r="CL200" s="3"/>
      <c r="CM200" s="3">
        <v>0</v>
      </c>
      <c r="CN200" s="3" t="s">
        <v>3</v>
      </c>
      <c r="CO200" s="3">
        <v>0</v>
      </c>
      <c r="CP200" s="3">
        <f t="shared" si="195"/>
        <v>12433.39</v>
      </c>
      <c r="CQ200" s="3">
        <f t="shared" si="196"/>
        <v>2072.23</v>
      </c>
      <c r="CR200" s="3">
        <f t="shared" si="219"/>
        <v>0</v>
      </c>
      <c r="CS200" s="3">
        <f t="shared" si="197"/>
        <v>0</v>
      </c>
      <c r="CT200" s="3">
        <f t="shared" si="198"/>
        <v>0</v>
      </c>
      <c r="CU200" s="3">
        <f t="shared" si="199"/>
        <v>0</v>
      </c>
      <c r="CV200" s="3">
        <f t="shared" si="200"/>
        <v>0</v>
      </c>
      <c r="CW200" s="3">
        <f t="shared" si="201"/>
        <v>0</v>
      </c>
      <c r="CX200" s="3">
        <f t="shared" si="202"/>
        <v>0</v>
      </c>
      <c r="CY200" s="3">
        <f t="shared" si="203"/>
        <v>0</v>
      </c>
      <c r="CZ200" s="3">
        <f t="shared" si="204"/>
        <v>0</v>
      </c>
      <c r="DA200" s="3"/>
      <c r="DB200" s="3"/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R200" s="3"/>
      <c r="DS200" s="3"/>
      <c r="DT200" s="3"/>
      <c r="DU200" s="3">
        <v>1010</v>
      </c>
      <c r="DV200" s="3" t="s">
        <v>32</v>
      </c>
      <c r="DW200" s="3" t="s">
        <v>32</v>
      </c>
      <c r="DX200" s="3">
        <v>1</v>
      </c>
      <c r="DY200" s="3"/>
      <c r="DZ200" s="3" t="s">
        <v>3</v>
      </c>
      <c r="EA200" s="3" t="s">
        <v>3</v>
      </c>
      <c r="EB200" s="3" t="s">
        <v>3</v>
      </c>
      <c r="EC200" s="3" t="s">
        <v>3</v>
      </c>
      <c r="ED200" s="3"/>
      <c r="EE200" s="3">
        <v>58162630</v>
      </c>
      <c r="EF200" s="3">
        <v>40</v>
      </c>
      <c r="EG200" s="3" t="s">
        <v>25</v>
      </c>
      <c r="EH200" s="3">
        <v>0</v>
      </c>
      <c r="EI200" s="3" t="s">
        <v>3</v>
      </c>
      <c r="EJ200" s="3">
        <v>2</v>
      </c>
      <c r="EK200" s="3">
        <v>68</v>
      </c>
      <c r="EL200" s="3" t="s">
        <v>26</v>
      </c>
      <c r="EM200" s="3" t="s">
        <v>27</v>
      </c>
      <c r="EN200" s="3"/>
      <c r="EO200" s="3" t="s">
        <v>3</v>
      </c>
      <c r="EP200" s="3"/>
      <c r="EQ200" s="3">
        <v>0</v>
      </c>
      <c r="ER200" s="3">
        <v>209.74</v>
      </c>
      <c r="ES200" s="3">
        <v>209.74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/>
      <c r="EZ200" s="3">
        <v>5</v>
      </c>
      <c r="FA200" s="3"/>
      <c r="FB200" s="3"/>
      <c r="FC200" s="3">
        <v>1</v>
      </c>
      <c r="FD200" s="3">
        <v>18</v>
      </c>
      <c r="FE200" s="3"/>
      <c r="FF200" s="3">
        <v>2438</v>
      </c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>
        <v>0</v>
      </c>
      <c r="FR200" s="3">
        <v>0</v>
      </c>
      <c r="FS200" s="3">
        <v>0</v>
      </c>
      <c r="FT200" s="3"/>
      <c r="FU200" s="3"/>
      <c r="FV200" s="3"/>
      <c r="FW200" s="3"/>
      <c r="FX200" s="3">
        <v>90</v>
      </c>
      <c r="FY200" s="3">
        <v>46</v>
      </c>
      <c r="FZ200" s="3"/>
      <c r="GA200" s="3" t="s">
        <v>198</v>
      </c>
      <c r="GB200" s="3"/>
      <c r="GC200" s="3"/>
      <c r="GD200" s="3">
        <v>1</v>
      </c>
      <c r="GE200" s="3"/>
      <c r="GF200" s="3">
        <v>-1178691896</v>
      </c>
      <c r="GG200" s="3">
        <v>2</v>
      </c>
      <c r="GH200" s="3">
        <v>3</v>
      </c>
      <c r="GI200" s="3">
        <v>5</v>
      </c>
      <c r="GJ200" s="3">
        <v>0</v>
      </c>
      <c r="GK200" s="3">
        <v>0</v>
      </c>
      <c r="GL200" s="3">
        <f t="shared" si="205"/>
        <v>0</v>
      </c>
      <c r="GM200" s="3">
        <f t="shared" si="206"/>
        <v>12433.39</v>
      </c>
      <c r="GN200" s="3">
        <f t="shared" si="207"/>
        <v>0</v>
      </c>
      <c r="GO200" s="3">
        <f t="shared" si="208"/>
        <v>12433.39</v>
      </c>
      <c r="GP200" s="3">
        <f t="shared" si="209"/>
        <v>0</v>
      </c>
      <c r="GQ200" s="3"/>
      <c r="GR200" s="3">
        <v>1</v>
      </c>
      <c r="GS200" s="3">
        <v>1</v>
      </c>
      <c r="GT200" s="3">
        <v>0</v>
      </c>
      <c r="GU200" s="3" t="s">
        <v>3</v>
      </c>
      <c r="GV200" s="3">
        <f t="shared" si="210"/>
        <v>0</v>
      </c>
      <c r="GW200" s="3">
        <v>1</v>
      </c>
      <c r="GX200" s="3">
        <f t="shared" si="211"/>
        <v>0</v>
      </c>
      <c r="GY200" s="3"/>
      <c r="GZ200" s="3"/>
      <c r="HA200" s="3">
        <v>0</v>
      </c>
      <c r="HB200" s="3">
        <v>0</v>
      </c>
      <c r="HC200" s="3">
        <f t="shared" si="212"/>
        <v>0</v>
      </c>
      <c r="HD200" s="3"/>
      <c r="HE200" s="3" t="s">
        <v>34</v>
      </c>
      <c r="HF200" s="3" t="s">
        <v>35</v>
      </c>
      <c r="HG200" s="3"/>
      <c r="HH200" s="3"/>
      <c r="HI200" s="3"/>
      <c r="HJ200" s="3"/>
      <c r="HK200" s="3"/>
      <c r="HL200" s="3"/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R200" s="3"/>
      <c r="HS200" s="3">
        <v>0</v>
      </c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>
        <v>0</v>
      </c>
      <c r="IL200" s="3"/>
      <c r="IM200" s="3"/>
      <c r="IN200" s="3"/>
      <c r="IO200" s="3"/>
      <c r="IP200" s="3"/>
      <c r="IQ200" s="3"/>
      <c r="IR200" s="3"/>
      <c r="IS200" s="3"/>
      <c r="IT200" s="3"/>
      <c r="IU200" s="3"/>
    </row>
    <row r="201" spans="1:255" x14ac:dyDescent="0.3">
      <c r="A201" s="2">
        <v>18</v>
      </c>
      <c r="B201" s="2">
        <v>1</v>
      </c>
      <c r="C201" s="2"/>
      <c r="D201" s="2"/>
      <c r="E201" s="2" t="s">
        <v>199</v>
      </c>
      <c r="F201" s="2" t="s">
        <v>200</v>
      </c>
      <c r="G201" s="2" t="s">
        <v>201</v>
      </c>
      <c r="H201" s="2" t="s">
        <v>32</v>
      </c>
      <c r="I201" s="2">
        <f>I195*J201</f>
        <v>63</v>
      </c>
      <c r="J201" s="2">
        <v>1.9090909090909092</v>
      </c>
      <c r="K201" s="2">
        <v>1.9090909</v>
      </c>
      <c r="L201" s="2"/>
      <c r="M201" s="2"/>
      <c r="N201" s="2"/>
      <c r="O201" s="2">
        <f t="shared" si="181"/>
        <v>3056.76</v>
      </c>
      <c r="P201" s="2">
        <f t="shared" si="182"/>
        <v>3056.76</v>
      </c>
      <c r="Q201" s="2">
        <f t="shared" si="213"/>
        <v>0</v>
      </c>
      <c r="R201" s="2">
        <f t="shared" si="183"/>
        <v>0</v>
      </c>
      <c r="S201" s="2">
        <f t="shared" si="184"/>
        <v>0</v>
      </c>
      <c r="T201" s="2">
        <f t="shared" si="185"/>
        <v>0</v>
      </c>
      <c r="U201" s="2">
        <f t="shared" si="186"/>
        <v>0</v>
      </c>
      <c r="V201" s="2">
        <f t="shared" si="187"/>
        <v>0</v>
      </c>
      <c r="W201" s="2">
        <f t="shared" si="188"/>
        <v>0</v>
      </c>
      <c r="X201" s="2">
        <f t="shared" si="189"/>
        <v>0</v>
      </c>
      <c r="Y201" s="2">
        <f t="shared" si="190"/>
        <v>0</v>
      </c>
      <c r="Z201" s="2"/>
      <c r="AA201" s="2">
        <v>56505403</v>
      </c>
      <c r="AB201" s="2">
        <f t="shared" si="191"/>
        <v>48.52</v>
      </c>
      <c r="AC201" s="2">
        <f t="shared" si="192"/>
        <v>48.52</v>
      </c>
      <c r="AD201" s="2">
        <f t="shared" si="214"/>
        <v>0</v>
      </c>
      <c r="AE201" s="2">
        <f t="shared" si="215"/>
        <v>0</v>
      </c>
      <c r="AF201" s="2">
        <f t="shared" si="216"/>
        <v>0</v>
      </c>
      <c r="AG201" s="2">
        <f t="shared" si="193"/>
        <v>0</v>
      </c>
      <c r="AH201" s="2">
        <f t="shared" si="217"/>
        <v>0</v>
      </c>
      <c r="AI201" s="2">
        <f t="shared" si="218"/>
        <v>0</v>
      </c>
      <c r="AJ201" s="2">
        <f t="shared" si="194"/>
        <v>0</v>
      </c>
      <c r="AK201" s="2">
        <v>48.52</v>
      </c>
      <c r="AL201" s="2">
        <v>48.52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90</v>
      </c>
      <c r="AU201" s="2">
        <v>46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2</v>
      </c>
      <c r="BJ201" s="2" t="s">
        <v>3</v>
      </c>
      <c r="BK201" s="2"/>
      <c r="BL201" s="2"/>
      <c r="BM201" s="2">
        <v>68</v>
      </c>
      <c r="BN201" s="2">
        <v>0</v>
      </c>
      <c r="BO201" s="2" t="s">
        <v>3</v>
      </c>
      <c r="BP201" s="2">
        <v>0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30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195"/>
        <v>3056.76</v>
      </c>
      <c r="CQ201" s="2">
        <f t="shared" si="196"/>
        <v>48.52</v>
      </c>
      <c r="CR201" s="2">
        <f t="shared" si="219"/>
        <v>0</v>
      </c>
      <c r="CS201" s="2">
        <f t="shared" si="197"/>
        <v>0</v>
      </c>
      <c r="CT201" s="2">
        <f t="shared" si="198"/>
        <v>0</v>
      </c>
      <c r="CU201" s="2">
        <f t="shared" si="199"/>
        <v>0</v>
      </c>
      <c r="CV201" s="2">
        <f t="shared" si="200"/>
        <v>0</v>
      </c>
      <c r="CW201" s="2">
        <f t="shared" si="201"/>
        <v>0</v>
      </c>
      <c r="CX201" s="2">
        <f t="shared" si="202"/>
        <v>0</v>
      </c>
      <c r="CY201" s="2">
        <f t="shared" si="203"/>
        <v>0</v>
      </c>
      <c r="CZ201" s="2">
        <f t="shared" si="204"/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32</v>
      </c>
      <c r="DW201" s="2" t="s">
        <v>32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58162630</v>
      </c>
      <c r="EF201" s="2">
        <v>40</v>
      </c>
      <c r="EG201" s="2" t="s">
        <v>25</v>
      </c>
      <c r="EH201" s="2">
        <v>0</v>
      </c>
      <c r="EI201" s="2" t="s">
        <v>3</v>
      </c>
      <c r="EJ201" s="2">
        <v>2</v>
      </c>
      <c r="EK201" s="2">
        <v>68</v>
      </c>
      <c r="EL201" s="2" t="s">
        <v>26</v>
      </c>
      <c r="EM201" s="2" t="s">
        <v>27</v>
      </c>
      <c r="EN201" s="2"/>
      <c r="EO201" s="2" t="s">
        <v>3</v>
      </c>
      <c r="EP201" s="2"/>
      <c r="EQ201" s="2">
        <v>0</v>
      </c>
      <c r="ER201" s="2">
        <v>0</v>
      </c>
      <c r="ES201" s="2">
        <v>48.52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202</v>
      </c>
      <c r="GB201" s="2"/>
      <c r="GC201" s="2"/>
      <c r="GD201" s="2">
        <v>1</v>
      </c>
      <c r="GE201" s="2"/>
      <c r="GF201" s="2">
        <v>1706747084</v>
      </c>
      <c r="GG201" s="2">
        <v>2</v>
      </c>
      <c r="GH201" s="2">
        <v>4</v>
      </c>
      <c r="GI201" s="2">
        <v>-2</v>
      </c>
      <c r="GJ201" s="2">
        <v>0</v>
      </c>
      <c r="GK201" s="2">
        <v>0</v>
      </c>
      <c r="GL201" s="2">
        <f t="shared" si="205"/>
        <v>0</v>
      </c>
      <c r="GM201" s="2">
        <f t="shared" si="206"/>
        <v>3056.76</v>
      </c>
      <c r="GN201" s="2">
        <f t="shared" si="207"/>
        <v>0</v>
      </c>
      <c r="GO201" s="2">
        <f t="shared" si="208"/>
        <v>3056.76</v>
      </c>
      <c r="GP201" s="2">
        <f t="shared" si="209"/>
        <v>0</v>
      </c>
      <c r="GQ201" s="2"/>
      <c r="GR201" s="2">
        <v>0</v>
      </c>
      <c r="GS201" s="2">
        <v>2</v>
      </c>
      <c r="GT201" s="2">
        <v>0</v>
      </c>
      <c r="GU201" s="2" t="s">
        <v>3</v>
      </c>
      <c r="GV201" s="2">
        <f t="shared" si="210"/>
        <v>0</v>
      </c>
      <c r="GW201" s="2">
        <v>1</v>
      </c>
      <c r="GX201" s="2">
        <f t="shared" si="211"/>
        <v>0</v>
      </c>
      <c r="GY201" s="2"/>
      <c r="GZ201" s="2"/>
      <c r="HA201" s="2">
        <v>0</v>
      </c>
      <c r="HB201" s="2">
        <v>0</v>
      </c>
      <c r="HC201" s="2">
        <f t="shared" si="212"/>
        <v>0</v>
      </c>
      <c r="HD201" s="2"/>
      <c r="HE201" s="2" t="s">
        <v>34</v>
      </c>
      <c r="HF201" s="2" t="s">
        <v>35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3">
      <c r="A202" s="3">
        <v>18</v>
      </c>
      <c r="B202" s="3">
        <v>1</v>
      </c>
      <c r="C202" s="3"/>
      <c r="D202" s="3"/>
      <c r="E202" s="3" t="s">
        <v>199</v>
      </c>
      <c r="F202" s="3" t="s">
        <v>200</v>
      </c>
      <c r="G202" s="3" t="s">
        <v>201</v>
      </c>
      <c r="H202" s="3" t="s">
        <v>32</v>
      </c>
      <c r="I202" s="3">
        <f>I196*J202</f>
        <v>63</v>
      </c>
      <c r="J202" s="3">
        <v>1.9090909090909092</v>
      </c>
      <c r="K202" s="3">
        <v>1.9090909</v>
      </c>
      <c r="L202" s="3"/>
      <c r="M202" s="3"/>
      <c r="N202" s="3"/>
      <c r="O202" s="3">
        <f t="shared" si="181"/>
        <v>30200.79</v>
      </c>
      <c r="P202" s="3">
        <f t="shared" si="182"/>
        <v>30200.79</v>
      </c>
      <c r="Q202" s="3">
        <f t="shared" si="213"/>
        <v>0</v>
      </c>
      <c r="R202" s="3">
        <f t="shared" si="183"/>
        <v>0</v>
      </c>
      <c r="S202" s="3">
        <f t="shared" si="184"/>
        <v>0</v>
      </c>
      <c r="T202" s="3">
        <f t="shared" si="185"/>
        <v>0</v>
      </c>
      <c r="U202" s="3">
        <f t="shared" si="186"/>
        <v>0</v>
      </c>
      <c r="V202" s="3">
        <f t="shared" si="187"/>
        <v>0</v>
      </c>
      <c r="W202" s="3">
        <f t="shared" si="188"/>
        <v>0</v>
      </c>
      <c r="X202" s="3">
        <f t="shared" si="189"/>
        <v>0</v>
      </c>
      <c r="Y202" s="3">
        <f t="shared" si="190"/>
        <v>0</v>
      </c>
      <c r="Z202" s="3"/>
      <c r="AA202" s="3">
        <v>56505405</v>
      </c>
      <c r="AB202" s="3">
        <f t="shared" si="191"/>
        <v>48.52</v>
      </c>
      <c r="AC202" s="3">
        <f t="shared" si="192"/>
        <v>48.52</v>
      </c>
      <c r="AD202" s="3">
        <f t="shared" si="214"/>
        <v>0</v>
      </c>
      <c r="AE202" s="3">
        <f t="shared" si="215"/>
        <v>0</v>
      </c>
      <c r="AF202" s="3">
        <f t="shared" si="216"/>
        <v>0</v>
      </c>
      <c r="AG202" s="3">
        <f t="shared" si="193"/>
        <v>0</v>
      </c>
      <c r="AH202" s="3">
        <f t="shared" si="217"/>
        <v>0</v>
      </c>
      <c r="AI202" s="3">
        <f t="shared" si="218"/>
        <v>0</v>
      </c>
      <c r="AJ202" s="3">
        <f t="shared" si="194"/>
        <v>0</v>
      </c>
      <c r="AK202" s="3">
        <v>48.52</v>
      </c>
      <c r="AL202" s="3">
        <v>48.52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90</v>
      </c>
      <c r="AU202" s="3">
        <v>46</v>
      </c>
      <c r="AV202" s="3">
        <v>1</v>
      </c>
      <c r="AW202" s="3">
        <v>1</v>
      </c>
      <c r="AX202" s="3"/>
      <c r="AY202" s="3"/>
      <c r="AZ202" s="3">
        <v>1</v>
      </c>
      <c r="BA202" s="3">
        <v>1</v>
      </c>
      <c r="BB202" s="3">
        <v>1</v>
      </c>
      <c r="BC202" s="3">
        <v>9.8800000000000008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2</v>
      </c>
      <c r="BJ202" s="3" t="s">
        <v>3</v>
      </c>
      <c r="BK202" s="3"/>
      <c r="BL202" s="3"/>
      <c r="BM202" s="3">
        <v>68</v>
      </c>
      <c r="BN202" s="3">
        <v>0</v>
      </c>
      <c r="BO202" s="3" t="s">
        <v>3</v>
      </c>
      <c r="BP202" s="3">
        <v>0</v>
      </c>
      <c r="BQ202" s="3">
        <v>40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90</v>
      </c>
      <c r="CA202" s="3">
        <v>46</v>
      </c>
      <c r="CB202" s="3" t="s">
        <v>3</v>
      </c>
      <c r="CC202" s="3"/>
      <c r="CD202" s="3"/>
      <c r="CE202" s="3">
        <v>30</v>
      </c>
      <c r="CF202" s="3">
        <v>0</v>
      </c>
      <c r="CG202" s="3">
        <v>0</v>
      </c>
      <c r="CH202" s="3"/>
      <c r="CI202" s="3"/>
      <c r="CJ202" s="3"/>
      <c r="CK202" s="3"/>
      <c r="CL202" s="3"/>
      <c r="CM202" s="3">
        <v>0</v>
      </c>
      <c r="CN202" s="3" t="s">
        <v>3</v>
      </c>
      <c r="CO202" s="3">
        <v>0</v>
      </c>
      <c r="CP202" s="3">
        <f t="shared" si="195"/>
        <v>30200.79</v>
      </c>
      <c r="CQ202" s="3">
        <f t="shared" si="196"/>
        <v>479.38</v>
      </c>
      <c r="CR202" s="3">
        <f t="shared" si="219"/>
        <v>0</v>
      </c>
      <c r="CS202" s="3">
        <f t="shared" si="197"/>
        <v>0</v>
      </c>
      <c r="CT202" s="3">
        <f t="shared" si="198"/>
        <v>0</v>
      </c>
      <c r="CU202" s="3">
        <f t="shared" si="199"/>
        <v>0</v>
      </c>
      <c r="CV202" s="3">
        <f t="shared" si="200"/>
        <v>0</v>
      </c>
      <c r="CW202" s="3">
        <f t="shared" si="201"/>
        <v>0</v>
      </c>
      <c r="CX202" s="3">
        <f t="shared" si="202"/>
        <v>0</v>
      </c>
      <c r="CY202" s="3">
        <f t="shared" si="203"/>
        <v>0</v>
      </c>
      <c r="CZ202" s="3">
        <f t="shared" si="204"/>
        <v>0</v>
      </c>
      <c r="DA202" s="3"/>
      <c r="DB202" s="3"/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R202" s="3"/>
      <c r="DS202" s="3"/>
      <c r="DT202" s="3"/>
      <c r="DU202" s="3">
        <v>1010</v>
      </c>
      <c r="DV202" s="3" t="s">
        <v>32</v>
      </c>
      <c r="DW202" s="3" t="s">
        <v>32</v>
      </c>
      <c r="DX202" s="3">
        <v>1</v>
      </c>
      <c r="DY202" s="3"/>
      <c r="DZ202" s="3" t="s">
        <v>3</v>
      </c>
      <c r="EA202" s="3" t="s">
        <v>3</v>
      </c>
      <c r="EB202" s="3" t="s">
        <v>3</v>
      </c>
      <c r="EC202" s="3" t="s">
        <v>3</v>
      </c>
      <c r="ED202" s="3"/>
      <c r="EE202" s="3">
        <v>58162630</v>
      </c>
      <c r="EF202" s="3">
        <v>40</v>
      </c>
      <c r="EG202" s="3" t="s">
        <v>25</v>
      </c>
      <c r="EH202" s="3">
        <v>0</v>
      </c>
      <c r="EI202" s="3" t="s">
        <v>3</v>
      </c>
      <c r="EJ202" s="3">
        <v>2</v>
      </c>
      <c r="EK202" s="3">
        <v>68</v>
      </c>
      <c r="EL202" s="3" t="s">
        <v>26</v>
      </c>
      <c r="EM202" s="3" t="s">
        <v>27</v>
      </c>
      <c r="EN202" s="3"/>
      <c r="EO202" s="3" t="s">
        <v>3</v>
      </c>
      <c r="EP202" s="3"/>
      <c r="EQ202" s="3">
        <v>0</v>
      </c>
      <c r="ER202" s="3">
        <v>48.52</v>
      </c>
      <c r="ES202" s="3">
        <v>48.52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/>
      <c r="EZ202" s="3">
        <v>5</v>
      </c>
      <c r="FA202" s="3"/>
      <c r="FB202" s="3"/>
      <c r="FC202" s="3">
        <v>1</v>
      </c>
      <c r="FD202" s="3">
        <v>18</v>
      </c>
      <c r="FE202" s="3"/>
      <c r="FF202" s="3">
        <v>564</v>
      </c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>
        <v>0</v>
      </c>
      <c r="FR202" s="3">
        <v>0</v>
      </c>
      <c r="FS202" s="3">
        <v>0</v>
      </c>
      <c r="FT202" s="3"/>
      <c r="FU202" s="3"/>
      <c r="FV202" s="3"/>
      <c r="FW202" s="3"/>
      <c r="FX202" s="3">
        <v>90</v>
      </c>
      <c r="FY202" s="3">
        <v>46</v>
      </c>
      <c r="FZ202" s="3"/>
      <c r="GA202" s="3" t="s">
        <v>202</v>
      </c>
      <c r="GB202" s="3"/>
      <c r="GC202" s="3"/>
      <c r="GD202" s="3">
        <v>1</v>
      </c>
      <c r="GE202" s="3"/>
      <c r="GF202" s="3">
        <v>1706747084</v>
      </c>
      <c r="GG202" s="3">
        <v>2</v>
      </c>
      <c r="GH202" s="3">
        <v>3</v>
      </c>
      <c r="GI202" s="3">
        <v>5</v>
      </c>
      <c r="GJ202" s="3">
        <v>0</v>
      </c>
      <c r="GK202" s="3">
        <v>0</v>
      </c>
      <c r="GL202" s="3">
        <f t="shared" si="205"/>
        <v>0</v>
      </c>
      <c r="GM202" s="3">
        <f t="shared" si="206"/>
        <v>30200.79</v>
      </c>
      <c r="GN202" s="3">
        <f t="shared" si="207"/>
        <v>0</v>
      </c>
      <c r="GO202" s="3">
        <f t="shared" si="208"/>
        <v>30200.79</v>
      </c>
      <c r="GP202" s="3">
        <f t="shared" si="209"/>
        <v>0</v>
      </c>
      <c r="GQ202" s="3"/>
      <c r="GR202" s="3">
        <v>1</v>
      </c>
      <c r="GS202" s="3">
        <v>1</v>
      </c>
      <c r="GT202" s="3">
        <v>0</v>
      </c>
      <c r="GU202" s="3" t="s">
        <v>3</v>
      </c>
      <c r="GV202" s="3">
        <f t="shared" si="210"/>
        <v>0</v>
      </c>
      <c r="GW202" s="3">
        <v>1</v>
      </c>
      <c r="GX202" s="3">
        <f t="shared" si="211"/>
        <v>0</v>
      </c>
      <c r="GY202" s="3"/>
      <c r="GZ202" s="3"/>
      <c r="HA202" s="3">
        <v>0</v>
      </c>
      <c r="HB202" s="3">
        <v>0</v>
      </c>
      <c r="HC202" s="3">
        <f t="shared" si="212"/>
        <v>0</v>
      </c>
      <c r="HD202" s="3"/>
      <c r="HE202" s="3" t="s">
        <v>34</v>
      </c>
      <c r="HF202" s="3" t="s">
        <v>35</v>
      </c>
      <c r="HG202" s="3"/>
      <c r="HH202" s="3"/>
      <c r="HI202" s="3"/>
      <c r="HJ202" s="3"/>
      <c r="HK202" s="3"/>
      <c r="HL202" s="3"/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R202" s="3"/>
      <c r="HS202" s="3">
        <v>0</v>
      </c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>
        <v>0</v>
      </c>
      <c r="IL202" s="3"/>
      <c r="IM202" s="3"/>
      <c r="IN202" s="3"/>
      <c r="IO202" s="3"/>
      <c r="IP202" s="3"/>
      <c r="IQ202" s="3"/>
      <c r="IR202" s="3"/>
      <c r="IS202" s="3"/>
      <c r="IT202" s="3"/>
      <c r="IU202" s="3"/>
    </row>
    <row r="203" spans="1:255" x14ac:dyDescent="0.3">
      <c r="A203" s="2">
        <v>18</v>
      </c>
      <c r="B203" s="2">
        <v>1</v>
      </c>
      <c r="C203" s="2"/>
      <c r="D203" s="2"/>
      <c r="E203" s="2" t="s">
        <v>203</v>
      </c>
      <c r="F203" s="2" t="s">
        <v>204</v>
      </c>
      <c r="G203" s="2" t="s">
        <v>205</v>
      </c>
      <c r="H203" s="2" t="s">
        <v>32</v>
      </c>
      <c r="I203" s="2">
        <f>I195*J203</f>
        <v>1</v>
      </c>
      <c r="J203" s="2">
        <v>3.0303030303030304E-2</v>
      </c>
      <c r="K203" s="2">
        <v>3.0303030000000002E-2</v>
      </c>
      <c r="L203" s="2"/>
      <c r="M203" s="2"/>
      <c r="N203" s="2"/>
      <c r="O203" s="2">
        <f t="shared" si="181"/>
        <v>690.75</v>
      </c>
      <c r="P203" s="2">
        <f t="shared" si="182"/>
        <v>690.75</v>
      </c>
      <c r="Q203" s="2">
        <f t="shared" si="213"/>
        <v>0</v>
      </c>
      <c r="R203" s="2">
        <f t="shared" si="183"/>
        <v>0</v>
      </c>
      <c r="S203" s="2">
        <f t="shared" si="184"/>
        <v>0</v>
      </c>
      <c r="T203" s="2">
        <f t="shared" si="185"/>
        <v>0</v>
      </c>
      <c r="U203" s="2">
        <f t="shared" si="186"/>
        <v>0</v>
      </c>
      <c r="V203" s="2">
        <f t="shared" si="187"/>
        <v>0</v>
      </c>
      <c r="W203" s="2">
        <f t="shared" si="188"/>
        <v>0</v>
      </c>
      <c r="X203" s="2">
        <f t="shared" si="189"/>
        <v>0</v>
      </c>
      <c r="Y203" s="2">
        <f t="shared" si="190"/>
        <v>0</v>
      </c>
      <c r="Z203" s="2"/>
      <c r="AA203" s="2">
        <v>56505403</v>
      </c>
      <c r="AB203" s="2">
        <f t="shared" si="191"/>
        <v>690.75</v>
      </c>
      <c r="AC203" s="2">
        <f t="shared" si="192"/>
        <v>690.75</v>
      </c>
      <c r="AD203" s="2">
        <f t="shared" si="214"/>
        <v>0</v>
      </c>
      <c r="AE203" s="2">
        <f t="shared" si="215"/>
        <v>0</v>
      </c>
      <c r="AF203" s="2">
        <f t="shared" si="216"/>
        <v>0</v>
      </c>
      <c r="AG203" s="2">
        <f t="shared" si="193"/>
        <v>0</v>
      </c>
      <c r="AH203" s="2">
        <f t="shared" si="217"/>
        <v>0</v>
      </c>
      <c r="AI203" s="2">
        <f t="shared" si="218"/>
        <v>0</v>
      </c>
      <c r="AJ203" s="2">
        <f t="shared" si="194"/>
        <v>0</v>
      </c>
      <c r="AK203" s="2">
        <v>690.75</v>
      </c>
      <c r="AL203" s="2">
        <v>690.75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90</v>
      </c>
      <c r="AU203" s="2">
        <v>46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2</v>
      </c>
      <c r="BJ203" s="2" t="s">
        <v>3</v>
      </c>
      <c r="BK203" s="2"/>
      <c r="BL203" s="2"/>
      <c r="BM203" s="2">
        <v>68</v>
      </c>
      <c r="BN203" s="2">
        <v>0</v>
      </c>
      <c r="BO203" s="2" t="s">
        <v>3</v>
      </c>
      <c r="BP203" s="2">
        <v>0</v>
      </c>
      <c r="BQ203" s="2">
        <v>40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30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195"/>
        <v>690.75</v>
      </c>
      <c r="CQ203" s="2">
        <f t="shared" si="196"/>
        <v>690.75</v>
      </c>
      <c r="CR203" s="2">
        <f t="shared" si="219"/>
        <v>0</v>
      </c>
      <c r="CS203" s="2">
        <f t="shared" si="197"/>
        <v>0</v>
      </c>
      <c r="CT203" s="2">
        <f t="shared" si="198"/>
        <v>0</v>
      </c>
      <c r="CU203" s="2">
        <f t="shared" si="199"/>
        <v>0</v>
      </c>
      <c r="CV203" s="2">
        <f t="shared" si="200"/>
        <v>0</v>
      </c>
      <c r="CW203" s="2">
        <f t="shared" si="201"/>
        <v>0</v>
      </c>
      <c r="CX203" s="2">
        <f t="shared" si="202"/>
        <v>0</v>
      </c>
      <c r="CY203" s="2">
        <f t="shared" si="203"/>
        <v>0</v>
      </c>
      <c r="CZ203" s="2">
        <f t="shared" si="204"/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32</v>
      </c>
      <c r="DW203" s="2" t="s">
        <v>32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58162630</v>
      </c>
      <c r="EF203" s="2">
        <v>40</v>
      </c>
      <c r="EG203" s="2" t="s">
        <v>25</v>
      </c>
      <c r="EH203" s="2">
        <v>0</v>
      </c>
      <c r="EI203" s="2" t="s">
        <v>3</v>
      </c>
      <c r="EJ203" s="2">
        <v>2</v>
      </c>
      <c r="EK203" s="2">
        <v>68</v>
      </c>
      <c r="EL203" s="2" t="s">
        <v>26</v>
      </c>
      <c r="EM203" s="2" t="s">
        <v>27</v>
      </c>
      <c r="EN203" s="2"/>
      <c r="EO203" s="2" t="s">
        <v>3</v>
      </c>
      <c r="EP203" s="2"/>
      <c r="EQ203" s="2">
        <v>0</v>
      </c>
      <c r="ER203" s="2">
        <v>0</v>
      </c>
      <c r="ES203" s="2">
        <v>690.75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206</v>
      </c>
      <c r="GB203" s="2"/>
      <c r="GC203" s="2"/>
      <c r="GD203" s="2">
        <v>1</v>
      </c>
      <c r="GE203" s="2"/>
      <c r="GF203" s="2">
        <v>1945929047</v>
      </c>
      <c r="GG203" s="2">
        <v>2</v>
      </c>
      <c r="GH203" s="2">
        <v>4</v>
      </c>
      <c r="GI203" s="2">
        <v>-2</v>
      </c>
      <c r="GJ203" s="2">
        <v>0</v>
      </c>
      <c r="GK203" s="2">
        <v>0</v>
      </c>
      <c r="GL203" s="2">
        <f t="shared" si="205"/>
        <v>0</v>
      </c>
      <c r="GM203" s="2">
        <f t="shared" si="206"/>
        <v>690.75</v>
      </c>
      <c r="GN203" s="2">
        <f t="shared" si="207"/>
        <v>0</v>
      </c>
      <c r="GO203" s="2">
        <f t="shared" si="208"/>
        <v>690.75</v>
      </c>
      <c r="GP203" s="2">
        <f t="shared" si="209"/>
        <v>0</v>
      </c>
      <c r="GQ203" s="2"/>
      <c r="GR203" s="2">
        <v>0</v>
      </c>
      <c r="GS203" s="2">
        <v>2</v>
      </c>
      <c r="GT203" s="2">
        <v>0</v>
      </c>
      <c r="GU203" s="2" t="s">
        <v>3</v>
      </c>
      <c r="GV203" s="2">
        <f t="shared" si="210"/>
        <v>0</v>
      </c>
      <c r="GW203" s="2">
        <v>1</v>
      </c>
      <c r="GX203" s="2">
        <f t="shared" si="211"/>
        <v>0</v>
      </c>
      <c r="GY203" s="2"/>
      <c r="GZ203" s="2"/>
      <c r="HA203" s="2">
        <v>0</v>
      </c>
      <c r="HB203" s="2">
        <v>0</v>
      </c>
      <c r="HC203" s="2">
        <f t="shared" si="212"/>
        <v>0</v>
      </c>
      <c r="HD203" s="2"/>
      <c r="HE203" s="2" t="s">
        <v>34</v>
      </c>
      <c r="HF203" s="2" t="s">
        <v>35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3">
      <c r="A204" s="3">
        <v>18</v>
      </c>
      <c r="B204" s="3">
        <v>1</v>
      </c>
      <c r="C204" s="3"/>
      <c r="D204" s="3"/>
      <c r="E204" s="3" t="s">
        <v>203</v>
      </c>
      <c r="F204" s="3" t="s">
        <v>204</v>
      </c>
      <c r="G204" s="3" t="s">
        <v>205</v>
      </c>
      <c r="H204" s="3" t="s">
        <v>32</v>
      </c>
      <c r="I204" s="3">
        <f>I196*J204</f>
        <v>1</v>
      </c>
      <c r="J204" s="3">
        <v>3.0303030303030304E-2</v>
      </c>
      <c r="K204" s="3">
        <v>3.0303030000000002E-2</v>
      </c>
      <c r="L204" s="3"/>
      <c r="M204" s="3"/>
      <c r="N204" s="3"/>
      <c r="O204" s="3">
        <f t="shared" si="181"/>
        <v>6824.61</v>
      </c>
      <c r="P204" s="3">
        <f t="shared" si="182"/>
        <v>6824.61</v>
      </c>
      <c r="Q204" s="3">
        <f t="shared" si="213"/>
        <v>0</v>
      </c>
      <c r="R204" s="3">
        <f t="shared" si="183"/>
        <v>0</v>
      </c>
      <c r="S204" s="3">
        <f t="shared" si="184"/>
        <v>0</v>
      </c>
      <c r="T204" s="3">
        <f t="shared" si="185"/>
        <v>0</v>
      </c>
      <c r="U204" s="3">
        <f t="shared" si="186"/>
        <v>0</v>
      </c>
      <c r="V204" s="3">
        <f t="shared" si="187"/>
        <v>0</v>
      </c>
      <c r="W204" s="3">
        <f t="shared" si="188"/>
        <v>0</v>
      </c>
      <c r="X204" s="3">
        <f t="shared" si="189"/>
        <v>0</v>
      </c>
      <c r="Y204" s="3">
        <f t="shared" si="190"/>
        <v>0</v>
      </c>
      <c r="Z204" s="3"/>
      <c r="AA204" s="3">
        <v>56505405</v>
      </c>
      <c r="AB204" s="3">
        <f t="shared" si="191"/>
        <v>690.75</v>
      </c>
      <c r="AC204" s="3">
        <f t="shared" si="192"/>
        <v>690.75</v>
      </c>
      <c r="AD204" s="3">
        <f t="shared" si="214"/>
        <v>0</v>
      </c>
      <c r="AE204" s="3">
        <f t="shared" si="215"/>
        <v>0</v>
      </c>
      <c r="AF204" s="3">
        <f t="shared" si="216"/>
        <v>0</v>
      </c>
      <c r="AG204" s="3">
        <f t="shared" si="193"/>
        <v>0</v>
      </c>
      <c r="AH204" s="3">
        <f t="shared" si="217"/>
        <v>0</v>
      </c>
      <c r="AI204" s="3">
        <f t="shared" si="218"/>
        <v>0</v>
      </c>
      <c r="AJ204" s="3">
        <f t="shared" si="194"/>
        <v>0</v>
      </c>
      <c r="AK204" s="3">
        <v>690.75</v>
      </c>
      <c r="AL204" s="3">
        <v>690.75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90</v>
      </c>
      <c r="AU204" s="3">
        <v>46</v>
      </c>
      <c r="AV204" s="3">
        <v>1</v>
      </c>
      <c r="AW204" s="3">
        <v>1</v>
      </c>
      <c r="AX204" s="3"/>
      <c r="AY204" s="3"/>
      <c r="AZ204" s="3">
        <v>1</v>
      </c>
      <c r="BA204" s="3">
        <v>1</v>
      </c>
      <c r="BB204" s="3">
        <v>1</v>
      </c>
      <c r="BC204" s="3">
        <v>9.8800000000000008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2</v>
      </c>
      <c r="BJ204" s="3" t="s">
        <v>3</v>
      </c>
      <c r="BK204" s="3"/>
      <c r="BL204" s="3"/>
      <c r="BM204" s="3">
        <v>68</v>
      </c>
      <c r="BN204" s="3">
        <v>0</v>
      </c>
      <c r="BO204" s="3" t="s">
        <v>3</v>
      </c>
      <c r="BP204" s="3">
        <v>0</v>
      </c>
      <c r="BQ204" s="3">
        <v>40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C204" s="3"/>
      <c r="CD204" s="3"/>
      <c r="CE204" s="3">
        <v>30</v>
      </c>
      <c r="CF204" s="3">
        <v>0</v>
      </c>
      <c r="CG204" s="3">
        <v>0</v>
      </c>
      <c r="CH204" s="3"/>
      <c r="CI204" s="3"/>
      <c r="CJ204" s="3"/>
      <c r="CK204" s="3"/>
      <c r="CL204" s="3"/>
      <c r="CM204" s="3">
        <v>0</v>
      </c>
      <c r="CN204" s="3" t="s">
        <v>3</v>
      </c>
      <c r="CO204" s="3">
        <v>0</v>
      </c>
      <c r="CP204" s="3">
        <f t="shared" si="195"/>
        <v>6824.61</v>
      </c>
      <c r="CQ204" s="3">
        <f t="shared" si="196"/>
        <v>6824.61</v>
      </c>
      <c r="CR204" s="3">
        <f t="shared" si="219"/>
        <v>0</v>
      </c>
      <c r="CS204" s="3">
        <f t="shared" si="197"/>
        <v>0</v>
      </c>
      <c r="CT204" s="3">
        <f t="shared" si="198"/>
        <v>0</v>
      </c>
      <c r="CU204" s="3">
        <f t="shared" si="199"/>
        <v>0</v>
      </c>
      <c r="CV204" s="3">
        <f t="shared" si="200"/>
        <v>0</v>
      </c>
      <c r="CW204" s="3">
        <f t="shared" si="201"/>
        <v>0</v>
      </c>
      <c r="CX204" s="3">
        <f t="shared" si="202"/>
        <v>0</v>
      </c>
      <c r="CY204" s="3">
        <f t="shared" si="203"/>
        <v>0</v>
      </c>
      <c r="CZ204" s="3">
        <f t="shared" si="204"/>
        <v>0</v>
      </c>
      <c r="DA204" s="3"/>
      <c r="DB204" s="3"/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R204" s="3"/>
      <c r="DS204" s="3"/>
      <c r="DT204" s="3"/>
      <c r="DU204" s="3">
        <v>1010</v>
      </c>
      <c r="DV204" s="3" t="s">
        <v>32</v>
      </c>
      <c r="DW204" s="3" t="s">
        <v>32</v>
      </c>
      <c r="DX204" s="3">
        <v>1</v>
      </c>
      <c r="DY204" s="3"/>
      <c r="DZ204" s="3" t="s">
        <v>3</v>
      </c>
      <c r="EA204" s="3" t="s">
        <v>3</v>
      </c>
      <c r="EB204" s="3" t="s">
        <v>3</v>
      </c>
      <c r="EC204" s="3" t="s">
        <v>3</v>
      </c>
      <c r="ED204" s="3"/>
      <c r="EE204" s="3">
        <v>58162630</v>
      </c>
      <c r="EF204" s="3">
        <v>40</v>
      </c>
      <c r="EG204" s="3" t="s">
        <v>25</v>
      </c>
      <c r="EH204" s="3">
        <v>0</v>
      </c>
      <c r="EI204" s="3" t="s">
        <v>3</v>
      </c>
      <c r="EJ204" s="3">
        <v>2</v>
      </c>
      <c r="EK204" s="3">
        <v>68</v>
      </c>
      <c r="EL204" s="3" t="s">
        <v>26</v>
      </c>
      <c r="EM204" s="3" t="s">
        <v>27</v>
      </c>
      <c r="EN204" s="3"/>
      <c r="EO204" s="3" t="s">
        <v>3</v>
      </c>
      <c r="EP204" s="3"/>
      <c r="EQ204" s="3">
        <v>0</v>
      </c>
      <c r="ER204" s="3">
        <v>690.75</v>
      </c>
      <c r="ES204" s="3">
        <v>690.75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/>
      <c r="EZ204" s="3">
        <v>5</v>
      </c>
      <c r="FA204" s="3"/>
      <c r="FB204" s="3"/>
      <c r="FC204" s="3">
        <v>1</v>
      </c>
      <c r="FD204" s="3">
        <v>18</v>
      </c>
      <c r="FE204" s="3"/>
      <c r="FF204" s="3">
        <v>8029</v>
      </c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>
        <v>0</v>
      </c>
      <c r="FR204" s="3">
        <v>0</v>
      </c>
      <c r="FS204" s="3">
        <v>0</v>
      </c>
      <c r="FT204" s="3"/>
      <c r="FU204" s="3"/>
      <c r="FV204" s="3"/>
      <c r="FW204" s="3"/>
      <c r="FX204" s="3">
        <v>90</v>
      </c>
      <c r="FY204" s="3">
        <v>46</v>
      </c>
      <c r="FZ204" s="3"/>
      <c r="GA204" s="3" t="s">
        <v>206</v>
      </c>
      <c r="GB204" s="3"/>
      <c r="GC204" s="3"/>
      <c r="GD204" s="3">
        <v>1</v>
      </c>
      <c r="GE204" s="3"/>
      <c r="GF204" s="3">
        <v>1945929047</v>
      </c>
      <c r="GG204" s="3">
        <v>2</v>
      </c>
      <c r="GH204" s="3">
        <v>3</v>
      </c>
      <c r="GI204" s="3">
        <v>5</v>
      </c>
      <c r="GJ204" s="3">
        <v>0</v>
      </c>
      <c r="GK204" s="3">
        <v>0</v>
      </c>
      <c r="GL204" s="3">
        <f t="shared" si="205"/>
        <v>0</v>
      </c>
      <c r="GM204" s="3">
        <f t="shared" si="206"/>
        <v>6824.61</v>
      </c>
      <c r="GN204" s="3">
        <f t="shared" si="207"/>
        <v>0</v>
      </c>
      <c r="GO204" s="3">
        <f t="shared" si="208"/>
        <v>6824.61</v>
      </c>
      <c r="GP204" s="3">
        <f t="shared" si="209"/>
        <v>0</v>
      </c>
      <c r="GQ204" s="3"/>
      <c r="GR204" s="3">
        <v>1</v>
      </c>
      <c r="GS204" s="3">
        <v>1</v>
      </c>
      <c r="GT204" s="3">
        <v>0</v>
      </c>
      <c r="GU204" s="3" t="s">
        <v>3</v>
      </c>
      <c r="GV204" s="3">
        <f t="shared" si="210"/>
        <v>0</v>
      </c>
      <c r="GW204" s="3">
        <v>1</v>
      </c>
      <c r="GX204" s="3">
        <f t="shared" si="211"/>
        <v>0</v>
      </c>
      <c r="GY204" s="3"/>
      <c r="GZ204" s="3"/>
      <c r="HA204" s="3">
        <v>0</v>
      </c>
      <c r="HB204" s="3">
        <v>0</v>
      </c>
      <c r="HC204" s="3">
        <f t="shared" si="212"/>
        <v>0</v>
      </c>
      <c r="HD204" s="3"/>
      <c r="HE204" s="3" t="s">
        <v>34</v>
      </c>
      <c r="HF204" s="3" t="s">
        <v>35</v>
      </c>
      <c r="HG204" s="3"/>
      <c r="HH204" s="3"/>
      <c r="HI204" s="3"/>
      <c r="HJ204" s="3"/>
      <c r="HK204" s="3"/>
      <c r="HL204" s="3"/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R204" s="3"/>
      <c r="HS204" s="3">
        <v>0</v>
      </c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>
        <v>0</v>
      </c>
      <c r="IL204" s="3"/>
      <c r="IM204" s="3"/>
      <c r="IN204" s="3"/>
      <c r="IO204" s="3"/>
      <c r="IP204" s="3"/>
      <c r="IQ204" s="3"/>
      <c r="IR204" s="3"/>
      <c r="IS204" s="3"/>
      <c r="IT204" s="3"/>
      <c r="IU204" s="3"/>
    </row>
    <row r="205" spans="1:255" x14ac:dyDescent="0.3">
      <c r="A205" s="2">
        <v>18</v>
      </c>
      <c r="B205" s="2">
        <v>1</v>
      </c>
      <c r="C205" s="2"/>
      <c r="D205" s="2"/>
      <c r="E205" s="2" t="s">
        <v>207</v>
      </c>
      <c r="F205" s="2" t="s">
        <v>208</v>
      </c>
      <c r="G205" s="2" t="s">
        <v>209</v>
      </c>
      <c r="H205" s="2" t="s">
        <v>32</v>
      </c>
      <c r="I205" s="2">
        <f>I195*J205</f>
        <v>13</v>
      </c>
      <c r="J205" s="2">
        <v>0.39393939393939392</v>
      </c>
      <c r="K205" s="2">
        <v>0.3939394</v>
      </c>
      <c r="L205" s="2"/>
      <c r="M205" s="2"/>
      <c r="N205" s="2"/>
      <c r="O205" s="2">
        <f t="shared" si="181"/>
        <v>1838.59</v>
      </c>
      <c r="P205" s="2">
        <f t="shared" si="182"/>
        <v>1838.59</v>
      </c>
      <c r="Q205" s="2">
        <f t="shared" si="213"/>
        <v>0</v>
      </c>
      <c r="R205" s="2">
        <f t="shared" si="183"/>
        <v>0</v>
      </c>
      <c r="S205" s="2">
        <f t="shared" si="184"/>
        <v>0</v>
      </c>
      <c r="T205" s="2">
        <f t="shared" si="185"/>
        <v>0</v>
      </c>
      <c r="U205" s="2">
        <f t="shared" si="186"/>
        <v>0</v>
      </c>
      <c r="V205" s="2">
        <f t="shared" si="187"/>
        <v>0</v>
      </c>
      <c r="W205" s="2">
        <f t="shared" si="188"/>
        <v>0</v>
      </c>
      <c r="X205" s="2">
        <f t="shared" si="189"/>
        <v>0</v>
      </c>
      <c r="Y205" s="2">
        <f t="shared" si="190"/>
        <v>0</v>
      </c>
      <c r="Z205" s="2"/>
      <c r="AA205" s="2">
        <v>56505403</v>
      </c>
      <c r="AB205" s="2">
        <f t="shared" si="191"/>
        <v>141.43</v>
      </c>
      <c r="AC205" s="2">
        <f t="shared" si="192"/>
        <v>141.43</v>
      </c>
      <c r="AD205" s="2">
        <f t="shared" si="214"/>
        <v>0</v>
      </c>
      <c r="AE205" s="2">
        <f t="shared" si="215"/>
        <v>0</v>
      </c>
      <c r="AF205" s="2">
        <f t="shared" si="216"/>
        <v>0</v>
      </c>
      <c r="AG205" s="2">
        <f t="shared" si="193"/>
        <v>0</v>
      </c>
      <c r="AH205" s="2">
        <f t="shared" si="217"/>
        <v>0</v>
      </c>
      <c r="AI205" s="2">
        <f t="shared" si="218"/>
        <v>0</v>
      </c>
      <c r="AJ205" s="2">
        <f t="shared" si="194"/>
        <v>0</v>
      </c>
      <c r="AK205" s="2">
        <v>141.43</v>
      </c>
      <c r="AL205" s="2">
        <v>141.43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90</v>
      </c>
      <c r="AU205" s="2">
        <v>46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2</v>
      </c>
      <c r="BJ205" s="2" t="s">
        <v>3</v>
      </c>
      <c r="BK205" s="2"/>
      <c r="BL205" s="2"/>
      <c r="BM205" s="2">
        <v>68</v>
      </c>
      <c r="BN205" s="2">
        <v>0</v>
      </c>
      <c r="BO205" s="2" t="s">
        <v>3</v>
      </c>
      <c r="BP205" s="2">
        <v>0</v>
      </c>
      <c r="BQ205" s="2">
        <v>40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30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</v>
      </c>
      <c r="CO205" s="2">
        <v>0</v>
      </c>
      <c r="CP205" s="2">
        <f t="shared" si="195"/>
        <v>1838.59</v>
      </c>
      <c r="CQ205" s="2">
        <f t="shared" si="196"/>
        <v>141.43</v>
      </c>
      <c r="CR205" s="2">
        <f t="shared" si="219"/>
        <v>0</v>
      </c>
      <c r="CS205" s="2">
        <f t="shared" si="197"/>
        <v>0</v>
      </c>
      <c r="CT205" s="2">
        <f t="shared" si="198"/>
        <v>0</v>
      </c>
      <c r="CU205" s="2">
        <f t="shared" si="199"/>
        <v>0</v>
      </c>
      <c r="CV205" s="2">
        <f t="shared" si="200"/>
        <v>0</v>
      </c>
      <c r="CW205" s="2">
        <f t="shared" si="201"/>
        <v>0</v>
      </c>
      <c r="CX205" s="2">
        <f t="shared" si="202"/>
        <v>0</v>
      </c>
      <c r="CY205" s="2">
        <f t="shared" si="203"/>
        <v>0</v>
      </c>
      <c r="CZ205" s="2">
        <f t="shared" si="204"/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1010</v>
      </c>
      <c r="DV205" s="2" t="s">
        <v>32</v>
      </c>
      <c r="DW205" s="2" t="s">
        <v>32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58162630</v>
      </c>
      <c r="EF205" s="2">
        <v>40</v>
      </c>
      <c r="EG205" s="2" t="s">
        <v>25</v>
      </c>
      <c r="EH205" s="2">
        <v>0</v>
      </c>
      <c r="EI205" s="2" t="s">
        <v>3</v>
      </c>
      <c r="EJ205" s="2">
        <v>2</v>
      </c>
      <c r="EK205" s="2">
        <v>68</v>
      </c>
      <c r="EL205" s="2" t="s">
        <v>26</v>
      </c>
      <c r="EM205" s="2" t="s">
        <v>27</v>
      </c>
      <c r="EN205" s="2"/>
      <c r="EO205" s="2" t="s">
        <v>3</v>
      </c>
      <c r="EP205" s="2"/>
      <c r="EQ205" s="2">
        <v>0</v>
      </c>
      <c r="ER205" s="2">
        <v>0</v>
      </c>
      <c r="ES205" s="2">
        <v>141.43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210</v>
      </c>
      <c r="GB205" s="2"/>
      <c r="GC205" s="2"/>
      <c r="GD205" s="2">
        <v>1</v>
      </c>
      <c r="GE205" s="2"/>
      <c r="GF205" s="2">
        <v>-2055495610</v>
      </c>
      <c r="GG205" s="2">
        <v>2</v>
      </c>
      <c r="GH205" s="2">
        <v>4</v>
      </c>
      <c r="GI205" s="2">
        <v>-2</v>
      </c>
      <c r="GJ205" s="2">
        <v>0</v>
      </c>
      <c r="GK205" s="2">
        <v>0</v>
      </c>
      <c r="GL205" s="2">
        <f t="shared" si="205"/>
        <v>0</v>
      </c>
      <c r="GM205" s="2">
        <f t="shared" si="206"/>
        <v>1838.59</v>
      </c>
      <c r="GN205" s="2">
        <f t="shared" si="207"/>
        <v>0</v>
      </c>
      <c r="GO205" s="2">
        <f t="shared" si="208"/>
        <v>1838.59</v>
      </c>
      <c r="GP205" s="2">
        <f t="shared" si="209"/>
        <v>0</v>
      </c>
      <c r="GQ205" s="2"/>
      <c r="GR205" s="2">
        <v>0</v>
      </c>
      <c r="GS205" s="2">
        <v>2</v>
      </c>
      <c r="GT205" s="2">
        <v>0</v>
      </c>
      <c r="GU205" s="2" t="s">
        <v>3</v>
      </c>
      <c r="GV205" s="2">
        <f t="shared" si="210"/>
        <v>0</v>
      </c>
      <c r="GW205" s="2">
        <v>1</v>
      </c>
      <c r="GX205" s="2">
        <f t="shared" si="211"/>
        <v>0</v>
      </c>
      <c r="GY205" s="2"/>
      <c r="GZ205" s="2"/>
      <c r="HA205" s="2">
        <v>0</v>
      </c>
      <c r="HB205" s="2">
        <v>0</v>
      </c>
      <c r="HC205" s="2">
        <f t="shared" si="212"/>
        <v>0</v>
      </c>
      <c r="HD205" s="2"/>
      <c r="HE205" s="2" t="s">
        <v>34</v>
      </c>
      <c r="HF205" s="2" t="s">
        <v>35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3">
      <c r="A206" s="3">
        <v>18</v>
      </c>
      <c r="B206" s="3">
        <v>1</v>
      </c>
      <c r="C206" s="3"/>
      <c r="D206" s="3"/>
      <c r="E206" s="3" t="s">
        <v>207</v>
      </c>
      <c r="F206" s="3" t="s">
        <v>208</v>
      </c>
      <c r="G206" s="3" t="s">
        <v>209</v>
      </c>
      <c r="H206" s="3" t="s">
        <v>32</v>
      </c>
      <c r="I206" s="3">
        <f>I196*J206</f>
        <v>13</v>
      </c>
      <c r="J206" s="3">
        <v>0.39393939393939392</v>
      </c>
      <c r="K206" s="3">
        <v>0.3939394</v>
      </c>
      <c r="L206" s="3"/>
      <c r="M206" s="3"/>
      <c r="N206" s="3"/>
      <c r="O206" s="3">
        <f t="shared" si="181"/>
        <v>18165.27</v>
      </c>
      <c r="P206" s="3">
        <f t="shared" si="182"/>
        <v>18165.27</v>
      </c>
      <c r="Q206" s="3">
        <f t="shared" si="213"/>
        <v>0</v>
      </c>
      <c r="R206" s="3">
        <f t="shared" si="183"/>
        <v>0</v>
      </c>
      <c r="S206" s="3">
        <f t="shared" si="184"/>
        <v>0</v>
      </c>
      <c r="T206" s="3">
        <f t="shared" si="185"/>
        <v>0</v>
      </c>
      <c r="U206" s="3">
        <f t="shared" si="186"/>
        <v>0</v>
      </c>
      <c r="V206" s="3">
        <f t="shared" si="187"/>
        <v>0</v>
      </c>
      <c r="W206" s="3">
        <f t="shared" si="188"/>
        <v>0</v>
      </c>
      <c r="X206" s="3">
        <f t="shared" si="189"/>
        <v>0</v>
      </c>
      <c r="Y206" s="3">
        <f t="shared" si="190"/>
        <v>0</v>
      </c>
      <c r="Z206" s="3"/>
      <c r="AA206" s="3">
        <v>56505405</v>
      </c>
      <c r="AB206" s="3">
        <f t="shared" si="191"/>
        <v>141.43</v>
      </c>
      <c r="AC206" s="3">
        <f t="shared" si="192"/>
        <v>141.43</v>
      </c>
      <c r="AD206" s="3">
        <f t="shared" si="214"/>
        <v>0</v>
      </c>
      <c r="AE206" s="3">
        <f t="shared" si="215"/>
        <v>0</v>
      </c>
      <c r="AF206" s="3">
        <f t="shared" si="216"/>
        <v>0</v>
      </c>
      <c r="AG206" s="3">
        <f t="shared" si="193"/>
        <v>0</v>
      </c>
      <c r="AH206" s="3">
        <f t="shared" si="217"/>
        <v>0</v>
      </c>
      <c r="AI206" s="3">
        <f t="shared" si="218"/>
        <v>0</v>
      </c>
      <c r="AJ206" s="3">
        <f t="shared" si="194"/>
        <v>0</v>
      </c>
      <c r="AK206" s="3">
        <v>141.43</v>
      </c>
      <c r="AL206" s="3">
        <v>141.43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90</v>
      </c>
      <c r="AU206" s="3">
        <v>46</v>
      </c>
      <c r="AV206" s="3">
        <v>1</v>
      </c>
      <c r="AW206" s="3">
        <v>1</v>
      </c>
      <c r="AX206" s="3"/>
      <c r="AY206" s="3"/>
      <c r="AZ206" s="3">
        <v>1</v>
      </c>
      <c r="BA206" s="3">
        <v>1</v>
      </c>
      <c r="BB206" s="3">
        <v>1</v>
      </c>
      <c r="BC206" s="3">
        <v>9.8800000000000008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2</v>
      </c>
      <c r="BJ206" s="3" t="s">
        <v>3</v>
      </c>
      <c r="BK206" s="3"/>
      <c r="BL206" s="3"/>
      <c r="BM206" s="3">
        <v>68</v>
      </c>
      <c r="BN206" s="3">
        <v>0</v>
      </c>
      <c r="BO206" s="3" t="s">
        <v>3</v>
      </c>
      <c r="BP206" s="3">
        <v>0</v>
      </c>
      <c r="BQ206" s="3">
        <v>40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90</v>
      </c>
      <c r="CA206" s="3">
        <v>46</v>
      </c>
      <c r="CB206" s="3" t="s">
        <v>3</v>
      </c>
      <c r="CC206" s="3"/>
      <c r="CD206" s="3"/>
      <c r="CE206" s="3">
        <v>30</v>
      </c>
      <c r="CF206" s="3">
        <v>0</v>
      </c>
      <c r="CG206" s="3">
        <v>0</v>
      </c>
      <c r="CH206" s="3"/>
      <c r="CI206" s="3"/>
      <c r="CJ206" s="3"/>
      <c r="CK206" s="3"/>
      <c r="CL206" s="3"/>
      <c r="CM206" s="3">
        <v>0</v>
      </c>
      <c r="CN206" s="3" t="s">
        <v>3</v>
      </c>
      <c r="CO206" s="3">
        <v>0</v>
      </c>
      <c r="CP206" s="3">
        <f t="shared" si="195"/>
        <v>18165.27</v>
      </c>
      <c r="CQ206" s="3">
        <f t="shared" si="196"/>
        <v>1397.33</v>
      </c>
      <c r="CR206" s="3">
        <f t="shared" si="219"/>
        <v>0</v>
      </c>
      <c r="CS206" s="3">
        <f t="shared" si="197"/>
        <v>0</v>
      </c>
      <c r="CT206" s="3">
        <f t="shared" si="198"/>
        <v>0</v>
      </c>
      <c r="CU206" s="3">
        <f t="shared" si="199"/>
        <v>0</v>
      </c>
      <c r="CV206" s="3">
        <f t="shared" si="200"/>
        <v>0</v>
      </c>
      <c r="CW206" s="3">
        <f t="shared" si="201"/>
        <v>0</v>
      </c>
      <c r="CX206" s="3">
        <f t="shared" si="202"/>
        <v>0</v>
      </c>
      <c r="CY206" s="3">
        <f t="shared" si="203"/>
        <v>0</v>
      </c>
      <c r="CZ206" s="3">
        <f t="shared" si="204"/>
        <v>0</v>
      </c>
      <c r="DA206" s="3"/>
      <c r="DB206" s="3"/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R206" s="3"/>
      <c r="DS206" s="3"/>
      <c r="DT206" s="3"/>
      <c r="DU206" s="3">
        <v>1010</v>
      </c>
      <c r="DV206" s="3" t="s">
        <v>32</v>
      </c>
      <c r="DW206" s="3" t="s">
        <v>32</v>
      </c>
      <c r="DX206" s="3">
        <v>1</v>
      </c>
      <c r="DY206" s="3"/>
      <c r="DZ206" s="3" t="s">
        <v>3</v>
      </c>
      <c r="EA206" s="3" t="s">
        <v>3</v>
      </c>
      <c r="EB206" s="3" t="s">
        <v>3</v>
      </c>
      <c r="EC206" s="3" t="s">
        <v>3</v>
      </c>
      <c r="ED206" s="3"/>
      <c r="EE206" s="3">
        <v>58162630</v>
      </c>
      <c r="EF206" s="3">
        <v>40</v>
      </c>
      <c r="EG206" s="3" t="s">
        <v>25</v>
      </c>
      <c r="EH206" s="3">
        <v>0</v>
      </c>
      <c r="EI206" s="3" t="s">
        <v>3</v>
      </c>
      <c r="EJ206" s="3">
        <v>2</v>
      </c>
      <c r="EK206" s="3">
        <v>68</v>
      </c>
      <c r="EL206" s="3" t="s">
        <v>26</v>
      </c>
      <c r="EM206" s="3" t="s">
        <v>27</v>
      </c>
      <c r="EN206" s="3"/>
      <c r="EO206" s="3" t="s">
        <v>3</v>
      </c>
      <c r="EP206" s="3"/>
      <c r="EQ206" s="3">
        <v>0</v>
      </c>
      <c r="ER206" s="3">
        <v>141.43</v>
      </c>
      <c r="ES206" s="3">
        <v>141.43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/>
      <c r="EZ206" s="3">
        <v>5</v>
      </c>
      <c r="FA206" s="3"/>
      <c r="FB206" s="3"/>
      <c r="FC206" s="3">
        <v>1</v>
      </c>
      <c r="FD206" s="3">
        <v>18</v>
      </c>
      <c r="FE206" s="3"/>
      <c r="FF206" s="3">
        <v>1644</v>
      </c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>
        <v>0</v>
      </c>
      <c r="FR206" s="3">
        <v>0</v>
      </c>
      <c r="FS206" s="3">
        <v>0</v>
      </c>
      <c r="FT206" s="3"/>
      <c r="FU206" s="3"/>
      <c r="FV206" s="3"/>
      <c r="FW206" s="3"/>
      <c r="FX206" s="3">
        <v>90</v>
      </c>
      <c r="FY206" s="3">
        <v>46</v>
      </c>
      <c r="FZ206" s="3"/>
      <c r="GA206" s="3" t="s">
        <v>210</v>
      </c>
      <c r="GB206" s="3"/>
      <c r="GC206" s="3"/>
      <c r="GD206" s="3">
        <v>1</v>
      </c>
      <c r="GE206" s="3"/>
      <c r="GF206" s="3">
        <v>-2055495610</v>
      </c>
      <c r="GG206" s="3">
        <v>2</v>
      </c>
      <c r="GH206" s="3">
        <v>3</v>
      </c>
      <c r="GI206" s="3">
        <v>5</v>
      </c>
      <c r="GJ206" s="3">
        <v>0</v>
      </c>
      <c r="GK206" s="3">
        <v>0</v>
      </c>
      <c r="GL206" s="3">
        <f t="shared" si="205"/>
        <v>0</v>
      </c>
      <c r="GM206" s="3">
        <f t="shared" si="206"/>
        <v>18165.27</v>
      </c>
      <c r="GN206" s="3">
        <f t="shared" si="207"/>
        <v>0</v>
      </c>
      <c r="GO206" s="3">
        <f t="shared" si="208"/>
        <v>18165.27</v>
      </c>
      <c r="GP206" s="3">
        <f t="shared" si="209"/>
        <v>0</v>
      </c>
      <c r="GQ206" s="3"/>
      <c r="GR206" s="3">
        <v>1</v>
      </c>
      <c r="GS206" s="3">
        <v>1</v>
      </c>
      <c r="GT206" s="3">
        <v>0</v>
      </c>
      <c r="GU206" s="3" t="s">
        <v>3</v>
      </c>
      <c r="GV206" s="3">
        <f t="shared" si="210"/>
        <v>0</v>
      </c>
      <c r="GW206" s="3">
        <v>1</v>
      </c>
      <c r="GX206" s="3">
        <f t="shared" si="211"/>
        <v>0</v>
      </c>
      <c r="GY206" s="3"/>
      <c r="GZ206" s="3"/>
      <c r="HA206" s="3">
        <v>0</v>
      </c>
      <c r="HB206" s="3">
        <v>0</v>
      </c>
      <c r="HC206" s="3">
        <f t="shared" si="212"/>
        <v>0</v>
      </c>
      <c r="HD206" s="3"/>
      <c r="HE206" s="3" t="s">
        <v>34</v>
      </c>
      <c r="HF206" s="3" t="s">
        <v>35</v>
      </c>
      <c r="HG206" s="3"/>
      <c r="HH206" s="3"/>
      <c r="HI206" s="3"/>
      <c r="HJ206" s="3"/>
      <c r="HK206" s="3"/>
      <c r="HL206" s="3"/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R206" s="3"/>
      <c r="HS206" s="3">
        <v>0</v>
      </c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>
        <v>0</v>
      </c>
      <c r="IL206" s="3"/>
      <c r="IM206" s="3"/>
      <c r="IN206" s="3"/>
      <c r="IO206" s="3"/>
      <c r="IP206" s="3"/>
      <c r="IQ206" s="3"/>
      <c r="IR206" s="3"/>
      <c r="IS206" s="3"/>
      <c r="IT206" s="3"/>
      <c r="IU206" s="3"/>
    </row>
    <row r="207" spans="1:255" x14ac:dyDescent="0.3">
      <c r="A207" s="2">
        <v>18</v>
      </c>
      <c r="B207" s="2">
        <v>1</v>
      </c>
      <c r="C207" s="2"/>
      <c r="D207" s="2"/>
      <c r="E207" s="2" t="s">
        <v>211</v>
      </c>
      <c r="F207" s="2" t="s">
        <v>212</v>
      </c>
      <c r="G207" s="2" t="s">
        <v>213</v>
      </c>
      <c r="H207" s="2" t="s">
        <v>32</v>
      </c>
      <c r="I207" s="2">
        <f>I195*J207</f>
        <v>1</v>
      </c>
      <c r="J207" s="2">
        <v>3.0303030303030304E-2</v>
      </c>
      <c r="K207" s="2">
        <v>3.0303030000000002E-2</v>
      </c>
      <c r="L207" s="2"/>
      <c r="M207" s="2"/>
      <c r="N207" s="2"/>
      <c r="O207" s="2">
        <f t="shared" si="181"/>
        <v>40.43</v>
      </c>
      <c r="P207" s="2">
        <f t="shared" si="182"/>
        <v>40.43</v>
      </c>
      <c r="Q207" s="2">
        <f t="shared" si="213"/>
        <v>0</v>
      </c>
      <c r="R207" s="2">
        <f t="shared" si="183"/>
        <v>0</v>
      </c>
      <c r="S207" s="2">
        <f t="shared" si="184"/>
        <v>0</v>
      </c>
      <c r="T207" s="2">
        <f t="shared" si="185"/>
        <v>0</v>
      </c>
      <c r="U207" s="2">
        <f t="shared" si="186"/>
        <v>0</v>
      </c>
      <c r="V207" s="2">
        <f t="shared" si="187"/>
        <v>0</v>
      </c>
      <c r="W207" s="2">
        <f t="shared" si="188"/>
        <v>0</v>
      </c>
      <c r="X207" s="2">
        <f t="shared" si="189"/>
        <v>0</v>
      </c>
      <c r="Y207" s="2">
        <f t="shared" si="190"/>
        <v>0</v>
      </c>
      <c r="Z207" s="2"/>
      <c r="AA207" s="2">
        <v>56505403</v>
      </c>
      <c r="AB207" s="2">
        <f t="shared" si="191"/>
        <v>40.43</v>
      </c>
      <c r="AC207" s="2">
        <f t="shared" si="192"/>
        <v>40.43</v>
      </c>
      <c r="AD207" s="2">
        <f t="shared" si="214"/>
        <v>0</v>
      </c>
      <c r="AE207" s="2">
        <f t="shared" si="215"/>
        <v>0</v>
      </c>
      <c r="AF207" s="2">
        <f t="shared" si="216"/>
        <v>0</v>
      </c>
      <c r="AG207" s="2">
        <f t="shared" si="193"/>
        <v>0</v>
      </c>
      <c r="AH207" s="2">
        <f t="shared" si="217"/>
        <v>0</v>
      </c>
      <c r="AI207" s="2">
        <f t="shared" si="218"/>
        <v>0</v>
      </c>
      <c r="AJ207" s="2">
        <f t="shared" si="194"/>
        <v>0</v>
      </c>
      <c r="AK207" s="2">
        <v>40.43</v>
      </c>
      <c r="AL207" s="2">
        <v>40.43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90</v>
      </c>
      <c r="AU207" s="2">
        <v>46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2</v>
      </c>
      <c r="BJ207" s="2" t="s">
        <v>3</v>
      </c>
      <c r="BK207" s="2"/>
      <c r="BL207" s="2"/>
      <c r="BM207" s="2">
        <v>68</v>
      </c>
      <c r="BN207" s="2">
        <v>0</v>
      </c>
      <c r="BO207" s="2" t="s">
        <v>3</v>
      </c>
      <c r="BP207" s="2">
        <v>0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30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195"/>
        <v>40.43</v>
      </c>
      <c r="CQ207" s="2">
        <f t="shared" si="196"/>
        <v>40.43</v>
      </c>
      <c r="CR207" s="2">
        <f t="shared" si="219"/>
        <v>0</v>
      </c>
      <c r="CS207" s="2">
        <f t="shared" si="197"/>
        <v>0</v>
      </c>
      <c r="CT207" s="2">
        <f t="shared" si="198"/>
        <v>0</v>
      </c>
      <c r="CU207" s="2">
        <f t="shared" si="199"/>
        <v>0</v>
      </c>
      <c r="CV207" s="2">
        <f t="shared" si="200"/>
        <v>0</v>
      </c>
      <c r="CW207" s="2">
        <f t="shared" si="201"/>
        <v>0</v>
      </c>
      <c r="CX207" s="2">
        <f t="shared" si="202"/>
        <v>0</v>
      </c>
      <c r="CY207" s="2">
        <f t="shared" si="203"/>
        <v>0</v>
      </c>
      <c r="CZ207" s="2">
        <f t="shared" si="204"/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1010</v>
      </c>
      <c r="DV207" s="2" t="s">
        <v>32</v>
      </c>
      <c r="DW207" s="2" t="s">
        <v>32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58162630</v>
      </c>
      <c r="EF207" s="2">
        <v>40</v>
      </c>
      <c r="EG207" s="2" t="s">
        <v>25</v>
      </c>
      <c r="EH207" s="2">
        <v>0</v>
      </c>
      <c r="EI207" s="2" t="s">
        <v>3</v>
      </c>
      <c r="EJ207" s="2">
        <v>2</v>
      </c>
      <c r="EK207" s="2">
        <v>68</v>
      </c>
      <c r="EL207" s="2" t="s">
        <v>26</v>
      </c>
      <c r="EM207" s="2" t="s">
        <v>27</v>
      </c>
      <c r="EN207" s="2"/>
      <c r="EO207" s="2" t="s">
        <v>3</v>
      </c>
      <c r="EP207" s="2"/>
      <c r="EQ207" s="2">
        <v>0</v>
      </c>
      <c r="ER207" s="2">
        <v>0</v>
      </c>
      <c r="ES207" s="2">
        <v>40.43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214</v>
      </c>
      <c r="GB207" s="2"/>
      <c r="GC207" s="2"/>
      <c r="GD207" s="2">
        <v>1</v>
      </c>
      <c r="GE207" s="2"/>
      <c r="GF207" s="2">
        <v>1950725461</v>
      </c>
      <c r="GG207" s="2">
        <v>2</v>
      </c>
      <c r="GH207" s="2">
        <v>4</v>
      </c>
      <c r="GI207" s="2">
        <v>-2</v>
      </c>
      <c r="GJ207" s="2">
        <v>0</v>
      </c>
      <c r="GK207" s="2">
        <v>0</v>
      </c>
      <c r="GL207" s="2">
        <f t="shared" si="205"/>
        <v>0</v>
      </c>
      <c r="GM207" s="2">
        <f t="shared" si="206"/>
        <v>40.43</v>
      </c>
      <c r="GN207" s="2">
        <f t="shared" si="207"/>
        <v>0</v>
      </c>
      <c r="GO207" s="2">
        <f t="shared" si="208"/>
        <v>40.43</v>
      </c>
      <c r="GP207" s="2">
        <f t="shared" si="209"/>
        <v>0</v>
      </c>
      <c r="GQ207" s="2"/>
      <c r="GR207" s="2">
        <v>0</v>
      </c>
      <c r="GS207" s="2">
        <v>2</v>
      </c>
      <c r="GT207" s="2">
        <v>0</v>
      </c>
      <c r="GU207" s="2" t="s">
        <v>3</v>
      </c>
      <c r="GV207" s="2">
        <f t="shared" si="210"/>
        <v>0</v>
      </c>
      <c r="GW207" s="2">
        <v>1</v>
      </c>
      <c r="GX207" s="2">
        <f t="shared" si="211"/>
        <v>0</v>
      </c>
      <c r="GY207" s="2"/>
      <c r="GZ207" s="2"/>
      <c r="HA207" s="2">
        <v>0</v>
      </c>
      <c r="HB207" s="2">
        <v>0</v>
      </c>
      <c r="HC207" s="2">
        <f t="shared" si="212"/>
        <v>0</v>
      </c>
      <c r="HD207" s="2"/>
      <c r="HE207" s="2" t="s">
        <v>34</v>
      </c>
      <c r="HF207" s="2" t="s">
        <v>35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3">
      <c r="A208" s="3">
        <v>18</v>
      </c>
      <c r="B208" s="3">
        <v>1</v>
      </c>
      <c r="C208" s="3"/>
      <c r="D208" s="3"/>
      <c r="E208" s="3" t="s">
        <v>211</v>
      </c>
      <c r="F208" s="3" t="s">
        <v>212</v>
      </c>
      <c r="G208" s="3" t="s">
        <v>213</v>
      </c>
      <c r="H208" s="3" t="s">
        <v>32</v>
      </c>
      <c r="I208" s="3">
        <f>I196*J208</f>
        <v>1</v>
      </c>
      <c r="J208" s="3">
        <v>3.0303030303030304E-2</v>
      </c>
      <c r="K208" s="3">
        <v>3.0303030000000002E-2</v>
      </c>
      <c r="L208" s="3"/>
      <c r="M208" s="3"/>
      <c r="N208" s="3"/>
      <c r="O208" s="3">
        <f t="shared" si="181"/>
        <v>399.45</v>
      </c>
      <c r="P208" s="3">
        <f t="shared" si="182"/>
        <v>399.45</v>
      </c>
      <c r="Q208" s="3">
        <f t="shared" si="213"/>
        <v>0</v>
      </c>
      <c r="R208" s="3">
        <f t="shared" si="183"/>
        <v>0</v>
      </c>
      <c r="S208" s="3">
        <f t="shared" si="184"/>
        <v>0</v>
      </c>
      <c r="T208" s="3">
        <f t="shared" si="185"/>
        <v>0</v>
      </c>
      <c r="U208" s="3">
        <f t="shared" si="186"/>
        <v>0</v>
      </c>
      <c r="V208" s="3">
        <f t="shared" si="187"/>
        <v>0</v>
      </c>
      <c r="W208" s="3">
        <f t="shared" si="188"/>
        <v>0</v>
      </c>
      <c r="X208" s="3">
        <f t="shared" si="189"/>
        <v>0</v>
      </c>
      <c r="Y208" s="3">
        <f t="shared" si="190"/>
        <v>0</v>
      </c>
      <c r="Z208" s="3"/>
      <c r="AA208" s="3">
        <v>56505405</v>
      </c>
      <c r="AB208" s="3">
        <f t="shared" si="191"/>
        <v>40.43</v>
      </c>
      <c r="AC208" s="3">
        <f t="shared" si="192"/>
        <v>40.43</v>
      </c>
      <c r="AD208" s="3">
        <f t="shared" si="214"/>
        <v>0</v>
      </c>
      <c r="AE208" s="3">
        <f t="shared" si="215"/>
        <v>0</v>
      </c>
      <c r="AF208" s="3">
        <f t="shared" si="216"/>
        <v>0</v>
      </c>
      <c r="AG208" s="3">
        <f t="shared" si="193"/>
        <v>0</v>
      </c>
      <c r="AH208" s="3">
        <f t="shared" si="217"/>
        <v>0</v>
      </c>
      <c r="AI208" s="3">
        <f t="shared" si="218"/>
        <v>0</v>
      </c>
      <c r="AJ208" s="3">
        <f t="shared" si="194"/>
        <v>0</v>
      </c>
      <c r="AK208" s="3">
        <v>40.43</v>
      </c>
      <c r="AL208" s="3">
        <v>40.43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90</v>
      </c>
      <c r="AU208" s="3">
        <v>46</v>
      </c>
      <c r="AV208" s="3">
        <v>1</v>
      </c>
      <c r="AW208" s="3">
        <v>1</v>
      </c>
      <c r="AX208" s="3"/>
      <c r="AY208" s="3"/>
      <c r="AZ208" s="3">
        <v>1</v>
      </c>
      <c r="BA208" s="3">
        <v>1</v>
      </c>
      <c r="BB208" s="3">
        <v>1</v>
      </c>
      <c r="BC208" s="3">
        <v>9.8800000000000008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3</v>
      </c>
      <c r="BI208" s="3">
        <v>2</v>
      </c>
      <c r="BJ208" s="3" t="s">
        <v>3</v>
      </c>
      <c r="BK208" s="3"/>
      <c r="BL208" s="3"/>
      <c r="BM208" s="3">
        <v>68</v>
      </c>
      <c r="BN208" s="3">
        <v>0</v>
      </c>
      <c r="BO208" s="3" t="s">
        <v>3</v>
      </c>
      <c r="BP208" s="3">
        <v>0</v>
      </c>
      <c r="BQ208" s="3">
        <v>40</v>
      </c>
      <c r="BR208" s="3">
        <v>0</v>
      </c>
      <c r="BS208" s="3">
        <v>1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C208" s="3"/>
      <c r="CD208" s="3"/>
      <c r="CE208" s="3">
        <v>30</v>
      </c>
      <c r="CF208" s="3">
        <v>0</v>
      </c>
      <c r="CG208" s="3">
        <v>0</v>
      </c>
      <c r="CH208" s="3"/>
      <c r="CI208" s="3"/>
      <c r="CJ208" s="3"/>
      <c r="CK208" s="3"/>
      <c r="CL208" s="3"/>
      <c r="CM208" s="3">
        <v>0</v>
      </c>
      <c r="CN208" s="3" t="s">
        <v>3</v>
      </c>
      <c r="CO208" s="3">
        <v>0</v>
      </c>
      <c r="CP208" s="3">
        <f t="shared" si="195"/>
        <v>399.45</v>
      </c>
      <c r="CQ208" s="3">
        <f t="shared" si="196"/>
        <v>399.45</v>
      </c>
      <c r="CR208" s="3">
        <f t="shared" si="219"/>
        <v>0</v>
      </c>
      <c r="CS208" s="3">
        <f t="shared" si="197"/>
        <v>0</v>
      </c>
      <c r="CT208" s="3">
        <f t="shared" si="198"/>
        <v>0</v>
      </c>
      <c r="CU208" s="3">
        <f t="shared" si="199"/>
        <v>0</v>
      </c>
      <c r="CV208" s="3">
        <f t="shared" si="200"/>
        <v>0</v>
      </c>
      <c r="CW208" s="3">
        <f t="shared" si="201"/>
        <v>0</v>
      </c>
      <c r="CX208" s="3">
        <f t="shared" si="202"/>
        <v>0</v>
      </c>
      <c r="CY208" s="3">
        <f t="shared" si="203"/>
        <v>0</v>
      </c>
      <c r="CZ208" s="3">
        <f t="shared" si="204"/>
        <v>0</v>
      </c>
      <c r="DA208" s="3"/>
      <c r="DB208" s="3"/>
      <c r="DC208" s="3" t="s">
        <v>3</v>
      </c>
      <c r="DD208" s="3" t="s">
        <v>3</v>
      </c>
      <c r="DE208" s="3" t="s">
        <v>3</v>
      </c>
      <c r="DF208" s="3" t="s">
        <v>3</v>
      </c>
      <c r="DG208" s="3" t="s">
        <v>3</v>
      </c>
      <c r="DH208" s="3" t="s">
        <v>3</v>
      </c>
      <c r="DI208" s="3" t="s">
        <v>3</v>
      </c>
      <c r="DJ208" s="3" t="s">
        <v>3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R208" s="3"/>
      <c r="DS208" s="3"/>
      <c r="DT208" s="3"/>
      <c r="DU208" s="3">
        <v>1010</v>
      </c>
      <c r="DV208" s="3" t="s">
        <v>32</v>
      </c>
      <c r="DW208" s="3" t="s">
        <v>32</v>
      </c>
      <c r="DX208" s="3">
        <v>1</v>
      </c>
      <c r="DY208" s="3"/>
      <c r="DZ208" s="3" t="s">
        <v>3</v>
      </c>
      <c r="EA208" s="3" t="s">
        <v>3</v>
      </c>
      <c r="EB208" s="3" t="s">
        <v>3</v>
      </c>
      <c r="EC208" s="3" t="s">
        <v>3</v>
      </c>
      <c r="ED208" s="3"/>
      <c r="EE208" s="3">
        <v>58162630</v>
      </c>
      <c r="EF208" s="3">
        <v>40</v>
      </c>
      <c r="EG208" s="3" t="s">
        <v>25</v>
      </c>
      <c r="EH208" s="3">
        <v>0</v>
      </c>
      <c r="EI208" s="3" t="s">
        <v>3</v>
      </c>
      <c r="EJ208" s="3">
        <v>2</v>
      </c>
      <c r="EK208" s="3">
        <v>68</v>
      </c>
      <c r="EL208" s="3" t="s">
        <v>26</v>
      </c>
      <c r="EM208" s="3" t="s">
        <v>27</v>
      </c>
      <c r="EN208" s="3"/>
      <c r="EO208" s="3" t="s">
        <v>3</v>
      </c>
      <c r="EP208" s="3"/>
      <c r="EQ208" s="3">
        <v>0</v>
      </c>
      <c r="ER208" s="3">
        <v>40.43</v>
      </c>
      <c r="ES208" s="3">
        <v>40.43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/>
      <c r="EZ208" s="3">
        <v>5</v>
      </c>
      <c r="FA208" s="3"/>
      <c r="FB208" s="3"/>
      <c r="FC208" s="3">
        <v>1</v>
      </c>
      <c r="FD208" s="3">
        <v>18</v>
      </c>
      <c r="FE208" s="3"/>
      <c r="FF208" s="3">
        <v>470</v>
      </c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>
        <v>0</v>
      </c>
      <c r="FR208" s="3">
        <v>0</v>
      </c>
      <c r="FS208" s="3">
        <v>0</v>
      </c>
      <c r="FT208" s="3"/>
      <c r="FU208" s="3"/>
      <c r="FV208" s="3"/>
      <c r="FW208" s="3"/>
      <c r="FX208" s="3">
        <v>90</v>
      </c>
      <c r="FY208" s="3">
        <v>46</v>
      </c>
      <c r="FZ208" s="3"/>
      <c r="GA208" s="3" t="s">
        <v>214</v>
      </c>
      <c r="GB208" s="3"/>
      <c r="GC208" s="3"/>
      <c r="GD208" s="3">
        <v>1</v>
      </c>
      <c r="GE208" s="3"/>
      <c r="GF208" s="3">
        <v>1950725461</v>
      </c>
      <c r="GG208" s="3">
        <v>2</v>
      </c>
      <c r="GH208" s="3">
        <v>3</v>
      </c>
      <c r="GI208" s="3">
        <v>5</v>
      </c>
      <c r="GJ208" s="3">
        <v>0</v>
      </c>
      <c r="GK208" s="3">
        <v>0</v>
      </c>
      <c r="GL208" s="3">
        <f t="shared" si="205"/>
        <v>0</v>
      </c>
      <c r="GM208" s="3">
        <f t="shared" si="206"/>
        <v>399.45</v>
      </c>
      <c r="GN208" s="3">
        <f t="shared" si="207"/>
        <v>0</v>
      </c>
      <c r="GO208" s="3">
        <f t="shared" si="208"/>
        <v>399.45</v>
      </c>
      <c r="GP208" s="3">
        <f t="shared" si="209"/>
        <v>0</v>
      </c>
      <c r="GQ208" s="3"/>
      <c r="GR208" s="3">
        <v>1</v>
      </c>
      <c r="GS208" s="3">
        <v>1</v>
      </c>
      <c r="GT208" s="3">
        <v>0</v>
      </c>
      <c r="GU208" s="3" t="s">
        <v>3</v>
      </c>
      <c r="GV208" s="3">
        <f t="shared" si="210"/>
        <v>0</v>
      </c>
      <c r="GW208" s="3">
        <v>1</v>
      </c>
      <c r="GX208" s="3">
        <f t="shared" si="211"/>
        <v>0</v>
      </c>
      <c r="GY208" s="3"/>
      <c r="GZ208" s="3"/>
      <c r="HA208" s="3">
        <v>0</v>
      </c>
      <c r="HB208" s="3">
        <v>0</v>
      </c>
      <c r="HC208" s="3">
        <f t="shared" si="212"/>
        <v>0</v>
      </c>
      <c r="HD208" s="3"/>
      <c r="HE208" s="3" t="s">
        <v>34</v>
      </c>
      <c r="HF208" s="3" t="s">
        <v>35</v>
      </c>
      <c r="HG208" s="3"/>
      <c r="HH208" s="3"/>
      <c r="HI208" s="3"/>
      <c r="HJ208" s="3"/>
      <c r="HK208" s="3"/>
      <c r="HL208" s="3"/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R208" s="3"/>
      <c r="HS208" s="3">
        <v>0</v>
      </c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>
        <v>0</v>
      </c>
      <c r="IL208" s="3"/>
      <c r="IM208" s="3"/>
      <c r="IN208" s="3"/>
      <c r="IO208" s="3"/>
      <c r="IP208" s="3"/>
      <c r="IQ208" s="3"/>
      <c r="IR208" s="3"/>
      <c r="IS208" s="3"/>
      <c r="IT208" s="3"/>
      <c r="IU208" s="3"/>
    </row>
    <row r="209" spans="1:255" x14ac:dyDescent="0.3">
      <c r="A209" s="2">
        <v>17</v>
      </c>
      <c r="B209" s="2">
        <v>1</v>
      </c>
      <c r="C209" s="2"/>
      <c r="D209" s="2">
        <f>ROW(EtalonRes!A87)</f>
        <v>87</v>
      </c>
      <c r="E209" s="2" t="s">
        <v>215</v>
      </c>
      <c r="F209" s="2" t="s">
        <v>44</v>
      </c>
      <c r="G209" s="2" t="s">
        <v>45</v>
      </c>
      <c r="H209" s="2" t="s">
        <v>22</v>
      </c>
      <c r="I209" s="2">
        <v>8</v>
      </c>
      <c r="J209" s="2">
        <v>0</v>
      </c>
      <c r="K209" s="2">
        <v>8</v>
      </c>
      <c r="L209" s="2"/>
      <c r="M209" s="2"/>
      <c r="N209" s="2"/>
      <c r="O209" s="2">
        <f t="shared" si="181"/>
        <v>111.95</v>
      </c>
      <c r="P209" s="2">
        <f t="shared" si="182"/>
        <v>0</v>
      </c>
      <c r="Q209" s="2">
        <f>(ROUND((ROUND((((ET209*1.1))*AV209*I209),2)*BB209),2)+ROUND((ROUND(((AE209-((EU209*1.1)))*AV209*I209),2)*BS209),2))</f>
        <v>4.6100000000000003</v>
      </c>
      <c r="R209" s="2">
        <f t="shared" si="183"/>
        <v>0.74</v>
      </c>
      <c r="S209" s="2">
        <f t="shared" si="184"/>
        <v>107.34</v>
      </c>
      <c r="T209" s="2">
        <f t="shared" si="185"/>
        <v>0</v>
      </c>
      <c r="U209" s="2">
        <f t="shared" si="186"/>
        <v>9.4900080000000013</v>
      </c>
      <c r="V209" s="2">
        <f t="shared" si="187"/>
        <v>0</v>
      </c>
      <c r="W209" s="2">
        <f t="shared" si="188"/>
        <v>0</v>
      </c>
      <c r="X209" s="2">
        <f t="shared" si="189"/>
        <v>97.27</v>
      </c>
      <c r="Y209" s="2">
        <f t="shared" si="190"/>
        <v>49.72</v>
      </c>
      <c r="Z209" s="2"/>
      <c r="AA209" s="2">
        <v>56505403</v>
      </c>
      <c r="AB209" s="2">
        <f t="shared" si="191"/>
        <v>13.365</v>
      </c>
      <c r="AC209" s="2">
        <f t="shared" si="192"/>
        <v>0</v>
      </c>
      <c r="AD209" s="2">
        <f>ROUND(((((ET209*1.1))-((EU209*1.1)))+AE209),6)</f>
        <v>0.55000000000000004</v>
      </c>
      <c r="AE209" s="2">
        <f>ROUND(((EU209*1.1)),6)</f>
        <v>8.7999999999999995E-2</v>
      </c>
      <c r="AF209" s="2">
        <f>ROUND(((EV209*1.1)),6)</f>
        <v>12.815</v>
      </c>
      <c r="AG209" s="2">
        <f t="shared" si="193"/>
        <v>0</v>
      </c>
      <c r="AH209" s="2">
        <f>((EW209*1.1))</f>
        <v>1.1330000000000002</v>
      </c>
      <c r="AI209" s="2">
        <f>((EX209*1.1))</f>
        <v>0</v>
      </c>
      <c r="AJ209" s="2">
        <f t="shared" si="194"/>
        <v>0</v>
      </c>
      <c r="AK209" s="2">
        <v>12.15</v>
      </c>
      <c r="AL209" s="2">
        <v>0</v>
      </c>
      <c r="AM209" s="2">
        <v>0.5</v>
      </c>
      <c r="AN209" s="2">
        <v>0.08</v>
      </c>
      <c r="AO209" s="2">
        <v>11.65</v>
      </c>
      <c r="AP209" s="2">
        <v>0</v>
      </c>
      <c r="AQ209" s="2">
        <v>1.03</v>
      </c>
      <c r="AR209" s="2">
        <v>0</v>
      </c>
      <c r="AS209" s="2">
        <v>0</v>
      </c>
      <c r="AT209" s="2">
        <v>90</v>
      </c>
      <c r="AU209" s="2">
        <v>46</v>
      </c>
      <c r="AV209" s="2">
        <v>1.0469999999999999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2</v>
      </c>
      <c r="BJ209" s="2" t="s">
        <v>46</v>
      </c>
      <c r="BK209" s="2"/>
      <c r="BL209" s="2"/>
      <c r="BM209" s="2">
        <v>72</v>
      </c>
      <c r="BN209" s="2">
        <v>0</v>
      </c>
      <c r="BO209" s="2" t="s">
        <v>44</v>
      </c>
      <c r="BP209" s="2">
        <v>1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90</v>
      </c>
      <c r="CA209" s="2">
        <v>46</v>
      </c>
      <c r="CB209" s="2" t="s">
        <v>3</v>
      </c>
      <c r="CC209" s="2"/>
      <c r="CD209" s="2"/>
      <c r="CE209" s="2">
        <v>30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95"/>
        <v>111.95</v>
      </c>
      <c r="CQ209" s="2">
        <f t="shared" si="196"/>
        <v>0</v>
      </c>
      <c r="CR209" s="2">
        <f>(ROUND((ROUND((((ET209*1.1))*AV209*1),2)*BB209),2)+ROUND((ROUND(((AE209-((EU209*1.1)))*AV209*1),2)*BS209),2))</f>
        <v>0.57999999999999996</v>
      </c>
      <c r="CS209" s="2">
        <f t="shared" si="197"/>
        <v>0.09</v>
      </c>
      <c r="CT209" s="2">
        <f t="shared" si="198"/>
        <v>13.42</v>
      </c>
      <c r="CU209" s="2">
        <f t="shared" si="199"/>
        <v>0</v>
      </c>
      <c r="CV209" s="2">
        <f t="shared" si="200"/>
        <v>1.1862510000000002</v>
      </c>
      <c r="CW209" s="2">
        <f t="shared" si="201"/>
        <v>0</v>
      </c>
      <c r="CX209" s="2">
        <f t="shared" si="202"/>
        <v>0</v>
      </c>
      <c r="CY209" s="2">
        <f t="shared" si="203"/>
        <v>97.272000000000006</v>
      </c>
      <c r="CZ209" s="2">
        <f t="shared" si="204"/>
        <v>49.716800000000006</v>
      </c>
      <c r="DA209" s="2"/>
      <c r="DB209" s="2"/>
      <c r="DC209" s="2" t="s">
        <v>3</v>
      </c>
      <c r="DD209" s="2" t="s">
        <v>3</v>
      </c>
      <c r="DE209" s="2" t="s">
        <v>24</v>
      </c>
      <c r="DF209" s="2" t="s">
        <v>24</v>
      </c>
      <c r="DG209" s="2" t="s">
        <v>24</v>
      </c>
      <c r="DH209" s="2" t="s">
        <v>3</v>
      </c>
      <c r="DI209" s="2" t="s">
        <v>24</v>
      </c>
      <c r="DJ209" s="2" t="s">
        <v>24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22</v>
      </c>
      <c r="DW209" s="2" t="s">
        <v>22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58162634</v>
      </c>
      <c r="EF209" s="2">
        <v>40</v>
      </c>
      <c r="EG209" s="2" t="s">
        <v>25</v>
      </c>
      <c r="EH209" s="2">
        <v>0</v>
      </c>
      <c r="EI209" s="2" t="s">
        <v>3</v>
      </c>
      <c r="EJ209" s="2">
        <v>2</v>
      </c>
      <c r="EK209" s="2">
        <v>72</v>
      </c>
      <c r="EL209" s="2" t="s">
        <v>47</v>
      </c>
      <c r="EM209" s="2" t="s">
        <v>48</v>
      </c>
      <c r="EN209" s="2"/>
      <c r="EO209" s="2" t="s">
        <v>28</v>
      </c>
      <c r="EP209" s="2"/>
      <c r="EQ209" s="2">
        <v>0</v>
      </c>
      <c r="ER209" s="2">
        <v>12.15</v>
      </c>
      <c r="ES209" s="2">
        <v>0</v>
      </c>
      <c r="ET209" s="2">
        <v>0.5</v>
      </c>
      <c r="EU209" s="2">
        <v>0.08</v>
      </c>
      <c r="EV209" s="2">
        <v>11.65</v>
      </c>
      <c r="EW209" s="2">
        <v>1.03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90</v>
      </c>
      <c r="FY209" s="2">
        <v>46</v>
      </c>
      <c r="FZ209" s="2"/>
      <c r="GA209" s="2" t="s">
        <v>3</v>
      </c>
      <c r="GB209" s="2"/>
      <c r="GC209" s="2"/>
      <c r="GD209" s="2">
        <v>1</v>
      </c>
      <c r="GE209" s="2"/>
      <c r="GF209" s="2">
        <v>1708693888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si="205"/>
        <v>0</v>
      </c>
      <c r="GM209" s="2">
        <f t="shared" si="206"/>
        <v>258.94</v>
      </c>
      <c r="GN209" s="2">
        <f t="shared" si="207"/>
        <v>0</v>
      </c>
      <c r="GO209" s="2">
        <f t="shared" si="208"/>
        <v>258.94</v>
      </c>
      <c r="GP209" s="2">
        <f t="shared" si="209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210"/>
        <v>0</v>
      </c>
      <c r="GW209" s="2">
        <v>1</v>
      </c>
      <c r="GX209" s="2">
        <f t="shared" si="211"/>
        <v>0</v>
      </c>
      <c r="GY209" s="2"/>
      <c r="GZ209" s="2"/>
      <c r="HA209" s="2">
        <v>0</v>
      </c>
      <c r="HB209" s="2">
        <v>0</v>
      </c>
      <c r="HC209" s="2">
        <f t="shared" si="212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3">
      <c r="A210" s="3">
        <v>17</v>
      </c>
      <c r="B210" s="3">
        <v>1</v>
      </c>
      <c r="C210" s="3"/>
      <c r="D210" s="3">
        <f>ROW(EtalonRes!A90)</f>
        <v>90</v>
      </c>
      <c r="E210" s="3" t="s">
        <v>215</v>
      </c>
      <c r="F210" s="3" t="s">
        <v>44</v>
      </c>
      <c r="G210" s="3" t="s">
        <v>45</v>
      </c>
      <c r="H210" s="3" t="s">
        <v>22</v>
      </c>
      <c r="I210" s="3">
        <v>8</v>
      </c>
      <c r="J210" s="3">
        <v>0</v>
      </c>
      <c r="K210" s="3">
        <v>8</v>
      </c>
      <c r="L210" s="3"/>
      <c r="M210" s="3"/>
      <c r="N210" s="3"/>
      <c r="O210" s="3">
        <f t="shared" si="181"/>
        <v>5977.59</v>
      </c>
      <c r="P210" s="3">
        <f t="shared" si="182"/>
        <v>0</v>
      </c>
      <c r="Q210" s="3">
        <f>(ROUND((ROUND((((ET210*1.1))*AV210*I210),2)*BB210),2)+ROUND((ROUND(((AE210-((EU210*1.1)))*AV210*I210),2)*BS210),2))</f>
        <v>74.959999999999994</v>
      </c>
      <c r="R210" s="3">
        <f t="shared" si="183"/>
        <v>40.69</v>
      </c>
      <c r="S210" s="3">
        <f t="shared" si="184"/>
        <v>5902.63</v>
      </c>
      <c r="T210" s="3">
        <f t="shared" si="185"/>
        <v>0</v>
      </c>
      <c r="U210" s="3">
        <f t="shared" si="186"/>
        <v>9.4900080000000013</v>
      </c>
      <c r="V210" s="3">
        <f t="shared" si="187"/>
        <v>0</v>
      </c>
      <c r="W210" s="3">
        <f t="shared" si="188"/>
        <v>0</v>
      </c>
      <c r="X210" s="3">
        <f t="shared" si="189"/>
        <v>5348.99</v>
      </c>
      <c r="Y210" s="3">
        <f t="shared" si="190"/>
        <v>2733.93</v>
      </c>
      <c r="Z210" s="3"/>
      <c r="AA210" s="3">
        <v>56505405</v>
      </c>
      <c r="AB210" s="3">
        <f t="shared" si="191"/>
        <v>13.365</v>
      </c>
      <c r="AC210" s="3">
        <f t="shared" si="192"/>
        <v>0</v>
      </c>
      <c r="AD210" s="3">
        <f>ROUND(((((ET210*1.1))-((EU210*1.1)))+AE210),6)</f>
        <v>0.55000000000000004</v>
      </c>
      <c r="AE210" s="3">
        <f>ROUND(((EU210*1.1)),6)</f>
        <v>8.7999999999999995E-2</v>
      </c>
      <c r="AF210" s="3">
        <f>ROUND(((EV210*1.1)),6)</f>
        <v>12.815</v>
      </c>
      <c r="AG210" s="3">
        <f t="shared" si="193"/>
        <v>0</v>
      </c>
      <c r="AH210" s="3">
        <f>((EW210*1.1))</f>
        <v>1.1330000000000002</v>
      </c>
      <c r="AI210" s="3">
        <f>((EX210*1.1))</f>
        <v>0</v>
      </c>
      <c r="AJ210" s="3">
        <f t="shared" si="194"/>
        <v>0</v>
      </c>
      <c r="AK210" s="3">
        <v>12.15</v>
      </c>
      <c r="AL210" s="3">
        <v>0</v>
      </c>
      <c r="AM210" s="3">
        <v>0.5</v>
      </c>
      <c r="AN210" s="3">
        <v>0.08</v>
      </c>
      <c r="AO210" s="3">
        <v>11.65</v>
      </c>
      <c r="AP210" s="3">
        <v>0</v>
      </c>
      <c r="AQ210" s="3">
        <v>1.03</v>
      </c>
      <c r="AR210" s="3">
        <v>0</v>
      </c>
      <c r="AS210" s="3">
        <v>0</v>
      </c>
      <c r="AT210" s="3">
        <v>90</v>
      </c>
      <c r="AU210" s="3">
        <v>46</v>
      </c>
      <c r="AV210" s="3">
        <v>1.0469999999999999</v>
      </c>
      <c r="AW210" s="3">
        <v>1</v>
      </c>
      <c r="AX210" s="3"/>
      <c r="AY210" s="3"/>
      <c r="AZ210" s="3">
        <v>1</v>
      </c>
      <c r="BA210" s="3">
        <v>54.99</v>
      </c>
      <c r="BB210" s="3">
        <v>16.260000000000002</v>
      </c>
      <c r="BC210" s="3">
        <v>1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0</v>
      </c>
      <c r="BI210" s="3">
        <v>2</v>
      </c>
      <c r="BJ210" s="3" t="s">
        <v>46</v>
      </c>
      <c r="BK210" s="3"/>
      <c r="BL210" s="3"/>
      <c r="BM210" s="3">
        <v>72</v>
      </c>
      <c r="BN210" s="3">
        <v>0</v>
      </c>
      <c r="BO210" s="3" t="s">
        <v>44</v>
      </c>
      <c r="BP210" s="3">
        <v>1</v>
      </c>
      <c r="BQ210" s="3">
        <v>40</v>
      </c>
      <c r="BR210" s="3">
        <v>0</v>
      </c>
      <c r="BS210" s="3">
        <v>54.99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90</v>
      </c>
      <c r="CA210" s="3">
        <v>46</v>
      </c>
      <c r="CB210" s="3" t="s">
        <v>3</v>
      </c>
      <c r="CC210" s="3"/>
      <c r="CD210" s="3"/>
      <c r="CE210" s="3">
        <v>30</v>
      </c>
      <c r="CF210" s="3">
        <v>0</v>
      </c>
      <c r="CG210" s="3">
        <v>0</v>
      </c>
      <c r="CH210" s="3"/>
      <c r="CI210" s="3"/>
      <c r="CJ210" s="3"/>
      <c r="CK210" s="3"/>
      <c r="CL210" s="3"/>
      <c r="CM210" s="3">
        <v>0</v>
      </c>
      <c r="CN210" s="3" t="s">
        <v>3</v>
      </c>
      <c r="CO210" s="3">
        <v>0</v>
      </c>
      <c r="CP210" s="3">
        <f t="shared" si="195"/>
        <v>5977.59</v>
      </c>
      <c r="CQ210" s="3">
        <f t="shared" si="196"/>
        <v>0</v>
      </c>
      <c r="CR210" s="3">
        <f>(ROUND((ROUND((((ET210*1.1))*AV210*1),2)*BB210),2)+ROUND((ROUND(((AE210-((EU210*1.1)))*AV210*1),2)*BS210),2))</f>
        <v>9.43</v>
      </c>
      <c r="CS210" s="3">
        <f t="shared" si="197"/>
        <v>4.95</v>
      </c>
      <c r="CT210" s="3">
        <f t="shared" si="198"/>
        <v>737.97</v>
      </c>
      <c r="CU210" s="3">
        <f t="shared" si="199"/>
        <v>0</v>
      </c>
      <c r="CV210" s="3">
        <f t="shared" si="200"/>
        <v>1.1862510000000002</v>
      </c>
      <c r="CW210" s="3">
        <f t="shared" si="201"/>
        <v>0</v>
      </c>
      <c r="CX210" s="3">
        <f t="shared" si="202"/>
        <v>0</v>
      </c>
      <c r="CY210" s="3">
        <f t="shared" si="203"/>
        <v>5348.9879999999994</v>
      </c>
      <c r="CZ210" s="3">
        <f t="shared" si="204"/>
        <v>2733.9271999999996</v>
      </c>
      <c r="DA210" s="3"/>
      <c r="DB210" s="3"/>
      <c r="DC210" s="3" t="s">
        <v>3</v>
      </c>
      <c r="DD210" s="3" t="s">
        <v>3</v>
      </c>
      <c r="DE210" s="3" t="s">
        <v>24</v>
      </c>
      <c r="DF210" s="3" t="s">
        <v>24</v>
      </c>
      <c r="DG210" s="3" t="s">
        <v>24</v>
      </c>
      <c r="DH210" s="3" t="s">
        <v>3</v>
      </c>
      <c r="DI210" s="3" t="s">
        <v>24</v>
      </c>
      <c r="DJ210" s="3" t="s">
        <v>24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R210" s="3"/>
      <c r="DS210" s="3"/>
      <c r="DT210" s="3"/>
      <c r="DU210" s="3">
        <v>1013</v>
      </c>
      <c r="DV210" s="3" t="s">
        <v>22</v>
      </c>
      <c r="DW210" s="3" t="s">
        <v>22</v>
      </c>
      <c r="DX210" s="3">
        <v>1</v>
      </c>
      <c r="DY210" s="3"/>
      <c r="DZ210" s="3" t="s">
        <v>3</v>
      </c>
      <c r="EA210" s="3" t="s">
        <v>3</v>
      </c>
      <c r="EB210" s="3" t="s">
        <v>3</v>
      </c>
      <c r="EC210" s="3" t="s">
        <v>3</v>
      </c>
      <c r="ED210" s="3"/>
      <c r="EE210" s="3">
        <v>58162634</v>
      </c>
      <c r="EF210" s="3">
        <v>40</v>
      </c>
      <c r="EG210" s="3" t="s">
        <v>25</v>
      </c>
      <c r="EH210" s="3">
        <v>0</v>
      </c>
      <c r="EI210" s="3" t="s">
        <v>3</v>
      </c>
      <c r="EJ210" s="3">
        <v>2</v>
      </c>
      <c r="EK210" s="3">
        <v>72</v>
      </c>
      <c r="EL210" s="3" t="s">
        <v>47</v>
      </c>
      <c r="EM210" s="3" t="s">
        <v>48</v>
      </c>
      <c r="EN210" s="3"/>
      <c r="EO210" s="3" t="s">
        <v>28</v>
      </c>
      <c r="EP210" s="3"/>
      <c r="EQ210" s="3">
        <v>0</v>
      </c>
      <c r="ER210" s="3">
        <v>12.15</v>
      </c>
      <c r="ES210" s="3">
        <v>0</v>
      </c>
      <c r="ET210" s="3">
        <v>0.5</v>
      </c>
      <c r="EU210" s="3">
        <v>0.08</v>
      </c>
      <c r="EV210" s="3">
        <v>11.65</v>
      </c>
      <c r="EW210" s="3">
        <v>1.03</v>
      </c>
      <c r="EX210" s="3">
        <v>0</v>
      </c>
      <c r="EY210" s="3">
        <v>0</v>
      </c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>
        <v>0</v>
      </c>
      <c r="FR210" s="3">
        <v>0</v>
      </c>
      <c r="FS210" s="3">
        <v>0</v>
      </c>
      <c r="FT210" s="3"/>
      <c r="FU210" s="3"/>
      <c r="FV210" s="3"/>
      <c r="FW210" s="3"/>
      <c r="FX210" s="3">
        <v>90</v>
      </c>
      <c r="FY210" s="3">
        <v>46</v>
      </c>
      <c r="FZ210" s="3"/>
      <c r="GA210" s="3" t="s">
        <v>3</v>
      </c>
      <c r="GB210" s="3"/>
      <c r="GC210" s="3"/>
      <c r="GD210" s="3">
        <v>1</v>
      </c>
      <c r="GE210" s="3"/>
      <c r="GF210" s="3">
        <v>1708693888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205"/>
        <v>0</v>
      </c>
      <c r="GM210" s="3">
        <f t="shared" si="206"/>
        <v>14060.51</v>
      </c>
      <c r="GN210" s="3">
        <f t="shared" si="207"/>
        <v>0</v>
      </c>
      <c r="GO210" s="3">
        <f t="shared" si="208"/>
        <v>14060.51</v>
      </c>
      <c r="GP210" s="3">
        <f t="shared" si="209"/>
        <v>0</v>
      </c>
      <c r="GQ210" s="3"/>
      <c r="GR210" s="3">
        <v>0</v>
      </c>
      <c r="GS210" s="3">
        <v>3</v>
      </c>
      <c r="GT210" s="3">
        <v>0</v>
      </c>
      <c r="GU210" s="3" t="s">
        <v>3</v>
      </c>
      <c r="GV210" s="3">
        <f t="shared" si="210"/>
        <v>0</v>
      </c>
      <c r="GW210" s="3">
        <v>1</v>
      </c>
      <c r="GX210" s="3">
        <f t="shared" si="211"/>
        <v>0</v>
      </c>
      <c r="GY210" s="3"/>
      <c r="GZ210" s="3"/>
      <c r="HA210" s="3">
        <v>0</v>
      </c>
      <c r="HB210" s="3">
        <v>0</v>
      </c>
      <c r="HC210" s="3">
        <f t="shared" si="212"/>
        <v>0</v>
      </c>
      <c r="HD210" s="3"/>
      <c r="HE210" s="3" t="s">
        <v>3</v>
      </c>
      <c r="HF210" s="3" t="s">
        <v>3</v>
      </c>
      <c r="HG210" s="3"/>
      <c r="HH210" s="3"/>
      <c r="HI210" s="3"/>
      <c r="HJ210" s="3"/>
      <c r="HK210" s="3"/>
      <c r="HL210" s="3"/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R210" s="3"/>
      <c r="HS210" s="3">
        <v>0</v>
      </c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>
        <v>0</v>
      </c>
      <c r="IL210" s="3"/>
      <c r="IM210" s="3"/>
      <c r="IN210" s="3"/>
      <c r="IO210" s="3"/>
      <c r="IP210" s="3"/>
      <c r="IQ210" s="3"/>
      <c r="IR210" s="3"/>
      <c r="IS210" s="3"/>
      <c r="IT210" s="3"/>
      <c r="IU210" s="3"/>
    </row>
    <row r="211" spans="1:255" x14ac:dyDescent="0.3">
      <c r="A211" s="2">
        <v>18</v>
      </c>
      <c r="B211" s="2">
        <v>1</v>
      </c>
      <c r="C211" s="2"/>
      <c r="D211" s="2"/>
      <c r="E211" s="2" t="s">
        <v>216</v>
      </c>
      <c r="F211" s="2" t="s">
        <v>217</v>
      </c>
      <c r="G211" s="2" t="s">
        <v>218</v>
      </c>
      <c r="H211" s="2" t="s">
        <v>32</v>
      </c>
      <c r="I211" s="2">
        <f>I209*J211</f>
        <v>8</v>
      </c>
      <c r="J211" s="2">
        <v>1</v>
      </c>
      <c r="K211" s="2">
        <v>1</v>
      </c>
      <c r="L211" s="2"/>
      <c r="M211" s="2"/>
      <c r="N211" s="2"/>
      <c r="O211" s="2">
        <f t="shared" si="181"/>
        <v>3052.4</v>
      </c>
      <c r="P211" s="2">
        <f t="shared" si="182"/>
        <v>3052.4</v>
      </c>
      <c r="Q211" s="2">
        <f>(ROUND((ROUND(((ET211)*AV211*I211),2)*BB211),2)+ROUND((ROUND(((AE211-(EU211))*AV211*I211),2)*BS211),2))</f>
        <v>0</v>
      </c>
      <c r="R211" s="2">
        <f t="shared" si="183"/>
        <v>0</v>
      </c>
      <c r="S211" s="2">
        <f t="shared" si="184"/>
        <v>0</v>
      </c>
      <c r="T211" s="2">
        <f t="shared" si="185"/>
        <v>0</v>
      </c>
      <c r="U211" s="2">
        <f t="shared" si="186"/>
        <v>0</v>
      </c>
      <c r="V211" s="2">
        <f t="shared" si="187"/>
        <v>0</v>
      </c>
      <c r="W211" s="2">
        <f t="shared" si="188"/>
        <v>0</v>
      </c>
      <c r="X211" s="2">
        <f t="shared" si="189"/>
        <v>0</v>
      </c>
      <c r="Y211" s="2">
        <f t="shared" si="190"/>
        <v>0</v>
      </c>
      <c r="Z211" s="2"/>
      <c r="AA211" s="2">
        <v>56505403</v>
      </c>
      <c r="AB211" s="2">
        <f t="shared" si="191"/>
        <v>381.55</v>
      </c>
      <c r="AC211" s="2">
        <f t="shared" si="192"/>
        <v>381.55</v>
      </c>
      <c r="AD211" s="2">
        <f>ROUND((((ET211)-(EU211))+AE211),6)</f>
        <v>0</v>
      </c>
      <c r="AE211" s="2">
        <f>ROUND((EU211),6)</f>
        <v>0</v>
      </c>
      <c r="AF211" s="2">
        <f>ROUND((EV211),6)</f>
        <v>0</v>
      </c>
      <c r="AG211" s="2">
        <f t="shared" si="193"/>
        <v>0</v>
      </c>
      <c r="AH211" s="2">
        <f>(EW211)</f>
        <v>0</v>
      </c>
      <c r="AI211" s="2">
        <f>(EX211)</f>
        <v>0</v>
      </c>
      <c r="AJ211" s="2">
        <f t="shared" si="194"/>
        <v>0</v>
      </c>
      <c r="AK211" s="2">
        <v>381.55</v>
      </c>
      <c r="AL211" s="2">
        <v>381.55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90</v>
      </c>
      <c r="AU211" s="2">
        <v>46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2</v>
      </c>
      <c r="BJ211" s="2" t="s">
        <v>3</v>
      </c>
      <c r="BK211" s="2"/>
      <c r="BL211" s="2"/>
      <c r="BM211" s="2">
        <v>72</v>
      </c>
      <c r="BN211" s="2">
        <v>0</v>
      </c>
      <c r="BO211" s="2" t="s">
        <v>3</v>
      </c>
      <c r="BP211" s="2">
        <v>0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90</v>
      </c>
      <c r="CA211" s="2">
        <v>46</v>
      </c>
      <c r="CB211" s="2" t="s">
        <v>3</v>
      </c>
      <c r="CC211" s="2"/>
      <c r="CD211" s="2"/>
      <c r="CE211" s="2">
        <v>30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95"/>
        <v>3052.4</v>
      </c>
      <c r="CQ211" s="2">
        <f t="shared" si="196"/>
        <v>381.55</v>
      </c>
      <c r="CR211" s="2">
        <f>(ROUND((ROUND(((ET211)*AV211*1),2)*BB211),2)+ROUND((ROUND(((AE211-(EU211))*AV211*1),2)*BS211),2))</f>
        <v>0</v>
      </c>
      <c r="CS211" s="2">
        <f t="shared" si="197"/>
        <v>0</v>
      </c>
      <c r="CT211" s="2">
        <f t="shared" si="198"/>
        <v>0</v>
      </c>
      <c r="CU211" s="2">
        <f t="shared" si="199"/>
        <v>0</v>
      </c>
      <c r="CV211" s="2">
        <f t="shared" si="200"/>
        <v>0</v>
      </c>
      <c r="CW211" s="2">
        <f t="shared" si="201"/>
        <v>0</v>
      </c>
      <c r="CX211" s="2">
        <f t="shared" si="202"/>
        <v>0</v>
      </c>
      <c r="CY211" s="2">
        <f t="shared" si="203"/>
        <v>0</v>
      </c>
      <c r="CZ211" s="2">
        <f t="shared" si="204"/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32</v>
      </c>
      <c r="DW211" s="2" t="s">
        <v>32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58162634</v>
      </c>
      <c r="EF211" s="2">
        <v>40</v>
      </c>
      <c r="EG211" s="2" t="s">
        <v>25</v>
      </c>
      <c r="EH211" s="2">
        <v>0</v>
      </c>
      <c r="EI211" s="2" t="s">
        <v>3</v>
      </c>
      <c r="EJ211" s="2">
        <v>2</v>
      </c>
      <c r="EK211" s="2">
        <v>72</v>
      </c>
      <c r="EL211" s="2" t="s">
        <v>47</v>
      </c>
      <c r="EM211" s="2" t="s">
        <v>48</v>
      </c>
      <c r="EN211" s="2"/>
      <c r="EO211" s="2" t="s">
        <v>3</v>
      </c>
      <c r="EP211" s="2"/>
      <c r="EQ211" s="2">
        <v>0</v>
      </c>
      <c r="ER211" s="2">
        <v>0</v>
      </c>
      <c r="ES211" s="2">
        <v>381.55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90</v>
      </c>
      <c r="FY211" s="2">
        <v>46</v>
      </c>
      <c r="FZ211" s="2"/>
      <c r="GA211" s="2" t="s">
        <v>219</v>
      </c>
      <c r="GB211" s="2"/>
      <c r="GC211" s="2"/>
      <c r="GD211" s="2">
        <v>1</v>
      </c>
      <c r="GE211" s="2"/>
      <c r="GF211" s="2">
        <v>788360775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205"/>
        <v>0</v>
      </c>
      <c r="GM211" s="2">
        <f t="shared" si="206"/>
        <v>3052.4</v>
      </c>
      <c r="GN211" s="2">
        <f t="shared" si="207"/>
        <v>0</v>
      </c>
      <c r="GO211" s="2">
        <f t="shared" si="208"/>
        <v>3052.4</v>
      </c>
      <c r="GP211" s="2">
        <f t="shared" si="209"/>
        <v>0</v>
      </c>
      <c r="GQ211" s="2"/>
      <c r="GR211" s="2">
        <v>0</v>
      </c>
      <c r="GS211" s="2">
        <v>2</v>
      </c>
      <c r="GT211" s="2">
        <v>0</v>
      </c>
      <c r="GU211" s="2" t="s">
        <v>3</v>
      </c>
      <c r="GV211" s="2">
        <f t="shared" si="210"/>
        <v>0</v>
      </c>
      <c r="GW211" s="2">
        <v>1</v>
      </c>
      <c r="GX211" s="2">
        <f t="shared" si="211"/>
        <v>0</v>
      </c>
      <c r="GY211" s="2"/>
      <c r="GZ211" s="2"/>
      <c r="HA211" s="2">
        <v>0</v>
      </c>
      <c r="HB211" s="2">
        <v>0</v>
      </c>
      <c r="HC211" s="2">
        <f t="shared" si="212"/>
        <v>0</v>
      </c>
      <c r="HD211" s="2"/>
      <c r="HE211" s="2" t="s">
        <v>34</v>
      </c>
      <c r="HF211" s="2" t="s">
        <v>35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3">
      <c r="A212" s="3">
        <v>18</v>
      </c>
      <c r="B212" s="3">
        <v>1</v>
      </c>
      <c r="C212" s="3"/>
      <c r="D212" s="3"/>
      <c r="E212" s="3" t="s">
        <v>216</v>
      </c>
      <c r="F212" s="3" t="s">
        <v>217</v>
      </c>
      <c r="G212" s="3" t="s">
        <v>218</v>
      </c>
      <c r="H212" s="3" t="s">
        <v>32</v>
      </c>
      <c r="I212" s="3">
        <f>I210*J212</f>
        <v>8</v>
      </c>
      <c r="J212" s="3">
        <v>1</v>
      </c>
      <c r="K212" s="3">
        <v>1</v>
      </c>
      <c r="L212" s="3"/>
      <c r="M212" s="3"/>
      <c r="N212" s="3"/>
      <c r="O212" s="3">
        <f t="shared" si="181"/>
        <v>30157.71</v>
      </c>
      <c r="P212" s="3">
        <f t="shared" si="182"/>
        <v>30157.71</v>
      </c>
      <c r="Q212" s="3">
        <f>(ROUND((ROUND(((ET212)*AV212*I212),2)*BB212),2)+ROUND((ROUND(((AE212-(EU212))*AV212*I212),2)*BS212),2))</f>
        <v>0</v>
      </c>
      <c r="R212" s="3">
        <f t="shared" si="183"/>
        <v>0</v>
      </c>
      <c r="S212" s="3">
        <f t="shared" si="184"/>
        <v>0</v>
      </c>
      <c r="T212" s="3">
        <f t="shared" si="185"/>
        <v>0</v>
      </c>
      <c r="U212" s="3">
        <f t="shared" si="186"/>
        <v>0</v>
      </c>
      <c r="V212" s="3">
        <f t="shared" si="187"/>
        <v>0</v>
      </c>
      <c r="W212" s="3">
        <f t="shared" si="188"/>
        <v>0</v>
      </c>
      <c r="X212" s="3">
        <f t="shared" si="189"/>
        <v>0</v>
      </c>
      <c r="Y212" s="3">
        <f t="shared" si="190"/>
        <v>0</v>
      </c>
      <c r="Z212" s="3"/>
      <c r="AA212" s="3">
        <v>56505405</v>
      </c>
      <c r="AB212" s="3">
        <f t="shared" si="191"/>
        <v>381.55</v>
      </c>
      <c r="AC212" s="3">
        <f t="shared" si="192"/>
        <v>381.55</v>
      </c>
      <c r="AD212" s="3">
        <f>ROUND((((ET212)-(EU212))+AE212),6)</f>
        <v>0</v>
      </c>
      <c r="AE212" s="3">
        <f>ROUND((EU212),6)</f>
        <v>0</v>
      </c>
      <c r="AF212" s="3">
        <f>ROUND((EV212),6)</f>
        <v>0</v>
      </c>
      <c r="AG212" s="3">
        <f t="shared" si="193"/>
        <v>0</v>
      </c>
      <c r="AH212" s="3">
        <f>(EW212)</f>
        <v>0</v>
      </c>
      <c r="AI212" s="3">
        <f>(EX212)</f>
        <v>0</v>
      </c>
      <c r="AJ212" s="3">
        <f t="shared" si="194"/>
        <v>0</v>
      </c>
      <c r="AK212" s="3">
        <v>381.55</v>
      </c>
      <c r="AL212" s="3">
        <v>381.55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90</v>
      </c>
      <c r="AU212" s="3">
        <v>46</v>
      </c>
      <c r="AV212" s="3">
        <v>1</v>
      </c>
      <c r="AW212" s="3">
        <v>1</v>
      </c>
      <c r="AX212" s="3"/>
      <c r="AY212" s="3"/>
      <c r="AZ212" s="3">
        <v>1</v>
      </c>
      <c r="BA212" s="3">
        <v>1</v>
      </c>
      <c r="BB212" s="3">
        <v>1</v>
      </c>
      <c r="BC212" s="3">
        <v>9.8800000000000008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2</v>
      </c>
      <c r="BJ212" s="3" t="s">
        <v>3</v>
      </c>
      <c r="BK212" s="3"/>
      <c r="BL212" s="3"/>
      <c r="BM212" s="3">
        <v>72</v>
      </c>
      <c r="BN212" s="3">
        <v>0</v>
      </c>
      <c r="BO212" s="3" t="s">
        <v>3</v>
      </c>
      <c r="BP212" s="3">
        <v>0</v>
      </c>
      <c r="BQ212" s="3">
        <v>40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90</v>
      </c>
      <c r="CA212" s="3">
        <v>46</v>
      </c>
      <c r="CB212" s="3" t="s">
        <v>3</v>
      </c>
      <c r="CC212" s="3"/>
      <c r="CD212" s="3"/>
      <c r="CE212" s="3">
        <v>30</v>
      </c>
      <c r="CF212" s="3">
        <v>0</v>
      </c>
      <c r="CG212" s="3">
        <v>0</v>
      </c>
      <c r="CH212" s="3"/>
      <c r="CI212" s="3"/>
      <c r="CJ212" s="3"/>
      <c r="CK212" s="3"/>
      <c r="CL212" s="3"/>
      <c r="CM212" s="3">
        <v>0</v>
      </c>
      <c r="CN212" s="3" t="s">
        <v>3</v>
      </c>
      <c r="CO212" s="3">
        <v>0</v>
      </c>
      <c r="CP212" s="3">
        <f t="shared" si="195"/>
        <v>30157.71</v>
      </c>
      <c r="CQ212" s="3">
        <f t="shared" si="196"/>
        <v>3769.71</v>
      </c>
      <c r="CR212" s="3">
        <f>(ROUND((ROUND(((ET212)*AV212*1),2)*BB212),2)+ROUND((ROUND(((AE212-(EU212))*AV212*1),2)*BS212),2))</f>
        <v>0</v>
      </c>
      <c r="CS212" s="3">
        <f t="shared" si="197"/>
        <v>0</v>
      </c>
      <c r="CT212" s="3">
        <f t="shared" si="198"/>
        <v>0</v>
      </c>
      <c r="CU212" s="3">
        <f t="shared" si="199"/>
        <v>0</v>
      </c>
      <c r="CV212" s="3">
        <f t="shared" si="200"/>
        <v>0</v>
      </c>
      <c r="CW212" s="3">
        <f t="shared" si="201"/>
        <v>0</v>
      </c>
      <c r="CX212" s="3">
        <f t="shared" si="202"/>
        <v>0</v>
      </c>
      <c r="CY212" s="3">
        <f t="shared" si="203"/>
        <v>0</v>
      </c>
      <c r="CZ212" s="3">
        <f t="shared" si="204"/>
        <v>0</v>
      </c>
      <c r="DA212" s="3"/>
      <c r="DB212" s="3"/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R212" s="3"/>
      <c r="DS212" s="3"/>
      <c r="DT212" s="3"/>
      <c r="DU212" s="3">
        <v>1010</v>
      </c>
      <c r="DV212" s="3" t="s">
        <v>32</v>
      </c>
      <c r="DW212" s="3" t="s">
        <v>32</v>
      </c>
      <c r="DX212" s="3">
        <v>1</v>
      </c>
      <c r="DY212" s="3"/>
      <c r="DZ212" s="3" t="s">
        <v>3</v>
      </c>
      <c r="EA212" s="3" t="s">
        <v>3</v>
      </c>
      <c r="EB212" s="3" t="s">
        <v>3</v>
      </c>
      <c r="EC212" s="3" t="s">
        <v>3</v>
      </c>
      <c r="ED212" s="3"/>
      <c r="EE212" s="3">
        <v>58162634</v>
      </c>
      <c r="EF212" s="3">
        <v>40</v>
      </c>
      <c r="EG212" s="3" t="s">
        <v>25</v>
      </c>
      <c r="EH212" s="3">
        <v>0</v>
      </c>
      <c r="EI212" s="3" t="s">
        <v>3</v>
      </c>
      <c r="EJ212" s="3">
        <v>2</v>
      </c>
      <c r="EK212" s="3">
        <v>72</v>
      </c>
      <c r="EL212" s="3" t="s">
        <v>47</v>
      </c>
      <c r="EM212" s="3" t="s">
        <v>48</v>
      </c>
      <c r="EN212" s="3"/>
      <c r="EO212" s="3" t="s">
        <v>3</v>
      </c>
      <c r="EP212" s="3"/>
      <c r="EQ212" s="3">
        <v>0</v>
      </c>
      <c r="ER212" s="3">
        <v>381.55</v>
      </c>
      <c r="ES212" s="3">
        <v>381.55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/>
      <c r="EZ212" s="3">
        <v>5</v>
      </c>
      <c r="FA212" s="3"/>
      <c r="FB212" s="3"/>
      <c r="FC212" s="3">
        <v>1</v>
      </c>
      <c r="FD212" s="3">
        <v>18</v>
      </c>
      <c r="FE212" s="3"/>
      <c r="FF212" s="3">
        <v>4435</v>
      </c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>
        <v>0</v>
      </c>
      <c r="FR212" s="3">
        <v>0</v>
      </c>
      <c r="FS212" s="3">
        <v>0</v>
      </c>
      <c r="FT212" s="3"/>
      <c r="FU212" s="3"/>
      <c r="FV212" s="3"/>
      <c r="FW212" s="3"/>
      <c r="FX212" s="3">
        <v>90</v>
      </c>
      <c r="FY212" s="3">
        <v>46</v>
      </c>
      <c r="FZ212" s="3"/>
      <c r="GA212" s="3" t="s">
        <v>219</v>
      </c>
      <c r="GB212" s="3"/>
      <c r="GC212" s="3"/>
      <c r="GD212" s="3">
        <v>1</v>
      </c>
      <c r="GE212" s="3"/>
      <c r="GF212" s="3">
        <v>788360775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205"/>
        <v>0</v>
      </c>
      <c r="GM212" s="3">
        <f t="shared" si="206"/>
        <v>30157.71</v>
      </c>
      <c r="GN212" s="3">
        <f t="shared" si="207"/>
        <v>0</v>
      </c>
      <c r="GO212" s="3">
        <f t="shared" si="208"/>
        <v>30157.71</v>
      </c>
      <c r="GP212" s="3">
        <f t="shared" si="209"/>
        <v>0</v>
      </c>
      <c r="GQ212" s="3"/>
      <c r="GR212" s="3">
        <v>1</v>
      </c>
      <c r="GS212" s="3">
        <v>1</v>
      </c>
      <c r="GT212" s="3">
        <v>0</v>
      </c>
      <c r="GU212" s="3" t="s">
        <v>3</v>
      </c>
      <c r="GV212" s="3">
        <f t="shared" si="210"/>
        <v>0</v>
      </c>
      <c r="GW212" s="3">
        <v>1</v>
      </c>
      <c r="GX212" s="3">
        <f t="shared" si="211"/>
        <v>0</v>
      </c>
      <c r="GY212" s="3"/>
      <c r="GZ212" s="3"/>
      <c r="HA212" s="3">
        <v>0</v>
      </c>
      <c r="HB212" s="3">
        <v>0</v>
      </c>
      <c r="HC212" s="3">
        <f t="shared" si="212"/>
        <v>0</v>
      </c>
      <c r="HD212" s="3"/>
      <c r="HE212" s="3" t="s">
        <v>34</v>
      </c>
      <c r="HF212" s="3" t="s">
        <v>35</v>
      </c>
      <c r="HG212" s="3"/>
      <c r="HH212" s="3"/>
      <c r="HI212" s="3"/>
      <c r="HJ212" s="3"/>
      <c r="HK212" s="3"/>
      <c r="HL212" s="3"/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R212" s="3"/>
      <c r="HS212" s="3">
        <v>0</v>
      </c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>
        <v>0</v>
      </c>
      <c r="IL212" s="3"/>
      <c r="IM212" s="3"/>
      <c r="IN212" s="3"/>
      <c r="IO212" s="3"/>
      <c r="IP212" s="3"/>
      <c r="IQ212" s="3"/>
      <c r="IR212" s="3"/>
      <c r="IS212" s="3"/>
      <c r="IT212" s="3"/>
      <c r="IU212" s="3"/>
    </row>
    <row r="213" spans="1:255" x14ac:dyDescent="0.3">
      <c r="A213" s="2">
        <v>17</v>
      </c>
      <c r="B213" s="2">
        <v>1</v>
      </c>
      <c r="C213" s="2">
        <f>ROW(SmtRes!A11)</f>
        <v>11</v>
      </c>
      <c r="D213" s="2">
        <f>ROW(EtalonRes!A95)</f>
        <v>95</v>
      </c>
      <c r="E213" s="2" t="s">
        <v>220</v>
      </c>
      <c r="F213" s="2" t="s">
        <v>221</v>
      </c>
      <c r="G213" s="2" t="s">
        <v>222</v>
      </c>
      <c r="H213" s="2" t="s">
        <v>223</v>
      </c>
      <c r="I213" s="2">
        <f>ROUND((90+187+44+44)/100,9)</f>
        <v>3.65</v>
      </c>
      <c r="J213" s="2">
        <v>0</v>
      </c>
      <c r="K213" s="2">
        <f>ROUND((90+187+44+44)/100,9)</f>
        <v>3.65</v>
      </c>
      <c r="L213" s="2"/>
      <c r="M213" s="2"/>
      <c r="N213" s="2"/>
      <c r="O213" s="2">
        <f t="shared" si="181"/>
        <v>6845.3</v>
      </c>
      <c r="P213" s="2">
        <f t="shared" si="182"/>
        <v>3128.05</v>
      </c>
      <c r="Q213" s="2">
        <f>(ROUND((ROUND((((ET213*1.1))*AV213*I213),2)*BB213),2)+ROUND((ROUND(((AE213-((EU213*1.1)))*AV213*I213),2)*BS213),2))</f>
        <v>38.42</v>
      </c>
      <c r="R213" s="2">
        <f t="shared" si="183"/>
        <v>5.84</v>
      </c>
      <c r="S213" s="2">
        <f t="shared" si="184"/>
        <v>3678.83</v>
      </c>
      <c r="T213" s="2">
        <f t="shared" si="185"/>
        <v>0</v>
      </c>
      <c r="U213" s="2">
        <f t="shared" si="186"/>
        <v>283.20360585000003</v>
      </c>
      <c r="V213" s="2">
        <f t="shared" si="187"/>
        <v>0</v>
      </c>
      <c r="W213" s="2">
        <f t="shared" si="188"/>
        <v>0</v>
      </c>
      <c r="X213" s="2">
        <f t="shared" si="189"/>
        <v>3574.13</v>
      </c>
      <c r="Y213" s="2">
        <f t="shared" si="190"/>
        <v>1879.18</v>
      </c>
      <c r="Z213" s="2"/>
      <c r="AA213" s="2">
        <v>56505403</v>
      </c>
      <c r="AB213" s="2">
        <f t="shared" si="191"/>
        <v>1829.7080000000001</v>
      </c>
      <c r="AC213" s="2">
        <f t="shared" si="192"/>
        <v>857</v>
      </c>
      <c r="AD213" s="2">
        <f>ROUND(((((ET213*1.1))-((EU213*1.1)))+AE213),6)</f>
        <v>10.054</v>
      </c>
      <c r="AE213" s="2">
        <f>ROUND(((EU213*1.1)),6)</f>
        <v>1.5289999999999999</v>
      </c>
      <c r="AF213" s="2">
        <f>ROUND(((EV213*1.1)),6)</f>
        <v>962.654</v>
      </c>
      <c r="AG213" s="2">
        <f t="shared" si="193"/>
        <v>0</v>
      </c>
      <c r="AH213" s="2">
        <f>((EW213*1.1))</f>
        <v>74.107000000000014</v>
      </c>
      <c r="AI213" s="2">
        <f>((EX213*1.1))</f>
        <v>0</v>
      </c>
      <c r="AJ213" s="2">
        <f t="shared" si="194"/>
        <v>0</v>
      </c>
      <c r="AK213" s="2">
        <v>1741.28</v>
      </c>
      <c r="AL213" s="2">
        <v>857</v>
      </c>
      <c r="AM213" s="2">
        <v>9.14</v>
      </c>
      <c r="AN213" s="2">
        <v>1.39</v>
      </c>
      <c r="AO213" s="2">
        <v>875.14</v>
      </c>
      <c r="AP213" s="2">
        <v>0</v>
      </c>
      <c r="AQ213" s="2">
        <v>67.37</v>
      </c>
      <c r="AR213" s="2">
        <v>0</v>
      </c>
      <c r="AS213" s="2">
        <v>0</v>
      </c>
      <c r="AT213" s="2">
        <v>97</v>
      </c>
      <c r="AU213" s="2">
        <v>51</v>
      </c>
      <c r="AV213" s="2">
        <v>1.0469999999999999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0</v>
      </c>
      <c r="BI213" s="2">
        <v>2</v>
      </c>
      <c r="BJ213" s="2" t="s">
        <v>224</v>
      </c>
      <c r="BK213" s="2"/>
      <c r="BL213" s="2"/>
      <c r="BM213" s="2">
        <v>67</v>
      </c>
      <c r="BN213" s="2">
        <v>0</v>
      </c>
      <c r="BO213" s="2" t="s">
        <v>221</v>
      </c>
      <c r="BP213" s="2">
        <v>1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97</v>
      </c>
      <c r="CA213" s="2">
        <v>51</v>
      </c>
      <c r="CB213" s="2" t="s">
        <v>3</v>
      </c>
      <c r="CC213" s="2"/>
      <c r="CD213" s="2"/>
      <c r="CE213" s="2">
        <v>30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95"/>
        <v>6845.3</v>
      </c>
      <c r="CQ213" s="2">
        <f t="shared" si="196"/>
        <v>857</v>
      </c>
      <c r="CR213" s="2">
        <f>(ROUND((ROUND((((ET213*1.1))*AV213*1),2)*BB213),2)+ROUND((ROUND(((AE213-((EU213*1.1)))*AV213*1),2)*BS213),2))</f>
        <v>10.53</v>
      </c>
      <c r="CS213" s="2">
        <f t="shared" si="197"/>
        <v>1.6</v>
      </c>
      <c r="CT213" s="2">
        <f t="shared" si="198"/>
        <v>1007.9</v>
      </c>
      <c r="CU213" s="2">
        <f t="shared" si="199"/>
        <v>0</v>
      </c>
      <c r="CV213" s="2">
        <f t="shared" si="200"/>
        <v>77.590029000000015</v>
      </c>
      <c r="CW213" s="2">
        <f t="shared" si="201"/>
        <v>0</v>
      </c>
      <c r="CX213" s="2">
        <f t="shared" si="202"/>
        <v>0</v>
      </c>
      <c r="CY213" s="2">
        <f t="shared" si="203"/>
        <v>3574.1298999999999</v>
      </c>
      <c r="CZ213" s="2">
        <f t="shared" si="204"/>
        <v>1879.1817000000001</v>
      </c>
      <c r="DA213" s="2"/>
      <c r="DB213" s="2"/>
      <c r="DC213" s="2" t="s">
        <v>3</v>
      </c>
      <c r="DD213" s="2" t="s">
        <v>3</v>
      </c>
      <c r="DE213" s="2" t="s">
        <v>24</v>
      </c>
      <c r="DF213" s="2" t="s">
        <v>24</v>
      </c>
      <c r="DG213" s="2" t="s">
        <v>24</v>
      </c>
      <c r="DH213" s="2" t="s">
        <v>3</v>
      </c>
      <c r="DI213" s="2" t="s">
        <v>24</v>
      </c>
      <c r="DJ213" s="2" t="s">
        <v>24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1010</v>
      </c>
      <c r="DV213" s="2" t="s">
        <v>223</v>
      </c>
      <c r="DW213" s="2" t="s">
        <v>223</v>
      </c>
      <c r="DX213" s="2">
        <v>100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58162629</v>
      </c>
      <c r="EF213" s="2">
        <v>40</v>
      </c>
      <c r="EG213" s="2" t="s">
        <v>25</v>
      </c>
      <c r="EH213" s="2">
        <v>0</v>
      </c>
      <c r="EI213" s="2" t="s">
        <v>3</v>
      </c>
      <c r="EJ213" s="2">
        <v>2</v>
      </c>
      <c r="EK213" s="2">
        <v>67</v>
      </c>
      <c r="EL213" s="2" t="s">
        <v>225</v>
      </c>
      <c r="EM213" s="2" t="s">
        <v>226</v>
      </c>
      <c r="EN213" s="2"/>
      <c r="EO213" s="2" t="s">
        <v>28</v>
      </c>
      <c r="EP213" s="2"/>
      <c r="EQ213" s="2">
        <v>0</v>
      </c>
      <c r="ER213" s="2">
        <v>1741.28</v>
      </c>
      <c r="ES213" s="2">
        <v>857</v>
      </c>
      <c r="ET213" s="2">
        <v>9.14</v>
      </c>
      <c r="EU213" s="2">
        <v>1.39</v>
      </c>
      <c r="EV213" s="2">
        <v>875.14</v>
      </c>
      <c r="EW213" s="2">
        <v>67.37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97</v>
      </c>
      <c r="FY213" s="2">
        <v>51</v>
      </c>
      <c r="FZ213" s="2"/>
      <c r="GA213" s="2" t="s">
        <v>3</v>
      </c>
      <c r="GB213" s="2"/>
      <c r="GC213" s="2"/>
      <c r="GD213" s="2">
        <v>1</v>
      </c>
      <c r="GE213" s="2"/>
      <c r="GF213" s="2">
        <v>693897660</v>
      </c>
      <c r="GG213" s="2">
        <v>2</v>
      </c>
      <c r="GH213" s="2">
        <v>1</v>
      </c>
      <c r="GI213" s="2">
        <v>2</v>
      </c>
      <c r="GJ213" s="2">
        <v>0</v>
      </c>
      <c r="GK213" s="2">
        <v>0</v>
      </c>
      <c r="GL213" s="2">
        <f t="shared" si="205"/>
        <v>0</v>
      </c>
      <c r="GM213" s="2">
        <f t="shared" si="206"/>
        <v>12298.61</v>
      </c>
      <c r="GN213" s="2">
        <f t="shared" si="207"/>
        <v>0</v>
      </c>
      <c r="GO213" s="2">
        <f t="shared" si="208"/>
        <v>12298.61</v>
      </c>
      <c r="GP213" s="2">
        <f t="shared" si="209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210"/>
        <v>0</v>
      </c>
      <c r="GW213" s="2">
        <v>1</v>
      </c>
      <c r="GX213" s="2">
        <f t="shared" si="211"/>
        <v>0</v>
      </c>
      <c r="GY213" s="2"/>
      <c r="GZ213" s="2"/>
      <c r="HA213" s="2">
        <v>0</v>
      </c>
      <c r="HB213" s="2">
        <v>0</v>
      </c>
      <c r="HC213" s="2">
        <f t="shared" si="212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3">
      <c r="A214" s="3">
        <v>17</v>
      </c>
      <c r="B214" s="3">
        <v>1</v>
      </c>
      <c r="C214" s="3">
        <f>ROW(SmtRes!A22)</f>
        <v>22</v>
      </c>
      <c r="D214" s="3">
        <f>ROW(EtalonRes!A100)</f>
        <v>100</v>
      </c>
      <c r="E214" s="3" t="s">
        <v>220</v>
      </c>
      <c r="F214" s="3" t="s">
        <v>221</v>
      </c>
      <c r="G214" s="3" t="s">
        <v>222</v>
      </c>
      <c r="H214" s="3" t="s">
        <v>223</v>
      </c>
      <c r="I214" s="3">
        <f>ROUND((90+187+44+44)/100,9)</f>
        <v>3.65</v>
      </c>
      <c r="J214" s="3">
        <v>0</v>
      </c>
      <c r="K214" s="3">
        <f>ROUND((90+187+44+44)/100,9)</f>
        <v>3.65</v>
      </c>
      <c r="L214" s="3"/>
      <c r="M214" s="3"/>
      <c r="N214" s="3"/>
      <c r="O214" s="3">
        <f t="shared" si="181"/>
        <v>212152.86</v>
      </c>
      <c r="P214" s="3">
        <f t="shared" si="182"/>
        <v>9227.75</v>
      </c>
      <c r="Q214" s="3">
        <f>(ROUND((ROUND((((ET214*1.1))*AV214*I214),2)*BB214),2)+ROUND((ROUND(((AE214-((EU214*1.1)))*AV214*I214),2)*BS214),2))</f>
        <v>626.25</v>
      </c>
      <c r="R214" s="3">
        <f t="shared" si="183"/>
        <v>321.14</v>
      </c>
      <c r="S214" s="3">
        <f t="shared" si="184"/>
        <v>202298.86</v>
      </c>
      <c r="T214" s="3">
        <f t="shared" si="185"/>
        <v>0</v>
      </c>
      <c r="U214" s="3">
        <f t="shared" si="186"/>
        <v>283.20360585000003</v>
      </c>
      <c r="V214" s="3">
        <f t="shared" si="187"/>
        <v>0</v>
      </c>
      <c r="W214" s="3">
        <f t="shared" si="188"/>
        <v>0</v>
      </c>
      <c r="X214" s="3">
        <f t="shared" si="189"/>
        <v>196541.4</v>
      </c>
      <c r="Y214" s="3">
        <f t="shared" si="190"/>
        <v>103336.2</v>
      </c>
      <c r="Z214" s="3"/>
      <c r="AA214" s="3">
        <v>56505405</v>
      </c>
      <c r="AB214" s="3">
        <f t="shared" si="191"/>
        <v>1829.7080000000001</v>
      </c>
      <c r="AC214" s="3">
        <f t="shared" si="192"/>
        <v>857</v>
      </c>
      <c r="AD214" s="3">
        <f>ROUND(((((ET214*1.1))-((EU214*1.1)))+AE214),6)</f>
        <v>10.054</v>
      </c>
      <c r="AE214" s="3">
        <f>ROUND(((EU214*1.1)),6)</f>
        <v>1.5289999999999999</v>
      </c>
      <c r="AF214" s="3">
        <f>ROUND(((EV214*1.1)),6)</f>
        <v>962.654</v>
      </c>
      <c r="AG214" s="3">
        <f t="shared" si="193"/>
        <v>0</v>
      </c>
      <c r="AH214" s="3">
        <f>((EW214*1.1))</f>
        <v>74.107000000000014</v>
      </c>
      <c r="AI214" s="3">
        <f>((EX214*1.1))</f>
        <v>0</v>
      </c>
      <c r="AJ214" s="3">
        <f t="shared" si="194"/>
        <v>0</v>
      </c>
      <c r="AK214" s="3">
        <v>1741.28</v>
      </c>
      <c r="AL214" s="3">
        <v>857</v>
      </c>
      <c r="AM214" s="3">
        <v>9.14</v>
      </c>
      <c r="AN214" s="3">
        <v>1.39</v>
      </c>
      <c r="AO214" s="3">
        <v>875.14</v>
      </c>
      <c r="AP214" s="3">
        <v>0</v>
      </c>
      <c r="AQ214" s="3">
        <v>67.37</v>
      </c>
      <c r="AR214" s="3">
        <v>0</v>
      </c>
      <c r="AS214" s="3">
        <v>0</v>
      </c>
      <c r="AT214" s="3">
        <v>97</v>
      </c>
      <c r="AU214" s="3">
        <v>51</v>
      </c>
      <c r="AV214" s="3">
        <v>1.0469999999999999</v>
      </c>
      <c r="AW214" s="3">
        <v>1</v>
      </c>
      <c r="AX214" s="3"/>
      <c r="AY214" s="3"/>
      <c r="AZ214" s="3">
        <v>1</v>
      </c>
      <c r="BA214" s="3">
        <v>54.99</v>
      </c>
      <c r="BB214" s="3">
        <v>16.3</v>
      </c>
      <c r="BC214" s="3">
        <v>2.95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0</v>
      </c>
      <c r="BI214" s="3">
        <v>2</v>
      </c>
      <c r="BJ214" s="3" t="s">
        <v>224</v>
      </c>
      <c r="BK214" s="3"/>
      <c r="BL214" s="3"/>
      <c r="BM214" s="3">
        <v>67</v>
      </c>
      <c r="BN214" s="3">
        <v>0</v>
      </c>
      <c r="BO214" s="3" t="s">
        <v>221</v>
      </c>
      <c r="BP214" s="3">
        <v>1</v>
      </c>
      <c r="BQ214" s="3">
        <v>40</v>
      </c>
      <c r="BR214" s="3">
        <v>0</v>
      </c>
      <c r="BS214" s="3">
        <v>54.99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97</v>
      </c>
      <c r="CA214" s="3">
        <v>51</v>
      </c>
      <c r="CB214" s="3" t="s">
        <v>3</v>
      </c>
      <c r="CC214" s="3"/>
      <c r="CD214" s="3"/>
      <c r="CE214" s="3">
        <v>30</v>
      </c>
      <c r="CF214" s="3">
        <v>0</v>
      </c>
      <c r="CG214" s="3">
        <v>0</v>
      </c>
      <c r="CH214" s="3"/>
      <c r="CI214" s="3"/>
      <c r="CJ214" s="3"/>
      <c r="CK214" s="3"/>
      <c r="CL214" s="3"/>
      <c r="CM214" s="3">
        <v>0</v>
      </c>
      <c r="CN214" s="3" t="s">
        <v>3</v>
      </c>
      <c r="CO214" s="3">
        <v>0</v>
      </c>
      <c r="CP214" s="3">
        <f t="shared" si="195"/>
        <v>212152.86</v>
      </c>
      <c r="CQ214" s="3">
        <f t="shared" si="196"/>
        <v>2528.15</v>
      </c>
      <c r="CR214" s="3">
        <f>(ROUND((ROUND((((ET214*1.1))*AV214*1),2)*BB214),2)+ROUND((ROUND(((AE214-((EU214*1.1)))*AV214*1),2)*BS214),2))</f>
        <v>171.64</v>
      </c>
      <c r="CS214" s="3">
        <f t="shared" si="197"/>
        <v>87.98</v>
      </c>
      <c r="CT214" s="3">
        <f t="shared" si="198"/>
        <v>55424.42</v>
      </c>
      <c r="CU214" s="3">
        <f t="shared" si="199"/>
        <v>0</v>
      </c>
      <c r="CV214" s="3">
        <f t="shared" si="200"/>
        <v>77.590029000000015</v>
      </c>
      <c r="CW214" s="3">
        <f t="shared" si="201"/>
        <v>0</v>
      </c>
      <c r="CX214" s="3">
        <f t="shared" si="202"/>
        <v>0</v>
      </c>
      <c r="CY214" s="3">
        <f t="shared" si="203"/>
        <v>196541.4</v>
      </c>
      <c r="CZ214" s="3">
        <f t="shared" si="204"/>
        <v>103336.2</v>
      </c>
      <c r="DA214" s="3"/>
      <c r="DB214" s="3"/>
      <c r="DC214" s="3" t="s">
        <v>3</v>
      </c>
      <c r="DD214" s="3" t="s">
        <v>3</v>
      </c>
      <c r="DE214" s="3" t="s">
        <v>24</v>
      </c>
      <c r="DF214" s="3" t="s">
        <v>24</v>
      </c>
      <c r="DG214" s="3" t="s">
        <v>24</v>
      </c>
      <c r="DH214" s="3" t="s">
        <v>3</v>
      </c>
      <c r="DI214" s="3" t="s">
        <v>24</v>
      </c>
      <c r="DJ214" s="3" t="s">
        <v>24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R214" s="3"/>
      <c r="DS214" s="3"/>
      <c r="DT214" s="3"/>
      <c r="DU214" s="3">
        <v>1010</v>
      </c>
      <c r="DV214" s="3" t="s">
        <v>223</v>
      </c>
      <c r="DW214" s="3" t="s">
        <v>223</v>
      </c>
      <c r="DX214" s="3">
        <v>100</v>
      </c>
      <c r="DY214" s="3"/>
      <c r="DZ214" s="3" t="s">
        <v>3</v>
      </c>
      <c r="EA214" s="3" t="s">
        <v>3</v>
      </c>
      <c r="EB214" s="3" t="s">
        <v>3</v>
      </c>
      <c r="EC214" s="3" t="s">
        <v>3</v>
      </c>
      <c r="ED214" s="3"/>
      <c r="EE214" s="3">
        <v>58162629</v>
      </c>
      <c r="EF214" s="3">
        <v>40</v>
      </c>
      <c r="EG214" s="3" t="s">
        <v>25</v>
      </c>
      <c r="EH214" s="3">
        <v>0</v>
      </c>
      <c r="EI214" s="3" t="s">
        <v>3</v>
      </c>
      <c r="EJ214" s="3">
        <v>2</v>
      </c>
      <c r="EK214" s="3">
        <v>67</v>
      </c>
      <c r="EL214" s="3" t="s">
        <v>225</v>
      </c>
      <c r="EM214" s="3" t="s">
        <v>226</v>
      </c>
      <c r="EN214" s="3"/>
      <c r="EO214" s="3" t="s">
        <v>28</v>
      </c>
      <c r="EP214" s="3"/>
      <c r="EQ214" s="3">
        <v>0</v>
      </c>
      <c r="ER214" s="3">
        <v>1741.28</v>
      </c>
      <c r="ES214" s="3">
        <v>857</v>
      </c>
      <c r="ET214" s="3">
        <v>9.14</v>
      </c>
      <c r="EU214" s="3">
        <v>1.39</v>
      </c>
      <c r="EV214" s="3">
        <v>875.14</v>
      </c>
      <c r="EW214" s="3">
        <v>67.37</v>
      </c>
      <c r="EX214" s="3">
        <v>0</v>
      </c>
      <c r="EY214" s="3">
        <v>0</v>
      </c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>
        <v>0</v>
      </c>
      <c r="FR214" s="3">
        <v>0</v>
      </c>
      <c r="FS214" s="3">
        <v>0</v>
      </c>
      <c r="FT214" s="3"/>
      <c r="FU214" s="3"/>
      <c r="FV214" s="3"/>
      <c r="FW214" s="3"/>
      <c r="FX214" s="3">
        <v>97</v>
      </c>
      <c r="FY214" s="3">
        <v>51</v>
      </c>
      <c r="FZ214" s="3"/>
      <c r="GA214" s="3" t="s">
        <v>3</v>
      </c>
      <c r="GB214" s="3"/>
      <c r="GC214" s="3"/>
      <c r="GD214" s="3">
        <v>1</v>
      </c>
      <c r="GE214" s="3"/>
      <c r="GF214" s="3">
        <v>693897660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205"/>
        <v>0</v>
      </c>
      <c r="GM214" s="3">
        <f t="shared" si="206"/>
        <v>512030.46</v>
      </c>
      <c r="GN214" s="3">
        <f t="shared" si="207"/>
        <v>0</v>
      </c>
      <c r="GO214" s="3">
        <f t="shared" si="208"/>
        <v>512030.46</v>
      </c>
      <c r="GP214" s="3">
        <f t="shared" si="209"/>
        <v>0</v>
      </c>
      <c r="GQ214" s="3"/>
      <c r="GR214" s="3">
        <v>0</v>
      </c>
      <c r="GS214" s="3">
        <v>3</v>
      </c>
      <c r="GT214" s="3">
        <v>0</v>
      </c>
      <c r="GU214" s="3" t="s">
        <v>3</v>
      </c>
      <c r="GV214" s="3">
        <f t="shared" si="210"/>
        <v>0</v>
      </c>
      <c r="GW214" s="3">
        <v>1</v>
      </c>
      <c r="GX214" s="3">
        <f t="shared" si="211"/>
        <v>0</v>
      </c>
      <c r="GY214" s="3"/>
      <c r="GZ214" s="3"/>
      <c r="HA214" s="3">
        <v>0</v>
      </c>
      <c r="HB214" s="3">
        <v>0</v>
      </c>
      <c r="HC214" s="3">
        <f t="shared" si="212"/>
        <v>0</v>
      </c>
      <c r="HD214" s="3"/>
      <c r="HE214" s="3" t="s">
        <v>3</v>
      </c>
      <c r="HF214" s="3" t="s">
        <v>3</v>
      </c>
      <c r="HG214" s="3"/>
      <c r="HH214" s="3"/>
      <c r="HI214" s="3"/>
      <c r="HJ214" s="3"/>
      <c r="HK214" s="3"/>
      <c r="HL214" s="3"/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R214" s="3"/>
      <c r="HS214" s="3">
        <v>0</v>
      </c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>
        <v>0</v>
      </c>
      <c r="IL214" s="3"/>
      <c r="IM214" s="3"/>
      <c r="IN214" s="3"/>
      <c r="IO214" s="3"/>
      <c r="IP214" s="3"/>
      <c r="IQ214" s="3"/>
      <c r="IR214" s="3"/>
      <c r="IS214" s="3"/>
      <c r="IT214" s="3"/>
      <c r="IU214" s="3"/>
    </row>
    <row r="215" spans="1:255" x14ac:dyDescent="0.3">
      <c r="A215" s="2">
        <v>18</v>
      </c>
      <c r="B215" s="2">
        <v>1</v>
      </c>
      <c r="C215" s="2">
        <v>5</v>
      </c>
      <c r="D215" s="2"/>
      <c r="E215" s="2" t="s">
        <v>227</v>
      </c>
      <c r="F215" s="2" t="s">
        <v>163</v>
      </c>
      <c r="G215" s="2" t="s">
        <v>164</v>
      </c>
      <c r="H215" s="2" t="s">
        <v>165</v>
      </c>
      <c r="I215" s="2">
        <f>I213*J215</f>
        <v>5.4749999999999998E-3</v>
      </c>
      <c r="J215" s="2">
        <v>1.5E-3</v>
      </c>
      <c r="K215" s="2">
        <v>1.5E-3</v>
      </c>
      <c r="L215" s="2"/>
      <c r="M215" s="2"/>
      <c r="N215" s="2"/>
      <c r="O215" s="2">
        <f t="shared" si="181"/>
        <v>134.74</v>
      </c>
      <c r="P215" s="2">
        <f t="shared" si="182"/>
        <v>134.74</v>
      </c>
      <c r="Q215" s="2">
        <f t="shared" ref="Q215:Q228" si="220">(ROUND((ROUND(((ET215)*AV215*I215),2)*BB215),2)+ROUND((ROUND(((AE215-(EU215))*AV215*I215),2)*BS215),2))</f>
        <v>0</v>
      </c>
      <c r="R215" s="2">
        <f t="shared" si="183"/>
        <v>0</v>
      </c>
      <c r="S215" s="2">
        <f t="shared" si="184"/>
        <v>0</v>
      </c>
      <c r="T215" s="2">
        <f t="shared" si="185"/>
        <v>0</v>
      </c>
      <c r="U215" s="2">
        <f t="shared" si="186"/>
        <v>0</v>
      </c>
      <c r="V215" s="2">
        <f t="shared" si="187"/>
        <v>0</v>
      </c>
      <c r="W215" s="2">
        <f t="shared" si="188"/>
        <v>0</v>
      </c>
      <c r="X215" s="2">
        <f t="shared" si="189"/>
        <v>0</v>
      </c>
      <c r="Y215" s="2">
        <f t="shared" si="190"/>
        <v>0</v>
      </c>
      <c r="Z215" s="2"/>
      <c r="AA215" s="2">
        <v>56505403</v>
      </c>
      <c r="AB215" s="2">
        <f t="shared" si="191"/>
        <v>24609.759999999998</v>
      </c>
      <c r="AC215" s="2">
        <f t="shared" si="192"/>
        <v>24609.759999999998</v>
      </c>
      <c r="AD215" s="2">
        <f t="shared" ref="AD215:AD228" si="221">ROUND((((ET215)-(EU215))+AE215),6)</f>
        <v>0</v>
      </c>
      <c r="AE215" s="2">
        <f t="shared" ref="AE215:AE228" si="222">ROUND((EU215),6)</f>
        <v>0</v>
      </c>
      <c r="AF215" s="2">
        <f t="shared" ref="AF215:AF228" si="223">ROUND((EV215),6)</f>
        <v>0</v>
      </c>
      <c r="AG215" s="2">
        <f t="shared" si="193"/>
        <v>0</v>
      </c>
      <c r="AH215" s="2">
        <f t="shared" ref="AH215:AH228" si="224">(EW215)</f>
        <v>0</v>
      </c>
      <c r="AI215" s="2">
        <f t="shared" ref="AI215:AI228" si="225">(EX215)</f>
        <v>0</v>
      </c>
      <c r="AJ215" s="2">
        <f t="shared" si="194"/>
        <v>0</v>
      </c>
      <c r="AK215" s="2">
        <v>24609.759999999998</v>
      </c>
      <c r="AL215" s="2">
        <v>24609.759999999998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97</v>
      </c>
      <c r="AU215" s="2">
        <v>51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2</v>
      </c>
      <c r="BJ215" s="2" t="s">
        <v>166</v>
      </c>
      <c r="BK215" s="2"/>
      <c r="BL215" s="2"/>
      <c r="BM215" s="2">
        <v>67</v>
      </c>
      <c r="BN215" s="2">
        <v>0</v>
      </c>
      <c r="BO215" s="2" t="s">
        <v>3</v>
      </c>
      <c r="BP215" s="2">
        <v>0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97</v>
      </c>
      <c r="CA215" s="2">
        <v>51</v>
      </c>
      <c r="CB215" s="2" t="s">
        <v>3</v>
      </c>
      <c r="CC215" s="2"/>
      <c r="CD215" s="2"/>
      <c r="CE215" s="2">
        <v>30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95"/>
        <v>134.74</v>
      </c>
      <c r="CQ215" s="2">
        <f t="shared" si="196"/>
        <v>24609.759999999998</v>
      </c>
      <c r="CR215" s="2">
        <f t="shared" ref="CR215:CR228" si="226">(ROUND((ROUND(((ET215)*AV215*1),2)*BB215),2)+ROUND((ROUND(((AE215-(EU215))*AV215*1),2)*BS215),2))</f>
        <v>0</v>
      </c>
      <c r="CS215" s="2">
        <f t="shared" si="197"/>
        <v>0</v>
      </c>
      <c r="CT215" s="2">
        <f t="shared" si="198"/>
        <v>0</v>
      </c>
      <c r="CU215" s="2">
        <f t="shared" si="199"/>
        <v>0</v>
      </c>
      <c r="CV215" s="2">
        <f t="shared" si="200"/>
        <v>0</v>
      </c>
      <c r="CW215" s="2">
        <f t="shared" si="201"/>
        <v>0</v>
      </c>
      <c r="CX215" s="2">
        <f t="shared" si="202"/>
        <v>0</v>
      </c>
      <c r="CY215" s="2">
        <f t="shared" si="203"/>
        <v>0</v>
      </c>
      <c r="CZ215" s="2">
        <f t="shared" si="204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1009</v>
      </c>
      <c r="DV215" s="2" t="s">
        <v>165</v>
      </c>
      <c r="DW215" s="2" t="s">
        <v>165</v>
      </c>
      <c r="DX215" s="2">
        <v>1000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58162629</v>
      </c>
      <c r="EF215" s="2">
        <v>40</v>
      </c>
      <c r="EG215" s="2" t="s">
        <v>25</v>
      </c>
      <c r="EH215" s="2">
        <v>0</v>
      </c>
      <c r="EI215" s="2" t="s">
        <v>3</v>
      </c>
      <c r="EJ215" s="2">
        <v>2</v>
      </c>
      <c r="EK215" s="2">
        <v>67</v>
      </c>
      <c r="EL215" s="2" t="s">
        <v>225</v>
      </c>
      <c r="EM215" s="2" t="s">
        <v>226</v>
      </c>
      <c r="EN215" s="2"/>
      <c r="EO215" s="2" t="s">
        <v>3</v>
      </c>
      <c r="EP215" s="2"/>
      <c r="EQ215" s="2">
        <v>0</v>
      </c>
      <c r="ER215" s="2">
        <v>24609.759999999998</v>
      </c>
      <c r="ES215" s="2">
        <v>24609.759999999998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97</v>
      </c>
      <c r="FY215" s="2">
        <v>51</v>
      </c>
      <c r="FZ215" s="2"/>
      <c r="GA215" s="2" t="s">
        <v>3</v>
      </c>
      <c r="GB215" s="2"/>
      <c r="GC215" s="2"/>
      <c r="GD215" s="2">
        <v>1</v>
      </c>
      <c r="GE215" s="2"/>
      <c r="GF215" s="2">
        <v>-566361729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205"/>
        <v>0</v>
      </c>
      <c r="GM215" s="2">
        <f t="shared" si="206"/>
        <v>134.74</v>
      </c>
      <c r="GN215" s="2">
        <f t="shared" si="207"/>
        <v>0</v>
      </c>
      <c r="GO215" s="2">
        <f t="shared" si="208"/>
        <v>134.74</v>
      </c>
      <c r="GP215" s="2">
        <f t="shared" si="209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210"/>
        <v>0</v>
      </c>
      <c r="GW215" s="2">
        <v>1</v>
      </c>
      <c r="GX215" s="2">
        <f t="shared" si="211"/>
        <v>0</v>
      </c>
      <c r="GY215" s="2"/>
      <c r="GZ215" s="2"/>
      <c r="HA215" s="2">
        <v>0</v>
      </c>
      <c r="HB215" s="2">
        <v>0</v>
      </c>
      <c r="HC215" s="2">
        <f t="shared" si="212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3">
      <c r="A216" s="3">
        <v>18</v>
      </c>
      <c r="B216" s="3">
        <v>1</v>
      </c>
      <c r="C216" s="3">
        <v>16</v>
      </c>
      <c r="D216" s="3"/>
      <c r="E216" s="3" t="s">
        <v>227</v>
      </c>
      <c r="F216" s="3" t="s">
        <v>163</v>
      </c>
      <c r="G216" s="3" t="s">
        <v>164</v>
      </c>
      <c r="H216" s="3" t="s">
        <v>165</v>
      </c>
      <c r="I216" s="3">
        <f>I214*J216</f>
        <v>5.4749999999999998E-3</v>
      </c>
      <c r="J216" s="3">
        <v>1.5E-3</v>
      </c>
      <c r="K216" s="3">
        <v>1.5E-3</v>
      </c>
      <c r="L216" s="3"/>
      <c r="M216" s="3"/>
      <c r="N216" s="3"/>
      <c r="O216" s="3">
        <f t="shared" si="181"/>
        <v>693.91</v>
      </c>
      <c r="P216" s="3">
        <f t="shared" si="182"/>
        <v>693.91</v>
      </c>
      <c r="Q216" s="3">
        <f t="shared" si="220"/>
        <v>0</v>
      </c>
      <c r="R216" s="3">
        <f t="shared" si="183"/>
        <v>0</v>
      </c>
      <c r="S216" s="3">
        <f t="shared" si="184"/>
        <v>0</v>
      </c>
      <c r="T216" s="3">
        <f t="shared" si="185"/>
        <v>0</v>
      </c>
      <c r="U216" s="3">
        <f t="shared" si="186"/>
        <v>0</v>
      </c>
      <c r="V216" s="3">
        <f t="shared" si="187"/>
        <v>0</v>
      </c>
      <c r="W216" s="3">
        <f t="shared" si="188"/>
        <v>0</v>
      </c>
      <c r="X216" s="3">
        <f t="shared" si="189"/>
        <v>0</v>
      </c>
      <c r="Y216" s="3">
        <f t="shared" si="190"/>
        <v>0</v>
      </c>
      <c r="Z216" s="3"/>
      <c r="AA216" s="3">
        <v>56505405</v>
      </c>
      <c r="AB216" s="3">
        <f t="shared" si="191"/>
        <v>24609.759999999998</v>
      </c>
      <c r="AC216" s="3">
        <f t="shared" si="192"/>
        <v>24609.759999999998</v>
      </c>
      <c r="AD216" s="3">
        <f t="shared" si="221"/>
        <v>0</v>
      </c>
      <c r="AE216" s="3">
        <f t="shared" si="222"/>
        <v>0</v>
      </c>
      <c r="AF216" s="3">
        <f t="shared" si="223"/>
        <v>0</v>
      </c>
      <c r="AG216" s="3">
        <f t="shared" si="193"/>
        <v>0</v>
      </c>
      <c r="AH216" s="3">
        <f t="shared" si="224"/>
        <v>0</v>
      </c>
      <c r="AI216" s="3">
        <f t="shared" si="225"/>
        <v>0</v>
      </c>
      <c r="AJ216" s="3">
        <f t="shared" si="194"/>
        <v>0</v>
      </c>
      <c r="AK216" s="3">
        <v>24609.759999999998</v>
      </c>
      <c r="AL216" s="3">
        <v>24609.759999999998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97</v>
      </c>
      <c r="AU216" s="3">
        <v>51</v>
      </c>
      <c r="AV216" s="3">
        <v>1</v>
      </c>
      <c r="AW216" s="3">
        <v>1</v>
      </c>
      <c r="AX216" s="3"/>
      <c r="AY216" s="3"/>
      <c r="AZ216" s="3">
        <v>1</v>
      </c>
      <c r="BA216" s="3">
        <v>1</v>
      </c>
      <c r="BB216" s="3">
        <v>1</v>
      </c>
      <c r="BC216" s="3">
        <v>5.15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2</v>
      </c>
      <c r="BJ216" s="3" t="s">
        <v>166</v>
      </c>
      <c r="BK216" s="3"/>
      <c r="BL216" s="3"/>
      <c r="BM216" s="3">
        <v>67</v>
      </c>
      <c r="BN216" s="3">
        <v>0</v>
      </c>
      <c r="BO216" s="3" t="s">
        <v>163</v>
      </c>
      <c r="BP216" s="3">
        <v>1</v>
      </c>
      <c r="BQ216" s="3">
        <v>40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97</v>
      </c>
      <c r="CA216" s="3">
        <v>51</v>
      </c>
      <c r="CB216" s="3" t="s">
        <v>3</v>
      </c>
      <c r="CC216" s="3"/>
      <c r="CD216" s="3"/>
      <c r="CE216" s="3">
        <v>30</v>
      </c>
      <c r="CF216" s="3">
        <v>0</v>
      </c>
      <c r="CG216" s="3">
        <v>0</v>
      </c>
      <c r="CH216" s="3"/>
      <c r="CI216" s="3"/>
      <c r="CJ216" s="3"/>
      <c r="CK216" s="3"/>
      <c r="CL216" s="3"/>
      <c r="CM216" s="3">
        <v>0</v>
      </c>
      <c r="CN216" s="3" t="s">
        <v>3</v>
      </c>
      <c r="CO216" s="3">
        <v>0</v>
      </c>
      <c r="CP216" s="3">
        <f t="shared" si="195"/>
        <v>693.91</v>
      </c>
      <c r="CQ216" s="3">
        <f t="shared" si="196"/>
        <v>126740.26</v>
      </c>
      <c r="CR216" s="3">
        <f t="shared" si="226"/>
        <v>0</v>
      </c>
      <c r="CS216" s="3">
        <f t="shared" si="197"/>
        <v>0</v>
      </c>
      <c r="CT216" s="3">
        <f t="shared" si="198"/>
        <v>0</v>
      </c>
      <c r="CU216" s="3">
        <f t="shared" si="199"/>
        <v>0</v>
      </c>
      <c r="CV216" s="3">
        <f t="shared" si="200"/>
        <v>0</v>
      </c>
      <c r="CW216" s="3">
        <f t="shared" si="201"/>
        <v>0</v>
      </c>
      <c r="CX216" s="3">
        <f t="shared" si="202"/>
        <v>0</v>
      </c>
      <c r="CY216" s="3">
        <f t="shared" si="203"/>
        <v>0</v>
      </c>
      <c r="CZ216" s="3">
        <f t="shared" si="204"/>
        <v>0</v>
      </c>
      <c r="DA216" s="3"/>
      <c r="DB216" s="3"/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R216" s="3"/>
      <c r="DS216" s="3"/>
      <c r="DT216" s="3"/>
      <c r="DU216" s="3">
        <v>1009</v>
      </c>
      <c r="DV216" s="3" t="s">
        <v>165</v>
      </c>
      <c r="DW216" s="3" t="s">
        <v>165</v>
      </c>
      <c r="DX216" s="3">
        <v>1000</v>
      </c>
      <c r="DY216" s="3"/>
      <c r="DZ216" s="3" t="s">
        <v>3</v>
      </c>
      <c r="EA216" s="3" t="s">
        <v>3</v>
      </c>
      <c r="EB216" s="3" t="s">
        <v>3</v>
      </c>
      <c r="EC216" s="3" t="s">
        <v>3</v>
      </c>
      <c r="ED216" s="3"/>
      <c r="EE216" s="3">
        <v>58162629</v>
      </c>
      <c r="EF216" s="3">
        <v>40</v>
      </c>
      <c r="EG216" s="3" t="s">
        <v>25</v>
      </c>
      <c r="EH216" s="3">
        <v>0</v>
      </c>
      <c r="EI216" s="3" t="s">
        <v>3</v>
      </c>
      <c r="EJ216" s="3">
        <v>2</v>
      </c>
      <c r="EK216" s="3">
        <v>67</v>
      </c>
      <c r="EL216" s="3" t="s">
        <v>225</v>
      </c>
      <c r="EM216" s="3" t="s">
        <v>226</v>
      </c>
      <c r="EN216" s="3"/>
      <c r="EO216" s="3" t="s">
        <v>3</v>
      </c>
      <c r="EP216" s="3"/>
      <c r="EQ216" s="3">
        <v>0</v>
      </c>
      <c r="ER216" s="3">
        <v>24609.759999999998</v>
      </c>
      <c r="ES216" s="3">
        <v>24609.759999999998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>
        <v>0</v>
      </c>
      <c r="FR216" s="3">
        <v>0</v>
      </c>
      <c r="FS216" s="3">
        <v>0</v>
      </c>
      <c r="FT216" s="3"/>
      <c r="FU216" s="3"/>
      <c r="FV216" s="3"/>
      <c r="FW216" s="3"/>
      <c r="FX216" s="3">
        <v>97</v>
      </c>
      <c r="FY216" s="3">
        <v>51</v>
      </c>
      <c r="FZ216" s="3"/>
      <c r="GA216" s="3" t="s">
        <v>3</v>
      </c>
      <c r="GB216" s="3"/>
      <c r="GC216" s="3"/>
      <c r="GD216" s="3">
        <v>1</v>
      </c>
      <c r="GE216" s="3"/>
      <c r="GF216" s="3">
        <v>-566361729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205"/>
        <v>0</v>
      </c>
      <c r="GM216" s="3">
        <f t="shared" si="206"/>
        <v>693.91</v>
      </c>
      <c r="GN216" s="3">
        <f t="shared" si="207"/>
        <v>0</v>
      </c>
      <c r="GO216" s="3">
        <f t="shared" si="208"/>
        <v>693.91</v>
      </c>
      <c r="GP216" s="3">
        <f t="shared" si="209"/>
        <v>0</v>
      </c>
      <c r="GQ216" s="3"/>
      <c r="GR216" s="3">
        <v>0</v>
      </c>
      <c r="GS216" s="3">
        <v>3</v>
      </c>
      <c r="GT216" s="3">
        <v>0</v>
      </c>
      <c r="GU216" s="3" t="s">
        <v>3</v>
      </c>
      <c r="GV216" s="3">
        <f t="shared" si="210"/>
        <v>0</v>
      </c>
      <c r="GW216" s="3">
        <v>1</v>
      </c>
      <c r="GX216" s="3">
        <f t="shared" si="211"/>
        <v>0</v>
      </c>
      <c r="GY216" s="3"/>
      <c r="GZ216" s="3"/>
      <c r="HA216" s="3">
        <v>0</v>
      </c>
      <c r="HB216" s="3">
        <v>0</v>
      </c>
      <c r="HC216" s="3">
        <f t="shared" si="212"/>
        <v>0</v>
      </c>
      <c r="HD216" s="3"/>
      <c r="HE216" s="3" t="s">
        <v>3</v>
      </c>
      <c r="HF216" s="3" t="s">
        <v>3</v>
      </c>
      <c r="HG216" s="3"/>
      <c r="HH216" s="3"/>
      <c r="HI216" s="3"/>
      <c r="HJ216" s="3"/>
      <c r="HK216" s="3"/>
      <c r="HL216" s="3"/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R216" s="3"/>
      <c r="HS216" s="3">
        <v>0</v>
      </c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>
        <v>0</v>
      </c>
      <c r="IL216" s="3"/>
      <c r="IM216" s="3"/>
      <c r="IN216" s="3"/>
      <c r="IO216" s="3"/>
      <c r="IP216" s="3"/>
      <c r="IQ216" s="3"/>
      <c r="IR216" s="3"/>
      <c r="IS216" s="3"/>
      <c r="IT216" s="3"/>
      <c r="IU216" s="3"/>
    </row>
    <row r="217" spans="1:255" x14ac:dyDescent="0.3">
      <c r="A217" s="2">
        <v>18</v>
      </c>
      <c r="B217" s="2">
        <v>1</v>
      </c>
      <c r="C217" s="2">
        <v>6</v>
      </c>
      <c r="D217" s="2"/>
      <c r="E217" s="2" t="s">
        <v>228</v>
      </c>
      <c r="F217" s="2" t="s">
        <v>229</v>
      </c>
      <c r="G217" s="2" t="s">
        <v>230</v>
      </c>
      <c r="H217" s="2" t="s">
        <v>223</v>
      </c>
      <c r="I217" s="2">
        <f>I213*J217</f>
        <v>3.7229999999999999</v>
      </c>
      <c r="J217" s="2">
        <v>1.02</v>
      </c>
      <c r="K217" s="2">
        <v>1.02</v>
      </c>
      <c r="L217" s="2"/>
      <c r="M217" s="2"/>
      <c r="N217" s="2"/>
      <c r="O217" s="2">
        <f t="shared" si="181"/>
        <v>78.930000000000007</v>
      </c>
      <c r="P217" s="2">
        <f t="shared" si="182"/>
        <v>78.930000000000007</v>
      </c>
      <c r="Q217" s="2">
        <f t="shared" si="220"/>
        <v>0</v>
      </c>
      <c r="R217" s="2">
        <f t="shared" si="183"/>
        <v>0</v>
      </c>
      <c r="S217" s="2">
        <f t="shared" si="184"/>
        <v>0</v>
      </c>
      <c r="T217" s="2">
        <f t="shared" si="185"/>
        <v>0</v>
      </c>
      <c r="U217" s="2">
        <f t="shared" si="186"/>
        <v>0</v>
      </c>
      <c r="V217" s="2">
        <f t="shared" si="187"/>
        <v>0</v>
      </c>
      <c r="W217" s="2">
        <f t="shared" si="188"/>
        <v>0</v>
      </c>
      <c r="X217" s="2">
        <f t="shared" si="189"/>
        <v>0</v>
      </c>
      <c r="Y217" s="2">
        <f t="shared" si="190"/>
        <v>0</v>
      </c>
      <c r="Z217" s="2"/>
      <c r="AA217" s="2">
        <v>56505403</v>
      </c>
      <c r="AB217" s="2">
        <f t="shared" si="191"/>
        <v>21.2</v>
      </c>
      <c r="AC217" s="2">
        <f t="shared" si="192"/>
        <v>21.2</v>
      </c>
      <c r="AD217" s="2">
        <f t="shared" si="221"/>
        <v>0</v>
      </c>
      <c r="AE217" s="2">
        <f t="shared" si="222"/>
        <v>0</v>
      </c>
      <c r="AF217" s="2">
        <f t="shared" si="223"/>
        <v>0</v>
      </c>
      <c r="AG217" s="2">
        <f t="shared" si="193"/>
        <v>0</v>
      </c>
      <c r="AH217" s="2">
        <f t="shared" si="224"/>
        <v>0</v>
      </c>
      <c r="AI217" s="2">
        <f t="shared" si="225"/>
        <v>0</v>
      </c>
      <c r="AJ217" s="2">
        <f t="shared" si="194"/>
        <v>0</v>
      </c>
      <c r="AK217" s="2">
        <v>21.2</v>
      </c>
      <c r="AL217" s="2">
        <v>21.2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97</v>
      </c>
      <c r="AU217" s="2">
        <v>51</v>
      </c>
      <c r="AV217" s="2">
        <v>1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3</v>
      </c>
      <c r="BI217" s="2">
        <v>2</v>
      </c>
      <c r="BJ217" s="2" t="s">
        <v>231</v>
      </c>
      <c r="BK217" s="2"/>
      <c r="BL217" s="2"/>
      <c r="BM217" s="2">
        <v>67</v>
      </c>
      <c r="BN217" s="2">
        <v>0</v>
      </c>
      <c r="BO217" s="2" t="s">
        <v>3</v>
      </c>
      <c r="BP217" s="2">
        <v>0</v>
      </c>
      <c r="BQ217" s="2">
        <v>40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97</v>
      </c>
      <c r="CA217" s="2">
        <v>51</v>
      </c>
      <c r="CB217" s="2" t="s">
        <v>3</v>
      </c>
      <c r="CC217" s="2"/>
      <c r="CD217" s="2"/>
      <c r="CE217" s="2">
        <v>30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3</v>
      </c>
      <c r="CO217" s="2">
        <v>0</v>
      </c>
      <c r="CP217" s="2">
        <f t="shared" si="195"/>
        <v>78.930000000000007</v>
      </c>
      <c r="CQ217" s="2">
        <f t="shared" si="196"/>
        <v>21.2</v>
      </c>
      <c r="CR217" s="2">
        <f t="shared" si="226"/>
        <v>0</v>
      </c>
      <c r="CS217" s="2">
        <f t="shared" si="197"/>
        <v>0</v>
      </c>
      <c r="CT217" s="2">
        <f t="shared" si="198"/>
        <v>0</v>
      </c>
      <c r="CU217" s="2">
        <f t="shared" si="199"/>
        <v>0</v>
      </c>
      <c r="CV217" s="2">
        <f t="shared" si="200"/>
        <v>0</v>
      </c>
      <c r="CW217" s="2">
        <f t="shared" si="201"/>
        <v>0</v>
      </c>
      <c r="CX217" s="2">
        <f t="shared" si="202"/>
        <v>0</v>
      </c>
      <c r="CY217" s="2">
        <f t="shared" si="203"/>
        <v>0</v>
      </c>
      <c r="CZ217" s="2">
        <f t="shared" si="204"/>
        <v>0</v>
      </c>
      <c r="DA217" s="2"/>
      <c r="DB217" s="2"/>
      <c r="DC217" s="2" t="s">
        <v>3</v>
      </c>
      <c r="DD217" s="2" t="s">
        <v>3</v>
      </c>
      <c r="DE217" s="2" t="s">
        <v>3</v>
      </c>
      <c r="DF217" s="2" t="s">
        <v>3</v>
      </c>
      <c r="DG217" s="2" t="s">
        <v>3</v>
      </c>
      <c r="DH217" s="2" t="s">
        <v>3</v>
      </c>
      <c r="DI217" s="2" t="s">
        <v>3</v>
      </c>
      <c r="DJ217" s="2" t="s">
        <v>3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1010</v>
      </c>
      <c r="DV217" s="2" t="s">
        <v>223</v>
      </c>
      <c r="DW217" s="2" t="s">
        <v>223</v>
      </c>
      <c r="DX217" s="2">
        <v>100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58162629</v>
      </c>
      <c r="EF217" s="2">
        <v>40</v>
      </c>
      <c r="EG217" s="2" t="s">
        <v>25</v>
      </c>
      <c r="EH217" s="2">
        <v>0</v>
      </c>
      <c r="EI217" s="2" t="s">
        <v>3</v>
      </c>
      <c r="EJ217" s="2">
        <v>2</v>
      </c>
      <c r="EK217" s="2">
        <v>67</v>
      </c>
      <c r="EL217" s="2" t="s">
        <v>225</v>
      </c>
      <c r="EM217" s="2" t="s">
        <v>226</v>
      </c>
      <c r="EN217" s="2"/>
      <c r="EO217" s="2" t="s">
        <v>3</v>
      </c>
      <c r="EP217" s="2"/>
      <c r="EQ217" s="2">
        <v>0</v>
      </c>
      <c r="ER217" s="2">
        <v>21.2</v>
      </c>
      <c r="ES217" s="2">
        <v>21.2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97</v>
      </c>
      <c r="FY217" s="2">
        <v>51</v>
      </c>
      <c r="FZ217" s="2"/>
      <c r="GA217" s="2" t="s">
        <v>3</v>
      </c>
      <c r="GB217" s="2"/>
      <c r="GC217" s="2"/>
      <c r="GD217" s="2">
        <v>1</v>
      </c>
      <c r="GE217" s="2"/>
      <c r="GF217" s="2">
        <v>-278186458</v>
      </c>
      <c r="GG217" s="2">
        <v>2</v>
      </c>
      <c r="GH217" s="2">
        <v>1</v>
      </c>
      <c r="GI217" s="2">
        <v>-2</v>
      </c>
      <c r="GJ217" s="2">
        <v>0</v>
      </c>
      <c r="GK217" s="2">
        <v>0</v>
      </c>
      <c r="GL217" s="2">
        <f t="shared" si="205"/>
        <v>0</v>
      </c>
      <c r="GM217" s="2">
        <f t="shared" si="206"/>
        <v>78.930000000000007</v>
      </c>
      <c r="GN217" s="2">
        <f t="shared" si="207"/>
        <v>0</v>
      </c>
      <c r="GO217" s="2">
        <f t="shared" si="208"/>
        <v>78.930000000000007</v>
      </c>
      <c r="GP217" s="2">
        <f t="shared" si="209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210"/>
        <v>0</v>
      </c>
      <c r="GW217" s="2">
        <v>1</v>
      </c>
      <c r="GX217" s="2">
        <f t="shared" si="211"/>
        <v>0</v>
      </c>
      <c r="GY217" s="2"/>
      <c r="GZ217" s="2"/>
      <c r="HA217" s="2">
        <v>0</v>
      </c>
      <c r="HB217" s="2">
        <v>0</v>
      </c>
      <c r="HC217" s="2">
        <f t="shared" si="212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3">
      <c r="A218" s="3">
        <v>18</v>
      </c>
      <c r="B218" s="3">
        <v>1</v>
      </c>
      <c r="C218" s="3">
        <v>17</v>
      </c>
      <c r="D218" s="3"/>
      <c r="E218" s="3" t="s">
        <v>228</v>
      </c>
      <c r="F218" s="3" t="s">
        <v>229</v>
      </c>
      <c r="G218" s="3" t="s">
        <v>230</v>
      </c>
      <c r="H218" s="3" t="s">
        <v>223</v>
      </c>
      <c r="I218" s="3">
        <f>I214*J218</f>
        <v>3.7229999999999999</v>
      </c>
      <c r="J218" s="3">
        <v>1.02</v>
      </c>
      <c r="K218" s="3">
        <v>1.02</v>
      </c>
      <c r="L218" s="3"/>
      <c r="M218" s="3"/>
      <c r="N218" s="3"/>
      <c r="O218" s="3">
        <f t="shared" si="181"/>
        <v>484.63</v>
      </c>
      <c r="P218" s="3">
        <f t="shared" si="182"/>
        <v>484.63</v>
      </c>
      <c r="Q218" s="3">
        <f t="shared" si="220"/>
        <v>0</v>
      </c>
      <c r="R218" s="3">
        <f t="shared" si="183"/>
        <v>0</v>
      </c>
      <c r="S218" s="3">
        <f t="shared" si="184"/>
        <v>0</v>
      </c>
      <c r="T218" s="3">
        <f t="shared" si="185"/>
        <v>0</v>
      </c>
      <c r="U218" s="3">
        <f t="shared" si="186"/>
        <v>0</v>
      </c>
      <c r="V218" s="3">
        <f t="shared" si="187"/>
        <v>0</v>
      </c>
      <c r="W218" s="3">
        <f t="shared" si="188"/>
        <v>0</v>
      </c>
      <c r="X218" s="3">
        <f t="shared" si="189"/>
        <v>0</v>
      </c>
      <c r="Y218" s="3">
        <f t="shared" si="190"/>
        <v>0</v>
      </c>
      <c r="Z218" s="3"/>
      <c r="AA218" s="3">
        <v>56505405</v>
      </c>
      <c r="AB218" s="3">
        <f t="shared" si="191"/>
        <v>21.2</v>
      </c>
      <c r="AC218" s="3">
        <f t="shared" si="192"/>
        <v>21.2</v>
      </c>
      <c r="AD218" s="3">
        <f t="shared" si="221"/>
        <v>0</v>
      </c>
      <c r="AE218" s="3">
        <f t="shared" si="222"/>
        <v>0</v>
      </c>
      <c r="AF218" s="3">
        <f t="shared" si="223"/>
        <v>0</v>
      </c>
      <c r="AG218" s="3">
        <f t="shared" si="193"/>
        <v>0</v>
      </c>
      <c r="AH218" s="3">
        <f t="shared" si="224"/>
        <v>0</v>
      </c>
      <c r="AI218" s="3">
        <f t="shared" si="225"/>
        <v>0</v>
      </c>
      <c r="AJ218" s="3">
        <f t="shared" si="194"/>
        <v>0</v>
      </c>
      <c r="AK218" s="3">
        <v>21.2</v>
      </c>
      <c r="AL218" s="3">
        <v>21.2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97</v>
      </c>
      <c r="AU218" s="3">
        <v>51</v>
      </c>
      <c r="AV218" s="3">
        <v>1</v>
      </c>
      <c r="AW218" s="3">
        <v>1</v>
      </c>
      <c r="AX218" s="3"/>
      <c r="AY218" s="3"/>
      <c r="AZ218" s="3">
        <v>1</v>
      </c>
      <c r="BA218" s="3">
        <v>1</v>
      </c>
      <c r="BB218" s="3">
        <v>1</v>
      </c>
      <c r="BC218" s="3">
        <v>6.14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3</v>
      </c>
      <c r="BI218" s="3">
        <v>2</v>
      </c>
      <c r="BJ218" s="3" t="s">
        <v>231</v>
      </c>
      <c r="BK218" s="3"/>
      <c r="BL218" s="3"/>
      <c r="BM218" s="3">
        <v>67</v>
      </c>
      <c r="BN218" s="3">
        <v>0</v>
      </c>
      <c r="BO218" s="3" t="s">
        <v>229</v>
      </c>
      <c r="BP218" s="3">
        <v>1</v>
      </c>
      <c r="BQ218" s="3">
        <v>40</v>
      </c>
      <c r="BR218" s="3">
        <v>0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97</v>
      </c>
      <c r="CA218" s="3">
        <v>51</v>
      </c>
      <c r="CB218" s="3" t="s">
        <v>3</v>
      </c>
      <c r="CC218" s="3"/>
      <c r="CD218" s="3"/>
      <c r="CE218" s="3">
        <v>30</v>
      </c>
      <c r="CF218" s="3">
        <v>0</v>
      </c>
      <c r="CG218" s="3">
        <v>0</v>
      </c>
      <c r="CH218" s="3"/>
      <c r="CI218" s="3"/>
      <c r="CJ218" s="3"/>
      <c r="CK218" s="3"/>
      <c r="CL218" s="3"/>
      <c r="CM218" s="3">
        <v>0</v>
      </c>
      <c r="CN218" s="3" t="s">
        <v>3</v>
      </c>
      <c r="CO218" s="3">
        <v>0</v>
      </c>
      <c r="CP218" s="3">
        <f t="shared" si="195"/>
        <v>484.63</v>
      </c>
      <c r="CQ218" s="3">
        <f t="shared" si="196"/>
        <v>130.16999999999999</v>
      </c>
      <c r="CR218" s="3">
        <f t="shared" si="226"/>
        <v>0</v>
      </c>
      <c r="CS218" s="3">
        <f t="shared" si="197"/>
        <v>0</v>
      </c>
      <c r="CT218" s="3">
        <f t="shared" si="198"/>
        <v>0</v>
      </c>
      <c r="CU218" s="3">
        <f t="shared" si="199"/>
        <v>0</v>
      </c>
      <c r="CV218" s="3">
        <f t="shared" si="200"/>
        <v>0</v>
      </c>
      <c r="CW218" s="3">
        <f t="shared" si="201"/>
        <v>0</v>
      </c>
      <c r="CX218" s="3">
        <f t="shared" si="202"/>
        <v>0</v>
      </c>
      <c r="CY218" s="3">
        <f t="shared" si="203"/>
        <v>0</v>
      </c>
      <c r="CZ218" s="3">
        <f t="shared" si="204"/>
        <v>0</v>
      </c>
      <c r="DA218" s="3"/>
      <c r="DB218" s="3"/>
      <c r="DC218" s="3" t="s">
        <v>3</v>
      </c>
      <c r="DD218" s="3" t="s">
        <v>3</v>
      </c>
      <c r="DE218" s="3" t="s">
        <v>3</v>
      </c>
      <c r="DF218" s="3" t="s">
        <v>3</v>
      </c>
      <c r="DG218" s="3" t="s">
        <v>3</v>
      </c>
      <c r="DH218" s="3" t="s">
        <v>3</v>
      </c>
      <c r="DI218" s="3" t="s">
        <v>3</v>
      </c>
      <c r="DJ218" s="3" t="s">
        <v>3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R218" s="3"/>
      <c r="DS218" s="3"/>
      <c r="DT218" s="3"/>
      <c r="DU218" s="3">
        <v>1010</v>
      </c>
      <c r="DV218" s="3" t="s">
        <v>223</v>
      </c>
      <c r="DW218" s="3" t="s">
        <v>223</v>
      </c>
      <c r="DX218" s="3">
        <v>100</v>
      </c>
      <c r="DY218" s="3"/>
      <c r="DZ218" s="3" t="s">
        <v>3</v>
      </c>
      <c r="EA218" s="3" t="s">
        <v>3</v>
      </c>
      <c r="EB218" s="3" t="s">
        <v>3</v>
      </c>
      <c r="EC218" s="3" t="s">
        <v>3</v>
      </c>
      <c r="ED218" s="3"/>
      <c r="EE218" s="3">
        <v>58162629</v>
      </c>
      <c r="EF218" s="3">
        <v>40</v>
      </c>
      <c r="EG218" s="3" t="s">
        <v>25</v>
      </c>
      <c r="EH218" s="3">
        <v>0</v>
      </c>
      <c r="EI218" s="3" t="s">
        <v>3</v>
      </c>
      <c r="EJ218" s="3">
        <v>2</v>
      </c>
      <c r="EK218" s="3">
        <v>67</v>
      </c>
      <c r="EL218" s="3" t="s">
        <v>225</v>
      </c>
      <c r="EM218" s="3" t="s">
        <v>226</v>
      </c>
      <c r="EN218" s="3"/>
      <c r="EO218" s="3" t="s">
        <v>3</v>
      </c>
      <c r="EP218" s="3"/>
      <c r="EQ218" s="3">
        <v>0</v>
      </c>
      <c r="ER218" s="3">
        <v>21.2</v>
      </c>
      <c r="ES218" s="3">
        <v>21.2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>
        <v>0</v>
      </c>
      <c r="FR218" s="3">
        <v>0</v>
      </c>
      <c r="FS218" s="3">
        <v>0</v>
      </c>
      <c r="FT218" s="3"/>
      <c r="FU218" s="3"/>
      <c r="FV218" s="3"/>
      <c r="FW218" s="3"/>
      <c r="FX218" s="3">
        <v>97</v>
      </c>
      <c r="FY218" s="3">
        <v>51</v>
      </c>
      <c r="FZ218" s="3"/>
      <c r="GA218" s="3" t="s">
        <v>3</v>
      </c>
      <c r="GB218" s="3"/>
      <c r="GC218" s="3"/>
      <c r="GD218" s="3">
        <v>1</v>
      </c>
      <c r="GE218" s="3"/>
      <c r="GF218" s="3">
        <v>-278186458</v>
      </c>
      <c r="GG218" s="3">
        <v>2</v>
      </c>
      <c r="GH218" s="3">
        <v>1</v>
      </c>
      <c r="GI218" s="3">
        <v>2</v>
      </c>
      <c r="GJ218" s="3">
        <v>0</v>
      </c>
      <c r="GK218" s="3">
        <v>0</v>
      </c>
      <c r="GL218" s="3">
        <f t="shared" si="205"/>
        <v>0</v>
      </c>
      <c r="GM218" s="3">
        <f t="shared" si="206"/>
        <v>484.63</v>
      </c>
      <c r="GN218" s="3">
        <f t="shared" si="207"/>
        <v>0</v>
      </c>
      <c r="GO218" s="3">
        <f t="shared" si="208"/>
        <v>484.63</v>
      </c>
      <c r="GP218" s="3">
        <f t="shared" si="209"/>
        <v>0</v>
      </c>
      <c r="GQ218" s="3"/>
      <c r="GR218" s="3">
        <v>0</v>
      </c>
      <c r="GS218" s="3">
        <v>3</v>
      </c>
      <c r="GT218" s="3">
        <v>0</v>
      </c>
      <c r="GU218" s="3" t="s">
        <v>3</v>
      </c>
      <c r="GV218" s="3">
        <f t="shared" si="210"/>
        <v>0</v>
      </c>
      <c r="GW218" s="3">
        <v>1</v>
      </c>
      <c r="GX218" s="3">
        <f t="shared" si="211"/>
        <v>0</v>
      </c>
      <c r="GY218" s="3"/>
      <c r="GZ218" s="3"/>
      <c r="HA218" s="3">
        <v>0</v>
      </c>
      <c r="HB218" s="3">
        <v>0</v>
      </c>
      <c r="HC218" s="3">
        <f t="shared" si="212"/>
        <v>0</v>
      </c>
      <c r="HD218" s="3"/>
      <c r="HE218" s="3" t="s">
        <v>3</v>
      </c>
      <c r="HF218" s="3" t="s">
        <v>3</v>
      </c>
      <c r="HG218" s="3"/>
      <c r="HH218" s="3"/>
      <c r="HI218" s="3"/>
      <c r="HJ218" s="3"/>
      <c r="HK218" s="3"/>
      <c r="HL218" s="3"/>
      <c r="HM218" s="3" t="s">
        <v>3</v>
      </c>
      <c r="HN218" s="3" t="s">
        <v>3</v>
      </c>
      <c r="HO218" s="3" t="s">
        <v>3</v>
      </c>
      <c r="HP218" s="3" t="s">
        <v>3</v>
      </c>
      <c r="HQ218" s="3" t="s">
        <v>3</v>
      </c>
      <c r="HR218" s="3"/>
      <c r="HS218" s="3">
        <v>0</v>
      </c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>
        <v>0</v>
      </c>
      <c r="IL218" s="3"/>
      <c r="IM218" s="3"/>
      <c r="IN218" s="3"/>
      <c r="IO218" s="3"/>
      <c r="IP218" s="3"/>
      <c r="IQ218" s="3"/>
      <c r="IR218" s="3"/>
      <c r="IS218" s="3"/>
      <c r="IT218" s="3"/>
      <c r="IU218" s="3"/>
    </row>
    <row r="219" spans="1:255" x14ac:dyDescent="0.3">
      <c r="A219" s="2">
        <v>18</v>
      </c>
      <c r="B219" s="2">
        <v>1</v>
      </c>
      <c r="C219" s="2">
        <v>8</v>
      </c>
      <c r="D219" s="2"/>
      <c r="E219" s="2" t="s">
        <v>232</v>
      </c>
      <c r="F219" s="2" t="s">
        <v>233</v>
      </c>
      <c r="G219" s="2" t="s">
        <v>234</v>
      </c>
      <c r="H219" s="2" t="s">
        <v>32</v>
      </c>
      <c r="I219" s="2">
        <f>I213*J219</f>
        <v>90</v>
      </c>
      <c r="J219" s="2">
        <v>24.657534246575342</v>
      </c>
      <c r="K219" s="2">
        <v>24.657534200000001</v>
      </c>
      <c r="L219" s="2"/>
      <c r="M219" s="2"/>
      <c r="N219" s="2"/>
      <c r="O219" s="2">
        <f t="shared" si="181"/>
        <v>14062.5</v>
      </c>
      <c r="P219" s="2">
        <f t="shared" si="182"/>
        <v>14062.5</v>
      </c>
      <c r="Q219" s="2">
        <f t="shared" si="220"/>
        <v>0</v>
      </c>
      <c r="R219" s="2">
        <f t="shared" si="183"/>
        <v>0</v>
      </c>
      <c r="S219" s="2">
        <f t="shared" si="184"/>
        <v>0</v>
      </c>
      <c r="T219" s="2">
        <f t="shared" si="185"/>
        <v>0</v>
      </c>
      <c r="U219" s="2">
        <f t="shared" si="186"/>
        <v>0</v>
      </c>
      <c r="V219" s="2">
        <f t="shared" si="187"/>
        <v>0</v>
      </c>
      <c r="W219" s="2">
        <f t="shared" si="188"/>
        <v>0</v>
      </c>
      <c r="X219" s="2">
        <f t="shared" si="189"/>
        <v>0</v>
      </c>
      <c r="Y219" s="2">
        <f t="shared" si="190"/>
        <v>0</v>
      </c>
      <c r="Z219" s="2"/>
      <c r="AA219" s="2">
        <v>56505403</v>
      </c>
      <c r="AB219" s="2">
        <f t="shared" si="191"/>
        <v>156.25</v>
      </c>
      <c r="AC219" s="2">
        <f t="shared" si="192"/>
        <v>156.25</v>
      </c>
      <c r="AD219" s="2">
        <f t="shared" si="221"/>
        <v>0</v>
      </c>
      <c r="AE219" s="2">
        <f t="shared" si="222"/>
        <v>0</v>
      </c>
      <c r="AF219" s="2">
        <f t="shared" si="223"/>
        <v>0</v>
      </c>
      <c r="AG219" s="2">
        <f t="shared" si="193"/>
        <v>0</v>
      </c>
      <c r="AH219" s="2">
        <f t="shared" si="224"/>
        <v>0</v>
      </c>
      <c r="AI219" s="2">
        <f t="shared" si="225"/>
        <v>0</v>
      </c>
      <c r="AJ219" s="2">
        <f t="shared" si="194"/>
        <v>0</v>
      </c>
      <c r="AK219" s="2">
        <v>156.25</v>
      </c>
      <c r="AL219" s="2">
        <v>156.25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97</v>
      </c>
      <c r="AU219" s="2">
        <v>51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2</v>
      </c>
      <c r="BJ219" s="2" t="s">
        <v>235</v>
      </c>
      <c r="BK219" s="2"/>
      <c r="BL219" s="2"/>
      <c r="BM219" s="2">
        <v>67</v>
      </c>
      <c r="BN219" s="2">
        <v>0</v>
      </c>
      <c r="BO219" s="2" t="s">
        <v>3</v>
      </c>
      <c r="BP219" s="2">
        <v>0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97</v>
      </c>
      <c r="CA219" s="2">
        <v>51</v>
      </c>
      <c r="CB219" s="2" t="s">
        <v>3</v>
      </c>
      <c r="CC219" s="2"/>
      <c r="CD219" s="2"/>
      <c r="CE219" s="2">
        <v>30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195"/>
        <v>14062.5</v>
      </c>
      <c r="CQ219" s="2">
        <f t="shared" si="196"/>
        <v>156.25</v>
      </c>
      <c r="CR219" s="2">
        <f t="shared" si="226"/>
        <v>0</v>
      </c>
      <c r="CS219" s="2">
        <f t="shared" si="197"/>
        <v>0</v>
      </c>
      <c r="CT219" s="2">
        <f t="shared" si="198"/>
        <v>0</v>
      </c>
      <c r="CU219" s="2">
        <f t="shared" si="199"/>
        <v>0</v>
      </c>
      <c r="CV219" s="2">
        <f t="shared" si="200"/>
        <v>0</v>
      </c>
      <c r="CW219" s="2">
        <f t="shared" si="201"/>
        <v>0</v>
      </c>
      <c r="CX219" s="2">
        <f t="shared" si="202"/>
        <v>0</v>
      </c>
      <c r="CY219" s="2">
        <f t="shared" si="203"/>
        <v>0</v>
      </c>
      <c r="CZ219" s="2">
        <f t="shared" si="204"/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1010</v>
      </c>
      <c r="DV219" s="2" t="s">
        <v>32</v>
      </c>
      <c r="DW219" s="2" t="s">
        <v>32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58162629</v>
      </c>
      <c r="EF219" s="2">
        <v>40</v>
      </c>
      <c r="EG219" s="2" t="s">
        <v>25</v>
      </c>
      <c r="EH219" s="2">
        <v>0</v>
      </c>
      <c r="EI219" s="2" t="s">
        <v>3</v>
      </c>
      <c r="EJ219" s="2">
        <v>2</v>
      </c>
      <c r="EK219" s="2">
        <v>67</v>
      </c>
      <c r="EL219" s="2" t="s">
        <v>225</v>
      </c>
      <c r="EM219" s="2" t="s">
        <v>226</v>
      </c>
      <c r="EN219" s="2"/>
      <c r="EO219" s="2" t="s">
        <v>3</v>
      </c>
      <c r="EP219" s="2"/>
      <c r="EQ219" s="2">
        <v>0</v>
      </c>
      <c r="ER219" s="2">
        <v>156.25</v>
      </c>
      <c r="ES219" s="2">
        <v>156.25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97</v>
      </c>
      <c r="FY219" s="2">
        <v>51</v>
      </c>
      <c r="FZ219" s="2"/>
      <c r="GA219" s="2" t="s">
        <v>3</v>
      </c>
      <c r="GB219" s="2"/>
      <c r="GC219" s="2"/>
      <c r="GD219" s="2">
        <v>1</v>
      </c>
      <c r="GE219" s="2"/>
      <c r="GF219" s="2">
        <v>-462143021</v>
      </c>
      <c r="GG219" s="2">
        <v>2</v>
      </c>
      <c r="GH219" s="2">
        <v>1</v>
      </c>
      <c r="GI219" s="2">
        <v>-2</v>
      </c>
      <c r="GJ219" s="2">
        <v>0</v>
      </c>
      <c r="GK219" s="2">
        <v>0</v>
      </c>
      <c r="GL219" s="2">
        <f t="shared" si="205"/>
        <v>0</v>
      </c>
      <c r="GM219" s="2">
        <f t="shared" si="206"/>
        <v>14062.5</v>
      </c>
      <c r="GN219" s="2">
        <f t="shared" si="207"/>
        <v>0</v>
      </c>
      <c r="GO219" s="2">
        <f t="shared" si="208"/>
        <v>14062.5</v>
      </c>
      <c r="GP219" s="2">
        <f t="shared" si="209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210"/>
        <v>0</v>
      </c>
      <c r="GW219" s="2">
        <v>1</v>
      </c>
      <c r="GX219" s="2">
        <f t="shared" si="211"/>
        <v>0</v>
      </c>
      <c r="GY219" s="2"/>
      <c r="GZ219" s="2"/>
      <c r="HA219" s="2">
        <v>0</v>
      </c>
      <c r="HB219" s="2">
        <v>0</v>
      </c>
      <c r="HC219" s="2">
        <f t="shared" si="212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3">
      <c r="A220" s="3">
        <v>18</v>
      </c>
      <c r="B220" s="3">
        <v>1</v>
      </c>
      <c r="C220" s="3">
        <v>19</v>
      </c>
      <c r="D220" s="3"/>
      <c r="E220" s="3" t="s">
        <v>232</v>
      </c>
      <c r="F220" s="3" t="s">
        <v>233</v>
      </c>
      <c r="G220" s="3" t="s">
        <v>234</v>
      </c>
      <c r="H220" s="3" t="s">
        <v>32</v>
      </c>
      <c r="I220" s="3">
        <f>I214*J220</f>
        <v>90</v>
      </c>
      <c r="J220" s="3">
        <v>24.657534246575342</v>
      </c>
      <c r="K220" s="3">
        <v>24.657534200000001</v>
      </c>
      <c r="L220" s="3"/>
      <c r="M220" s="3"/>
      <c r="N220" s="3"/>
      <c r="O220" s="3">
        <f t="shared" si="181"/>
        <v>21515.63</v>
      </c>
      <c r="P220" s="3">
        <f t="shared" si="182"/>
        <v>21515.63</v>
      </c>
      <c r="Q220" s="3">
        <f t="shared" si="220"/>
        <v>0</v>
      </c>
      <c r="R220" s="3">
        <f t="shared" si="183"/>
        <v>0</v>
      </c>
      <c r="S220" s="3">
        <f t="shared" si="184"/>
        <v>0</v>
      </c>
      <c r="T220" s="3">
        <f t="shared" si="185"/>
        <v>0</v>
      </c>
      <c r="U220" s="3">
        <f t="shared" si="186"/>
        <v>0</v>
      </c>
      <c r="V220" s="3">
        <f t="shared" si="187"/>
        <v>0</v>
      </c>
      <c r="W220" s="3">
        <f t="shared" si="188"/>
        <v>0</v>
      </c>
      <c r="X220" s="3">
        <f t="shared" si="189"/>
        <v>0</v>
      </c>
      <c r="Y220" s="3">
        <f t="shared" si="190"/>
        <v>0</v>
      </c>
      <c r="Z220" s="3"/>
      <c r="AA220" s="3">
        <v>56505405</v>
      </c>
      <c r="AB220" s="3">
        <f t="shared" si="191"/>
        <v>156.25</v>
      </c>
      <c r="AC220" s="3">
        <f t="shared" si="192"/>
        <v>156.25</v>
      </c>
      <c r="AD220" s="3">
        <f t="shared" si="221"/>
        <v>0</v>
      </c>
      <c r="AE220" s="3">
        <f t="shared" si="222"/>
        <v>0</v>
      </c>
      <c r="AF220" s="3">
        <f t="shared" si="223"/>
        <v>0</v>
      </c>
      <c r="AG220" s="3">
        <f t="shared" si="193"/>
        <v>0</v>
      </c>
      <c r="AH220" s="3">
        <f t="shared" si="224"/>
        <v>0</v>
      </c>
      <c r="AI220" s="3">
        <f t="shared" si="225"/>
        <v>0</v>
      </c>
      <c r="AJ220" s="3">
        <f t="shared" si="194"/>
        <v>0</v>
      </c>
      <c r="AK220" s="3">
        <v>156.25</v>
      </c>
      <c r="AL220" s="3">
        <v>156.25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97</v>
      </c>
      <c r="AU220" s="3">
        <v>51</v>
      </c>
      <c r="AV220" s="3">
        <v>1</v>
      </c>
      <c r="AW220" s="3">
        <v>1</v>
      </c>
      <c r="AX220" s="3"/>
      <c r="AY220" s="3"/>
      <c r="AZ220" s="3">
        <v>1</v>
      </c>
      <c r="BA220" s="3">
        <v>1</v>
      </c>
      <c r="BB220" s="3">
        <v>1</v>
      </c>
      <c r="BC220" s="3">
        <v>1.53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3</v>
      </c>
      <c r="BI220" s="3">
        <v>2</v>
      </c>
      <c r="BJ220" s="3" t="s">
        <v>235</v>
      </c>
      <c r="BK220" s="3"/>
      <c r="BL220" s="3"/>
      <c r="BM220" s="3">
        <v>67</v>
      </c>
      <c r="BN220" s="3">
        <v>0</v>
      </c>
      <c r="BO220" s="3" t="s">
        <v>233</v>
      </c>
      <c r="BP220" s="3">
        <v>1</v>
      </c>
      <c r="BQ220" s="3">
        <v>40</v>
      </c>
      <c r="BR220" s="3">
        <v>0</v>
      </c>
      <c r="BS220" s="3">
        <v>1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97</v>
      </c>
      <c r="CA220" s="3">
        <v>51</v>
      </c>
      <c r="CB220" s="3" t="s">
        <v>3</v>
      </c>
      <c r="CC220" s="3"/>
      <c r="CD220" s="3"/>
      <c r="CE220" s="3">
        <v>30</v>
      </c>
      <c r="CF220" s="3">
        <v>0</v>
      </c>
      <c r="CG220" s="3">
        <v>0</v>
      </c>
      <c r="CH220" s="3"/>
      <c r="CI220" s="3"/>
      <c r="CJ220" s="3"/>
      <c r="CK220" s="3"/>
      <c r="CL220" s="3"/>
      <c r="CM220" s="3">
        <v>0</v>
      </c>
      <c r="CN220" s="3" t="s">
        <v>3</v>
      </c>
      <c r="CO220" s="3">
        <v>0</v>
      </c>
      <c r="CP220" s="3">
        <f t="shared" si="195"/>
        <v>21515.63</v>
      </c>
      <c r="CQ220" s="3">
        <f t="shared" si="196"/>
        <v>239.06</v>
      </c>
      <c r="CR220" s="3">
        <f t="shared" si="226"/>
        <v>0</v>
      </c>
      <c r="CS220" s="3">
        <f t="shared" si="197"/>
        <v>0</v>
      </c>
      <c r="CT220" s="3">
        <f t="shared" si="198"/>
        <v>0</v>
      </c>
      <c r="CU220" s="3">
        <f t="shared" si="199"/>
        <v>0</v>
      </c>
      <c r="CV220" s="3">
        <f t="shared" si="200"/>
        <v>0</v>
      </c>
      <c r="CW220" s="3">
        <f t="shared" si="201"/>
        <v>0</v>
      </c>
      <c r="CX220" s="3">
        <f t="shared" si="202"/>
        <v>0</v>
      </c>
      <c r="CY220" s="3">
        <f t="shared" si="203"/>
        <v>0</v>
      </c>
      <c r="CZ220" s="3">
        <f t="shared" si="204"/>
        <v>0</v>
      </c>
      <c r="DA220" s="3"/>
      <c r="DB220" s="3"/>
      <c r="DC220" s="3" t="s">
        <v>3</v>
      </c>
      <c r="DD220" s="3" t="s">
        <v>3</v>
      </c>
      <c r="DE220" s="3" t="s">
        <v>3</v>
      </c>
      <c r="DF220" s="3" t="s">
        <v>3</v>
      </c>
      <c r="DG220" s="3" t="s">
        <v>3</v>
      </c>
      <c r="DH220" s="3" t="s">
        <v>3</v>
      </c>
      <c r="DI220" s="3" t="s">
        <v>3</v>
      </c>
      <c r="DJ220" s="3" t="s">
        <v>3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R220" s="3"/>
      <c r="DS220" s="3"/>
      <c r="DT220" s="3"/>
      <c r="DU220" s="3">
        <v>1010</v>
      </c>
      <c r="DV220" s="3" t="s">
        <v>32</v>
      </c>
      <c r="DW220" s="3" t="s">
        <v>32</v>
      </c>
      <c r="DX220" s="3">
        <v>1</v>
      </c>
      <c r="DY220" s="3"/>
      <c r="DZ220" s="3" t="s">
        <v>3</v>
      </c>
      <c r="EA220" s="3" t="s">
        <v>3</v>
      </c>
      <c r="EB220" s="3" t="s">
        <v>3</v>
      </c>
      <c r="EC220" s="3" t="s">
        <v>3</v>
      </c>
      <c r="ED220" s="3"/>
      <c r="EE220" s="3">
        <v>58162629</v>
      </c>
      <c r="EF220" s="3">
        <v>40</v>
      </c>
      <c r="EG220" s="3" t="s">
        <v>25</v>
      </c>
      <c r="EH220" s="3">
        <v>0</v>
      </c>
      <c r="EI220" s="3" t="s">
        <v>3</v>
      </c>
      <c r="EJ220" s="3">
        <v>2</v>
      </c>
      <c r="EK220" s="3">
        <v>67</v>
      </c>
      <c r="EL220" s="3" t="s">
        <v>225</v>
      </c>
      <c r="EM220" s="3" t="s">
        <v>226</v>
      </c>
      <c r="EN220" s="3"/>
      <c r="EO220" s="3" t="s">
        <v>3</v>
      </c>
      <c r="EP220" s="3"/>
      <c r="EQ220" s="3">
        <v>0</v>
      </c>
      <c r="ER220" s="3">
        <v>156.25</v>
      </c>
      <c r="ES220" s="3">
        <v>156.25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>
        <v>0</v>
      </c>
      <c r="FR220" s="3">
        <v>0</v>
      </c>
      <c r="FS220" s="3">
        <v>0</v>
      </c>
      <c r="FT220" s="3"/>
      <c r="FU220" s="3"/>
      <c r="FV220" s="3"/>
      <c r="FW220" s="3"/>
      <c r="FX220" s="3">
        <v>97</v>
      </c>
      <c r="FY220" s="3">
        <v>51</v>
      </c>
      <c r="FZ220" s="3"/>
      <c r="GA220" s="3" t="s">
        <v>3</v>
      </c>
      <c r="GB220" s="3"/>
      <c r="GC220" s="3"/>
      <c r="GD220" s="3">
        <v>1</v>
      </c>
      <c r="GE220" s="3"/>
      <c r="GF220" s="3">
        <v>-462143021</v>
      </c>
      <c r="GG220" s="3">
        <v>2</v>
      </c>
      <c r="GH220" s="3">
        <v>1</v>
      </c>
      <c r="GI220" s="3">
        <v>2</v>
      </c>
      <c r="GJ220" s="3">
        <v>0</v>
      </c>
      <c r="GK220" s="3">
        <v>0</v>
      </c>
      <c r="GL220" s="3">
        <f t="shared" si="205"/>
        <v>0</v>
      </c>
      <c r="GM220" s="3">
        <f t="shared" si="206"/>
        <v>21515.63</v>
      </c>
      <c r="GN220" s="3">
        <f t="shared" si="207"/>
        <v>0</v>
      </c>
      <c r="GO220" s="3">
        <f t="shared" si="208"/>
        <v>21515.63</v>
      </c>
      <c r="GP220" s="3">
        <f t="shared" si="209"/>
        <v>0</v>
      </c>
      <c r="GQ220" s="3"/>
      <c r="GR220" s="3">
        <v>0</v>
      </c>
      <c r="GS220" s="3">
        <v>3</v>
      </c>
      <c r="GT220" s="3">
        <v>0</v>
      </c>
      <c r="GU220" s="3" t="s">
        <v>3</v>
      </c>
      <c r="GV220" s="3">
        <f t="shared" si="210"/>
        <v>0</v>
      </c>
      <c r="GW220" s="3">
        <v>1</v>
      </c>
      <c r="GX220" s="3">
        <f t="shared" si="211"/>
        <v>0</v>
      </c>
      <c r="GY220" s="3"/>
      <c r="GZ220" s="3"/>
      <c r="HA220" s="3">
        <v>0</v>
      </c>
      <c r="HB220" s="3">
        <v>0</v>
      </c>
      <c r="HC220" s="3">
        <f t="shared" si="212"/>
        <v>0</v>
      </c>
      <c r="HD220" s="3"/>
      <c r="HE220" s="3" t="s">
        <v>3</v>
      </c>
      <c r="HF220" s="3" t="s">
        <v>3</v>
      </c>
      <c r="HG220" s="3"/>
      <c r="HH220" s="3"/>
      <c r="HI220" s="3"/>
      <c r="HJ220" s="3"/>
      <c r="HK220" s="3"/>
      <c r="HL220" s="3"/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R220" s="3"/>
      <c r="HS220" s="3">
        <v>0</v>
      </c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>
        <v>0</v>
      </c>
      <c r="IL220" s="3"/>
      <c r="IM220" s="3"/>
      <c r="IN220" s="3"/>
      <c r="IO220" s="3"/>
      <c r="IP220" s="3"/>
      <c r="IQ220" s="3"/>
      <c r="IR220" s="3"/>
      <c r="IS220" s="3"/>
      <c r="IT220" s="3"/>
      <c r="IU220" s="3"/>
    </row>
    <row r="221" spans="1:255" x14ac:dyDescent="0.3">
      <c r="A221" s="2">
        <v>18</v>
      </c>
      <c r="B221" s="2">
        <v>1</v>
      </c>
      <c r="C221" s="2">
        <v>9</v>
      </c>
      <c r="D221" s="2"/>
      <c r="E221" s="2" t="s">
        <v>236</v>
      </c>
      <c r="F221" s="2" t="s">
        <v>237</v>
      </c>
      <c r="G221" s="2" t="s">
        <v>238</v>
      </c>
      <c r="H221" s="2" t="s">
        <v>32</v>
      </c>
      <c r="I221" s="2">
        <f>I213*J221</f>
        <v>187</v>
      </c>
      <c r="J221" s="2">
        <v>51.232876712328768</v>
      </c>
      <c r="K221" s="2">
        <v>51.232876699999998</v>
      </c>
      <c r="L221" s="2"/>
      <c r="M221" s="2"/>
      <c r="N221" s="2"/>
      <c r="O221" s="2">
        <f t="shared" si="181"/>
        <v>39767.42</v>
      </c>
      <c r="P221" s="2">
        <f t="shared" si="182"/>
        <v>39767.42</v>
      </c>
      <c r="Q221" s="2">
        <f t="shared" si="220"/>
        <v>0</v>
      </c>
      <c r="R221" s="2">
        <f t="shared" si="183"/>
        <v>0</v>
      </c>
      <c r="S221" s="2">
        <f t="shared" si="184"/>
        <v>0</v>
      </c>
      <c r="T221" s="2">
        <f t="shared" si="185"/>
        <v>0</v>
      </c>
      <c r="U221" s="2">
        <f t="shared" si="186"/>
        <v>0</v>
      </c>
      <c r="V221" s="2">
        <f t="shared" si="187"/>
        <v>0</v>
      </c>
      <c r="W221" s="2">
        <f t="shared" si="188"/>
        <v>0</v>
      </c>
      <c r="X221" s="2">
        <f t="shared" si="189"/>
        <v>0</v>
      </c>
      <c r="Y221" s="2">
        <f t="shared" si="190"/>
        <v>0</v>
      </c>
      <c r="Z221" s="2"/>
      <c r="AA221" s="2">
        <v>56505403</v>
      </c>
      <c r="AB221" s="2">
        <f t="shared" si="191"/>
        <v>212.66</v>
      </c>
      <c r="AC221" s="2">
        <f t="shared" si="192"/>
        <v>212.66</v>
      </c>
      <c r="AD221" s="2">
        <f t="shared" si="221"/>
        <v>0</v>
      </c>
      <c r="AE221" s="2">
        <f t="shared" si="222"/>
        <v>0</v>
      </c>
      <c r="AF221" s="2">
        <f t="shared" si="223"/>
        <v>0</v>
      </c>
      <c r="AG221" s="2">
        <f t="shared" si="193"/>
        <v>0</v>
      </c>
      <c r="AH221" s="2">
        <f t="shared" si="224"/>
        <v>0</v>
      </c>
      <c r="AI221" s="2">
        <f t="shared" si="225"/>
        <v>0</v>
      </c>
      <c r="AJ221" s="2">
        <f t="shared" si="194"/>
        <v>0</v>
      </c>
      <c r="AK221" s="2">
        <v>212.66</v>
      </c>
      <c r="AL221" s="2">
        <v>212.66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97</v>
      </c>
      <c r="AU221" s="2">
        <v>51</v>
      </c>
      <c r="AV221" s="2">
        <v>1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3</v>
      </c>
      <c r="BI221" s="2">
        <v>2</v>
      </c>
      <c r="BJ221" s="2" t="s">
        <v>3</v>
      </c>
      <c r="BK221" s="2"/>
      <c r="BL221" s="2"/>
      <c r="BM221" s="2">
        <v>67</v>
      </c>
      <c r="BN221" s="2">
        <v>0</v>
      </c>
      <c r="BO221" s="2" t="s">
        <v>3</v>
      </c>
      <c r="BP221" s="2">
        <v>0</v>
      </c>
      <c r="BQ221" s="2">
        <v>40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97</v>
      </c>
      <c r="CA221" s="2">
        <v>51</v>
      </c>
      <c r="CB221" s="2" t="s">
        <v>3</v>
      </c>
      <c r="CC221" s="2"/>
      <c r="CD221" s="2"/>
      <c r="CE221" s="2">
        <v>30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3</v>
      </c>
      <c r="CO221" s="2">
        <v>0</v>
      </c>
      <c r="CP221" s="2">
        <f t="shared" si="195"/>
        <v>39767.42</v>
      </c>
      <c r="CQ221" s="2">
        <f t="shared" si="196"/>
        <v>212.66</v>
      </c>
      <c r="CR221" s="2">
        <f t="shared" si="226"/>
        <v>0</v>
      </c>
      <c r="CS221" s="2">
        <f t="shared" si="197"/>
        <v>0</v>
      </c>
      <c r="CT221" s="2">
        <f t="shared" si="198"/>
        <v>0</v>
      </c>
      <c r="CU221" s="2">
        <f t="shared" si="199"/>
        <v>0</v>
      </c>
      <c r="CV221" s="2">
        <f t="shared" si="200"/>
        <v>0</v>
      </c>
      <c r="CW221" s="2">
        <f t="shared" si="201"/>
        <v>0</v>
      </c>
      <c r="CX221" s="2">
        <f t="shared" si="202"/>
        <v>0</v>
      </c>
      <c r="CY221" s="2">
        <f t="shared" si="203"/>
        <v>0</v>
      </c>
      <c r="CZ221" s="2">
        <f t="shared" si="204"/>
        <v>0</v>
      </c>
      <c r="DA221" s="2"/>
      <c r="DB221" s="2"/>
      <c r="DC221" s="2" t="s">
        <v>3</v>
      </c>
      <c r="DD221" s="2" t="s">
        <v>3</v>
      </c>
      <c r="DE221" s="2" t="s">
        <v>3</v>
      </c>
      <c r="DF221" s="2" t="s">
        <v>3</v>
      </c>
      <c r="DG221" s="2" t="s">
        <v>3</v>
      </c>
      <c r="DH221" s="2" t="s">
        <v>3</v>
      </c>
      <c r="DI221" s="2" t="s">
        <v>3</v>
      </c>
      <c r="DJ221" s="2" t="s">
        <v>3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1010</v>
      </c>
      <c r="DV221" s="2" t="s">
        <v>32</v>
      </c>
      <c r="DW221" s="2" t="s">
        <v>32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58162629</v>
      </c>
      <c r="EF221" s="2">
        <v>40</v>
      </c>
      <c r="EG221" s="2" t="s">
        <v>25</v>
      </c>
      <c r="EH221" s="2">
        <v>0</v>
      </c>
      <c r="EI221" s="2" t="s">
        <v>3</v>
      </c>
      <c r="EJ221" s="2">
        <v>2</v>
      </c>
      <c r="EK221" s="2">
        <v>67</v>
      </c>
      <c r="EL221" s="2" t="s">
        <v>225</v>
      </c>
      <c r="EM221" s="2" t="s">
        <v>226</v>
      </c>
      <c r="EN221" s="2"/>
      <c r="EO221" s="2" t="s">
        <v>3</v>
      </c>
      <c r="EP221" s="2"/>
      <c r="EQ221" s="2">
        <v>0</v>
      </c>
      <c r="ER221" s="2">
        <v>0</v>
      </c>
      <c r="ES221" s="2">
        <v>212.66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97</v>
      </c>
      <c r="FY221" s="2">
        <v>51</v>
      </c>
      <c r="FZ221" s="2"/>
      <c r="GA221" s="2" t="s">
        <v>239</v>
      </c>
      <c r="GB221" s="2"/>
      <c r="GC221" s="2"/>
      <c r="GD221" s="2">
        <v>1</v>
      </c>
      <c r="GE221" s="2"/>
      <c r="GF221" s="2">
        <v>851852885</v>
      </c>
      <c r="GG221" s="2">
        <v>2</v>
      </c>
      <c r="GH221" s="2">
        <v>4</v>
      </c>
      <c r="GI221" s="2">
        <v>-2</v>
      </c>
      <c r="GJ221" s="2">
        <v>0</v>
      </c>
      <c r="GK221" s="2">
        <v>0</v>
      </c>
      <c r="GL221" s="2">
        <f t="shared" si="205"/>
        <v>0</v>
      </c>
      <c r="GM221" s="2">
        <f t="shared" si="206"/>
        <v>39767.42</v>
      </c>
      <c r="GN221" s="2">
        <f t="shared" si="207"/>
        <v>0</v>
      </c>
      <c r="GO221" s="2">
        <f t="shared" si="208"/>
        <v>39767.42</v>
      </c>
      <c r="GP221" s="2">
        <f t="shared" si="209"/>
        <v>0</v>
      </c>
      <c r="GQ221" s="2"/>
      <c r="GR221" s="2">
        <v>0</v>
      </c>
      <c r="GS221" s="2">
        <v>2</v>
      </c>
      <c r="GT221" s="2">
        <v>0</v>
      </c>
      <c r="GU221" s="2" t="s">
        <v>3</v>
      </c>
      <c r="GV221" s="2">
        <f t="shared" si="210"/>
        <v>0</v>
      </c>
      <c r="GW221" s="2">
        <v>1</v>
      </c>
      <c r="GX221" s="2">
        <f t="shared" si="211"/>
        <v>0</v>
      </c>
      <c r="GY221" s="2"/>
      <c r="GZ221" s="2"/>
      <c r="HA221" s="2">
        <v>0</v>
      </c>
      <c r="HB221" s="2">
        <v>0</v>
      </c>
      <c r="HC221" s="2">
        <f t="shared" si="212"/>
        <v>0</v>
      </c>
      <c r="HD221" s="2"/>
      <c r="HE221" s="2" t="s">
        <v>34</v>
      </c>
      <c r="HF221" s="2" t="s">
        <v>35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3">
      <c r="A222" s="3">
        <v>18</v>
      </c>
      <c r="B222" s="3">
        <v>1</v>
      </c>
      <c r="C222" s="3">
        <v>20</v>
      </c>
      <c r="D222" s="3"/>
      <c r="E222" s="3" t="s">
        <v>236</v>
      </c>
      <c r="F222" s="3" t="s">
        <v>237</v>
      </c>
      <c r="G222" s="3" t="s">
        <v>238</v>
      </c>
      <c r="H222" s="3" t="s">
        <v>32</v>
      </c>
      <c r="I222" s="3">
        <f>I214*J222</f>
        <v>187</v>
      </c>
      <c r="J222" s="3">
        <v>51.232876712328768</v>
      </c>
      <c r="K222" s="3">
        <v>51.232876699999998</v>
      </c>
      <c r="L222" s="3"/>
      <c r="M222" s="3"/>
      <c r="N222" s="3"/>
      <c r="O222" s="3">
        <f t="shared" si="181"/>
        <v>392902.11</v>
      </c>
      <c r="P222" s="3">
        <f t="shared" si="182"/>
        <v>392902.11</v>
      </c>
      <c r="Q222" s="3">
        <f t="shared" si="220"/>
        <v>0</v>
      </c>
      <c r="R222" s="3">
        <f t="shared" si="183"/>
        <v>0</v>
      </c>
      <c r="S222" s="3">
        <f t="shared" si="184"/>
        <v>0</v>
      </c>
      <c r="T222" s="3">
        <f t="shared" si="185"/>
        <v>0</v>
      </c>
      <c r="U222" s="3">
        <f t="shared" si="186"/>
        <v>0</v>
      </c>
      <c r="V222" s="3">
        <f t="shared" si="187"/>
        <v>0</v>
      </c>
      <c r="W222" s="3">
        <f t="shared" si="188"/>
        <v>0</v>
      </c>
      <c r="X222" s="3">
        <f t="shared" si="189"/>
        <v>0</v>
      </c>
      <c r="Y222" s="3">
        <f t="shared" si="190"/>
        <v>0</v>
      </c>
      <c r="Z222" s="3"/>
      <c r="AA222" s="3">
        <v>56505405</v>
      </c>
      <c r="AB222" s="3">
        <f t="shared" si="191"/>
        <v>212.66</v>
      </c>
      <c r="AC222" s="3">
        <f t="shared" si="192"/>
        <v>212.66</v>
      </c>
      <c r="AD222" s="3">
        <f t="shared" si="221"/>
        <v>0</v>
      </c>
      <c r="AE222" s="3">
        <f t="shared" si="222"/>
        <v>0</v>
      </c>
      <c r="AF222" s="3">
        <f t="shared" si="223"/>
        <v>0</v>
      </c>
      <c r="AG222" s="3">
        <f t="shared" si="193"/>
        <v>0</v>
      </c>
      <c r="AH222" s="3">
        <f t="shared" si="224"/>
        <v>0</v>
      </c>
      <c r="AI222" s="3">
        <f t="shared" si="225"/>
        <v>0</v>
      </c>
      <c r="AJ222" s="3">
        <f t="shared" si="194"/>
        <v>0</v>
      </c>
      <c r="AK222" s="3">
        <v>212.66</v>
      </c>
      <c r="AL222" s="3">
        <v>212.66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97</v>
      </c>
      <c r="AU222" s="3">
        <v>51</v>
      </c>
      <c r="AV222" s="3">
        <v>1</v>
      </c>
      <c r="AW222" s="3">
        <v>1</v>
      </c>
      <c r="AX222" s="3"/>
      <c r="AY222" s="3"/>
      <c r="AZ222" s="3">
        <v>1</v>
      </c>
      <c r="BA222" s="3">
        <v>1</v>
      </c>
      <c r="BB222" s="3">
        <v>1</v>
      </c>
      <c r="BC222" s="3">
        <v>9.8800000000000008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3</v>
      </c>
      <c r="BI222" s="3">
        <v>2</v>
      </c>
      <c r="BJ222" s="3" t="s">
        <v>3</v>
      </c>
      <c r="BK222" s="3"/>
      <c r="BL222" s="3"/>
      <c r="BM222" s="3">
        <v>67</v>
      </c>
      <c r="BN222" s="3">
        <v>0</v>
      </c>
      <c r="BO222" s="3" t="s">
        <v>3</v>
      </c>
      <c r="BP222" s="3">
        <v>0</v>
      </c>
      <c r="BQ222" s="3">
        <v>40</v>
      </c>
      <c r="BR222" s="3">
        <v>0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97</v>
      </c>
      <c r="CA222" s="3">
        <v>51</v>
      </c>
      <c r="CB222" s="3" t="s">
        <v>3</v>
      </c>
      <c r="CC222" s="3"/>
      <c r="CD222" s="3"/>
      <c r="CE222" s="3">
        <v>30</v>
      </c>
      <c r="CF222" s="3">
        <v>0</v>
      </c>
      <c r="CG222" s="3">
        <v>0</v>
      </c>
      <c r="CH222" s="3"/>
      <c r="CI222" s="3"/>
      <c r="CJ222" s="3"/>
      <c r="CK222" s="3"/>
      <c r="CL222" s="3"/>
      <c r="CM222" s="3">
        <v>0</v>
      </c>
      <c r="CN222" s="3" t="s">
        <v>3</v>
      </c>
      <c r="CO222" s="3">
        <v>0</v>
      </c>
      <c r="CP222" s="3">
        <f t="shared" si="195"/>
        <v>392902.11</v>
      </c>
      <c r="CQ222" s="3">
        <f t="shared" si="196"/>
        <v>2101.08</v>
      </c>
      <c r="CR222" s="3">
        <f t="shared" si="226"/>
        <v>0</v>
      </c>
      <c r="CS222" s="3">
        <f t="shared" si="197"/>
        <v>0</v>
      </c>
      <c r="CT222" s="3">
        <f t="shared" si="198"/>
        <v>0</v>
      </c>
      <c r="CU222" s="3">
        <f t="shared" si="199"/>
        <v>0</v>
      </c>
      <c r="CV222" s="3">
        <f t="shared" si="200"/>
        <v>0</v>
      </c>
      <c r="CW222" s="3">
        <f t="shared" si="201"/>
        <v>0</v>
      </c>
      <c r="CX222" s="3">
        <f t="shared" si="202"/>
        <v>0</v>
      </c>
      <c r="CY222" s="3">
        <f t="shared" si="203"/>
        <v>0</v>
      </c>
      <c r="CZ222" s="3">
        <f t="shared" si="204"/>
        <v>0</v>
      </c>
      <c r="DA222" s="3"/>
      <c r="DB222" s="3"/>
      <c r="DC222" s="3" t="s">
        <v>3</v>
      </c>
      <c r="DD222" s="3" t="s">
        <v>3</v>
      </c>
      <c r="DE222" s="3" t="s">
        <v>3</v>
      </c>
      <c r="DF222" s="3" t="s">
        <v>3</v>
      </c>
      <c r="DG222" s="3" t="s">
        <v>3</v>
      </c>
      <c r="DH222" s="3" t="s">
        <v>3</v>
      </c>
      <c r="DI222" s="3" t="s">
        <v>3</v>
      </c>
      <c r="DJ222" s="3" t="s">
        <v>3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R222" s="3"/>
      <c r="DS222" s="3"/>
      <c r="DT222" s="3"/>
      <c r="DU222" s="3">
        <v>1010</v>
      </c>
      <c r="DV222" s="3" t="s">
        <v>32</v>
      </c>
      <c r="DW222" s="3" t="s">
        <v>32</v>
      </c>
      <c r="DX222" s="3">
        <v>1</v>
      </c>
      <c r="DY222" s="3"/>
      <c r="DZ222" s="3" t="s">
        <v>3</v>
      </c>
      <c r="EA222" s="3" t="s">
        <v>3</v>
      </c>
      <c r="EB222" s="3" t="s">
        <v>3</v>
      </c>
      <c r="EC222" s="3" t="s">
        <v>3</v>
      </c>
      <c r="ED222" s="3"/>
      <c r="EE222" s="3">
        <v>58162629</v>
      </c>
      <c r="EF222" s="3">
        <v>40</v>
      </c>
      <c r="EG222" s="3" t="s">
        <v>25</v>
      </c>
      <c r="EH222" s="3">
        <v>0</v>
      </c>
      <c r="EI222" s="3" t="s">
        <v>3</v>
      </c>
      <c r="EJ222" s="3">
        <v>2</v>
      </c>
      <c r="EK222" s="3">
        <v>67</v>
      </c>
      <c r="EL222" s="3" t="s">
        <v>225</v>
      </c>
      <c r="EM222" s="3" t="s">
        <v>226</v>
      </c>
      <c r="EN222" s="3"/>
      <c r="EO222" s="3" t="s">
        <v>3</v>
      </c>
      <c r="EP222" s="3"/>
      <c r="EQ222" s="3">
        <v>0</v>
      </c>
      <c r="ER222" s="3">
        <v>212.66</v>
      </c>
      <c r="ES222" s="3">
        <v>212.66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/>
      <c r="EZ222" s="3">
        <v>5</v>
      </c>
      <c r="FA222" s="3"/>
      <c r="FB222" s="3"/>
      <c r="FC222" s="3">
        <v>1</v>
      </c>
      <c r="FD222" s="3">
        <v>18</v>
      </c>
      <c r="FE222" s="3"/>
      <c r="FF222" s="3">
        <v>2471.86</v>
      </c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>
        <v>0</v>
      </c>
      <c r="FR222" s="3">
        <v>0</v>
      </c>
      <c r="FS222" s="3">
        <v>0</v>
      </c>
      <c r="FT222" s="3"/>
      <c r="FU222" s="3"/>
      <c r="FV222" s="3"/>
      <c r="FW222" s="3"/>
      <c r="FX222" s="3">
        <v>97</v>
      </c>
      <c r="FY222" s="3">
        <v>51</v>
      </c>
      <c r="FZ222" s="3"/>
      <c r="GA222" s="3" t="s">
        <v>239</v>
      </c>
      <c r="GB222" s="3"/>
      <c r="GC222" s="3"/>
      <c r="GD222" s="3">
        <v>1</v>
      </c>
      <c r="GE222" s="3"/>
      <c r="GF222" s="3">
        <v>851852885</v>
      </c>
      <c r="GG222" s="3">
        <v>2</v>
      </c>
      <c r="GH222" s="3">
        <v>3</v>
      </c>
      <c r="GI222" s="3">
        <v>5</v>
      </c>
      <c r="GJ222" s="3">
        <v>0</v>
      </c>
      <c r="GK222" s="3">
        <v>0</v>
      </c>
      <c r="GL222" s="3">
        <f t="shared" si="205"/>
        <v>0</v>
      </c>
      <c r="GM222" s="3">
        <f t="shared" si="206"/>
        <v>392902.11</v>
      </c>
      <c r="GN222" s="3">
        <f t="shared" si="207"/>
        <v>0</v>
      </c>
      <c r="GO222" s="3">
        <f t="shared" si="208"/>
        <v>392902.11</v>
      </c>
      <c r="GP222" s="3">
        <f t="shared" si="209"/>
        <v>0</v>
      </c>
      <c r="GQ222" s="3"/>
      <c r="GR222" s="3">
        <v>1</v>
      </c>
      <c r="GS222" s="3">
        <v>1</v>
      </c>
      <c r="GT222" s="3">
        <v>0</v>
      </c>
      <c r="GU222" s="3" t="s">
        <v>3</v>
      </c>
      <c r="GV222" s="3">
        <f t="shared" si="210"/>
        <v>0</v>
      </c>
      <c r="GW222" s="3">
        <v>1</v>
      </c>
      <c r="GX222" s="3">
        <f t="shared" si="211"/>
        <v>0</v>
      </c>
      <c r="GY222" s="3"/>
      <c r="GZ222" s="3"/>
      <c r="HA222" s="3">
        <v>0</v>
      </c>
      <c r="HB222" s="3">
        <v>0</v>
      </c>
      <c r="HC222" s="3">
        <f t="shared" si="212"/>
        <v>0</v>
      </c>
      <c r="HD222" s="3"/>
      <c r="HE222" s="3" t="s">
        <v>34</v>
      </c>
      <c r="HF222" s="3" t="s">
        <v>35</v>
      </c>
      <c r="HG222" s="3"/>
      <c r="HH222" s="3"/>
      <c r="HI222" s="3"/>
      <c r="HJ222" s="3"/>
      <c r="HK222" s="3"/>
      <c r="HL222" s="3"/>
      <c r="HM222" s="3" t="s">
        <v>3</v>
      </c>
      <c r="HN222" s="3" t="s">
        <v>3</v>
      </c>
      <c r="HO222" s="3" t="s">
        <v>3</v>
      </c>
      <c r="HP222" s="3" t="s">
        <v>3</v>
      </c>
      <c r="HQ222" s="3" t="s">
        <v>3</v>
      </c>
      <c r="HR222" s="3"/>
      <c r="HS222" s="3">
        <v>0</v>
      </c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>
        <v>0</v>
      </c>
      <c r="IL222" s="3"/>
      <c r="IM222" s="3"/>
      <c r="IN222" s="3"/>
      <c r="IO222" s="3"/>
      <c r="IP222" s="3"/>
      <c r="IQ222" s="3"/>
      <c r="IR222" s="3"/>
      <c r="IS222" s="3"/>
      <c r="IT222" s="3"/>
      <c r="IU222" s="3"/>
    </row>
    <row r="223" spans="1:255" x14ac:dyDescent="0.3">
      <c r="A223" s="2">
        <v>18</v>
      </c>
      <c r="B223" s="2">
        <v>1</v>
      </c>
      <c r="C223" s="2">
        <v>7</v>
      </c>
      <c r="D223" s="2"/>
      <c r="E223" s="2" t="s">
        <v>240</v>
      </c>
      <c r="F223" s="2" t="s">
        <v>241</v>
      </c>
      <c r="G223" s="2" t="s">
        <v>242</v>
      </c>
      <c r="H223" s="2" t="s">
        <v>32</v>
      </c>
      <c r="I223" s="2">
        <f>I213*J223</f>
        <v>0.99999999999999989</v>
      </c>
      <c r="J223" s="2">
        <v>0.27397260273972601</v>
      </c>
      <c r="K223" s="2">
        <v>0.27397260000000001</v>
      </c>
      <c r="L223" s="2"/>
      <c r="M223" s="2"/>
      <c r="N223" s="2"/>
      <c r="O223" s="2">
        <f t="shared" si="181"/>
        <v>15.67</v>
      </c>
      <c r="P223" s="2">
        <f t="shared" si="182"/>
        <v>15.67</v>
      </c>
      <c r="Q223" s="2">
        <f t="shared" si="220"/>
        <v>0</v>
      </c>
      <c r="R223" s="2">
        <f t="shared" si="183"/>
        <v>0</v>
      </c>
      <c r="S223" s="2">
        <f t="shared" si="184"/>
        <v>0</v>
      </c>
      <c r="T223" s="2">
        <f t="shared" si="185"/>
        <v>0</v>
      </c>
      <c r="U223" s="2">
        <f t="shared" si="186"/>
        <v>0</v>
      </c>
      <c r="V223" s="2">
        <f t="shared" si="187"/>
        <v>0</v>
      </c>
      <c r="W223" s="2">
        <f t="shared" si="188"/>
        <v>0</v>
      </c>
      <c r="X223" s="2">
        <f t="shared" si="189"/>
        <v>0</v>
      </c>
      <c r="Y223" s="2">
        <f t="shared" si="190"/>
        <v>0</v>
      </c>
      <c r="Z223" s="2"/>
      <c r="AA223" s="2">
        <v>56505403</v>
      </c>
      <c r="AB223" s="2">
        <f t="shared" si="191"/>
        <v>15.67</v>
      </c>
      <c r="AC223" s="2">
        <f t="shared" si="192"/>
        <v>15.67</v>
      </c>
      <c r="AD223" s="2">
        <f t="shared" si="221"/>
        <v>0</v>
      </c>
      <c r="AE223" s="2">
        <f t="shared" si="222"/>
        <v>0</v>
      </c>
      <c r="AF223" s="2">
        <f t="shared" si="223"/>
        <v>0</v>
      </c>
      <c r="AG223" s="2">
        <f t="shared" si="193"/>
        <v>0</v>
      </c>
      <c r="AH223" s="2">
        <f t="shared" si="224"/>
        <v>0</v>
      </c>
      <c r="AI223" s="2">
        <f t="shared" si="225"/>
        <v>0</v>
      </c>
      <c r="AJ223" s="2">
        <f t="shared" si="194"/>
        <v>0</v>
      </c>
      <c r="AK223" s="2">
        <v>15.67</v>
      </c>
      <c r="AL223" s="2">
        <v>15.67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97</v>
      </c>
      <c r="AU223" s="2">
        <v>51</v>
      </c>
      <c r="AV223" s="2">
        <v>1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2</v>
      </c>
      <c r="BJ223" s="2" t="s">
        <v>243</v>
      </c>
      <c r="BK223" s="2"/>
      <c r="BL223" s="2"/>
      <c r="BM223" s="2">
        <v>67</v>
      </c>
      <c r="BN223" s="2">
        <v>0</v>
      </c>
      <c r="BO223" s="2" t="s">
        <v>3</v>
      </c>
      <c r="BP223" s="2">
        <v>0</v>
      </c>
      <c r="BQ223" s="2">
        <v>40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97</v>
      </c>
      <c r="CA223" s="2">
        <v>51</v>
      </c>
      <c r="CB223" s="2" t="s">
        <v>3</v>
      </c>
      <c r="CC223" s="2"/>
      <c r="CD223" s="2"/>
      <c r="CE223" s="2">
        <v>30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3</v>
      </c>
      <c r="CO223" s="2">
        <v>0</v>
      </c>
      <c r="CP223" s="2">
        <f t="shared" si="195"/>
        <v>15.67</v>
      </c>
      <c r="CQ223" s="2">
        <f t="shared" si="196"/>
        <v>15.67</v>
      </c>
      <c r="CR223" s="2">
        <f t="shared" si="226"/>
        <v>0</v>
      </c>
      <c r="CS223" s="2">
        <f t="shared" si="197"/>
        <v>0</v>
      </c>
      <c r="CT223" s="2">
        <f t="shared" si="198"/>
        <v>0</v>
      </c>
      <c r="CU223" s="2">
        <f t="shared" si="199"/>
        <v>0</v>
      </c>
      <c r="CV223" s="2">
        <f t="shared" si="200"/>
        <v>0</v>
      </c>
      <c r="CW223" s="2">
        <f t="shared" si="201"/>
        <v>0</v>
      </c>
      <c r="CX223" s="2">
        <f t="shared" si="202"/>
        <v>0</v>
      </c>
      <c r="CY223" s="2">
        <f t="shared" si="203"/>
        <v>0</v>
      </c>
      <c r="CZ223" s="2">
        <f t="shared" si="204"/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1010</v>
      </c>
      <c r="DV223" s="2" t="s">
        <v>32</v>
      </c>
      <c r="DW223" s="2" t="s">
        <v>32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58162629</v>
      </c>
      <c r="EF223" s="2">
        <v>40</v>
      </c>
      <c r="EG223" s="2" t="s">
        <v>25</v>
      </c>
      <c r="EH223" s="2">
        <v>0</v>
      </c>
      <c r="EI223" s="2" t="s">
        <v>3</v>
      </c>
      <c r="EJ223" s="2">
        <v>2</v>
      </c>
      <c r="EK223" s="2">
        <v>67</v>
      </c>
      <c r="EL223" s="2" t="s">
        <v>225</v>
      </c>
      <c r="EM223" s="2" t="s">
        <v>226</v>
      </c>
      <c r="EN223" s="2"/>
      <c r="EO223" s="2" t="s">
        <v>3</v>
      </c>
      <c r="EP223" s="2"/>
      <c r="EQ223" s="2">
        <v>0</v>
      </c>
      <c r="ER223" s="2">
        <v>15.67</v>
      </c>
      <c r="ES223" s="2">
        <v>15.67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97</v>
      </c>
      <c r="FY223" s="2">
        <v>51</v>
      </c>
      <c r="FZ223" s="2"/>
      <c r="GA223" s="2" t="s">
        <v>3</v>
      </c>
      <c r="GB223" s="2"/>
      <c r="GC223" s="2"/>
      <c r="GD223" s="2">
        <v>1</v>
      </c>
      <c r="GE223" s="2"/>
      <c r="GF223" s="2">
        <v>1729520002</v>
      </c>
      <c r="GG223" s="2">
        <v>2</v>
      </c>
      <c r="GH223" s="2">
        <v>1</v>
      </c>
      <c r="GI223" s="2">
        <v>-2</v>
      </c>
      <c r="GJ223" s="2">
        <v>0</v>
      </c>
      <c r="GK223" s="2">
        <v>0</v>
      </c>
      <c r="GL223" s="2">
        <f t="shared" si="205"/>
        <v>0</v>
      </c>
      <c r="GM223" s="2">
        <f t="shared" si="206"/>
        <v>15.67</v>
      </c>
      <c r="GN223" s="2">
        <f t="shared" si="207"/>
        <v>0</v>
      </c>
      <c r="GO223" s="2">
        <f t="shared" si="208"/>
        <v>15.67</v>
      </c>
      <c r="GP223" s="2">
        <f t="shared" si="209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210"/>
        <v>0</v>
      </c>
      <c r="GW223" s="2">
        <v>1</v>
      </c>
      <c r="GX223" s="2">
        <f t="shared" si="211"/>
        <v>0</v>
      </c>
      <c r="GY223" s="2"/>
      <c r="GZ223" s="2"/>
      <c r="HA223" s="2">
        <v>0</v>
      </c>
      <c r="HB223" s="2">
        <v>0</v>
      </c>
      <c r="HC223" s="2">
        <f t="shared" si="212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3">
      <c r="A224" s="3">
        <v>18</v>
      </c>
      <c r="B224" s="3">
        <v>1</v>
      </c>
      <c r="C224" s="3">
        <v>18</v>
      </c>
      <c r="D224" s="3"/>
      <c r="E224" s="3" t="s">
        <v>240</v>
      </c>
      <c r="F224" s="3" t="s">
        <v>241</v>
      </c>
      <c r="G224" s="3" t="s">
        <v>242</v>
      </c>
      <c r="H224" s="3" t="s">
        <v>32</v>
      </c>
      <c r="I224" s="3">
        <f>I214*J224</f>
        <v>0.99999999999999989</v>
      </c>
      <c r="J224" s="3">
        <v>0.27397260273972601</v>
      </c>
      <c r="K224" s="3">
        <v>0.27397260000000001</v>
      </c>
      <c r="L224" s="3"/>
      <c r="M224" s="3"/>
      <c r="N224" s="3"/>
      <c r="O224" s="3">
        <f t="shared" si="181"/>
        <v>10.029999999999999</v>
      </c>
      <c r="P224" s="3">
        <f t="shared" si="182"/>
        <v>10.029999999999999</v>
      </c>
      <c r="Q224" s="3">
        <f t="shared" si="220"/>
        <v>0</v>
      </c>
      <c r="R224" s="3">
        <f t="shared" si="183"/>
        <v>0</v>
      </c>
      <c r="S224" s="3">
        <f t="shared" si="184"/>
        <v>0</v>
      </c>
      <c r="T224" s="3">
        <f t="shared" si="185"/>
        <v>0</v>
      </c>
      <c r="U224" s="3">
        <f t="shared" si="186"/>
        <v>0</v>
      </c>
      <c r="V224" s="3">
        <f t="shared" si="187"/>
        <v>0</v>
      </c>
      <c r="W224" s="3">
        <f t="shared" si="188"/>
        <v>0</v>
      </c>
      <c r="X224" s="3">
        <f t="shared" si="189"/>
        <v>0</v>
      </c>
      <c r="Y224" s="3">
        <f t="shared" si="190"/>
        <v>0</v>
      </c>
      <c r="Z224" s="3"/>
      <c r="AA224" s="3">
        <v>56505405</v>
      </c>
      <c r="AB224" s="3">
        <f t="shared" si="191"/>
        <v>15.67</v>
      </c>
      <c r="AC224" s="3">
        <f t="shared" si="192"/>
        <v>15.67</v>
      </c>
      <c r="AD224" s="3">
        <f t="shared" si="221"/>
        <v>0</v>
      </c>
      <c r="AE224" s="3">
        <f t="shared" si="222"/>
        <v>0</v>
      </c>
      <c r="AF224" s="3">
        <f t="shared" si="223"/>
        <v>0</v>
      </c>
      <c r="AG224" s="3">
        <f t="shared" si="193"/>
        <v>0</v>
      </c>
      <c r="AH224" s="3">
        <f t="shared" si="224"/>
        <v>0</v>
      </c>
      <c r="AI224" s="3">
        <f t="shared" si="225"/>
        <v>0</v>
      </c>
      <c r="AJ224" s="3">
        <f t="shared" si="194"/>
        <v>0</v>
      </c>
      <c r="AK224" s="3">
        <v>15.67</v>
      </c>
      <c r="AL224" s="3">
        <v>15.67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97</v>
      </c>
      <c r="AU224" s="3">
        <v>51</v>
      </c>
      <c r="AV224" s="3">
        <v>1</v>
      </c>
      <c r="AW224" s="3">
        <v>1</v>
      </c>
      <c r="AX224" s="3"/>
      <c r="AY224" s="3"/>
      <c r="AZ224" s="3">
        <v>1</v>
      </c>
      <c r="BA224" s="3">
        <v>1</v>
      </c>
      <c r="BB224" s="3">
        <v>1</v>
      </c>
      <c r="BC224" s="3">
        <v>0.64</v>
      </c>
      <c r="BD224" s="3" t="s">
        <v>3</v>
      </c>
      <c r="BE224" s="3" t="s">
        <v>3</v>
      </c>
      <c r="BF224" s="3" t="s">
        <v>3</v>
      </c>
      <c r="BG224" s="3" t="s">
        <v>3</v>
      </c>
      <c r="BH224" s="3">
        <v>3</v>
      </c>
      <c r="BI224" s="3">
        <v>2</v>
      </c>
      <c r="BJ224" s="3" t="s">
        <v>243</v>
      </c>
      <c r="BK224" s="3"/>
      <c r="BL224" s="3"/>
      <c r="BM224" s="3">
        <v>67</v>
      </c>
      <c r="BN224" s="3">
        <v>0</v>
      </c>
      <c r="BO224" s="3" t="s">
        <v>241</v>
      </c>
      <c r="BP224" s="3">
        <v>1</v>
      </c>
      <c r="BQ224" s="3">
        <v>40</v>
      </c>
      <c r="BR224" s="3">
        <v>0</v>
      </c>
      <c r="BS224" s="3">
        <v>1</v>
      </c>
      <c r="BT224" s="3">
        <v>1</v>
      </c>
      <c r="BU224" s="3">
        <v>1</v>
      </c>
      <c r="BV224" s="3">
        <v>1</v>
      </c>
      <c r="BW224" s="3">
        <v>1</v>
      </c>
      <c r="BX224" s="3">
        <v>1</v>
      </c>
      <c r="BY224" s="3" t="s">
        <v>3</v>
      </c>
      <c r="BZ224" s="3">
        <v>97</v>
      </c>
      <c r="CA224" s="3">
        <v>51</v>
      </c>
      <c r="CB224" s="3" t="s">
        <v>3</v>
      </c>
      <c r="CC224" s="3"/>
      <c r="CD224" s="3"/>
      <c r="CE224" s="3">
        <v>30</v>
      </c>
      <c r="CF224" s="3">
        <v>0</v>
      </c>
      <c r="CG224" s="3">
        <v>0</v>
      </c>
      <c r="CH224" s="3"/>
      <c r="CI224" s="3"/>
      <c r="CJ224" s="3"/>
      <c r="CK224" s="3"/>
      <c r="CL224" s="3"/>
      <c r="CM224" s="3">
        <v>0</v>
      </c>
      <c r="CN224" s="3" t="s">
        <v>3</v>
      </c>
      <c r="CO224" s="3">
        <v>0</v>
      </c>
      <c r="CP224" s="3">
        <f t="shared" si="195"/>
        <v>10.029999999999999</v>
      </c>
      <c r="CQ224" s="3">
        <f t="shared" si="196"/>
        <v>10.029999999999999</v>
      </c>
      <c r="CR224" s="3">
        <f t="shared" si="226"/>
        <v>0</v>
      </c>
      <c r="CS224" s="3">
        <f t="shared" si="197"/>
        <v>0</v>
      </c>
      <c r="CT224" s="3">
        <f t="shared" si="198"/>
        <v>0</v>
      </c>
      <c r="CU224" s="3">
        <f t="shared" si="199"/>
        <v>0</v>
      </c>
      <c r="CV224" s="3">
        <f t="shared" si="200"/>
        <v>0</v>
      </c>
      <c r="CW224" s="3">
        <f t="shared" si="201"/>
        <v>0</v>
      </c>
      <c r="CX224" s="3">
        <f t="shared" si="202"/>
        <v>0</v>
      </c>
      <c r="CY224" s="3">
        <f t="shared" si="203"/>
        <v>0</v>
      </c>
      <c r="CZ224" s="3">
        <f t="shared" si="204"/>
        <v>0</v>
      </c>
      <c r="DA224" s="3"/>
      <c r="DB224" s="3"/>
      <c r="DC224" s="3" t="s">
        <v>3</v>
      </c>
      <c r="DD224" s="3" t="s">
        <v>3</v>
      </c>
      <c r="DE224" s="3" t="s">
        <v>3</v>
      </c>
      <c r="DF224" s="3" t="s">
        <v>3</v>
      </c>
      <c r="DG224" s="3" t="s">
        <v>3</v>
      </c>
      <c r="DH224" s="3" t="s">
        <v>3</v>
      </c>
      <c r="DI224" s="3" t="s">
        <v>3</v>
      </c>
      <c r="DJ224" s="3" t="s">
        <v>3</v>
      </c>
      <c r="DK224" s="3" t="s">
        <v>3</v>
      </c>
      <c r="DL224" s="3" t="s">
        <v>3</v>
      </c>
      <c r="DM224" s="3" t="s">
        <v>3</v>
      </c>
      <c r="DN224" s="3">
        <v>0</v>
      </c>
      <c r="DO224" s="3">
        <v>0</v>
      </c>
      <c r="DP224" s="3">
        <v>1</v>
      </c>
      <c r="DQ224" s="3">
        <v>1</v>
      </c>
      <c r="DR224" s="3"/>
      <c r="DS224" s="3"/>
      <c r="DT224" s="3"/>
      <c r="DU224" s="3">
        <v>1010</v>
      </c>
      <c r="DV224" s="3" t="s">
        <v>32</v>
      </c>
      <c r="DW224" s="3" t="s">
        <v>32</v>
      </c>
      <c r="DX224" s="3">
        <v>1</v>
      </c>
      <c r="DY224" s="3"/>
      <c r="DZ224" s="3" t="s">
        <v>3</v>
      </c>
      <c r="EA224" s="3" t="s">
        <v>3</v>
      </c>
      <c r="EB224" s="3" t="s">
        <v>3</v>
      </c>
      <c r="EC224" s="3" t="s">
        <v>3</v>
      </c>
      <c r="ED224" s="3"/>
      <c r="EE224" s="3">
        <v>58162629</v>
      </c>
      <c r="EF224" s="3">
        <v>40</v>
      </c>
      <c r="EG224" s="3" t="s">
        <v>25</v>
      </c>
      <c r="EH224" s="3">
        <v>0</v>
      </c>
      <c r="EI224" s="3" t="s">
        <v>3</v>
      </c>
      <c r="EJ224" s="3">
        <v>2</v>
      </c>
      <c r="EK224" s="3">
        <v>67</v>
      </c>
      <c r="EL224" s="3" t="s">
        <v>225</v>
      </c>
      <c r="EM224" s="3" t="s">
        <v>226</v>
      </c>
      <c r="EN224" s="3"/>
      <c r="EO224" s="3" t="s">
        <v>3</v>
      </c>
      <c r="EP224" s="3"/>
      <c r="EQ224" s="3">
        <v>0</v>
      </c>
      <c r="ER224" s="3">
        <v>15.67</v>
      </c>
      <c r="ES224" s="3">
        <v>15.67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>
        <v>0</v>
      </c>
      <c r="FR224" s="3">
        <v>0</v>
      </c>
      <c r="FS224" s="3">
        <v>0</v>
      </c>
      <c r="FT224" s="3"/>
      <c r="FU224" s="3"/>
      <c r="FV224" s="3"/>
      <c r="FW224" s="3"/>
      <c r="FX224" s="3">
        <v>97</v>
      </c>
      <c r="FY224" s="3">
        <v>51</v>
      </c>
      <c r="FZ224" s="3"/>
      <c r="GA224" s="3" t="s">
        <v>3</v>
      </c>
      <c r="GB224" s="3"/>
      <c r="GC224" s="3"/>
      <c r="GD224" s="3">
        <v>1</v>
      </c>
      <c r="GE224" s="3"/>
      <c r="GF224" s="3">
        <v>1729520002</v>
      </c>
      <c r="GG224" s="3">
        <v>2</v>
      </c>
      <c r="GH224" s="3">
        <v>1</v>
      </c>
      <c r="GI224" s="3">
        <v>2</v>
      </c>
      <c r="GJ224" s="3">
        <v>0</v>
      </c>
      <c r="GK224" s="3">
        <v>0</v>
      </c>
      <c r="GL224" s="3">
        <f t="shared" si="205"/>
        <v>0</v>
      </c>
      <c r="GM224" s="3">
        <f t="shared" si="206"/>
        <v>10.029999999999999</v>
      </c>
      <c r="GN224" s="3">
        <f t="shared" si="207"/>
        <v>0</v>
      </c>
      <c r="GO224" s="3">
        <f t="shared" si="208"/>
        <v>10.029999999999999</v>
      </c>
      <c r="GP224" s="3">
        <f t="shared" si="209"/>
        <v>0</v>
      </c>
      <c r="GQ224" s="3"/>
      <c r="GR224" s="3">
        <v>0</v>
      </c>
      <c r="GS224" s="3">
        <v>3</v>
      </c>
      <c r="GT224" s="3">
        <v>0</v>
      </c>
      <c r="GU224" s="3" t="s">
        <v>3</v>
      </c>
      <c r="GV224" s="3">
        <f t="shared" si="210"/>
        <v>0</v>
      </c>
      <c r="GW224" s="3">
        <v>1</v>
      </c>
      <c r="GX224" s="3">
        <f t="shared" si="211"/>
        <v>0</v>
      </c>
      <c r="GY224" s="3"/>
      <c r="GZ224" s="3"/>
      <c r="HA224" s="3">
        <v>0</v>
      </c>
      <c r="HB224" s="3">
        <v>0</v>
      </c>
      <c r="HC224" s="3">
        <f t="shared" si="212"/>
        <v>0</v>
      </c>
      <c r="HD224" s="3"/>
      <c r="HE224" s="3" t="s">
        <v>3</v>
      </c>
      <c r="HF224" s="3" t="s">
        <v>3</v>
      </c>
      <c r="HG224" s="3"/>
      <c r="HH224" s="3"/>
      <c r="HI224" s="3"/>
      <c r="HJ224" s="3"/>
      <c r="HK224" s="3"/>
      <c r="HL224" s="3"/>
      <c r="HM224" s="3" t="s">
        <v>3</v>
      </c>
      <c r="HN224" s="3" t="s">
        <v>3</v>
      </c>
      <c r="HO224" s="3" t="s">
        <v>3</v>
      </c>
      <c r="HP224" s="3" t="s">
        <v>3</v>
      </c>
      <c r="HQ224" s="3" t="s">
        <v>3</v>
      </c>
      <c r="HR224" s="3"/>
      <c r="HS224" s="3">
        <v>0</v>
      </c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>
        <v>0</v>
      </c>
      <c r="IL224" s="3"/>
      <c r="IM224" s="3"/>
      <c r="IN224" s="3"/>
      <c r="IO224" s="3"/>
      <c r="IP224" s="3"/>
      <c r="IQ224" s="3"/>
      <c r="IR224" s="3"/>
      <c r="IS224" s="3"/>
      <c r="IT224" s="3"/>
      <c r="IU224" s="3"/>
    </row>
    <row r="225" spans="1:255" x14ac:dyDescent="0.3">
      <c r="A225" s="2">
        <v>18</v>
      </c>
      <c r="B225" s="2">
        <v>1</v>
      </c>
      <c r="C225" s="2">
        <v>10</v>
      </c>
      <c r="D225" s="2"/>
      <c r="E225" s="2" t="s">
        <v>244</v>
      </c>
      <c r="F225" s="2" t="s">
        <v>245</v>
      </c>
      <c r="G225" s="2" t="s">
        <v>246</v>
      </c>
      <c r="H225" s="2" t="s">
        <v>32</v>
      </c>
      <c r="I225" s="2">
        <f>I213*J225</f>
        <v>44</v>
      </c>
      <c r="J225" s="2">
        <v>12.054794520547945</v>
      </c>
      <c r="K225" s="2">
        <v>12.0547945</v>
      </c>
      <c r="L225" s="2"/>
      <c r="M225" s="2"/>
      <c r="N225" s="2"/>
      <c r="O225" s="2">
        <f t="shared" si="181"/>
        <v>2267.3200000000002</v>
      </c>
      <c r="P225" s="2">
        <f t="shared" si="182"/>
        <v>2267.3200000000002</v>
      </c>
      <c r="Q225" s="2">
        <f t="shared" si="220"/>
        <v>0</v>
      </c>
      <c r="R225" s="2">
        <f t="shared" si="183"/>
        <v>0</v>
      </c>
      <c r="S225" s="2">
        <f t="shared" si="184"/>
        <v>0</v>
      </c>
      <c r="T225" s="2">
        <f t="shared" si="185"/>
        <v>0</v>
      </c>
      <c r="U225" s="2">
        <f t="shared" si="186"/>
        <v>0</v>
      </c>
      <c r="V225" s="2">
        <f t="shared" si="187"/>
        <v>0</v>
      </c>
      <c r="W225" s="2">
        <f t="shared" si="188"/>
        <v>0</v>
      </c>
      <c r="X225" s="2">
        <f t="shared" si="189"/>
        <v>0</v>
      </c>
      <c r="Y225" s="2">
        <f t="shared" si="190"/>
        <v>0</v>
      </c>
      <c r="Z225" s="2"/>
      <c r="AA225" s="2">
        <v>56505403</v>
      </c>
      <c r="AB225" s="2">
        <f t="shared" si="191"/>
        <v>51.53</v>
      </c>
      <c r="AC225" s="2">
        <f t="shared" si="192"/>
        <v>51.53</v>
      </c>
      <c r="AD225" s="2">
        <f t="shared" si="221"/>
        <v>0</v>
      </c>
      <c r="AE225" s="2">
        <f t="shared" si="222"/>
        <v>0</v>
      </c>
      <c r="AF225" s="2">
        <f t="shared" si="223"/>
        <v>0</v>
      </c>
      <c r="AG225" s="2">
        <f t="shared" si="193"/>
        <v>0</v>
      </c>
      <c r="AH225" s="2">
        <f t="shared" si="224"/>
        <v>0</v>
      </c>
      <c r="AI225" s="2">
        <f t="shared" si="225"/>
        <v>0</v>
      </c>
      <c r="AJ225" s="2">
        <f t="shared" si="194"/>
        <v>0</v>
      </c>
      <c r="AK225" s="2">
        <v>51.53</v>
      </c>
      <c r="AL225" s="2">
        <v>51.53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97</v>
      </c>
      <c r="AU225" s="2">
        <v>51</v>
      </c>
      <c r="AV225" s="2">
        <v>1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3</v>
      </c>
      <c r="BI225" s="2">
        <v>2</v>
      </c>
      <c r="BJ225" s="2" t="s">
        <v>3</v>
      </c>
      <c r="BK225" s="2"/>
      <c r="BL225" s="2"/>
      <c r="BM225" s="2">
        <v>67</v>
      </c>
      <c r="BN225" s="2">
        <v>0</v>
      </c>
      <c r="BO225" s="2" t="s">
        <v>3</v>
      </c>
      <c r="BP225" s="2">
        <v>0</v>
      </c>
      <c r="BQ225" s="2">
        <v>40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97</v>
      </c>
      <c r="CA225" s="2">
        <v>51</v>
      </c>
      <c r="CB225" s="2" t="s">
        <v>3</v>
      </c>
      <c r="CC225" s="2"/>
      <c r="CD225" s="2"/>
      <c r="CE225" s="2">
        <v>30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3</v>
      </c>
      <c r="CO225" s="2">
        <v>0</v>
      </c>
      <c r="CP225" s="2">
        <f t="shared" si="195"/>
        <v>2267.3200000000002</v>
      </c>
      <c r="CQ225" s="2">
        <f t="shared" si="196"/>
        <v>51.53</v>
      </c>
      <c r="CR225" s="2">
        <f t="shared" si="226"/>
        <v>0</v>
      </c>
      <c r="CS225" s="2">
        <f t="shared" si="197"/>
        <v>0</v>
      </c>
      <c r="CT225" s="2">
        <f t="shared" si="198"/>
        <v>0</v>
      </c>
      <c r="CU225" s="2">
        <f t="shared" si="199"/>
        <v>0</v>
      </c>
      <c r="CV225" s="2">
        <f t="shared" si="200"/>
        <v>0</v>
      </c>
      <c r="CW225" s="2">
        <f t="shared" si="201"/>
        <v>0</v>
      </c>
      <c r="CX225" s="2">
        <f t="shared" si="202"/>
        <v>0</v>
      </c>
      <c r="CY225" s="2">
        <f t="shared" si="203"/>
        <v>0</v>
      </c>
      <c r="CZ225" s="2">
        <f t="shared" si="204"/>
        <v>0</v>
      </c>
      <c r="DA225" s="2"/>
      <c r="DB225" s="2"/>
      <c r="DC225" s="2" t="s">
        <v>3</v>
      </c>
      <c r="DD225" s="2" t="s">
        <v>3</v>
      </c>
      <c r="DE225" s="2" t="s">
        <v>3</v>
      </c>
      <c r="DF225" s="2" t="s">
        <v>3</v>
      </c>
      <c r="DG225" s="2" t="s">
        <v>3</v>
      </c>
      <c r="DH225" s="2" t="s">
        <v>3</v>
      </c>
      <c r="DI225" s="2" t="s">
        <v>3</v>
      </c>
      <c r="DJ225" s="2" t="s">
        <v>3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1010</v>
      </c>
      <c r="DV225" s="2" t="s">
        <v>32</v>
      </c>
      <c r="DW225" s="2" t="s">
        <v>32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58162629</v>
      </c>
      <c r="EF225" s="2">
        <v>40</v>
      </c>
      <c r="EG225" s="2" t="s">
        <v>25</v>
      </c>
      <c r="EH225" s="2">
        <v>0</v>
      </c>
      <c r="EI225" s="2" t="s">
        <v>3</v>
      </c>
      <c r="EJ225" s="2">
        <v>2</v>
      </c>
      <c r="EK225" s="2">
        <v>67</v>
      </c>
      <c r="EL225" s="2" t="s">
        <v>225</v>
      </c>
      <c r="EM225" s="2" t="s">
        <v>226</v>
      </c>
      <c r="EN225" s="2"/>
      <c r="EO225" s="2" t="s">
        <v>3</v>
      </c>
      <c r="EP225" s="2"/>
      <c r="EQ225" s="2">
        <v>0</v>
      </c>
      <c r="ER225" s="2">
        <v>0</v>
      </c>
      <c r="ES225" s="2">
        <v>51.53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97</v>
      </c>
      <c r="FY225" s="2">
        <v>51</v>
      </c>
      <c r="FZ225" s="2"/>
      <c r="GA225" s="2" t="s">
        <v>247</v>
      </c>
      <c r="GB225" s="2"/>
      <c r="GC225" s="2"/>
      <c r="GD225" s="2">
        <v>1</v>
      </c>
      <c r="GE225" s="2"/>
      <c r="GF225" s="2">
        <v>956552529</v>
      </c>
      <c r="GG225" s="2">
        <v>2</v>
      </c>
      <c r="GH225" s="2">
        <v>4</v>
      </c>
      <c r="GI225" s="2">
        <v>-2</v>
      </c>
      <c r="GJ225" s="2">
        <v>0</v>
      </c>
      <c r="GK225" s="2">
        <v>0</v>
      </c>
      <c r="GL225" s="2">
        <f t="shared" si="205"/>
        <v>0</v>
      </c>
      <c r="GM225" s="2">
        <f t="shared" si="206"/>
        <v>2267.3200000000002</v>
      </c>
      <c r="GN225" s="2">
        <f t="shared" si="207"/>
        <v>0</v>
      </c>
      <c r="GO225" s="2">
        <f t="shared" si="208"/>
        <v>2267.3200000000002</v>
      </c>
      <c r="GP225" s="2">
        <f t="shared" si="209"/>
        <v>0</v>
      </c>
      <c r="GQ225" s="2"/>
      <c r="GR225" s="2">
        <v>0</v>
      </c>
      <c r="GS225" s="2">
        <v>2</v>
      </c>
      <c r="GT225" s="2">
        <v>0</v>
      </c>
      <c r="GU225" s="2" t="s">
        <v>3</v>
      </c>
      <c r="GV225" s="2">
        <f t="shared" si="210"/>
        <v>0</v>
      </c>
      <c r="GW225" s="2">
        <v>1</v>
      </c>
      <c r="GX225" s="2">
        <f t="shared" si="211"/>
        <v>0</v>
      </c>
      <c r="GY225" s="2"/>
      <c r="GZ225" s="2"/>
      <c r="HA225" s="2">
        <v>0</v>
      </c>
      <c r="HB225" s="2">
        <v>0</v>
      </c>
      <c r="HC225" s="2">
        <f t="shared" si="212"/>
        <v>0</v>
      </c>
      <c r="HD225" s="2"/>
      <c r="HE225" s="2" t="s">
        <v>34</v>
      </c>
      <c r="HF225" s="2" t="s">
        <v>35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3">
      <c r="A226" s="3">
        <v>18</v>
      </c>
      <c r="B226" s="3">
        <v>1</v>
      </c>
      <c r="C226" s="3">
        <v>21</v>
      </c>
      <c r="D226" s="3"/>
      <c r="E226" s="3" t="s">
        <v>244</v>
      </c>
      <c r="F226" s="3" t="s">
        <v>245</v>
      </c>
      <c r="G226" s="3" t="s">
        <v>246</v>
      </c>
      <c r="H226" s="3" t="s">
        <v>32</v>
      </c>
      <c r="I226" s="3">
        <f>I214*J226</f>
        <v>44</v>
      </c>
      <c r="J226" s="3">
        <v>12.054794520547945</v>
      </c>
      <c r="K226" s="3">
        <v>12.0547945</v>
      </c>
      <c r="L226" s="3"/>
      <c r="M226" s="3"/>
      <c r="N226" s="3"/>
      <c r="O226" s="3">
        <f t="shared" si="181"/>
        <v>22401.119999999999</v>
      </c>
      <c r="P226" s="3">
        <f t="shared" si="182"/>
        <v>22401.119999999999</v>
      </c>
      <c r="Q226" s="3">
        <f t="shared" si="220"/>
        <v>0</v>
      </c>
      <c r="R226" s="3">
        <f t="shared" si="183"/>
        <v>0</v>
      </c>
      <c r="S226" s="3">
        <f t="shared" si="184"/>
        <v>0</v>
      </c>
      <c r="T226" s="3">
        <f t="shared" si="185"/>
        <v>0</v>
      </c>
      <c r="U226" s="3">
        <f t="shared" si="186"/>
        <v>0</v>
      </c>
      <c r="V226" s="3">
        <f t="shared" si="187"/>
        <v>0</v>
      </c>
      <c r="W226" s="3">
        <f t="shared" si="188"/>
        <v>0</v>
      </c>
      <c r="X226" s="3">
        <f t="shared" si="189"/>
        <v>0</v>
      </c>
      <c r="Y226" s="3">
        <f t="shared" si="190"/>
        <v>0</v>
      </c>
      <c r="Z226" s="3"/>
      <c r="AA226" s="3">
        <v>56505405</v>
      </c>
      <c r="AB226" s="3">
        <f t="shared" si="191"/>
        <v>51.53</v>
      </c>
      <c r="AC226" s="3">
        <f t="shared" si="192"/>
        <v>51.53</v>
      </c>
      <c r="AD226" s="3">
        <f t="shared" si="221"/>
        <v>0</v>
      </c>
      <c r="AE226" s="3">
        <f t="shared" si="222"/>
        <v>0</v>
      </c>
      <c r="AF226" s="3">
        <f t="shared" si="223"/>
        <v>0</v>
      </c>
      <c r="AG226" s="3">
        <f t="shared" si="193"/>
        <v>0</v>
      </c>
      <c r="AH226" s="3">
        <f t="shared" si="224"/>
        <v>0</v>
      </c>
      <c r="AI226" s="3">
        <f t="shared" si="225"/>
        <v>0</v>
      </c>
      <c r="AJ226" s="3">
        <f t="shared" si="194"/>
        <v>0</v>
      </c>
      <c r="AK226" s="3">
        <v>51.53</v>
      </c>
      <c r="AL226" s="3">
        <v>51.53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97</v>
      </c>
      <c r="AU226" s="3">
        <v>51</v>
      </c>
      <c r="AV226" s="3">
        <v>1</v>
      </c>
      <c r="AW226" s="3">
        <v>1</v>
      </c>
      <c r="AX226" s="3"/>
      <c r="AY226" s="3"/>
      <c r="AZ226" s="3">
        <v>1</v>
      </c>
      <c r="BA226" s="3">
        <v>1</v>
      </c>
      <c r="BB226" s="3">
        <v>1</v>
      </c>
      <c r="BC226" s="3">
        <v>9.8800000000000008</v>
      </c>
      <c r="BD226" s="3" t="s">
        <v>3</v>
      </c>
      <c r="BE226" s="3" t="s">
        <v>3</v>
      </c>
      <c r="BF226" s="3" t="s">
        <v>3</v>
      </c>
      <c r="BG226" s="3" t="s">
        <v>3</v>
      </c>
      <c r="BH226" s="3">
        <v>3</v>
      </c>
      <c r="BI226" s="3">
        <v>2</v>
      </c>
      <c r="BJ226" s="3" t="s">
        <v>3</v>
      </c>
      <c r="BK226" s="3"/>
      <c r="BL226" s="3"/>
      <c r="BM226" s="3">
        <v>67</v>
      </c>
      <c r="BN226" s="3">
        <v>0</v>
      </c>
      <c r="BO226" s="3" t="s">
        <v>3</v>
      </c>
      <c r="BP226" s="3">
        <v>0</v>
      </c>
      <c r="BQ226" s="3">
        <v>40</v>
      </c>
      <c r="BR226" s="3">
        <v>0</v>
      </c>
      <c r="BS226" s="3">
        <v>1</v>
      </c>
      <c r="BT226" s="3">
        <v>1</v>
      </c>
      <c r="BU226" s="3">
        <v>1</v>
      </c>
      <c r="BV226" s="3">
        <v>1</v>
      </c>
      <c r="BW226" s="3">
        <v>1</v>
      </c>
      <c r="BX226" s="3">
        <v>1</v>
      </c>
      <c r="BY226" s="3" t="s">
        <v>3</v>
      </c>
      <c r="BZ226" s="3">
        <v>97</v>
      </c>
      <c r="CA226" s="3">
        <v>51</v>
      </c>
      <c r="CB226" s="3" t="s">
        <v>3</v>
      </c>
      <c r="CC226" s="3"/>
      <c r="CD226" s="3"/>
      <c r="CE226" s="3">
        <v>30</v>
      </c>
      <c r="CF226" s="3">
        <v>0</v>
      </c>
      <c r="CG226" s="3">
        <v>0</v>
      </c>
      <c r="CH226" s="3"/>
      <c r="CI226" s="3"/>
      <c r="CJ226" s="3"/>
      <c r="CK226" s="3"/>
      <c r="CL226" s="3"/>
      <c r="CM226" s="3">
        <v>0</v>
      </c>
      <c r="CN226" s="3" t="s">
        <v>3</v>
      </c>
      <c r="CO226" s="3">
        <v>0</v>
      </c>
      <c r="CP226" s="3">
        <f t="shared" si="195"/>
        <v>22401.119999999999</v>
      </c>
      <c r="CQ226" s="3">
        <f t="shared" si="196"/>
        <v>509.12</v>
      </c>
      <c r="CR226" s="3">
        <f t="shared" si="226"/>
        <v>0</v>
      </c>
      <c r="CS226" s="3">
        <f t="shared" si="197"/>
        <v>0</v>
      </c>
      <c r="CT226" s="3">
        <f t="shared" si="198"/>
        <v>0</v>
      </c>
      <c r="CU226" s="3">
        <f t="shared" si="199"/>
        <v>0</v>
      </c>
      <c r="CV226" s="3">
        <f t="shared" si="200"/>
        <v>0</v>
      </c>
      <c r="CW226" s="3">
        <f t="shared" si="201"/>
        <v>0</v>
      </c>
      <c r="CX226" s="3">
        <f t="shared" si="202"/>
        <v>0</v>
      </c>
      <c r="CY226" s="3">
        <f t="shared" si="203"/>
        <v>0</v>
      </c>
      <c r="CZ226" s="3">
        <f t="shared" si="204"/>
        <v>0</v>
      </c>
      <c r="DA226" s="3"/>
      <c r="DB226" s="3"/>
      <c r="DC226" s="3" t="s">
        <v>3</v>
      </c>
      <c r="DD226" s="3" t="s">
        <v>3</v>
      </c>
      <c r="DE226" s="3" t="s">
        <v>3</v>
      </c>
      <c r="DF226" s="3" t="s">
        <v>3</v>
      </c>
      <c r="DG226" s="3" t="s">
        <v>3</v>
      </c>
      <c r="DH226" s="3" t="s">
        <v>3</v>
      </c>
      <c r="DI226" s="3" t="s">
        <v>3</v>
      </c>
      <c r="DJ226" s="3" t="s">
        <v>3</v>
      </c>
      <c r="DK226" s="3" t="s">
        <v>3</v>
      </c>
      <c r="DL226" s="3" t="s">
        <v>3</v>
      </c>
      <c r="DM226" s="3" t="s">
        <v>3</v>
      </c>
      <c r="DN226" s="3">
        <v>0</v>
      </c>
      <c r="DO226" s="3">
        <v>0</v>
      </c>
      <c r="DP226" s="3">
        <v>1</v>
      </c>
      <c r="DQ226" s="3">
        <v>1</v>
      </c>
      <c r="DR226" s="3"/>
      <c r="DS226" s="3"/>
      <c r="DT226" s="3"/>
      <c r="DU226" s="3">
        <v>1010</v>
      </c>
      <c r="DV226" s="3" t="s">
        <v>32</v>
      </c>
      <c r="DW226" s="3" t="s">
        <v>32</v>
      </c>
      <c r="DX226" s="3">
        <v>1</v>
      </c>
      <c r="DY226" s="3"/>
      <c r="DZ226" s="3" t="s">
        <v>3</v>
      </c>
      <c r="EA226" s="3" t="s">
        <v>3</v>
      </c>
      <c r="EB226" s="3" t="s">
        <v>3</v>
      </c>
      <c r="EC226" s="3" t="s">
        <v>3</v>
      </c>
      <c r="ED226" s="3"/>
      <c r="EE226" s="3">
        <v>58162629</v>
      </c>
      <c r="EF226" s="3">
        <v>40</v>
      </c>
      <c r="EG226" s="3" t="s">
        <v>25</v>
      </c>
      <c r="EH226" s="3">
        <v>0</v>
      </c>
      <c r="EI226" s="3" t="s">
        <v>3</v>
      </c>
      <c r="EJ226" s="3">
        <v>2</v>
      </c>
      <c r="EK226" s="3">
        <v>67</v>
      </c>
      <c r="EL226" s="3" t="s">
        <v>225</v>
      </c>
      <c r="EM226" s="3" t="s">
        <v>226</v>
      </c>
      <c r="EN226" s="3"/>
      <c r="EO226" s="3" t="s">
        <v>3</v>
      </c>
      <c r="EP226" s="3"/>
      <c r="EQ226" s="3">
        <v>0</v>
      </c>
      <c r="ER226" s="3">
        <v>51.53</v>
      </c>
      <c r="ES226" s="3">
        <v>51.53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/>
      <c r="EZ226" s="3">
        <v>5</v>
      </c>
      <c r="FA226" s="3"/>
      <c r="FB226" s="3"/>
      <c r="FC226" s="3">
        <v>1</v>
      </c>
      <c r="FD226" s="3">
        <v>18</v>
      </c>
      <c r="FE226" s="3"/>
      <c r="FF226" s="3">
        <v>599</v>
      </c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>
        <v>0</v>
      </c>
      <c r="FR226" s="3">
        <v>0</v>
      </c>
      <c r="FS226" s="3">
        <v>0</v>
      </c>
      <c r="FT226" s="3"/>
      <c r="FU226" s="3"/>
      <c r="FV226" s="3"/>
      <c r="FW226" s="3"/>
      <c r="FX226" s="3">
        <v>97</v>
      </c>
      <c r="FY226" s="3">
        <v>51</v>
      </c>
      <c r="FZ226" s="3"/>
      <c r="GA226" s="3" t="s">
        <v>247</v>
      </c>
      <c r="GB226" s="3"/>
      <c r="GC226" s="3"/>
      <c r="GD226" s="3">
        <v>1</v>
      </c>
      <c r="GE226" s="3"/>
      <c r="GF226" s="3">
        <v>956552529</v>
      </c>
      <c r="GG226" s="3">
        <v>2</v>
      </c>
      <c r="GH226" s="3">
        <v>3</v>
      </c>
      <c r="GI226" s="3">
        <v>5</v>
      </c>
      <c r="GJ226" s="3">
        <v>0</v>
      </c>
      <c r="GK226" s="3">
        <v>0</v>
      </c>
      <c r="GL226" s="3">
        <f t="shared" si="205"/>
        <v>0</v>
      </c>
      <c r="GM226" s="3">
        <f t="shared" si="206"/>
        <v>22401.119999999999</v>
      </c>
      <c r="GN226" s="3">
        <f t="shared" si="207"/>
        <v>0</v>
      </c>
      <c r="GO226" s="3">
        <f t="shared" si="208"/>
        <v>22401.119999999999</v>
      </c>
      <c r="GP226" s="3">
        <f t="shared" si="209"/>
        <v>0</v>
      </c>
      <c r="GQ226" s="3"/>
      <c r="GR226" s="3">
        <v>1</v>
      </c>
      <c r="GS226" s="3">
        <v>1</v>
      </c>
      <c r="GT226" s="3">
        <v>0</v>
      </c>
      <c r="GU226" s="3" t="s">
        <v>3</v>
      </c>
      <c r="GV226" s="3">
        <f t="shared" si="210"/>
        <v>0</v>
      </c>
      <c r="GW226" s="3">
        <v>1</v>
      </c>
      <c r="GX226" s="3">
        <f t="shared" si="211"/>
        <v>0</v>
      </c>
      <c r="GY226" s="3"/>
      <c r="GZ226" s="3"/>
      <c r="HA226" s="3">
        <v>0</v>
      </c>
      <c r="HB226" s="3">
        <v>0</v>
      </c>
      <c r="HC226" s="3">
        <f t="shared" si="212"/>
        <v>0</v>
      </c>
      <c r="HD226" s="3"/>
      <c r="HE226" s="3" t="s">
        <v>34</v>
      </c>
      <c r="HF226" s="3" t="s">
        <v>35</v>
      </c>
      <c r="HG226" s="3"/>
      <c r="HH226" s="3"/>
      <c r="HI226" s="3"/>
      <c r="HJ226" s="3"/>
      <c r="HK226" s="3"/>
      <c r="HL226" s="3"/>
      <c r="HM226" s="3" t="s">
        <v>3</v>
      </c>
      <c r="HN226" s="3" t="s">
        <v>3</v>
      </c>
      <c r="HO226" s="3" t="s">
        <v>3</v>
      </c>
      <c r="HP226" s="3" t="s">
        <v>3</v>
      </c>
      <c r="HQ226" s="3" t="s">
        <v>3</v>
      </c>
      <c r="HR226" s="3"/>
      <c r="HS226" s="3">
        <v>0</v>
      </c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>
        <v>0</v>
      </c>
      <c r="IL226" s="3"/>
      <c r="IM226" s="3"/>
      <c r="IN226" s="3"/>
      <c r="IO226" s="3"/>
      <c r="IP226" s="3"/>
      <c r="IQ226" s="3"/>
      <c r="IR226" s="3"/>
      <c r="IS226" s="3"/>
      <c r="IT226" s="3"/>
      <c r="IU226" s="3"/>
    </row>
    <row r="227" spans="1:255" x14ac:dyDescent="0.3">
      <c r="A227" s="2">
        <v>18</v>
      </c>
      <c r="B227" s="2">
        <v>1</v>
      </c>
      <c r="C227" s="2">
        <v>11</v>
      </c>
      <c r="D227" s="2"/>
      <c r="E227" s="2" t="s">
        <v>248</v>
      </c>
      <c r="F227" s="2" t="s">
        <v>249</v>
      </c>
      <c r="G227" s="2" t="s">
        <v>250</v>
      </c>
      <c r="H227" s="2" t="s">
        <v>32</v>
      </c>
      <c r="I227" s="2">
        <f>I213*J227</f>
        <v>44</v>
      </c>
      <c r="J227" s="2">
        <v>12.054794520547945</v>
      </c>
      <c r="K227" s="2">
        <v>12.0547945</v>
      </c>
      <c r="L227" s="2"/>
      <c r="M227" s="2"/>
      <c r="N227" s="2"/>
      <c r="O227" s="2">
        <f t="shared" si="181"/>
        <v>9357.0400000000009</v>
      </c>
      <c r="P227" s="2">
        <f t="shared" si="182"/>
        <v>9357.0400000000009</v>
      </c>
      <c r="Q227" s="2">
        <f t="shared" si="220"/>
        <v>0</v>
      </c>
      <c r="R227" s="2">
        <f t="shared" si="183"/>
        <v>0</v>
      </c>
      <c r="S227" s="2">
        <f t="shared" si="184"/>
        <v>0</v>
      </c>
      <c r="T227" s="2">
        <f t="shared" si="185"/>
        <v>0</v>
      </c>
      <c r="U227" s="2">
        <f t="shared" si="186"/>
        <v>0</v>
      </c>
      <c r="V227" s="2">
        <f t="shared" si="187"/>
        <v>0</v>
      </c>
      <c r="W227" s="2">
        <f t="shared" si="188"/>
        <v>0</v>
      </c>
      <c r="X227" s="2">
        <f t="shared" si="189"/>
        <v>0</v>
      </c>
      <c r="Y227" s="2">
        <f t="shared" si="190"/>
        <v>0</v>
      </c>
      <c r="Z227" s="2"/>
      <c r="AA227" s="2">
        <v>56505403</v>
      </c>
      <c r="AB227" s="2">
        <f t="shared" si="191"/>
        <v>212.66</v>
      </c>
      <c r="AC227" s="2">
        <f t="shared" si="192"/>
        <v>212.66</v>
      </c>
      <c r="AD227" s="2">
        <f t="shared" si="221"/>
        <v>0</v>
      </c>
      <c r="AE227" s="2">
        <f t="shared" si="222"/>
        <v>0</v>
      </c>
      <c r="AF227" s="2">
        <f t="shared" si="223"/>
        <v>0</v>
      </c>
      <c r="AG227" s="2">
        <f t="shared" si="193"/>
        <v>0</v>
      </c>
      <c r="AH227" s="2">
        <f t="shared" si="224"/>
        <v>0</v>
      </c>
      <c r="AI227" s="2">
        <f t="shared" si="225"/>
        <v>0</v>
      </c>
      <c r="AJ227" s="2">
        <f t="shared" si="194"/>
        <v>0</v>
      </c>
      <c r="AK227" s="2">
        <v>212.66</v>
      </c>
      <c r="AL227" s="2">
        <v>212.66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97</v>
      </c>
      <c r="AU227" s="2">
        <v>51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2</v>
      </c>
      <c r="BJ227" s="2" t="s">
        <v>3</v>
      </c>
      <c r="BK227" s="2"/>
      <c r="BL227" s="2"/>
      <c r="BM227" s="2">
        <v>67</v>
      </c>
      <c r="BN227" s="2">
        <v>0</v>
      </c>
      <c r="BO227" s="2" t="s">
        <v>3</v>
      </c>
      <c r="BP227" s="2">
        <v>0</v>
      </c>
      <c r="BQ227" s="2">
        <v>40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97</v>
      </c>
      <c r="CA227" s="2">
        <v>51</v>
      </c>
      <c r="CB227" s="2" t="s">
        <v>3</v>
      </c>
      <c r="CC227" s="2"/>
      <c r="CD227" s="2"/>
      <c r="CE227" s="2">
        <v>30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195"/>
        <v>9357.0400000000009</v>
      </c>
      <c r="CQ227" s="2">
        <f t="shared" si="196"/>
        <v>212.66</v>
      </c>
      <c r="CR227" s="2">
        <f t="shared" si="226"/>
        <v>0</v>
      </c>
      <c r="CS227" s="2">
        <f t="shared" si="197"/>
        <v>0</v>
      </c>
      <c r="CT227" s="2">
        <f t="shared" si="198"/>
        <v>0</v>
      </c>
      <c r="CU227" s="2">
        <f t="shared" si="199"/>
        <v>0</v>
      </c>
      <c r="CV227" s="2">
        <f t="shared" si="200"/>
        <v>0</v>
      </c>
      <c r="CW227" s="2">
        <f t="shared" si="201"/>
        <v>0</v>
      </c>
      <c r="CX227" s="2">
        <f t="shared" si="202"/>
        <v>0</v>
      </c>
      <c r="CY227" s="2">
        <f t="shared" si="203"/>
        <v>0</v>
      </c>
      <c r="CZ227" s="2">
        <f t="shared" si="204"/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32</v>
      </c>
      <c r="DW227" s="2" t="s">
        <v>32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58162629</v>
      </c>
      <c r="EF227" s="2">
        <v>40</v>
      </c>
      <c r="EG227" s="2" t="s">
        <v>25</v>
      </c>
      <c r="EH227" s="2">
        <v>0</v>
      </c>
      <c r="EI227" s="2" t="s">
        <v>3</v>
      </c>
      <c r="EJ227" s="2">
        <v>2</v>
      </c>
      <c r="EK227" s="2">
        <v>67</v>
      </c>
      <c r="EL227" s="2" t="s">
        <v>225</v>
      </c>
      <c r="EM227" s="2" t="s">
        <v>226</v>
      </c>
      <c r="EN227" s="2"/>
      <c r="EO227" s="2" t="s">
        <v>3</v>
      </c>
      <c r="EP227" s="2"/>
      <c r="EQ227" s="2">
        <v>0</v>
      </c>
      <c r="ER227" s="2">
        <v>0</v>
      </c>
      <c r="ES227" s="2">
        <v>212.66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97</v>
      </c>
      <c r="FY227" s="2">
        <v>51</v>
      </c>
      <c r="FZ227" s="2"/>
      <c r="GA227" s="2" t="s">
        <v>251</v>
      </c>
      <c r="GB227" s="2"/>
      <c r="GC227" s="2"/>
      <c r="GD227" s="2">
        <v>1</v>
      </c>
      <c r="GE227" s="2"/>
      <c r="GF227" s="2">
        <v>-1065421352</v>
      </c>
      <c r="GG227" s="2">
        <v>2</v>
      </c>
      <c r="GH227" s="2">
        <v>4</v>
      </c>
      <c r="GI227" s="2">
        <v>-2</v>
      </c>
      <c r="GJ227" s="2">
        <v>0</v>
      </c>
      <c r="GK227" s="2">
        <v>0</v>
      </c>
      <c r="GL227" s="2">
        <f t="shared" si="205"/>
        <v>0</v>
      </c>
      <c r="GM227" s="2">
        <f t="shared" si="206"/>
        <v>9357.0400000000009</v>
      </c>
      <c r="GN227" s="2">
        <f t="shared" si="207"/>
        <v>0</v>
      </c>
      <c r="GO227" s="2">
        <f t="shared" si="208"/>
        <v>9357.0400000000009</v>
      </c>
      <c r="GP227" s="2">
        <f t="shared" si="209"/>
        <v>0</v>
      </c>
      <c r="GQ227" s="2"/>
      <c r="GR227" s="2">
        <v>0</v>
      </c>
      <c r="GS227" s="2">
        <v>2</v>
      </c>
      <c r="GT227" s="2">
        <v>0</v>
      </c>
      <c r="GU227" s="2" t="s">
        <v>3</v>
      </c>
      <c r="GV227" s="2">
        <f t="shared" si="210"/>
        <v>0</v>
      </c>
      <c r="GW227" s="2">
        <v>1</v>
      </c>
      <c r="GX227" s="2">
        <f t="shared" si="211"/>
        <v>0</v>
      </c>
      <c r="GY227" s="2"/>
      <c r="GZ227" s="2"/>
      <c r="HA227" s="2">
        <v>0</v>
      </c>
      <c r="HB227" s="2">
        <v>0</v>
      </c>
      <c r="HC227" s="2">
        <f t="shared" si="212"/>
        <v>0</v>
      </c>
      <c r="HD227" s="2"/>
      <c r="HE227" s="2" t="s">
        <v>34</v>
      </c>
      <c r="HF227" s="2" t="s">
        <v>35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3">
      <c r="A228" s="3">
        <v>18</v>
      </c>
      <c r="B228" s="3">
        <v>1</v>
      </c>
      <c r="C228" s="3">
        <v>22</v>
      </c>
      <c r="D228" s="3"/>
      <c r="E228" s="3" t="s">
        <v>248</v>
      </c>
      <c r="F228" s="3" t="s">
        <v>249</v>
      </c>
      <c r="G228" s="3" t="s">
        <v>250</v>
      </c>
      <c r="H228" s="3" t="s">
        <v>32</v>
      </c>
      <c r="I228" s="3">
        <f>I214*J228</f>
        <v>44</v>
      </c>
      <c r="J228" s="3">
        <v>12.054794520547945</v>
      </c>
      <c r="K228" s="3">
        <v>12.0547945</v>
      </c>
      <c r="L228" s="3"/>
      <c r="M228" s="3"/>
      <c r="N228" s="3"/>
      <c r="O228" s="3">
        <f t="shared" si="181"/>
        <v>92447.56</v>
      </c>
      <c r="P228" s="3">
        <f t="shared" si="182"/>
        <v>92447.56</v>
      </c>
      <c r="Q228" s="3">
        <f t="shared" si="220"/>
        <v>0</v>
      </c>
      <c r="R228" s="3">
        <f t="shared" si="183"/>
        <v>0</v>
      </c>
      <c r="S228" s="3">
        <f t="shared" si="184"/>
        <v>0</v>
      </c>
      <c r="T228" s="3">
        <f t="shared" si="185"/>
        <v>0</v>
      </c>
      <c r="U228" s="3">
        <f t="shared" si="186"/>
        <v>0</v>
      </c>
      <c r="V228" s="3">
        <f t="shared" si="187"/>
        <v>0</v>
      </c>
      <c r="W228" s="3">
        <f t="shared" si="188"/>
        <v>0</v>
      </c>
      <c r="X228" s="3">
        <f t="shared" si="189"/>
        <v>0</v>
      </c>
      <c r="Y228" s="3">
        <f t="shared" si="190"/>
        <v>0</v>
      </c>
      <c r="Z228" s="3"/>
      <c r="AA228" s="3">
        <v>56505405</v>
      </c>
      <c r="AB228" s="3">
        <f t="shared" si="191"/>
        <v>212.66</v>
      </c>
      <c r="AC228" s="3">
        <f t="shared" si="192"/>
        <v>212.66</v>
      </c>
      <c r="AD228" s="3">
        <f t="shared" si="221"/>
        <v>0</v>
      </c>
      <c r="AE228" s="3">
        <f t="shared" si="222"/>
        <v>0</v>
      </c>
      <c r="AF228" s="3">
        <f t="shared" si="223"/>
        <v>0</v>
      </c>
      <c r="AG228" s="3">
        <f t="shared" si="193"/>
        <v>0</v>
      </c>
      <c r="AH228" s="3">
        <f t="shared" si="224"/>
        <v>0</v>
      </c>
      <c r="AI228" s="3">
        <f t="shared" si="225"/>
        <v>0</v>
      </c>
      <c r="AJ228" s="3">
        <f t="shared" si="194"/>
        <v>0</v>
      </c>
      <c r="AK228" s="3">
        <v>212.66</v>
      </c>
      <c r="AL228" s="3">
        <v>212.66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97</v>
      </c>
      <c r="AU228" s="3">
        <v>51</v>
      </c>
      <c r="AV228" s="3">
        <v>1</v>
      </c>
      <c r="AW228" s="3">
        <v>1</v>
      </c>
      <c r="AX228" s="3"/>
      <c r="AY228" s="3"/>
      <c r="AZ228" s="3">
        <v>1</v>
      </c>
      <c r="BA228" s="3">
        <v>1</v>
      </c>
      <c r="BB228" s="3">
        <v>1</v>
      </c>
      <c r="BC228" s="3">
        <v>9.8800000000000008</v>
      </c>
      <c r="BD228" s="3" t="s">
        <v>3</v>
      </c>
      <c r="BE228" s="3" t="s">
        <v>3</v>
      </c>
      <c r="BF228" s="3" t="s">
        <v>3</v>
      </c>
      <c r="BG228" s="3" t="s">
        <v>3</v>
      </c>
      <c r="BH228" s="3">
        <v>3</v>
      </c>
      <c r="BI228" s="3">
        <v>2</v>
      </c>
      <c r="BJ228" s="3" t="s">
        <v>3</v>
      </c>
      <c r="BK228" s="3"/>
      <c r="BL228" s="3"/>
      <c r="BM228" s="3">
        <v>67</v>
      </c>
      <c r="BN228" s="3">
        <v>0</v>
      </c>
      <c r="BO228" s="3" t="s">
        <v>3</v>
      </c>
      <c r="BP228" s="3">
        <v>0</v>
      </c>
      <c r="BQ228" s="3">
        <v>40</v>
      </c>
      <c r="BR228" s="3">
        <v>0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 t="s">
        <v>3</v>
      </c>
      <c r="BZ228" s="3">
        <v>97</v>
      </c>
      <c r="CA228" s="3">
        <v>51</v>
      </c>
      <c r="CB228" s="3" t="s">
        <v>3</v>
      </c>
      <c r="CC228" s="3"/>
      <c r="CD228" s="3"/>
      <c r="CE228" s="3">
        <v>30</v>
      </c>
      <c r="CF228" s="3">
        <v>0</v>
      </c>
      <c r="CG228" s="3">
        <v>0</v>
      </c>
      <c r="CH228" s="3"/>
      <c r="CI228" s="3"/>
      <c r="CJ228" s="3"/>
      <c r="CK228" s="3"/>
      <c r="CL228" s="3"/>
      <c r="CM228" s="3">
        <v>0</v>
      </c>
      <c r="CN228" s="3" t="s">
        <v>3</v>
      </c>
      <c r="CO228" s="3">
        <v>0</v>
      </c>
      <c r="CP228" s="3">
        <f t="shared" si="195"/>
        <v>92447.56</v>
      </c>
      <c r="CQ228" s="3">
        <f t="shared" si="196"/>
        <v>2101.08</v>
      </c>
      <c r="CR228" s="3">
        <f t="shared" si="226"/>
        <v>0</v>
      </c>
      <c r="CS228" s="3">
        <f t="shared" si="197"/>
        <v>0</v>
      </c>
      <c r="CT228" s="3">
        <f t="shared" si="198"/>
        <v>0</v>
      </c>
      <c r="CU228" s="3">
        <f t="shared" si="199"/>
        <v>0</v>
      </c>
      <c r="CV228" s="3">
        <f t="shared" si="200"/>
        <v>0</v>
      </c>
      <c r="CW228" s="3">
        <f t="shared" si="201"/>
        <v>0</v>
      </c>
      <c r="CX228" s="3">
        <f t="shared" si="202"/>
        <v>0</v>
      </c>
      <c r="CY228" s="3">
        <f t="shared" si="203"/>
        <v>0</v>
      </c>
      <c r="CZ228" s="3">
        <f t="shared" si="204"/>
        <v>0</v>
      </c>
      <c r="DA228" s="3"/>
      <c r="DB228" s="3"/>
      <c r="DC228" s="3" t="s">
        <v>3</v>
      </c>
      <c r="DD228" s="3" t="s">
        <v>3</v>
      </c>
      <c r="DE228" s="3" t="s">
        <v>3</v>
      </c>
      <c r="DF228" s="3" t="s">
        <v>3</v>
      </c>
      <c r="DG228" s="3" t="s">
        <v>3</v>
      </c>
      <c r="DH228" s="3" t="s">
        <v>3</v>
      </c>
      <c r="DI228" s="3" t="s">
        <v>3</v>
      </c>
      <c r="DJ228" s="3" t="s">
        <v>3</v>
      </c>
      <c r="DK228" s="3" t="s">
        <v>3</v>
      </c>
      <c r="DL228" s="3" t="s">
        <v>3</v>
      </c>
      <c r="DM228" s="3" t="s">
        <v>3</v>
      </c>
      <c r="DN228" s="3">
        <v>0</v>
      </c>
      <c r="DO228" s="3">
        <v>0</v>
      </c>
      <c r="DP228" s="3">
        <v>1</v>
      </c>
      <c r="DQ228" s="3">
        <v>1</v>
      </c>
      <c r="DR228" s="3"/>
      <c r="DS228" s="3"/>
      <c r="DT228" s="3"/>
      <c r="DU228" s="3">
        <v>1010</v>
      </c>
      <c r="DV228" s="3" t="s">
        <v>32</v>
      </c>
      <c r="DW228" s="3" t="s">
        <v>32</v>
      </c>
      <c r="DX228" s="3">
        <v>1</v>
      </c>
      <c r="DY228" s="3"/>
      <c r="DZ228" s="3" t="s">
        <v>3</v>
      </c>
      <c r="EA228" s="3" t="s">
        <v>3</v>
      </c>
      <c r="EB228" s="3" t="s">
        <v>3</v>
      </c>
      <c r="EC228" s="3" t="s">
        <v>3</v>
      </c>
      <c r="ED228" s="3"/>
      <c r="EE228" s="3">
        <v>58162629</v>
      </c>
      <c r="EF228" s="3">
        <v>40</v>
      </c>
      <c r="EG228" s="3" t="s">
        <v>25</v>
      </c>
      <c r="EH228" s="3">
        <v>0</v>
      </c>
      <c r="EI228" s="3" t="s">
        <v>3</v>
      </c>
      <c r="EJ228" s="3">
        <v>2</v>
      </c>
      <c r="EK228" s="3">
        <v>67</v>
      </c>
      <c r="EL228" s="3" t="s">
        <v>225</v>
      </c>
      <c r="EM228" s="3" t="s">
        <v>226</v>
      </c>
      <c r="EN228" s="3"/>
      <c r="EO228" s="3" t="s">
        <v>3</v>
      </c>
      <c r="EP228" s="3"/>
      <c r="EQ228" s="3">
        <v>0</v>
      </c>
      <c r="ER228" s="3">
        <v>212.66</v>
      </c>
      <c r="ES228" s="3">
        <v>212.66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/>
      <c r="EZ228" s="3">
        <v>5</v>
      </c>
      <c r="FA228" s="3"/>
      <c r="FB228" s="3"/>
      <c r="FC228" s="3">
        <v>1</v>
      </c>
      <c r="FD228" s="3">
        <v>18</v>
      </c>
      <c r="FE228" s="3"/>
      <c r="FF228" s="3">
        <v>2471.88</v>
      </c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>
        <v>0</v>
      </c>
      <c r="FR228" s="3">
        <v>0</v>
      </c>
      <c r="FS228" s="3">
        <v>0</v>
      </c>
      <c r="FT228" s="3"/>
      <c r="FU228" s="3"/>
      <c r="FV228" s="3"/>
      <c r="FW228" s="3"/>
      <c r="FX228" s="3">
        <v>97</v>
      </c>
      <c r="FY228" s="3">
        <v>51</v>
      </c>
      <c r="FZ228" s="3"/>
      <c r="GA228" s="3" t="s">
        <v>251</v>
      </c>
      <c r="GB228" s="3"/>
      <c r="GC228" s="3"/>
      <c r="GD228" s="3">
        <v>1</v>
      </c>
      <c r="GE228" s="3"/>
      <c r="GF228" s="3">
        <v>-1065421352</v>
      </c>
      <c r="GG228" s="3">
        <v>2</v>
      </c>
      <c r="GH228" s="3">
        <v>3</v>
      </c>
      <c r="GI228" s="3">
        <v>5</v>
      </c>
      <c r="GJ228" s="3">
        <v>0</v>
      </c>
      <c r="GK228" s="3">
        <v>0</v>
      </c>
      <c r="GL228" s="3">
        <f t="shared" si="205"/>
        <v>0</v>
      </c>
      <c r="GM228" s="3">
        <f t="shared" si="206"/>
        <v>92447.56</v>
      </c>
      <c r="GN228" s="3">
        <f t="shared" si="207"/>
        <v>0</v>
      </c>
      <c r="GO228" s="3">
        <f t="shared" si="208"/>
        <v>92447.56</v>
      </c>
      <c r="GP228" s="3">
        <f t="shared" si="209"/>
        <v>0</v>
      </c>
      <c r="GQ228" s="3"/>
      <c r="GR228" s="3">
        <v>1</v>
      </c>
      <c r="GS228" s="3">
        <v>1</v>
      </c>
      <c r="GT228" s="3">
        <v>0</v>
      </c>
      <c r="GU228" s="3" t="s">
        <v>3</v>
      </c>
      <c r="GV228" s="3">
        <f t="shared" si="210"/>
        <v>0</v>
      </c>
      <c r="GW228" s="3">
        <v>1</v>
      </c>
      <c r="GX228" s="3">
        <f t="shared" si="211"/>
        <v>0</v>
      </c>
      <c r="GY228" s="3"/>
      <c r="GZ228" s="3"/>
      <c r="HA228" s="3">
        <v>0</v>
      </c>
      <c r="HB228" s="3">
        <v>0</v>
      </c>
      <c r="HC228" s="3">
        <f t="shared" si="212"/>
        <v>0</v>
      </c>
      <c r="HD228" s="3"/>
      <c r="HE228" s="3" t="s">
        <v>34</v>
      </c>
      <c r="HF228" s="3" t="s">
        <v>35</v>
      </c>
      <c r="HG228" s="3"/>
      <c r="HH228" s="3"/>
      <c r="HI228" s="3"/>
      <c r="HJ228" s="3"/>
      <c r="HK228" s="3"/>
      <c r="HL228" s="3"/>
      <c r="HM228" s="3" t="s">
        <v>3</v>
      </c>
      <c r="HN228" s="3" t="s">
        <v>3</v>
      </c>
      <c r="HO228" s="3" t="s">
        <v>3</v>
      </c>
      <c r="HP228" s="3" t="s">
        <v>3</v>
      </c>
      <c r="HQ228" s="3" t="s">
        <v>3</v>
      </c>
      <c r="HR228" s="3"/>
      <c r="HS228" s="3">
        <v>0</v>
      </c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>
        <v>0</v>
      </c>
      <c r="IL228" s="3"/>
      <c r="IM228" s="3"/>
      <c r="IN228" s="3"/>
      <c r="IO228" s="3"/>
      <c r="IP228" s="3"/>
      <c r="IQ228" s="3"/>
      <c r="IR228" s="3"/>
      <c r="IS228" s="3"/>
      <c r="IT228" s="3"/>
      <c r="IU228" s="3"/>
    </row>
    <row r="229" spans="1:255" x14ac:dyDescent="0.3">
      <c r="A229" s="2">
        <v>17</v>
      </c>
      <c r="B229" s="2">
        <v>1</v>
      </c>
      <c r="C229" s="2"/>
      <c r="D229" s="2">
        <f>ROW(EtalonRes!A107)</f>
        <v>107</v>
      </c>
      <c r="E229" s="2" t="s">
        <v>252</v>
      </c>
      <c r="F229" s="2" t="s">
        <v>253</v>
      </c>
      <c r="G229" s="2" t="s">
        <v>254</v>
      </c>
      <c r="H229" s="2" t="s">
        <v>22</v>
      </c>
      <c r="I229" s="2">
        <v>12</v>
      </c>
      <c r="J229" s="2">
        <v>0</v>
      </c>
      <c r="K229" s="2">
        <v>12</v>
      </c>
      <c r="L229" s="2"/>
      <c r="M229" s="2"/>
      <c r="N229" s="2"/>
      <c r="O229" s="2">
        <f t="shared" si="181"/>
        <v>5749.08</v>
      </c>
      <c r="P229" s="2">
        <f t="shared" si="182"/>
        <v>135.24</v>
      </c>
      <c r="Q229" s="2">
        <f>(ROUND((ROUND((((ET229*1.1))*AV229*I229),2)*BB229),2)+ROUND((ROUND(((AE229-((EU229*1.1)))*AV229*I229),2)*BS229),2))</f>
        <v>1596.53</v>
      </c>
      <c r="R229" s="2">
        <f t="shared" si="183"/>
        <v>174.41</v>
      </c>
      <c r="S229" s="2">
        <f t="shared" si="184"/>
        <v>4017.31</v>
      </c>
      <c r="T229" s="2">
        <f t="shared" si="185"/>
        <v>0</v>
      </c>
      <c r="U229" s="2">
        <f t="shared" si="186"/>
        <v>359.3304</v>
      </c>
      <c r="V229" s="2">
        <f t="shared" si="187"/>
        <v>0</v>
      </c>
      <c r="W229" s="2">
        <f t="shared" si="188"/>
        <v>0</v>
      </c>
      <c r="X229" s="2">
        <f t="shared" si="189"/>
        <v>3772.55</v>
      </c>
      <c r="Y229" s="2">
        <f t="shared" si="190"/>
        <v>1928.19</v>
      </c>
      <c r="Z229" s="2"/>
      <c r="AA229" s="2">
        <v>56505403</v>
      </c>
      <c r="AB229" s="2">
        <f t="shared" si="191"/>
        <v>458.09</v>
      </c>
      <c r="AC229" s="2">
        <f t="shared" si="192"/>
        <v>11.27</v>
      </c>
      <c r="AD229" s="2">
        <f>ROUND(((((ET229*1.1))-((EU229*1.1)))+AE229),6)</f>
        <v>127.072</v>
      </c>
      <c r="AE229" s="2">
        <f>ROUND(((EU229*1.1)),6)</f>
        <v>13.882</v>
      </c>
      <c r="AF229" s="2">
        <f>ROUND(((EV229*1.1)),6)</f>
        <v>319.74799999999999</v>
      </c>
      <c r="AG229" s="2">
        <f t="shared" si="193"/>
        <v>0</v>
      </c>
      <c r="AH229" s="2">
        <f>((EW229*1.1))</f>
        <v>28.6</v>
      </c>
      <c r="AI229" s="2">
        <f>((EX229*1.1))</f>
        <v>0</v>
      </c>
      <c r="AJ229" s="2">
        <f t="shared" si="194"/>
        <v>0</v>
      </c>
      <c r="AK229" s="2">
        <v>417.47</v>
      </c>
      <c r="AL229" s="2">
        <v>11.27</v>
      </c>
      <c r="AM229" s="2">
        <v>115.52</v>
      </c>
      <c r="AN229" s="2">
        <v>12.62</v>
      </c>
      <c r="AO229" s="2">
        <v>290.68</v>
      </c>
      <c r="AP229" s="2">
        <v>0</v>
      </c>
      <c r="AQ229" s="2">
        <v>26</v>
      </c>
      <c r="AR229" s="2">
        <v>0</v>
      </c>
      <c r="AS229" s="2">
        <v>0</v>
      </c>
      <c r="AT229" s="2">
        <v>90</v>
      </c>
      <c r="AU229" s="2">
        <v>46</v>
      </c>
      <c r="AV229" s="2">
        <v>1.0469999999999999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2</v>
      </c>
      <c r="BJ229" s="2" t="s">
        <v>255</v>
      </c>
      <c r="BK229" s="2"/>
      <c r="BL229" s="2"/>
      <c r="BM229" s="2">
        <v>68</v>
      </c>
      <c r="BN229" s="2">
        <v>0</v>
      </c>
      <c r="BO229" s="2" t="s">
        <v>253</v>
      </c>
      <c r="BP229" s="2">
        <v>1</v>
      </c>
      <c r="BQ229" s="2">
        <v>40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90</v>
      </c>
      <c r="CA229" s="2">
        <v>46</v>
      </c>
      <c r="CB229" s="2" t="s">
        <v>3</v>
      </c>
      <c r="CC229" s="2"/>
      <c r="CD229" s="2"/>
      <c r="CE229" s="2">
        <v>30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3</v>
      </c>
      <c r="CO229" s="2">
        <v>0</v>
      </c>
      <c r="CP229" s="2">
        <f t="shared" si="195"/>
        <v>5749.08</v>
      </c>
      <c r="CQ229" s="2">
        <f t="shared" si="196"/>
        <v>11.27</v>
      </c>
      <c r="CR229" s="2">
        <f>(ROUND((ROUND((((ET229*1.1))*AV229*1),2)*BB229),2)+ROUND((ROUND(((AE229-((EU229*1.1)))*AV229*1),2)*BS229),2))</f>
        <v>133.04</v>
      </c>
      <c r="CS229" s="2">
        <f t="shared" si="197"/>
        <v>14.53</v>
      </c>
      <c r="CT229" s="2">
        <f t="shared" si="198"/>
        <v>334.78</v>
      </c>
      <c r="CU229" s="2">
        <f t="shared" si="199"/>
        <v>0</v>
      </c>
      <c r="CV229" s="2">
        <f t="shared" si="200"/>
        <v>29.944199999999999</v>
      </c>
      <c r="CW229" s="2">
        <f t="shared" si="201"/>
        <v>0</v>
      </c>
      <c r="CX229" s="2">
        <f t="shared" si="202"/>
        <v>0</v>
      </c>
      <c r="CY229" s="2">
        <f t="shared" si="203"/>
        <v>3772.5480000000007</v>
      </c>
      <c r="CZ229" s="2">
        <f t="shared" si="204"/>
        <v>1928.1912000000002</v>
      </c>
      <c r="DA229" s="2"/>
      <c r="DB229" s="2"/>
      <c r="DC229" s="2" t="s">
        <v>3</v>
      </c>
      <c r="DD229" s="2" t="s">
        <v>3</v>
      </c>
      <c r="DE229" s="2" t="s">
        <v>24</v>
      </c>
      <c r="DF229" s="2" t="s">
        <v>24</v>
      </c>
      <c r="DG229" s="2" t="s">
        <v>24</v>
      </c>
      <c r="DH229" s="2" t="s">
        <v>3</v>
      </c>
      <c r="DI229" s="2" t="s">
        <v>24</v>
      </c>
      <c r="DJ229" s="2" t="s">
        <v>24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22</v>
      </c>
      <c r="DW229" s="2" t="s">
        <v>22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58162630</v>
      </c>
      <c r="EF229" s="2">
        <v>40</v>
      </c>
      <c r="EG229" s="2" t="s">
        <v>25</v>
      </c>
      <c r="EH229" s="2">
        <v>0</v>
      </c>
      <c r="EI229" s="2" t="s">
        <v>3</v>
      </c>
      <c r="EJ229" s="2">
        <v>2</v>
      </c>
      <c r="EK229" s="2">
        <v>68</v>
      </c>
      <c r="EL229" s="2" t="s">
        <v>26</v>
      </c>
      <c r="EM229" s="2" t="s">
        <v>27</v>
      </c>
      <c r="EN229" s="2"/>
      <c r="EO229" s="2" t="s">
        <v>28</v>
      </c>
      <c r="EP229" s="2"/>
      <c r="EQ229" s="2">
        <v>0</v>
      </c>
      <c r="ER229" s="2">
        <v>417.47</v>
      </c>
      <c r="ES229" s="2">
        <v>11.27</v>
      </c>
      <c r="ET229" s="2">
        <v>115.52</v>
      </c>
      <c r="EU229" s="2">
        <v>12.62</v>
      </c>
      <c r="EV229" s="2">
        <v>290.68</v>
      </c>
      <c r="EW229" s="2">
        <v>26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90</v>
      </c>
      <c r="FY229" s="2">
        <v>46</v>
      </c>
      <c r="FZ229" s="2"/>
      <c r="GA229" s="2" t="s">
        <v>3</v>
      </c>
      <c r="GB229" s="2"/>
      <c r="GC229" s="2"/>
      <c r="GD229" s="2">
        <v>1</v>
      </c>
      <c r="GE229" s="2"/>
      <c r="GF229" s="2">
        <v>-110148689</v>
      </c>
      <c r="GG229" s="2">
        <v>2</v>
      </c>
      <c r="GH229" s="2">
        <v>1</v>
      </c>
      <c r="GI229" s="2">
        <v>2</v>
      </c>
      <c r="GJ229" s="2">
        <v>0</v>
      </c>
      <c r="GK229" s="2">
        <v>0</v>
      </c>
      <c r="GL229" s="2">
        <f t="shared" si="205"/>
        <v>0</v>
      </c>
      <c r="GM229" s="2">
        <f t="shared" si="206"/>
        <v>11449.82</v>
      </c>
      <c r="GN229" s="2">
        <f t="shared" si="207"/>
        <v>0</v>
      </c>
      <c r="GO229" s="2">
        <f t="shared" si="208"/>
        <v>11449.82</v>
      </c>
      <c r="GP229" s="2">
        <f t="shared" si="209"/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si="210"/>
        <v>0</v>
      </c>
      <c r="GW229" s="2">
        <v>1</v>
      </c>
      <c r="GX229" s="2">
        <f t="shared" si="211"/>
        <v>0</v>
      </c>
      <c r="GY229" s="2"/>
      <c r="GZ229" s="2"/>
      <c r="HA229" s="2">
        <v>0</v>
      </c>
      <c r="HB229" s="2">
        <v>0</v>
      </c>
      <c r="HC229" s="2">
        <f t="shared" si="212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3">
      <c r="A230" s="3">
        <v>17</v>
      </c>
      <c r="B230" s="3">
        <v>1</v>
      </c>
      <c r="C230" s="3"/>
      <c r="D230" s="3">
        <f>ROW(EtalonRes!A114)</f>
        <v>114</v>
      </c>
      <c r="E230" s="3" t="s">
        <v>252</v>
      </c>
      <c r="F230" s="3" t="s">
        <v>253</v>
      </c>
      <c r="G230" s="3" t="s">
        <v>254</v>
      </c>
      <c r="H230" s="3" t="s">
        <v>22</v>
      </c>
      <c r="I230" s="3">
        <v>12</v>
      </c>
      <c r="J230" s="3">
        <v>0</v>
      </c>
      <c r="K230" s="3">
        <v>12</v>
      </c>
      <c r="L230" s="3"/>
      <c r="M230" s="3"/>
      <c r="N230" s="3"/>
      <c r="O230" s="3">
        <f t="shared" si="181"/>
        <v>246083.5</v>
      </c>
      <c r="P230" s="3">
        <f t="shared" si="182"/>
        <v>553.13</v>
      </c>
      <c r="Q230" s="3">
        <f>(ROUND((ROUND((((ET230*1.1))*AV230*I230),2)*BB230),2)+ROUND((ROUND(((AE230-((EU230*1.1)))*AV230*I230),2)*BS230),2))</f>
        <v>24618.49</v>
      </c>
      <c r="R230" s="3">
        <f t="shared" si="183"/>
        <v>9590.81</v>
      </c>
      <c r="S230" s="3">
        <f t="shared" si="184"/>
        <v>220911.88</v>
      </c>
      <c r="T230" s="3">
        <f t="shared" si="185"/>
        <v>0</v>
      </c>
      <c r="U230" s="3">
        <f t="shared" si="186"/>
        <v>359.3304</v>
      </c>
      <c r="V230" s="3">
        <f t="shared" si="187"/>
        <v>0</v>
      </c>
      <c r="W230" s="3">
        <f t="shared" si="188"/>
        <v>0</v>
      </c>
      <c r="X230" s="3">
        <f t="shared" si="189"/>
        <v>207452.42</v>
      </c>
      <c r="Y230" s="3">
        <f t="shared" si="190"/>
        <v>106031.24</v>
      </c>
      <c r="Z230" s="3"/>
      <c r="AA230" s="3">
        <v>56505405</v>
      </c>
      <c r="AB230" s="3">
        <f t="shared" si="191"/>
        <v>458.09</v>
      </c>
      <c r="AC230" s="3">
        <f t="shared" si="192"/>
        <v>11.27</v>
      </c>
      <c r="AD230" s="3">
        <f>ROUND(((((ET230*1.1))-((EU230*1.1)))+AE230),6)</f>
        <v>127.072</v>
      </c>
      <c r="AE230" s="3">
        <f>ROUND(((EU230*1.1)),6)</f>
        <v>13.882</v>
      </c>
      <c r="AF230" s="3">
        <f>ROUND(((EV230*1.1)),6)</f>
        <v>319.74799999999999</v>
      </c>
      <c r="AG230" s="3">
        <f t="shared" si="193"/>
        <v>0</v>
      </c>
      <c r="AH230" s="3">
        <f>((EW230*1.1))</f>
        <v>28.6</v>
      </c>
      <c r="AI230" s="3">
        <f>((EX230*1.1))</f>
        <v>0</v>
      </c>
      <c r="AJ230" s="3">
        <f t="shared" si="194"/>
        <v>0</v>
      </c>
      <c r="AK230" s="3">
        <v>417.47</v>
      </c>
      <c r="AL230" s="3">
        <v>11.27</v>
      </c>
      <c r="AM230" s="3">
        <v>115.52</v>
      </c>
      <c r="AN230" s="3">
        <v>12.62</v>
      </c>
      <c r="AO230" s="3">
        <v>290.68</v>
      </c>
      <c r="AP230" s="3">
        <v>0</v>
      </c>
      <c r="AQ230" s="3">
        <v>26</v>
      </c>
      <c r="AR230" s="3">
        <v>0</v>
      </c>
      <c r="AS230" s="3">
        <v>0</v>
      </c>
      <c r="AT230" s="3">
        <v>90</v>
      </c>
      <c r="AU230" s="3">
        <v>46</v>
      </c>
      <c r="AV230" s="3">
        <v>1.0469999999999999</v>
      </c>
      <c r="AW230" s="3">
        <v>1</v>
      </c>
      <c r="AX230" s="3"/>
      <c r="AY230" s="3"/>
      <c r="AZ230" s="3">
        <v>1</v>
      </c>
      <c r="BA230" s="3">
        <v>54.99</v>
      </c>
      <c r="BB230" s="3">
        <v>15.42</v>
      </c>
      <c r="BC230" s="3">
        <v>4.09</v>
      </c>
      <c r="BD230" s="3" t="s">
        <v>3</v>
      </c>
      <c r="BE230" s="3" t="s">
        <v>3</v>
      </c>
      <c r="BF230" s="3" t="s">
        <v>3</v>
      </c>
      <c r="BG230" s="3" t="s">
        <v>3</v>
      </c>
      <c r="BH230" s="3">
        <v>0</v>
      </c>
      <c r="BI230" s="3">
        <v>2</v>
      </c>
      <c r="BJ230" s="3" t="s">
        <v>255</v>
      </c>
      <c r="BK230" s="3"/>
      <c r="BL230" s="3"/>
      <c r="BM230" s="3">
        <v>68</v>
      </c>
      <c r="BN230" s="3">
        <v>0</v>
      </c>
      <c r="BO230" s="3" t="s">
        <v>253</v>
      </c>
      <c r="BP230" s="3">
        <v>1</v>
      </c>
      <c r="BQ230" s="3">
        <v>40</v>
      </c>
      <c r="BR230" s="3">
        <v>0</v>
      </c>
      <c r="BS230" s="3">
        <v>54.99</v>
      </c>
      <c r="BT230" s="3">
        <v>1</v>
      </c>
      <c r="BU230" s="3">
        <v>1</v>
      </c>
      <c r="BV230" s="3">
        <v>1</v>
      </c>
      <c r="BW230" s="3">
        <v>1</v>
      </c>
      <c r="BX230" s="3">
        <v>1</v>
      </c>
      <c r="BY230" s="3" t="s">
        <v>3</v>
      </c>
      <c r="BZ230" s="3">
        <v>90</v>
      </c>
      <c r="CA230" s="3">
        <v>46</v>
      </c>
      <c r="CB230" s="3" t="s">
        <v>3</v>
      </c>
      <c r="CC230" s="3"/>
      <c r="CD230" s="3"/>
      <c r="CE230" s="3">
        <v>30</v>
      </c>
      <c r="CF230" s="3">
        <v>0</v>
      </c>
      <c r="CG230" s="3">
        <v>0</v>
      </c>
      <c r="CH230" s="3"/>
      <c r="CI230" s="3"/>
      <c r="CJ230" s="3"/>
      <c r="CK230" s="3"/>
      <c r="CL230" s="3"/>
      <c r="CM230" s="3">
        <v>0</v>
      </c>
      <c r="CN230" s="3" t="s">
        <v>3</v>
      </c>
      <c r="CO230" s="3">
        <v>0</v>
      </c>
      <c r="CP230" s="3">
        <f t="shared" si="195"/>
        <v>246083.5</v>
      </c>
      <c r="CQ230" s="3">
        <f t="shared" si="196"/>
        <v>46.09</v>
      </c>
      <c r="CR230" s="3">
        <f>(ROUND((ROUND((((ET230*1.1))*AV230*1),2)*BB230),2)+ROUND((ROUND(((AE230-((EU230*1.1)))*AV230*1),2)*BS230),2))</f>
        <v>2051.48</v>
      </c>
      <c r="CS230" s="3">
        <f t="shared" si="197"/>
        <v>799</v>
      </c>
      <c r="CT230" s="3">
        <f t="shared" si="198"/>
        <v>18409.55</v>
      </c>
      <c r="CU230" s="3">
        <f t="shared" si="199"/>
        <v>0</v>
      </c>
      <c r="CV230" s="3">
        <f t="shared" si="200"/>
        <v>29.944199999999999</v>
      </c>
      <c r="CW230" s="3">
        <f t="shared" si="201"/>
        <v>0</v>
      </c>
      <c r="CX230" s="3">
        <f t="shared" si="202"/>
        <v>0</v>
      </c>
      <c r="CY230" s="3">
        <f t="shared" si="203"/>
        <v>207452.421</v>
      </c>
      <c r="CZ230" s="3">
        <f t="shared" si="204"/>
        <v>106031.2374</v>
      </c>
      <c r="DA230" s="3"/>
      <c r="DB230" s="3"/>
      <c r="DC230" s="3" t="s">
        <v>3</v>
      </c>
      <c r="DD230" s="3" t="s">
        <v>3</v>
      </c>
      <c r="DE230" s="3" t="s">
        <v>24</v>
      </c>
      <c r="DF230" s="3" t="s">
        <v>24</v>
      </c>
      <c r="DG230" s="3" t="s">
        <v>24</v>
      </c>
      <c r="DH230" s="3" t="s">
        <v>3</v>
      </c>
      <c r="DI230" s="3" t="s">
        <v>24</v>
      </c>
      <c r="DJ230" s="3" t="s">
        <v>24</v>
      </c>
      <c r="DK230" s="3" t="s">
        <v>3</v>
      </c>
      <c r="DL230" s="3" t="s">
        <v>3</v>
      </c>
      <c r="DM230" s="3" t="s">
        <v>3</v>
      </c>
      <c r="DN230" s="3">
        <v>0</v>
      </c>
      <c r="DO230" s="3">
        <v>0</v>
      </c>
      <c r="DP230" s="3">
        <v>1</v>
      </c>
      <c r="DQ230" s="3">
        <v>1</v>
      </c>
      <c r="DR230" s="3"/>
      <c r="DS230" s="3"/>
      <c r="DT230" s="3"/>
      <c r="DU230" s="3">
        <v>1013</v>
      </c>
      <c r="DV230" s="3" t="s">
        <v>22</v>
      </c>
      <c r="DW230" s="3" t="s">
        <v>22</v>
      </c>
      <c r="DX230" s="3">
        <v>1</v>
      </c>
      <c r="DY230" s="3"/>
      <c r="DZ230" s="3" t="s">
        <v>3</v>
      </c>
      <c r="EA230" s="3" t="s">
        <v>3</v>
      </c>
      <c r="EB230" s="3" t="s">
        <v>3</v>
      </c>
      <c r="EC230" s="3" t="s">
        <v>3</v>
      </c>
      <c r="ED230" s="3"/>
      <c r="EE230" s="3">
        <v>58162630</v>
      </c>
      <c r="EF230" s="3">
        <v>40</v>
      </c>
      <c r="EG230" s="3" t="s">
        <v>25</v>
      </c>
      <c r="EH230" s="3">
        <v>0</v>
      </c>
      <c r="EI230" s="3" t="s">
        <v>3</v>
      </c>
      <c r="EJ230" s="3">
        <v>2</v>
      </c>
      <c r="EK230" s="3">
        <v>68</v>
      </c>
      <c r="EL230" s="3" t="s">
        <v>26</v>
      </c>
      <c r="EM230" s="3" t="s">
        <v>27</v>
      </c>
      <c r="EN230" s="3"/>
      <c r="EO230" s="3" t="s">
        <v>28</v>
      </c>
      <c r="EP230" s="3"/>
      <c r="EQ230" s="3">
        <v>0</v>
      </c>
      <c r="ER230" s="3">
        <v>417.47</v>
      </c>
      <c r="ES230" s="3">
        <v>11.27</v>
      </c>
      <c r="ET230" s="3">
        <v>115.52</v>
      </c>
      <c r="EU230" s="3">
        <v>12.62</v>
      </c>
      <c r="EV230" s="3">
        <v>290.68</v>
      </c>
      <c r="EW230" s="3">
        <v>26</v>
      </c>
      <c r="EX230" s="3">
        <v>0</v>
      </c>
      <c r="EY230" s="3">
        <v>0</v>
      </c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>
        <v>0</v>
      </c>
      <c r="FR230" s="3">
        <v>0</v>
      </c>
      <c r="FS230" s="3">
        <v>0</v>
      </c>
      <c r="FT230" s="3"/>
      <c r="FU230" s="3"/>
      <c r="FV230" s="3"/>
      <c r="FW230" s="3"/>
      <c r="FX230" s="3">
        <v>90</v>
      </c>
      <c r="FY230" s="3">
        <v>46</v>
      </c>
      <c r="FZ230" s="3"/>
      <c r="GA230" s="3" t="s">
        <v>3</v>
      </c>
      <c r="GB230" s="3"/>
      <c r="GC230" s="3"/>
      <c r="GD230" s="3">
        <v>1</v>
      </c>
      <c r="GE230" s="3"/>
      <c r="GF230" s="3">
        <v>-110148689</v>
      </c>
      <c r="GG230" s="3">
        <v>2</v>
      </c>
      <c r="GH230" s="3">
        <v>1</v>
      </c>
      <c r="GI230" s="3">
        <v>2</v>
      </c>
      <c r="GJ230" s="3">
        <v>0</v>
      </c>
      <c r="GK230" s="3">
        <v>0</v>
      </c>
      <c r="GL230" s="3">
        <f t="shared" si="205"/>
        <v>0</v>
      </c>
      <c r="GM230" s="3">
        <f t="shared" si="206"/>
        <v>559567.16</v>
      </c>
      <c r="GN230" s="3">
        <f t="shared" si="207"/>
        <v>0</v>
      </c>
      <c r="GO230" s="3">
        <f t="shared" si="208"/>
        <v>559567.16</v>
      </c>
      <c r="GP230" s="3">
        <f t="shared" si="209"/>
        <v>0</v>
      </c>
      <c r="GQ230" s="3"/>
      <c r="GR230" s="3">
        <v>0</v>
      </c>
      <c r="GS230" s="3">
        <v>3</v>
      </c>
      <c r="GT230" s="3">
        <v>0</v>
      </c>
      <c r="GU230" s="3" t="s">
        <v>3</v>
      </c>
      <c r="GV230" s="3">
        <f t="shared" si="210"/>
        <v>0</v>
      </c>
      <c r="GW230" s="3">
        <v>1</v>
      </c>
      <c r="GX230" s="3">
        <f t="shared" si="211"/>
        <v>0</v>
      </c>
      <c r="GY230" s="3"/>
      <c r="GZ230" s="3"/>
      <c r="HA230" s="3">
        <v>0</v>
      </c>
      <c r="HB230" s="3">
        <v>0</v>
      </c>
      <c r="HC230" s="3">
        <f t="shared" si="212"/>
        <v>0</v>
      </c>
      <c r="HD230" s="3"/>
      <c r="HE230" s="3" t="s">
        <v>3</v>
      </c>
      <c r="HF230" s="3" t="s">
        <v>3</v>
      </c>
      <c r="HG230" s="3"/>
      <c r="HH230" s="3"/>
      <c r="HI230" s="3"/>
      <c r="HJ230" s="3"/>
      <c r="HK230" s="3"/>
      <c r="HL230" s="3"/>
      <c r="HM230" s="3" t="s">
        <v>3</v>
      </c>
      <c r="HN230" s="3" t="s">
        <v>3</v>
      </c>
      <c r="HO230" s="3" t="s">
        <v>3</v>
      </c>
      <c r="HP230" s="3" t="s">
        <v>3</v>
      </c>
      <c r="HQ230" s="3" t="s">
        <v>3</v>
      </c>
      <c r="HR230" s="3"/>
      <c r="HS230" s="3">
        <v>0</v>
      </c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>
        <v>0</v>
      </c>
      <c r="IL230" s="3"/>
      <c r="IM230" s="3"/>
      <c r="IN230" s="3"/>
      <c r="IO230" s="3"/>
      <c r="IP230" s="3"/>
      <c r="IQ230" s="3"/>
      <c r="IR230" s="3"/>
      <c r="IS230" s="3"/>
      <c r="IT230" s="3"/>
      <c r="IU230" s="3"/>
    </row>
    <row r="231" spans="1:255" x14ac:dyDescent="0.3">
      <c r="A231" s="2">
        <v>18</v>
      </c>
      <c r="B231" s="2">
        <v>1</v>
      </c>
      <c r="C231" s="2"/>
      <c r="D231" s="2"/>
      <c r="E231" s="2" t="s">
        <v>256</v>
      </c>
      <c r="F231" s="2" t="s">
        <v>257</v>
      </c>
      <c r="G231" s="2" t="s">
        <v>258</v>
      </c>
      <c r="H231" s="2" t="s">
        <v>32</v>
      </c>
      <c r="I231" s="2">
        <f>I229*J231</f>
        <v>12</v>
      </c>
      <c r="J231" s="2">
        <v>1</v>
      </c>
      <c r="K231" s="2">
        <v>1</v>
      </c>
      <c r="L231" s="2"/>
      <c r="M231" s="2"/>
      <c r="N231" s="2"/>
      <c r="O231" s="2">
        <f t="shared" si="181"/>
        <v>250378.68</v>
      </c>
      <c r="P231" s="2">
        <f>ROUND((ROUND((AC231*I231),2)*BC231),2)</f>
        <v>250378.68</v>
      </c>
      <c r="Q231" s="2">
        <f>(ROUND((ROUND(((ET231)*AV231*I231),2)*BB231),2)+ROUND((ROUND(((AE231-(EU231))*AV231*I231),2)*BS231),2))</f>
        <v>0</v>
      </c>
      <c r="R231" s="2">
        <f t="shared" si="183"/>
        <v>0</v>
      </c>
      <c r="S231" s="2">
        <f t="shared" si="184"/>
        <v>0</v>
      </c>
      <c r="T231" s="2">
        <f t="shared" si="185"/>
        <v>0</v>
      </c>
      <c r="U231" s="2">
        <f t="shared" si="186"/>
        <v>0</v>
      </c>
      <c r="V231" s="2">
        <f t="shared" si="187"/>
        <v>0</v>
      </c>
      <c r="W231" s="2">
        <f t="shared" si="188"/>
        <v>0</v>
      </c>
      <c r="X231" s="2">
        <f t="shared" si="189"/>
        <v>0</v>
      </c>
      <c r="Y231" s="2">
        <f t="shared" si="190"/>
        <v>0</v>
      </c>
      <c r="Z231" s="2"/>
      <c r="AA231" s="2">
        <v>56505403</v>
      </c>
      <c r="AB231" s="2">
        <f t="shared" si="191"/>
        <v>20864.89</v>
      </c>
      <c r="AC231" s="2">
        <f t="shared" si="192"/>
        <v>20864.89</v>
      </c>
      <c r="AD231" s="2">
        <f>ROUND((((ET231)-(EU231))+AE231),6)</f>
        <v>0</v>
      </c>
      <c r="AE231" s="2">
        <f>ROUND((EU231),6)</f>
        <v>0</v>
      </c>
      <c r="AF231" s="2">
        <f>ROUND((EV231),6)</f>
        <v>0</v>
      </c>
      <c r="AG231" s="2">
        <f t="shared" si="193"/>
        <v>0</v>
      </c>
      <c r="AH231" s="2">
        <f>(EW231)</f>
        <v>0</v>
      </c>
      <c r="AI231" s="2">
        <f>(EX231)</f>
        <v>0</v>
      </c>
      <c r="AJ231" s="2">
        <f t="shared" si="194"/>
        <v>0</v>
      </c>
      <c r="AK231" s="2">
        <v>20864.89</v>
      </c>
      <c r="AL231" s="2">
        <v>20864.89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3</v>
      </c>
      <c r="BJ231" s="2" t="s">
        <v>3</v>
      </c>
      <c r="BK231" s="2"/>
      <c r="BL231" s="2"/>
      <c r="BM231" s="2">
        <v>746</v>
      </c>
      <c r="BN231" s="2">
        <v>0</v>
      </c>
      <c r="BO231" s="2" t="s">
        <v>3</v>
      </c>
      <c r="BP231" s="2">
        <v>0</v>
      </c>
      <c r="BQ231" s="2">
        <v>130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90</v>
      </c>
      <c r="CA231" s="2">
        <v>46</v>
      </c>
      <c r="CB231" s="2" t="s">
        <v>3</v>
      </c>
      <c r="CC231" s="2"/>
      <c r="CD231" s="2"/>
      <c r="CE231" s="2">
        <v>30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195"/>
        <v>250378.68</v>
      </c>
      <c r="CQ231" s="2">
        <f>ROUND((ROUND((AC231*1),2)*BC231),2)</f>
        <v>20864.89</v>
      </c>
      <c r="CR231" s="2">
        <f>(ROUND((ROUND(((ET231)*AV231*1),2)*BB231),2)+ROUND((ROUND(((AE231-(EU231))*AV231*1),2)*BS231),2))</f>
        <v>0</v>
      </c>
      <c r="CS231" s="2">
        <f t="shared" si="197"/>
        <v>0</v>
      </c>
      <c r="CT231" s="2">
        <f t="shared" si="198"/>
        <v>0</v>
      </c>
      <c r="CU231" s="2">
        <f t="shared" si="199"/>
        <v>0</v>
      </c>
      <c r="CV231" s="2">
        <f t="shared" si="200"/>
        <v>0</v>
      </c>
      <c r="CW231" s="2">
        <f t="shared" si="201"/>
        <v>0</v>
      </c>
      <c r="CX231" s="2">
        <f t="shared" si="202"/>
        <v>0</v>
      </c>
      <c r="CY231" s="2">
        <f t="shared" si="203"/>
        <v>0</v>
      </c>
      <c r="CZ231" s="2">
        <f t="shared" si="204"/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1010</v>
      </c>
      <c r="DV231" s="2" t="s">
        <v>32</v>
      </c>
      <c r="DW231" s="2" t="s">
        <v>32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58162750</v>
      </c>
      <c r="EF231" s="2">
        <v>130</v>
      </c>
      <c r="EG231" s="2" t="s">
        <v>52</v>
      </c>
      <c r="EH231" s="2">
        <v>0</v>
      </c>
      <c r="EI231" s="2" t="s">
        <v>3</v>
      </c>
      <c r="EJ231" s="2">
        <v>3</v>
      </c>
      <c r="EK231" s="2">
        <v>746</v>
      </c>
      <c r="EL231" s="2" t="s">
        <v>53</v>
      </c>
      <c r="EM231" s="2" t="s">
        <v>54</v>
      </c>
      <c r="EN231" s="2"/>
      <c r="EO231" s="2" t="s">
        <v>3</v>
      </c>
      <c r="EP231" s="2"/>
      <c r="EQ231" s="2">
        <v>0</v>
      </c>
      <c r="ER231" s="2">
        <v>0</v>
      </c>
      <c r="ES231" s="2">
        <v>20864.89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f>P231</f>
        <v>250378.68</v>
      </c>
      <c r="FS231" s="2">
        <v>0</v>
      </c>
      <c r="FT231" s="2"/>
      <c r="FU231" s="2"/>
      <c r="FV231" s="2"/>
      <c r="FW231" s="2"/>
      <c r="FX231" s="2">
        <v>90</v>
      </c>
      <c r="FY231" s="2">
        <v>46</v>
      </c>
      <c r="FZ231" s="2"/>
      <c r="GA231" s="2" t="s">
        <v>259</v>
      </c>
      <c r="GB231" s="2"/>
      <c r="GC231" s="2"/>
      <c r="GD231" s="2">
        <v>1</v>
      </c>
      <c r="GE231" s="2"/>
      <c r="GF231" s="2">
        <v>378274599</v>
      </c>
      <c r="GG231" s="2">
        <v>2</v>
      </c>
      <c r="GH231" s="2">
        <v>4</v>
      </c>
      <c r="GI231" s="2">
        <v>-2</v>
      </c>
      <c r="GJ231" s="2">
        <v>0</v>
      </c>
      <c r="GK231" s="2">
        <v>0</v>
      </c>
      <c r="GL231" s="2">
        <f t="shared" si="205"/>
        <v>0</v>
      </c>
      <c r="GM231" s="2">
        <f t="shared" si="206"/>
        <v>250378.68</v>
      </c>
      <c r="GN231" s="2">
        <f t="shared" si="207"/>
        <v>0</v>
      </c>
      <c r="GO231" s="2">
        <f t="shared" si="208"/>
        <v>0</v>
      </c>
      <c r="GP231" s="2">
        <f t="shared" si="209"/>
        <v>0</v>
      </c>
      <c r="GQ231" s="2"/>
      <c r="GR231" s="2">
        <v>0</v>
      </c>
      <c r="GS231" s="2">
        <v>2</v>
      </c>
      <c r="GT231" s="2">
        <v>0</v>
      </c>
      <c r="GU231" s="2" t="s">
        <v>3</v>
      </c>
      <c r="GV231" s="2">
        <f t="shared" si="210"/>
        <v>0</v>
      </c>
      <c r="GW231" s="2">
        <v>1</v>
      </c>
      <c r="GX231" s="2">
        <f t="shared" si="211"/>
        <v>0</v>
      </c>
      <c r="GY231" s="2"/>
      <c r="GZ231" s="2"/>
      <c r="HA231" s="2">
        <v>0</v>
      </c>
      <c r="HB231" s="2">
        <v>0</v>
      </c>
      <c r="HC231" s="2">
        <f t="shared" si="212"/>
        <v>0</v>
      </c>
      <c r="HD231" s="2"/>
      <c r="HE231" s="2" t="s">
        <v>56</v>
      </c>
      <c r="HF231" s="2" t="s">
        <v>36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3">
      <c r="A232" s="3">
        <v>18</v>
      </c>
      <c r="B232" s="3">
        <v>1</v>
      </c>
      <c r="C232" s="3"/>
      <c r="D232" s="3"/>
      <c r="E232" s="3" t="s">
        <v>256</v>
      </c>
      <c r="F232" s="3" t="s">
        <v>257</v>
      </c>
      <c r="G232" s="3" t="s">
        <v>258</v>
      </c>
      <c r="H232" s="3" t="s">
        <v>32</v>
      </c>
      <c r="I232" s="3">
        <f>I230*J232</f>
        <v>12</v>
      </c>
      <c r="J232" s="3">
        <v>1</v>
      </c>
      <c r="K232" s="3">
        <v>1</v>
      </c>
      <c r="L232" s="3"/>
      <c r="M232" s="3"/>
      <c r="N232" s="3"/>
      <c r="O232" s="3">
        <f t="shared" si="181"/>
        <v>1917900.69</v>
      </c>
      <c r="P232" s="3">
        <f>ROUND((ROUND((AC232*I232),2)*BC232),2)</f>
        <v>1917900.69</v>
      </c>
      <c r="Q232" s="3">
        <f>(ROUND((ROUND(((ET232)*AV232*I232),2)*BB232),2)+ROUND((ROUND(((AE232-(EU232))*AV232*I232),2)*BS232),2))</f>
        <v>0</v>
      </c>
      <c r="R232" s="3">
        <f t="shared" si="183"/>
        <v>0</v>
      </c>
      <c r="S232" s="3">
        <f t="shared" si="184"/>
        <v>0</v>
      </c>
      <c r="T232" s="3">
        <f t="shared" si="185"/>
        <v>0</v>
      </c>
      <c r="U232" s="3">
        <f t="shared" si="186"/>
        <v>0</v>
      </c>
      <c r="V232" s="3">
        <f t="shared" si="187"/>
        <v>0</v>
      </c>
      <c r="W232" s="3">
        <f t="shared" si="188"/>
        <v>0</v>
      </c>
      <c r="X232" s="3">
        <f t="shared" si="189"/>
        <v>0</v>
      </c>
      <c r="Y232" s="3">
        <f t="shared" si="190"/>
        <v>0</v>
      </c>
      <c r="Z232" s="3"/>
      <c r="AA232" s="3">
        <v>56505405</v>
      </c>
      <c r="AB232" s="3">
        <f t="shared" si="191"/>
        <v>20864.89</v>
      </c>
      <c r="AC232" s="3">
        <f t="shared" si="192"/>
        <v>20864.89</v>
      </c>
      <c r="AD232" s="3">
        <f>ROUND((((ET232)-(EU232))+AE232),6)</f>
        <v>0</v>
      </c>
      <c r="AE232" s="3">
        <f>ROUND((EU232),6)</f>
        <v>0</v>
      </c>
      <c r="AF232" s="3">
        <f>ROUND((EV232),6)</f>
        <v>0</v>
      </c>
      <c r="AG232" s="3">
        <f t="shared" si="193"/>
        <v>0</v>
      </c>
      <c r="AH232" s="3">
        <f>(EW232)</f>
        <v>0</v>
      </c>
      <c r="AI232" s="3">
        <f>(EX232)</f>
        <v>0</v>
      </c>
      <c r="AJ232" s="3">
        <f t="shared" si="194"/>
        <v>0</v>
      </c>
      <c r="AK232" s="3">
        <v>20864.89</v>
      </c>
      <c r="AL232" s="3">
        <v>20864.89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1</v>
      </c>
      <c r="AW232" s="3">
        <v>1</v>
      </c>
      <c r="AX232" s="3"/>
      <c r="AY232" s="3"/>
      <c r="AZ232" s="3">
        <v>1</v>
      </c>
      <c r="BA232" s="3">
        <v>1</v>
      </c>
      <c r="BB232" s="3">
        <v>1</v>
      </c>
      <c r="BC232" s="3">
        <v>7.66</v>
      </c>
      <c r="BD232" s="3" t="s">
        <v>3</v>
      </c>
      <c r="BE232" s="3" t="s">
        <v>3</v>
      </c>
      <c r="BF232" s="3" t="s">
        <v>3</v>
      </c>
      <c r="BG232" s="3" t="s">
        <v>3</v>
      </c>
      <c r="BH232" s="3">
        <v>3</v>
      </c>
      <c r="BI232" s="3">
        <v>3</v>
      </c>
      <c r="BJ232" s="3" t="s">
        <v>3</v>
      </c>
      <c r="BK232" s="3"/>
      <c r="BL232" s="3"/>
      <c r="BM232" s="3">
        <v>746</v>
      </c>
      <c r="BN232" s="3">
        <v>0</v>
      </c>
      <c r="BO232" s="3" t="s">
        <v>3</v>
      </c>
      <c r="BP232" s="3">
        <v>0</v>
      </c>
      <c r="BQ232" s="3">
        <v>130</v>
      </c>
      <c r="BR232" s="3">
        <v>0</v>
      </c>
      <c r="BS232" s="3">
        <v>1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 t="s">
        <v>3</v>
      </c>
      <c r="BZ232" s="3">
        <v>90</v>
      </c>
      <c r="CA232" s="3">
        <v>46</v>
      </c>
      <c r="CB232" s="3" t="s">
        <v>3</v>
      </c>
      <c r="CC232" s="3"/>
      <c r="CD232" s="3"/>
      <c r="CE232" s="3">
        <v>30</v>
      </c>
      <c r="CF232" s="3">
        <v>0</v>
      </c>
      <c r="CG232" s="3">
        <v>0</v>
      </c>
      <c r="CH232" s="3"/>
      <c r="CI232" s="3"/>
      <c r="CJ232" s="3"/>
      <c r="CK232" s="3"/>
      <c r="CL232" s="3"/>
      <c r="CM232" s="3">
        <v>0</v>
      </c>
      <c r="CN232" s="3" t="s">
        <v>3</v>
      </c>
      <c r="CO232" s="3">
        <v>0</v>
      </c>
      <c r="CP232" s="3">
        <f t="shared" si="195"/>
        <v>1917900.69</v>
      </c>
      <c r="CQ232" s="3">
        <f>ROUND((ROUND((AC232*1),2)*BC232),2)</f>
        <v>159825.06</v>
      </c>
      <c r="CR232" s="3">
        <f>(ROUND((ROUND(((ET232)*AV232*1),2)*BB232),2)+ROUND((ROUND(((AE232-(EU232))*AV232*1),2)*BS232),2))</f>
        <v>0</v>
      </c>
      <c r="CS232" s="3">
        <f t="shared" si="197"/>
        <v>0</v>
      </c>
      <c r="CT232" s="3">
        <f t="shared" si="198"/>
        <v>0</v>
      </c>
      <c r="CU232" s="3">
        <f t="shared" si="199"/>
        <v>0</v>
      </c>
      <c r="CV232" s="3">
        <f t="shared" si="200"/>
        <v>0</v>
      </c>
      <c r="CW232" s="3">
        <f t="shared" si="201"/>
        <v>0</v>
      </c>
      <c r="CX232" s="3">
        <f t="shared" si="202"/>
        <v>0</v>
      </c>
      <c r="CY232" s="3">
        <f t="shared" si="203"/>
        <v>0</v>
      </c>
      <c r="CZ232" s="3">
        <f t="shared" si="204"/>
        <v>0</v>
      </c>
      <c r="DA232" s="3"/>
      <c r="DB232" s="3"/>
      <c r="DC232" s="3" t="s">
        <v>3</v>
      </c>
      <c r="DD232" s="3" t="s">
        <v>3</v>
      </c>
      <c r="DE232" s="3" t="s">
        <v>3</v>
      </c>
      <c r="DF232" s="3" t="s">
        <v>3</v>
      </c>
      <c r="DG232" s="3" t="s">
        <v>3</v>
      </c>
      <c r="DH232" s="3" t="s">
        <v>3</v>
      </c>
      <c r="DI232" s="3" t="s">
        <v>3</v>
      </c>
      <c r="DJ232" s="3" t="s">
        <v>3</v>
      </c>
      <c r="DK232" s="3" t="s">
        <v>3</v>
      </c>
      <c r="DL232" s="3" t="s">
        <v>3</v>
      </c>
      <c r="DM232" s="3" t="s">
        <v>3</v>
      </c>
      <c r="DN232" s="3">
        <v>0</v>
      </c>
      <c r="DO232" s="3">
        <v>0</v>
      </c>
      <c r="DP232" s="3">
        <v>1</v>
      </c>
      <c r="DQ232" s="3">
        <v>1</v>
      </c>
      <c r="DR232" s="3"/>
      <c r="DS232" s="3"/>
      <c r="DT232" s="3"/>
      <c r="DU232" s="3">
        <v>1010</v>
      </c>
      <c r="DV232" s="3" t="s">
        <v>32</v>
      </c>
      <c r="DW232" s="3" t="s">
        <v>32</v>
      </c>
      <c r="DX232" s="3">
        <v>1</v>
      </c>
      <c r="DY232" s="3"/>
      <c r="DZ232" s="3" t="s">
        <v>3</v>
      </c>
      <c r="EA232" s="3" t="s">
        <v>3</v>
      </c>
      <c r="EB232" s="3" t="s">
        <v>3</v>
      </c>
      <c r="EC232" s="3" t="s">
        <v>3</v>
      </c>
      <c r="ED232" s="3"/>
      <c r="EE232" s="3">
        <v>58162750</v>
      </c>
      <c r="EF232" s="3">
        <v>130</v>
      </c>
      <c r="EG232" s="3" t="s">
        <v>52</v>
      </c>
      <c r="EH232" s="3">
        <v>0</v>
      </c>
      <c r="EI232" s="3" t="s">
        <v>3</v>
      </c>
      <c r="EJ232" s="3">
        <v>3</v>
      </c>
      <c r="EK232" s="3">
        <v>746</v>
      </c>
      <c r="EL232" s="3" t="s">
        <v>53</v>
      </c>
      <c r="EM232" s="3" t="s">
        <v>54</v>
      </c>
      <c r="EN232" s="3"/>
      <c r="EO232" s="3" t="s">
        <v>3</v>
      </c>
      <c r="EP232" s="3"/>
      <c r="EQ232" s="3">
        <v>0</v>
      </c>
      <c r="ER232" s="3">
        <v>20864.89</v>
      </c>
      <c r="ES232" s="3">
        <v>20864.89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/>
      <c r="EZ232" s="3">
        <v>5</v>
      </c>
      <c r="FA232" s="3"/>
      <c r="FB232" s="3"/>
      <c r="FC232" s="3">
        <v>1</v>
      </c>
      <c r="FD232" s="3">
        <v>18</v>
      </c>
      <c r="FE232" s="3"/>
      <c r="FF232" s="3">
        <v>183996</v>
      </c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>
        <v>0</v>
      </c>
      <c r="FR232" s="3">
        <f>P232</f>
        <v>1917900.69</v>
      </c>
      <c r="FS232" s="3">
        <v>0</v>
      </c>
      <c r="FT232" s="3"/>
      <c r="FU232" s="3"/>
      <c r="FV232" s="3"/>
      <c r="FW232" s="3"/>
      <c r="FX232" s="3">
        <v>90</v>
      </c>
      <c r="FY232" s="3">
        <v>46</v>
      </c>
      <c r="FZ232" s="3"/>
      <c r="GA232" s="3" t="s">
        <v>259</v>
      </c>
      <c r="GB232" s="3"/>
      <c r="GC232" s="3"/>
      <c r="GD232" s="3">
        <v>1</v>
      </c>
      <c r="GE232" s="3"/>
      <c r="GF232" s="3">
        <v>378274599</v>
      </c>
      <c r="GG232" s="3">
        <v>2</v>
      </c>
      <c r="GH232" s="3">
        <v>3</v>
      </c>
      <c r="GI232" s="3">
        <v>5</v>
      </c>
      <c r="GJ232" s="3">
        <v>0</v>
      </c>
      <c r="GK232" s="3">
        <v>0</v>
      </c>
      <c r="GL232" s="3">
        <f t="shared" si="205"/>
        <v>0</v>
      </c>
      <c r="GM232" s="3">
        <f t="shared" si="206"/>
        <v>1917900.69</v>
      </c>
      <c r="GN232" s="3">
        <f t="shared" si="207"/>
        <v>0</v>
      </c>
      <c r="GO232" s="3">
        <f t="shared" si="208"/>
        <v>0</v>
      </c>
      <c r="GP232" s="3">
        <f t="shared" si="209"/>
        <v>0</v>
      </c>
      <c r="GQ232" s="3"/>
      <c r="GR232" s="3">
        <v>1</v>
      </c>
      <c r="GS232" s="3">
        <v>1</v>
      </c>
      <c r="GT232" s="3">
        <v>0</v>
      </c>
      <c r="GU232" s="3" t="s">
        <v>3</v>
      </c>
      <c r="GV232" s="3">
        <f t="shared" si="210"/>
        <v>0</v>
      </c>
      <c r="GW232" s="3">
        <v>1</v>
      </c>
      <c r="GX232" s="3">
        <f t="shared" si="211"/>
        <v>0</v>
      </c>
      <c r="GY232" s="3"/>
      <c r="GZ232" s="3"/>
      <c r="HA232" s="3">
        <v>0</v>
      </c>
      <c r="HB232" s="3">
        <v>0</v>
      </c>
      <c r="HC232" s="3">
        <f t="shared" si="212"/>
        <v>0</v>
      </c>
      <c r="HD232" s="3"/>
      <c r="HE232" s="3" t="s">
        <v>56</v>
      </c>
      <c r="HF232" s="3" t="s">
        <v>36</v>
      </c>
      <c r="HG232" s="3"/>
      <c r="HH232" s="3"/>
      <c r="HI232" s="3"/>
      <c r="HJ232" s="3"/>
      <c r="HK232" s="3"/>
      <c r="HL232" s="3"/>
      <c r="HM232" s="3" t="s">
        <v>3</v>
      </c>
      <c r="HN232" s="3" t="s">
        <v>3</v>
      </c>
      <c r="HO232" s="3" t="s">
        <v>3</v>
      </c>
      <c r="HP232" s="3" t="s">
        <v>3</v>
      </c>
      <c r="HQ232" s="3" t="s">
        <v>3</v>
      </c>
      <c r="HR232" s="3"/>
      <c r="HS232" s="3">
        <v>0</v>
      </c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>
        <v>0</v>
      </c>
      <c r="IL232" s="3"/>
      <c r="IM232" s="3"/>
      <c r="IN232" s="3"/>
      <c r="IO232" s="3"/>
      <c r="IP232" s="3"/>
      <c r="IQ232" s="3"/>
      <c r="IR232" s="3"/>
      <c r="IS232" s="3"/>
      <c r="IT232" s="3"/>
      <c r="IU232" s="3"/>
    </row>
    <row r="233" spans="1:255" x14ac:dyDescent="0.3">
      <c r="A233" s="2">
        <v>17</v>
      </c>
      <c r="B233" s="2">
        <v>1</v>
      </c>
      <c r="C233" s="2"/>
      <c r="D233" s="2">
        <f>ROW(EtalonRes!A115)</f>
        <v>115</v>
      </c>
      <c r="E233" s="2" t="s">
        <v>260</v>
      </c>
      <c r="F233" s="2" t="s">
        <v>261</v>
      </c>
      <c r="G233" s="2" t="s">
        <v>262</v>
      </c>
      <c r="H233" s="2" t="s">
        <v>263</v>
      </c>
      <c r="I233" s="2">
        <f>ROUND(50/100,9)</f>
        <v>0.5</v>
      </c>
      <c r="J233" s="2">
        <v>0</v>
      </c>
      <c r="K233" s="2">
        <f>ROUND(50/100,9)</f>
        <v>0.5</v>
      </c>
      <c r="L233" s="2"/>
      <c r="M233" s="2"/>
      <c r="N233" s="2"/>
      <c r="O233" s="2">
        <f t="shared" si="181"/>
        <v>368.41</v>
      </c>
      <c r="P233" s="2">
        <f>ROUND((ROUND((AC233*AW233*I233),2)*BC233),2)</f>
        <v>0</v>
      </c>
      <c r="Q233" s="2">
        <f>(ROUND((ROUND((((ET233*1.1))*AV233*I233),2)*BB233),2)+ROUND((ROUND(((AE233-((EU233*1.1)))*AV233*I233),2)*BS233),2))</f>
        <v>0</v>
      </c>
      <c r="R233" s="2">
        <f t="shared" si="183"/>
        <v>0</v>
      </c>
      <c r="S233" s="2">
        <f t="shared" si="184"/>
        <v>368.41</v>
      </c>
      <c r="T233" s="2">
        <f t="shared" si="185"/>
        <v>0</v>
      </c>
      <c r="U233" s="2">
        <f t="shared" si="186"/>
        <v>25.337400000000002</v>
      </c>
      <c r="V233" s="2">
        <f t="shared" si="187"/>
        <v>0</v>
      </c>
      <c r="W233" s="2">
        <f t="shared" si="188"/>
        <v>0</v>
      </c>
      <c r="X233" s="2">
        <f t="shared" si="189"/>
        <v>331.57</v>
      </c>
      <c r="Y233" s="2">
        <f t="shared" si="190"/>
        <v>169.47</v>
      </c>
      <c r="Z233" s="2"/>
      <c r="AA233" s="2">
        <v>56505403</v>
      </c>
      <c r="AB233" s="2">
        <f t="shared" si="191"/>
        <v>703.73599999999999</v>
      </c>
      <c r="AC233" s="2">
        <f t="shared" si="192"/>
        <v>0</v>
      </c>
      <c r="AD233" s="2">
        <f>ROUND(((((ET233*1.1))-((EU233*1.1)))+AE233),6)</f>
        <v>0</v>
      </c>
      <c r="AE233" s="2">
        <f>ROUND(((EU233*1.1)),6)</f>
        <v>0</v>
      </c>
      <c r="AF233" s="2">
        <f>ROUND(((EV233*1.1)),6)</f>
        <v>703.73599999999999</v>
      </c>
      <c r="AG233" s="2">
        <f t="shared" si="193"/>
        <v>0</v>
      </c>
      <c r="AH233" s="2">
        <f>((EW233*1.1))</f>
        <v>48.400000000000006</v>
      </c>
      <c r="AI233" s="2">
        <f>((EX233*1.1))</f>
        <v>0</v>
      </c>
      <c r="AJ233" s="2">
        <f t="shared" si="194"/>
        <v>0</v>
      </c>
      <c r="AK233" s="2">
        <v>639.76</v>
      </c>
      <c r="AL233" s="2">
        <v>0</v>
      </c>
      <c r="AM233" s="2">
        <v>0</v>
      </c>
      <c r="AN233" s="2">
        <v>0</v>
      </c>
      <c r="AO233" s="2">
        <v>639.76</v>
      </c>
      <c r="AP233" s="2">
        <v>0</v>
      </c>
      <c r="AQ233" s="2">
        <v>44</v>
      </c>
      <c r="AR233" s="2">
        <v>0</v>
      </c>
      <c r="AS233" s="2">
        <v>0</v>
      </c>
      <c r="AT233" s="2">
        <v>90</v>
      </c>
      <c r="AU233" s="2">
        <v>46</v>
      </c>
      <c r="AV233" s="2">
        <v>1.0469999999999999</v>
      </c>
      <c r="AW233" s="2">
        <v>1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2</v>
      </c>
      <c r="BJ233" s="2" t="s">
        <v>264</v>
      </c>
      <c r="BK233" s="2"/>
      <c r="BL233" s="2"/>
      <c r="BM233" s="2">
        <v>68</v>
      </c>
      <c r="BN233" s="2">
        <v>0</v>
      </c>
      <c r="BO233" s="2" t="s">
        <v>261</v>
      </c>
      <c r="BP233" s="2">
        <v>1</v>
      </c>
      <c r="BQ233" s="2">
        <v>40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90</v>
      </c>
      <c r="CA233" s="2">
        <v>46</v>
      </c>
      <c r="CB233" s="2" t="s">
        <v>3</v>
      </c>
      <c r="CC233" s="2"/>
      <c r="CD233" s="2"/>
      <c r="CE233" s="2">
        <v>30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</v>
      </c>
      <c r="CO233" s="2">
        <v>0</v>
      </c>
      <c r="CP233" s="2">
        <f t="shared" si="195"/>
        <v>368.41</v>
      </c>
      <c r="CQ233" s="2">
        <f>ROUND((ROUND((AC233*AW233*1),2)*BC233),2)</f>
        <v>0</v>
      </c>
      <c r="CR233" s="2">
        <f>(ROUND((ROUND((((ET233*1.1))*AV233*1),2)*BB233),2)+ROUND((ROUND(((AE233-((EU233*1.1)))*AV233*1),2)*BS233),2))</f>
        <v>0</v>
      </c>
      <c r="CS233" s="2">
        <f t="shared" si="197"/>
        <v>0</v>
      </c>
      <c r="CT233" s="2">
        <f t="shared" si="198"/>
        <v>736.81</v>
      </c>
      <c r="CU233" s="2">
        <f t="shared" si="199"/>
        <v>0</v>
      </c>
      <c r="CV233" s="2">
        <f t="shared" si="200"/>
        <v>50.674800000000005</v>
      </c>
      <c r="CW233" s="2">
        <f t="shared" si="201"/>
        <v>0</v>
      </c>
      <c r="CX233" s="2">
        <f t="shared" si="202"/>
        <v>0</v>
      </c>
      <c r="CY233" s="2">
        <f t="shared" si="203"/>
        <v>331.56900000000002</v>
      </c>
      <c r="CZ233" s="2">
        <f t="shared" si="204"/>
        <v>169.46860000000001</v>
      </c>
      <c r="DA233" s="2"/>
      <c r="DB233" s="2"/>
      <c r="DC233" s="2" t="s">
        <v>3</v>
      </c>
      <c r="DD233" s="2" t="s">
        <v>3</v>
      </c>
      <c r="DE233" s="2" t="s">
        <v>24</v>
      </c>
      <c r="DF233" s="2" t="s">
        <v>24</v>
      </c>
      <c r="DG233" s="2" t="s">
        <v>24</v>
      </c>
      <c r="DH233" s="2" t="s">
        <v>3</v>
      </c>
      <c r="DI233" s="2" t="s">
        <v>24</v>
      </c>
      <c r="DJ233" s="2" t="s">
        <v>24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1013</v>
      </c>
      <c r="DV233" s="2" t="s">
        <v>263</v>
      </c>
      <c r="DW233" s="2" t="s">
        <v>263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58162630</v>
      </c>
      <c r="EF233" s="2">
        <v>40</v>
      </c>
      <c r="EG233" s="2" t="s">
        <v>25</v>
      </c>
      <c r="EH233" s="2">
        <v>0</v>
      </c>
      <c r="EI233" s="2" t="s">
        <v>3</v>
      </c>
      <c r="EJ233" s="2">
        <v>2</v>
      </c>
      <c r="EK233" s="2">
        <v>68</v>
      </c>
      <c r="EL233" s="2" t="s">
        <v>26</v>
      </c>
      <c r="EM233" s="2" t="s">
        <v>27</v>
      </c>
      <c r="EN233" s="2"/>
      <c r="EO233" s="2" t="s">
        <v>28</v>
      </c>
      <c r="EP233" s="2"/>
      <c r="EQ233" s="2">
        <v>0</v>
      </c>
      <c r="ER233" s="2">
        <v>639.76</v>
      </c>
      <c r="ES233" s="2">
        <v>0</v>
      </c>
      <c r="ET233" s="2">
        <v>0</v>
      </c>
      <c r="EU233" s="2">
        <v>0</v>
      </c>
      <c r="EV233" s="2">
        <v>639.76</v>
      </c>
      <c r="EW233" s="2">
        <v>44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0</v>
      </c>
      <c r="FT233" s="2"/>
      <c r="FU233" s="2"/>
      <c r="FV233" s="2"/>
      <c r="FW233" s="2"/>
      <c r="FX233" s="2">
        <v>90</v>
      </c>
      <c r="FY233" s="2">
        <v>46</v>
      </c>
      <c r="FZ233" s="2"/>
      <c r="GA233" s="2" t="s">
        <v>3</v>
      </c>
      <c r="GB233" s="2"/>
      <c r="GC233" s="2"/>
      <c r="GD233" s="2">
        <v>1</v>
      </c>
      <c r="GE233" s="2"/>
      <c r="GF233" s="2">
        <v>1681271066</v>
      </c>
      <c r="GG233" s="2">
        <v>2</v>
      </c>
      <c r="GH233" s="2">
        <v>1</v>
      </c>
      <c r="GI233" s="2">
        <v>2</v>
      </c>
      <c r="GJ233" s="2">
        <v>0</v>
      </c>
      <c r="GK233" s="2">
        <v>0</v>
      </c>
      <c r="GL233" s="2">
        <f t="shared" si="205"/>
        <v>0</v>
      </c>
      <c r="GM233" s="2">
        <f t="shared" si="206"/>
        <v>869.45</v>
      </c>
      <c r="GN233" s="2">
        <f t="shared" si="207"/>
        <v>0</v>
      </c>
      <c r="GO233" s="2">
        <f t="shared" si="208"/>
        <v>869.45</v>
      </c>
      <c r="GP233" s="2">
        <f t="shared" si="209"/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si="210"/>
        <v>0</v>
      </c>
      <c r="GW233" s="2">
        <v>1</v>
      </c>
      <c r="GX233" s="2">
        <f t="shared" si="211"/>
        <v>0</v>
      </c>
      <c r="GY233" s="2"/>
      <c r="GZ233" s="2"/>
      <c r="HA233" s="2">
        <v>0</v>
      </c>
      <c r="HB233" s="2">
        <v>0</v>
      </c>
      <c r="HC233" s="2">
        <f t="shared" si="212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3">
      <c r="A234" s="3">
        <v>17</v>
      </c>
      <c r="B234" s="3">
        <v>1</v>
      </c>
      <c r="C234" s="3"/>
      <c r="D234" s="3">
        <f>ROW(EtalonRes!A116)</f>
        <v>116</v>
      </c>
      <c r="E234" s="3" t="s">
        <v>260</v>
      </c>
      <c r="F234" s="3" t="s">
        <v>261</v>
      </c>
      <c r="G234" s="3" t="s">
        <v>262</v>
      </c>
      <c r="H234" s="3" t="s">
        <v>263</v>
      </c>
      <c r="I234" s="3">
        <f>ROUND(50/100,9)</f>
        <v>0.5</v>
      </c>
      <c r="J234" s="3">
        <v>0</v>
      </c>
      <c r="K234" s="3">
        <f>ROUND(50/100,9)</f>
        <v>0.5</v>
      </c>
      <c r="L234" s="3"/>
      <c r="M234" s="3"/>
      <c r="N234" s="3"/>
      <c r="O234" s="3">
        <f t="shared" si="181"/>
        <v>20258.87</v>
      </c>
      <c r="P234" s="3">
        <f>ROUND((ROUND((AC234*AW234*I234),2)*BC234),2)</f>
        <v>0</v>
      </c>
      <c r="Q234" s="3">
        <f>(ROUND((ROUND((((ET234*1.1))*AV234*I234),2)*BB234),2)+ROUND((ROUND(((AE234-((EU234*1.1)))*AV234*I234),2)*BS234),2))</f>
        <v>0</v>
      </c>
      <c r="R234" s="3">
        <f t="shared" si="183"/>
        <v>0</v>
      </c>
      <c r="S234" s="3">
        <f t="shared" si="184"/>
        <v>20258.87</v>
      </c>
      <c r="T234" s="3">
        <f t="shared" si="185"/>
        <v>0</v>
      </c>
      <c r="U234" s="3">
        <f t="shared" si="186"/>
        <v>25.337400000000002</v>
      </c>
      <c r="V234" s="3">
        <f t="shared" si="187"/>
        <v>0</v>
      </c>
      <c r="W234" s="3">
        <f t="shared" si="188"/>
        <v>0</v>
      </c>
      <c r="X234" s="3">
        <f t="shared" si="189"/>
        <v>18232.98</v>
      </c>
      <c r="Y234" s="3">
        <f t="shared" si="190"/>
        <v>9319.08</v>
      </c>
      <c r="Z234" s="3"/>
      <c r="AA234" s="3">
        <v>56505405</v>
      </c>
      <c r="AB234" s="3">
        <f t="shared" si="191"/>
        <v>703.73599999999999</v>
      </c>
      <c r="AC234" s="3">
        <f t="shared" si="192"/>
        <v>0</v>
      </c>
      <c r="AD234" s="3">
        <f>ROUND(((((ET234*1.1))-((EU234*1.1)))+AE234),6)</f>
        <v>0</v>
      </c>
      <c r="AE234" s="3">
        <f>ROUND(((EU234*1.1)),6)</f>
        <v>0</v>
      </c>
      <c r="AF234" s="3">
        <f>ROUND(((EV234*1.1)),6)</f>
        <v>703.73599999999999</v>
      </c>
      <c r="AG234" s="3">
        <f t="shared" si="193"/>
        <v>0</v>
      </c>
      <c r="AH234" s="3">
        <f>((EW234*1.1))</f>
        <v>48.400000000000006</v>
      </c>
      <c r="AI234" s="3">
        <f>((EX234*1.1))</f>
        <v>0</v>
      </c>
      <c r="AJ234" s="3">
        <f t="shared" si="194"/>
        <v>0</v>
      </c>
      <c r="AK234" s="3">
        <v>639.76</v>
      </c>
      <c r="AL234" s="3">
        <v>0</v>
      </c>
      <c r="AM234" s="3">
        <v>0</v>
      </c>
      <c r="AN234" s="3">
        <v>0</v>
      </c>
      <c r="AO234" s="3">
        <v>639.76</v>
      </c>
      <c r="AP234" s="3">
        <v>0</v>
      </c>
      <c r="AQ234" s="3">
        <v>44</v>
      </c>
      <c r="AR234" s="3">
        <v>0</v>
      </c>
      <c r="AS234" s="3">
        <v>0</v>
      </c>
      <c r="AT234" s="3">
        <v>90</v>
      </c>
      <c r="AU234" s="3">
        <v>46</v>
      </c>
      <c r="AV234" s="3">
        <v>1.0469999999999999</v>
      </c>
      <c r="AW234" s="3">
        <v>1</v>
      </c>
      <c r="AX234" s="3"/>
      <c r="AY234" s="3"/>
      <c r="AZ234" s="3">
        <v>1</v>
      </c>
      <c r="BA234" s="3">
        <v>54.99</v>
      </c>
      <c r="BB234" s="3">
        <v>1</v>
      </c>
      <c r="BC234" s="3">
        <v>1</v>
      </c>
      <c r="BD234" s="3" t="s">
        <v>3</v>
      </c>
      <c r="BE234" s="3" t="s">
        <v>3</v>
      </c>
      <c r="BF234" s="3" t="s">
        <v>3</v>
      </c>
      <c r="BG234" s="3" t="s">
        <v>3</v>
      </c>
      <c r="BH234" s="3">
        <v>0</v>
      </c>
      <c r="BI234" s="3">
        <v>2</v>
      </c>
      <c r="BJ234" s="3" t="s">
        <v>264</v>
      </c>
      <c r="BK234" s="3"/>
      <c r="BL234" s="3"/>
      <c r="BM234" s="3">
        <v>68</v>
      </c>
      <c r="BN234" s="3">
        <v>0</v>
      </c>
      <c r="BO234" s="3" t="s">
        <v>261</v>
      </c>
      <c r="BP234" s="3">
        <v>1</v>
      </c>
      <c r="BQ234" s="3">
        <v>40</v>
      </c>
      <c r="BR234" s="3">
        <v>0</v>
      </c>
      <c r="BS234" s="3">
        <v>54.99</v>
      </c>
      <c r="BT234" s="3">
        <v>1</v>
      </c>
      <c r="BU234" s="3">
        <v>1</v>
      </c>
      <c r="BV234" s="3">
        <v>1</v>
      </c>
      <c r="BW234" s="3">
        <v>1</v>
      </c>
      <c r="BX234" s="3">
        <v>1</v>
      </c>
      <c r="BY234" s="3" t="s">
        <v>3</v>
      </c>
      <c r="BZ234" s="3">
        <v>90</v>
      </c>
      <c r="CA234" s="3">
        <v>46</v>
      </c>
      <c r="CB234" s="3" t="s">
        <v>3</v>
      </c>
      <c r="CC234" s="3"/>
      <c r="CD234" s="3"/>
      <c r="CE234" s="3">
        <v>30</v>
      </c>
      <c r="CF234" s="3">
        <v>0</v>
      </c>
      <c r="CG234" s="3">
        <v>0</v>
      </c>
      <c r="CH234" s="3"/>
      <c r="CI234" s="3"/>
      <c r="CJ234" s="3"/>
      <c r="CK234" s="3"/>
      <c r="CL234" s="3"/>
      <c r="CM234" s="3">
        <v>0</v>
      </c>
      <c r="CN234" s="3" t="s">
        <v>3</v>
      </c>
      <c r="CO234" s="3">
        <v>0</v>
      </c>
      <c r="CP234" s="3">
        <f t="shared" si="195"/>
        <v>20258.87</v>
      </c>
      <c r="CQ234" s="3">
        <f>ROUND((ROUND((AC234*AW234*1),2)*BC234),2)</f>
        <v>0</v>
      </c>
      <c r="CR234" s="3">
        <f>(ROUND((ROUND((((ET234*1.1))*AV234*1),2)*BB234),2)+ROUND((ROUND(((AE234-((EU234*1.1)))*AV234*1),2)*BS234),2))</f>
        <v>0</v>
      </c>
      <c r="CS234" s="3">
        <f t="shared" si="197"/>
        <v>0</v>
      </c>
      <c r="CT234" s="3">
        <f t="shared" si="198"/>
        <v>40517.18</v>
      </c>
      <c r="CU234" s="3">
        <f t="shared" si="199"/>
        <v>0</v>
      </c>
      <c r="CV234" s="3">
        <f t="shared" si="200"/>
        <v>50.674800000000005</v>
      </c>
      <c r="CW234" s="3">
        <f t="shared" si="201"/>
        <v>0</v>
      </c>
      <c r="CX234" s="3">
        <f t="shared" si="202"/>
        <v>0</v>
      </c>
      <c r="CY234" s="3">
        <f t="shared" si="203"/>
        <v>18232.982999999997</v>
      </c>
      <c r="CZ234" s="3">
        <f t="shared" si="204"/>
        <v>9319.0801999999985</v>
      </c>
      <c r="DA234" s="3"/>
      <c r="DB234" s="3"/>
      <c r="DC234" s="3" t="s">
        <v>3</v>
      </c>
      <c r="DD234" s="3" t="s">
        <v>3</v>
      </c>
      <c r="DE234" s="3" t="s">
        <v>24</v>
      </c>
      <c r="DF234" s="3" t="s">
        <v>24</v>
      </c>
      <c r="DG234" s="3" t="s">
        <v>24</v>
      </c>
      <c r="DH234" s="3" t="s">
        <v>3</v>
      </c>
      <c r="DI234" s="3" t="s">
        <v>24</v>
      </c>
      <c r="DJ234" s="3" t="s">
        <v>24</v>
      </c>
      <c r="DK234" s="3" t="s">
        <v>3</v>
      </c>
      <c r="DL234" s="3" t="s">
        <v>3</v>
      </c>
      <c r="DM234" s="3" t="s">
        <v>3</v>
      </c>
      <c r="DN234" s="3">
        <v>0</v>
      </c>
      <c r="DO234" s="3">
        <v>0</v>
      </c>
      <c r="DP234" s="3">
        <v>1</v>
      </c>
      <c r="DQ234" s="3">
        <v>1</v>
      </c>
      <c r="DR234" s="3"/>
      <c r="DS234" s="3"/>
      <c r="DT234" s="3"/>
      <c r="DU234" s="3">
        <v>1013</v>
      </c>
      <c r="DV234" s="3" t="s">
        <v>263</v>
      </c>
      <c r="DW234" s="3" t="s">
        <v>263</v>
      </c>
      <c r="DX234" s="3">
        <v>1</v>
      </c>
      <c r="DY234" s="3"/>
      <c r="DZ234" s="3" t="s">
        <v>3</v>
      </c>
      <c r="EA234" s="3" t="s">
        <v>3</v>
      </c>
      <c r="EB234" s="3" t="s">
        <v>3</v>
      </c>
      <c r="EC234" s="3" t="s">
        <v>3</v>
      </c>
      <c r="ED234" s="3"/>
      <c r="EE234" s="3">
        <v>58162630</v>
      </c>
      <c r="EF234" s="3">
        <v>40</v>
      </c>
      <c r="EG234" s="3" t="s">
        <v>25</v>
      </c>
      <c r="EH234" s="3">
        <v>0</v>
      </c>
      <c r="EI234" s="3" t="s">
        <v>3</v>
      </c>
      <c r="EJ234" s="3">
        <v>2</v>
      </c>
      <c r="EK234" s="3">
        <v>68</v>
      </c>
      <c r="EL234" s="3" t="s">
        <v>26</v>
      </c>
      <c r="EM234" s="3" t="s">
        <v>27</v>
      </c>
      <c r="EN234" s="3"/>
      <c r="EO234" s="3" t="s">
        <v>28</v>
      </c>
      <c r="EP234" s="3"/>
      <c r="EQ234" s="3">
        <v>0</v>
      </c>
      <c r="ER234" s="3">
        <v>639.76</v>
      </c>
      <c r="ES234" s="3">
        <v>0</v>
      </c>
      <c r="ET234" s="3">
        <v>0</v>
      </c>
      <c r="EU234" s="3">
        <v>0</v>
      </c>
      <c r="EV234" s="3">
        <v>639.76</v>
      </c>
      <c r="EW234" s="3">
        <v>44</v>
      </c>
      <c r="EX234" s="3">
        <v>0</v>
      </c>
      <c r="EY234" s="3">
        <v>0</v>
      </c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>
        <v>0</v>
      </c>
      <c r="FR234" s="3">
        <v>0</v>
      </c>
      <c r="FS234" s="3">
        <v>0</v>
      </c>
      <c r="FT234" s="3"/>
      <c r="FU234" s="3"/>
      <c r="FV234" s="3"/>
      <c r="FW234" s="3"/>
      <c r="FX234" s="3">
        <v>90</v>
      </c>
      <c r="FY234" s="3">
        <v>46</v>
      </c>
      <c r="FZ234" s="3"/>
      <c r="GA234" s="3" t="s">
        <v>3</v>
      </c>
      <c r="GB234" s="3"/>
      <c r="GC234" s="3"/>
      <c r="GD234" s="3">
        <v>1</v>
      </c>
      <c r="GE234" s="3"/>
      <c r="GF234" s="3">
        <v>1681271066</v>
      </c>
      <c r="GG234" s="3">
        <v>2</v>
      </c>
      <c r="GH234" s="3">
        <v>1</v>
      </c>
      <c r="GI234" s="3">
        <v>2</v>
      </c>
      <c r="GJ234" s="3">
        <v>0</v>
      </c>
      <c r="GK234" s="3">
        <v>0</v>
      </c>
      <c r="GL234" s="3">
        <f t="shared" si="205"/>
        <v>0</v>
      </c>
      <c r="GM234" s="3">
        <f t="shared" si="206"/>
        <v>47810.93</v>
      </c>
      <c r="GN234" s="3">
        <f t="shared" si="207"/>
        <v>0</v>
      </c>
      <c r="GO234" s="3">
        <f t="shared" si="208"/>
        <v>47810.93</v>
      </c>
      <c r="GP234" s="3">
        <f t="shared" si="209"/>
        <v>0</v>
      </c>
      <c r="GQ234" s="3"/>
      <c r="GR234" s="3">
        <v>0</v>
      </c>
      <c r="GS234" s="3">
        <v>3</v>
      </c>
      <c r="GT234" s="3">
        <v>0</v>
      </c>
      <c r="GU234" s="3" t="s">
        <v>3</v>
      </c>
      <c r="GV234" s="3">
        <f t="shared" si="210"/>
        <v>0</v>
      </c>
      <c r="GW234" s="3">
        <v>1</v>
      </c>
      <c r="GX234" s="3">
        <f t="shared" si="211"/>
        <v>0</v>
      </c>
      <c r="GY234" s="3"/>
      <c r="GZ234" s="3"/>
      <c r="HA234" s="3">
        <v>0</v>
      </c>
      <c r="HB234" s="3">
        <v>0</v>
      </c>
      <c r="HC234" s="3">
        <f t="shared" si="212"/>
        <v>0</v>
      </c>
      <c r="HD234" s="3"/>
      <c r="HE234" s="3" t="s">
        <v>3</v>
      </c>
      <c r="HF234" s="3" t="s">
        <v>3</v>
      </c>
      <c r="HG234" s="3"/>
      <c r="HH234" s="3"/>
      <c r="HI234" s="3"/>
      <c r="HJ234" s="3"/>
      <c r="HK234" s="3"/>
      <c r="HL234" s="3"/>
      <c r="HM234" s="3" t="s">
        <v>3</v>
      </c>
      <c r="HN234" s="3" t="s">
        <v>3</v>
      </c>
      <c r="HO234" s="3" t="s">
        <v>3</v>
      </c>
      <c r="HP234" s="3" t="s">
        <v>3</v>
      </c>
      <c r="HQ234" s="3" t="s">
        <v>3</v>
      </c>
      <c r="HR234" s="3"/>
      <c r="HS234" s="3">
        <v>0</v>
      </c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>
        <v>0</v>
      </c>
      <c r="IL234" s="3"/>
      <c r="IM234" s="3"/>
      <c r="IN234" s="3"/>
      <c r="IO234" s="3"/>
      <c r="IP234" s="3"/>
      <c r="IQ234" s="3"/>
      <c r="IR234" s="3"/>
      <c r="IS234" s="3"/>
      <c r="IT234" s="3"/>
      <c r="IU234" s="3"/>
    </row>
    <row r="235" spans="1:255" x14ac:dyDescent="0.3">
      <c r="A235" s="2">
        <v>18</v>
      </c>
      <c r="B235" s="2">
        <v>1</v>
      </c>
      <c r="C235" s="2"/>
      <c r="D235" s="2"/>
      <c r="E235" s="2" t="s">
        <v>265</v>
      </c>
      <c r="F235" s="2" t="s">
        <v>266</v>
      </c>
      <c r="G235" s="2" t="s">
        <v>267</v>
      </c>
      <c r="H235" s="2" t="s">
        <v>32</v>
      </c>
      <c r="I235" s="2">
        <f>I233*J235</f>
        <v>1</v>
      </c>
      <c r="J235" s="2">
        <v>2</v>
      </c>
      <c r="K235" s="2">
        <v>2</v>
      </c>
      <c r="L235" s="2"/>
      <c r="M235" s="2"/>
      <c r="N235" s="2"/>
      <c r="O235" s="2">
        <f t="shared" si="181"/>
        <v>8276.9699999999993</v>
      </c>
      <c r="P235" s="2">
        <f>ROUND((ROUND((AC235*I235),2)*BC235),2)</f>
        <v>8276.9699999999993</v>
      </c>
      <c r="Q235" s="2">
        <f>(ROUND((ROUND(((ET235)*AV235*I235),2)*BB235),2)+ROUND((ROUND(((AE235-(EU235))*AV235*I235),2)*BS235),2))</f>
        <v>0</v>
      </c>
      <c r="R235" s="2">
        <f t="shared" si="183"/>
        <v>0</v>
      </c>
      <c r="S235" s="2">
        <f t="shared" si="184"/>
        <v>0</v>
      </c>
      <c r="T235" s="2">
        <f t="shared" si="185"/>
        <v>0</v>
      </c>
      <c r="U235" s="2">
        <f t="shared" si="186"/>
        <v>0</v>
      </c>
      <c r="V235" s="2">
        <f t="shared" si="187"/>
        <v>0</v>
      </c>
      <c r="W235" s="2">
        <f t="shared" si="188"/>
        <v>0</v>
      </c>
      <c r="X235" s="2">
        <f t="shared" si="189"/>
        <v>0</v>
      </c>
      <c r="Y235" s="2">
        <f t="shared" si="190"/>
        <v>0</v>
      </c>
      <c r="Z235" s="2"/>
      <c r="AA235" s="2">
        <v>56505403</v>
      </c>
      <c r="AB235" s="2">
        <f t="shared" si="191"/>
        <v>8276.9699999999993</v>
      </c>
      <c r="AC235" s="2">
        <f t="shared" si="192"/>
        <v>8276.9699999999993</v>
      </c>
      <c r="AD235" s="2">
        <f>ROUND((((ET235)-(EU235))+AE235),6)</f>
        <v>0</v>
      </c>
      <c r="AE235" s="2">
        <f>ROUND((EU235),6)</f>
        <v>0</v>
      </c>
      <c r="AF235" s="2">
        <f>ROUND((EV235),6)</f>
        <v>0</v>
      </c>
      <c r="AG235" s="2">
        <f t="shared" si="193"/>
        <v>0</v>
      </c>
      <c r="AH235" s="2">
        <f>(EW235)</f>
        <v>0</v>
      </c>
      <c r="AI235" s="2">
        <f>(EX235)</f>
        <v>0</v>
      </c>
      <c r="AJ235" s="2">
        <f t="shared" si="194"/>
        <v>0</v>
      </c>
      <c r="AK235" s="2">
        <v>8276.9700000000012</v>
      </c>
      <c r="AL235" s="2">
        <v>8276.9700000000012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1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3</v>
      </c>
      <c r="BJ235" s="2" t="s">
        <v>3</v>
      </c>
      <c r="BK235" s="2"/>
      <c r="BL235" s="2"/>
      <c r="BM235" s="2">
        <v>746</v>
      </c>
      <c r="BN235" s="2">
        <v>0</v>
      </c>
      <c r="BO235" s="2" t="s">
        <v>3</v>
      </c>
      <c r="BP235" s="2">
        <v>0</v>
      </c>
      <c r="BQ235" s="2">
        <v>130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90</v>
      </c>
      <c r="CA235" s="2">
        <v>46</v>
      </c>
      <c r="CB235" s="2" t="s">
        <v>3</v>
      </c>
      <c r="CC235" s="2"/>
      <c r="CD235" s="2"/>
      <c r="CE235" s="2">
        <v>30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195"/>
        <v>8276.9699999999993</v>
      </c>
      <c r="CQ235" s="2">
        <f>ROUND((ROUND((AC235*1),2)*BC235),2)</f>
        <v>8276.9699999999993</v>
      </c>
      <c r="CR235" s="2">
        <f>(ROUND((ROUND(((ET235)*AV235*1),2)*BB235),2)+ROUND((ROUND(((AE235-(EU235))*AV235*1),2)*BS235),2))</f>
        <v>0</v>
      </c>
      <c r="CS235" s="2">
        <f t="shared" si="197"/>
        <v>0</v>
      </c>
      <c r="CT235" s="2">
        <f t="shared" si="198"/>
        <v>0</v>
      </c>
      <c r="CU235" s="2">
        <f t="shared" si="199"/>
        <v>0</v>
      </c>
      <c r="CV235" s="2">
        <f t="shared" si="200"/>
        <v>0</v>
      </c>
      <c r="CW235" s="2">
        <f t="shared" si="201"/>
        <v>0</v>
      </c>
      <c r="CX235" s="2">
        <f t="shared" si="202"/>
        <v>0</v>
      </c>
      <c r="CY235" s="2">
        <f t="shared" si="203"/>
        <v>0</v>
      </c>
      <c r="CZ235" s="2">
        <f t="shared" si="204"/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1010</v>
      </c>
      <c r="DV235" s="2" t="s">
        <v>32</v>
      </c>
      <c r="DW235" s="2" t="s">
        <v>32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58162750</v>
      </c>
      <c r="EF235" s="2">
        <v>130</v>
      </c>
      <c r="EG235" s="2" t="s">
        <v>52</v>
      </c>
      <c r="EH235" s="2">
        <v>0</v>
      </c>
      <c r="EI235" s="2" t="s">
        <v>3</v>
      </c>
      <c r="EJ235" s="2">
        <v>3</v>
      </c>
      <c r="EK235" s="2">
        <v>746</v>
      </c>
      <c r="EL235" s="2" t="s">
        <v>53</v>
      </c>
      <c r="EM235" s="2" t="s">
        <v>54</v>
      </c>
      <c r="EN235" s="2"/>
      <c r="EO235" s="2" t="s">
        <v>3</v>
      </c>
      <c r="EP235" s="2"/>
      <c r="EQ235" s="2">
        <v>0</v>
      </c>
      <c r="ER235" s="2">
        <v>0</v>
      </c>
      <c r="ES235" s="2">
        <v>8276.9700000000012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f>P235</f>
        <v>8276.9699999999993</v>
      </c>
      <c r="FS235" s="2">
        <v>0</v>
      </c>
      <c r="FT235" s="2"/>
      <c r="FU235" s="2"/>
      <c r="FV235" s="2"/>
      <c r="FW235" s="2"/>
      <c r="FX235" s="2">
        <v>90</v>
      </c>
      <c r="FY235" s="2">
        <v>46</v>
      </c>
      <c r="FZ235" s="2"/>
      <c r="GA235" s="2" t="s">
        <v>268</v>
      </c>
      <c r="GB235" s="2"/>
      <c r="GC235" s="2"/>
      <c r="GD235" s="2">
        <v>1</v>
      </c>
      <c r="GE235" s="2"/>
      <c r="GF235" s="2">
        <v>99958626</v>
      </c>
      <c r="GG235" s="2">
        <v>2</v>
      </c>
      <c r="GH235" s="2">
        <v>4</v>
      </c>
      <c r="GI235" s="2">
        <v>-2</v>
      </c>
      <c r="GJ235" s="2">
        <v>0</v>
      </c>
      <c r="GK235" s="2">
        <v>0</v>
      </c>
      <c r="GL235" s="2">
        <f t="shared" si="205"/>
        <v>0</v>
      </c>
      <c r="GM235" s="2">
        <f t="shared" si="206"/>
        <v>8276.9699999999993</v>
      </c>
      <c r="GN235" s="2">
        <f t="shared" si="207"/>
        <v>0</v>
      </c>
      <c r="GO235" s="2">
        <f t="shared" si="208"/>
        <v>0</v>
      </c>
      <c r="GP235" s="2">
        <f t="shared" si="209"/>
        <v>0</v>
      </c>
      <c r="GQ235" s="2"/>
      <c r="GR235" s="2">
        <v>0</v>
      </c>
      <c r="GS235" s="2">
        <v>2</v>
      </c>
      <c r="GT235" s="2">
        <v>0</v>
      </c>
      <c r="GU235" s="2" t="s">
        <v>3</v>
      </c>
      <c r="GV235" s="2">
        <f t="shared" si="210"/>
        <v>0</v>
      </c>
      <c r="GW235" s="2">
        <v>1</v>
      </c>
      <c r="GX235" s="2">
        <f t="shared" si="211"/>
        <v>0</v>
      </c>
      <c r="GY235" s="2"/>
      <c r="GZ235" s="2"/>
      <c r="HA235" s="2">
        <v>0</v>
      </c>
      <c r="HB235" s="2">
        <v>0</v>
      </c>
      <c r="HC235" s="2">
        <f t="shared" si="212"/>
        <v>0</v>
      </c>
      <c r="HD235" s="2"/>
      <c r="HE235" s="2" t="s">
        <v>56</v>
      </c>
      <c r="HF235" s="2" t="s">
        <v>36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3">
      <c r="A236" s="3">
        <v>18</v>
      </c>
      <c r="B236" s="3">
        <v>1</v>
      </c>
      <c r="C236" s="3"/>
      <c r="D236" s="3"/>
      <c r="E236" s="3" t="s">
        <v>265</v>
      </c>
      <c r="F236" s="3" t="s">
        <v>266</v>
      </c>
      <c r="G236" s="3" t="s">
        <v>267</v>
      </c>
      <c r="H236" s="3" t="s">
        <v>32</v>
      </c>
      <c r="I236" s="3">
        <f>I234*J236</f>
        <v>1</v>
      </c>
      <c r="J236" s="3">
        <v>2</v>
      </c>
      <c r="K236" s="3">
        <v>2</v>
      </c>
      <c r="L236" s="3"/>
      <c r="M236" s="3"/>
      <c r="N236" s="3"/>
      <c r="O236" s="3">
        <f t="shared" si="181"/>
        <v>63401.59</v>
      </c>
      <c r="P236" s="3">
        <f>ROUND((ROUND((AC236*I236),2)*BC236),2)</f>
        <v>63401.59</v>
      </c>
      <c r="Q236" s="3">
        <f>(ROUND((ROUND(((ET236)*AV236*I236),2)*BB236),2)+ROUND((ROUND(((AE236-(EU236))*AV236*I236),2)*BS236),2))</f>
        <v>0</v>
      </c>
      <c r="R236" s="3">
        <f t="shared" si="183"/>
        <v>0</v>
      </c>
      <c r="S236" s="3">
        <f t="shared" si="184"/>
        <v>0</v>
      </c>
      <c r="T236" s="3">
        <f t="shared" si="185"/>
        <v>0</v>
      </c>
      <c r="U236" s="3">
        <f t="shared" si="186"/>
        <v>0</v>
      </c>
      <c r="V236" s="3">
        <f t="shared" si="187"/>
        <v>0</v>
      </c>
      <c r="W236" s="3">
        <f t="shared" si="188"/>
        <v>0</v>
      </c>
      <c r="X236" s="3">
        <f t="shared" si="189"/>
        <v>0</v>
      </c>
      <c r="Y236" s="3">
        <f t="shared" si="190"/>
        <v>0</v>
      </c>
      <c r="Z236" s="3"/>
      <c r="AA236" s="3">
        <v>56505405</v>
      </c>
      <c r="AB236" s="3">
        <f t="shared" si="191"/>
        <v>8276.9699999999993</v>
      </c>
      <c r="AC236" s="3">
        <f t="shared" si="192"/>
        <v>8276.9699999999993</v>
      </c>
      <c r="AD236" s="3">
        <f>ROUND((((ET236)-(EU236))+AE236),6)</f>
        <v>0</v>
      </c>
      <c r="AE236" s="3">
        <f>ROUND((EU236),6)</f>
        <v>0</v>
      </c>
      <c r="AF236" s="3">
        <f>ROUND((EV236),6)</f>
        <v>0</v>
      </c>
      <c r="AG236" s="3">
        <f t="shared" si="193"/>
        <v>0</v>
      </c>
      <c r="AH236" s="3">
        <f>(EW236)</f>
        <v>0</v>
      </c>
      <c r="AI236" s="3">
        <f>(EX236)</f>
        <v>0</v>
      </c>
      <c r="AJ236" s="3">
        <f t="shared" si="194"/>
        <v>0</v>
      </c>
      <c r="AK236" s="3">
        <v>8276.9700000000012</v>
      </c>
      <c r="AL236" s="3">
        <v>8276.9700000000012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1</v>
      </c>
      <c r="AW236" s="3">
        <v>1</v>
      </c>
      <c r="AX236" s="3"/>
      <c r="AY236" s="3"/>
      <c r="AZ236" s="3">
        <v>1</v>
      </c>
      <c r="BA236" s="3">
        <v>1</v>
      </c>
      <c r="BB236" s="3">
        <v>1</v>
      </c>
      <c r="BC236" s="3">
        <v>7.66</v>
      </c>
      <c r="BD236" s="3" t="s">
        <v>3</v>
      </c>
      <c r="BE236" s="3" t="s">
        <v>3</v>
      </c>
      <c r="BF236" s="3" t="s">
        <v>3</v>
      </c>
      <c r="BG236" s="3" t="s">
        <v>3</v>
      </c>
      <c r="BH236" s="3">
        <v>3</v>
      </c>
      <c r="BI236" s="3">
        <v>3</v>
      </c>
      <c r="BJ236" s="3" t="s">
        <v>3</v>
      </c>
      <c r="BK236" s="3"/>
      <c r="BL236" s="3"/>
      <c r="BM236" s="3">
        <v>746</v>
      </c>
      <c r="BN236" s="3">
        <v>0</v>
      </c>
      <c r="BO236" s="3" t="s">
        <v>3</v>
      </c>
      <c r="BP236" s="3">
        <v>0</v>
      </c>
      <c r="BQ236" s="3">
        <v>130</v>
      </c>
      <c r="BR236" s="3">
        <v>0</v>
      </c>
      <c r="BS236" s="3">
        <v>1</v>
      </c>
      <c r="BT236" s="3">
        <v>1</v>
      </c>
      <c r="BU236" s="3">
        <v>1</v>
      </c>
      <c r="BV236" s="3">
        <v>1</v>
      </c>
      <c r="BW236" s="3">
        <v>1</v>
      </c>
      <c r="BX236" s="3">
        <v>1</v>
      </c>
      <c r="BY236" s="3" t="s">
        <v>3</v>
      </c>
      <c r="BZ236" s="3">
        <v>90</v>
      </c>
      <c r="CA236" s="3">
        <v>46</v>
      </c>
      <c r="CB236" s="3" t="s">
        <v>3</v>
      </c>
      <c r="CC236" s="3"/>
      <c r="CD236" s="3"/>
      <c r="CE236" s="3">
        <v>30</v>
      </c>
      <c r="CF236" s="3">
        <v>0</v>
      </c>
      <c r="CG236" s="3">
        <v>0</v>
      </c>
      <c r="CH236" s="3"/>
      <c r="CI236" s="3"/>
      <c r="CJ236" s="3"/>
      <c r="CK236" s="3"/>
      <c r="CL236" s="3"/>
      <c r="CM236" s="3">
        <v>0</v>
      </c>
      <c r="CN236" s="3" t="s">
        <v>3</v>
      </c>
      <c r="CO236" s="3">
        <v>0</v>
      </c>
      <c r="CP236" s="3">
        <f t="shared" si="195"/>
        <v>63401.59</v>
      </c>
      <c r="CQ236" s="3">
        <f>ROUND((ROUND((AC236*1),2)*BC236),2)</f>
        <v>63401.59</v>
      </c>
      <c r="CR236" s="3">
        <f>(ROUND((ROUND(((ET236)*AV236*1),2)*BB236),2)+ROUND((ROUND(((AE236-(EU236))*AV236*1),2)*BS236),2))</f>
        <v>0</v>
      </c>
      <c r="CS236" s="3">
        <f t="shared" si="197"/>
        <v>0</v>
      </c>
      <c r="CT236" s="3">
        <f t="shared" si="198"/>
        <v>0</v>
      </c>
      <c r="CU236" s="3">
        <f t="shared" si="199"/>
        <v>0</v>
      </c>
      <c r="CV236" s="3">
        <f t="shared" si="200"/>
        <v>0</v>
      </c>
      <c r="CW236" s="3">
        <f t="shared" si="201"/>
        <v>0</v>
      </c>
      <c r="CX236" s="3">
        <f t="shared" si="202"/>
        <v>0</v>
      </c>
      <c r="CY236" s="3">
        <f t="shared" si="203"/>
        <v>0</v>
      </c>
      <c r="CZ236" s="3">
        <f t="shared" si="204"/>
        <v>0</v>
      </c>
      <c r="DA236" s="3"/>
      <c r="DB236" s="3"/>
      <c r="DC236" s="3" t="s">
        <v>3</v>
      </c>
      <c r="DD236" s="3" t="s">
        <v>3</v>
      </c>
      <c r="DE236" s="3" t="s">
        <v>3</v>
      </c>
      <c r="DF236" s="3" t="s">
        <v>3</v>
      </c>
      <c r="DG236" s="3" t="s">
        <v>3</v>
      </c>
      <c r="DH236" s="3" t="s">
        <v>3</v>
      </c>
      <c r="DI236" s="3" t="s">
        <v>3</v>
      </c>
      <c r="DJ236" s="3" t="s">
        <v>3</v>
      </c>
      <c r="DK236" s="3" t="s">
        <v>3</v>
      </c>
      <c r="DL236" s="3" t="s">
        <v>3</v>
      </c>
      <c r="DM236" s="3" t="s">
        <v>3</v>
      </c>
      <c r="DN236" s="3">
        <v>0</v>
      </c>
      <c r="DO236" s="3">
        <v>0</v>
      </c>
      <c r="DP236" s="3">
        <v>1</v>
      </c>
      <c r="DQ236" s="3">
        <v>1</v>
      </c>
      <c r="DR236" s="3"/>
      <c r="DS236" s="3"/>
      <c r="DT236" s="3"/>
      <c r="DU236" s="3">
        <v>1010</v>
      </c>
      <c r="DV236" s="3" t="s">
        <v>32</v>
      </c>
      <c r="DW236" s="3" t="s">
        <v>32</v>
      </c>
      <c r="DX236" s="3">
        <v>1</v>
      </c>
      <c r="DY236" s="3"/>
      <c r="DZ236" s="3" t="s">
        <v>3</v>
      </c>
      <c r="EA236" s="3" t="s">
        <v>3</v>
      </c>
      <c r="EB236" s="3" t="s">
        <v>3</v>
      </c>
      <c r="EC236" s="3" t="s">
        <v>3</v>
      </c>
      <c r="ED236" s="3"/>
      <c r="EE236" s="3">
        <v>58162750</v>
      </c>
      <c r="EF236" s="3">
        <v>130</v>
      </c>
      <c r="EG236" s="3" t="s">
        <v>52</v>
      </c>
      <c r="EH236" s="3">
        <v>0</v>
      </c>
      <c r="EI236" s="3" t="s">
        <v>3</v>
      </c>
      <c r="EJ236" s="3">
        <v>3</v>
      </c>
      <c r="EK236" s="3">
        <v>746</v>
      </c>
      <c r="EL236" s="3" t="s">
        <v>53</v>
      </c>
      <c r="EM236" s="3" t="s">
        <v>54</v>
      </c>
      <c r="EN236" s="3"/>
      <c r="EO236" s="3" t="s">
        <v>3</v>
      </c>
      <c r="EP236" s="3"/>
      <c r="EQ236" s="3">
        <v>0</v>
      </c>
      <c r="ER236" s="3">
        <v>8276.9700000000012</v>
      </c>
      <c r="ES236" s="3">
        <v>8276.9700000000012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/>
      <c r="EZ236" s="3">
        <v>5</v>
      </c>
      <c r="FA236" s="3"/>
      <c r="FB236" s="3"/>
      <c r="FC236" s="3">
        <v>1</v>
      </c>
      <c r="FD236" s="3">
        <v>18</v>
      </c>
      <c r="FE236" s="3"/>
      <c r="FF236" s="3">
        <v>72990</v>
      </c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>
        <v>0</v>
      </c>
      <c r="FR236" s="3">
        <f>P236</f>
        <v>63401.59</v>
      </c>
      <c r="FS236" s="3">
        <v>0</v>
      </c>
      <c r="FT236" s="3"/>
      <c r="FU236" s="3"/>
      <c r="FV236" s="3"/>
      <c r="FW236" s="3"/>
      <c r="FX236" s="3">
        <v>90</v>
      </c>
      <c r="FY236" s="3">
        <v>46</v>
      </c>
      <c r="FZ236" s="3"/>
      <c r="GA236" s="3" t="s">
        <v>268</v>
      </c>
      <c r="GB236" s="3"/>
      <c r="GC236" s="3"/>
      <c r="GD236" s="3">
        <v>1</v>
      </c>
      <c r="GE236" s="3"/>
      <c r="GF236" s="3">
        <v>99958626</v>
      </c>
      <c r="GG236" s="3">
        <v>2</v>
      </c>
      <c r="GH236" s="3">
        <v>3</v>
      </c>
      <c r="GI236" s="3">
        <v>5</v>
      </c>
      <c r="GJ236" s="3">
        <v>0</v>
      </c>
      <c r="GK236" s="3">
        <v>0</v>
      </c>
      <c r="GL236" s="3">
        <f t="shared" si="205"/>
        <v>0</v>
      </c>
      <c r="GM236" s="3">
        <f t="shared" si="206"/>
        <v>63401.59</v>
      </c>
      <c r="GN236" s="3">
        <f t="shared" si="207"/>
        <v>0</v>
      </c>
      <c r="GO236" s="3">
        <f t="shared" si="208"/>
        <v>0</v>
      </c>
      <c r="GP236" s="3">
        <f t="shared" si="209"/>
        <v>0</v>
      </c>
      <c r="GQ236" s="3"/>
      <c r="GR236" s="3">
        <v>1</v>
      </c>
      <c r="GS236" s="3">
        <v>1</v>
      </c>
      <c r="GT236" s="3">
        <v>0</v>
      </c>
      <c r="GU236" s="3" t="s">
        <v>3</v>
      </c>
      <c r="GV236" s="3">
        <f t="shared" si="210"/>
        <v>0</v>
      </c>
      <c r="GW236" s="3">
        <v>1</v>
      </c>
      <c r="GX236" s="3">
        <f t="shared" si="211"/>
        <v>0</v>
      </c>
      <c r="GY236" s="3"/>
      <c r="GZ236" s="3"/>
      <c r="HA236" s="3">
        <v>0</v>
      </c>
      <c r="HB236" s="3">
        <v>0</v>
      </c>
      <c r="HC236" s="3">
        <f t="shared" si="212"/>
        <v>0</v>
      </c>
      <c r="HD236" s="3"/>
      <c r="HE236" s="3" t="s">
        <v>56</v>
      </c>
      <c r="HF236" s="3" t="s">
        <v>36</v>
      </c>
      <c r="HG236" s="3"/>
      <c r="HH236" s="3"/>
      <c r="HI236" s="3"/>
      <c r="HJ236" s="3"/>
      <c r="HK236" s="3"/>
      <c r="HL236" s="3"/>
      <c r="HM236" s="3" t="s">
        <v>3</v>
      </c>
      <c r="HN236" s="3" t="s">
        <v>3</v>
      </c>
      <c r="HO236" s="3" t="s">
        <v>3</v>
      </c>
      <c r="HP236" s="3" t="s">
        <v>3</v>
      </c>
      <c r="HQ236" s="3" t="s">
        <v>3</v>
      </c>
      <c r="HR236" s="3"/>
      <c r="HS236" s="3">
        <v>0</v>
      </c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>
        <v>0</v>
      </c>
      <c r="IL236" s="3"/>
      <c r="IM236" s="3"/>
      <c r="IN236" s="3"/>
      <c r="IO236" s="3"/>
      <c r="IP236" s="3"/>
      <c r="IQ236" s="3"/>
      <c r="IR236" s="3"/>
      <c r="IS236" s="3"/>
      <c r="IT236" s="3"/>
      <c r="IU236" s="3"/>
    </row>
    <row r="237" spans="1:255" x14ac:dyDescent="0.3">
      <c r="A237" s="2">
        <v>17</v>
      </c>
      <c r="B237" s="2">
        <v>1</v>
      </c>
      <c r="C237" s="2"/>
      <c r="D237" s="2">
        <f>ROW(EtalonRes!A126)</f>
        <v>126</v>
      </c>
      <c r="E237" s="2" t="s">
        <v>269</v>
      </c>
      <c r="F237" s="2" t="s">
        <v>270</v>
      </c>
      <c r="G237" s="2" t="s">
        <v>271</v>
      </c>
      <c r="H237" s="2" t="s">
        <v>22</v>
      </c>
      <c r="I237" s="2">
        <v>21</v>
      </c>
      <c r="J237" s="2">
        <v>0</v>
      </c>
      <c r="K237" s="2">
        <v>21</v>
      </c>
      <c r="L237" s="2"/>
      <c r="M237" s="2"/>
      <c r="N237" s="2"/>
      <c r="O237" s="2">
        <f t="shared" si="181"/>
        <v>694.45</v>
      </c>
      <c r="P237" s="2">
        <f>ROUND((ROUND((AC237*AW237*I237),2)*BC237),2)</f>
        <v>474.6</v>
      </c>
      <c r="Q237" s="2">
        <f>(ROUND((ROUND((((ET237*1.1))*AV237*I237),2)*BB237),2)+ROUND((ROUND(((AE237-((EU237*1.1)))*AV237*I237),2)*BS237),2))</f>
        <v>0</v>
      </c>
      <c r="R237" s="2">
        <f t="shared" si="183"/>
        <v>0</v>
      </c>
      <c r="S237" s="2">
        <f t="shared" si="184"/>
        <v>219.85</v>
      </c>
      <c r="T237" s="2">
        <f t="shared" si="185"/>
        <v>0</v>
      </c>
      <c r="U237" s="2">
        <f t="shared" si="186"/>
        <v>17.413703999999999</v>
      </c>
      <c r="V237" s="2">
        <f t="shared" si="187"/>
        <v>0</v>
      </c>
      <c r="W237" s="2">
        <f t="shared" si="188"/>
        <v>0</v>
      </c>
      <c r="X237" s="2">
        <f t="shared" si="189"/>
        <v>197.87</v>
      </c>
      <c r="Y237" s="2">
        <f t="shared" si="190"/>
        <v>101.13</v>
      </c>
      <c r="Z237" s="2"/>
      <c r="AA237" s="2">
        <v>56505403</v>
      </c>
      <c r="AB237" s="2">
        <f t="shared" si="191"/>
        <v>32.598999999999997</v>
      </c>
      <c r="AC237" s="2">
        <f t="shared" si="192"/>
        <v>22.6</v>
      </c>
      <c r="AD237" s="2">
        <f>ROUND(((((ET237*1.1))-((EU237*1.1)))+AE237),6)</f>
        <v>0</v>
      </c>
      <c r="AE237" s="2">
        <f>ROUND(((EU237*1.1)),6)</f>
        <v>0</v>
      </c>
      <c r="AF237" s="2">
        <f>ROUND(((EV237*1.1)),6)</f>
        <v>9.9990000000000006</v>
      </c>
      <c r="AG237" s="2">
        <f t="shared" si="193"/>
        <v>0</v>
      </c>
      <c r="AH237" s="2">
        <f>((EW237*1.1))</f>
        <v>0.79200000000000004</v>
      </c>
      <c r="AI237" s="2">
        <f>((EX237*1.1))</f>
        <v>0</v>
      </c>
      <c r="AJ237" s="2">
        <f t="shared" si="194"/>
        <v>0</v>
      </c>
      <c r="AK237" s="2">
        <v>31.69</v>
      </c>
      <c r="AL237" s="2">
        <v>22.6</v>
      </c>
      <c r="AM237" s="2">
        <v>0</v>
      </c>
      <c r="AN237" s="2">
        <v>0</v>
      </c>
      <c r="AO237" s="2">
        <v>9.09</v>
      </c>
      <c r="AP237" s="2">
        <v>0</v>
      </c>
      <c r="AQ237" s="2">
        <v>0.72</v>
      </c>
      <c r="AR237" s="2">
        <v>0</v>
      </c>
      <c r="AS237" s="2">
        <v>0</v>
      </c>
      <c r="AT237" s="2">
        <v>90</v>
      </c>
      <c r="AU237" s="2">
        <v>46</v>
      </c>
      <c r="AV237" s="2">
        <v>1.0469999999999999</v>
      </c>
      <c r="AW237" s="2">
        <v>1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0</v>
      </c>
      <c r="BI237" s="2">
        <v>2</v>
      </c>
      <c r="BJ237" s="2" t="s">
        <v>272</v>
      </c>
      <c r="BK237" s="2"/>
      <c r="BL237" s="2"/>
      <c r="BM237" s="2">
        <v>68</v>
      </c>
      <c r="BN237" s="2">
        <v>0</v>
      </c>
      <c r="BO237" s="2" t="s">
        <v>270</v>
      </c>
      <c r="BP237" s="2">
        <v>1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90</v>
      </c>
      <c r="CA237" s="2">
        <v>46</v>
      </c>
      <c r="CB237" s="2" t="s">
        <v>3</v>
      </c>
      <c r="CC237" s="2"/>
      <c r="CD237" s="2"/>
      <c r="CE237" s="2">
        <v>30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3</v>
      </c>
      <c r="CO237" s="2">
        <v>0</v>
      </c>
      <c r="CP237" s="2">
        <f t="shared" si="195"/>
        <v>694.45</v>
      </c>
      <c r="CQ237" s="2">
        <f>ROUND((ROUND((AC237*AW237*1),2)*BC237),2)</f>
        <v>22.6</v>
      </c>
      <c r="CR237" s="2">
        <f>(ROUND((ROUND((((ET237*1.1))*AV237*1),2)*BB237),2)+ROUND((ROUND(((AE237-((EU237*1.1)))*AV237*1),2)*BS237),2))</f>
        <v>0</v>
      </c>
      <c r="CS237" s="2">
        <f t="shared" si="197"/>
        <v>0</v>
      </c>
      <c r="CT237" s="2">
        <f t="shared" si="198"/>
        <v>10.47</v>
      </c>
      <c r="CU237" s="2">
        <f t="shared" si="199"/>
        <v>0</v>
      </c>
      <c r="CV237" s="2">
        <f t="shared" si="200"/>
        <v>0.82922399999999996</v>
      </c>
      <c r="CW237" s="2">
        <f t="shared" si="201"/>
        <v>0</v>
      </c>
      <c r="CX237" s="2">
        <f t="shared" si="202"/>
        <v>0</v>
      </c>
      <c r="CY237" s="2">
        <f t="shared" si="203"/>
        <v>197.86500000000001</v>
      </c>
      <c r="CZ237" s="2">
        <f t="shared" si="204"/>
        <v>101.131</v>
      </c>
      <c r="DA237" s="2"/>
      <c r="DB237" s="2"/>
      <c r="DC237" s="2" t="s">
        <v>3</v>
      </c>
      <c r="DD237" s="2" t="s">
        <v>3</v>
      </c>
      <c r="DE237" s="2" t="s">
        <v>24</v>
      </c>
      <c r="DF237" s="2" t="s">
        <v>24</v>
      </c>
      <c r="DG237" s="2" t="s">
        <v>24</v>
      </c>
      <c r="DH237" s="2" t="s">
        <v>3</v>
      </c>
      <c r="DI237" s="2" t="s">
        <v>24</v>
      </c>
      <c r="DJ237" s="2" t="s">
        <v>24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1013</v>
      </c>
      <c r="DV237" s="2" t="s">
        <v>22</v>
      </c>
      <c r="DW237" s="2" t="s">
        <v>22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58162630</v>
      </c>
      <c r="EF237" s="2">
        <v>40</v>
      </c>
      <c r="EG237" s="2" t="s">
        <v>25</v>
      </c>
      <c r="EH237" s="2">
        <v>0</v>
      </c>
      <c r="EI237" s="2" t="s">
        <v>3</v>
      </c>
      <c r="EJ237" s="2">
        <v>2</v>
      </c>
      <c r="EK237" s="2">
        <v>68</v>
      </c>
      <c r="EL237" s="2" t="s">
        <v>26</v>
      </c>
      <c r="EM237" s="2" t="s">
        <v>27</v>
      </c>
      <c r="EN237" s="2"/>
      <c r="EO237" s="2" t="s">
        <v>28</v>
      </c>
      <c r="EP237" s="2"/>
      <c r="EQ237" s="2">
        <v>0</v>
      </c>
      <c r="ER237" s="2">
        <v>31.69</v>
      </c>
      <c r="ES237" s="2">
        <v>22.6</v>
      </c>
      <c r="ET237" s="2">
        <v>0</v>
      </c>
      <c r="EU237" s="2">
        <v>0</v>
      </c>
      <c r="EV237" s="2">
        <v>9.09</v>
      </c>
      <c r="EW237" s="2">
        <v>0.72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90</v>
      </c>
      <c r="FY237" s="2">
        <v>46</v>
      </c>
      <c r="FZ237" s="2"/>
      <c r="GA237" s="2" t="s">
        <v>3</v>
      </c>
      <c r="GB237" s="2"/>
      <c r="GC237" s="2"/>
      <c r="GD237" s="2">
        <v>1</v>
      </c>
      <c r="GE237" s="2"/>
      <c r="GF237" s="2">
        <v>-43243990</v>
      </c>
      <c r="GG237" s="2">
        <v>2</v>
      </c>
      <c r="GH237" s="2">
        <v>1</v>
      </c>
      <c r="GI237" s="2">
        <v>2</v>
      </c>
      <c r="GJ237" s="2">
        <v>0</v>
      </c>
      <c r="GK237" s="2">
        <v>0</v>
      </c>
      <c r="GL237" s="2">
        <f t="shared" si="205"/>
        <v>0</v>
      </c>
      <c r="GM237" s="2">
        <f t="shared" si="206"/>
        <v>993.45</v>
      </c>
      <c r="GN237" s="2">
        <f t="shared" si="207"/>
        <v>0</v>
      </c>
      <c r="GO237" s="2">
        <f t="shared" si="208"/>
        <v>993.45</v>
      </c>
      <c r="GP237" s="2">
        <f t="shared" si="209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210"/>
        <v>0</v>
      </c>
      <c r="GW237" s="2">
        <v>1</v>
      </c>
      <c r="GX237" s="2">
        <f t="shared" si="211"/>
        <v>0</v>
      </c>
      <c r="GY237" s="2"/>
      <c r="GZ237" s="2"/>
      <c r="HA237" s="2">
        <v>0</v>
      </c>
      <c r="HB237" s="2">
        <v>0</v>
      </c>
      <c r="HC237" s="2">
        <f t="shared" si="212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3">
      <c r="A238" s="3">
        <v>17</v>
      </c>
      <c r="B238" s="3">
        <v>1</v>
      </c>
      <c r="C238" s="3"/>
      <c r="D238" s="3">
        <f>ROW(EtalonRes!A136)</f>
        <v>136</v>
      </c>
      <c r="E238" s="3" t="s">
        <v>269</v>
      </c>
      <c r="F238" s="3" t="s">
        <v>270</v>
      </c>
      <c r="G238" s="3" t="s">
        <v>271</v>
      </c>
      <c r="H238" s="3" t="s">
        <v>22</v>
      </c>
      <c r="I238" s="3">
        <v>21</v>
      </c>
      <c r="J238" s="3">
        <v>0</v>
      </c>
      <c r="K238" s="3">
        <v>21</v>
      </c>
      <c r="L238" s="3"/>
      <c r="M238" s="3"/>
      <c r="N238" s="3"/>
      <c r="O238" s="3">
        <f t="shared" si="181"/>
        <v>14239.49</v>
      </c>
      <c r="P238" s="3">
        <f>ROUND((ROUND((AC238*AW238*I238),2)*BC238),2)</f>
        <v>2149.94</v>
      </c>
      <c r="Q238" s="3">
        <f>(ROUND((ROUND((((ET238*1.1))*AV238*I238),2)*BB238),2)+ROUND((ROUND(((AE238-((EU238*1.1)))*AV238*I238),2)*BS238),2))</f>
        <v>0</v>
      </c>
      <c r="R238" s="3">
        <f t="shared" si="183"/>
        <v>0</v>
      </c>
      <c r="S238" s="3">
        <f t="shared" si="184"/>
        <v>12089.55</v>
      </c>
      <c r="T238" s="3">
        <f t="shared" si="185"/>
        <v>0</v>
      </c>
      <c r="U238" s="3">
        <f t="shared" si="186"/>
        <v>17.413703999999999</v>
      </c>
      <c r="V238" s="3">
        <f t="shared" si="187"/>
        <v>0</v>
      </c>
      <c r="W238" s="3">
        <f t="shared" si="188"/>
        <v>0</v>
      </c>
      <c r="X238" s="3">
        <f t="shared" si="189"/>
        <v>10880.6</v>
      </c>
      <c r="Y238" s="3">
        <f t="shared" si="190"/>
        <v>5561.19</v>
      </c>
      <c r="Z238" s="3"/>
      <c r="AA238" s="3">
        <v>56505405</v>
      </c>
      <c r="AB238" s="3">
        <f t="shared" si="191"/>
        <v>32.598999999999997</v>
      </c>
      <c r="AC238" s="3">
        <f t="shared" si="192"/>
        <v>22.6</v>
      </c>
      <c r="AD238" s="3">
        <f>ROUND(((((ET238*1.1))-((EU238*1.1)))+AE238),6)</f>
        <v>0</v>
      </c>
      <c r="AE238" s="3">
        <f>ROUND(((EU238*1.1)),6)</f>
        <v>0</v>
      </c>
      <c r="AF238" s="3">
        <f>ROUND(((EV238*1.1)),6)</f>
        <v>9.9990000000000006</v>
      </c>
      <c r="AG238" s="3">
        <f t="shared" si="193"/>
        <v>0</v>
      </c>
      <c r="AH238" s="3">
        <f>((EW238*1.1))</f>
        <v>0.79200000000000004</v>
      </c>
      <c r="AI238" s="3">
        <f>((EX238*1.1))</f>
        <v>0</v>
      </c>
      <c r="AJ238" s="3">
        <f t="shared" si="194"/>
        <v>0</v>
      </c>
      <c r="AK238" s="3">
        <v>31.69</v>
      </c>
      <c r="AL238" s="3">
        <v>22.6</v>
      </c>
      <c r="AM238" s="3">
        <v>0</v>
      </c>
      <c r="AN238" s="3">
        <v>0</v>
      </c>
      <c r="AO238" s="3">
        <v>9.09</v>
      </c>
      <c r="AP238" s="3">
        <v>0</v>
      </c>
      <c r="AQ238" s="3">
        <v>0.72</v>
      </c>
      <c r="AR238" s="3">
        <v>0</v>
      </c>
      <c r="AS238" s="3">
        <v>0</v>
      </c>
      <c r="AT238" s="3">
        <v>90</v>
      </c>
      <c r="AU238" s="3">
        <v>46</v>
      </c>
      <c r="AV238" s="3">
        <v>1.0469999999999999</v>
      </c>
      <c r="AW238" s="3">
        <v>1</v>
      </c>
      <c r="AX238" s="3"/>
      <c r="AY238" s="3"/>
      <c r="AZ238" s="3">
        <v>1</v>
      </c>
      <c r="BA238" s="3">
        <v>54.99</v>
      </c>
      <c r="BB238" s="3">
        <v>1</v>
      </c>
      <c r="BC238" s="3">
        <v>4.53</v>
      </c>
      <c r="BD238" s="3" t="s">
        <v>3</v>
      </c>
      <c r="BE238" s="3" t="s">
        <v>3</v>
      </c>
      <c r="BF238" s="3" t="s">
        <v>3</v>
      </c>
      <c r="BG238" s="3" t="s">
        <v>3</v>
      </c>
      <c r="BH238" s="3">
        <v>0</v>
      </c>
      <c r="BI238" s="3">
        <v>2</v>
      </c>
      <c r="BJ238" s="3" t="s">
        <v>272</v>
      </c>
      <c r="BK238" s="3"/>
      <c r="BL238" s="3"/>
      <c r="BM238" s="3">
        <v>68</v>
      </c>
      <c r="BN238" s="3">
        <v>0</v>
      </c>
      <c r="BO238" s="3" t="s">
        <v>270</v>
      </c>
      <c r="BP238" s="3">
        <v>1</v>
      </c>
      <c r="BQ238" s="3">
        <v>40</v>
      </c>
      <c r="BR238" s="3">
        <v>0</v>
      </c>
      <c r="BS238" s="3">
        <v>54.99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 t="s">
        <v>3</v>
      </c>
      <c r="BZ238" s="3">
        <v>90</v>
      </c>
      <c r="CA238" s="3">
        <v>46</v>
      </c>
      <c r="CB238" s="3" t="s">
        <v>3</v>
      </c>
      <c r="CC238" s="3"/>
      <c r="CD238" s="3"/>
      <c r="CE238" s="3">
        <v>30</v>
      </c>
      <c r="CF238" s="3">
        <v>0</v>
      </c>
      <c r="CG238" s="3">
        <v>0</v>
      </c>
      <c r="CH238" s="3"/>
      <c r="CI238" s="3"/>
      <c r="CJ238" s="3"/>
      <c r="CK238" s="3"/>
      <c r="CL238" s="3"/>
      <c r="CM238" s="3">
        <v>0</v>
      </c>
      <c r="CN238" s="3" t="s">
        <v>3</v>
      </c>
      <c r="CO238" s="3">
        <v>0</v>
      </c>
      <c r="CP238" s="3">
        <f t="shared" si="195"/>
        <v>14239.49</v>
      </c>
      <c r="CQ238" s="3">
        <f>ROUND((ROUND((AC238*AW238*1),2)*BC238),2)</f>
        <v>102.38</v>
      </c>
      <c r="CR238" s="3">
        <f>(ROUND((ROUND((((ET238*1.1))*AV238*1),2)*BB238),2)+ROUND((ROUND(((AE238-((EU238*1.1)))*AV238*1),2)*BS238),2))</f>
        <v>0</v>
      </c>
      <c r="CS238" s="3">
        <f t="shared" si="197"/>
        <v>0</v>
      </c>
      <c r="CT238" s="3">
        <f t="shared" si="198"/>
        <v>575.75</v>
      </c>
      <c r="CU238" s="3">
        <f t="shared" si="199"/>
        <v>0</v>
      </c>
      <c r="CV238" s="3">
        <f t="shared" si="200"/>
        <v>0.82922399999999996</v>
      </c>
      <c r="CW238" s="3">
        <f t="shared" si="201"/>
        <v>0</v>
      </c>
      <c r="CX238" s="3">
        <f t="shared" si="202"/>
        <v>0</v>
      </c>
      <c r="CY238" s="3">
        <f t="shared" si="203"/>
        <v>10880.594999999999</v>
      </c>
      <c r="CZ238" s="3">
        <f t="shared" si="204"/>
        <v>5561.1929999999993</v>
      </c>
      <c r="DA238" s="3"/>
      <c r="DB238" s="3"/>
      <c r="DC238" s="3" t="s">
        <v>3</v>
      </c>
      <c r="DD238" s="3" t="s">
        <v>3</v>
      </c>
      <c r="DE238" s="3" t="s">
        <v>24</v>
      </c>
      <c r="DF238" s="3" t="s">
        <v>24</v>
      </c>
      <c r="DG238" s="3" t="s">
        <v>24</v>
      </c>
      <c r="DH238" s="3" t="s">
        <v>3</v>
      </c>
      <c r="DI238" s="3" t="s">
        <v>24</v>
      </c>
      <c r="DJ238" s="3" t="s">
        <v>24</v>
      </c>
      <c r="DK238" s="3" t="s">
        <v>3</v>
      </c>
      <c r="DL238" s="3" t="s">
        <v>3</v>
      </c>
      <c r="DM238" s="3" t="s">
        <v>3</v>
      </c>
      <c r="DN238" s="3">
        <v>0</v>
      </c>
      <c r="DO238" s="3">
        <v>0</v>
      </c>
      <c r="DP238" s="3">
        <v>1</v>
      </c>
      <c r="DQ238" s="3">
        <v>1</v>
      </c>
      <c r="DR238" s="3"/>
      <c r="DS238" s="3"/>
      <c r="DT238" s="3"/>
      <c r="DU238" s="3">
        <v>1013</v>
      </c>
      <c r="DV238" s="3" t="s">
        <v>22</v>
      </c>
      <c r="DW238" s="3" t="s">
        <v>22</v>
      </c>
      <c r="DX238" s="3">
        <v>1</v>
      </c>
      <c r="DY238" s="3"/>
      <c r="DZ238" s="3" t="s">
        <v>3</v>
      </c>
      <c r="EA238" s="3" t="s">
        <v>3</v>
      </c>
      <c r="EB238" s="3" t="s">
        <v>3</v>
      </c>
      <c r="EC238" s="3" t="s">
        <v>3</v>
      </c>
      <c r="ED238" s="3"/>
      <c r="EE238" s="3">
        <v>58162630</v>
      </c>
      <c r="EF238" s="3">
        <v>40</v>
      </c>
      <c r="EG238" s="3" t="s">
        <v>25</v>
      </c>
      <c r="EH238" s="3">
        <v>0</v>
      </c>
      <c r="EI238" s="3" t="s">
        <v>3</v>
      </c>
      <c r="EJ238" s="3">
        <v>2</v>
      </c>
      <c r="EK238" s="3">
        <v>68</v>
      </c>
      <c r="EL238" s="3" t="s">
        <v>26</v>
      </c>
      <c r="EM238" s="3" t="s">
        <v>27</v>
      </c>
      <c r="EN238" s="3"/>
      <c r="EO238" s="3" t="s">
        <v>28</v>
      </c>
      <c r="EP238" s="3"/>
      <c r="EQ238" s="3">
        <v>0</v>
      </c>
      <c r="ER238" s="3">
        <v>31.69</v>
      </c>
      <c r="ES238" s="3">
        <v>22.6</v>
      </c>
      <c r="ET238" s="3">
        <v>0</v>
      </c>
      <c r="EU238" s="3">
        <v>0</v>
      </c>
      <c r="EV238" s="3">
        <v>9.09</v>
      </c>
      <c r="EW238" s="3">
        <v>0.72</v>
      </c>
      <c r="EX238" s="3">
        <v>0</v>
      </c>
      <c r="EY238" s="3">
        <v>0</v>
      </c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>
        <v>0</v>
      </c>
      <c r="FR238" s="3">
        <v>0</v>
      </c>
      <c r="FS238" s="3">
        <v>0</v>
      </c>
      <c r="FT238" s="3"/>
      <c r="FU238" s="3"/>
      <c r="FV238" s="3"/>
      <c r="FW238" s="3"/>
      <c r="FX238" s="3">
        <v>90</v>
      </c>
      <c r="FY238" s="3">
        <v>46</v>
      </c>
      <c r="FZ238" s="3"/>
      <c r="GA238" s="3" t="s">
        <v>3</v>
      </c>
      <c r="GB238" s="3"/>
      <c r="GC238" s="3"/>
      <c r="GD238" s="3">
        <v>1</v>
      </c>
      <c r="GE238" s="3"/>
      <c r="GF238" s="3">
        <v>-43243990</v>
      </c>
      <c r="GG238" s="3">
        <v>2</v>
      </c>
      <c r="GH238" s="3">
        <v>1</v>
      </c>
      <c r="GI238" s="3">
        <v>2</v>
      </c>
      <c r="GJ238" s="3">
        <v>0</v>
      </c>
      <c r="GK238" s="3">
        <v>0</v>
      </c>
      <c r="GL238" s="3">
        <f t="shared" si="205"/>
        <v>0</v>
      </c>
      <c r="GM238" s="3">
        <f t="shared" si="206"/>
        <v>30681.279999999999</v>
      </c>
      <c r="GN238" s="3">
        <f t="shared" si="207"/>
        <v>0</v>
      </c>
      <c r="GO238" s="3">
        <f t="shared" si="208"/>
        <v>30681.279999999999</v>
      </c>
      <c r="GP238" s="3">
        <f t="shared" si="209"/>
        <v>0</v>
      </c>
      <c r="GQ238" s="3"/>
      <c r="GR238" s="3">
        <v>0</v>
      </c>
      <c r="GS238" s="3">
        <v>3</v>
      </c>
      <c r="GT238" s="3">
        <v>0</v>
      </c>
      <c r="GU238" s="3" t="s">
        <v>3</v>
      </c>
      <c r="GV238" s="3">
        <f t="shared" si="210"/>
        <v>0</v>
      </c>
      <c r="GW238" s="3">
        <v>1</v>
      </c>
      <c r="GX238" s="3">
        <f t="shared" si="211"/>
        <v>0</v>
      </c>
      <c r="GY238" s="3"/>
      <c r="GZ238" s="3"/>
      <c r="HA238" s="3">
        <v>0</v>
      </c>
      <c r="HB238" s="3">
        <v>0</v>
      </c>
      <c r="HC238" s="3">
        <f t="shared" si="212"/>
        <v>0</v>
      </c>
      <c r="HD238" s="3"/>
      <c r="HE238" s="3" t="s">
        <v>3</v>
      </c>
      <c r="HF238" s="3" t="s">
        <v>3</v>
      </c>
      <c r="HG238" s="3"/>
      <c r="HH238" s="3"/>
      <c r="HI238" s="3"/>
      <c r="HJ238" s="3"/>
      <c r="HK238" s="3"/>
      <c r="HL238" s="3"/>
      <c r="HM238" s="3" t="s">
        <v>3</v>
      </c>
      <c r="HN238" s="3" t="s">
        <v>3</v>
      </c>
      <c r="HO238" s="3" t="s">
        <v>3</v>
      </c>
      <c r="HP238" s="3" t="s">
        <v>3</v>
      </c>
      <c r="HQ238" s="3" t="s">
        <v>3</v>
      </c>
      <c r="HR238" s="3"/>
      <c r="HS238" s="3">
        <v>0</v>
      </c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>
        <v>0</v>
      </c>
      <c r="IL238" s="3"/>
      <c r="IM238" s="3"/>
      <c r="IN238" s="3"/>
      <c r="IO238" s="3"/>
      <c r="IP238" s="3"/>
      <c r="IQ238" s="3"/>
      <c r="IR238" s="3"/>
      <c r="IS238" s="3"/>
      <c r="IT238" s="3"/>
      <c r="IU238" s="3"/>
    </row>
    <row r="239" spans="1:255" x14ac:dyDescent="0.3">
      <c r="A239" s="2">
        <v>18</v>
      </c>
      <c r="B239" s="2">
        <v>1</v>
      </c>
      <c r="C239" s="2"/>
      <c r="D239" s="2"/>
      <c r="E239" s="2" t="s">
        <v>273</v>
      </c>
      <c r="F239" s="2" t="s">
        <v>274</v>
      </c>
      <c r="G239" s="2" t="s">
        <v>275</v>
      </c>
      <c r="H239" s="2" t="s">
        <v>32</v>
      </c>
      <c r="I239" s="2">
        <f>I237*J239</f>
        <v>21</v>
      </c>
      <c r="J239" s="2">
        <v>1</v>
      </c>
      <c r="K239" s="2">
        <v>1</v>
      </c>
      <c r="L239" s="2"/>
      <c r="M239" s="2"/>
      <c r="N239" s="2"/>
      <c r="O239" s="2">
        <f t="shared" si="181"/>
        <v>36970.92</v>
      </c>
      <c r="P239" s="2">
        <f>ROUND((ROUND((AC239*I239),2)*BC239),2)</f>
        <v>36970.92</v>
      </c>
      <c r="Q239" s="2">
        <f>(ROUND((ROUND(((ET239)*AV239*I239),2)*BB239),2)+ROUND((ROUND(((AE239-(EU239))*AV239*I239),2)*BS239),2))</f>
        <v>0</v>
      </c>
      <c r="R239" s="2">
        <f t="shared" si="183"/>
        <v>0</v>
      </c>
      <c r="S239" s="2">
        <f t="shared" si="184"/>
        <v>0</v>
      </c>
      <c r="T239" s="2">
        <f t="shared" si="185"/>
        <v>0</v>
      </c>
      <c r="U239" s="2">
        <f t="shared" si="186"/>
        <v>0</v>
      </c>
      <c r="V239" s="2">
        <f t="shared" si="187"/>
        <v>0</v>
      </c>
      <c r="W239" s="2">
        <f t="shared" si="188"/>
        <v>0</v>
      </c>
      <c r="X239" s="2">
        <f t="shared" si="189"/>
        <v>0</v>
      </c>
      <c r="Y239" s="2">
        <f t="shared" si="190"/>
        <v>0</v>
      </c>
      <c r="Z239" s="2"/>
      <c r="AA239" s="2">
        <v>56505403</v>
      </c>
      <c r="AB239" s="2">
        <f t="shared" si="191"/>
        <v>1760.52</v>
      </c>
      <c r="AC239" s="2">
        <f t="shared" si="192"/>
        <v>1760.52</v>
      </c>
      <c r="AD239" s="2">
        <f>ROUND((((ET239)-(EU239))+AE239),6)</f>
        <v>0</v>
      </c>
      <c r="AE239" s="2">
        <f>ROUND((EU239),6)</f>
        <v>0</v>
      </c>
      <c r="AF239" s="2">
        <f>ROUND((EV239),6)</f>
        <v>0</v>
      </c>
      <c r="AG239" s="2">
        <f t="shared" si="193"/>
        <v>0</v>
      </c>
      <c r="AH239" s="2">
        <f>(EW239)</f>
        <v>0</v>
      </c>
      <c r="AI239" s="2">
        <f>(EX239)</f>
        <v>0</v>
      </c>
      <c r="AJ239" s="2">
        <f t="shared" si="194"/>
        <v>0</v>
      </c>
      <c r="AK239" s="2">
        <v>1760.5200000000002</v>
      </c>
      <c r="AL239" s="2">
        <v>1760.5200000000002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1</v>
      </c>
      <c r="AW239" s="2">
        <v>1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3</v>
      </c>
      <c r="BJ239" s="2" t="s">
        <v>3</v>
      </c>
      <c r="BK239" s="2"/>
      <c r="BL239" s="2"/>
      <c r="BM239" s="2">
        <v>746</v>
      </c>
      <c r="BN239" s="2">
        <v>0</v>
      </c>
      <c r="BO239" s="2" t="s">
        <v>3</v>
      </c>
      <c r="BP239" s="2">
        <v>0</v>
      </c>
      <c r="BQ239" s="2">
        <v>130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90</v>
      </c>
      <c r="CA239" s="2">
        <v>46</v>
      </c>
      <c r="CB239" s="2" t="s">
        <v>3</v>
      </c>
      <c r="CC239" s="2"/>
      <c r="CD239" s="2"/>
      <c r="CE239" s="2">
        <v>30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195"/>
        <v>36970.92</v>
      </c>
      <c r="CQ239" s="2">
        <f>ROUND((ROUND((AC239*1),2)*BC239),2)</f>
        <v>1760.52</v>
      </c>
      <c r="CR239" s="2">
        <f>(ROUND((ROUND(((ET239)*AV239*1),2)*BB239),2)+ROUND((ROUND(((AE239-(EU239))*AV239*1),2)*BS239),2))</f>
        <v>0</v>
      </c>
      <c r="CS239" s="2">
        <f t="shared" si="197"/>
        <v>0</v>
      </c>
      <c r="CT239" s="2">
        <f t="shared" si="198"/>
        <v>0</v>
      </c>
      <c r="CU239" s="2">
        <f t="shared" si="199"/>
        <v>0</v>
      </c>
      <c r="CV239" s="2">
        <f t="shared" si="200"/>
        <v>0</v>
      </c>
      <c r="CW239" s="2">
        <f t="shared" si="201"/>
        <v>0</v>
      </c>
      <c r="CX239" s="2">
        <f t="shared" si="202"/>
        <v>0</v>
      </c>
      <c r="CY239" s="2">
        <f t="shared" si="203"/>
        <v>0</v>
      </c>
      <c r="CZ239" s="2">
        <f t="shared" si="204"/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1010</v>
      </c>
      <c r="DV239" s="2" t="s">
        <v>32</v>
      </c>
      <c r="DW239" s="2" t="s">
        <v>32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58162750</v>
      </c>
      <c r="EF239" s="2">
        <v>130</v>
      </c>
      <c r="EG239" s="2" t="s">
        <v>52</v>
      </c>
      <c r="EH239" s="2">
        <v>0</v>
      </c>
      <c r="EI239" s="2" t="s">
        <v>3</v>
      </c>
      <c r="EJ239" s="2">
        <v>3</v>
      </c>
      <c r="EK239" s="2">
        <v>746</v>
      </c>
      <c r="EL239" s="2" t="s">
        <v>53</v>
      </c>
      <c r="EM239" s="2" t="s">
        <v>54</v>
      </c>
      <c r="EN239" s="2"/>
      <c r="EO239" s="2" t="s">
        <v>3</v>
      </c>
      <c r="EP239" s="2"/>
      <c r="EQ239" s="2">
        <v>0</v>
      </c>
      <c r="ER239" s="2">
        <v>0</v>
      </c>
      <c r="ES239" s="2">
        <v>1760.5200000000002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f>P239</f>
        <v>36970.92</v>
      </c>
      <c r="FS239" s="2">
        <v>0</v>
      </c>
      <c r="FT239" s="2"/>
      <c r="FU239" s="2"/>
      <c r="FV239" s="2"/>
      <c r="FW239" s="2"/>
      <c r="FX239" s="2">
        <v>90</v>
      </c>
      <c r="FY239" s="2">
        <v>46</v>
      </c>
      <c r="FZ239" s="2"/>
      <c r="GA239" s="2" t="s">
        <v>276</v>
      </c>
      <c r="GB239" s="2"/>
      <c r="GC239" s="2"/>
      <c r="GD239" s="2">
        <v>1</v>
      </c>
      <c r="GE239" s="2"/>
      <c r="GF239" s="2">
        <v>251607831</v>
      </c>
      <c r="GG239" s="2">
        <v>2</v>
      </c>
      <c r="GH239" s="2">
        <v>4</v>
      </c>
      <c r="GI239" s="2">
        <v>-2</v>
      </c>
      <c r="GJ239" s="2">
        <v>0</v>
      </c>
      <c r="GK239" s="2">
        <v>0</v>
      </c>
      <c r="GL239" s="2">
        <f t="shared" si="205"/>
        <v>0</v>
      </c>
      <c r="GM239" s="2">
        <f t="shared" si="206"/>
        <v>36970.92</v>
      </c>
      <c r="GN239" s="2">
        <f t="shared" si="207"/>
        <v>0</v>
      </c>
      <c r="GO239" s="2">
        <f t="shared" si="208"/>
        <v>0</v>
      </c>
      <c r="GP239" s="2">
        <f t="shared" si="209"/>
        <v>0</v>
      </c>
      <c r="GQ239" s="2"/>
      <c r="GR239" s="2">
        <v>0</v>
      </c>
      <c r="GS239" s="2">
        <v>2</v>
      </c>
      <c r="GT239" s="2">
        <v>0</v>
      </c>
      <c r="GU239" s="2" t="s">
        <v>3</v>
      </c>
      <c r="GV239" s="2">
        <f t="shared" si="210"/>
        <v>0</v>
      </c>
      <c r="GW239" s="2">
        <v>1</v>
      </c>
      <c r="GX239" s="2">
        <f t="shared" si="211"/>
        <v>0</v>
      </c>
      <c r="GY239" s="2"/>
      <c r="GZ239" s="2"/>
      <c r="HA239" s="2">
        <v>0</v>
      </c>
      <c r="HB239" s="2">
        <v>0</v>
      </c>
      <c r="HC239" s="2">
        <f t="shared" si="212"/>
        <v>0</v>
      </c>
      <c r="HD239" s="2"/>
      <c r="HE239" s="2" t="s">
        <v>56</v>
      </c>
      <c r="HF239" s="2" t="s">
        <v>36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3">
      <c r="A240" s="3">
        <v>18</v>
      </c>
      <c r="B240" s="3">
        <v>1</v>
      </c>
      <c r="C240" s="3"/>
      <c r="D240" s="3"/>
      <c r="E240" s="3" t="s">
        <v>273</v>
      </c>
      <c r="F240" s="3" t="s">
        <v>274</v>
      </c>
      <c r="G240" s="3" t="s">
        <v>275</v>
      </c>
      <c r="H240" s="3" t="s">
        <v>32</v>
      </c>
      <c r="I240" s="3">
        <f>I238*J240</f>
        <v>21</v>
      </c>
      <c r="J240" s="3">
        <v>1</v>
      </c>
      <c r="K240" s="3">
        <v>1</v>
      </c>
      <c r="L240" s="3"/>
      <c r="M240" s="3"/>
      <c r="N240" s="3"/>
      <c r="O240" s="3">
        <f t="shared" si="181"/>
        <v>283197.25</v>
      </c>
      <c r="P240" s="3">
        <f>ROUND((ROUND((AC240*I240),2)*BC240),2)</f>
        <v>283197.25</v>
      </c>
      <c r="Q240" s="3">
        <f>(ROUND((ROUND(((ET240)*AV240*I240),2)*BB240),2)+ROUND((ROUND(((AE240-(EU240))*AV240*I240),2)*BS240),2))</f>
        <v>0</v>
      </c>
      <c r="R240" s="3">
        <f t="shared" si="183"/>
        <v>0</v>
      </c>
      <c r="S240" s="3">
        <f t="shared" si="184"/>
        <v>0</v>
      </c>
      <c r="T240" s="3">
        <f t="shared" si="185"/>
        <v>0</v>
      </c>
      <c r="U240" s="3">
        <f t="shared" si="186"/>
        <v>0</v>
      </c>
      <c r="V240" s="3">
        <f t="shared" si="187"/>
        <v>0</v>
      </c>
      <c r="W240" s="3">
        <f t="shared" si="188"/>
        <v>0</v>
      </c>
      <c r="X240" s="3">
        <f t="shared" si="189"/>
        <v>0</v>
      </c>
      <c r="Y240" s="3">
        <f t="shared" si="190"/>
        <v>0</v>
      </c>
      <c r="Z240" s="3"/>
      <c r="AA240" s="3">
        <v>56505405</v>
      </c>
      <c r="AB240" s="3">
        <f t="shared" si="191"/>
        <v>1760.52</v>
      </c>
      <c r="AC240" s="3">
        <f t="shared" si="192"/>
        <v>1760.52</v>
      </c>
      <c r="AD240" s="3">
        <f>ROUND((((ET240)-(EU240))+AE240),6)</f>
        <v>0</v>
      </c>
      <c r="AE240" s="3">
        <f>ROUND((EU240),6)</f>
        <v>0</v>
      </c>
      <c r="AF240" s="3">
        <f>ROUND((EV240),6)</f>
        <v>0</v>
      </c>
      <c r="AG240" s="3">
        <f t="shared" si="193"/>
        <v>0</v>
      </c>
      <c r="AH240" s="3">
        <f>(EW240)</f>
        <v>0</v>
      </c>
      <c r="AI240" s="3">
        <f>(EX240)</f>
        <v>0</v>
      </c>
      <c r="AJ240" s="3">
        <f t="shared" si="194"/>
        <v>0</v>
      </c>
      <c r="AK240" s="3">
        <v>1760.5200000000002</v>
      </c>
      <c r="AL240" s="3">
        <v>1760.5200000000002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1</v>
      </c>
      <c r="AW240" s="3">
        <v>1</v>
      </c>
      <c r="AX240" s="3"/>
      <c r="AY240" s="3"/>
      <c r="AZ240" s="3">
        <v>1</v>
      </c>
      <c r="BA240" s="3">
        <v>1</v>
      </c>
      <c r="BB240" s="3">
        <v>1</v>
      </c>
      <c r="BC240" s="3">
        <v>7.66</v>
      </c>
      <c r="BD240" s="3" t="s">
        <v>3</v>
      </c>
      <c r="BE240" s="3" t="s">
        <v>3</v>
      </c>
      <c r="BF240" s="3" t="s">
        <v>3</v>
      </c>
      <c r="BG240" s="3" t="s">
        <v>3</v>
      </c>
      <c r="BH240" s="3">
        <v>3</v>
      </c>
      <c r="BI240" s="3">
        <v>3</v>
      </c>
      <c r="BJ240" s="3" t="s">
        <v>3</v>
      </c>
      <c r="BK240" s="3"/>
      <c r="BL240" s="3"/>
      <c r="BM240" s="3">
        <v>746</v>
      </c>
      <c r="BN240" s="3">
        <v>0</v>
      </c>
      <c r="BO240" s="3" t="s">
        <v>3</v>
      </c>
      <c r="BP240" s="3">
        <v>0</v>
      </c>
      <c r="BQ240" s="3">
        <v>130</v>
      </c>
      <c r="BR240" s="3">
        <v>0</v>
      </c>
      <c r="BS240" s="3">
        <v>1</v>
      </c>
      <c r="BT240" s="3">
        <v>1</v>
      </c>
      <c r="BU240" s="3">
        <v>1</v>
      </c>
      <c r="BV240" s="3">
        <v>1</v>
      </c>
      <c r="BW240" s="3">
        <v>1</v>
      </c>
      <c r="BX240" s="3">
        <v>1</v>
      </c>
      <c r="BY240" s="3" t="s">
        <v>3</v>
      </c>
      <c r="BZ240" s="3">
        <v>90</v>
      </c>
      <c r="CA240" s="3">
        <v>46</v>
      </c>
      <c r="CB240" s="3" t="s">
        <v>3</v>
      </c>
      <c r="CC240" s="3"/>
      <c r="CD240" s="3"/>
      <c r="CE240" s="3">
        <v>30</v>
      </c>
      <c r="CF240" s="3">
        <v>0</v>
      </c>
      <c r="CG240" s="3">
        <v>0</v>
      </c>
      <c r="CH240" s="3"/>
      <c r="CI240" s="3"/>
      <c r="CJ240" s="3"/>
      <c r="CK240" s="3"/>
      <c r="CL240" s="3"/>
      <c r="CM240" s="3">
        <v>0</v>
      </c>
      <c r="CN240" s="3" t="s">
        <v>3</v>
      </c>
      <c r="CO240" s="3">
        <v>0</v>
      </c>
      <c r="CP240" s="3">
        <f t="shared" si="195"/>
        <v>283197.25</v>
      </c>
      <c r="CQ240" s="3">
        <f>ROUND((ROUND((AC240*1),2)*BC240),2)</f>
        <v>13485.58</v>
      </c>
      <c r="CR240" s="3">
        <f>(ROUND((ROUND(((ET240)*AV240*1),2)*BB240),2)+ROUND((ROUND(((AE240-(EU240))*AV240*1),2)*BS240),2))</f>
        <v>0</v>
      </c>
      <c r="CS240" s="3">
        <f t="shared" si="197"/>
        <v>0</v>
      </c>
      <c r="CT240" s="3">
        <f t="shared" si="198"/>
        <v>0</v>
      </c>
      <c r="CU240" s="3">
        <f t="shared" si="199"/>
        <v>0</v>
      </c>
      <c r="CV240" s="3">
        <f t="shared" si="200"/>
        <v>0</v>
      </c>
      <c r="CW240" s="3">
        <f t="shared" si="201"/>
        <v>0</v>
      </c>
      <c r="CX240" s="3">
        <f t="shared" si="202"/>
        <v>0</v>
      </c>
      <c r="CY240" s="3">
        <f t="shared" si="203"/>
        <v>0</v>
      </c>
      <c r="CZ240" s="3">
        <f t="shared" si="204"/>
        <v>0</v>
      </c>
      <c r="DA240" s="3"/>
      <c r="DB240" s="3"/>
      <c r="DC240" s="3" t="s">
        <v>3</v>
      </c>
      <c r="DD240" s="3" t="s">
        <v>3</v>
      </c>
      <c r="DE240" s="3" t="s">
        <v>3</v>
      </c>
      <c r="DF240" s="3" t="s">
        <v>3</v>
      </c>
      <c r="DG240" s="3" t="s">
        <v>3</v>
      </c>
      <c r="DH240" s="3" t="s">
        <v>3</v>
      </c>
      <c r="DI240" s="3" t="s">
        <v>3</v>
      </c>
      <c r="DJ240" s="3" t="s">
        <v>3</v>
      </c>
      <c r="DK240" s="3" t="s">
        <v>3</v>
      </c>
      <c r="DL240" s="3" t="s">
        <v>3</v>
      </c>
      <c r="DM240" s="3" t="s">
        <v>3</v>
      </c>
      <c r="DN240" s="3">
        <v>0</v>
      </c>
      <c r="DO240" s="3">
        <v>0</v>
      </c>
      <c r="DP240" s="3">
        <v>1</v>
      </c>
      <c r="DQ240" s="3">
        <v>1</v>
      </c>
      <c r="DR240" s="3"/>
      <c r="DS240" s="3"/>
      <c r="DT240" s="3"/>
      <c r="DU240" s="3">
        <v>1010</v>
      </c>
      <c r="DV240" s="3" t="s">
        <v>32</v>
      </c>
      <c r="DW240" s="3" t="s">
        <v>32</v>
      </c>
      <c r="DX240" s="3">
        <v>1</v>
      </c>
      <c r="DY240" s="3"/>
      <c r="DZ240" s="3" t="s">
        <v>3</v>
      </c>
      <c r="EA240" s="3" t="s">
        <v>3</v>
      </c>
      <c r="EB240" s="3" t="s">
        <v>3</v>
      </c>
      <c r="EC240" s="3" t="s">
        <v>3</v>
      </c>
      <c r="ED240" s="3"/>
      <c r="EE240" s="3">
        <v>58162750</v>
      </c>
      <c r="EF240" s="3">
        <v>130</v>
      </c>
      <c r="EG240" s="3" t="s">
        <v>52</v>
      </c>
      <c r="EH240" s="3">
        <v>0</v>
      </c>
      <c r="EI240" s="3" t="s">
        <v>3</v>
      </c>
      <c r="EJ240" s="3">
        <v>3</v>
      </c>
      <c r="EK240" s="3">
        <v>746</v>
      </c>
      <c r="EL240" s="3" t="s">
        <v>53</v>
      </c>
      <c r="EM240" s="3" t="s">
        <v>54</v>
      </c>
      <c r="EN240" s="3"/>
      <c r="EO240" s="3" t="s">
        <v>3</v>
      </c>
      <c r="EP240" s="3"/>
      <c r="EQ240" s="3">
        <v>0</v>
      </c>
      <c r="ER240" s="3">
        <v>1760.5200000000002</v>
      </c>
      <c r="ES240" s="3">
        <v>1760.5200000000002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/>
      <c r="EZ240" s="3">
        <v>5</v>
      </c>
      <c r="FA240" s="3"/>
      <c r="FB240" s="3"/>
      <c r="FC240" s="3">
        <v>1</v>
      </c>
      <c r="FD240" s="3">
        <v>18</v>
      </c>
      <c r="FE240" s="3"/>
      <c r="FF240" s="3">
        <v>15525</v>
      </c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>
        <v>0</v>
      </c>
      <c r="FR240" s="3">
        <f>P240</f>
        <v>283197.25</v>
      </c>
      <c r="FS240" s="3">
        <v>0</v>
      </c>
      <c r="FT240" s="3"/>
      <c r="FU240" s="3"/>
      <c r="FV240" s="3"/>
      <c r="FW240" s="3"/>
      <c r="FX240" s="3">
        <v>90</v>
      </c>
      <c r="FY240" s="3">
        <v>46</v>
      </c>
      <c r="FZ240" s="3"/>
      <c r="GA240" s="3" t="s">
        <v>276</v>
      </c>
      <c r="GB240" s="3"/>
      <c r="GC240" s="3"/>
      <c r="GD240" s="3">
        <v>1</v>
      </c>
      <c r="GE240" s="3"/>
      <c r="GF240" s="3">
        <v>251607831</v>
      </c>
      <c r="GG240" s="3">
        <v>2</v>
      </c>
      <c r="GH240" s="3">
        <v>3</v>
      </c>
      <c r="GI240" s="3">
        <v>5</v>
      </c>
      <c r="GJ240" s="3">
        <v>0</v>
      </c>
      <c r="GK240" s="3">
        <v>0</v>
      </c>
      <c r="GL240" s="3">
        <f t="shared" si="205"/>
        <v>0</v>
      </c>
      <c r="GM240" s="3">
        <f t="shared" si="206"/>
        <v>283197.25</v>
      </c>
      <c r="GN240" s="3">
        <f t="shared" si="207"/>
        <v>0</v>
      </c>
      <c r="GO240" s="3">
        <f t="shared" si="208"/>
        <v>0</v>
      </c>
      <c r="GP240" s="3">
        <f t="shared" si="209"/>
        <v>0</v>
      </c>
      <c r="GQ240" s="3"/>
      <c r="GR240" s="3">
        <v>1</v>
      </c>
      <c r="GS240" s="3">
        <v>1</v>
      </c>
      <c r="GT240" s="3">
        <v>0</v>
      </c>
      <c r="GU240" s="3" t="s">
        <v>3</v>
      </c>
      <c r="GV240" s="3">
        <f t="shared" si="210"/>
        <v>0</v>
      </c>
      <c r="GW240" s="3">
        <v>1</v>
      </c>
      <c r="GX240" s="3">
        <f t="shared" si="211"/>
        <v>0</v>
      </c>
      <c r="GY240" s="3"/>
      <c r="GZ240" s="3"/>
      <c r="HA240" s="3">
        <v>0</v>
      </c>
      <c r="HB240" s="3">
        <v>0</v>
      </c>
      <c r="HC240" s="3">
        <f t="shared" si="212"/>
        <v>0</v>
      </c>
      <c r="HD240" s="3"/>
      <c r="HE240" s="3" t="s">
        <v>56</v>
      </c>
      <c r="HF240" s="3" t="s">
        <v>36</v>
      </c>
      <c r="HG240" s="3"/>
      <c r="HH240" s="3"/>
      <c r="HI240" s="3"/>
      <c r="HJ240" s="3"/>
      <c r="HK240" s="3"/>
      <c r="HL240" s="3"/>
      <c r="HM240" s="3" t="s">
        <v>3</v>
      </c>
      <c r="HN240" s="3" t="s">
        <v>3</v>
      </c>
      <c r="HO240" s="3" t="s">
        <v>3</v>
      </c>
      <c r="HP240" s="3" t="s">
        <v>3</v>
      </c>
      <c r="HQ240" s="3" t="s">
        <v>3</v>
      </c>
      <c r="HR240" s="3"/>
      <c r="HS240" s="3">
        <v>0</v>
      </c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>
        <v>0</v>
      </c>
      <c r="IL240" s="3"/>
      <c r="IM240" s="3"/>
      <c r="IN240" s="3"/>
      <c r="IO240" s="3"/>
      <c r="IP240" s="3"/>
      <c r="IQ240" s="3"/>
      <c r="IR240" s="3"/>
      <c r="IS240" s="3"/>
      <c r="IT240" s="3"/>
      <c r="IU240" s="3"/>
    </row>
    <row r="242" spans="1:206" x14ac:dyDescent="0.3">
      <c r="A242" s="4">
        <v>51</v>
      </c>
      <c r="B242" s="4">
        <f>B191</f>
        <v>1</v>
      </c>
      <c r="C242" s="4">
        <f>A191</f>
        <v>4</v>
      </c>
      <c r="D242" s="4">
        <f>ROW(A191)</f>
        <v>191</v>
      </c>
      <c r="E242" s="4"/>
      <c r="F242" s="4" t="str">
        <f>IF(F191&lt;&gt;"",F191,"")</f>
        <v/>
      </c>
      <c r="G242" s="4" t="str">
        <f>IF(G191&lt;&gt;"",G191,"")</f>
        <v>Материалы</v>
      </c>
      <c r="H242" s="4">
        <v>0</v>
      </c>
      <c r="I242" s="4"/>
      <c r="J242" s="4"/>
      <c r="K242" s="4"/>
      <c r="L242" s="4"/>
      <c r="M242" s="4"/>
      <c r="N242" s="4"/>
      <c r="O242" s="4">
        <f t="shared" ref="O242:T242" si="227">ROUND(AB242,2)</f>
        <v>393162.97</v>
      </c>
      <c r="P242" s="4">
        <f t="shared" si="227"/>
        <v>381890.01</v>
      </c>
      <c r="Q242" s="4">
        <f t="shared" si="227"/>
        <v>1988.84</v>
      </c>
      <c r="R242" s="4">
        <f t="shared" si="227"/>
        <v>219.38</v>
      </c>
      <c r="S242" s="4">
        <f t="shared" si="227"/>
        <v>9284.1200000000008</v>
      </c>
      <c r="T242" s="4">
        <f t="shared" si="227"/>
        <v>0</v>
      </c>
      <c r="U242" s="4">
        <f>AH242</f>
        <v>774.58792785000003</v>
      </c>
      <c r="V242" s="4">
        <f>AI242</f>
        <v>0</v>
      </c>
      <c r="W242" s="4">
        <f>ROUND(AJ242,2)</f>
        <v>0</v>
      </c>
      <c r="X242" s="4">
        <f>ROUND(AK242,2)</f>
        <v>8811.08</v>
      </c>
      <c r="Y242" s="4">
        <f>ROUND(AL242,2)</f>
        <v>4555.84</v>
      </c>
      <c r="Z242" s="4"/>
      <c r="AA242" s="4"/>
      <c r="AB242" s="4">
        <f>ROUND(SUMIF(AA195:AA240,"=56505403",O195:O240),2)</f>
        <v>393162.97</v>
      </c>
      <c r="AC242" s="4">
        <f>ROUND(SUMIF(AA195:AA240,"=56505403",P195:P240),2)</f>
        <v>381890.01</v>
      </c>
      <c r="AD242" s="4">
        <f>ROUND(SUMIF(AA195:AA240,"=56505403",Q195:Q240),2)</f>
        <v>1988.84</v>
      </c>
      <c r="AE242" s="4">
        <f>ROUND(SUMIF(AA195:AA240,"=56505403",R195:R240),2)</f>
        <v>219.38</v>
      </c>
      <c r="AF242" s="4">
        <f>ROUND(SUMIF(AA195:AA240,"=56505403",S195:S240),2)</f>
        <v>9284.1200000000008</v>
      </c>
      <c r="AG242" s="4">
        <f>ROUND(SUMIF(AA195:AA240,"=56505403",T195:T240),2)</f>
        <v>0</v>
      </c>
      <c r="AH242" s="4">
        <f>SUMIF(AA195:AA240,"=56505403",U195:U240)</f>
        <v>774.58792785000003</v>
      </c>
      <c r="AI242" s="4">
        <f>SUMIF(AA195:AA240,"=56505403",V195:V240)</f>
        <v>0</v>
      </c>
      <c r="AJ242" s="4">
        <f>ROUND(SUMIF(AA195:AA240,"=56505403",W195:W240),2)</f>
        <v>0</v>
      </c>
      <c r="AK242" s="4">
        <f>ROUND(SUMIF(AA195:AA240,"=56505403",X195:X240),2)</f>
        <v>8811.08</v>
      </c>
      <c r="AL242" s="4">
        <f>ROUND(SUMIF(AA195:AA240,"=56505403",Y195:Y240),2)</f>
        <v>4555.84</v>
      </c>
      <c r="AM242" s="4"/>
      <c r="AN242" s="4"/>
      <c r="AO242" s="4">
        <f t="shared" ref="AO242:BD242" si="228">ROUND(BX242,2)</f>
        <v>0</v>
      </c>
      <c r="AP242" s="4">
        <f t="shared" si="228"/>
        <v>295626.57</v>
      </c>
      <c r="AQ242" s="4">
        <f t="shared" si="228"/>
        <v>0</v>
      </c>
      <c r="AR242" s="4">
        <f t="shared" si="228"/>
        <v>406529.89</v>
      </c>
      <c r="AS242" s="4">
        <f t="shared" si="228"/>
        <v>0</v>
      </c>
      <c r="AT242" s="4">
        <f t="shared" si="228"/>
        <v>110903.32</v>
      </c>
      <c r="AU242" s="4">
        <f t="shared" si="228"/>
        <v>0</v>
      </c>
      <c r="AV242" s="4">
        <f t="shared" si="228"/>
        <v>381890.01</v>
      </c>
      <c r="AW242" s="4">
        <f t="shared" si="228"/>
        <v>86263.44</v>
      </c>
      <c r="AX242" s="4">
        <f t="shared" si="228"/>
        <v>0</v>
      </c>
      <c r="AY242" s="4">
        <f t="shared" si="228"/>
        <v>86263.44</v>
      </c>
      <c r="AZ242" s="4">
        <f t="shared" si="228"/>
        <v>295626.57</v>
      </c>
      <c r="BA242" s="4">
        <f t="shared" si="228"/>
        <v>0</v>
      </c>
      <c r="BB242" s="4">
        <f t="shared" si="228"/>
        <v>0</v>
      </c>
      <c r="BC242" s="4">
        <f t="shared" si="228"/>
        <v>0</v>
      </c>
      <c r="BD242" s="4">
        <f t="shared" si="228"/>
        <v>0</v>
      </c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>
        <f>ROUND(SUMIF(AA195:AA240,"=56505403",FQ195:FQ240),2)</f>
        <v>0</v>
      </c>
      <c r="BY242" s="4">
        <f>ROUND(SUMIF(AA195:AA240,"=56505403",FR195:FR240),2)</f>
        <v>295626.57</v>
      </c>
      <c r="BZ242" s="4">
        <f>ROUND(SUMIF(AA195:AA240,"=56505403",GL195:GL240),2)</f>
        <v>0</v>
      </c>
      <c r="CA242" s="4">
        <f>ROUND(SUMIF(AA195:AA240,"=56505403",GM195:GM240),2)</f>
        <v>406529.89</v>
      </c>
      <c r="CB242" s="4">
        <f>ROUND(SUMIF(AA195:AA240,"=56505403",GN195:GN240),2)</f>
        <v>0</v>
      </c>
      <c r="CC242" s="4">
        <f>ROUND(SUMIF(AA195:AA240,"=56505403",GO195:GO240),2)</f>
        <v>110903.32</v>
      </c>
      <c r="CD242" s="4">
        <f>ROUND(SUMIF(AA195:AA240,"=56505403",GP195:GP240),2)</f>
        <v>0</v>
      </c>
      <c r="CE242" s="4">
        <f>AC242-BX242</f>
        <v>381890.01</v>
      </c>
      <c r="CF242" s="4">
        <f>AC242-BY242</f>
        <v>86263.44</v>
      </c>
      <c r="CG242" s="4">
        <f>BX242-BZ242</f>
        <v>0</v>
      </c>
      <c r="CH242" s="4">
        <f>AC242-BX242-BY242+BZ242</f>
        <v>86263.44</v>
      </c>
      <c r="CI242" s="4">
        <f>BY242-BZ242</f>
        <v>295626.57</v>
      </c>
      <c r="CJ242" s="4">
        <f>ROUND(SUMIF(AA195:AA240,"=56505403",GX195:GX240),2)</f>
        <v>0</v>
      </c>
      <c r="CK242" s="4">
        <f>ROUND(SUMIF(AA195:AA240,"=56505403",GY195:GY240),2)</f>
        <v>0</v>
      </c>
      <c r="CL242" s="4">
        <f>ROUND(SUMIF(AA195:AA240,"=56505403",GZ195:GZ240),2)</f>
        <v>0</v>
      </c>
      <c r="CM242" s="4">
        <f>ROUND(SUMIF(AA195:AA240,"=56505403",HD195:HD240),2)</f>
        <v>0</v>
      </c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5">
        <f t="shared" ref="DG242:DL242" si="229">ROUND(DT242,2)</f>
        <v>3514533.46</v>
      </c>
      <c r="DH242" s="5">
        <f t="shared" si="229"/>
        <v>2973283.61</v>
      </c>
      <c r="DI242" s="5">
        <f t="shared" si="229"/>
        <v>30716.080000000002</v>
      </c>
      <c r="DJ242" s="5">
        <f t="shared" si="229"/>
        <v>12063.71</v>
      </c>
      <c r="DK242" s="5">
        <f t="shared" si="229"/>
        <v>510533.77</v>
      </c>
      <c r="DL242" s="5">
        <f t="shared" si="229"/>
        <v>0</v>
      </c>
      <c r="DM242" s="5">
        <f>DZ242</f>
        <v>774.58792785000003</v>
      </c>
      <c r="DN242" s="5">
        <f>EA242</f>
        <v>0</v>
      </c>
      <c r="DO242" s="5">
        <f>ROUND(EB242,2)</f>
        <v>0</v>
      </c>
      <c r="DP242" s="5">
        <f>ROUND(EC242,2)</f>
        <v>484521.14</v>
      </c>
      <c r="DQ242" s="5">
        <f>ROUND(ED242,2)</f>
        <v>250525.84</v>
      </c>
      <c r="DR242" s="5"/>
      <c r="DS242" s="5"/>
      <c r="DT242" s="5">
        <f>ROUND(SUMIF(AA195:AA240,"=56505405",O195:O240),2)</f>
        <v>3514533.46</v>
      </c>
      <c r="DU242" s="5">
        <f>ROUND(SUMIF(AA195:AA240,"=56505405",P195:P240),2)</f>
        <v>2973283.61</v>
      </c>
      <c r="DV242" s="5">
        <f>ROUND(SUMIF(AA195:AA240,"=56505405",Q195:Q240),2)</f>
        <v>30716.080000000002</v>
      </c>
      <c r="DW242" s="5">
        <f>ROUND(SUMIF(AA195:AA240,"=56505405",R195:R240),2)</f>
        <v>12063.71</v>
      </c>
      <c r="DX242" s="5">
        <f>ROUND(SUMIF(AA195:AA240,"=56505405",S195:S240),2)</f>
        <v>510533.77</v>
      </c>
      <c r="DY242" s="5">
        <f>ROUND(SUMIF(AA195:AA240,"=56505405",T195:T240),2)</f>
        <v>0</v>
      </c>
      <c r="DZ242" s="5">
        <f>SUMIF(AA195:AA240,"=56505405",U195:U240)</f>
        <v>774.58792785000003</v>
      </c>
      <c r="EA242" s="5">
        <f>SUMIF(AA195:AA240,"=56505405",V195:V240)</f>
        <v>0</v>
      </c>
      <c r="EB242" s="5">
        <f>ROUND(SUMIF(AA195:AA240,"=56505405",W195:W240),2)</f>
        <v>0</v>
      </c>
      <c r="EC242" s="5">
        <f>ROUND(SUMIF(AA195:AA240,"=56505405",X195:X240),2)</f>
        <v>484521.14</v>
      </c>
      <c r="ED242" s="5">
        <f>ROUND(SUMIF(AA195:AA240,"=56505405",Y195:Y240),2)</f>
        <v>250525.84</v>
      </c>
      <c r="EE242" s="5"/>
      <c r="EF242" s="5"/>
      <c r="EG242" s="5">
        <f t="shared" ref="EG242:EV242" si="230">ROUND(FP242,2)</f>
        <v>0</v>
      </c>
      <c r="EH242" s="5">
        <f t="shared" si="230"/>
        <v>2264499.5299999998</v>
      </c>
      <c r="EI242" s="5">
        <f t="shared" si="230"/>
        <v>0</v>
      </c>
      <c r="EJ242" s="5">
        <f t="shared" si="230"/>
        <v>4249580.4400000004</v>
      </c>
      <c r="EK242" s="5">
        <f t="shared" si="230"/>
        <v>0</v>
      </c>
      <c r="EL242" s="5">
        <f t="shared" si="230"/>
        <v>1985080.91</v>
      </c>
      <c r="EM242" s="5">
        <f t="shared" si="230"/>
        <v>0</v>
      </c>
      <c r="EN242" s="5">
        <f t="shared" si="230"/>
        <v>2973283.61</v>
      </c>
      <c r="EO242" s="5">
        <f t="shared" si="230"/>
        <v>708784.08</v>
      </c>
      <c r="EP242" s="5">
        <f t="shared" si="230"/>
        <v>0</v>
      </c>
      <c r="EQ242" s="5">
        <f t="shared" si="230"/>
        <v>708784.08</v>
      </c>
      <c r="ER242" s="5">
        <f t="shared" si="230"/>
        <v>2264499.5299999998</v>
      </c>
      <c r="ES242" s="5">
        <f t="shared" si="230"/>
        <v>0</v>
      </c>
      <c r="ET242" s="5">
        <f t="shared" si="230"/>
        <v>0</v>
      </c>
      <c r="EU242" s="5">
        <f t="shared" si="230"/>
        <v>0</v>
      </c>
      <c r="EV242" s="5">
        <f t="shared" si="230"/>
        <v>0</v>
      </c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>
        <f>ROUND(SUMIF(AA195:AA240,"=56505405",FQ195:FQ240),2)</f>
        <v>0</v>
      </c>
      <c r="FQ242" s="5">
        <f>ROUND(SUMIF(AA195:AA240,"=56505405",FR195:FR240),2)</f>
        <v>2264499.5299999998</v>
      </c>
      <c r="FR242" s="5">
        <f>ROUND(SUMIF(AA195:AA240,"=56505405",GL195:GL240),2)</f>
        <v>0</v>
      </c>
      <c r="FS242" s="5">
        <f>ROUND(SUMIF(AA195:AA240,"=56505405",GM195:GM240),2)</f>
        <v>4249580.4400000004</v>
      </c>
      <c r="FT242" s="5">
        <f>ROUND(SUMIF(AA195:AA240,"=56505405",GN195:GN240),2)</f>
        <v>0</v>
      </c>
      <c r="FU242" s="5">
        <f>ROUND(SUMIF(AA195:AA240,"=56505405",GO195:GO240),2)</f>
        <v>1985080.91</v>
      </c>
      <c r="FV242" s="5">
        <f>ROUND(SUMIF(AA195:AA240,"=56505405",GP195:GP240),2)</f>
        <v>0</v>
      </c>
      <c r="FW242" s="5">
        <f>DU242-FP242</f>
        <v>2973283.61</v>
      </c>
      <c r="FX242" s="5">
        <f>DU242-FQ242</f>
        <v>708784.08000000007</v>
      </c>
      <c r="FY242" s="5">
        <f>FP242-FR242</f>
        <v>0</v>
      </c>
      <c r="FZ242" s="5">
        <f>DU242-FP242-FQ242+FR242</f>
        <v>708784.08000000007</v>
      </c>
      <c r="GA242" s="5">
        <f>FQ242-FR242</f>
        <v>2264499.5299999998</v>
      </c>
      <c r="GB242" s="5">
        <f>ROUND(SUMIF(AA195:AA240,"=56505405",GX195:GX240),2)</f>
        <v>0</v>
      </c>
      <c r="GC242" s="5">
        <f>ROUND(SUMIF(AA195:AA240,"=56505405",GY195:GY240),2)</f>
        <v>0</v>
      </c>
      <c r="GD242" s="5">
        <f>ROUND(SUMIF(AA195:AA240,"=56505405",GZ195:GZ240),2)</f>
        <v>0</v>
      </c>
      <c r="GE242" s="5">
        <f>ROUND(SUMIF(AA195:AA240,"=56505405",HD195:HD240),2)</f>
        <v>0</v>
      </c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>
        <v>0</v>
      </c>
    </row>
    <row r="244" spans="1:206" x14ac:dyDescent="0.3">
      <c r="A244" s="6">
        <v>50</v>
      </c>
      <c r="B244" s="6">
        <v>0</v>
      </c>
      <c r="C244" s="6">
        <v>0</v>
      </c>
      <c r="D244" s="6">
        <v>1</v>
      </c>
      <c r="E244" s="6">
        <v>201</v>
      </c>
      <c r="F244" s="6">
        <f>ROUND(Source!O242,O244)</f>
        <v>393162.97</v>
      </c>
      <c r="G244" s="6" t="s">
        <v>77</v>
      </c>
      <c r="H244" s="6" t="s">
        <v>78</v>
      </c>
      <c r="I244" s="6"/>
      <c r="J244" s="6"/>
      <c r="K244" s="6">
        <v>201</v>
      </c>
      <c r="L244" s="6">
        <v>1</v>
      </c>
      <c r="M244" s="6">
        <v>3</v>
      </c>
      <c r="N244" s="6" t="s">
        <v>3</v>
      </c>
      <c r="O244" s="6">
        <v>2</v>
      </c>
      <c r="P244" s="6">
        <f>ROUND(Source!DG242,O244)</f>
        <v>3514533.46</v>
      </c>
      <c r="Q244" s="6"/>
      <c r="R244" s="6"/>
      <c r="S244" s="6"/>
      <c r="T244" s="6"/>
      <c r="U244" s="6"/>
      <c r="V244" s="6"/>
      <c r="W244" s="6">
        <v>393162.97</v>
      </c>
      <c r="X244" s="6">
        <v>1</v>
      </c>
      <c r="Y244" s="6">
        <v>393162.97</v>
      </c>
      <c r="Z244" s="6">
        <v>3514533.46</v>
      </c>
      <c r="AA244" s="6">
        <v>1</v>
      </c>
      <c r="AB244" s="6">
        <v>3514533.46</v>
      </c>
    </row>
    <row r="245" spans="1:206" x14ac:dyDescent="0.3">
      <c r="A245" s="6">
        <v>50</v>
      </c>
      <c r="B245" s="6">
        <v>0</v>
      </c>
      <c r="C245" s="6">
        <v>0</v>
      </c>
      <c r="D245" s="6">
        <v>1</v>
      </c>
      <c r="E245" s="6">
        <v>202</v>
      </c>
      <c r="F245" s="6">
        <f>ROUND(Source!P242,O245)</f>
        <v>381890.01</v>
      </c>
      <c r="G245" s="6" t="s">
        <v>79</v>
      </c>
      <c r="H245" s="6" t="s">
        <v>80</v>
      </c>
      <c r="I245" s="6"/>
      <c r="J245" s="6"/>
      <c r="K245" s="6">
        <v>202</v>
      </c>
      <c r="L245" s="6">
        <v>2</v>
      </c>
      <c r="M245" s="6">
        <v>3</v>
      </c>
      <c r="N245" s="6" t="s">
        <v>3</v>
      </c>
      <c r="O245" s="6">
        <v>2</v>
      </c>
      <c r="P245" s="6">
        <f>ROUND(Source!DH242,O245)</f>
        <v>2973283.61</v>
      </c>
      <c r="Q245" s="6"/>
      <c r="R245" s="6"/>
      <c r="S245" s="6"/>
      <c r="T245" s="6"/>
      <c r="U245" s="6"/>
      <c r="V245" s="6"/>
      <c r="W245" s="6">
        <v>381890.01</v>
      </c>
      <c r="X245" s="6">
        <v>1</v>
      </c>
      <c r="Y245" s="6">
        <v>381890.01</v>
      </c>
      <c r="Z245" s="6">
        <v>2973283.61</v>
      </c>
      <c r="AA245" s="6">
        <v>1</v>
      </c>
      <c r="AB245" s="6">
        <v>2973283.61</v>
      </c>
    </row>
    <row r="246" spans="1:206" x14ac:dyDescent="0.3">
      <c r="A246" s="6">
        <v>50</v>
      </c>
      <c r="B246" s="6">
        <v>0</v>
      </c>
      <c r="C246" s="6">
        <v>0</v>
      </c>
      <c r="D246" s="6">
        <v>1</v>
      </c>
      <c r="E246" s="6">
        <v>222</v>
      </c>
      <c r="F246" s="6">
        <f>ROUND(Source!AO242,O246)</f>
        <v>0</v>
      </c>
      <c r="G246" s="6" t="s">
        <v>81</v>
      </c>
      <c r="H246" s="6" t="s">
        <v>82</v>
      </c>
      <c r="I246" s="6"/>
      <c r="J246" s="6"/>
      <c r="K246" s="6">
        <v>222</v>
      </c>
      <c r="L246" s="6">
        <v>3</v>
      </c>
      <c r="M246" s="6">
        <v>3</v>
      </c>
      <c r="N246" s="6" t="s">
        <v>3</v>
      </c>
      <c r="O246" s="6">
        <v>2</v>
      </c>
      <c r="P246" s="6">
        <f>ROUND(Source!EG242,O246)</f>
        <v>0</v>
      </c>
      <c r="Q246" s="6"/>
      <c r="R246" s="6"/>
      <c r="S246" s="6"/>
      <c r="T246" s="6"/>
      <c r="U246" s="6"/>
      <c r="V246" s="6"/>
      <c r="W246" s="6">
        <v>0</v>
      </c>
      <c r="X246" s="6">
        <v>1</v>
      </c>
      <c r="Y246" s="6">
        <v>0</v>
      </c>
      <c r="Z246" s="6">
        <v>0</v>
      </c>
      <c r="AA246" s="6">
        <v>1</v>
      </c>
      <c r="AB246" s="6">
        <v>0</v>
      </c>
    </row>
    <row r="247" spans="1:206" x14ac:dyDescent="0.3">
      <c r="A247" s="6">
        <v>50</v>
      </c>
      <c r="B247" s="6">
        <v>0</v>
      </c>
      <c r="C247" s="6">
        <v>0</v>
      </c>
      <c r="D247" s="6">
        <v>1</v>
      </c>
      <c r="E247" s="6">
        <v>225</v>
      </c>
      <c r="F247" s="6">
        <f>ROUND(Source!AV242,O247)</f>
        <v>381890.01</v>
      </c>
      <c r="G247" s="6" t="s">
        <v>83</v>
      </c>
      <c r="H247" s="6" t="s">
        <v>84</v>
      </c>
      <c r="I247" s="6"/>
      <c r="J247" s="6"/>
      <c r="K247" s="6">
        <v>225</v>
      </c>
      <c r="L247" s="6">
        <v>4</v>
      </c>
      <c r="M247" s="6">
        <v>3</v>
      </c>
      <c r="N247" s="6" t="s">
        <v>3</v>
      </c>
      <c r="O247" s="6">
        <v>2</v>
      </c>
      <c r="P247" s="6">
        <f>ROUND(Source!EN242,O247)</f>
        <v>2973283.61</v>
      </c>
      <c r="Q247" s="6"/>
      <c r="R247" s="6"/>
      <c r="S247" s="6"/>
      <c r="T247" s="6"/>
      <c r="U247" s="6"/>
      <c r="V247" s="6"/>
      <c r="W247" s="6">
        <v>381890.01</v>
      </c>
      <c r="X247" s="6">
        <v>1</v>
      </c>
      <c r="Y247" s="6">
        <v>381890.01</v>
      </c>
      <c r="Z247" s="6">
        <v>2973283.61</v>
      </c>
      <c r="AA247" s="6">
        <v>1</v>
      </c>
      <c r="AB247" s="6">
        <v>2973283.61</v>
      </c>
    </row>
    <row r="248" spans="1:206" x14ac:dyDescent="0.3">
      <c r="A248" s="6">
        <v>50</v>
      </c>
      <c r="B248" s="6">
        <v>0</v>
      </c>
      <c r="C248" s="6">
        <v>0</v>
      </c>
      <c r="D248" s="6">
        <v>1</v>
      </c>
      <c r="E248" s="6">
        <v>226</v>
      </c>
      <c r="F248" s="6">
        <f>ROUND(Source!AW242,O248)</f>
        <v>86263.44</v>
      </c>
      <c r="G248" s="6" t="s">
        <v>85</v>
      </c>
      <c r="H248" s="6" t="s">
        <v>86</v>
      </c>
      <c r="I248" s="6"/>
      <c r="J248" s="6"/>
      <c r="K248" s="6">
        <v>226</v>
      </c>
      <c r="L248" s="6">
        <v>5</v>
      </c>
      <c r="M248" s="6">
        <v>3</v>
      </c>
      <c r="N248" s="6" t="s">
        <v>3</v>
      </c>
      <c r="O248" s="6">
        <v>2</v>
      </c>
      <c r="P248" s="6">
        <f>ROUND(Source!EO242,O248)</f>
        <v>708784.08</v>
      </c>
      <c r="Q248" s="6"/>
      <c r="R248" s="6"/>
      <c r="S248" s="6"/>
      <c r="T248" s="6"/>
      <c r="U248" s="6"/>
      <c r="V248" s="6"/>
      <c r="W248" s="6">
        <v>86263.44</v>
      </c>
      <c r="X248" s="6">
        <v>1</v>
      </c>
      <c r="Y248" s="6">
        <v>86263.44</v>
      </c>
      <c r="Z248" s="6">
        <v>708784.08</v>
      </c>
      <c r="AA248" s="6">
        <v>1</v>
      </c>
      <c r="AB248" s="6">
        <v>708784.08</v>
      </c>
    </row>
    <row r="249" spans="1:206" x14ac:dyDescent="0.3">
      <c r="A249" s="6">
        <v>50</v>
      </c>
      <c r="B249" s="6">
        <v>0</v>
      </c>
      <c r="C249" s="6">
        <v>0</v>
      </c>
      <c r="D249" s="6">
        <v>1</v>
      </c>
      <c r="E249" s="6">
        <v>227</v>
      </c>
      <c r="F249" s="6">
        <f>ROUND(Source!AX242,O249)</f>
        <v>0</v>
      </c>
      <c r="G249" s="6" t="s">
        <v>87</v>
      </c>
      <c r="H249" s="6" t="s">
        <v>88</v>
      </c>
      <c r="I249" s="6"/>
      <c r="J249" s="6"/>
      <c r="K249" s="6">
        <v>227</v>
      </c>
      <c r="L249" s="6">
        <v>6</v>
      </c>
      <c r="M249" s="6">
        <v>3</v>
      </c>
      <c r="N249" s="6" t="s">
        <v>3</v>
      </c>
      <c r="O249" s="6">
        <v>2</v>
      </c>
      <c r="P249" s="6">
        <f>ROUND(Source!EP242,O249)</f>
        <v>0</v>
      </c>
      <c r="Q249" s="6"/>
      <c r="R249" s="6"/>
      <c r="S249" s="6"/>
      <c r="T249" s="6"/>
      <c r="U249" s="6"/>
      <c r="V249" s="6"/>
      <c r="W249" s="6">
        <v>0</v>
      </c>
      <c r="X249" s="6">
        <v>1</v>
      </c>
      <c r="Y249" s="6">
        <v>0</v>
      </c>
      <c r="Z249" s="6">
        <v>0</v>
      </c>
      <c r="AA249" s="6">
        <v>1</v>
      </c>
      <c r="AB249" s="6">
        <v>0</v>
      </c>
    </row>
    <row r="250" spans="1:206" x14ac:dyDescent="0.3">
      <c r="A250" s="6">
        <v>50</v>
      </c>
      <c r="B250" s="6">
        <v>0</v>
      </c>
      <c r="C250" s="6">
        <v>0</v>
      </c>
      <c r="D250" s="6">
        <v>1</v>
      </c>
      <c r="E250" s="6">
        <v>228</v>
      </c>
      <c r="F250" s="6">
        <f>ROUND(Source!AY242,O250)</f>
        <v>86263.44</v>
      </c>
      <c r="G250" s="6" t="s">
        <v>89</v>
      </c>
      <c r="H250" s="6" t="s">
        <v>90</v>
      </c>
      <c r="I250" s="6"/>
      <c r="J250" s="6"/>
      <c r="K250" s="6">
        <v>228</v>
      </c>
      <c r="L250" s="6">
        <v>7</v>
      </c>
      <c r="M250" s="6">
        <v>3</v>
      </c>
      <c r="N250" s="6" t="s">
        <v>3</v>
      </c>
      <c r="O250" s="6">
        <v>2</v>
      </c>
      <c r="P250" s="6">
        <f>ROUND(Source!EQ242,O250)</f>
        <v>708784.08</v>
      </c>
      <c r="Q250" s="6"/>
      <c r="R250" s="6"/>
      <c r="S250" s="6"/>
      <c r="T250" s="6"/>
      <c r="U250" s="6"/>
      <c r="V250" s="6"/>
      <c r="W250" s="6">
        <v>86263.44</v>
      </c>
      <c r="X250" s="6">
        <v>1</v>
      </c>
      <c r="Y250" s="6">
        <v>86263.44</v>
      </c>
      <c r="Z250" s="6">
        <v>708784.08</v>
      </c>
      <c r="AA250" s="6">
        <v>1</v>
      </c>
      <c r="AB250" s="6">
        <v>708784.08</v>
      </c>
    </row>
    <row r="251" spans="1:206" x14ac:dyDescent="0.3">
      <c r="A251" s="6">
        <v>50</v>
      </c>
      <c r="B251" s="6">
        <v>0</v>
      </c>
      <c r="C251" s="6">
        <v>0</v>
      </c>
      <c r="D251" s="6">
        <v>1</v>
      </c>
      <c r="E251" s="6">
        <v>216</v>
      </c>
      <c r="F251" s="6">
        <f>ROUND(Source!AP242,O251)</f>
        <v>295626.57</v>
      </c>
      <c r="G251" s="6" t="s">
        <v>91</v>
      </c>
      <c r="H251" s="6" t="s">
        <v>92</v>
      </c>
      <c r="I251" s="6"/>
      <c r="J251" s="6"/>
      <c r="K251" s="6">
        <v>216</v>
      </c>
      <c r="L251" s="6">
        <v>8</v>
      </c>
      <c r="M251" s="6">
        <v>3</v>
      </c>
      <c r="N251" s="6" t="s">
        <v>3</v>
      </c>
      <c r="O251" s="6">
        <v>2</v>
      </c>
      <c r="P251" s="6">
        <f>ROUND(Source!EH242,O251)</f>
        <v>2264499.5299999998</v>
      </c>
      <c r="Q251" s="6"/>
      <c r="R251" s="6"/>
      <c r="S251" s="6"/>
      <c r="T251" s="6"/>
      <c r="U251" s="6"/>
      <c r="V251" s="6"/>
      <c r="W251" s="6">
        <v>295626.57</v>
      </c>
      <c r="X251" s="6">
        <v>1</v>
      </c>
      <c r="Y251" s="6">
        <v>295626.57</v>
      </c>
      <c r="Z251" s="6">
        <v>2264499.5299999998</v>
      </c>
      <c r="AA251" s="6">
        <v>1</v>
      </c>
      <c r="AB251" s="6">
        <v>2264499.5299999998</v>
      </c>
    </row>
    <row r="252" spans="1:206" x14ac:dyDescent="0.3">
      <c r="A252" s="6">
        <v>50</v>
      </c>
      <c r="B252" s="6">
        <v>0</v>
      </c>
      <c r="C252" s="6">
        <v>0</v>
      </c>
      <c r="D252" s="6">
        <v>1</v>
      </c>
      <c r="E252" s="6">
        <v>223</v>
      </c>
      <c r="F252" s="6">
        <f>ROUND(Source!AQ242,O252)</f>
        <v>0</v>
      </c>
      <c r="G252" s="6" t="s">
        <v>93</v>
      </c>
      <c r="H252" s="6" t="s">
        <v>94</v>
      </c>
      <c r="I252" s="6"/>
      <c r="J252" s="6"/>
      <c r="K252" s="6">
        <v>223</v>
      </c>
      <c r="L252" s="6">
        <v>9</v>
      </c>
      <c r="M252" s="6">
        <v>3</v>
      </c>
      <c r="N252" s="6" t="s">
        <v>3</v>
      </c>
      <c r="O252" s="6">
        <v>2</v>
      </c>
      <c r="P252" s="6">
        <f>ROUND(Source!EI242,O252)</f>
        <v>0</v>
      </c>
      <c r="Q252" s="6"/>
      <c r="R252" s="6"/>
      <c r="S252" s="6"/>
      <c r="T252" s="6"/>
      <c r="U252" s="6"/>
      <c r="V252" s="6"/>
      <c r="W252" s="6">
        <v>0</v>
      </c>
      <c r="X252" s="6">
        <v>1</v>
      </c>
      <c r="Y252" s="6">
        <v>0</v>
      </c>
      <c r="Z252" s="6">
        <v>0</v>
      </c>
      <c r="AA252" s="6">
        <v>1</v>
      </c>
      <c r="AB252" s="6">
        <v>0</v>
      </c>
    </row>
    <row r="253" spans="1:206" x14ac:dyDescent="0.3">
      <c r="A253" s="6">
        <v>50</v>
      </c>
      <c r="B253" s="6">
        <v>0</v>
      </c>
      <c r="C253" s="6">
        <v>0</v>
      </c>
      <c r="D253" s="6">
        <v>1</v>
      </c>
      <c r="E253" s="6">
        <v>229</v>
      </c>
      <c r="F253" s="6">
        <f>ROUND(Source!AZ242,O253)</f>
        <v>295626.57</v>
      </c>
      <c r="G253" s="6" t="s">
        <v>95</v>
      </c>
      <c r="H253" s="6" t="s">
        <v>96</v>
      </c>
      <c r="I253" s="6"/>
      <c r="J253" s="6"/>
      <c r="K253" s="6">
        <v>229</v>
      </c>
      <c r="L253" s="6">
        <v>10</v>
      </c>
      <c r="M253" s="6">
        <v>3</v>
      </c>
      <c r="N253" s="6" t="s">
        <v>3</v>
      </c>
      <c r="O253" s="6">
        <v>2</v>
      </c>
      <c r="P253" s="6">
        <f>ROUND(Source!ER242,O253)</f>
        <v>2264499.5299999998</v>
      </c>
      <c r="Q253" s="6"/>
      <c r="R253" s="6"/>
      <c r="S253" s="6"/>
      <c r="T253" s="6"/>
      <c r="U253" s="6"/>
      <c r="V253" s="6"/>
      <c r="W253" s="6">
        <v>295626.57</v>
      </c>
      <c r="X253" s="6">
        <v>1</v>
      </c>
      <c r="Y253" s="6">
        <v>295626.57</v>
      </c>
      <c r="Z253" s="6">
        <v>2264499.5299999998</v>
      </c>
      <c r="AA253" s="6">
        <v>1</v>
      </c>
      <c r="AB253" s="6">
        <v>2264499.5299999998</v>
      </c>
    </row>
    <row r="254" spans="1:206" x14ac:dyDescent="0.3">
      <c r="A254" s="6">
        <v>50</v>
      </c>
      <c r="B254" s="6">
        <v>0</v>
      </c>
      <c r="C254" s="6">
        <v>0</v>
      </c>
      <c r="D254" s="6">
        <v>1</v>
      </c>
      <c r="E254" s="6">
        <v>203</v>
      </c>
      <c r="F254" s="6">
        <f>ROUND(Source!Q242,O254)</f>
        <v>1988.84</v>
      </c>
      <c r="G254" s="6" t="s">
        <v>97</v>
      </c>
      <c r="H254" s="6" t="s">
        <v>98</v>
      </c>
      <c r="I254" s="6"/>
      <c r="J254" s="6"/>
      <c r="K254" s="6">
        <v>203</v>
      </c>
      <c r="L254" s="6">
        <v>11</v>
      </c>
      <c r="M254" s="6">
        <v>3</v>
      </c>
      <c r="N254" s="6" t="s">
        <v>3</v>
      </c>
      <c r="O254" s="6">
        <v>2</v>
      </c>
      <c r="P254" s="6">
        <f>ROUND(Source!DI242,O254)</f>
        <v>30716.080000000002</v>
      </c>
      <c r="Q254" s="6"/>
      <c r="R254" s="6"/>
      <c r="S254" s="6"/>
      <c r="T254" s="6"/>
      <c r="U254" s="6"/>
      <c r="V254" s="6"/>
      <c r="W254" s="6">
        <v>1988.84</v>
      </c>
      <c r="X254" s="6">
        <v>1</v>
      </c>
      <c r="Y254" s="6">
        <v>1988.84</v>
      </c>
      <c r="Z254" s="6">
        <v>30716.080000000002</v>
      </c>
      <c r="AA254" s="6">
        <v>1</v>
      </c>
      <c r="AB254" s="6">
        <v>30716.080000000002</v>
      </c>
    </row>
    <row r="255" spans="1:206" x14ac:dyDescent="0.3">
      <c r="A255" s="6">
        <v>50</v>
      </c>
      <c r="B255" s="6">
        <v>0</v>
      </c>
      <c r="C255" s="6">
        <v>0</v>
      </c>
      <c r="D255" s="6">
        <v>1</v>
      </c>
      <c r="E255" s="6">
        <v>231</v>
      </c>
      <c r="F255" s="6">
        <f>ROUND(Source!BB242,O255)</f>
        <v>0</v>
      </c>
      <c r="G255" s="6" t="s">
        <v>99</v>
      </c>
      <c r="H255" s="6" t="s">
        <v>100</v>
      </c>
      <c r="I255" s="6"/>
      <c r="J255" s="6"/>
      <c r="K255" s="6">
        <v>231</v>
      </c>
      <c r="L255" s="6">
        <v>12</v>
      </c>
      <c r="M255" s="6">
        <v>3</v>
      </c>
      <c r="N255" s="6" t="s">
        <v>3</v>
      </c>
      <c r="O255" s="6">
        <v>2</v>
      </c>
      <c r="P255" s="6">
        <f>ROUND(Source!ET242,O255)</f>
        <v>0</v>
      </c>
      <c r="Q255" s="6"/>
      <c r="R255" s="6"/>
      <c r="S255" s="6"/>
      <c r="T255" s="6"/>
      <c r="U255" s="6"/>
      <c r="V255" s="6"/>
      <c r="W255" s="6">
        <v>0</v>
      </c>
      <c r="X255" s="6">
        <v>1</v>
      </c>
      <c r="Y255" s="6">
        <v>0</v>
      </c>
      <c r="Z255" s="6">
        <v>0</v>
      </c>
      <c r="AA255" s="6">
        <v>1</v>
      </c>
      <c r="AB255" s="6">
        <v>0</v>
      </c>
    </row>
    <row r="256" spans="1:206" x14ac:dyDescent="0.3">
      <c r="A256" s="6">
        <v>50</v>
      </c>
      <c r="B256" s="6">
        <v>0</v>
      </c>
      <c r="C256" s="6">
        <v>0</v>
      </c>
      <c r="D256" s="6">
        <v>1</v>
      </c>
      <c r="E256" s="6">
        <v>204</v>
      </c>
      <c r="F256" s="6">
        <f>ROUND(Source!R242,O256)</f>
        <v>219.38</v>
      </c>
      <c r="G256" s="6" t="s">
        <v>101</v>
      </c>
      <c r="H256" s="6" t="s">
        <v>102</v>
      </c>
      <c r="I256" s="6"/>
      <c r="J256" s="6"/>
      <c r="K256" s="6">
        <v>204</v>
      </c>
      <c r="L256" s="6">
        <v>13</v>
      </c>
      <c r="M256" s="6">
        <v>3</v>
      </c>
      <c r="N256" s="6" t="s">
        <v>3</v>
      </c>
      <c r="O256" s="6">
        <v>2</v>
      </c>
      <c r="P256" s="6">
        <f>ROUND(Source!DJ242,O256)</f>
        <v>12063.71</v>
      </c>
      <c r="Q256" s="6"/>
      <c r="R256" s="6"/>
      <c r="S256" s="6"/>
      <c r="T256" s="6"/>
      <c r="U256" s="6"/>
      <c r="V256" s="6"/>
      <c r="W256" s="6">
        <v>219.38</v>
      </c>
      <c r="X256" s="6">
        <v>1</v>
      </c>
      <c r="Y256" s="6">
        <v>219.38</v>
      </c>
      <c r="Z256" s="6">
        <v>12063.71</v>
      </c>
      <c r="AA256" s="6">
        <v>1</v>
      </c>
      <c r="AB256" s="6">
        <v>12063.71</v>
      </c>
    </row>
    <row r="257" spans="1:88" x14ac:dyDescent="0.3">
      <c r="A257" s="6">
        <v>50</v>
      </c>
      <c r="B257" s="6">
        <v>0</v>
      </c>
      <c r="C257" s="6">
        <v>0</v>
      </c>
      <c r="D257" s="6">
        <v>1</v>
      </c>
      <c r="E257" s="6">
        <v>205</v>
      </c>
      <c r="F257" s="6">
        <f>ROUND(Source!S242,O257)</f>
        <v>9284.1200000000008</v>
      </c>
      <c r="G257" s="6" t="s">
        <v>103</v>
      </c>
      <c r="H257" s="6" t="s">
        <v>104</v>
      </c>
      <c r="I257" s="6"/>
      <c r="J257" s="6"/>
      <c r="K257" s="6">
        <v>205</v>
      </c>
      <c r="L257" s="6">
        <v>14</v>
      </c>
      <c r="M257" s="6">
        <v>3</v>
      </c>
      <c r="N257" s="6" t="s">
        <v>3</v>
      </c>
      <c r="O257" s="6">
        <v>2</v>
      </c>
      <c r="P257" s="6">
        <f>ROUND(Source!DK242,O257)</f>
        <v>510533.77</v>
      </c>
      <c r="Q257" s="6"/>
      <c r="R257" s="6"/>
      <c r="S257" s="6"/>
      <c r="T257" s="6"/>
      <c r="U257" s="6"/>
      <c r="V257" s="6"/>
      <c r="W257" s="6">
        <v>9284.1200000000008</v>
      </c>
      <c r="X257" s="6">
        <v>1</v>
      </c>
      <c r="Y257" s="6">
        <v>9284.1200000000008</v>
      </c>
      <c r="Z257" s="6">
        <v>510533.77</v>
      </c>
      <c r="AA257" s="6">
        <v>1</v>
      </c>
      <c r="AB257" s="6">
        <v>510533.77</v>
      </c>
    </row>
    <row r="258" spans="1:88" x14ac:dyDescent="0.3">
      <c r="A258" s="6">
        <v>50</v>
      </c>
      <c r="B258" s="6">
        <v>0</v>
      </c>
      <c r="C258" s="6">
        <v>0</v>
      </c>
      <c r="D258" s="6">
        <v>1</v>
      </c>
      <c r="E258" s="6">
        <v>232</v>
      </c>
      <c r="F258" s="6">
        <f>ROUND(Source!BC242,O258)</f>
        <v>0</v>
      </c>
      <c r="G258" s="6" t="s">
        <v>105</v>
      </c>
      <c r="H258" s="6" t="s">
        <v>106</v>
      </c>
      <c r="I258" s="6"/>
      <c r="J258" s="6"/>
      <c r="K258" s="6">
        <v>232</v>
      </c>
      <c r="L258" s="6">
        <v>15</v>
      </c>
      <c r="M258" s="6">
        <v>3</v>
      </c>
      <c r="N258" s="6" t="s">
        <v>3</v>
      </c>
      <c r="O258" s="6">
        <v>2</v>
      </c>
      <c r="P258" s="6">
        <f>ROUND(Source!EU242,O258)</f>
        <v>0</v>
      </c>
      <c r="Q258" s="6"/>
      <c r="R258" s="6"/>
      <c r="S258" s="6"/>
      <c r="T258" s="6"/>
      <c r="U258" s="6"/>
      <c r="V258" s="6"/>
      <c r="W258" s="6">
        <v>0</v>
      </c>
      <c r="X258" s="6">
        <v>1</v>
      </c>
      <c r="Y258" s="6">
        <v>0</v>
      </c>
      <c r="Z258" s="6">
        <v>0</v>
      </c>
      <c r="AA258" s="6">
        <v>1</v>
      </c>
      <c r="AB258" s="6">
        <v>0</v>
      </c>
    </row>
    <row r="259" spans="1:88" x14ac:dyDescent="0.3">
      <c r="A259" s="6">
        <v>50</v>
      </c>
      <c r="B259" s="6">
        <v>0</v>
      </c>
      <c r="C259" s="6">
        <v>0</v>
      </c>
      <c r="D259" s="6">
        <v>1</v>
      </c>
      <c r="E259" s="6">
        <v>214</v>
      </c>
      <c r="F259" s="6">
        <f>ROUND(Source!AS242,O259)</f>
        <v>0</v>
      </c>
      <c r="G259" s="6" t="s">
        <v>107</v>
      </c>
      <c r="H259" s="6" t="s">
        <v>108</v>
      </c>
      <c r="I259" s="6"/>
      <c r="J259" s="6"/>
      <c r="K259" s="6">
        <v>214</v>
      </c>
      <c r="L259" s="6">
        <v>16</v>
      </c>
      <c r="M259" s="6">
        <v>3</v>
      </c>
      <c r="N259" s="6" t="s">
        <v>3</v>
      </c>
      <c r="O259" s="6">
        <v>2</v>
      </c>
      <c r="P259" s="6">
        <f>ROUND(Source!EK242,O259)</f>
        <v>0</v>
      </c>
      <c r="Q259" s="6"/>
      <c r="R259" s="6"/>
      <c r="S259" s="6"/>
      <c r="T259" s="6"/>
      <c r="U259" s="6"/>
      <c r="V259" s="6"/>
      <c r="W259" s="6">
        <v>0</v>
      </c>
      <c r="X259" s="6">
        <v>1</v>
      </c>
      <c r="Y259" s="6">
        <v>0</v>
      </c>
      <c r="Z259" s="6">
        <v>0</v>
      </c>
      <c r="AA259" s="6">
        <v>1</v>
      </c>
      <c r="AB259" s="6">
        <v>0</v>
      </c>
    </row>
    <row r="260" spans="1:88" x14ac:dyDescent="0.3">
      <c r="A260" s="6">
        <v>50</v>
      </c>
      <c r="B260" s="6">
        <v>0</v>
      </c>
      <c r="C260" s="6">
        <v>0</v>
      </c>
      <c r="D260" s="6">
        <v>1</v>
      </c>
      <c r="E260" s="6">
        <v>215</v>
      </c>
      <c r="F260" s="6">
        <f>ROUND(Source!AT242,O260)</f>
        <v>110903.32</v>
      </c>
      <c r="G260" s="6" t="s">
        <v>109</v>
      </c>
      <c r="H260" s="6" t="s">
        <v>110</v>
      </c>
      <c r="I260" s="6"/>
      <c r="J260" s="6"/>
      <c r="K260" s="6">
        <v>215</v>
      </c>
      <c r="L260" s="6">
        <v>17</v>
      </c>
      <c r="M260" s="6">
        <v>3</v>
      </c>
      <c r="N260" s="6" t="s">
        <v>3</v>
      </c>
      <c r="O260" s="6">
        <v>2</v>
      </c>
      <c r="P260" s="6">
        <f>ROUND(Source!EL242,O260)</f>
        <v>1985080.91</v>
      </c>
      <c r="Q260" s="6"/>
      <c r="R260" s="6"/>
      <c r="S260" s="6"/>
      <c r="T260" s="6"/>
      <c r="U260" s="6"/>
      <c r="V260" s="6"/>
      <c r="W260" s="6">
        <v>110903.32</v>
      </c>
      <c r="X260" s="6">
        <v>1</v>
      </c>
      <c r="Y260" s="6">
        <v>110903.32</v>
      </c>
      <c r="Z260" s="6">
        <v>1985080.91</v>
      </c>
      <c r="AA260" s="6">
        <v>1</v>
      </c>
      <c r="AB260" s="6">
        <v>1985080.91</v>
      </c>
    </row>
    <row r="261" spans="1:88" x14ac:dyDescent="0.3">
      <c r="A261" s="6">
        <v>50</v>
      </c>
      <c r="B261" s="6">
        <v>0</v>
      </c>
      <c r="C261" s="6">
        <v>0</v>
      </c>
      <c r="D261" s="6">
        <v>1</v>
      </c>
      <c r="E261" s="6">
        <v>217</v>
      </c>
      <c r="F261" s="6">
        <f>ROUND(Source!AU242,O261)</f>
        <v>0</v>
      </c>
      <c r="G261" s="6" t="s">
        <v>111</v>
      </c>
      <c r="H261" s="6" t="s">
        <v>112</v>
      </c>
      <c r="I261" s="6"/>
      <c r="J261" s="6"/>
      <c r="K261" s="6">
        <v>217</v>
      </c>
      <c r="L261" s="6">
        <v>18</v>
      </c>
      <c r="M261" s="6">
        <v>3</v>
      </c>
      <c r="N261" s="6" t="s">
        <v>3</v>
      </c>
      <c r="O261" s="6">
        <v>2</v>
      </c>
      <c r="P261" s="6">
        <f>ROUND(Source!EM242,O261)</f>
        <v>0</v>
      </c>
      <c r="Q261" s="6"/>
      <c r="R261" s="6"/>
      <c r="S261" s="6"/>
      <c r="T261" s="6"/>
      <c r="U261" s="6"/>
      <c r="V261" s="6"/>
      <c r="W261" s="6">
        <v>0</v>
      </c>
      <c r="X261" s="6">
        <v>1</v>
      </c>
      <c r="Y261" s="6">
        <v>0</v>
      </c>
      <c r="Z261" s="6">
        <v>0</v>
      </c>
      <c r="AA261" s="6">
        <v>1</v>
      </c>
      <c r="AB261" s="6">
        <v>0</v>
      </c>
    </row>
    <row r="262" spans="1:88" x14ac:dyDescent="0.3">
      <c r="A262" s="6">
        <v>50</v>
      </c>
      <c r="B262" s="6">
        <v>0</v>
      </c>
      <c r="C262" s="6">
        <v>0</v>
      </c>
      <c r="D262" s="6">
        <v>1</v>
      </c>
      <c r="E262" s="6">
        <v>230</v>
      </c>
      <c r="F262" s="6">
        <f>ROUND(Source!BA242,O262)</f>
        <v>0</v>
      </c>
      <c r="G262" s="6" t="s">
        <v>113</v>
      </c>
      <c r="H262" s="6" t="s">
        <v>114</v>
      </c>
      <c r="I262" s="6"/>
      <c r="J262" s="6"/>
      <c r="K262" s="6">
        <v>230</v>
      </c>
      <c r="L262" s="6">
        <v>19</v>
      </c>
      <c r="M262" s="6">
        <v>3</v>
      </c>
      <c r="N262" s="6" t="s">
        <v>3</v>
      </c>
      <c r="O262" s="6">
        <v>2</v>
      </c>
      <c r="P262" s="6">
        <f>ROUND(Source!ES242,O262)</f>
        <v>0</v>
      </c>
      <c r="Q262" s="6"/>
      <c r="R262" s="6"/>
      <c r="S262" s="6"/>
      <c r="T262" s="6"/>
      <c r="U262" s="6"/>
      <c r="V262" s="6"/>
      <c r="W262" s="6">
        <v>0</v>
      </c>
      <c r="X262" s="6">
        <v>1</v>
      </c>
      <c r="Y262" s="6">
        <v>0</v>
      </c>
      <c r="Z262" s="6">
        <v>0</v>
      </c>
      <c r="AA262" s="6">
        <v>1</v>
      </c>
      <c r="AB262" s="6">
        <v>0</v>
      </c>
    </row>
    <row r="263" spans="1:88" x14ac:dyDescent="0.3">
      <c r="A263" s="6">
        <v>50</v>
      </c>
      <c r="B263" s="6">
        <v>0</v>
      </c>
      <c r="C263" s="6">
        <v>0</v>
      </c>
      <c r="D263" s="6">
        <v>1</v>
      </c>
      <c r="E263" s="6">
        <v>206</v>
      </c>
      <c r="F263" s="6">
        <f>ROUND(Source!T242,O263)</f>
        <v>0</v>
      </c>
      <c r="G263" s="6" t="s">
        <v>115</v>
      </c>
      <c r="H263" s="6" t="s">
        <v>116</v>
      </c>
      <c r="I263" s="6"/>
      <c r="J263" s="6"/>
      <c r="K263" s="6">
        <v>206</v>
      </c>
      <c r="L263" s="6">
        <v>20</v>
      </c>
      <c r="M263" s="6">
        <v>3</v>
      </c>
      <c r="N263" s="6" t="s">
        <v>3</v>
      </c>
      <c r="O263" s="6">
        <v>2</v>
      </c>
      <c r="P263" s="6">
        <f>ROUND(Source!DL242,O263)</f>
        <v>0</v>
      </c>
      <c r="Q263" s="6"/>
      <c r="R263" s="6"/>
      <c r="S263" s="6"/>
      <c r="T263" s="6"/>
      <c r="U263" s="6"/>
      <c r="V263" s="6"/>
      <c r="W263" s="6">
        <v>0</v>
      </c>
      <c r="X263" s="6">
        <v>1</v>
      </c>
      <c r="Y263" s="6">
        <v>0</v>
      </c>
      <c r="Z263" s="6">
        <v>0</v>
      </c>
      <c r="AA263" s="6">
        <v>1</v>
      </c>
      <c r="AB263" s="6">
        <v>0</v>
      </c>
    </row>
    <row r="264" spans="1:88" x14ac:dyDescent="0.3">
      <c r="A264" s="6">
        <v>50</v>
      </c>
      <c r="B264" s="6">
        <v>0</v>
      </c>
      <c r="C264" s="6">
        <v>0</v>
      </c>
      <c r="D264" s="6">
        <v>1</v>
      </c>
      <c r="E264" s="6">
        <v>207</v>
      </c>
      <c r="F264" s="6">
        <f>Source!U242</f>
        <v>774.58792785000003</v>
      </c>
      <c r="G264" s="6" t="s">
        <v>117</v>
      </c>
      <c r="H264" s="6" t="s">
        <v>118</v>
      </c>
      <c r="I264" s="6"/>
      <c r="J264" s="6"/>
      <c r="K264" s="6">
        <v>207</v>
      </c>
      <c r="L264" s="6">
        <v>21</v>
      </c>
      <c r="M264" s="6">
        <v>3</v>
      </c>
      <c r="N264" s="6" t="s">
        <v>3</v>
      </c>
      <c r="O264" s="6">
        <v>-1</v>
      </c>
      <c r="P264" s="6">
        <f>Source!DM242</f>
        <v>774.58792785000003</v>
      </c>
      <c r="Q264" s="6"/>
      <c r="R264" s="6"/>
      <c r="S264" s="6"/>
      <c r="T264" s="6"/>
      <c r="U264" s="6"/>
      <c r="V264" s="6"/>
      <c r="W264" s="6">
        <v>774.58792785000003</v>
      </c>
      <c r="X264" s="6">
        <v>1</v>
      </c>
      <c r="Y264" s="6">
        <v>774.58792785000003</v>
      </c>
      <c r="Z264" s="6">
        <v>774.58792785000003</v>
      </c>
      <c r="AA264" s="6">
        <v>1</v>
      </c>
      <c r="AB264" s="6">
        <v>774.58792785000003</v>
      </c>
    </row>
    <row r="265" spans="1:88" x14ac:dyDescent="0.3">
      <c r="A265" s="6">
        <v>50</v>
      </c>
      <c r="B265" s="6">
        <v>0</v>
      </c>
      <c r="C265" s="6">
        <v>0</v>
      </c>
      <c r="D265" s="6">
        <v>1</v>
      </c>
      <c r="E265" s="6">
        <v>208</v>
      </c>
      <c r="F265" s="6">
        <f>Source!V242</f>
        <v>0</v>
      </c>
      <c r="G265" s="6" t="s">
        <v>119</v>
      </c>
      <c r="H265" s="6" t="s">
        <v>120</v>
      </c>
      <c r="I265" s="6"/>
      <c r="J265" s="6"/>
      <c r="K265" s="6">
        <v>208</v>
      </c>
      <c r="L265" s="6">
        <v>22</v>
      </c>
      <c r="M265" s="6">
        <v>3</v>
      </c>
      <c r="N265" s="6" t="s">
        <v>3</v>
      </c>
      <c r="O265" s="6">
        <v>-1</v>
      </c>
      <c r="P265" s="6">
        <f>Source!DN242</f>
        <v>0</v>
      </c>
      <c r="Q265" s="6"/>
      <c r="R265" s="6"/>
      <c r="S265" s="6"/>
      <c r="T265" s="6"/>
      <c r="U265" s="6"/>
      <c r="V265" s="6"/>
      <c r="W265" s="6">
        <v>0</v>
      </c>
      <c r="X265" s="6">
        <v>1</v>
      </c>
      <c r="Y265" s="6">
        <v>0</v>
      </c>
      <c r="Z265" s="6">
        <v>0</v>
      </c>
      <c r="AA265" s="6">
        <v>1</v>
      </c>
      <c r="AB265" s="6">
        <v>0</v>
      </c>
    </row>
    <row r="266" spans="1:88" x14ac:dyDescent="0.3">
      <c r="A266" s="6">
        <v>50</v>
      </c>
      <c r="B266" s="6">
        <v>0</v>
      </c>
      <c r="C266" s="6">
        <v>0</v>
      </c>
      <c r="D266" s="6">
        <v>1</v>
      </c>
      <c r="E266" s="6">
        <v>209</v>
      </c>
      <c r="F266" s="6">
        <f>ROUND(Source!W242,O266)</f>
        <v>0</v>
      </c>
      <c r="G266" s="6" t="s">
        <v>121</v>
      </c>
      <c r="H266" s="6" t="s">
        <v>122</v>
      </c>
      <c r="I266" s="6"/>
      <c r="J266" s="6"/>
      <c r="K266" s="6">
        <v>209</v>
      </c>
      <c r="L266" s="6">
        <v>23</v>
      </c>
      <c r="M266" s="6">
        <v>3</v>
      </c>
      <c r="N266" s="6" t="s">
        <v>3</v>
      </c>
      <c r="O266" s="6">
        <v>2</v>
      </c>
      <c r="P266" s="6">
        <f>ROUND(Source!DO242,O266)</f>
        <v>0</v>
      </c>
      <c r="Q266" s="6"/>
      <c r="R266" s="6"/>
      <c r="S266" s="6"/>
      <c r="T266" s="6"/>
      <c r="U266" s="6"/>
      <c r="V266" s="6"/>
      <c r="W266" s="6">
        <v>0</v>
      </c>
      <c r="X266" s="6">
        <v>1</v>
      </c>
      <c r="Y266" s="6">
        <v>0</v>
      </c>
      <c r="Z266" s="6">
        <v>0</v>
      </c>
      <c r="AA266" s="6">
        <v>1</v>
      </c>
      <c r="AB266" s="6">
        <v>0</v>
      </c>
    </row>
    <row r="267" spans="1:88" x14ac:dyDescent="0.3">
      <c r="A267" s="6">
        <v>50</v>
      </c>
      <c r="B267" s="6">
        <v>0</v>
      </c>
      <c r="C267" s="6">
        <v>0</v>
      </c>
      <c r="D267" s="6">
        <v>1</v>
      </c>
      <c r="E267" s="6">
        <v>233</v>
      </c>
      <c r="F267" s="6">
        <f>ROUND(Source!BD242,O267)</f>
        <v>0</v>
      </c>
      <c r="G267" s="6" t="s">
        <v>123</v>
      </c>
      <c r="H267" s="6" t="s">
        <v>124</v>
      </c>
      <c r="I267" s="6"/>
      <c r="J267" s="6"/>
      <c r="K267" s="6">
        <v>233</v>
      </c>
      <c r="L267" s="6">
        <v>24</v>
      </c>
      <c r="M267" s="6">
        <v>3</v>
      </c>
      <c r="N267" s="6" t="s">
        <v>3</v>
      </c>
      <c r="O267" s="6">
        <v>2</v>
      </c>
      <c r="P267" s="6">
        <f>ROUND(Source!EV242,O267)</f>
        <v>0</v>
      </c>
      <c r="Q267" s="6"/>
      <c r="R267" s="6"/>
      <c r="S267" s="6"/>
      <c r="T267" s="6"/>
      <c r="U267" s="6"/>
      <c r="V267" s="6"/>
      <c r="W267" s="6">
        <v>0</v>
      </c>
      <c r="X267" s="6">
        <v>1</v>
      </c>
      <c r="Y267" s="6">
        <v>0</v>
      </c>
      <c r="Z267" s="6">
        <v>0</v>
      </c>
      <c r="AA267" s="6">
        <v>1</v>
      </c>
      <c r="AB267" s="6">
        <v>0</v>
      </c>
    </row>
    <row r="268" spans="1:88" x14ac:dyDescent="0.3">
      <c r="A268" s="6">
        <v>50</v>
      </c>
      <c r="B268" s="6">
        <v>0</v>
      </c>
      <c r="C268" s="6">
        <v>0</v>
      </c>
      <c r="D268" s="6">
        <v>1</v>
      </c>
      <c r="E268" s="6">
        <v>210</v>
      </c>
      <c r="F268" s="6">
        <f>ROUND(Source!X242,O268)</f>
        <v>8811.08</v>
      </c>
      <c r="G268" s="6" t="s">
        <v>125</v>
      </c>
      <c r="H268" s="6" t="s">
        <v>126</v>
      </c>
      <c r="I268" s="6"/>
      <c r="J268" s="6"/>
      <c r="K268" s="6">
        <v>210</v>
      </c>
      <c r="L268" s="6">
        <v>25</v>
      </c>
      <c r="M268" s="6">
        <v>3</v>
      </c>
      <c r="N268" s="6" t="s">
        <v>3</v>
      </c>
      <c r="O268" s="6">
        <v>2</v>
      </c>
      <c r="P268" s="6">
        <f>ROUND(Source!DP242,O268)</f>
        <v>484521.14</v>
      </c>
      <c r="Q268" s="6"/>
      <c r="R268" s="6"/>
      <c r="S268" s="6"/>
      <c r="T268" s="6"/>
      <c r="U268" s="6"/>
      <c r="V268" s="6"/>
      <c r="W268" s="6">
        <v>8811.08</v>
      </c>
      <c r="X268" s="6">
        <v>1</v>
      </c>
      <c r="Y268" s="6">
        <v>8811.08</v>
      </c>
      <c r="Z268" s="6">
        <v>484521.14</v>
      </c>
      <c r="AA268" s="6">
        <v>1</v>
      </c>
      <c r="AB268" s="6">
        <v>484521.14</v>
      </c>
    </row>
    <row r="269" spans="1:88" x14ac:dyDescent="0.3">
      <c r="A269" s="6">
        <v>50</v>
      </c>
      <c r="B269" s="6">
        <v>0</v>
      </c>
      <c r="C269" s="6">
        <v>0</v>
      </c>
      <c r="D269" s="6">
        <v>1</v>
      </c>
      <c r="E269" s="6">
        <v>211</v>
      </c>
      <c r="F269" s="6">
        <f>ROUND(Source!Y242,O269)</f>
        <v>4555.84</v>
      </c>
      <c r="G269" s="6" t="s">
        <v>127</v>
      </c>
      <c r="H269" s="6" t="s">
        <v>128</v>
      </c>
      <c r="I269" s="6"/>
      <c r="J269" s="6"/>
      <c r="K269" s="6">
        <v>211</v>
      </c>
      <c r="L269" s="6">
        <v>26</v>
      </c>
      <c r="M269" s="6">
        <v>3</v>
      </c>
      <c r="N269" s="6" t="s">
        <v>3</v>
      </c>
      <c r="O269" s="6">
        <v>2</v>
      </c>
      <c r="P269" s="6">
        <f>ROUND(Source!DQ242,O269)</f>
        <v>250525.84</v>
      </c>
      <c r="Q269" s="6"/>
      <c r="R269" s="6"/>
      <c r="S269" s="6"/>
      <c r="T269" s="6"/>
      <c r="U269" s="6"/>
      <c r="V269" s="6"/>
      <c r="W269" s="6">
        <v>4555.84</v>
      </c>
      <c r="X269" s="6">
        <v>1</v>
      </c>
      <c r="Y269" s="6">
        <v>4555.84</v>
      </c>
      <c r="Z269" s="6">
        <v>250525.84</v>
      </c>
      <c r="AA269" s="6">
        <v>1</v>
      </c>
      <c r="AB269" s="6">
        <v>250525.84</v>
      </c>
    </row>
    <row r="270" spans="1:88" x14ac:dyDescent="0.3">
      <c r="A270" s="6">
        <v>50</v>
      </c>
      <c r="B270" s="6">
        <v>0</v>
      </c>
      <c r="C270" s="6">
        <v>0</v>
      </c>
      <c r="D270" s="6">
        <v>1</v>
      </c>
      <c r="E270" s="6">
        <v>224</v>
      </c>
      <c r="F270" s="6">
        <f>ROUND(Source!AR242,O270)</f>
        <v>406529.89</v>
      </c>
      <c r="G270" s="6" t="s">
        <v>129</v>
      </c>
      <c r="H270" s="6" t="s">
        <v>130</v>
      </c>
      <c r="I270" s="6"/>
      <c r="J270" s="6"/>
      <c r="K270" s="6">
        <v>224</v>
      </c>
      <c r="L270" s="6">
        <v>27</v>
      </c>
      <c r="M270" s="6">
        <v>3</v>
      </c>
      <c r="N270" s="6" t="s">
        <v>3</v>
      </c>
      <c r="O270" s="6">
        <v>2</v>
      </c>
      <c r="P270" s="6">
        <f>ROUND(Source!EJ242,O270)</f>
        <v>4249580.4400000004</v>
      </c>
      <c r="Q270" s="6"/>
      <c r="R270" s="6"/>
      <c r="S270" s="6"/>
      <c r="T270" s="6"/>
      <c r="U270" s="6"/>
      <c r="V270" s="6"/>
      <c r="W270" s="6">
        <v>406529.89</v>
      </c>
      <c r="X270" s="6">
        <v>1</v>
      </c>
      <c r="Y270" s="6">
        <v>406529.89</v>
      </c>
      <c r="Z270" s="6">
        <v>4249580.4400000004</v>
      </c>
      <c r="AA270" s="6">
        <v>1</v>
      </c>
      <c r="AB270" s="6">
        <v>4249580.4400000004</v>
      </c>
    </row>
    <row r="272" spans="1:88" x14ac:dyDescent="0.3">
      <c r="A272" s="1">
        <v>4</v>
      </c>
      <c r="B272" s="1">
        <v>1</v>
      </c>
      <c r="C272" s="1"/>
      <c r="D272" s="1">
        <f>ROW(A339)</f>
        <v>339</v>
      </c>
      <c r="E272" s="1"/>
      <c r="F272" s="1" t="s">
        <v>3</v>
      </c>
      <c r="G272" s="1" t="s">
        <v>277</v>
      </c>
      <c r="H272" s="1" t="s">
        <v>3</v>
      </c>
      <c r="I272" s="1">
        <v>0</v>
      </c>
      <c r="J272" s="1"/>
      <c r="K272" s="1">
        <v>-1</v>
      </c>
      <c r="L272" s="1"/>
      <c r="M272" s="1" t="s">
        <v>3</v>
      </c>
      <c r="N272" s="1"/>
      <c r="O272" s="1"/>
      <c r="P272" s="1"/>
      <c r="Q272" s="1"/>
      <c r="R272" s="1"/>
      <c r="S272" s="1">
        <v>0</v>
      </c>
      <c r="T272" s="1">
        <v>0</v>
      </c>
      <c r="U272" s="1" t="s">
        <v>3</v>
      </c>
      <c r="V272" s="1">
        <v>0</v>
      </c>
      <c r="W272" s="1"/>
      <c r="X272" s="1"/>
      <c r="Y272" s="1"/>
      <c r="Z272" s="1"/>
      <c r="AA272" s="1"/>
      <c r="AB272" s="1" t="s">
        <v>3</v>
      </c>
      <c r="AC272" s="1" t="s">
        <v>3</v>
      </c>
      <c r="AD272" s="1" t="s">
        <v>3</v>
      </c>
      <c r="AE272" s="1" t="s">
        <v>3</v>
      </c>
      <c r="AF272" s="1" t="s">
        <v>3</v>
      </c>
      <c r="AG272" s="1" t="s">
        <v>3</v>
      </c>
      <c r="AH272" s="1"/>
      <c r="AI272" s="1"/>
      <c r="AJ272" s="1"/>
      <c r="AK272" s="1"/>
      <c r="AL272" s="1"/>
      <c r="AM272" s="1"/>
      <c r="AN272" s="1"/>
      <c r="AO272" s="1"/>
      <c r="AP272" s="1" t="s">
        <v>3</v>
      </c>
      <c r="AQ272" s="1" t="s">
        <v>3</v>
      </c>
      <c r="AR272" s="1" t="s">
        <v>3</v>
      </c>
      <c r="AS272" s="1"/>
      <c r="AT272" s="1"/>
      <c r="AU272" s="1"/>
      <c r="AV272" s="1"/>
      <c r="AW272" s="1"/>
      <c r="AX272" s="1"/>
      <c r="AY272" s="1"/>
      <c r="AZ272" s="1" t="s">
        <v>3</v>
      </c>
      <c r="BA272" s="1"/>
      <c r="BB272" s="1" t="s">
        <v>3</v>
      </c>
      <c r="BC272" s="1" t="s">
        <v>3</v>
      </c>
      <c r="BD272" s="1" t="s">
        <v>3</v>
      </c>
      <c r="BE272" s="1" t="s">
        <v>3</v>
      </c>
      <c r="BF272" s="1" t="s">
        <v>3</v>
      </c>
      <c r="BG272" s="1" t="s">
        <v>3</v>
      </c>
      <c r="BH272" s="1" t="s">
        <v>3</v>
      </c>
      <c r="BI272" s="1" t="s">
        <v>3</v>
      </c>
      <c r="BJ272" s="1" t="s">
        <v>3</v>
      </c>
      <c r="BK272" s="1" t="s">
        <v>3</v>
      </c>
      <c r="BL272" s="1" t="s">
        <v>3</v>
      </c>
      <c r="BM272" s="1" t="s">
        <v>3</v>
      </c>
      <c r="BN272" s="1" t="s">
        <v>3</v>
      </c>
      <c r="BO272" s="1" t="s">
        <v>3</v>
      </c>
      <c r="BP272" s="1" t="s">
        <v>3</v>
      </c>
      <c r="BQ272" s="1"/>
      <c r="BR272" s="1"/>
      <c r="BS272" s="1"/>
      <c r="BT272" s="1"/>
      <c r="BU272" s="1"/>
      <c r="BV272" s="1"/>
      <c r="BW272" s="1"/>
      <c r="BX272" s="1">
        <v>0</v>
      </c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>
        <v>0</v>
      </c>
    </row>
    <row r="274" spans="1:255" x14ac:dyDescent="0.3">
      <c r="A274" s="4">
        <v>52</v>
      </c>
      <c r="B274" s="4">
        <f t="shared" ref="B274:G274" si="231">B339</f>
        <v>1</v>
      </c>
      <c r="C274" s="4">
        <f t="shared" si="231"/>
        <v>4</v>
      </c>
      <c r="D274" s="4">
        <f t="shared" si="231"/>
        <v>272</v>
      </c>
      <c r="E274" s="4">
        <f t="shared" si="231"/>
        <v>0</v>
      </c>
      <c r="F274" s="4" t="str">
        <f t="shared" si="231"/>
        <v/>
      </c>
      <c r="G274" s="4" t="str">
        <f t="shared" si="231"/>
        <v>Кабель, трубы</v>
      </c>
      <c r="H274" s="4"/>
      <c r="I274" s="4"/>
      <c r="J274" s="4"/>
      <c r="K274" s="4"/>
      <c r="L274" s="4"/>
      <c r="M274" s="4"/>
      <c r="N274" s="4"/>
      <c r="O274" s="4">
        <f t="shared" ref="O274:AT274" si="232">O339</f>
        <v>235417.60000000001</v>
      </c>
      <c r="P274" s="4">
        <f t="shared" si="232"/>
        <v>211251.87</v>
      </c>
      <c r="Q274" s="4">
        <f t="shared" si="232"/>
        <v>343.87</v>
      </c>
      <c r="R274" s="4">
        <f t="shared" si="232"/>
        <v>17.04</v>
      </c>
      <c r="S274" s="4">
        <f t="shared" si="232"/>
        <v>23821.86</v>
      </c>
      <c r="T274" s="4">
        <f t="shared" si="232"/>
        <v>0</v>
      </c>
      <c r="U274" s="4">
        <f t="shared" si="232"/>
        <v>2006.6363935200002</v>
      </c>
      <c r="V274" s="4">
        <f t="shared" si="232"/>
        <v>0</v>
      </c>
      <c r="W274" s="4">
        <f t="shared" si="232"/>
        <v>0</v>
      </c>
      <c r="X274" s="4">
        <f t="shared" si="232"/>
        <v>21642.54</v>
      </c>
      <c r="Y274" s="4">
        <f t="shared" si="232"/>
        <v>11099.85</v>
      </c>
      <c r="Z274" s="4">
        <f t="shared" si="232"/>
        <v>0</v>
      </c>
      <c r="AA274" s="4">
        <f t="shared" si="232"/>
        <v>0</v>
      </c>
      <c r="AB274" s="4">
        <f t="shared" si="232"/>
        <v>235417.60000000001</v>
      </c>
      <c r="AC274" s="4">
        <f t="shared" si="232"/>
        <v>211251.87</v>
      </c>
      <c r="AD274" s="4">
        <f t="shared" si="232"/>
        <v>343.87</v>
      </c>
      <c r="AE274" s="4">
        <f t="shared" si="232"/>
        <v>17.04</v>
      </c>
      <c r="AF274" s="4">
        <f t="shared" si="232"/>
        <v>23821.86</v>
      </c>
      <c r="AG274" s="4">
        <f t="shared" si="232"/>
        <v>0</v>
      </c>
      <c r="AH274" s="4">
        <f t="shared" si="232"/>
        <v>2006.6363935200002</v>
      </c>
      <c r="AI274" s="4">
        <f t="shared" si="232"/>
        <v>0</v>
      </c>
      <c r="AJ274" s="4">
        <f t="shared" si="232"/>
        <v>0</v>
      </c>
      <c r="AK274" s="4">
        <f t="shared" si="232"/>
        <v>21642.54</v>
      </c>
      <c r="AL274" s="4">
        <f t="shared" si="232"/>
        <v>11099.85</v>
      </c>
      <c r="AM274" s="4">
        <f t="shared" si="232"/>
        <v>0</v>
      </c>
      <c r="AN274" s="4">
        <f t="shared" si="232"/>
        <v>0</v>
      </c>
      <c r="AO274" s="4">
        <f t="shared" si="232"/>
        <v>0</v>
      </c>
      <c r="AP274" s="4">
        <f t="shared" si="232"/>
        <v>0</v>
      </c>
      <c r="AQ274" s="4">
        <f t="shared" si="232"/>
        <v>0</v>
      </c>
      <c r="AR274" s="4">
        <f t="shared" si="232"/>
        <v>268159.99</v>
      </c>
      <c r="AS274" s="4">
        <f t="shared" si="232"/>
        <v>0</v>
      </c>
      <c r="AT274" s="4">
        <f t="shared" si="232"/>
        <v>268159.99</v>
      </c>
      <c r="AU274" s="4">
        <f t="shared" ref="AU274:BZ274" si="233">AU339</f>
        <v>0</v>
      </c>
      <c r="AV274" s="4">
        <f t="shared" si="233"/>
        <v>211251.87</v>
      </c>
      <c r="AW274" s="4">
        <f t="shared" si="233"/>
        <v>211251.87</v>
      </c>
      <c r="AX274" s="4">
        <f t="shared" si="233"/>
        <v>0</v>
      </c>
      <c r="AY274" s="4">
        <f t="shared" si="233"/>
        <v>211251.87</v>
      </c>
      <c r="AZ274" s="4">
        <f t="shared" si="233"/>
        <v>0</v>
      </c>
      <c r="BA274" s="4">
        <f t="shared" si="233"/>
        <v>0</v>
      </c>
      <c r="BB274" s="4">
        <f t="shared" si="233"/>
        <v>0</v>
      </c>
      <c r="BC274" s="4">
        <f t="shared" si="233"/>
        <v>0</v>
      </c>
      <c r="BD274" s="4">
        <f t="shared" si="233"/>
        <v>0</v>
      </c>
      <c r="BE274" s="4">
        <f t="shared" si="233"/>
        <v>0</v>
      </c>
      <c r="BF274" s="4">
        <f t="shared" si="233"/>
        <v>0</v>
      </c>
      <c r="BG274" s="4">
        <f t="shared" si="233"/>
        <v>0</v>
      </c>
      <c r="BH274" s="4">
        <f t="shared" si="233"/>
        <v>0</v>
      </c>
      <c r="BI274" s="4">
        <f t="shared" si="233"/>
        <v>0</v>
      </c>
      <c r="BJ274" s="4">
        <f t="shared" si="233"/>
        <v>0</v>
      </c>
      <c r="BK274" s="4">
        <f t="shared" si="233"/>
        <v>0</v>
      </c>
      <c r="BL274" s="4">
        <f t="shared" si="233"/>
        <v>0</v>
      </c>
      <c r="BM274" s="4">
        <f t="shared" si="233"/>
        <v>0</v>
      </c>
      <c r="BN274" s="4">
        <f t="shared" si="233"/>
        <v>0</v>
      </c>
      <c r="BO274" s="4">
        <f t="shared" si="233"/>
        <v>0</v>
      </c>
      <c r="BP274" s="4">
        <f t="shared" si="233"/>
        <v>0</v>
      </c>
      <c r="BQ274" s="4">
        <f t="shared" si="233"/>
        <v>0</v>
      </c>
      <c r="BR274" s="4">
        <f t="shared" si="233"/>
        <v>0</v>
      </c>
      <c r="BS274" s="4">
        <f t="shared" si="233"/>
        <v>0</v>
      </c>
      <c r="BT274" s="4">
        <f t="shared" si="233"/>
        <v>0</v>
      </c>
      <c r="BU274" s="4">
        <f t="shared" si="233"/>
        <v>0</v>
      </c>
      <c r="BV274" s="4">
        <f t="shared" si="233"/>
        <v>0</v>
      </c>
      <c r="BW274" s="4">
        <f t="shared" si="233"/>
        <v>0</v>
      </c>
      <c r="BX274" s="4">
        <f t="shared" si="233"/>
        <v>0</v>
      </c>
      <c r="BY274" s="4">
        <f t="shared" si="233"/>
        <v>0</v>
      </c>
      <c r="BZ274" s="4">
        <f t="shared" si="233"/>
        <v>0</v>
      </c>
      <c r="CA274" s="4">
        <f t="shared" ref="CA274:DF274" si="234">CA339</f>
        <v>268159.99</v>
      </c>
      <c r="CB274" s="4">
        <f t="shared" si="234"/>
        <v>0</v>
      </c>
      <c r="CC274" s="4">
        <f t="shared" si="234"/>
        <v>268159.99</v>
      </c>
      <c r="CD274" s="4">
        <f t="shared" si="234"/>
        <v>0</v>
      </c>
      <c r="CE274" s="4">
        <f t="shared" si="234"/>
        <v>211251.87</v>
      </c>
      <c r="CF274" s="4">
        <f t="shared" si="234"/>
        <v>211251.87</v>
      </c>
      <c r="CG274" s="4">
        <f t="shared" si="234"/>
        <v>0</v>
      </c>
      <c r="CH274" s="4">
        <f t="shared" si="234"/>
        <v>211251.87</v>
      </c>
      <c r="CI274" s="4">
        <f t="shared" si="234"/>
        <v>0</v>
      </c>
      <c r="CJ274" s="4">
        <f t="shared" si="234"/>
        <v>0</v>
      </c>
      <c r="CK274" s="4">
        <f t="shared" si="234"/>
        <v>0</v>
      </c>
      <c r="CL274" s="4">
        <f t="shared" si="234"/>
        <v>0</v>
      </c>
      <c r="CM274" s="4">
        <f t="shared" si="234"/>
        <v>0</v>
      </c>
      <c r="CN274" s="4">
        <f t="shared" si="234"/>
        <v>0</v>
      </c>
      <c r="CO274" s="4">
        <f t="shared" si="234"/>
        <v>0</v>
      </c>
      <c r="CP274" s="4">
        <f t="shared" si="234"/>
        <v>0</v>
      </c>
      <c r="CQ274" s="4">
        <f t="shared" si="234"/>
        <v>0</v>
      </c>
      <c r="CR274" s="4">
        <f t="shared" si="234"/>
        <v>0</v>
      </c>
      <c r="CS274" s="4">
        <f t="shared" si="234"/>
        <v>0</v>
      </c>
      <c r="CT274" s="4">
        <f t="shared" si="234"/>
        <v>0</v>
      </c>
      <c r="CU274" s="4">
        <f t="shared" si="234"/>
        <v>0</v>
      </c>
      <c r="CV274" s="4">
        <f t="shared" si="234"/>
        <v>0</v>
      </c>
      <c r="CW274" s="4">
        <f t="shared" si="234"/>
        <v>0</v>
      </c>
      <c r="CX274" s="4">
        <f t="shared" si="234"/>
        <v>0</v>
      </c>
      <c r="CY274" s="4">
        <f t="shared" si="234"/>
        <v>0</v>
      </c>
      <c r="CZ274" s="4">
        <f t="shared" si="234"/>
        <v>0</v>
      </c>
      <c r="DA274" s="4">
        <f t="shared" si="234"/>
        <v>0</v>
      </c>
      <c r="DB274" s="4">
        <f t="shared" si="234"/>
        <v>0</v>
      </c>
      <c r="DC274" s="4">
        <f t="shared" si="234"/>
        <v>0</v>
      </c>
      <c r="DD274" s="4">
        <f t="shared" si="234"/>
        <v>0</v>
      </c>
      <c r="DE274" s="4">
        <f t="shared" si="234"/>
        <v>0</v>
      </c>
      <c r="DF274" s="4">
        <f t="shared" si="234"/>
        <v>0</v>
      </c>
      <c r="DG274" s="5">
        <f t="shared" ref="DG274:EL274" si="235">DG339</f>
        <v>2878098.03</v>
      </c>
      <c r="DH274" s="5">
        <f t="shared" si="235"/>
        <v>1564128.13</v>
      </c>
      <c r="DI274" s="5">
        <f t="shared" si="235"/>
        <v>4005.82</v>
      </c>
      <c r="DJ274" s="5">
        <f t="shared" si="235"/>
        <v>937.03</v>
      </c>
      <c r="DK274" s="5">
        <f t="shared" si="235"/>
        <v>1309964.08</v>
      </c>
      <c r="DL274" s="5">
        <f t="shared" si="235"/>
        <v>0</v>
      </c>
      <c r="DM274" s="5">
        <f t="shared" si="235"/>
        <v>2006.6363935200002</v>
      </c>
      <c r="DN274" s="5">
        <f t="shared" si="235"/>
        <v>0</v>
      </c>
      <c r="DO274" s="5">
        <f t="shared" si="235"/>
        <v>0</v>
      </c>
      <c r="DP274" s="5">
        <f t="shared" si="235"/>
        <v>1190123.47</v>
      </c>
      <c r="DQ274" s="5">
        <f t="shared" si="235"/>
        <v>610380.56000000006</v>
      </c>
      <c r="DR274" s="5">
        <f t="shared" si="235"/>
        <v>0</v>
      </c>
      <c r="DS274" s="5">
        <f t="shared" si="235"/>
        <v>0</v>
      </c>
      <c r="DT274" s="5">
        <f t="shared" si="235"/>
        <v>2878098.03</v>
      </c>
      <c r="DU274" s="5">
        <f t="shared" si="235"/>
        <v>1564128.13</v>
      </c>
      <c r="DV274" s="5">
        <f t="shared" si="235"/>
        <v>4005.82</v>
      </c>
      <c r="DW274" s="5">
        <f t="shared" si="235"/>
        <v>937.03</v>
      </c>
      <c r="DX274" s="5">
        <f t="shared" si="235"/>
        <v>1309964.08</v>
      </c>
      <c r="DY274" s="5">
        <f t="shared" si="235"/>
        <v>0</v>
      </c>
      <c r="DZ274" s="5">
        <f t="shared" si="235"/>
        <v>2006.6363935200002</v>
      </c>
      <c r="EA274" s="5">
        <f t="shared" si="235"/>
        <v>0</v>
      </c>
      <c r="EB274" s="5">
        <f t="shared" si="235"/>
        <v>0</v>
      </c>
      <c r="EC274" s="5">
        <f t="shared" si="235"/>
        <v>1190123.47</v>
      </c>
      <c r="ED274" s="5">
        <f t="shared" si="235"/>
        <v>610380.56000000006</v>
      </c>
      <c r="EE274" s="5">
        <f t="shared" si="235"/>
        <v>0</v>
      </c>
      <c r="EF274" s="5">
        <f t="shared" si="235"/>
        <v>0</v>
      </c>
      <c r="EG274" s="5">
        <f t="shared" si="235"/>
        <v>0</v>
      </c>
      <c r="EH274" s="5">
        <f t="shared" si="235"/>
        <v>0</v>
      </c>
      <c r="EI274" s="5">
        <f t="shared" si="235"/>
        <v>0</v>
      </c>
      <c r="EJ274" s="5">
        <f t="shared" si="235"/>
        <v>4678602.0599999996</v>
      </c>
      <c r="EK274" s="5">
        <f t="shared" si="235"/>
        <v>0</v>
      </c>
      <c r="EL274" s="5">
        <f t="shared" si="235"/>
        <v>4678602.0599999996</v>
      </c>
      <c r="EM274" s="5">
        <f t="shared" ref="EM274:FR274" si="236">EM339</f>
        <v>0</v>
      </c>
      <c r="EN274" s="5">
        <f t="shared" si="236"/>
        <v>1564128.13</v>
      </c>
      <c r="EO274" s="5">
        <f t="shared" si="236"/>
        <v>1564128.13</v>
      </c>
      <c r="EP274" s="5">
        <f t="shared" si="236"/>
        <v>0</v>
      </c>
      <c r="EQ274" s="5">
        <f t="shared" si="236"/>
        <v>1564128.13</v>
      </c>
      <c r="ER274" s="5">
        <f t="shared" si="236"/>
        <v>0</v>
      </c>
      <c r="ES274" s="5">
        <f t="shared" si="236"/>
        <v>0</v>
      </c>
      <c r="ET274" s="5">
        <f t="shared" si="236"/>
        <v>0</v>
      </c>
      <c r="EU274" s="5">
        <f t="shared" si="236"/>
        <v>0</v>
      </c>
      <c r="EV274" s="5">
        <f t="shared" si="236"/>
        <v>0</v>
      </c>
      <c r="EW274" s="5">
        <f t="shared" si="236"/>
        <v>0</v>
      </c>
      <c r="EX274" s="5">
        <f t="shared" si="236"/>
        <v>0</v>
      </c>
      <c r="EY274" s="5">
        <f t="shared" si="236"/>
        <v>0</v>
      </c>
      <c r="EZ274" s="5">
        <f t="shared" si="236"/>
        <v>0</v>
      </c>
      <c r="FA274" s="5">
        <f t="shared" si="236"/>
        <v>0</v>
      </c>
      <c r="FB274" s="5">
        <f t="shared" si="236"/>
        <v>0</v>
      </c>
      <c r="FC274" s="5">
        <f t="shared" si="236"/>
        <v>0</v>
      </c>
      <c r="FD274" s="5">
        <f t="shared" si="236"/>
        <v>0</v>
      </c>
      <c r="FE274" s="5">
        <f t="shared" si="236"/>
        <v>0</v>
      </c>
      <c r="FF274" s="5">
        <f t="shared" si="236"/>
        <v>0</v>
      </c>
      <c r="FG274" s="5">
        <f t="shared" si="236"/>
        <v>0</v>
      </c>
      <c r="FH274" s="5">
        <f t="shared" si="236"/>
        <v>0</v>
      </c>
      <c r="FI274" s="5">
        <f t="shared" si="236"/>
        <v>0</v>
      </c>
      <c r="FJ274" s="5">
        <f t="shared" si="236"/>
        <v>0</v>
      </c>
      <c r="FK274" s="5">
        <f t="shared" si="236"/>
        <v>0</v>
      </c>
      <c r="FL274" s="5">
        <f t="shared" si="236"/>
        <v>0</v>
      </c>
      <c r="FM274" s="5">
        <f t="shared" si="236"/>
        <v>0</v>
      </c>
      <c r="FN274" s="5">
        <f t="shared" si="236"/>
        <v>0</v>
      </c>
      <c r="FO274" s="5">
        <f t="shared" si="236"/>
        <v>0</v>
      </c>
      <c r="FP274" s="5">
        <f t="shared" si="236"/>
        <v>0</v>
      </c>
      <c r="FQ274" s="5">
        <f t="shared" si="236"/>
        <v>0</v>
      </c>
      <c r="FR274" s="5">
        <f t="shared" si="236"/>
        <v>0</v>
      </c>
      <c r="FS274" s="5">
        <f t="shared" ref="FS274:GX274" si="237">FS339</f>
        <v>4678602.0599999996</v>
      </c>
      <c r="FT274" s="5">
        <f t="shared" si="237"/>
        <v>0</v>
      </c>
      <c r="FU274" s="5">
        <f t="shared" si="237"/>
        <v>4678602.0599999996</v>
      </c>
      <c r="FV274" s="5">
        <f t="shared" si="237"/>
        <v>0</v>
      </c>
      <c r="FW274" s="5">
        <f t="shared" si="237"/>
        <v>1564128.13</v>
      </c>
      <c r="FX274" s="5">
        <f t="shared" si="237"/>
        <v>1564128.13</v>
      </c>
      <c r="FY274" s="5">
        <f t="shared" si="237"/>
        <v>0</v>
      </c>
      <c r="FZ274" s="5">
        <f t="shared" si="237"/>
        <v>1564128.13</v>
      </c>
      <c r="GA274" s="5">
        <f t="shared" si="237"/>
        <v>0</v>
      </c>
      <c r="GB274" s="5">
        <f t="shared" si="237"/>
        <v>0</v>
      </c>
      <c r="GC274" s="5">
        <f t="shared" si="237"/>
        <v>0</v>
      </c>
      <c r="GD274" s="5">
        <f t="shared" si="237"/>
        <v>0</v>
      </c>
      <c r="GE274" s="5">
        <f t="shared" si="237"/>
        <v>0</v>
      </c>
      <c r="GF274" s="5">
        <f t="shared" si="237"/>
        <v>0</v>
      </c>
      <c r="GG274" s="5">
        <f t="shared" si="237"/>
        <v>0</v>
      </c>
      <c r="GH274" s="5">
        <f t="shared" si="237"/>
        <v>0</v>
      </c>
      <c r="GI274" s="5">
        <f t="shared" si="237"/>
        <v>0</v>
      </c>
      <c r="GJ274" s="5">
        <f t="shared" si="237"/>
        <v>0</v>
      </c>
      <c r="GK274" s="5">
        <f t="shared" si="237"/>
        <v>0</v>
      </c>
      <c r="GL274" s="5">
        <f t="shared" si="237"/>
        <v>0</v>
      </c>
      <c r="GM274" s="5">
        <f t="shared" si="237"/>
        <v>0</v>
      </c>
      <c r="GN274" s="5">
        <f t="shared" si="237"/>
        <v>0</v>
      </c>
      <c r="GO274" s="5">
        <f t="shared" si="237"/>
        <v>0</v>
      </c>
      <c r="GP274" s="5">
        <f t="shared" si="237"/>
        <v>0</v>
      </c>
      <c r="GQ274" s="5">
        <f t="shared" si="237"/>
        <v>0</v>
      </c>
      <c r="GR274" s="5">
        <f t="shared" si="237"/>
        <v>0</v>
      </c>
      <c r="GS274" s="5">
        <f t="shared" si="237"/>
        <v>0</v>
      </c>
      <c r="GT274" s="5">
        <f t="shared" si="237"/>
        <v>0</v>
      </c>
      <c r="GU274" s="5">
        <f t="shared" si="237"/>
        <v>0</v>
      </c>
      <c r="GV274" s="5">
        <f t="shared" si="237"/>
        <v>0</v>
      </c>
      <c r="GW274" s="5">
        <f t="shared" si="237"/>
        <v>0</v>
      </c>
      <c r="GX274" s="5">
        <f t="shared" si="237"/>
        <v>0</v>
      </c>
    </row>
    <row r="276" spans="1:255" x14ac:dyDescent="0.3">
      <c r="A276" s="2">
        <v>17</v>
      </c>
      <c r="B276" s="2">
        <v>1</v>
      </c>
      <c r="C276" s="2"/>
      <c r="D276" s="2">
        <f>ROW(EtalonRes!A147)</f>
        <v>147</v>
      </c>
      <c r="E276" s="2" t="s">
        <v>278</v>
      </c>
      <c r="F276" s="2" t="s">
        <v>279</v>
      </c>
      <c r="G276" s="2" t="s">
        <v>280</v>
      </c>
      <c r="H276" s="2" t="s">
        <v>281</v>
      </c>
      <c r="I276" s="2">
        <f>ROUND(8440/100,9)</f>
        <v>84.4</v>
      </c>
      <c r="J276" s="2">
        <v>0</v>
      </c>
      <c r="K276" s="2">
        <f>ROUND(8440/100,9)</f>
        <v>84.4</v>
      </c>
      <c r="L276" s="2"/>
      <c r="M276" s="2"/>
      <c r="N276" s="2"/>
      <c r="O276" s="2">
        <f t="shared" ref="O276:O307" si="238">ROUND(CP276,2)</f>
        <v>27101.66</v>
      </c>
      <c r="P276" s="2">
        <f t="shared" ref="P276:P307" si="239">ROUND((ROUND((AC276*AW276*I276),2)*BC276),2)</f>
        <v>7757.2</v>
      </c>
      <c r="Q276" s="2">
        <f>(ROUND((ROUND((((ET276*1.1))*AV276*I276),2)*BB276),2)+ROUND((ROUND(((AE276-((EU276*1.1)))*AV276*I276),2)*BS276),2))</f>
        <v>168.16</v>
      </c>
      <c r="R276" s="2">
        <f t="shared" ref="R276:R307" si="240">ROUND((ROUND((AE276*AV276*I276),2)*BS276),2)</f>
        <v>0</v>
      </c>
      <c r="S276" s="2">
        <f t="shared" ref="S276:S307" si="241">ROUND((ROUND((AF276*AV276*I276),2)*BA276),2)</f>
        <v>19176.3</v>
      </c>
      <c r="T276" s="2">
        <f t="shared" ref="T276:T307" si="242">ROUND(CU276*I276,2)</f>
        <v>0</v>
      </c>
      <c r="U276" s="2">
        <f t="shared" ref="U276:U307" si="243">CV276*I276</f>
        <v>1613.5777680000001</v>
      </c>
      <c r="V276" s="2">
        <f t="shared" ref="V276:V307" si="244">CW276*I276</f>
        <v>0</v>
      </c>
      <c r="W276" s="2">
        <f t="shared" ref="W276:W307" si="245">ROUND(CX276*I276,2)</f>
        <v>0</v>
      </c>
      <c r="X276" s="2">
        <f t="shared" ref="X276:X307" si="246">ROUND(CY276,2)</f>
        <v>17258.669999999998</v>
      </c>
      <c r="Y276" s="2">
        <f t="shared" ref="Y276:Y307" si="247">ROUND(CZ276,2)</f>
        <v>8821.1</v>
      </c>
      <c r="Z276" s="2"/>
      <c r="AA276" s="2">
        <v>56505403</v>
      </c>
      <c r="AB276" s="2">
        <f t="shared" ref="AB276:AB307" si="248">ROUND((AC276+AD276+AF276),6)</f>
        <v>310.82100000000003</v>
      </c>
      <c r="AC276" s="2">
        <f t="shared" ref="AC276:AC307" si="249">ROUND((ES276),6)</f>
        <v>91.91</v>
      </c>
      <c r="AD276" s="2">
        <f>ROUND(((((ET276*1.1))-((EU276*1.1)))+AE276),6)</f>
        <v>1.903</v>
      </c>
      <c r="AE276" s="2">
        <f>ROUND(((EU276*1.1)),6)</f>
        <v>0</v>
      </c>
      <c r="AF276" s="2">
        <f>ROUND(((EV276*1.1)),6)</f>
        <v>217.00800000000001</v>
      </c>
      <c r="AG276" s="2">
        <f t="shared" ref="AG276:AG307" si="250">ROUND((AP276),6)</f>
        <v>0</v>
      </c>
      <c r="AH276" s="2">
        <f>((EW276*1.1))</f>
        <v>18.260000000000002</v>
      </c>
      <c r="AI276" s="2">
        <f>((EX276*1.1))</f>
        <v>0</v>
      </c>
      <c r="AJ276" s="2">
        <f t="shared" ref="AJ276:AJ307" si="251">(AS276)</f>
        <v>0</v>
      </c>
      <c r="AK276" s="2">
        <v>290.92</v>
      </c>
      <c r="AL276" s="2">
        <v>91.91</v>
      </c>
      <c r="AM276" s="2">
        <v>1.73</v>
      </c>
      <c r="AN276" s="2">
        <v>0</v>
      </c>
      <c r="AO276" s="2">
        <v>197.28</v>
      </c>
      <c r="AP276" s="2">
        <v>0</v>
      </c>
      <c r="AQ276" s="2">
        <v>16.600000000000001</v>
      </c>
      <c r="AR276" s="2">
        <v>0</v>
      </c>
      <c r="AS276" s="2">
        <v>0</v>
      </c>
      <c r="AT276" s="2">
        <v>90</v>
      </c>
      <c r="AU276" s="2">
        <v>46</v>
      </c>
      <c r="AV276" s="2">
        <v>1.0469999999999999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0</v>
      </c>
      <c r="BI276" s="2">
        <v>2</v>
      </c>
      <c r="BJ276" s="2" t="s">
        <v>282</v>
      </c>
      <c r="BK276" s="2"/>
      <c r="BL276" s="2"/>
      <c r="BM276" s="2">
        <v>68</v>
      </c>
      <c r="BN276" s="2">
        <v>0</v>
      </c>
      <c r="BO276" s="2" t="s">
        <v>279</v>
      </c>
      <c r="BP276" s="2">
        <v>1</v>
      </c>
      <c r="BQ276" s="2">
        <v>40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90</v>
      </c>
      <c r="CA276" s="2">
        <v>46</v>
      </c>
      <c r="CB276" s="2" t="s">
        <v>3</v>
      </c>
      <c r="CC276" s="2"/>
      <c r="CD276" s="2"/>
      <c r="CE276" s="2">
        <v>30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ref="CP276:CP307" si="252">(P276+Q276+S276)</f>
        <v>27101.66</v>
      </c>
      <c r="CQ276" s="2">
        <f t="shared" ref="CQ276:CQ307" si="253">ROUND((ROUND((AC276*AW276*1),2)*BC276),2)</f>
        <v>91.91</v>
      </c>
      <c r="CR276" s="2">
        <f>(ROUND((ROUND((((ET276*1.1))*AV276*1),2)*BB276),2)+ROUND((ROUND(((AE276-((EU276*1.1)))*AV276*1),2)*BS276),2))</f>
        <v>1.99</v>
      </c>
      <c r="CS276" s="2">
        <f t="shared" ref="CS276:CS307" si="254">ROUND((ROUND((AE276*AV276*1),2)*BS276),2)</f>
        <v>0</v>
      </c>
      <c r="CT276" s="2">
        <f t="shared" ref="CT276:CT307" si="255">ROUND((ROUND((AF276*AV276*1),2)*BA276),2)</f>
        <v>227.21</v>
      </c>
      <c r="CU276" s="2">
        <f t="shared" ref="CU276:CU307" si="256">AG276</f>
        <v>0</v>
      </c>
      <c r="CV276" s="2">
        <f t="shared" ref="CV276:CV307" si="257">(AH276*AV276)</f>
        <v>19.118220000000001</v>
      </c>
      <c r="CW276" s="2">
        <f t="shared" ref="CW276:CW307" si="258">AI276</f>
        <v>0</v>
      </c>
      <c r="CX276" s="2">
        <f t="shared" ref="CX276:CX307" si="259">AJ276</f>
        <v>0</v>
      </c>
      <c r="CY276" s="2">
        <f t="shared" ref="CY276:CY307" si="260">(((S276+R276)*AT276)/100)</f>
        <v>17258.669999999998</v>
      </c>
      <c r="CZ276" s="2">
        <f t="shared" ref="CZ276:CZ307" si="261">(((S276+R276)*AU276)/100)</f>
        <v>8821.098</v>
      </c>
      <c r="DA276" s="2"/>
      <c r="DB276" s="2"/>
      <c r="DC276" s="2" t="s">
        <v>3</v>
      </c>
      <c r="DD276" s="2" t="s">
        <v>3</v>
      </c>
      <c r="DE276" s="2" t="s">
        <v>24</v>
      </c>
      <c r="DF276" s="2" t="s">
        <v>24</v>
      </c>
      <c r="DG276" s="2" t="s">
        <v>24</v>
      </c>
      <c r="DH276" s="2" t="s">
        <v>3</v>
      </c>
      <c r="DI276" s="2" t="s">
        <v>24</v>
      </c>
      <c r="DJ276" s="2" t="s">
        <v>24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1003</v>
      </c>
      <c r="DV276" s="2" t="s">
        <v>281</v>
      </c>
      <c r="DW276" s="2" t="s">
        <v>281</v>
      </c>
      <c r="DX276" s="2">
        <v>100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58162630</v>
      </c>
      <c r="EF276" s="2">
        <v>40</v>
      </c>
      <c r="EG276" s="2" t="s">
        <v>25</v>
      </c>
      <c r="EH276" s="2">
        <v>0</v>
      </c>
      <c r="EI276" s="2" t="s">
        <v>3</v>
      </c>
      <c r="EJ276" s="2">
        <v>2</v>
      </c>
      <c r="EK276" s="2">
        <v>68</v>
      </c>
      <c r="EL276" s="2" t="s">
        <v>26</v>
      </c>
      <c r="EM276" s="2" t="s">
        <v>27</v>
      </c>
      <c r="EN276" s="2"/>
      <c r="EO276" s="2" t="s">
        <v>28</v>
      </c>
      <c r="EP276" s="2"/>
      <c r="EQ276" s="2">
        <v>0</v>
      </c>
      <c r="ER276" s="2">
        <v>290.92</v>
      </c>
      <c r="ES276" s="2">
        <v>91.91</v>
      </c>
      <c r="ET276" s="2">
        <v>1.73</v>
      </c>
      <c r="EU276" s="2">
        <v>0</v>
      </c>
      <c r="EV276" s="2">
        <v>197.28</v>
      </c>
      <c r="EW276" s="2">
        <v>16.600000000000001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90</v>
      </c>
      <c r="FY276" s="2">
        <v>46</v>
      </c>
      <c r="FZ276" s="2"/>
      <c r="GA276" s="2" t="s">
        <v>3</v>
      </c>
      <c r="GB276" s="2"/>
      <c r="GC276" s="2"/>
      <c r="GD276" s="2">
        <v>1</v>
      </c>
      <c r="GE276" s="2"/>
      <c r="GF276" s="2">
        <v>-250176620</v>
      </c>
      <c r="GG276" s="2">
        <v>2</v>
      </c>
      <c r="GH276" s="2">
        <v>1</v>
      </c>
      <c r="GI276" s="2">
        <v>2</v>
      </c>
      <c r="GJ276" s="2">
        <v>0</v>
      </c>
      <c r="GK276" s="2">
        <v>0</v>
      </c>
      <c r="GL276" s="2">
        <f t="shared" ref="GL276:GL307" si="262">ROUND(IF(AND(BH276=3,BI276=3,FS276&lt;&gt;0),P276,0),2)</f>
        <v>0</v>
      </c>
      <c r="GM276" s="2">
        <f t="shared" ref="GM276:GM307" si="263">ROUND(O276+X276+Y276,2)+GX276</f>
        <v>53181.43</v>
      </c>
      <c r="GN276" s="2">
        <f t="shared" ref="GN276:GN307" si="264">IF(OR(BI276=0,BI276=1),GM276-GX276,0)</f>
        <v>0</v>
      </c>
      <c r="GO276" s="2">
        <f t="shared" ref="GO276:GO307" si="265">IF(BI276=2,GM276-GX276,0)</f>
        <v>53181.43</v>
      </c>
      <c r="GP276" s="2">
        <f t="shared" ref="GP276:GP307" si="266">IF(BI276=4,GM276-GX276,0)</f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ref="GV276:GV307" si="267">ROUND((GT276),6)</f>
        <v>0</v>
      </c>
      <c r="GW276" s="2">
        <v>1</v>
      </c>
      <c r="GX276" s="2">
        <f t="shared" ref="GX276:GX307" si="268">ROUND(HC276*I276,2)</f>
        <v>0</v>
      </c>
      <c r="GY276" s="2"/>
      <c r="GZ276" s="2"/>
      <c r="HA276" s="2">
        <v>0</v>
      </c>
      <c r="HB276" s="2">
        <v>0</v>
      </c>
      <c r="HC276" s="2">
        <f t="shared" ref="HC276:HC307" si="269">GV276*GW276</f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3">
      <c r="A277" s="3">
        <v>17</v>
      </c>
      <c r="B277" s="3">
        <v>1</v>
      </c>
      <c r="C277" s="3"/>
      <c r="D277" s="3">
        <f>ROW(EtalonRes!A158)</f>
        <v>158</v>
      </c>
      <c r="E277" s="3" t="s">
        <v>278</v>
      </c>
      <c r="F277" s="3" t="s">
        <v>279</v>
      </c>
      <c r="G277" s="3" t="s">
        <v>280</v>
      </c>
      <c r="H277" s="3" t="s">
        <v>281</v>
      </c>
      <c r="I277" s="3">
        <f>ROUND(8440/100,9)</f>
        <v>84.4</v>
      </c>
      <c r="J277" s="3">
        <v>0</v>
      </c>
      <c r="K277" s="3">
        <f>ROUND(8440/100,9)</f>
        <v>84.4</v>
      </c>
      <c r="L277" s="3"/>
      <c r="M277" s="3"/>
      <c r="N277" s="3"/>
      <c r="O277" s="3">
        <f t="shared" si="238"/>
        <v>1077379.28</v>
      </c>
      <c r="P277" s="3">
        <f t="shared" si="239"/>
        <v>21409.87</v>
      </c>
      <c r="Q277" s="3">
        <f>(ROUND((ROUND((((ET277*1.1))*AV277*I277),2)*BB277),2)+ROUND((ROUND(((AE277-((EU277*1.1)))*AV277*I277),2)*BS277),2))</f>
        <v>1464.67</v>
      </c>
      <c r="R277" s="3">
        <f t="shared" si="240"/>
        <v>0</v>
      </c>
      <c r="S277" s="3">
        <f t="shared" si="241"/>
        <v>1054504.74</v>
      </c>
      <c r="T277" s="3">
        <f t="shared" si="242"/>
        <v>0</v>
      </c>
      <c r="U277" s="3">
        <f t="shared" si="243"/>
        <v>1613.5777680000001</v>
      </c>
      <c r="V277" s="3">
        <f t="shared" si="244"/>
        <v>0</v>
      </c>
      <c r="W277" s="3">
        <f t="shared" si="245"/>
        <v>0</v>
      </c>
      <c r="X277" s="3">
        <f t="shared" si="246"/>
        <v>949054.27</v>
      </c>
      <c r="Y277" s="3">
        <f t="shared" si="247"/>
        <v>485072.18</v>
      </c>
      <c r="Z277" s="3"/>
      <c r="AA277" s="3">
        <v>56505405</v>
      </c>
      <c r="AB277" s="3">
        <f t="shared" si="248"/>
        <v>310.82100000000003</v>
      </c>
      <c r="AC277" s="3">
        <f t="shared" si="249"/>
        <v>91.91</v>
      </c>
      <c r="AD277" s="3">
        <f>ROUND(((((ET277*1.1))-((EU277*1.1)))+AE277),6)</f>
        <v>1.903</v>
      </c>
      <c r="AE277" s="3">
        <f>ROUND(((EU277*1.1)),6)</f>
        <v>0</v>
      </c>
      <c r="AF277" s="3">
        <f>ROUND(((EV277*1.1)),6)</f>
        <v>217.00800000000001</v>
      </c>
      <c r="AG277" s="3">
        <f t="shared" si="250"/>
        <v>0</v>
      </c>
      <c r="AH277" s="3">
        <f>((EW277*1.1))</f>
        <v>18.260000000000002</v>
      </c>
      <c r="AI277" s="3">
        <f>((EX277*1.1))</f>
        <v>0</v>
      </c>
      <c r="AJ277" s="3">
        <f t="shared" si="251"/>
        <v>0</v>
      </c>
      <c r="AK277" s="3">
        <v>290.92</v>
      </c>
      <c r="AL277" s="3">
        <v>91.91</v>
      </c>
      <c r="AM277" s="3">
        <v>1.73</v>
      </c>
      <c r="AN277" s="3">
        <v>0</v>
      </c>
      <c r="AO277" s="3">
        <v>197.28</v>
      </c>
      <c r="AP277" s="3">
        <v>0</v>
      </c>
      <c r="AQ277" s="3">
        <v>16.600000000000001</v>
      </c>
      <c r="AR277" s="3">
        <v>0</v>
      </c>
      <c r="AS277" s="3">
        <v>0</v>
      </c>
      <c r="AT277" s="3">
        <v>90</v>
      </c>
      <c r="AU277" s="3">
        <v>46</v>
      </c>
      <c r="AV277" s="3">
        <v>1.0469999999999999</v>
      </c>
      <c r="AW277" s="3">
        <v>1</v>
      </c>
      <c r="AX277" s="3"/>
      <c r="AY277" s="3"/>
      <c r="AZ277" s="3">
        <v>1</v>
      </c>
      <c r="BA277" s="3">
        <v>54.99</v>
      </c>
      <c r="BB277" s="3">
        <v>8.7100000000000009</v>
      </c>
      <c r="BC277" s="3">
        <v>2.76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0</v>
      </c>
      <c r="BI277" s="3">
        <v>2</v>
      </c>
      <c r="BJ277" s="3" t="s">
        <v>282</v>
      </c>
      <c r="BK277" s="3"/>
      <c r="BL277" s="3"/>
      <c r="BM277" s="3">
        <v>68</v>
      </c>
      <c r="BN277" s="3">
        <v>0</v>
      </c>
      <c r="BO277" s="3" t="s">
        <v>279</v>
      </c>
      <c r="BP277" s="3">
        <v>1</v>
      </c>
      <c r="BQ277" s="3">
        <v>40</v>
      </c>
      <c r="BR277" s="3">
        <v>0</v>
      </c>
      <c r="BS277" s="3">
        <v>54.99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90</v>
      </c>
      <c r="CA277" s="3">
        <v>46</v>
      </c>
      <c r="CB277" s="3" t="s">
        <v>3</v>
      </c>
      <c r="CC277" s="3"/>
      <c r="CD277" s="3"/>
      <c r="CE277" s="3">
        <v>30</v>
      </c>
      <c r="CF277" s="3">
        <v>0</v>
      </c>
      <c r="CG277" s="3">
        <v>0</v>
      </c>
      <c r="CH277" s="3"/>
      <c r="CI277" s="3"/>
      <c r="CJ277" s="3"/>
      <c r="CK277" s="3"/>
      <c r="CL277" s="3"/>
      <c r="CM277" s="3">
        <v>0</v>
      </c>
      <c r="CN277" s="3" t="s">
        <v>3</v>
      </c>
      <c r="CO277" s="3">
        <v>0</v>
      </c>
      <c r="CP277" s="3">
        <f t="shared" si="252"/>
        <v>1077379.28</v>
      </c>
      <c r="CQ277" s="3">
        <f t="shared" si="253"/>
        <v>253.67</v>
      </c>
      <c r="CR277" s="3">
        <f>(ROUND((ROUND((((ET277*1.1))*AV277*1),2)*BB277),2)+ROUND((ROUND(((AE277-((EU277*1.1)))*AV277*1),2)*BS277),2))</f>
        <v>17.329999999999998</v>
      </c>
      <c r="CS277" s="3">
        <f t="shared" si="254"/>
        <v>0</v>
      </c>
      <c r="CT277" s="3">
        <f t="shared" si="255"/>
        <v>12494.28</v>
      </c>
      <c r="CU277" s="3">
        <f t="shared" si="256"/>
        <v>0</v>
      </c>
      <c r="CV277" s="3">
        <f t="shared" si="257"/>
        <v>19.118220000000001</v>
      </c>
      <c r="CW277" s="3">
        <f t="shared" si="258"/>
        <v>0</v>
      </c>
      <c r="CX277" s="3">
        <f t="shared" si="259"/>
        <v>0</v>
      </c>
      <c r="CY277" s="3">
        <f t="shared" si="260"/>
        <v>949054.26599999995</v>
      </c>
      <c r="CZ277" s="3">
        <f t="shared" si="261"/>
        <v>485072.18040000001</v>
      </c>
      <c r="DA277" s="3"/>
      <c r="DB277" s="3"/>
      <c r="DC277" s="3" t="s">
        <v>3</v>
      </c>
      <c r="DD277" s="3" t="s">
        <v>3</v>
      </c>
      <c r="DE277" s="3" t="s">
        <v>24</v>
      </c>
      <c r="DF277" s="3" t="s">
        <v>24</v>
      </c>
      <c r="DG277" s="3" t="s">
        <v>24</v>
      </c>
      <c r="DH277" s="3" t="s">
        <v>3</v>
      </c>
      <c r="DI277" s="3" t="s">
        <v>24</v>
      </c>
      <c r="DJ277" s="3" t="s">
        <v>24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R277" s="3"/>
      <c r="DS277" s="3"/>
      <c r="DT277" s="3"/>
      <c r="DU277" s="3">
        <v>1003</v>
      </c>
      <c r="DV277" s="3" t="s">
        <v>281</v>
      </c>
      <c r="DW277" s="3" t="s">
        <v>281</v>
      </c>
      <c r="DX277" s="3">
        <v>100</v>
      </c>
      <c r="DY277" s="3"/>
      <c r="DZ277" s="3" t="s">
        <v>3</v>
      </c>
      <c r="EA277" s="3" t="s">
        <v>3</v>
      </c>
      <c r="EB277" s="3" t="s">
        <v>3</v>
      </c>
      <c r="EC277" s="3" t="s">
        <v>3</v>
      </c>
      <c r="ED277" s="3"/>
      <c r="EE277" s="3">
        <v>58162630</v>
      </c>
      <c r="EF277" s="3">
        <v>40</v>
      </c>
      <c r="EG277" s="3" t="s">
        <v>25</v>
      </c>
      <c r="EH277" s="3">
        <v>0</v>
      </c>
      <c r="EI277" s="3" t="s">
        <v>3</v>
      </c>
      <c r="EJ277" s="3">
        <v>2</v>
      </c>
      <c r="EK277" s="3">
        <v>68</v>
      </c>
      <c r="EL277" s="3" t="s">
        <v>26</v>
      </c>
      <c r="EM277" s="3" t="s">
        <v>27</v>
      </c>
      <c r="EN277" s="3"/>
      <c r="EO277" s="3" t="s">
        <v>28</v>
      </c>
      <c r="EP277" s="3"/>
      <c r="EQ277" s="3">
        <v>0</v>
      </c>
      <c r="ER277" s="3">
        <v>290.92</v>
      </c>
      <c r="ES277" s="3">
        <v>91.91</v>
      </c>
      <c r="ET277" s="3">
        <v>1.73</v>
      </c>
      <c r="EU277" s="3">
        <v>0</v>
      </c>
      <c r="EV277" s="3">
        <v>197.28</v>
      </c>
      <c r="EW277" s="3">
        <v>16.600000000000001</v>
      </c>
      <c r="EX277" s="3">
        <v>0</v>
      </c>
      <c r="EY277" s="3">
        <v>0</v>
      </c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>
        <v>0</v>
      </c>
      <c r="FR277" s="3">
        <v>0</v>
      </c>
      <c r="FS277" s="3">
        <v>0</v>
      </c>
      <c r="FT277" s="3"/>
      <c r="FU277" s="3"/>
      <c r="FV277" s="3"/>
      <c r="FW277" s="3"/>
      <c r="FX277" s="3">
        <v>90</v>
      </c>
      <c r="FY277" s="3">
        <v>46</v>
      </c>
      <c r="FZ277" s="3"/>
      <c r="GA277" s="3" t="s">
        <v>3</v>
      </c>
      <c r="GB277" s="3"/>
      <c r="GC277" s="3"/>
      <c r="GD277" s="3">
        <v>1</v>
      </c>
      <c r="GE277" s="3"/>
      <c r="GF277" s="3">
        <v>-250176620</v>
      </c>
      <c r="GG277" s="3">
        <v>2</v>
      </c>
      <c r="GH277" s="3">
        <v>1</v>
      </c>
      <c r="GI277" s="3">
        <v>2</v>
      </c>
      <c r="GJ277" s="3">
        <v>0</v>
      </c>
      <c r="GK277" s="3">
        <v>0</v>
      </c>
      <c r="GL277" s="3">
        <f t="shared" si="262"/>
        <v>0</v>
      </c>
      <c r="GM277" s="3">
        <f t="shared" si="263"/>
        <v>2511505.73</v>
      </c>
      <c r="GN277" s="3">
        <f t="shared" si="264"/>
        <v>0</v>
      </c>
      <c r="GO277" s="3">
        <f t="shared" si="265"/>
        <v>2511505.73</v>
      </c>
      <c r="GP277" s="3">
        <f t="shared" si="266"/>
        <v>0</v>
      </c>
      <c r="GQ277" s="3"/>
      <c r="GR277" s="3">
        <v>0</v>
      </c>
      <c r="GS277" s="3">
        <v>3</v>
      </c>
      <c r="GT277" s="3">
        <v>0</v>
      </c>
      <c r="GU277" s="3" t="s">
        <v>3</v>
      </c>
      <c r="GV277" s="3">
        <f t="shared" si="267"/>
        <v>0</v>
      </c>
      <c r="GW277" s="3">
        <v>1</v>
      </c>
      <c r="GX277" s="3">
        <f t="shared" si="268"/>
        <v>0</v>
      </c>
      <c r="GY277" s="3"/>
      <c r="GZ277" s="3"/>
      <c r="HA277" s="3">
        <v>0</v>
      </c>
      <c r="HB277" s="3">
        <v>0</v>
      </c>
      <c r="HC277" s="3">
        <f t="shared" si="269"/>
        <v>0</v>
      </c>
      <c r="HD277" s="3"/>
      <c r="HE277" s="3" t="s">
        <v>3</v>
      </c>
      <c r="HF277" s="3" t="s">
        <v>3</v>
      </c>
      <c r="HG277" s="3"/>
      <c r="HH277" s="3"/>
      <c r="HI277" s="3"/>
      <c r="HJ277" s="3"/>
      <c r="HK277" s="3"/>
      <c r="HL277" s="3"/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R277" s="3"/>
      <c r="HS277" s="3">
        <v>0</v>
      </c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>
        <v>0</v>
      </c>
      <c r="IL277" s="3"/>
      <c r="IM277" s="3"/>
      <c r="IN277" s="3"/>
      <c r="IO277" s="3"/>
      <c r="IP277" s="3"/>
      <c r="IQ277" s="3"/>
      <c r="IR277" s="3"/>
      <c r="IS277" s="3"/>
      <c r="IT277" s="3"/>
      <c r="IU277" s="3"/>
    </row>
    <row r="278" spans="1:255" x14ac:dyDescent="0.3">
      <c r="A278" s="2">
        <v>18</v>
      </c>
      <c r="B278" s="2">
        <v>1</v>
      </c>
      <c r="C278" s="2"/>
      <c r="D278" s="2"/>
      <c r="E278" s="2" t="s">
        <v>283</v>
      </c>
      <c r="F278" s="2" t="s">
        <v>284</v>
      </c>
      <c r="G278" s="2" t="s">
        <v>285</v>
      </c>
      <c r="H278" s="2" t="s">
        <v>286</v>
      </c>
      <c r="I278" s="2">
        <f>I276*J278</f>
        <v>8608.7999999999993</v>
      </c>
      <c r="J278" s="2">
        <v>101.99999999999999</v>
      </c>
      <c r="K278" s="2">
        <v>102</v>
      </c>
      <c r="L278" s="2"/>
      <c r="M278" s="2"/>
      <c r="N278" s="2"/>
      <c r="O278" s="2">
        <f t="shared" si="238"/>
        <v>49758.86</v>
      </c>
      <c r="P278" s="2">
        <f t="shared" si="239"/>
        <v>49758.86</v>
      </c>
      <c r="Q278" s="2">
        <f t="shared" ref="Q278:Q283" si="270">(ROUND((ROUND(((ET278)*AV278*I278),2)*BB278),2)+ROUND((ROUND(((AE278-(EU278))*AV278*I278),2)*BS278),2))</f>
        <v>0</v>
      </c>
      <c r="R278" s="2">
        <f t="shared" si="240"/>
        <v>0</v>
      </c>
      <c r="S278" s="2">
        <f t="shared" si="241"/>
        <v>0</v>
      </c>
      <c r="T278" s="2">
        <f t="shared" si="242"/>
        <v>0</v>
      </c>
      <c r="U278" s="2">
        <f t="shared" si="243"/>
        <v>0</v>
      </c>
      <c r="V278" s="2">
        <f t="shared" si="244"/>
        <v>0</v>
      </c>
      <c r="W278" s="2">
        <f t="shared" si="245"/>
        <v>0</v>
      </c>
      <c r="X278" s="2">
        <f t="shared" si="246"/>
        <v>0</v>
      </c>
      <c r="Y278" s="2">
        <f t="shared" si="247"/>
        <v>0</v>
      </c>
      <c r="Z278" s="2"/>
      <c r="AA278" s="2">
        <v>56505403</v>
      </c>
      <c r="AB278" s="2">
        <f t="shared" si="248"/>
        <v>5.78</v>
      </c>
      <c r="AC278" s="2">
        <f t="shared" si="249"/>
        <v>5.78</v>
      </c>
      <c r="AD278" s="2">
        <f t="shared" ref="AD278:AD283" si="271">ROUND((((ET278)-(EU278))+AE278),6)</f>
        <v>0</v>
      </c>
      <c r="AE278" s="2">
        <f t="shared" ref="AE278:AF283" si="272">ROUND((EU278),6)</f>
        <v>0</v>
      </c>
      <c r="AF278" s="2">
        <f t="shared" si="272"/>
        <v>0</v>
      </c>
      <c r="AG278" s="2">
        <f t="shared" si="250"/>
        <v>0</v>
      </c>
      <c r="AH278" s="2">
        <f t="shared" ref="AH278:AI283" si="273">(EW278)</f>
        <v>0</v>
      </c>
      <c r="AI278" s="2">
        <f t="shared" si="273"/>
        <v>0</v>
      </c>
      <c r="AJ278" s="2">
        <f t="shared" si="251"/>
        <v>0</v>
      </c>
      <c r="AK278" s="2">
        <v>5.78</v>
      </c>
      <c r="AL278" s="2">
        <v>5.78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90</v>
      </c>
      <c r="AU278" s="2">
        <v>46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2</v>
      </c>
      <c r="BJ278" s="2" t="s">
        <v>287</v>
      </c>
      <c r="BK278" s="2"/>
      <c r="BL278" s="2"/>
      <c r="BM278" s="2">
        <v>68</v>
      </c>
      <c r="BN278" s="2">
        <v>0</v>
      </c>
      <c r="BO278" s="2" t="s">
        <v>3</v>
      </c>
      <c r="BP278" s="2">
        <v>0</v>
      </c>
      <c r="BQ278" s="2">
        <v>40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90</v>
      </c>
      <c r="CA278" s="2">
        <v>46</v>
      </c>
      <c r="CB278" s="2" t="s">
        <v>3</v>
      </c>
      <c r="CC278" s="2"/>
      <c r="CD278" s="2"/>
      <c r="CE278" s="2">
        <v>30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3</v>
      </c>
      <c r="CO278" s="2">
        <v>0</v>
      </c>
      <c r="CP278" s="2">
        <f t="shared" si="252"/>
        <v>49758.86</v>
      </c>
      <c r="CQ278" s="2">
        <f t="shared" si="253"/>
        <v>5.78</v>
      </c>
      <c r="CR278" s="2">
        <f t="shared" ref="CR278:CR283" si="274">(ROUND((ROUND(((ET278)*AV278*1),2)*BB278),2)+ROUND((ROUND(((AE278-(EU278))*AV278*1),2)*BS278),2))</f>
        <v>0</v>
      </c>
      <c r="CS278" s="2">
        <f t="shared" si="254"/>
        <v>0</v>
      </c>
      <c r="CT278" s="2">
        <f t="shared" si="255"/>
        <v>0</v>
      </c>
      <c r="CU278" s="2">
        <f t="shared" si="256"/>
        <v>0</v>
      </c>
      <c r="CV278" s="2">
        <f t="shared" si="257"/>
        <v>0</v>
      </c>
      <c r="CW278" s="2">
        <f t="shared" si="258"/>
        <v>0</v>
      </c>
      <c r="CX278" s="2">
        <f t="shared" si="259"/>
        <v>0</v>
      </c>
      <c r="CY278" s="2">
        <f t="shared" si="260"/>
        <v>0</v>
      </c>
      <c r="CZ278" s="2">
        <f t="shared" si="261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1003</v>
      </c>
      <c r="DV278" s="2" t="s">
        <v>286</v>
      </c>
      <c r="DW278" s="2" t="s">
        <v>286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58162630</v>
      </c>
      <c r="EF278" s="2">
        <v>40</v>
      </c>
      <c r="EG278" s="2" t="s">
        <v>25</v>
      </c>
      <c r="EH278" s="2">
        <v>0</v>
      </c>
      <c r="EI278" s="2" t="s">
        <v>3</v>
      </c>
      <c r="EJ278" s="2">
        <v>2</v>
      </c>
      <c r="EK278" s="2">
        <v>68</v>
      </c>
      <c r="EL278" s="2" t="s">
        <v>26</v>
      </c>
      <c r="EM278" s="2" t="s">
        <v>27</v>
      </c>
      <c r="EN278" s="2"/>
      <c r="EO278" s="2" t="s">
        <v>3</v>
      </c>
      <c r="EP278" s="2"/>
      <c r="EQ278" s="2">
        <v>0</v>
      </c>
      <c r="ER278" s="2">
        <v>5.78</v>
      </c>
      <c r="ES278" s="2">
        <v>5.78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90</v>
      </c>
      <c r="FY278" s="2">
        <v>46</v>
      </c>
      <c r="FZ278" s="2"/>
      <c r="GA278" s="2" t="s">
        <v>3</v>
      </c>
      <c r="GB278" s="2"/>
      <c r="GC278" s="2"/>
      <c r="GD278" s="2">
        <v>1</v>
      </c>
      <c r="GE278" s="2"/>
      <c r="GF278" s="2">
        <v>-2129111418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262"/>
        <v>0</v>
      </c>
      <c r="GM278" s="2">
        <f t="shared" si="263"/>
        <v>49758.86</v>
      </c>
      <c r="GN278" s="2">
        <f t="shared" si="264"/>
        <v>0</v>
      </c>
      <c r="GO278" s="2">
        <f t="shared" si="265"/>
        <v>49758.86</v>
      </c>
      <c r="GP278" s="2">
        <f t="shared" si="266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267"/>
        <v>0</v>
      </c>
      <c r="GW278" s="2">
        <v>1</v>
      </c>
      <c r="GX278" s="2">
        <f t="shared" si="268"/>
        <v>0</v>
      </c>
      <c r="GY278" s="2"/>
      <c r="GZ278" s="2"/>
      <c r="HA278" s="2">
        <v>0</v>
      </c>
      <c r="HB278" s="2">
        <v>0</v>
      </c>
      <c r="HC278" s="2">
        <f t="shared" si="269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3">
      <c r="A279" s="3">
        <v>18</v>
      </c>
      <c r="B279" s="3">
        <v>1</v>
      </c>
      <c r="C279" s="3"/>
      <c r="D279" s="3"/>
      <c r="E279" s="3" t="s">
        <v>283</v>
      </c>
      <c r="F279" s="3" t="s">
        <v>284</v>
      </c>
      <c r="G279" s="3" t="s">
        <v>285</v>
      </c>
      <c r="H279" s="3" t="s">
        <v>286</v>
      </c>
      <c r="I279" s="3">
        <f>I277*J279</f>
        <v>8608.7999999999993</v>
      </c>
      <c r="J279" s="3">
        <v>101.99999999999999</v>
      </c>
      <c r="K279" s="3">
        <v>102</v>
      </c>
      <c r="L279" s="3"/>
      <c r="M279" s="3"/>
      <c r="N279" s="3"/>
      <c r="O279" s="3">
        <f t="shared" si="238"/>
        <v>305519.40000000002</v>
      </c>
      <c r="P279" s="3">
        <f t="shared" si="239"/>
        <v>305519.40000000002</v>
      </c>
      <c r="Q279" s="3">
        <f t="shared" si="270"/>
        <v>0</v>
      </c>
      <c r="R279" s="3">
        <f t="shared" si="240"/>
        <v>0</v>
      </c>
      <c r="S279" s="3">
        <f t="shared" si="241"/>
        <v>0</v>
      </c>
      <c r="T279" s="3">
        <f t="shared" si="242"/>
        <v>0</v>
      </c>
      <c r="U279" s="3">
        <f t="shared" si="243"/>
        <v>0</v>
      </c>
      <c r="V279" s="3">
        <f t="shared" si="244"/>
        <v>0</v>
      </c>
      <c r="W279" s="3">
        <f t="shared" si="245"/>
        <v>0</v>
      </c>
      <c r="X279" s="3">
        <f t="shared" si="246"/>
        <v>0</v>
      </c>
      <c r="Y279" s="3">
        <f t="shared" si="247"/>
        <v>0</v>
      </c>
      <c r="Z279" s="3"/>
      <c r="AA279" s="3">
        <v>56505405</v>
      </c>
      <c r="AB279" s="3">
        <f t="shared" si="248"/>
        <v>5.78</v>
      </c>
      <c r="AC279" s="3">
        <f t="shared" si="249"/>
        <v>5.78</v>
      </c>
      <c r="AD279" s="3">
        <f t="shared" si="271"/>
        <v>0</v>
      </c>
      <c r="AE279" s="3">
        <f t="shared" si="272"/>
        <v>0</v>
      </c>
      <c r="AF279" s="3">
        <f t="shared" si="272"/>
        <v>0</v>
      </c>
      <c r="AG279" s="3">
        <f t="shared" si="250"/>
        <v>0</v>
      </c>
      <c r="AH279" s="3">
        <f t="shared" si="273"/>
        <v>0</v>
      </c>
      <c r="AI279" s="3">
        <f t="shared" si="273"/>
        <v>0</v>
      </c>
      <c r="AJ279" s="3">
        <f t="shared" si="251"/>
        <v>0</v>
      </c>
      <c r="AK279" s="3">
        <v>5.78</v>
      </c>
      <c r="AL279" s="3">
        <v>5.78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90</v>
      </c>
      <c r="AU279" s="3">
        <v>46</v>
      </c>
      <c r="AV279" s="3">
        <v>1</v>
      </c>
      <c r="AW279" s="3">
        <v>1</v>
      </c>
      <c r="AX279" s="3"/>
      <c r="AY279" s="3"/>
      <c r="AZ279" s="3">
        <v>1</v>
      </c>
      <c r="BA279" s="3">
        <v>1</v>
      </c>
      <c r="BB279" s="3">
        <v>1</v>
      </c>
      <c r="BC279" s="3">
        <v>6.14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3</v>
      </c>
      <c r="BI279" s="3">
        <v>2</v>
      </c>
      <c r="BJ279" s="3" t="s">
        <v>287</v>
      </c>
      <c r="BK279" s="3"/>
      <c r="BL279" s="3"/>
      <c r="BM279" s="3">
        <v>68</v>
      </c>
      <c r="BN279" s="3">
        <v>0</v>
      </c>
      <c r="BO279" s="3" t="s">
        <v>284</v>
      </c>
      <c r="BP279" s="3">
        <v>1</v>
      </c>
      <c r="BQ279" s="3">
        <v>40</v>
      </c>
      <c r="BR279" s="3">
        <v>0</v>
      </c>
      <c r="BS279" s="3">
        <v>1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90</v>
      </c>
      <c r="CA279" s="3">
        <v>46</v>
      </c>
      <c r="CB279" s="3" t="s">
        <v>3</v>
      </c>
      <c r="CC279" s="3"/>
      <c r="CD279" s="3"/>
      <c r="CE279" s="3">
        <v>30</v>
      </c>
      <c r="CF279" s="3">
        <v>0</v>
      </c>
      <c r="CG279" s="3">
        <v>0</v>
      </c>
      <c r="CH279" s="3"/>
      <c r="CI279" s="3"/>
      <c r="CJ279" s="3"/>
      <c r="CK279" s="3"/>
      <c r="CL279" s="3"/>
      <c r="CM279" s="3">
        <v>0</v>
      </c>
      <c r="CN279" s="3" t="s">
        <v>3</v>
      </c>
      <c r="CO279" s="3">
        <v>0</v>
      </c>
      <c r="CP279" s="3">
        <f t="shared" si="252"/>
        <v>305519.40000000002</v>
      </c>
      <c r="CQ279" s="3">
        <f t="shared" si="253"/>
        <v>35.49</v>
      </c>
      <c r="CR279" s="3">
        <f t="shared" si="274"/>
        <v>0</v>
      </c>
      <c r="CS279" s="3">
        <f t="shared" si="254"/>
        <v>0</v>
      </c>
      <c r="CT279" s="3">
        <f t="shared" si="255"/>
        <v>0</v>
      </c>
      <c r="CU279" s="3">
        <f t="shared" si="256"/>
        <v>0</v>
      </c>
      <c r="CV279" s="3">
        <f t="shared" si="257"/>
        <v>0</v>
      </c>
      <c r="CW279" s="3">
        <f t="shared" si="258"/>
        <v>0</v>
      </c>
      <c r="CX279" s="3">
        <f t="shared" si="259"/>
        <v>0</v>
      </c>
      <c r="CY279" s="3">
        <f t="shared" si="260"/>
        <v>0</v>
      </c>
      <c r="CZ279" s="3">
        <f t="shared" si="261"/>
        <v>0</v>
      </c>
      <c r="DA279" s="3"/>
      <c r="DB279" s="3"/>
      <c r="DC279" s="3" t="s">
        <v>3</v>
      </c>
      <c r="DD279" s="3" t="s">
        <v>3</v>
      </c>
      <c r="DE279" s="3" t="s">
        <v>3</v>
      </c>
      <c r="DF279" s="3" t="s">
        <v>3</v>
      </c>
      <c r="DG279" s="3" t="s">
        <v>3</v>
      </c>
      <c r="DH279" s="3" t="s">
        <v>3</v>
      </c>
      <c r="DI279" s="3" t="s">
        <v>3</v>
      </c>
      <c r="DJ279" s="3" t="s">
        <v>3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R279" s="3"/>
      <c r="DS279" s="3"/>
      <c r="DT279" s="3"/>
      <c r="DU279" s="3">
        <v>1003</v>
      </c>
      <c r="DV279" s="3" t="s">
        <v>286</v>
      </c>
      <c r="DW279" s="3" t="s">
        <v>286</v>
      </c>
      <c r="DX279" s="3">
        <v>1</v>
      </c>
      <c r="DY279" s="3"/>
      <c r="DZ279" s="3" t="s">
        <v>3</v>
      </c>
      <c r="EA279" s="3" t="s">
        <v>3</v>
      </c>
      <c r="EB279" s="3" t="s">
        <v>3</v>
      </c>
      <c r="EC279" s="3" t="s">
        <v>3</v>
      </c>
      <c r="ED279" s="3"/>
      <c r="EE279" s="3">
        <v>58162630</v>
      </c>
      <c r="EF279" s="3">
        <v>40</v>
      </c>
      <c r="EG279" s="3" t="s">
        <v>25</v>
      </c>
      <c r="EH279" s="3">
        <v>0</v>
      </c>
      <c r="EI279" s="3" t="s">
        <v>3</v>
      </c>
      <c r="EJ279" s="3">
        <v>2</v>
      </c>
      <c r="EK279" s="3">
        <v>68</v>
      </c>
      <c r="EL279" s="3" t="s">
        <v>26</v>
      </c>
      <c r="EM279" s="3" t="s">
        <v>27</v>
      </c>
      <c r="EN279" s="3"/>
      <c r="EO279" s="3" t="s">
        <v>3</v>
      </c>
      <c r="EP279" s="3"/>
      <c r="EQ279" s="3">
        <v>0</v>
      </c>
      <c r="ER279" s="3">
        <v>5.78</v>
      </c>
      <c r="ES279" s="3">
        <v>5.78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>
        <v>0</v>
      </c>
      <c r="FR279" s="3">
        <v>0</v>
      </c>
      <c r="FS279" s="3">
        <v>0</v>
      </c>
      <c r="FT279" s="3"/>
      <c r="FU279" s="3"/>
      <c r="FV279" s="3"/>
      <c r="FW279" s="3"/>
      <c r="FX279" s="3">
        <v>90</v>
      </c>
      <c r="FY279" s="3">
        <v>46</v>
      </c>
      <c r="FZ279" s="3"/>
      <c r="GA279" s="3" t="s">
        <v>3</v>
      </c>
      <c r="GB279" s="3"/>
      <c r="GC279" s="3"/>
      <c r="GD279" s="3">
        <v>1</v>
      </c>
      <c r="GE279" s="3"/>
      <c r="GF279" s="3">
        <v>-2129111418</v>
      </c>
      <c r="GG279" s="3">
        <v>2</v>
      </c>
      <c r="GH279" s="3">
        <v>1</v>
      </c>
      <c r="GI279" s="3">
        <v>2</v>
      </c>
      <c r="GJ279" s="3">
        <v>0</v>
      </c>
      <c r="GK279" s="3">
        <v>0</v>
      </c>
      <c r="GL279" s="3">
        <f t="shared" si="262"/>
        <v>0</v>
      </c>
      <c r="GM279" s="3">
        <f t="shared" si="263"/>
        <v>305519.40000000002</v>
      </c>
      <c r="GN279" s="3">
        <f t="shared" si="264"/>
        <v>0</v>
      </c>
      <c r="GO279" s="3">
        <f t="shared" si="265"/>
        <v>305519.40000000002</v>
      </c>
      <c r="GP279" s="3">
        <f t="shared" si="266"/>
        <v>0</v>
      </c>
      <c r="GQ279" s="3"/>
      <c r="GR279" s="3">
        <v>0</v>
      </c>
      <c r="GS279" s="3">
        <v>3</v>
      </c>
      <c r="GT279" s="3">
        <v>0</v>
      </c>
      <c r="GU279" s="3" t="s">
        <v>3</v>
      </c>
      <c r="GV279" s="3">
        <f t="shared" si="267"/>
        <v>0</v>
      </c>
      <c r="GW279" s="3">
        <v>1</v>
      </c>
      <c r="GX279" s="3">
        <f t="shared" si="268"/>
        <v>0</v>
      </c>
      <c r="GY279" s="3"/>
      <c r="GZ279" s="3"/>
      <c r="HA279" s="3">
        <v>0</v>
      </c>
      <c r="HB279" s="3">
        <v>0</v>
      </c>
      <c r="HC279" s="3">
        <f t="shared" si="269"/>
        <v>0</v>
      </c>
      <c r="HD279" s="3"/>
      <c r="HE279" s="3" t="s">
        <v>3</v>
      </c>
      <c r="HF279" s="3" t="s">
        <v>3</v>
      </c>
      <c r="HG279" s="3"/>
      <c r="HH279" s="3"/>
      <c r="HI279" s="3"/>
      <c r="HJ279" s="3"/>
      <c r="HK279" s="3"/>
      <c r="HL279" s="3"/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R279" s="3"/>
      <c r="HS279" s="3">
        <v>0</v>
      </c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>
        <v>0</v>
      </c>
      <c r="IL279" s="3"/>
      <c r="IM279" s="3"/>
      <c r="IN279" s="3"/>
      <c r="IO279" s="3"/>
      <c r="IP279" s="3"/>
      <c r="IQ279" s="3"/>
      <c r="IR279" s="3"/>
      <c r="IS279" s="3"/>
      <c r="IT279" s="3"/>
      <c r="IU279" s="3"/>
    </row>
    <row r="280" spans="1:255" x14ac:dyDescent="0.3">
      <c r="A280" s="2">
        <v>18</v>
      </c>
      <c r="B280" s="2">
        <v>1</v>
      </c>
      <c r="C280" s="2"/>
      <c r="D280" s="2"/>
      <c r="E280" s="2" t="s">
        <v>288</v>
      </c>
      <c r="F280" s="2" t="s">
        <v>289</v>
      </c>
      <c r="G280" s="2" t="s">
        <v>290</v>
      </c>
      <c r="H280" s="2" t="s">
        <v>223</v>
      </c>
      <c r="I280" s="2">
        <f>I276*J280</f>
        <v>182.64160000000001</v>
      </c>
      <c r="J280" s="2">
        <v>2.1640000000000001</v>
      </c>
      <c r="K280" s="2">
        <v>2.1640000000000001</v>
      </c>
      <c r="L280" s="2"/>
      <c r="M280" s="2"/>
      <c r="N280" s="2"/>
      <c r="O280" s="2">
        <f t="shared" si="238"/>
        <v>28192.560000000001</v>
      </c>
      <c r="P280" s="2">
        <f t="shared" si="239"/>
        <v>28192.560000000001</v>
      </c>
      <c r="Q280" s="2">
        <f t="shared" si="270"/>
        <v>0</v>
      </c>
      <c r="R280" s="2">
        <f t="shared" si="240"/>
        <v>0</v>
      </c>
      <c r="S280" s="2">
        <f t="shared" si="241"/>
        <v>0</v>
      </c>
      <c r="T280" s="2">
        <f t="shared" si="242"/>
        <v>0</v>
      </c>
      <c r="U280" s="2">
        <f t="shared" si="243"/>
        <v>0</v>
      </c>
      <c r="V280" s="2">
        <f t="shared" si="244"/>
        <v>0</v>
      </c>
      <c r="W280" s="2">
        <f t="shared" si="245"/>
        <v>0</v>
      </c>
      <c r="X280" s="2">
        <f t="shared" si="246"/>
        <v>0</v>
      </c>
      <c r="Y280" s="2">
        <f t="shared" si="247"/>
        <v>0</v>
      </c>
      <c r="Z280" s="2"/>
      <c r="AA280" s="2">
        <v>56505403</v>
      </c>
      <c r="AB280" s="2">
        <f t="shared" si="248"/>
        <v>154.36000000000001</v>
      </c>
      <c r="AC280" s="2">
        <f t="shared" si="249"/>
        <v>154.36000000000001</v>
      </c>
      <c r="AD280" s="2">
        <f t="shared" si="271"/>
        <v>0</v>
      </c>
      <c r="AE280" s="2">
        <f t="shared" si="272"/>
        <v>0</v>
      </c>
      <c r="AF280" s="2">
        <f t="shared" si="272"/>
        <v>0</v>
      </c>
      <c r="AG280" s="2">
        <f t="shared" si="250"/>
        <v>0</v>
      </c>
      <c r="AH280" s="2">
        <f t="shared" si="273"/>
        <v>0</v>
      </c>
      <c r="AI280" s="2">
        <f t="shared" si="273"/>
        <v>0</v>
      </c>
      <c r="AJ280" s="2">
        <f t="shared" si="251"/>
        <v>0</v>
      </c>
      <c r="AK280" s="2">
        <v>154.36000000000001</v>
      </c>
      <c r="AL280" s="2">
        <v>154.36000000000001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90</v>
      </c>
      <c r="AU280" s="2">
        <v>46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2</v>
      </c>
      <c r="BJ280" s="2" t="s">
        <v>291</v>
      </c>
      <c r="BK280" s="2"/>
      <c r="BL280" s="2"/>
      <c r="BM280" s="2">
        <v>68</v>
      </c>
      <c r="BN280" s="2">
        <v>0</v>
      </c>
      <c r="BO280" s="2" t="s">
        <v>3</v>
      </c>
      <c r="BP280" s="2">
        <v>0</v>
      </c>
      <c r="BQ280" s="2">
        <v>40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90</v>
      </c>
      <c r="CA280" s="2">
        <v>46</v>
      </c>
      <c r="CB280" s="2" t="s">
        <v>3</v>
      </c>
      <c r="CC280" s="2"/>
      <c r="CD280" s="2"/>
      <c r="CE280" s="2">
        <v>30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3</v>
      </c>
      <c r="CO280" s="2">
        <v>0</v>
      </c>
      <c r="CP280" s="2">
        <f t="shared" si="252"/>
        <v>28192.560000000001</v>
      </c>
      <c r="CQ280" s="2">
        <f t="shared" si="253"/>
        <v>154.36000000000001</v>
      </c>
      <c r="CR280" s="2">
        <f t="shared" si="274"/>
        <v>0</v>
      </c>
      <c r="CS280" s="2">
        <f t="shared" si="254"/>
        <v>0</v>
      </c>
      <c r="CT280" s="2">
        <f t="shared" si="255"/>
        <v>0</v>
      </c>
      <c r="CU280" s="2">
        <f t="shared" si="256"/>
        <v>0</v>
      </c>
      <c r="CV280" s="2">
        <f t="shared" si="257"/>
        <v>0</v>
      </c>
      <c r="CW280" s="2">
        <f t="shared" si="258"/>
        <v>0</v>
      </c>
      <c r="CX280" s="2">
        <f t="shared" si="259"/>
        <v>0</v>
      </c>
      <c r="CY280" s="2">
        <f t="shared" si="260"/>
        <v>0</v>
      </c>
      <c r="CZ280" s="2">
        <f t="shared" si="261"/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223</v>
      </c>
      <c r="DW280" s="2" t="s">
        <v>223</v>
      </c>
      <c r="DX280" s="2">
        <v>100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58162630</v>
      </c>
      <c r="EF280" s="2">
        <v>40</v>
      </c>
      <c r="EG280" s="2" t="s">
        <v>25</v>
      </c>
      <c r="EH280" s="2">
        <v>0</v>
      </c>
      <c r="EI280" s="2" t="s">
        <v>3</v>
      </c>
      <c r="EJ280" s="2">
        <v>2</v>
      </c>
      <c r="EK280" s="2">
        <v>68</v>
      </c>
      <c r="EL280" s="2" t="s">
        <v>26</v>
      </c>
      <c r="EM280" s="2" t="s">
        <v>27</v>
      </c>
      <c r="EN280" s="2"/>
      <c r="EO280" s="2" t="s">
        <v>3</v>
      </c>
      <c r="EP280" s="2"/>
      <c r="EQ280" s="2">
        <v>0</v>
      </c>
      <c r="ER280" s="2">
        <v>154.36000000000001</v>
      </c>
      <c r="ES280" s="2">
        <v>154.36000000000001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90</v>
      </c>
      <c r="FY280" s="2">
        <v>46</v>
      </c>
      <c r="FZ280" s="2"/>
      <c r="GA280" s="2" t="s">
        <v>3</v>
      </c>
      <c r="GB280" s="2"/>
      <c r="GC280" s="2"/>
      <c r="GD280" s="2">
        <v>1</v>
      </c>
      <c r="GE280" s="2"/>
      <c r="GF280" s="2">
        <v>-171069705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262"/>
        <v>0</v>
      </c>
      <c r="GM280" s="2">
        <f t="shared" si="263"/>
        <v>28192.560000000001</v>
      </c>
      <c r="GN280" s="2">
        <f t="shared" si="264"/>
        <v>0</v>
      </c>
      <c r="GO280" s="2">
        <f t="shared" si="265"/>
        <v>28192.560000000001</v>
      </c>
      <c r="GP280" s="2">
        <f t="shared" si="266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267"/>
        <v>0</v>
      </c>
      <c r="GW280" s="2">
        <v>1</v>
      </c>
      <c r="GX280" s="2">
        <f t="shared" si="268"/>
        <v>0</v>
      </c>
      <c r="GY280" s="2"/>
      <c r="GZ280" s="2"/>
      <c r="HA280" s="2">
        <v>0</v>
      </c>
      <c r="HB280" s="2">
        <v>0</v>
      </c>
      <c r="HC280" s="2">
        <f t="shared" si="269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3">
      <c r="A281" s="3">
        <v>18</v>
      </c>
      <c r="B281" s="3">
        <v>1</v>
      </c>
      <c r="C281" s="3"/>
      <c r="D281" s="3"/>
      <c r="E281" s="3" t="s">
        <v>288</v>
      </c>
      <c r="F281" s="3" t="s">
        <v>289</v>
      </c>
      <c r="G281" s="3" t="s">
        <v>290</v>
      </c>
      <c r="H281" s="3" t="s">
        <v>223</v>
      </c>
      <c r="I281" s="3">
        <f>I277*J281</f>
        <v>182.64160000000001</v>
      </c>
      <c r="J281" s="3">
        <v>2.1640000000000001</v>
      </c>
      <c r="K281" s="3">
        <v>2.1640000000000001</v>
      </c>
      <c r="L281" s="3"/>
      <c r="M281" s="3"/>
      <c r="N281" s="3"/>
      <c r="O281" s="3">
        <f t="shared" si="238"/>
        <v>58076.67</v>
      </c>
      <c r="P281" s="3">
        <f t="shared" si="239"/>
        <v>58076.67</v>
      </c>
      <c r="Q281" s="3">
        <f t="shared" si="270"/>
        <v>0</v>
      </c>
      <c r="R281" s="3">
        <f t="shared" si="240"/>
        <v>0</v>
      </c>
      <c r="S281" s="3">
        <f t="shared" si="241"/>
        <v>0</v>
      </c>
      <c r="T281" s="3">
        <f t="shared" si="242"/>
        <v>0</v>
      </c>
      <c r="U281" s="3">
        <f t="shared" si="243"/>
        <v>0</v>
      </c>
      <c r="V281" s="3">
        <f t="shared" si="244"/>
        <v>0</v>
      </c>
      <c r="W281" s="3">
        <f t="shared" si="245"/>
        <v>0</v>
      </c>
      <c r="X281" s="3">
        <f t="shared" si="246"/>
        <v>0</v>
      </c>
      <c r="Y281" s="3">
        <f t="shared" si="247"/>
        <v>0</v>
      </c>
      <c r="Z281" s="3"/>
      <c r="AA281" s="3">
        <v>56505405</v>
      </c>
      <c r="AB281" s="3">
        <f t="shared" si="248"/>
        <v>154.36000000000001</v>
      </c>
      <c r="AC281" s="3">
        <f t="shared" si="249"/>
        <v>154.36000000000001</v>
      </c>
      <c r="AD281" s="3">
        <f t="shared" si="271"/>
        <v>0</v>
      </c>
      <c r="AE281" s="3">
        <f t="shared" si="272"/>
        <v>0</v>
      </c>
      <c r="AF281" s="3">
        <f t="shared" si="272"/>
        <v>0</v>
      </c>
      <c r="AG281" s="3">
        <f t="shared" si="250"/>
        <v>0</v>
      </c>
      <c r="AH281" s="3">
        <f t="shared" si="273"/>
        <v>0</v>
      </c>
      <c r="AI281" s="3">
        <f t="shared" si="273"/>
        <v>0</v>
      </c>
      <c r="AJ281" s="3">
        <f t="shared" si="251"/>
        <v>0</v>
      </c>
      <c r="AK281" s="3">
        <v>154.36000000000001</v>
      </c>
      <c r="AL281" s="3">
        <v>154.36000000000001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90</v>
      </c>
      <c r="AU281" s="3">
        <v>46</v>
      </c>
      <c r="AV281" s="3">
        <v>1</v>
      </c>
      <c r="AW281" s="3">
        <v>1</v>
      </c>
      <c r="AX281" s="3"/>
      <c r="AY281" s="3"/>
      <c r="AZ281" s="3">
        <v>1</v>
      </c>
      <c r="BA281" s="3">
        <v>1</v>
      </c>
      <c r="BB281" s="3">
        <v>1</v>
      </c>
      <c r="BC281" s="3">
        <v>2.06</v>
      </c>
      <c r="BD281" s="3" t="s">
        <v>3</v>
      </c>
      <c r="BE281" s="3" t="s">
        <v>3</v>
      </c>
      <c r="BF281" s="3" t="s">
        <v>3</v>
      </c>
      <c r="BG281" s="3" t="s">
        <v>3</v>
      </c>
      <c r="BH281" s="3">
        <v>3</v>
      </c>
      <c r="BI281" s="3">
        <v>2</v>
      </c>
      <c r="BJ281" s="3" t="s">
        <v>291</v>
      </c>
      <c r="BK281" s="3"/>
      <c r="BL281" s="3"/>
      <c r="BM281" s="3">
        <v>68</v>
      </c>
      <c r="BN281" s="3">
        <v>0</v>
      </c>
      <c r="BO281" s="3" t="s">
        <v>289</v>
      </c>
      <c r="BP281" s="3">
        <v>1</v>
      </c>
      <c r="BQ281" s="3">
        <v>40</v>
      </c>
      <c r="BR281" s="3">
        <v>0</v>
      </c>
      <c r="BS281" s="3">
        <v>1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 t="s">
        <v>3</v>
      </c>
      <c r="BZ281" s="3">
        <v>90</v>
      </c>
      <c r="CA281" s="3">
        <v>46</v>
      </c>
      <c r="CB281" s="3" t="s">
        <v>3</v>
      </c>
      <c r="CC281" s="3"/>
      <c r="CD281" s="3"/>
      <c r="CE281" s="3">
        <v>30</v>
      </c>
      <c r="CF281" s="3">
        <v>0</v>
      </c>
      <c r="CG281" s="3">
        <v>0</v>
      </c>
      <c r="CH281" s="3"/>
      <c r="CI281" s="3"/>
      <c r="CJ281" s="3"/>
      <c r="CK281" s="3"/>
      <c r="CL281" s="3"/>
      <c r="CM281" s="3">
        <v>0</v>
      </c>
      <c r="CN281" s="3" t="s">
        <v>3</v>
      </c>
      <c r="CO281" s="3">
        <v>0</v>
      </c>
      <c r="CP281" s="3">
        <f t="shared" si="252"/>
        <v>58076.67</v>
      </c>
      <c r="CQ281" s="3">
        <f t="shared" si="253"/>
        <v>317.98</v>
      </c>
      <c r="CR281" s="3">
        <f t="shared" si="274"/>
        <v>0</v>
      </c>
      <c r="CS281" s="3">
        <f t="shared" si="254"/>
        <v>0</v>
      </c>
      <c r="CT281" s="3">
        <f t="shared" si="255"/>
        <v>0</v>
      </c>
      <c r="CU281" s="3">
        <f t="shared" si="256"/>
        <v>0</v>
      </c>
      <c r="CV281" s="3">
        <f t="shared" si="257"/>
        <v>0</v>
      </c>
      <c r="CW281" s="3">
        <f t="shared" si="258"/>
        <v>0</v>
      </c>
      <c r="CX281" s="3">
        <f t="shared" si="259"/>
        <v>0</v>
      </c>
      <c r="CY281" s="3">
        <f t="shared" si="260"/>
        <v>0</v>
      </c>
      <c r="CZ281" s="3">
        <f t="shared" si="261"/>
        <v>0</v>
      </c>
      <c r="DA281" s="3"/>
      <c r="DB281" s="3"/>
      <c r="DC281" s="3" t="s">
        <v>3</v>
      </c>
      <c r="DD281" s="3" t="s">
        <v>3</v>
      </c>
      <c r="DE281" s="3" t="s">
        <v>3</v>
      </c>
      <c r="DF281" s="3" t="s">
        <v>3</v>
      </c>
      <c r="DG281" s="3" t="s">
        <v>3</v>
      </c>
      <c r="DH281" s="3" t="s">
        <v>3</v>
      </c>
      <c r="DI281" s="3" t="s">
        <v>3</v>
      </c>
      <c r="DJ281" s="3" t="s">
        <v>3</v>
      </c>
      <c r="DK281" s="3" t="s">
        <v>3</v>
      </c>
      <c r="DL281" s="3" t="s">
        <v>3</v>
      </c>
      <c r="DM281" s="3" t="s">
        <v>3</v>
      </c>
      <c r="DN281" s="3">
        <v>0</v>
      </c>
      <c r="DO281" s="3">
        <v>0</v>
      </c>
      <c r="DP281" s="3">
        <v>1</v>
      </c>
      <c r="DQ281" s="3">
        <v>1</v>
      </c>
      <c r="DR281" s="3"/>
      <c r="DS281" s="3"/>
      <c r="DT281" s="3"/>
      <c r="DU281" s="3">
        <v>1010</v>
      </c>
      <c r="DV281" s="3" t="s">
        <v>223</v>
      </c>
      <c r="DW281" s="3" t="s">
        <v>223</v>
      </c>
      <c r="DX281" s="3">
        <v>100</v>
      </c>
      <c r="DY281" s="3"/>
      <c r="DZ281" s="3" t="s">
        <v>3</v>
      </c>
      <c r="EA281" s="3" t="s">
        <v>3</v>
      </c>
      <c r="EB281" s="3" t="s">
        <v>3</v>
      </c>
      <c r="EC281" s="3" t="s">
        <v>3</v>
      </c>
      <c r="ED281" s="3"/>
      <c r="EE281" s="3">
        <v>58162630</v>
      </c>
      <c r="EF281" s="3">
        <v>40</v>
      </c>
      <c r="EG281" s="3" t="s">
        <v>25</v>
      </c>
      <c r="EH281" s="3">
        <v>0</v>
      </c>
      <c r="EI281" s="3" t="s">
        <v>3</v>
      </c>
      <c r="EJ281" s="3">
        <v>2</v>
      </c>
      <c r="EK281" s="3">
        <v>68</v>
      </c>
      <c r="EL281" s="3" t="s">
        <v>26</v>
      </c>
      <c r="EM281" s="3" t="s">
        <v>27</v>
      </c>
      <c r="EN281" s="3"/>
      <c r="EO281" s="3" t="s">
        <v>3</v>
      </c>
      <c r="EP281" s="3"/>
      <c r="EQ281" s="3">
        <v>0</v>
      </c>
      <c r="ER281" s="3">
        <v>154.36000000000001</v>
      </c>
      <c r="ES281" s="3">
        <v>154.36000000000001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>
        <v>0</v>
      </c>
      <c r="FR281" s="3">
        <v>0</v>
      </c>
      <c r="FS281" s="3">
        <v>0</v>
      </c>
      <c r="FT281" s="3"/>
      <c r="FU281" s="3"/>
      <c r="FV281" s="3"/>
      <c r="FW281" s="3"/>
      <c r="FX281" s="3">
        <v>90</v>
      </c>
      <c r="FY281" s="3">
        <v>46</v>
      </c>
      <c r="FZ281" s="3"/>
      <c r="GA281" s="3" t="s">
        <v>3</v>
      </c>
      <c r="GB281" s="3"/>
      <c r="GC281" s="3"/>
      <c r="GD281" s="3">
        <v>1</v>
      </c>
      <c r="GE281" s="3"/>
      <c r="GF281" s="3">
        <v>-171069705</v>
      </c>
      <c r="GG281" s="3">
        <v>2</v>
      </c>
      <c r="GH281" s="3">
        <v>1</v>
      </c>
      <c r="GI281" s="3">
        <v>2</v>
      </c>
      <c r="GJ281" s="3">
        <v>0</v>
      </c>
      <c r="GK281" s="3">
        <v>0</v>
      </c>
      <c r="GL281" s="3">
        <f t="shared" si="262"/>
        <v>0</v>
      </c>
      <c r="GM281" s="3">
        <f t="shared" si="263"/>
        <v>58076.67</v>
      </c>
      <c r="GN281" s="3">
        <f t="shared" si="264"/>
        <v>0</v>
      </c>
      <c r="GO281" s="3">
        <f t="shared" si="265"/>
        <v>58076.67</v>
      </c>
      <c r="GP281" s="3">
        <f t="shared" si="266"/>
        <v>0</v>
      </c>
      <c r="GQ281" s="3"/>
      <c r="GR281" s="3">
        <v>0</v>
      </c>
      <c r="GS281" s="3">
        <v>3</v>
      </c>
      <c r="GT281" s="3">
        <v>0</v>
      </c>
      <c r="GU281" s="3" t="s">
        <v>3</v>
      </c>
      <c r="GV281" s="3">
        <f t="shared" si="267"/>
        <v>0</v>
      </c>
      <c r="GW281" s="3">
        <v>1</v>
      </c>
      <c r="GX281" s="3">
        <f t="shared" si="268"/>
        <v>0</v>
      </c>
      <c r="GY281" s="3"/>
      <c r="GZ281" s="3"/>
      <c r="HA281" s="3">
        <v>0</v>
      </c>
      <c r="HB281" s="3">
        <v>0</v>
      </c>
      <c r="HC281" s="3">
        <f t="shared" si="269"/>
        <v>0</v>
      </c>
      <c r="HD281" s="3"/>
      <c r="HE281" s="3" t="s">
        <v>3</v>
      </c>
      <c r="HF281" s="3" t="s">
        <v>3</v>
      </c>
      <c r="HG281" s="3"/>
      <c r="HH281" s="3"/>
      <c r="HI281" s="3"/>
      <c r="HJ281" s="3"/>
      <c r="HK281" s="3"/>
      <c r="HL281" s="3"/>
      <c r="HM281" s="3" t="s">
        <v>3</v>
      </c>
      <c r="HN281" s="3" t="s">
        <v>3</v>
      </c>
      <c r="HO281" s="3" t="s">
        <v>3</v>
      </c>
      <c r="HP281" s="3" t="s">
        <v>3</v>
      </c>
      <c r="HQ281" s="3" t="s">
        <v>3</v>
      </c>
      <c r="HR281" s="3"/>
      <c r="HS281" s="3">
        <v>0</v>
      </c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>
        <v>0</v>
      </c>
      <c r="IL281" s="3"/>
      <c r="IM281" s="3"/>
      <c r="IN281" s="3"/>
      <c r="IO281" s="3"/>
      <c r="IP281" s="3"/>
      <c r="IQ281" s="3"/>
      <c r="IR281" s="3"/>
      <c r="IS281" s="3"/>
      <c r="IT281" s="3"/>
      <c r="IU281" s="3"/>
    </row>
    <row r="282" spans="1:255" x14ac:dyDescent="0.3">
      <c r="A282" s="2">
        <v>18</v>
      </c>
      <c r="B282" s="2">
        <v>1</v>
      </c>
      <c r="C282" s="2"/>
      <c r="D282" s="2"/>
      <c r="E282" s="2" t="s">
        <v>292</v>
      </c>
      <c r="F282" s="2" t="s">
        <v>293</v>
      </c>
      <c r="G282" s="2" t="s">
        <v>294</v>
      </c>
      <c r="H282" s="2" t="s">
        <v>295</v>
      </c>
      <c r="I282" s="2">
        <f>I276*J282</f>
        <v>17.217600000000001</v>
      </c>
      <c r="J282" s="2">
        <v>0.20399999999999999</v>
      </c>
      <c r="K282" s="2">
        <v>0.20399999999999999</v>
      </c>
      <c r="L282" s="2"/>
      <c r="M282" s="2"/>
      <c r="N282" s="2"/>
      <c r="O282" s="2">
        <f t="shared" si="238"/>
        <v>75278.27</v>
      </c>
      <c r="P282" s="2">
        <f t="shared" si="239"/>
        <v>75278.27</v>
      </c>
      <c r="Q282" s="2">
        <f t="shared" si="270"/>
        <v>0</v>
      </c>
      <c r="R282" s="2">
        <f t="shared" si="240"/>
        <v>0</v>
      </c>
      <c r="S282" s="2">
        <f t="shared" si="241"/>
        <v>0</v>
      </c>
      <c r="T282" s="2">
        <f t="shared" si="242"/>
        <v>0</v>
      </c>
      <c r="U282" s="2">
        <f t="shared" si="243"/>
        <v>0</v>
      </c>
      <c r="V282" s="2">
        <f t="shared" si="244"/>
        <v>0</v>
      </c>
      <c r="W282" s="2">
        <f t="shared" si="245"/>
        <v>0</v>
      </c>
      <c r="X282" s="2">
        <f t="shared" si="246"/>
        <v>0</v>
      </c>
      <c r="Y282" s="2">
        <f t="shared" si="247"/>
        <v>0</v>
      </c>
      <c r="Z282" s="2"/>
      <c r="AA282" s="2">
        <v>56505403</v>
      </c>
      <c r="AB282" s="2">
        <f t="shared" si="248"/>
        <v>4372.17</v>
      </c>
      <c r="AC282" s="2">
        <f t="shared" si="249"/>
        <v>4372.17</v>
      </c>
      <c r="AD282" s="2">
        <f t="shared" si="271"/>
        <v>0</v>
      </c>
      <c r="AE282" s="2">
        <f t="shared" si="272"/>
        <v>0</v>
      </c>
      <c r="AF282" s="2">
        <f t="shared" si="272"/>
        <v>0</v>
      </c>
      <c r="AG282" s="2">
        <f t="shared" si="250"/>
        <v>0</v>
      </c>
      <c r="AH282" s="2">
        <f t="shared" si="273"/>
        <v>0</v>
      </c>
      <c r="AI282" s="2">
        <f t="shared" si="273"/>
        <v>0</v>
      </c>
      <c r="AJ282" s="2">
        <f t="shared" si="251"/>
        <v>0</v>
      </c>
      <c r="AK282" s="2">
        <v>4372.1699999999992</v>
      </c>
      <c r="AL282" s="2">
        <v>4372.1699999999992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90</v>
      </c>
      <c r="AU282" s="2">
        <v>46</v>
      </c>
      <c r="AV282" s="2">
        <v>1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3</v>
      </c>
      <c r="BI282" s="2">
        <v>2</v>
      </c>
      <c r="BJ282" s="2" t="s">
        <v>3</v>
      </c>
      <c r="BK282" s="2"/>
      <c r="BL282" s="2"/>
      <c r="BM282" s="2">
        <v>68</v>
      </c>
      <c r="BN282" s="2">
        <v>0</v>
      </c>
      <c r="BO282" s="2" t="s">
        <v>3</v>
      </c>
      <c r="BP282" s="2">
        <v>0</v>
      </c>
      <c r="BQ282" s="2">
        <v>40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90</v>
      </c>
      <c r="CA282" s="2">
        <v>46</v>
      </c>
      <c r="CB282" s="2" t="s">
        <v>3</v>
      </c>
      <c r="CC282" s="2"/>
      <c r="CD282" s="2"/>
      <c r="CE282" s="2">
        <v>30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3</v>
      </c>
      <c r="CO282" s="2">
        <v>0</v>
      </c>
      <c r="CP282" s="2">
        <f t="shared" si="252"/>
        <v>75278.27</v>
      </c>
      <c r="CQ282" s="2">
        <f t="shared" si="253"/>
        <v>4372.17</v>
      </c>
      <c r="CR282" s="2">
        <f t="shared" si="274"/>
        <v>0</v>
      </c>
      <c r="CS282" s="2">
        <f t="shared" si="254"/>
        <v>0</v>
      </c>
      <c r="CT282" s="2">
        <f t="shared" si="255"/>
        <v>0</v>
      </c>
      <c r="CU282" s="2">
        <f t="shared" si="256"/>
        <v>0</v>
      </c>
      <c r="CV282" s="2">
        <f t="shared" si="257"/>
        <v>0</v>
      </c>
      <c r="CW282" s="2">
        <f t="shared" si="258"/>
        <v>0</v>
      </c>
      <c r="CX282" s="2">
        <f t="shared" si="259"/>
        <v>0</v>
      </c>
      <c r="CY282" s="2">
        <f t="shared" si="260"/>
        <v>0</v>
      </c>
      <c r="CZ282" s="2">
        <f t="shared" si="261"/>
        <v>0</v>
      </c>
      <c r="DA282" s="2"/>
      <c r="DB282" s="2"/>
      <c r="DC282" s="2" t="s">
        <v>3</v>
      </c>
      <c r="DD282" s="2" t="s">
        <v>3</v>
      </c>
      <c r="DE282" s="2" t="s">
        <v>3</v>
      </c>
      <c r="DF282" s="2" t="s">
        <v>3</v>
      </c>
      <c r="DG282" s="2" t="s">
        <v>3</v>
      </c>
      <c r="DH282" s="2" t="s">
        <v>3</v>
      </c>
      <c r="DI282" s="2" t="s">
        <v>3</v>
      </c>
      <c r="DJ282" s="2" t="s">
        <v>3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1003</v>
      </c>
      <c r="DV282" s="2" t="s">
        <v>295</v>
      </c>
      <c r="DW282" s="2" t="s">
        <v>295</v>
      </c>
      <c r="DX282" s="2">
        <v>1000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58162630</v>
      </c>
      <c r="EF282" s="2">
        <v>40</v>
      </c>
      <c r="EG282" s="2" t="s">
        <v>25</v>
      </c>
      <c r="EH282" s="2">
        <v>0</v>
      </c>
      <c r="EI282" s="2" t="s">
        <v>3</v>
      </c>
      <c r="EJ282" s="2">
        <v>2</v>
      </c>
      <c r="EK282" s="2">
        <v>68</v>
      </c>
      <c r="EL282" s="2" t="s">
        <v>26</v>
      </c>
      <c r="EM282" s="2" t="s">
        <v>27</v>
      </c>
      <c r="EN282" s="2"/>
      <c r="EO282" s="2" t="s">
        <v>3</v>
      </c>
      <c r="EP282" s="2"/>
      <c r="EQ282" s="2">
        <v>0</v>
      </c>
      <c r="ER282" s="2">
        <v>0</v>
      </c>
      <c r="ES282" s="2">
        <v>4372.1699999999992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90</v>
      </c>
      <c r="FY282" s="2">
        <v>46</v>
      </c>
      <c r="FZ282" s="2"/>
      <c r="GA282" s="2" t="s">
        <v>296</v>
      </c>
      <c r="GB282" s="2"/>
      <c r="GC282" s="2"/>
      <c r="GD282" s="2">
        <v>1</v>
      </c>
      <c r="GE282" s="2"/>
      <c r="GF282" s="2">
        <v>-84156872</v>
      </c>
      <c r="GG282" s="2">
        <v>2</v>
      </c>
      <c r="GH282" s="2">
        <v>4</v>
      </c>
      <c r="GI282" s="2">
        <v>-2</v>
      </c>
      <c r="GJ282" s="2">
        <v>0</v>
      </c>
      <c r="GK282" s="2">
        <v>0</v>
      </c>
      <c r="GL282" s="2">
        <f t="shared" si="262"/>
        <v>0</v>
      </c>
      <c r="GM282" s="2">
        <f t="shared" si="263"/>
        <v>75278.27</v>
      </c>
      <c r="GN282" s="2">
        <f t="shared" si="264"/>
        <v>0</v>
      </c>
      <c r="GO282" s="2">
        <f t="shared" si="265"/>
        <v>75278.27</v>
      </c>
      <c r="GP282" s="2">
        <f t="shared" si="266"/>
        <v>0</v>
      </c>
      <c r="GQ282" s="2"/>
      <c r="GR282" s="2">
        <v>0</v>
      </c>
      <c r="GS282" s="2">
        <v>2</v>
      </c>
      <c r="GT282" s="2">
        <v>0</v>
      </c>
      <c r="GU282" s="2" t="s">
        <v>3</v>
      </c>
      <c r="GV282" s="2">
        <f t="shared" si="267"/>
        <v>0</v>
      </c>
      <c r="GW282" s="2">
        <v>1</v>
      </c>
      <c r="GX282" s="2">
        <f t="shared" si="268"/>
        <v>0</v>
      </c>
      <c r="GY282" s="2"/>
      <c r="GZ282" s="2"/>
      <c r="HA282" s="2">
        <v>0</v>
      </c>
      <c r="HB282" s="2">
        <v>0</v>
      </c>
      <c r="HC282" s="2">
        <f t="shared" si="269"/>
        <v>0</v>
      </c>
      <c r="HD282" s="2"/>
      <c r="HE282" s="2" t="s">
        <v>34</v>
      </c>
      <c r="HF282" s="2" t="s">
        <v>35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3">
      <c r="A283" s="3">
        <v>18</v>
      </c>
      <c r="B283" s="3">
        <v>1</v>
      </c>
      <c r="C283" s="3"/>
      <c r="D283" s="3"/>
      <c r="E283" s="3" t="s">
        <v>292</v>
      </c>
      <c r="F283" s="3" t="s">
        <v>293</v>
      </c>
      <c r="G283" s="3" t="s">
        <v>294</v>
      </c>
      <c r="H283" s="3" t="s">
        <v>295</v>
      </c>
      <c r="I283" s="3">
        <f>I277*J283</f>
        <v>17.217600000000001</v>
      </c>
      <c r="J283" s="3">
        <v>0.20399999999999999</v>
      </c>
      <c r="K283" s="3">
        <v>0.20399999999999999</v>
      </c>
      <c r="L283" s="3"/>
      <c r="M283" s="3"/>
      <c r="N283" s="3"/>
      <c r="O283" s="3">
        <f t="shared" si="238"/>
        <v>743749.31</v>
      </c>
      <c r="P283" s="3">
        <f t="shared" si="239"/>
        <v>743749.31</v>
      </c>
      <c r="Q283" s="3">
        <f t="shared" si="270"/>
        <v>0</v>
      </c>
      <c r="R283" s="3">
        <f t="shared" si="240"/>
        <v>0</v>
      </c>
      <c r="S283" s="3">
        <f t="shared" si="241"/>
        <v>0</v>
      </c>
      <c r="T283" s="3">
        <f t="shared" si="242"/>
        <v>0</v>
      </c>
      <c r="U283" s="3">
        <f t="shared" si="243"/>
        <v>0</v>
      </c>
      <c r="V283" s="3">
        <f t="shared" si="244"/>
        <v>0</v>
      </c>
      <c r="W283" s="3">
        <f t="shared" si="245"/>
        <v>0</v>
      </c>
      <c r="X283" s="3">
        <f t="shared" si="246"/>
        <v>0</v>
      </c>
      <c r="Y283" s="3">
        <f t="shared" si="247"/>
        <v>0</v>
      </c>
      <c r="Z283" s="3"/>
      <c r="AA283" s="3">
        <v>56505405</v>
      </c>
      <c r="AB283" s="3">
        <f t="shared" si="248"/>
        <v>4372.17</v>
      </c>
      <c r="AC283" s="3">
        <f t="shared" si="249"/>
        <v>4372.17</v>
      </c>
      <c r="AD283" s="3">
        <f t="shared" si="271"/>
        <v>0</v>
      </c>
      <c r="AE283" s="3">
        <f t="shared" si="272"/>
        <v>0</v>
      </c>
      <c r="AF283" s="3">
        <f t="shared" si="272"/>
        <v>0</v>
      </c>
      <c r="AG283" s="3">
        <f t="shared" si="250"/>
        <v>0</v>
      </c>
      <c r="AH283" s="3">
        <f t="shared" si="273"/>
        <v>0</v>
      </c>
      <c r="AI283" s="3">
        <f t="shared" si="273"/>
        <v>0</v>
      </c>
      <c r="AJ283" s="3">
        <f t="shared" si="251"/>
        <v>0</v>
      </c>
      <c r="AK283" s="3">
        <v>4372.1699999999992</v>
      </c>
      <c r="AL283" s="3">
        <v>4372.1699999999992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90</v>
      </c>
      <c r="AU283" s="3">
        <v>46</v>
      </c>
      <c r="AV283" s="3">
        <v>1</v>
      </c>
      <c r="AW283" s="3">
        <v>1</v>
      </c>
      <c r="AX283" s="3"/>
      <c r="AY283" s="3"/>
      <c r="AZ283" s="3">
        <v>1</v>
      </c>
      <c r="BA283" s="3">
        <v>1</v>
      </c>
      <c r="BB283" s="3">
        <v>1</v>
      </c>
      <c r="BC283" s="3">
        <v>9.8800000000000008</v>
      </c>
      <c r="BD283" s="3" t="s">
        <v>3</v>
      </c>
      <c r="BE283" s="3" t="s">
        <v>3</v>
      </c>
      <c r="BF283" s="3" t="s">
        <v>3</v>
      </c>
      <c r="BG283" s="3" t="s">
        <v>3</v>
      </c>
      <c r="BH283" s="3">
        <v>3</v>
      </c>
      <c r="BI283" s="3">
        <v>2</v>
      </c>
      <c r="BJ283" s="3" t="s">
        <v>3</v>
      </c>
      <c r="BK283" s="3"/>
      <c r="BL283" s="3"/>
      <c r="BM283" s="3">
        <v>68</v>
      </c>
      <c r="BN283" s="3">
        <v>0</v>
      </c>
      <c r="BO283" s="3" t="s">
        <v>3</v>
      </c>
      <c r="BP283" s="3">
        <v>0</v>
      </c>
      <c r="BQ283" s="3">
        <v>40</v>
      </c>
      <c r="BR283" s="3">
        <v>0</v>
      </c>
      <c r="BS283" s="3">
        <v>1</v>
      </c>
      <c r="BT283" s="3">
        <v>1</v>
      </c>
      <c r="BU283" s="3">
        <v>1</v>
      </c>
      <c r="BV283" s="3">
        <v>1</v>
      </c>
      <c r="BW283" s="3">
        <v>1</v>
      </c>
      <c r="BX283" s="3">
        <v>1</v>
      </c>
      <c r="BY283" s="3" t="s">
        <v>3</v>
      </c>
      <c r="BZ283" s="3">
        <v>90</v>
      </c>
      <c r="CA283" s="3">
        <v>46</v>
      </c>
      <c r="CB283" s="3" t="s">
        <v>3</v>
      </c>
      <c r="CC283" s="3"/>
      <c r="CD283" s="3"/>
      <c r="CE283" s="3">
        <v>30</v>
      </c>
      <c r="CF283" s="3">
        <v>0</v>
      </c>
      <c r="CG283" s="3">
        <v>0</v>
      </c>
      <c r="CH283" s="3"/>
      <c r="CI283" s="3"/>
      <c r="CJ283" s="3"/>
      <c r="CK283" s="3"/>
      <c r="CL283" s="3"/>
      <c r="CM283" s="3">
        <v>0</v>
      </c>
      <c r="CN283" s="3" t="s">
        <v>3</v>
      </c>
      <c r="CO283" s="3">
        <v>0</v>
      </c>
      <c r="CP283" s="3">
        <f t="shared" si="252"/>
        <v>743749.31</v>
      </c>
      <c r="CQ283" s="3">
        <f t="shared" si="253"/>
        <v>43197.04</v>
      </c>
      <c r="CR283" s="3">
        <f t="shared" si="274"/>
        <v>0</v>
      </c>
      <c r="CS283" s="3">
        <f t="shared" si="254"/>
        <v>0</v>
      </c>
      <c r="CT283" s="3">
        <f t="shared" si="255"/>
        <v>0</v>
      </c>
      <c r="CU283" s="3">
        <f t="shared" si="256"/>
        <v>0</v>
      </c>
      <c r="CV283" s="3">
        <f t="shared" si="257"/>
        <v>0</v>
      </c>
      <c r="CW283" s="3">
        <f t="shared" si="258"/>
        <v>0</v>
      </c>
      <c r="CX283" s="3">
        <f t="shared" si="259"/>
        <v>0</v>
      </c>
      <c r="CY283" s="3">
        <f t="shared" si="260"/>
        <v>0</v>
      </c>
      <c r="CZ283" s="3">
        <f t="shared" si="261"/>
        <v>0</v>
      </c>
      <c r="DA283" s="3"/>
      <c r="DB283" s="3"/>
      <c r="DC283" s="3" t="s">
        <v>3</v>
      </c>
      <c r="DD283" s="3" t="s">
        <v>3</v>
      </c>
      <c r="DE283" s="3" t="s">
        <v>3</v>
      </c>
      <c r="DF283" s="3" t="s">
        <v>3</v>
      </c>
      <c r="DG283" s="3" t="s">
        <v>3</v>
      </c>
      <c r="DH283" s="3" t="s">
        <v>3</v>
      </c>
      <c r="DI283" s="3" t="s">
        <v>3</v>
      </c>
      <c r="DJ283" s="3" t="s">
        <v>3</v>
      </c>
      <c r="DK283" s="3" t="s">
        <v>3</v>
      </c>
      <c r="DL283" s="3" t="s">
        <v>3</v>
      </c>
      <c r="DM283" s="3" t="s">
        <v>3</v>
      </c>
      <c r="DN283" s="3">
        <v>0</v>
      </c>
      <c r="DO283" s="3">
        <v>0</v>
      </c>
      <c r="DP283" s="3">
        <v>1</v>
      </c>
      <c r="DQ283" s="3">
        <v>1</v>
      </c>
      <c r="DR283" s="3"/>
      <c r="DS283" s="3"/>
      <c r="DT283" s="3"/>
      <c r="DU283" s="3">
        <v>1003</v>
      </c>
      <c r="DV283" s="3" t="s">
        <v>295</v>
      </c>
      <c r="DW283" s="3" t="s">
        <v>295</v>
      </c>
      <c r="DX283" s="3">
        <v>1000</v>
      </c>
      <c r="DY283" s="3"/>
      <c r="DZ283" s="3" t="s">
        <v>3</v>
      </c>
      <c r="EA283" s="3" t="s">
        <v>3</v>
      </c>
      <c r="EB283" s="3" t="s">
        <v>3</v>
      </c>
      <c r="EC283" s="3" t="s">
        <v>3</v>
      </c>
      <c r="ED283" s="3"/>
      <c r="EE283" s="3">
        <v>58162630</v>
      </c>
      <c r="EF283" s="3">
        <v>40</v>
      </c>
      <c r="EG283" s="3" t="s">
        <v>25</v>
      </c>
      <c r="EH283" s="3">
        <v>0</v>
      </c>
      <c r="EI283" s="3" t="s">
        <v>3</v>
      </c>
      <c r="EJ283" s="3">
        <v>2</v>
      </c>
      <c r="EK283" s="3">
        <v>68</v>
      </c>
      <c r="EL283" s="3" t="s">
        <v>26</v>
      </c>
      <c r="EM283" s="3" t="s">
        <v>27</v>
      </c>
      <c r="EN283" s="3"/>
      <c r="EO283" s="3" t="s">
        <v>3</v>
      </c>
      <c r="EP283" s="3"/>
      <c r="EQ283" s="3">
        <v>0</v>
      </c>
      <c r="ER283" s="3">
        <v>4372.1699999999992</v>
      </c>
      <c r="ES283" s="3">
        <v>4372.1699999999992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/>
      <c r="EZ283" s="3">
        <v>5</v>
      </c>
      <c r="FA283" s="3"/>
      <c r="FB283" s="3"/>
      <c r="FC283" s="3">
        <v>1</v>
      </c>
      <c r="FD283" s="3">
        <v>18</v>
      </c>
      <c r="FE283" s="3"/>
      <c r="FF283" s="3">
        <v>50820</v>
      </c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>
        <v>0</v>
      </c>
      <c r="FR283" s="3">
        <v>0</v>
      </c>
      <c r="FS283" s="3">
        <v>0</v>
      </c>
      <c r="FT283" s="3"/>
      <c r="FU283" s="3"/>
      <c r="FV283" s="3"/>
      <c r="FW283" s="3"/>
      <c r="FX283" s="3">
        <v>90</v>
      </c>
      <c r="FY283" s="3">
        <v>46</v>
      </c>
      <c r="FZ283" s="3"/>
      <c r="GA283" s="3" t="s">
        <v>296</v>
      </c>
      <c r="GB283" s="3"/>
      <c r="GC283" s="3"/>
      <c r="GD283" s="3">
        <v>1</v>
      </c>
      <c r="GE283" s="3"/>
      <c r="GF283" s="3">
        <v>-84156872</v>
      </c>
      <c r="GG283" s="3">
        <v>2</v>
      </c>
      <c r="GH283" s="3">
        <v>3</v>
      </c>
      <c r="GI283" s="3">
        <v>5</v>
      </c>
      <c r="GJ283" s="3">
        <v>0</v>
      </c>
      <c r="GK283" s="3">
        <v>0</v>
      </c>
      <c r="GL283" s="3">
        <f t="shared" si="262"/>
        <v>0</v>
      </c>
      <c r="GM283" s="3">
        <f t="shared" si="263"/>
        <v>743749.31</v>
      </c>
      <c r="GN283" s="3">
        <f t="shared" si="264"/>
        <v>0</v>
      </c>
      <c r="GO283" s="3">
        <f t="shared" si="265"/>
        <v>743749.31</v>
      </c>
      <c r="GP283" s="3">
        <f t="shared" si="266"/>
        <v>0</v>
      </c>
      <c r="GQ283" s="3"/>
      <c r="GR283" s="3">
        <v>1</v>
      </c>
      <c r="GS283" s="3">
        <v>1</v>
      </c>
      <c r="GT283" s="3">
        <v>0</v>
      </c>
      <c r="GU283" s="3" t="s">
        <v>3</v>
      </c>
      <c r="GV283" s="3">
        <f t="shared" si="267"/>
        <v>0</v>
      </c>
      <c r="GW283" s="3">
        <v>1</v>
      </c>
      <c r="GX283" s="3">
        <f t="shared" si="268"/>
        <v>0</v>
      </c>
      <c r="GY283" s="3"/>
      <c r="GZ283" s="3"/>
      <c r="HA283" s="3">
        <v>0</v>
      </c>
      <c r="HB283" s="3">
        <v>0</v>
      </c>
      <c r="HC283" s="3">
        <f t="shared" si="269"/>
        <v>0</v>
      </c>
      <c r="HD283" s="3"/>
      <c r="HE283" s="3" t="s">
        <v>34</v>
      </c>
      <c r="HF283" s="3" t="s">
        <v>35</v>
      </c>
      <c r="HG283" s="3"/>
      <c r="HH283" s="3"/>
      <c r="HI283" s="3"/>
      <c r="HJ283" s="3"/>
      <c r="HK283" s="3"/>
      <c r="HL283" s="3"/>
      <c r="HM283" s="3" t="s">
        <v>3</v>
      </c>
      <c r="HN283" s="3" t="s">
        <v>3</v>
      </c>
      <c r="HO283" s="3" t="s">
        <v>3</v>
      </c>
      <c r="HP283" s="3" t="s">
        <v>3</v>
      </c>
      <c r="HQ283" s="3" t="s">
        <v>3</v>
      </c>
      <c r="HR283" s="3"/>
      <c r="HS283" s="3">
        <v>0</v>
      </c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>
        <v>0</v>
      </c>
      <c r="IL283" s="3"/>
      <c r="IM283" s="3"/>
      <c r="IN283" s="3"/>
      <c r="IO283" s="3"/>
      <c r="IP283" s="3"/>
      <c r="IQ283" s="3"/>
      <c r="IR283" s="3"/>
      <c r="IS283" s="3"/>
      <c r="IT283" s="3"/>
      <c r="IU283" s="3"/>
    </row>
    <row r="284" spans="1:255" x14ac:dyDescent="0.3">
      <c r="A284" s="2">
        <v>17</v>
      </c>
      <c r="B284" s="2">
        <v>1</v>
      </c>
      <c r="C284" s="2"/>
      <c r="D284" s="2">
        <f>ROW(EtalonRes!A168)</f>
        <v>168</v>
      </c>
      <c r="E284" s="2" t="s">
        <v>3</v>
      </c>
      <c r="F284" s="2" t="s">
        <v>297</v>
      </c>
      <c r="G284" s="2" t="s">
        <v>298</v>
      </c>
      <c r="H284" s="2" t="s">
        <v>281</v>
      </c>
      <c r="I284" s="2">
        <f t="shared" ref="I284:I289" si="275">ROUND(8440/100,9)</f>
        <v>84.4</v>
      </c>
      <c r="J284" s="2">
        <v>0</v>
      </c>
      <c r="K284" s="2">
        <f t="shared" ref="K284:K289" si="276">ROUND(8440/100,9)</f>
        <v>84.4</v>
      </c>
      <c r="L284" s="2"/>
      <c r="M284" s="2"/>
      <c r="N284" s="2"/>
      <c r="O284" s="2">
        <f t="shared" si="238"/>
        <v>10531.08</v>
      </c>
      <c r="P284" s="2">
        <f t="shared" si="239"/>
        <v>4907.8599999999997</v>
      </c>
      <c r="Q284" s="2">
        <f t="shared" ref="Q284:Q289" si="277">(ROUND((ROUND((((ET284*1.1))*AV284*I284),2)*BB284),2)+ROUND((ROUND(((AE284-((EU284*1.1)))*AV284*I284),2)*BS284),2))</f>
        <v>254.67</v>
      </c>
      <c r="R284" s="2">
        <f t="shared" si="240"/>
        <v>29.16</v>
      </c>
      <c r="S284" s="2">
        <f t="shared" si="241"/>
        <v>5368.55</v>
      </c>
      <c r="T284" s="2">
        <f t="shared" si="242"/>
        <v>0</v>
      </c>
      <c r="U284" s="2">
        <f t="shared" si="243"/>
        <v>436.4436252000001</v>
      </c>
      <c r="V284" s="2">
        <f t="shared" si="244"/>
        <v>0</v>
      </c>
      <c r="W284" s="2">
        <f t="shared" si="245"/>
        <v>0</v>
      </c>
      <c r="X284" s="2">
        <f t="shared" si="246"/>
        <v>5235.78</v>
      </c>
      <c r="Y284" s="2">
        <f t="shared" si="247"/>
        <v>2752.83</v>
      </c>
      <c r="Z284" s="2"/>
      <c r="AA284" s="2">
        <v>-1</v>
      </c>
      <c r="AB284" s="2">
        <f t="shared" si="248"/>
        <v>121.785</v>
      </c>
      <c r="AC284" s="2">
        <f t="shared" si="249"/>
        <v>58.15</v>
      </c>
      <c r="AD284" s="2">
        <f t="shared" ref="AD284:AD289" si="278">ROUND(((((ET284*1.1))-((EU284*1.1)))+AE284),6)</f>
        <v>2.8820000000000001</v>
      </c>
      <c r="AE284" s="2">
        <f t="shared" ref="AE284:AF289" si="279">ROUND(((EU284*1.1)),6)</f>
        <v>0.33</v>
      </c>
      <c r="AF284" s="2">
        <f t="shared" si="279"/>
        <v>60.753</v>
      </c>
      <c r="AG284" s="2">
        <f t="shared" si="250"/>
        <v>0</v>
      </c>
      <c r="AH284" s="2">
        <f t="shared" ref="AH284:AI289" si="280">((EW284*1.1))</f>
        <v>4.9390000000000009</v>
      </c>
      <c r="AI284" s="2">
        <f t="shared" si="280"/>
        <v>0</v>
      </c>
      <c r="AJ284" s="2">
        <f t="shared" si="251"/>
        <v>0</v>
      </c>
      <c r="AK284" s="2">
        <v>116</v>
      </c>
      <c r="AL284" s="2">
        <v>58.15</v>
      </c>
      <c r="AM284" s="2">
        <v>2.62</v>
      </c>
      <c r="AN284" s="2">
        <v>0.3</v>
      </c>
      <c r="AO284" s="2">
        <v>55.23</v>
      </c>
      <c r="AP284" s="2">
        <v>0</v>
      </c>
      <c r="AQ284" s="2">
        <v>4.49</v>
      </c>
      <c r="AR284" s="2">
        <v>0</v>
      </c>
      <c r="AS284" s="2">
        <v>0</v>
      </c>
      <c r="AT284" s="2">
        <v>97</v>
      </c>
      <c r="AU284" s="2">
        <v>51</v>
      </c>
      <c r="AV284" s="2">
        <v>1.0469999999999999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2</v>
      </c>
      <c r="BJ284" s="2" t="s">
        <v>299</v>
      </c>
      <c r="BK284" s="2"/>
      <c r="BL284" s="2"/>
      <c r="BM284" s="2">
        <v>67</v>
      </c>
      <c r="BN284" s="2">
        <v>0</v>
      </c>
      <c r="BO284" s="2" t="s">
        <v>297</v>
      </c>
      <c r="BP284" s="2">
        <v>1</v>
      </c>
      <c r="BQ284" s="2">
        <v>40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97</v>
      </c>
      <c r="CA284" s="2">
        <v>51</v>
      </c>
      <c r="CB284" s="2" t="s">
        <v>3</v>
      </c>
      <c r="CC284" s="2"/>
      <c r="CD284" s="2"/>
      <c r="CE284" s="2">
        <v>30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3</v>
      </c>
      <c r="CO284" s="2">
        <v>0</v>
      </c>
      <c r="CP284" s="2">
        <f t="shared" si="252"/>
        <v>10531.08</v>
      </c>
      <c r="CQ284" s="2">
        <f t="shared" si="253"/>
        <v>58.15</v>
      </c>
      <c r="CR284" s="2">
        <f t="shared" ref="CR284:CR289" si="281">(ROUND((ROUND((((ET284*1.1))*AV284*1),2)*BB284),2)+ROUND((ROUND(((AE284-((EU284*1.1)))*AV284*1),2)*BS284),2))</f>
        <v>3.02</v>
      </c>
      <c r="CS284" s="2">
        <f t="shared" si="254"/>
        <v>0.35</v>
      </c>
      <c r="CT284" s="2">
        <f t="shared" si="255"/>
        <v>63.61</v>
      </c>
      <c r="CU284" s="2">
        <f t="shared" si="256"/>
        <v>0</v>
      </c>
      <c r="CV284" s="2">
        <f t="shared" si="257"/>
        <v>5.1711330000000011</v>
      </c>
      <c r="CW284" s="2">
        <f t="shared" si="258"/>
        <v>0</v>
      </c>
      <c r="CX284" s="2">
        <f t="shared" si="259"/>
        <v>0</v>
      </c>
      <c r="CY284" s="2">
        <f t="shared" si="260"/>
        <v>5235.7786999999998</v>
      </c>
      <c r="CZ284" s="2">
        <f t="shared" si="261"/>
        <v>2752.8321000000001</v>
      </c>
      <c r="DA284" s="2"/>
      <c r="DB284" s="2"/>
      <c r="DC284" s="2" t="s">
        <v>3</v>
      </c>
      <c r="DD284" s="2" t="s">
        <v>3</v>
      </c>
      <c r="DE284" s="2" t="s">
        <v>24</v>
      </c>
      <c r="DF284" s="2" t="s">
        <v>24</v>
      </c>
      <c r="DG284" s="2" t="s">
        <v>24</v>
      </c>
      <c r="DH284" s="2" t="s">
        <v>3</v>
      </c>
      <c r="DI284" s="2" t="s">
        <v>24</v>
      </c>
      <c r="DJ284" s="2" t="s">
        <v>24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1003</v>
      </c>
      <c r="DV284" s="2" t="s">
        <v>281</v>
      </c>
      <c r="DW284" s="2" t="s">
        <v>281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58162629</v>
      </c>
      <c r="EF284" s="2">
        <v>40</v>
      </c>
      <c r="EG284" s="2" t="s">
        <v>25</v>
      </c>
      <c r="EH284" s="2">
        <v>0</v>
      </c>
      <c r="EI284" s="2" t="s">
        <v>3</v>
      </c>
      <c r="EJ284" s="2">
        <v>2</v>
      </c>
      <c r="EK284" s="2">
        <v>67</v>
      </c>
      <c r="EL284" s="2" t="s">
        <v>225</v>
      </c>
      <c r="EM284" s="2" t="s">
        <v>226</v>
      </c>
      <c r="EN284" s="2"/>
      <c r="EO284" s="2" t="s">
        <v>28</v>
      </c>
      <c r="EP284" s="2"/>
      <c r="EQ284" s="2">
        <v>1024</v>
      </c>
      <c r="ER284" s="2">
        <v>116</v>
      </c>
      <c r="ES284" s="2">
        <v>58.15</v>
      </c>
      <c r="ET284" s="2">
        <v>2.62</v>
      </c>
      <c r="EU284" s="2">
        <v>0.3</v>
      </c>
      <c r="EV284" s="2">
        <v>55.23</v>
      </c>
      <c r="EW284" s="2">
        <v>4.49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97</v>
      </c>
      <c r="FY284" s="2">
        <v>51</v>
      </c>
      <c r="FZ284" s="2"/>
      <c r="GA284" s="2" t="s">
        <v>3</v>
      </c>
      <c r="GB284" s="2"/>
      <c r="GC284" s="2"/>
      <c r="GD284" s="2">
        <v>1</v>
      </c>
      <c r="GE284" s="2"/>
      <c r="GF284" s="2">
        <v>770559996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si="262"/>
        <v>0</v>
      </c>
      <c r="GM284" s="2">
        <f t="shared" si="263"/>
        <v>18519.689999999999</v>
      </c>
      <c r="GN284" s="2">
        <f t="shared" si="264"/>
        <v>0</v>
      </c>
      <c r="GO284" s="2">
        <f t="shared" si="265"/>
        <v>18519.689999999999</v>
      </c>
      <c r="GP284" s="2">
        <f t="shared" si="266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267"/>
        <v>0</v>
      </c>
      <c r="GW284" s="2">
        <v>1</v>
      </c>
      <c r="GX284" s="2">
        <f t="shared" si="268"/>
        <v>0</v>
      </c>
      <c r="GY284" s="2"/>
      <c r="GZ284" s="2"/>
      <c r="HA284" s="2">
        <v>0</v>
      </c>
      <c r="HB284" s="2">
        <v>0</v>
      </c>
      <c r="HC284" s="2">
        <f t="shared" si="269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3">
      <c r="A285" s="3">
        <v>17</v>
      </c>
      <c r="B285" s="3">
        <v>1</v>
      </c>
      <c r="C285" s="3"/>
      <c r="D285" s="3">
        <f>ROW(EtalonRes!A178)</f>
        <v>178</v>
      </c>
      <c r="E285" s="3" t="s">
        <v>3</v>
      </c>
      <c r="F285" s="3" t="s">
        <v>297</v>
      </c>
      <c r="G285" s="3" t="s">
        <v>298</v>
      </c>
      <c r="H285" s="3" t="s">
        <v>281</v>
      </c>
      <c r="I285" s="3">
        <f t="shared" si="275"/>
        <v>84.4</v>
      </c>
      <c r="J285" s="3">
        <v>0</v>
      </c>
      <c r="K285" s="3">
        <f t="shared" si="276"/>
        <v>84.4</v>
      </c>
      <c r="L285" s="3"/>
      <c r="M285" s="3"/>
      <c r="N285" s="3"/>
      <c r="O285" s="3">
        <f t="shared" si="238"/>
        <v>317086.18</v>
      </c>
      <c r="P285" s="3">
        <f t="shared" si="239"/>
        <v>18159.080000000002</v>
      </c>
      <c r="Q285" s="3">
        <f t="shared" si="277"/>
        <v>3710.54</v>
      </c>
      <c r="R285" s="3">
        <f t="shared" si="240"/>
        <v>1603.51</v>
      </c>
      <c r="S285" s="3">
        <f t="shared" si="241"/>
        <v>295216.56</v>
      </c>
      <c r="T285" s="3">
        <f t="shared" si="242"/>
        <v>0</v>
      </c>
      <c r="U285" s="3">
        <f t="shared" si="243"/>
        <v>436.4436252000001</v>
      </c>
      <c r="V285" s="3">
        <f t="shared" si="244"/>
        <v>0</v>
      </c>
      <c r="W285" s="3">
        <f t="shared" si="245"/>
        <v>0</v>
      </c>
      <c r="X285" s="3">
        <f t="shared" si="246"/>
        <v>287915.46999999997</v>
      </c>
      <c r="Y285" s="3">
        <f t="shared" si="247"/>
        <v>151378.23999999999</v>
      </c>
      <c r="Z285" s="3"/>
      <c r="AA285" s="3">
        <v>-1</v>
      </c>
      <c r="AB285" s="3">
        <f t="shared" si="248"/>
        <v>121.785</v>
      </c>
      <c r="AC285" s="3">
        <f t="shared" si="249"/>
        <v>58.15</v>
      </c>
      <c r="AD285" s="3">
        <f t="shared" si="278"/>
        <v>2.8820000000000001</v>
      </c>
      <c r="AE285" s="3">
        <f t="shared" si="279"/>
        <v>0.33</v>
      </c>
      <c r="AF285" s="3">
        <f t="shared" si="279"/>
        <v>60.753</v>
      </c>
      <c r="AG285" s="3">
        <f t="shared" si="250"/>
        <v>0</v>
      </c>
      <c r="AH285" s="3">
        <f t="shared" si="280"/>
        <v>4.9390000000000009</v>
      </c>
      <c r="AI285" s="3">
        <f t="shared" si="280"/>
        <v>0</v>
      </c>
      <c r="AJ285" s="3">
        <f t="shared" si="251"/>
        <v>0</v>
      </c>
      <c r="AK285" s="3">
        <v>116</v>
      </c>
      <c r="AL285" s="3">
        <v>58.15</v>
      </c>
      <c r="AM285" s="3">
        <v>2.62</v>
      </c>
      <c r="AN285" s="3">
        <v>0.3</v>
      </c>
      <c r="AO285" s="3">
        <v>55.23</v>
      </c>
      <c r="AP285" s="3">
        <v>0</v>
      </c>
      <c r="AQ285" s="3">
        <v>4.49</v>
      </c>
      <c r="AR285" s="3">
        <v>0</v>
      </c>
      <c r="AS285" s="3">
        <v>0</v>
      </c>
      <c r="AT285" s="3">
        <v>97</v>
      </c>
      <c r="AU285" s="3">
        <v>51</v>
      </c>
      <c r="AV285" s="3">
        <v>1.0469999999999999</v>
      </c>
      <c r="AW285" s="3">
        <v>1</v>
      </c>
      <c r="AX285" s="3"/>
      <c r="AY285" s="3"/>
      <c r="AZ285" s="3">
        <v>1</v>
      </c>
      <c r="BA285" s="3">
        <v>54.99</v>
      </c>
      <c r="BB285" s="3">
        <v>14.57</v>
      </c>
      <c r="BC285" s="3">
        <v>3.7</v>
      </c>
      <c r="BD285" s="3" t="s">
        <v>3</v>
      </c>
      <c r="BE285" s="3" t="s">
        <v>3</v>
      </c>
      <c r="BF285" s="3" t="s">
        <v>3</v>
      </c>
      <c r="BG285" s="3" t="s">
        <v>3</v>
      </c>
      <c r="BH285" s="3">
        <v>0</v>
      </c>
      <c r="BI285" s="3">
        <v>2</v>
      </c>
      <c r="BJ285" s="3" t="s">
        <v>299</v>
      </c>
      <c r="BK285" s="3"/>
      <c r="BL285" s="3"/>
      <c r="BM285" s="3">
        <v>67</v>
      </c>
      <c r="BN285" s="3">
        <v>0</v>
      </c>
      <c r="BO285" s="3" t="s">
        <v>297</v>
      </c>
      <c r="BP285" s="3">
        <v>1</v>
      </c>
      <c r="BQ285" s="3">
        <v>40</v>
      </c>
      <c r="BR285" s="3">
        <v>0</v>
      </c>
      <c r="BS285" s="3">
        <v>54.99</v>
      </c>
      <c r="BT285" s="3">
        <v>1</v>
      </c>
      <c r="BU285" s="3">
        <v>1</v>
      </c>
      <c r="BV285" s="3">
        <v>1</v>
      </c>
      <c r="BW285" s="3">
        <v>1</v>
      </c>
      <c r="BX285" s="3">
        <v>1</v>
      </c>
      <c r="BY285" s="3" t="s">
        <v>3</v>
      </c>
      <c r="BZ285" s="3">
        <v>97</v>
      </c>
      <c r="CA285" s="3">
        <v>51</v>
      </c>
      <c r="CB285" s="3" t="s">
        <v>3</v>
      </c>
      <c r="CC285" s="3"/>
      <c r="CD285" s="3"/>
      <c r="CE285" s="3">
        <v>30</v>
      </c>
      <c r="CF285" s="3">
        <v>0</v>
      </c>
      <c r="CG285" s="3">
        <v>0</v>
      </c>
      <c r="CH285" s="3"/>
      <c r="CI285" s="3"/>
      <c r="CJ285" s="3"/>
      <c r="CK285" s="3"/>
      <c r="CL285" s="3"/>
      <c r="CM285" s="3">
        <v>0</v>
      </c>
      <c r="CN285" s="3" t="s">
        <v>3</v>
      </c>
      <c r="CO285" s="3">
        <v>0</v>
      </c>
      <c r="CP285" s="3">
        <f t="shared" si="252"/>
        <v>317086.18</v>
      </c>
      <c r="CQ285" s="3">
        <f t="shared" si="253"/>
        <v>215.16</v>
      </c>
      <c r="CR285" s="3">
        <f t="shared" si="281"/>
        <v>44</v>
      </c>
      <c r="CS285" s="3">
        <f t="shared" si="254"/>
        <v>19.25</v>
      </c>
      <c r="CT285" s="3">
        <f t="shared" si="255"/>
        <v>3497.91</v>
      </c>
      <c r="CU285" s="3">
        <f t="shared" si="256"/>
        <v>0</v>
      </c>
      <c r="CV285" s="3">
        <f t="shared" si="257"/>
        <v>5.1711330000000011</v>
      </c>
      <c r="CW285" s="3">
        <f t="shared" si="258"/>
        <v>0</v>
      </c>
      <c r="CX285" s="3">
        <f t="shared" si="259"/>
        <v>0</v>
      </c>
      <c r="CY285" s="3">
        <f t="shared" si="260"/>
        <v>287915.46789999999</v>
      </c>
      <c r="CZ285" s="3">
        <f t="shared" si="261"/>
        <v>151378.23569999999</v>
      </c>
      <c r="DA285" s="3"/>
      <c r="DB285" s="3"/>
      <c r="DC285" s="3" t="s">
        <v>3</v>
      </c>
      <c r="DD285" s="3" t="s">
        <v>3</v>
      </c>
      <c r="DE285" s="3" t="s">
        <v>24</v>
      </c>
      <c r="DF285" s="3" t="s">
        <v>24</v>
      </c>
      <c r="DG285" s="3" t="s">
        <v>24</v>
      </c>
      <c r="DH285" s="3" t="s">
        <v>3</v>
      </c>
      <c r="DI285" s="3" t="s">
        <v>24</v>
      </c>
      <c r="DJ285" s="3" t="s">
        <v>24</v>
      </c>
      <c r="DK285" s="3" t="s">
        <v>3</v>
      </c>
      <c r="DL285" s="3" t="s">
        <v>3</v>
      </c>
      <c r="DM285" s="3" t="s">
        <v>3</v>
      </c>
      <c r="DN285" s="3">
        <v>0</v>
      </c>
      <c r="DO285" s="3">
        <v>0</v>
      </c>
      <c r="DP285" s="3">
        <v>1</v>
      </c>
      <c r="DQ285" s="3">
        <v>1</v>
      </c>
      <c r="DR285" s="3"/>
      <c r="DS285" s="3"/>
      <c r="DT285" s="3"/>
      <c r="DU285" s="3">
        <v>1003</v>
      </c>
      <c r="DV285" s="3" t="s">
        <v>281</v>
      </c>
      <c r="DW285" s="3" t="s">
        <v>281</v>
      </c>
      <c r="DX285" s="3">
        <v>100</v>
      </c>
      <c r="DY285" s="3"/>
      <c r="DZ285" s="3" t="s">
        <v>3</v>
      </c>
      <c r="EA285" s="3" t="s">
        <v>3</v>
      </c>
      <c r="EB285" s="3" t="s">
        <v>3</v>
      </c>
      <c r="EC285" s="3" t="s">
        <v>3</v>
      </c>
      <c r="ED285" s="3"/>
      <c r="EE285" s="3">
        <v>58162629</v>
      </c>
      <c r="EF285" s="3">
        <v>40</v>
      </c>
      <c r="EG285" s="3" t="s">
        <v>25</v>
      </c>
      <c r="EH285" s="3">
        <v>0</v>
      </c>
      <c r="EI285" s="3" t="s">
        <v>3</v>
      </c>
      <c r="EJ285" s="3">
        <v>2</v>
      </c>
      <c r="EK285" s="3">
        <v>67</v>
      </c>
      <c r="EL285" s="3" t="s">
        <v>225</v>
      </c>
      <c r="EM285" s="3" t="s">
        <v>226</v>
      </c>
      <c r="EN285" s="3"/>
      <c r="EO285" s="3" t="s">
        <v>28</v>
      </c>
      <c r="EP285" s="3"/>
      <c r="EQ285" s="3">
        <v>1024</v>
      </c>
      <c r="ER285" s="3">
        <v>116</v>
      </c>
      <c r="ES285" s="3">
        <v>58.15</v>
      </c>
      <c r="ET285" s="3">
        <v>2.62</v>
      </c>
      <c r="EU285" s="3">
        <v>0.3</v>
      </c>
      <c r="EV285" s="3">
        <v>55.23</v>
      </c>
      <c r="EW285" s="3">
        <v>4.49</v>
      </c>
      <c r="EX285" s="3">
        <v>0</v>
      </c>
      <c r="EY285" s="3">
        <v>0</v>
      </c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>
        <v>0</v>
      </c>
      <c r="FR285" s="3">
        <v>0</v>
      </c>
      <c r="FS285" s="3">
        <v>0</v>
      </c>
      <c r="FT285" s="3"/>
      <c r="FU285" s="3"/>
      <c r="FV285" s="3"/>
      <c r="FW285" s="3"/>
      <c r="FX285" s="3">
        <v>97</v>
      </c>
      <c r="FY285" s="3">
        <v>51</v>
      </c>
      <c r="FZ285" s="3"/>
      <c r="GA285" s="3" t="s">
        <v>3</v>
      </c>
      <c r="GB285" s="3"/>
      <c r="GC285" s="3"/>
      <c r="GD285" s="3">
        <v>1</v>
      </c>
      <c r="GE285" s="3"/>
      <c r="GF285" s="3">
        <v>770559996</v>
      </c>
      <c r="GG285" s="3">
        <v>2</v>
      </c>
      <c r="GH285" s="3">
        <v>1</v>
      </c>
      <c r="GI285" s="3">
        <v>2</v>
      </c>
      <c r="GJ285" s="3">
        <v>0</v>
      </c>
      <c r="GK285" s="3">
        <v>0</v>
      </c>
      <c r="GL285" s="3">
        <f t="shared" si="262"/>
        <v>0</v>
      </c>
      <c r="GM285" s="3">
        <f t="shared" si="263"/>
        <v>756379.89</v>
      </c>
      <c r="GN285" s="3">
        <f t="shared" si="264"/>
        <v>0</v>
      </c>
      <c r="GO285" s="3">
        <f t="shared" si="265"/>
        <v>756379.89</v>
      </c>
      <c r="GP285" s="3">
        <f t="shared" si="266"/>
        <v>0</v>
      </c>
      <c r="GQ285" s="3"/>
      <c r="GR285" s="3">
        <v>0</v>
      </c>
      <c r="GS285" s="3">
        <v>3</v>
      </c>
      <c r="GT285" s="3">
        <v>0</v>
      </c>
      <c r="GU285" s="3" t="s">
        <v>3</v>
      </c>
      <c r="GV285" s="3">
        <f t="shared" si="267"/>
        <v>0</v>
      </c>
      <c r="GW285" s="3">
        <v>1</v>
      </c>
      <c r="GX285" s="3">
        <f t="shared" si="268"/>
        <v>0</v>
      </c>
      <c r="GY285" s="3"/>
      <c r="GZ285" s="3"/>
      <c r="HA285" s="3">
        <v>0</v>
      </c>
      <c r="HB285" s="3">
        <v>0</v>
      </c>
      <c r="HC285" s="3">
        <f t="shared" si="269"/>
        <v>0</v>
      </c>
      <c r="HD285" s="3"/>
      <c r="HE285" s="3" t="s">
        <v>3</v>
      </c>
      <c r="HF285" s="3" t="s">
        <v>3</v>
      </c>
      <c r="HG285" s="3"/>
      <c r="HH285" s="3"/>
      <c r="HI285" s="3"/>
      <c r="HJ285" s="3"/>
      <c r="HK285" s="3"/>
      <c r="HL285" s="3"/>
      <c r="HM285" s="3" t="s">
        <v>3</v>
      </c>
      <c r="HN285" s="3" t="s">
        <v>3</v>
      </c>
      <c r="HO285" s="3" t="s">
        <v>3</v>
      </c>
      <c r="HP285" s="3" t="s">
        <v>3</v>
      </c>
      <c r="HQ285" s="3" t="s">
        <v>3</v>
      </c>
      <c r="HR285" s="3"/>
      <c r="HS285" s="3">
        <v>0</v>
      </c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>
        <v>0</v>
      </c>
      <c r="IL285" s="3"/>
      <c r="IM285" s="3"/>
      <c r="IN285" s="3"/>
      <c r="IO285" s="3"/>
      <c r="IP285" s="3"/>
      <c r="IQ285" s="3"/>
      <c r="IR285" s="3"/>
      <c r="IS285" s="3"/>
      <c r="IT285" s="3"/>
      <c r="IU285" s="3"/>
    </row>
    <row r="286" spans="1:255" x14ac:dyDescent="0.3">
      <c r="A286" s="2">
        <v>17</v>
      </c>
      <c r="B286" s="2">
        <v>1</v>
      </c>
      <c r="C286" s="2"/>
      <c r="D286" s="2">
        <f>ROW(EtalonRes!A187)</f>
        <v>187</v>
      </c>
      <c r="E286" s="2" t="s">
        <v>3</v>
      </c>
      <c r="F286" s="2" t="s">
        <v>300</v>
      </c>
      <c r="G286" s="2" t="s">
        <v>301</v>
      </c>
      <c r="H286" s="2" t="s">
        <v>281</v>
      </c>
      <c r="I286" s="2">
        <f t="shared" si="275"/>
        <v>84.4</v>
      </c>
      <c r="J286" s="2">
        <v>0</v>
      </c>
      <c r="K286" s="2">
        <f t="shared" si="276"/>
        <v>84.4</v>
      </c>
      <c r="L286" s="2"/>
      <c r="M286" s="2"/>
      <c r="N286" s="2"/>
      <c r="O286" s="2">
        <f t="shared" si="238"/>
        <v>7124.39</v>
      </c>
      <c r="P286" s="2">
        <f t="shared" si="239"/>
        <v>4681.67</v>
      </c>
      <c r="Q286" s="2">
        <f t="shared" si="277"/>
        <v>254.67</v>
      </c>
      <c r="R286" s="2">
        <f t="shared" si="240"/>
        <v>29.16</v>
      </c>
      <c r="S286" s="2">
        <f t="shared" si="241"/>
        <v>2188.0500000000002</v>
      </c>
      <c r="T286" s="2">
        <f t="shared" si="242"/>
        <v>0</v>
      </c>
      <c r="U286" s="2">
        <f t="shared" si="243"/>
        <v>177.88236840000005</v>
      </c>
      <c r="V286" s="2">
        <f t="shared" si="244"/>
        <v>0</v>
      </c>
      <c r="W286" s="2">
        <f t="shared" si="245"/>
        <v>0</v>
      </c>
      <c r="X286" s="2">
        <f t="shared" si="246"/>
        <v>2150.69</v>
      </c>
      <c r="Y286" s="2">
        <f t="shared" si="247"/>
        <v>1130.78</v>
      </c>
      <c r="Z286" s="2"/>
      <c r="AA286" s="2">
        <v>-1</v>
      </c>
      <c r="AB286" s="2">
        <f t="shared" si="248"/>
        <v>83.113</v>
      </c>
      <c r="AC286" s="2">
        <f t="shared" si="249"/>
        <v>55.47</v>
      </c>
      <c r="AD286" s="2">
        <f t="shared" si="278"/>
        <v>2.8820000000000001</v>
      </c>
      <c r="AE286" s="2">
        <f t="shared" si="279"/>
        <v>0.33</v>
      </c>
      <c r="AF286" s="2">
        <f t="shared" si="279"/>
        <v>24.760999999999999</v>
      </c>
      <c r="AG286" s="2">
        <f t="shared" si="250"/>
        <v>0</v>
      </c>
      <c r="AH286" s="2">
        <f t="shared" si="280"/>
        <v>2.0130000000000003</v>
      </c>
      <c r="AI286" s="2">
        <f t="shared" si="280"/>
        <v>0</v>
      </c>
      <c r="AJ286" s="2">
        <f t="shared" si="251"/>
        <v>0</v>
      </c>
      <c r="AK286" s="2">
        <v>80.599999999999994</v>
      </c>
      <c r="AL286" s="2">
        <v>55.47</v>
      </c>
      <c r="AM286" s="2">
        <v>2.62</v>
      </c>
      <c r="AN286" s="2">
        <v>0.3</v>
      </c>
      <c r="AO286" s="2">
        <v>22.51</v>
      </c>
      <c r="AP286" s="2">
        <v>0</v>
      </c>
      <c r="AQ286" s="2">
        <v>1.83</v>
      </c>
      <c r="AR286" s="2">
        <v>0</v>
      </c>
      <c r="AS286" s="2">
        <v>0</v>
      </c>
      <c r="AT286" s="2">
        <v>97</v>
      </c>
      <c r="AU286" s="2">
        <v>51</v>
      </c>
      <c r="AV286" s="2">
        <v>1.0469999999999999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0</v>
      </c>
      <c r="BI286" s="2">
        <v>2</v>
      </c>
      <c r="BJ286" s="2" t="s">
        <v>302</v>
      </c>
      <c r="BK286" s="2"/>
      <c r="BL286" s="2"/>
      <c r="BM286" s="2">
        <v>67</v>
      </c>
      <c r="BN286" s="2">
        <v>0</v>
      </c>
      <c r="BO286" s="2" t="s">
        <v>300</v>
      </c>
      <c r="BP286" s="2">
        <v>1</v>
      </c>
      <c r="BQ286" s="2">
        <v>40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97</v>
      </c>
      <c r="CA286" s="2">
        <v>51</v>
      </c>
      <c r="CB286" s="2" t="s">
        <v>3</v>
      </c>
      <c r="CC286" s="2"/>
      <c r="CD286" s="2"/>
      <c r="CE286" s="2">
        <v>30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252"/>
        <v>7124.39</v>
      </c>
      <c r="CQ286" s="2">
        <f t="shared" si="253"/>
        <v>55.47</v>
      </c>
      <c r="CR286" s="2">
        <f t="shared" si="281"/>
        <v>3.02</v>
      </c>
      <c r="CS286" s="2">
        <f t="shared" si="254"/>
        <v>0.35</v>
      </c>
      <c r="CT286" s="2">
        <f t="shared" si="255"/>
        <v>25.92</v>
      </c>
      <c r="CU286" s="2">
        <f t="shared" si="256"/>
        <v>0</v>
      </c>
      <c r="CV286" s="2">
        <f t="shared" si="257"/>
        <v>2.1076110000000003</v>
      </c>
      <c r="CW286" s="2">
        <f t="shared" si="258"/>
        <v>0</v>
      </c>
      <c r="CX286" s="2">
        <f t="shared" si="259"/>
        <v>0</v>
      </c>
      <c r="CY286" s="2">
        <f t="shared" si="260"/>
        <v>2150.6936999999998</v>
      </c>
      <c r="CZ286" s="2">
        <f t="shared" si="261"/>
        <v>1130.7771</v>
      </c>
      <c r="DA286" s="2"/>
      <c r="DB286" s="2"/>
      <c r="DC286" s="2" t="s">
        <v>3</v>
      </c>
      <c r="DD286" s="2" t="s">
        <v>3</v>
      </c>
      <c r="DE286" s="2" t="s">
        <v>24</v>
      </c>
      <c r="DF286" s="2" t="s">
        <v>24</v>
      </c>
      <c r="DG286" s="2" t="s">
        <v>24</v>
      </c>
      <c r="DH286" s="2" t="s">
        <v>3</v>
      </c>
      <c r="DI286" s="2" t="s">
        <v>24</v>
      </c>
      <c r="DJ286" s="2" t="s">
        <v>24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1003</v>
      </c>
      <c r="DV286" s="2" t="s">
        <v>281</v>
      </c>
      <c r="DW286" s="2" t="s">
        <v>281</v>
      </c>
      <c r="DX286" s="2">
        <v>100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58162629</v>
      </c>
      <c r="EF286" s="2">
        <v>40</v>
      </c>
      <c r="EG286" s="2" t="s">
        <v>25</v>
      </c>
      <c r="EH286" s="2">
        <v>0</v>
      </c>
      <c r="EI286" s="2" t="s">
        <v>3</v>
      </c>
      <c r="EJ286" s="2">
        <v>2</v>
      </c>
      <c r="EK286" s="2">
        <v>67</v>
      </c>
      <c r="EL286" s="2" t="s">
        <v>225</v>
      </c>
      <c r="EM286" s="2" t="s">
        <v>226</v>
      </c>
      <c r="EN286" s="2"/>
      <c r="EO286" s="2" t="s">
        <v>28</v>
      </c>
      <c r="EP286" s="2"/>
      <c r="EQ286" s="2">
        <v>1024</v>
      </c>
      <c r="ER286" s="2">
        <v>80.599999999999994</v>
      </c>
      <c r="ES286" s="2">
        <v>55.47</v>
      </c>
      <c r="ET286" s="2">
        <v>2.62</v>
      </c>
      <c r="EU286" s="2">
        <v>0.3</v>
      </c>
      <c r="EV286" s="2">
        <v>22.51</v>
      </c>
      <c r="EW286" s="2">
        <v>1.83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97</v>
      </c>
      <c r="FY286" s="2">
        <v>51</v>
      </c>
      <c r="FZ286" s="2"/>
      <c r="GA286" s="2" t="s">
        <v>3</v>
      </c>
      <c r="GB286" s="2"/>
      <c r="GC286" s="2"/>
      <c r="GD286" s="2">
        <v>1</v>
      </c>
      <c r="GE286" s="2"/>
      <c r="GF286" s="2">
        <v>-938160609</v>
      </c>
      <c r="GG286" s="2">
        <v>2</v>
      </c>
      <c r="GH286" s="2">
        <v>1</v>
      </c>
      <c r="GI286" s="2">
        <v>2</v>
      </c>
      <c r="GJ286" s="2">
        <v>0</v>
      </c>
      <c r="GK286" s="2">
        <v>0</v>
      </c>
      <c r="GL286" s="2">
        <f t="shared" si="262"/>
        <v>0</v>
      </c>
      <c r="GM286" s="2">
        <f t="shared" si="263"/>
        <v>10405.86</v>
      </c>
      <c r="GN286" s="2">
        <f t="shared" si="264"/>
        <v>0</v>
      </c>
      <c r="GO286" s="2">
        <f t="shared" si="265"/>
        <v>10405.86</v>
      </c>
      <c r="GP286" s="2">
        <f t="shared" si="266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267"/>
        <v>0</v>
      </c>
      <c r="GW286" s="2">
        <v>1</v>
      </c>
      <c r="GX286" s="2">
        <f t="shared" si="268"/>
        <v>0</v>
      </c>
      <c r="GY286" s="2"/>
      <c r="GZ286" s="2"/>
      <c r="HA286" s="2">
        <v>0</v>
      </c>
      <c r="HB286" s="2">
        <v>0</v>
      </c>
      <c r="HC286" s="2">
        <f t="shared" si="269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3">
      <c r="A287" s="3">
        <v>17</v>
      </c>
      <c r="B287" s="3">
        <v>1</v>
      </c>
      <c r="C287" s="3"/>
      <c r="D287" s="3">
        <f>ROW(EtalonRes!A196)</f>
        <v>196</v>
      </c>
      <c r="E287" s="3" t="s">
        <v>3</v>
      </c>
      <c r="F287" s="3" t="s">
        <v>300</v>
      </c>
      <c r="G287" s="3" t="s">
        <v>301</v>
      </c>
      <c r="H287" s="3" t="s">
        <v>281</v>
      </c>
      <c r="I287" s="3">
        <f t="shared" si="275"/>
        <v>84.4</v>
      </c>
      <c r="J287" s="3">
        <v>0</v>
      </c>
      <c r="K287" s="3">
        <f t="shared" si="276"/>
        <v>84.4</v>
      </c>
      <c r="L287" s="3"/>
      <c r="M287" s="3"/>
      <c r="N287" s="3"/>
      <c r="O287" s="3">
        <f t="shared" si="238"/>
        <v>138497.76999999999</v>
      </c>
      <c r="P287" s="3">
        <f t="shared" si="239"/>
        <v>14466.36</v>
      </c>
      <c r="Q287" s="3">
        <f t="shared" si="277"/>
        <v>3710.54</v>
      </c>
      <c r="R287" s="3">
        <f t="shared" si="240"/>
        <v>1603.51</v>
      </c>
      <c r="S287" s="3">
        <f t="shared" si="241"/>
        <v>120320.87</v>
      </c>
      <c r="T287" s="3">
        <f t="shared" si="242"/>
        <v>0</v>
      </c>
      <c r="U287" s="3">
        <f t="shared" si="243"/>
        <v>177.88236840000005</v>
      </c>
      <c r="V287" s="3">
        <f t="shared" si="244"/>
        <v>0</v>
      </c>
      <c r="W287" s="3">
        <f t="shared" si="245"/>
        <v>0</v>
      </c>
      <c r="X287" s="3">
        <f t="shared" si="246"/>
        <v>118266.65</v>
      </c>
      <c r="Y287" s="3">
        <f t="shared" si="247"/>
        <v>62181.43</v>
      </c>
      <c r="Z287" s="3"/>
      <c r="AA287" s="3">
        <v>-1</v>
      </c>
      <c r="AB287" s="3">
        <f t="shared" si="248"/>
        <v>83.113</v>
      </c>
      <c r="AC287" s="3">
        <f t="shared" si="249"/>
        <v>55.47</v>
      </c>
      <c r="AD287" s="3">
        <f t="shared" si="278"/>
        <v>2.8820000000000001</v>
      </c>
      <c r="AE287" s="3">
        <f t="shared" si="279"/>
        <v>0.33</v>
      </c>
      <c r="AF287" s="3">
        <f t="shared" si="279"/>
        <v>24.760999999999999</v>
      </c>
      <c r="AG287" s="3">
        <f t="shared" si="250"/>
        <v>0</v>
      </c>
      <c r="AH287" s="3">
        <f t="shared" si="280"/>
        <v>2.0130000000000003</v>
      </c>
      <c r="AI287" s="3">
        <f t="shared" si="280"/>
        <v>0</v>
      </c>
      <c r="AJ287" s="3">
        <f t="shared" si="251"/>
        <v>0</v>
      </c>
      <c r="AK287" s="3">
        <v>80.599999999999994</v>
      </c>
      <c r="AL287" s="3">
        <v>55.47</v>
      </c>
      <c r="AM287" s="3">
        <v>2.62</v>
      </c>
      <c r="AN287" s="3">
        <v>0.3</v>
      </c>
      <c r="AO287" s="3">
        <v>22.51</v>
      </c>
      <c r="AP287" s="3">
        <v>0</v>
      </c>
      <c r="AQ287" s="3">
        <v>1.83</v>
      </c>
      <c r="AR287" s="3">
        <v>0</v>
      </c>
      <c r="AS287" s="3">
        <v>0</v>
      </c>
      <c r="AT287" s="3">
        <v>97</v>
      </c>
      <c r="AU287" s="3">
        <v>51</v>
      </c>
      <c r="AV287" s="3">
        <v>1.0469999999999999</v>
      </c>
      <c r="AW287" s="3">
        <v>1</v>
      </c>
      <c r="AX287" s="3"/>
      <c r="AY287" s="3"/>
      <c r="AZ287" s="3">
        <v>1</v>
      </c>
      <c r="BA287" s="3">
        <v>54.99</v>
      </c>
      <c r="BB287" s="3">
        <v>14.57</v>
      </c>
      <c r="BC287" s="3">
        <v>3.09</v>
      </c>
      <c r="BD287" s="3" t="s">
        <v>3</v>
      </c>
      <c r="BE287" s="3" t="s">
        <v>3</v>
      </c>
      <c r="BF287" s="3" t="s">
        <v>3</v>
      </c>
      <c r="BG287" s="3" t="s">
        <v>3</v>
      </c>
      <c r="BH287" s="3">
        <v>0</v>
      </c>
      <c r="BI287" s="3">
        <v>2</v>
      </c>
      <c r="BJ287" s="3" t="s">
        <v>302</v>
      </c>
      <c r="BK287" s="3"/>
      <c r="BL287" s="3"/>
      <c r="BM287" s="3">
        <v>67</v>
      </c>
      <c r="BN287" s="3">
        <v>0</v>
      </c>
      <c r="BO287" s="3" t="s">
        <v>300</v>
      </c>
      <c r="BP287" s="3">
        <v>1</v>
      </c>
      <c r="BQ287" s="3">
        <v>40</v>
      </c>
      <c r="BR287" s="3">
        <v>0</v>
      </c>
      <c r="BS287" s="3">
        <v>54.99</v>
      </c>
      <c r="BT287" s="3">
        <v>1</v>
      </c>
      <c r="BU287" s="3">
        <v>1</v>
      </c>
      <c r="BV287" s="3">
        <v>1</v>
      </c>
      <c r="BW287" s="3">
        <v>1</v>
      </c>
      <c r="BX287" s="3">
        <v>1</v>
      </c>
      <c r="BY287" s="3" t="s">
        <v>3</v>
      </c>
      <c r="BZ287" s="3">
        <v>97</v>
      </c>
      <c r="CA287" s="3">
        <v>51</v>
      </c>
      <c r="CB287" s="3" t="s">
        <v>3</v>
      </c>
      <c r="CC287" s="3"/>
      <c r="CD287" s="3"/>
      <c r="CE287" s="3">
        <v>30</v>
      </c>
      <c r="CF287" s="3">
        <v>0</v>
      </c>
      <c r="CG287" s="3">
        <v>0</v>
      </c>
      <c r="CH287" s="3"/>
      <c r="CI287" s="3"/>
      <c r="CJ287" s="3"/>
      <c r="CK287" s="3"/>
      <c r="CL287" s="3"/>
      <c r="CM287" s="3">
        <v>0</v>
      </c>
      <c r="CN287" s="3" t="s">
        <v>3</v>
      </c>
      <c r="CO287" s="3">
        <v>0</v>
      </c>
      <c r="CP287" s="3">
        <f t="shared" si="252"/>
        <v>138497.76999999999</v>
      </c>
      <c r="CQ287" s="3">
        <f t="shared" si="253"/>
        <v>171.4</v>
      </c>
      <c r="CR287" s="3">
        <f t="shared" si="281"/>
        <v>44</v>
      </c>
      <c r="CS287" s="3">
        <f t="shared" si="254"/>
        <v>19.25</v>
      </c>
      <c r="CT287" s="3">
        <f t="shared" si="255"/>
        <v>1425.34</v>
      </c>
      <c r="CU287" s="3">
        <f t="shared" si="256"/>
        <v>0</v>
      </c>
      <c r="CV287" s="3">
        <f t="shared" si="257"/>
        <v>2.1076110000000003</v>
      </c>
      <c r="CW287" s="3">
        <f t="shared" si="258"/>
        <v>0</v>
      </c>
      <c r="CX287" s="3">
        <f t="shared" si="259"/>
        <v>0</v>
      </c>
      <c r="CY287" s="3">
        <f t="shared" si="260"/>
        <v>118266.6486</v>
      </c>
      <c r="CZ287" s="3">
        <f t="shared" si="261"/>
        <v>62181.433799999999</v>
      </c>
      <c r="DA287" s="3"/>
      <c r="DB287" s="3"/>
      <c r="DC287" s="3" t="s">
        <v>3</v>
      </c>
      <c r="DD287" s="3" t="s">
        <v>3</v>
      </c>
      <c r="DE287" s="3" t="s">
        <v>24</v>
      </c>
      <c r="DF287" s="3" t="s">
        <v>24</v>
      </c>
      <c r="DG287" s="3" t="s">
        <v>24</v>
      </c>
      <c r="DH287" s="3" t="s">
        <v>3</v>
      </c>
      <c r="DI287" s="3" t="s">
        <v>24</v>
      </c>
      <c r="DJ287" s="3" t="s">
        <v>24</v>
      </c>
      <c r="DK287" s="3" t="s">
        <v>3</v>
      </c>
      <c r="DL287" s="3" t="s">
        <v>3</v>
      </c>
      <c r="DM287" s="3" t="s">
        <v>3</v>
      </c>
      <c r="DN287" s="3">
        <v>0</v>
      </c>
      <c r="DO287" s="3">
        <v>0</v>
      </c>
      <c r="DP287" s="3">
        <v>1</v>
      </c>
      <c r="DQ287" s="3">
        <v>1</v>
      </c>
      <c r="DR287" s="3"/>
      <c r="DS287" s="3"/>
      <c r="DT287" s="3"/>
      <c r="DU287" s="3">
        <v>1003</v>
      </c>
      <c r="DV287" s="3" t="s">
        <v>281</v>
      </c>
      <c r="DW287" s="3" t="s">
        <v>281</v>
      </c>
      <c r="DX287" s="3">
        <v>100</v>
      </c>
      <c r="DY287" s="3"/>
      <c r="DZ287" s="3" t="s">
        <v>3</v>
      </c>
      <c r="EA287" s="3" t="s">
        <v>3</v>
      </c>
      <c r="EB287" s="3" t="s">
        <v>3</v>
      </c>
      <c r="EC287" s="3" t="s">
        <v>3</v>
      </c>
      <c r="ED287" s="3"/>
      <c r="EE287" s="3">
        <v>58162629</v>
      </c>
      <c r="EF287" s="3">
        <v>40</v>
      </c>
      <c r="EG287" s="3" t="s">
        <v>25</v>
      </c>
      <c r="EH287" s="3">
        <v>0</v>
      </c>
      <c r="EI287" s="3" t="s">
        <v>3</v>
      </c>
      <c r="EJ287" s="3">
        <v>2</v>
      </c>
      <c r="EK287" s="3">
        <v>67</v>
      </c>
      <c r="EL287" s="3" t="s">
        <v>225</v>
      </c>
      <c r="EM287" s="3" t="s">
        <v>226</v>
      </c>
      <c r="EN287" s="3"/>
      <c r="EO287" s="3" t="s">
        <v>28</v>
      </c>
      <c r="EP287" s="3"/>
      <c r="EQ287" s="3">
        <v>1024</v>
      </c>
      <c r="ER287" s="3">
        <v>80.599999999999994</v>
      </c>
      <c r="ES287" s="3">
        <v>55.47</v>
      </c>
      <c r="ET287" s="3">
        <v>2.62</v>
      </c>
      <c r="EU287" s="3">
        <v>0.3</v>
      </c>
      <c r="EV287" s="3">
        <v>22.51</v>
      </c>
      <c r="EW287" s="3">
        <v>1.83</v>
      </c>
      <c r="EX287" s="3">
        <v>0</v>
      </c>
      <c r="EY287" s="3">
        <v>0</v>
      </c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>
        <v>0</v>
      </c>
      <c r="FR287" s="3">
        <v>0</v>
      </c>
      <c r="FS287" s="3">
        <v>0</v>
      </c>
      <c r="FT287" s="3"/>
      <c r="FU287" s="3"/>
      <c r="FV287" s="3"/>
      <c r="FW287" s="3"/>
      <c r="FX287" s="3">
        <v>97</v>
      </c>
      <c r="FY287" s="3">
        <v>51</v>
      </c>
      <c r="FZ287" s="3"/>
      <c r="GA287" s="3" t="s">
        <v>3</v>
      </c>
      <c r="GB287" s="3"/>
      <c r="GC287" s="3"/>
      <c r="GD287" s="3">
        <v>1</v>
      </c>
      <c r="GE287" s="3"/>
      <c r="GF287" s="3">
        <v>-938160609</v>
      </c>
      <c r="GG287" s="3">
        <v>2</v>
      </c>
      <c r="GH287" s="3">
        <v>1</v>
      </c>
      <c r="GI287" s="3">
        <v>2</v>
      </c>
      <c r="GJ287" s="3">
        <v>0</v>
      </c>
      <c r="GK287" s="3">
        <v>0</v>
      </c>
      <c r="GL287" s="3">
        <f t="shared" si="262"/>
        <v>0</v>
      </c>
      <c r="GM287" s="3">
        <f t="shared" si="263"/>
        <v>318945.84999999998</v>
      </c>
      <c r="GN287" s="3">
        <f t="shared" si="264"/>
        <v>0</v>
      </c>
      <c r="GO287" s="3">
        <f t="shared" si="265"/>
        <v>318945.84999999998</v>
      </c>
      <c r="GP287" s="3">
        <f t="shared" si="266"/>
        <v>0</v>
      </c>
      <c r="GQ287" s="3"/>
      <c r="GR287" s="3">
        <v>0</v>
      </c>
      <c r="GS287" s="3">
        <v>3</v>
      </c>
      <c r="GT287" s="3">
        <v>0</v>
      </c>
      <c r="GU287" s="3" t="s">
        <v>3</v>
      </c>
      <c r="GV287" s="3">
        <f t="shared" si="267"/>
        <v>0</v>
      </c>
      <c r="GW287" s="3">
        <v>1</v>
      </c>
      <c r="GX287" s="3">
        <f t="shared" si="268"/>
        <v>0</v>
      </c>
      <c r="GY287" s="3"/>
      <c r="GZ287" s="3"/>
      <c r="HA287" s="3">
        <v>0</v>
      </c>
      <c r="HB287" s="3">
        <v>0</v>
      </c>
      <c r="HC287" s="3">
        <f t="shared" si="269"/>
        <v>0</v>
      </c>
      <c r="HD287" s="3"/>
      <c r="HE287" s="3" t="s">
        <v>3</v>
      </c>
      <c r="HF287" s="3" t="s">
        <v>3</v>
      </c>
      <c r="HG287" s="3"/>
      <c r="HH287" s="3"/>
      <c r="HI287" s="3"/>
      <c r="HJ287" s="3"/>
      <c r="HK287" s="3"/>
      <c r="HL287" s="3"/>
      <c r="HM287" s="3" t="s">
        <v>3</v>
      </c>
      <c r="HN287" s="3" t="s">
        <v>3</v>
      </c>
      <c r="HO287" s="3" t="s">
        <v>3</v>
      </c>
      <c r="HP287" s="3" t="s">
        <v>3</v>
      </c>
      <c r="HQ287" s="3" t="s">
        <v>3</v>
      </c>
      <c r="HR287" s="3"/>
      <c r="HS287" s="3">
        <v>0</v>
      </c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>
        <v>0</v>
      </c>
      <c r="IL287" s="3"/>
      <c r="IM287" s="3"/>
      <c r="IN287" s="3"/>
      <c r="IO287" s="3"/>
      <c r="IP287" s="3"/>
      <c r="IQ287" s="3"/>
      <c r="IR287" s="3"/>
      <c r="IS287" s="3"/>
      <c r="IT287" s="3"/>
      <c r="IU287" s="3"/>
    </row>
    <row r="288" spans="1:255" x14ac:dyDescent="0.3">
      <c r="A288" s="2">
        <v>17</v>
      </c>
      <c r="B288" s="2">
        <v>1</v>
      </c>
      <c r="C288" s="2"/>
      <c r="D288" s="2">
        <f>ROW(EtalonRes!A210)</f>
        <v>210</v>
      </c>
      <c r="E288" s="2" t="s">
        <v>3</v>
      </c>
      <c r="F288" s="2" t="s">
        <v>303</v>
      </c>
      <c r="G288" s="2" t="s">
        <v>304</v>
      </c>
      <c r="H288" s="2" t="s">
        <v>281</v>
      </c>
      <c r="I288" s="2">
        <f t="shared" si="275"/>
        <v>84.4</v>
      </c>
      <c r="J288" s="2">
        <v>0</v>
      </c>
      <c r="K288" s="2">
        <f t="shared" si="276"/>
        <v>84.4</v>
      </c>
      <c r="L288" s="2"/>
      <c r="M288" s="2"/>
      <c r="N288" s="2"/>
      <c r="O288" s="2">
        <f t="shared" si="238"/>
        <v>110315.68</v>
      </c>
      <c r="P288" s="2">
        <f t="shared" si="239"/>
        <v>82796.399999999994</v>
      </c>
      <c r="Q288" s="2">
        <f t="shared" si="277"/>
        <v>2730.45</v>
      </c>
      <c r="R288" s="2">
        <f t="shared" si="240"/>
        <v>122.48</v>
      </c>
      <c r="S288" s="2">
        <f t="shared" si="241"/>
        <v>24788.83</v>
      </c>
      <c r="T288" s="2">
        <f t="shared" si="242"/>
        <v>0</v>
      </c>
      <c r="U288" s="2">
        <f t="shared" si="243"/>
        <v>2012.1120359999998</v>
      </c>
      <c r="V288" s="2">
        <f t="shared" si="244"/>
        <v>0</v>
      </c>
      <c r="W288" s="2">
        <f t="shared" si="245"/>
        <v>0</v>
      </c>
      <c r="X288" s="2">
        <f t="shared" si="246"/>
        <v>24163.97</v>
      </c>
      <c r="Y288" s="2">
        <f t="shared" si="247"/>
        <v>12704.77</v>
      </c>
      <c r="Z288" s="2"/>
      <c r="AA288" s="2">
        <v>-1</v>
      </c>
      <c r="AB288" s="2">
        <f t="shared" si="248"/>
        <v>1292.421</v>
      </c>
      <c r="AC288" s="2">
        <f t="shared" si="249"/>
        <v>981</v>
      </c>
      <c r="AD288" s="2">
        <f t="shared" si="278"/>
        <v>30.899000000000001</v>
      </c>
      <c r="AE288" s="2">
        <f t="shared" si="279"/>
        <v>1.3859999999999999</v>
      </c>
      <c r="AF288" s="2">
        <f t="shared" si="279"/>
        <v>280.52199999999999</v>
      </c>
      <c r="AG288" s="2">
        <f t="shared" si="250"/>
        <v>0</v>
      </c>
      <c r="AH288" s="2">
        <f t="shared" si="280"/>
        <v>22.77</v>
      </c>
      <c r="AI288" s="2">
        <f t="shared" si="280"/>
        <v>0</v>
      </c>
      <c r="AJ288" s="2">
        <f t="shared" si="251"/>
        <v>0</v>
      </c>
      <c r="AK288" s="2">
        <v>1264.1099999999999</v>
      </c>
      <c r="AL288" s="2">
        <v>981</v>
      </c>
      <c r="AM288" s="2">
        <v>28.09</v>
      </c>
      <c r="AN288" s="2">
        <v>1.26</v>
      </c>
      <c r="AO288" s="2">
        <v>255.02</v>
      </c>
      <c r="AP288" s="2">
        <v>0</v>
      </c>
      <c r="AQ288" s="2">
        <v>20.7</v>
      </c>
      <c r="AR288" s="2">
        <v>0</v>
      </c>
      <c r="AS288" s="2">
        <v>0</v>
      </c>
      <c r="AT288" s="2">
        <v>97</v>
      </c>
      <c r="AU288" s="2">
        <v>51</v>
      </c>
      <c r="AV288" s="2">
        <v>1.0469999999999999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0</v>
      </c>
      <c r="BI288" s="2">
        <v>2</v>
      </c>
      <c r="BJ288" s="2" t="s">
        <v>305</v>
      </c>
      <c r="BK288" s="2"/>
      <c r="BL288" s="2"/>
      <c r="BM288" s="2">
        <v>67</v>
      </c>
      <c r="BN288" s="2">
        <v>0</v>
      </c>
      <c r="BO288" s="2" t="s">
        <v>303</v>
      </c>
      <c r="BP288" s="2">
        <v>1</v>
      </c>
      <c r="BQ288" s="2">
        <v>40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97</v>
      </c>
      <c r="CA288" s="2">
        <v>51</v>
      </c>
      <c r="CB288" s="2" t="s">
        <v>3</v>
      </c>
      <c r="CC288" s="2"/>
      <c r="CD288" s="2"/>
      <c r="CE288" s="2">
        <v>30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3</v>
      </c>
      <c r="CO288" s="2">
        <v>0</v>
      </c>
      <c r="CP288" s="2">
        <f t="shared" si="252"/>
        <v>110315.68</v>
      </c>
      <c r="CQ288" s="2">
        <f t="shared" si="253"/>
        <v>981</v>
      </c>
      <c r="CR288" s="2">
        <f t="shared" si="281"/>
        <v>32.35</v>
      </c>
      <c r="CS288" s="2">
        <f t="shared" si="254"/>
        <v>1.45</v>
      </c>
      <c r="CT288" s="2">
        <f t="shared" si="255"/>
        <v>293.70999999999998</v>
      </c>
      <c r="CU288" s="2">
        <f t="shared" si="256"/>
        <v>0</v>
      </c>
      <c r="CV288" s="2">
        <f t="shared" si="257"/>
        <v>23.840189999999996</v>
      </c>
      <c r="CW288" s="2">
        <f t="shared" si="258"/>
        <v>0</v>
      </c>
      <c r="CX288" s="2">
        <f t="shared" si="259"/>
        <v>0</v>
      </c>
      <c r="CY288" s="2">
        <f t="shared" si="260"/>
        <v>24163.970700000002</v>
      </c>
      <c r="CZ288" s="2">
        <f t="shared" si="261"/>
        <v>12704.768100000001</v>
      </c>
      <c r="DA288" s="2"/>
      <c r="DB288" s="2"/>
      <c r="DC288" s="2" t="s">
        <v>3</v>
      </c>
      <c r="DD288" s="2" t="s">
        <v>3</v>
      </c>
      <c r="DE288" s="2" t="s">
        <v>24</v>
      </c>
      <c r="DF288" s="2" t="s">
        <v>24</v>
      </c>
      <c r="DG288" s="2" t="s">
        <v>24</v>
      </c>
      <c r="DH288" s="2" t="s">
        <v>3</v>
      </c>
      <c r="DI288" s="2" t="s">
        <v>24</v>
      </c>
      <c r="DJ288" s="2" t="s">
        <v>24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281</v>
      </c>
      <c r="DW288" s="2" t="s">
        <v>281</v>
      </c>
      <c r="DX288" s="2">
        <v>100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58162629</v>
      </c>
      <c r="EF288" s="2">
        <v>40</v>
      </c>
      <c r="EG288" s="2" t="s">
        <v>25</v>
      </c>
      <c r="EH288" s="2">
        <v>0</v>
      </c>
      <c r="EI288" s="2" t="s">
        <v>3</v>
      </c>
      <c r="EJ288" s="2">
        <v>2</v>
      </c>
      <c r="EK288" s="2">
        <v>67</v>
      </c>
      <c r="EL288" s="2" t="s">
        <v>225</v>
      </c>
      <c r="EM288" s="2" t="s">
        <v>226</v>
      </c>
      <c r="EN288" s="2"/>
      <c r="EO288" s="2" t="s">
        <v>28</v>
      </c>
      <c r="EP288" s="2"/>
      <c r="EQ288" s="2">
        <v>1024</v>
      </c>
      <c r="ER288" s="2">
        <v>1264.1099999999999</v>
      </c>
      <c r="ES288" s="2">
        <v>981</v>
      </c>
      <c r="ET288" s="2">
        <v>28.09</v>
      </c>
      <c r="EU288" s="2">
        <v>1.26</v>
      </c>
      <c r="EV288" s="2">
        <v>255.02</v>
      </c>
      <c r="EW288" s="2">
        <v>20.7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97</v>
      </c>
      <c r="FY288" s="2">
        <v>51</v>
      </c>
      <c r="FZ288" s="2"/>
      <c r="GA288" s="2" t="s">
        <v>3</v>
      </c>
      <c r="GB288" s="2"/>
      <c r="GC288" s="2"/>
      <c r="GD288" s="2">
        <v>1</v>
      </c>
      <c r="GE288" s="2"/>
      <c r="GF288" s="2">
        <v>242247751</v>
      </c>
      <c r="GG288" s="2">
        <v>2</v>
      </c>
      <c r="GH288" s="2">
        <v>1</v>
      </c>
      <c r="GI288" s="2">
        <v>2</v>
      </c>
      <c r="GJ288" s="2">
        <v>0</v>
      </c>
      <c r="GK288" s="2">
        <v>0</v>
      </c>
      <c r="GL288" s="2">
        <f t="shared" si="262"/>
        <v>0</v>
      </c>
      <c r="GM288" s="2">
        <f t="shared" si="263"/>
        <v>147184.42000000001</v>
      </c>
      <c r="GN288" s="2">
        <f t="shared" si="264"/>
        <v>0</v>
      </c>
      <c r="GO288" s="2">
        <f t="shared" si="265"/>
        <v>147184.42000000001</v>
      </c>
      <c r="GP288" s="2">
        <f t="shared" si="266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267"/>
        <v>0</v>
      </c>
      <c r="GW288" s="2">
        <v>1</v>
      </c>
      <c r="GX288" s="2">
        <f t="shared" si="268"/>
        <v>0</v>
      </c>
      <c r="GY288" s="2"/>
      <c r="GZ288" s="2"/>
      <c r="HA288" s="2">
        <v>0</v>
      </c>
      <c r="HB288" s="2">
        <v>0</v>
      </c>
      <c r="HC288" s="2">
        <f t="shared" si="269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3">
      <c r="A289" s="3">
        <v>17</v>
      </c>
      <c r="B289" s="3">
        <v>1</v>
      </c>
      <c r="C289" s="3"/>
      <c r="D289" s="3">
        <f>ROW(EtalonRes!A224)</f>
        <v>224</v>
      </c>
      <c r="E289" s="3" t="s">
        <v>3</v>
      </c>
      <c r="F289" s="3" t="s">
        <v>303</v>
      </c>
      <c r="G289" s="3" t="s">
        <v>304</v>
      </c>
      <c r="H289" s="3" t="s">
        <v>281</v>
      </c>
      <c r="I289" s="3">
        <f t="shared" si="275"/>
        <v>84.4</v>
      </c>
      <c r="J289" s="3">
        <v>0</v>
      </c>
      <c r="K289" s="3">
        <f t="shared" si="276"/>
        <v>84.4</v>
      </c>
      <c r="L289" s="3"/>
      <c r="M289" s="3"/>
      <c r="N289" s="3"/>
      <c r="O289" s="3">
        <f t="shared" si="238"/>
        <v>1626914.76</v>
      </c>
      <c r="P289" s="3">
        <f t="shared" si="239"/>
        <v>229346.03</v>
      </c>
      <c r="Q289" s="3">
        <f t="shared" si="277"/>
        <v>34430.97</v>
      </c>
      <c r="R289" s="3">
        <f t="shared" si="240"/>
        <v>6735.18</v>
      </c>
      <c r="S289" s="3">
        <f t="shared" si="241"/>
        <v>1363137.76</v>
      </c>
      <c r="T289" s="3">
        <f t="shared" si="242"/>
        <v>0</v>
      </c>
      <c r="U289" s="3">
        <f t="shared" si="243"/>
        <v>2012.1120359999998</v>
      </c>
      <c r="V289" s="3">
        <f t="shared" si="244"/>
        <v>0</v>
      </c>
      <c r="W289" s="3">
        <f t="shared" si="245"/>
        <v>0</v>
      </c>
      <c r="X289" s="3">
        <f t="shared" si="246"/>
        <v>1328776.75</v>
      </c>
      <c r="Y289" s="3">
        <f t="shared" si="247"/>
        <v>698635.2</v>
      </c>
      <c r="Z289" s="3"/>
      <c r="AA289" s="3">
        <v>-1</v>
      </c>
      <c r="AB289" s="3">
        <f t="shared" si="248"/>
        <v>1292.421</v>
      </c>
      <c r="AC289" s="3">
        <f t="shared" si="249"/>
        <v>981</v>
      </c>
      <c r="AD289" s="3">
        <f t="shared" si="278"/>
        <v>30.899000000000001</v>
      </c>
      <c r="AE289" s="3">
        <f t="shared" si="279"/>
        <v>1.3859999999999999</v>
      </c>
      <c r="AF289" s="3">
        <f t="shared" si="279"/>
        <v>280.52199999999999</v>
      </c>
      <c r="AG289" s="3">
        <f t="shared" si="250"/>
        <v>0</v>
      </c>
      <c r="AH289" s="3">
        <f t="shared" si="280"/>
        <v>22.77</v>
      </c>
      <c r="AI289" s="3">
        <f t="shared" si="280"/>
        <v>0</v>
      </c>
      <c r="AJ289" s="3">
        <f t="shared" si="251"/>
        <v>0</v>
      </c>
      <c r="AK289" s="3">
        <v>1264.1099999999999</v>
      </c>
      <c r="AL289" s="3">
        <v>981</v>
      </c>
      <c r="AM289" s="3">
        <v>28.09</v>
      </c>
      <c r="AN289" s="3">
        <v>1.26</v>
      </c>
      <c r="AO289" s="3">
        <v>255.02</v>
      </c>
      <c r="AP289" s="3">
        <v>0</v>
      </c>
      <c r="AQ289" s="3">
        <v>20.7</v>
      </c>
      <c r="AR289" s="3">
        <v>0</v>
      </c>
      <c r="AS289" s="3">
        <v>0</v>
      </c>
      <c r="AT289" s="3">
        <v>97</v>
      </c>
      <c r="AU289" s="3">
        <v>51</v>
      </c>
      <c r="AV289" s="3">
        <v>1.0469999999999999</v>
      </c>
      <c r="AW289" s="3">
        <v>1</v>
      </c>
      <c r="AX289" s="3"/>
      <c r="AY289" s="3"/>
      <c r="AZ289" s="3">
        <v>1</v>
      </c>
      <c r="BA289" s="3">
        <v>54.99</v>
      </c>
      <c r="BB289" s="3">
        <v>12.61</v>
      </c>
      <c r="BC289" s="3">
        <v>2.77</v>
      </c>
      <c r="BD289" s="3" t="s">
        <v>3</v>
      </c>
      <c r="BE289" s="3" t="s">
        <v>3</v>
      </c>
      <c r="BF289" s="3" t="s">
        <v>3</v>
      </c>
      <c r="BG289" s="3" t="s">
        <v>3</v>
      </c>
      <c r="BH289" s="3">
        <v>0</v>
      </c>
      <c r="BI289" s="3">
        <v>2</v>
      </c>
      <c r="BJ289" s="3" t="s">
        <v>305</v>
      </c>
      <c r="BK289" s="3"/>
      <c r="BL289" s="3"/>
      <c r="BM289" s="3">
        <v>67</v>
      </c>
      <c r="BN289" s="3">
        <v>0</v>
      </c>
      <c r="BO289" s="3" t="s">
        <v>303</v>
      </c>
      <c r="BP289" s="3">
        <v>1</v>
      </c>
      <c r="BQ289" s="3">
        <v>40</v>
      </c>
      <c r="BR289" s="3">
        <v>0</v>
      </c>
      <c r="BS289" s="3">
        <v>54.99</v>
      </c>
      <c r="BT289" s="3">
        <v>1</v>
      </c>
      <c r="BU289" s="3">
        <v>1</v>
      </c>
      <c r="BV289" s="3">
        <v>1</v>
      </c>
      <c r="BW289" s="3">
        <v>1</v>
      </c>
      <c r="BX289" s="3">
        <v>1</v>
      </c>
      <c r="BY289" s="3" t="s">
        <v>3</v>
      </c>
      <c r="BZ289" s="3">
        <v>97</v>
      </c>
      <c r="CA289" s="3">
        <v>51</v>
      </c>
      <c r="CB289" s="3" t="s">
        <v>3</v>
      </c>
      <c r="CC289" s="3"/>
      <c r="CD289" s="3"/>
      <c r="CE289" s="3">
        <v>30</v>
      </c>
      <c r="CF289" s="3">
        <v>0</v>
      </c>
      <c r="CG289" s="3">
        <v>0</v>
      </c>
      <c r="CH289" s="3"/>
      <c r="CI289" s="3"/>
      <c r="CJ289" s="3"/>
      <c r="CK289" s="3"/>
      <c r="CL289" s="3"/>
      <c r="CM289" s="3">
        <v>0</v>
      </c>
      <c r="CN289" s="3" t="s">
        <v>3</v>
      </c>
      <c r="CO289" s="3">
        <v>0</v>
      </c>
      <c r="CP289" s="3">
        <f t="shared" si="252"/>
        <v>1626914.76</v>
      </c>
      <c r="CQ289" s="3">
        <f t="shared" si="253"/>
        <v>2717.37</v>
      </c>
      <c r="CR289" s="3">
        <f t="shared" si="281"/>
        <v>407.93</v>
      </c>
      <c r="CS289" s="3">
        <f t="shared" si="254"/>
        <v>79.739999999999995</v>
      </c>
      <c r="CT289" s="3">
        <f t="shared" si="255"/>
        <v>16151.11</v>
      </c>
      <c r="CU289" s="3">
        <f t="shared" si="256"/>
        <v>0</v>
      </c>
      <c r="CV289" s="3">
        <f t="shared" si="257"/>
        <v>23.840189999999996</v>
      </c>
      <c r="CW289" s="3">
        <f t="shared" si="258"/>
        <v>0</v>
      </c>
      <c r="CX289" s="3">
        <f t="shared" si="259"/>
        <v>0</v>
      </c>
      <c r="CY289" s="3">
        <f t="shared" si="260"/>
        <v>1328776.7518</v>
      </c>
      <c r="CZ289" s="3">
        <f t="shared" si="261"/>
        <v>698635.19939999992</v>
      </c>
      <c r="DA289" s="3"/>
      <c r="DB289" s="3"/>
      <c r="DC289" s="3" t="s">
        <v>3</v>
      </c>
      <c r="DD289" s="3" t="s">
        <v>3</v>
      </c>
      <c r="DE289" s="3" t="s">
        <v>24</v>
      </c>
      <c r="DF289" s="3" t="s">
        <v>24</v>
      </c>
      <c r="DG289" s="3" t="s">
        <v>24</v>
      </c>
      <c r="DH289" s="3" t="s">
        <v>3</v>
      </c>
      <c r="DI289" s="3" t="s">
        <v>24</v>
      </c>
      <c r="DJ289" s="3" t="s">
        <v>24</v>
      </c>
      <c r="DK289" s="3" t="s">
        <v>3</v>
      </c>
      <c r="DL289" s="3" t="s">
        <v>3</v>
      </c>
      <c r="DM289" s="3" t="s">
        <v>3</v>
      </c>
      <c r="DN289" s="3">
        <v>0</v>
      </c>
      <c r="DO289" s="3">
        <v>0</v>
      </c>
      <c r="DP289" s="3">
        <v>1</v>
      </c>
      <c r="DQ289" s="3">
        <v>1</v>
      </c>
      <c r="DR289" s="3"/>
      <c r="DS289" s="3"/>
      <c r="DT289" s="3"/>
      <c r="DU289" s="3">
        <v>1003</v>
      </c>
      <c r="DV289" s="3" t="s">
        <v>281</v>
      </c>
      <c r="DW289" s="3" t="s">
        <v>281</v>
      </c>
      <c r="DX289" s="3">
        <v>100</v>
      </c>
      <c r="DY289" s="3"/>
      <c r="DZ289" s="3" t="s">
        <v>3</v>
      </c>
      <c r="EA289" s="3" t="s">
        <v>3</v>
      </c>
      <c r="EB289" s="3" t="s">
        <v>3</v>
      </c>
      <c r="EC289" s="3" t="s">
        <v>3</v>
      </c>
      <c r="ED289" s="3"/>
      <c r="EE289" s="3">
        <v>58162629</v>
      </c>
      <c r="EF289" s="3">
        <v>40</v>
      </c>
      <c r="EG289" s="3" t="s">
        <v>25</v>
      </c>
      <c r="EH289" s="3">
        <v>0</v>
      </c>
      <c r="EI289" s="3" t="s">
        <v>3</v>
      </c>
      <c r="EJ289" s="3">
        <v>2</v>
      </c>
      <c r="EK289" s="3">
        <v>67</v>
      </c>
      <c r="EL289" s="3" t="s">
        <v>225</v>
      </c>
      <c r="EM289" s="3" t="s">
        <v>226</v>
      </c>
      <c r="EN289" s="3"/>
      <c r="EO289" s="3" t="s">
        <v>28</v>
      </c>
      <c r="EP289" s="3"/>
      <c r="EQ289" s="3">
        <v>1024</v>
      </c>
      <c r="ER289" s="3">
        <v>1264.1099999999999</v>
      </c>
      <c r="ES289" s="3">
        <v>981</v>
      </c>
      <c r="ET289" s="3">
        <v>28.09</v>
      </c>
      <c r="EU289" s="3">
        <v>1.26</v>
      </c>
      <c r="EV289" s="3">
        <v>255.02</v>
      </c>
      <c r="EW289" s="3">
        <v>20.7</v>
      </c>
      <c r="EX289" s="3">
        <v>0</v>
      </c>
      <c r="EY289" s="3">
        <v>0</v>
      </c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>
        <v>0</v>
      </c>
      <c r="FR289" s="3">
        <v>0</v>
      </c>
      <c r="FS289" s="3">
        <v>0</v>
      </c>
      <c r="FT289" s="3"/>
      <c r="FU289" s="3"/>
      <c r="FV289" s="3"/>
      <c r="FW289" s="3"/>
      <c r="FX289" s="3">
        <v>97</v>
      </c>
      <c r="FY289" s="3">
        <v>51</v>
      </c>
      <c r="FZ289" s="3"/>
      <c r="GA289" s="3" t="s">
        <v>3</v>
      </c>
      <c r="GB289" s="3"/>
      <c r="GC289" s="3"/>
      <c r="GD289" s="3">
        <v>1</v>
      </c>
      <c r="GE289" s="3"/>
      <c r="GF289" s="3">
        <v>242247751</v>
      </c>
      <c r="GG289" s="3">
        <v>2</v>
      </c>
      <c r="GH289" s="3">
        <v>1</v>
      </c>
      <c r="GI289" s="3">
        <v>2</v>
      </c>
      <c r="GJ289" s="3">
        <v>0</v>
      </c>
      <c r="GK289" s="3">
        <v>0</v>
      </c>
      <c r="GL289" s="3">
        <f t="shared" si="262"/>
        <v>0</v>
      </c>
      <c r="GM289" s="3">
        <f t="shared" si="263"/>
        <v>3654326.71</v>
      </c>
      <c r="GN289" s="3">
        <f t="shared" si="264"/>
        <v>0</v>
      </c>
      <c r="GO289" s="3">
        <f t="shared" si="265"/>
        <v>3654326.71</v>
      </c>
      <c r="GP289" s="3">
        <f t="shared" si="266"/>
        <v>0</v>
      </c>
      <c r="GQ289" s="3"/>
      <c r="GR289" s="3">
        <v>0</v>
      </c>
      <c r="GS289" s="3">
        <v>3</v>
      </c>
      <c r="GT289" s="3">
        <v>0</v>
      </c>
      <c r="GU289" s="3" t="s">
        <v>3</v>
      </c>
      <c r="GV289" s="3">
        <f t="shared" si="267"/>
        <v>0</v>
      </c>
      <c r="GW289" s="3">
        <v>1</v>
      </c>
      <c r="GX289" s="3">
        <f t="shared" si="268"/>
        <v>0</v>
      </c>
      <c r="GY289" s="3"/>
      <c r="GZ289" s="3"/>
      <c r="HA289" s="3">
        <v>0</v>
      </c>
      <c r="HB289" s="3">
        <v>0</v>
      </c>
      <c r="HC289" s="3">
        <f t="shared" si="269"/>
        <v>0</v>
      </c>
      <c r="HD289" s="3"/>
      <c r="HE289" s="3" t="s">
        <v>3</v>
      </c>
      <c r="HF289" s="3" t="s">
        <v>3</v>
      </c>
      <c r="HG289" s="3"/>
      <c r="HH289" s="3"/>
      <c r="HI289" s="3"/>
      <c r="HJ289" s="3"/>
      <c r="HK289" s="3"/>
      <c r="HL289" s="3"/>
      <c r="HM289" s="3" t="s">
        <v>3</v>
      </c>
      <c r="HN289" s="3" t="s">
        <v>3</v>
      </c>
      <c r="HO289" s="3" t="s">
        <v>3</v>
      </c>
      <c r="HP289" s="3" t="s">
        <v>3</v>
      </c>
      <c r="HQ289" s="3" t="s">
        <v>3</v>
      </c>
      <c r="HR289" s="3"/>
      <c r="HS289" s="3">
        <v>0</v>
      </c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>
        <v>0</v>
      </c>
      <c r="IL289" s="3"/>
      <c r="IM289" s="3"/>
      <c r="IN289" s="3"/>
      <c r="IO289" s="3"/>
      <c r="IP289" s="3"/>
      <c r="IQ289" s="3"/>
      <c r="IR289" s="3"/>
      <c r="IS289" s="3"/>
      <c r="IT289" s="3"/>
      <c r="IU289" s="3"/>
    </row>
    <row r="290" spans="1:255" x14ac:dyDescent="0.3">
      <c r="A290" s="2">
        <v>18</v>
      </c>
      <c r="B290" s="2">
        <v>1</v>
      </c>
      <c r="C290" s="2"/>
      <c r="D290" s="2"/>
      <c r="E290" s="2" t="s">
        <v>3</v>
      </c>
      <c r="F290" s="2" t="s">
        <v>284</v>
      </c>
      <c r="G290" s="2" t="s">
        <v>285</v>
      </c>
      <c r="H290" s="2" t="s">
        <v>286</v>
      </c>
      <c r="I290" s="2">
        <f>I288*J290</f>
        <v>8608.7999999999993</v>
      </c>
      <c r="J290" s="2">
        <v>101.99999999999999</v>
      </c>
      <c r="K290" s="2">
        <v>102</v>
      </c>
      <c r="L290" s="2"/>
      <c r="M290" s="2"/>
      <c r="N290" s="2"/>
      <c r="O290" s="2">
        <f t="shared" si="238"/>
        <v>49758.86</v>
      </c>
      <c r="P290" s="2">
        <f t="shared" si="239"/>
        <v>49758.86</v>
      </c>
      <c r="Q290" s="2">
        <f>(ROUND((ROUND(((ET290)*AV290*I290),2)*BB290),2)+ROUND((ROUND(((AE290-(EU290))*AV290*I290),2)*BS290),2))</f>
        <v>0</v>
      </c>
      <c r="R290" s="2">
        <f t="shared" si="240"/>
        <v>0</v>
      </c>
      <c r="S290" s="2">
        <f t="shared" si="241"/>
        <v>0</v>
      </c>
      <c r="T290" s="2">
        <f t="shared" si="242"/>
        <v>0</v>
      </c>
      <c r="U290" s="2">
        <f t="shared" si="243"/>
        <v>0</v>
      </c>
      <c r="V290" s="2">
        <f t="shared" si="244"/>
        <v>0</v>
      </c>
      <c r="W290" s="2">
        <f t="shared" si="245"/>
        <v>0</v>
      </c>
      <c r="X290" s="2">
        <f t="shared" si="246"/>
        <v>0</v>
      </c>
      <c r="Y290" s="2">
        <f t="shared" si="247"/>
        <v>0</v>
      </c>
      <c r="Z290" s="2"/>
      <c r="AA290" s="2">
        <v>-1</v>
      </c>
      <c r="AB290" s="2">
        <f t="shared" si="248"/>
        <v>5.78</v>
      </c>
      <c r="AC290" s="2">
        <f t="shared" si="249"/>
        <v>5.78</v>
      </c>
      <c r="AD290" s="2">
        <f>ROUND((((ET290)-(EU290))+AE290),6)</f>
        <v>0</v>
      </c>
      <c r="AE290" s="2">
        <f>ROUND((EU290),6)</f>
        <v>0</v>
      </c>
      <c r="AF290" s="2">
        <f>ROUND((EV290),6)</f>
        <v>0</v>
      </c>
      <c r="AG290" s="2">
        <f t="shared" si="250"/>
        <v>0</v>
      </c>
      <c r="AH290" s="2">
        <f>(EW290)</f>
        <v>0</v>
      </c>
      <c r="AI290" s="2">
        <f>(EX290)</f>
        <v>0</v>
      </c>
      <c r="AJ290" s="2">
        <f t="shared" si="251"/>
        <v>0</v>
      </c>
      <c r="AK290" s="2">
        <v>5.78</v>
      </c>
      <c r="AL290" s="2">
        <v>5.78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97</v>
      </c>
      <c r="AU290" s="2">
        <v>51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2</v>
      </c>
      <c r="BJ290" s="2" t="s">
        <v>287</v>
      </c>
      <c r="BK290" s="2"/>
      <c r="BL290" s="2"/>
      <c r="BM290" s="2">
        <v>67</v>
      </c>
      <c r="BN290" s="2">
        <v>0</v>
      </c>
      <c r="BO290" s="2" t="s">
        <v>3</v>
      </c>
      <c r="BP290" s="2">
        <v>0</v>
      </c>
      <c r="BQ290" s="2">
        <v>40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97</v>
      </c>
      <c r="CA290" s="2">
        <v>51</v>
      </c>
      <c r="CB290" s="2" t="s">
        <v>3</v>
      </c>
      <c r="CC290" s="2"/>
      <c r="CD290" s="2"/>
      <c r="CE290" s="2">
        <v>30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3</v>
      </c>
      <c r="CO290" s="2">
        <v>0</v>
      </c>
      <c r="CP290" s="2">
        <f t="shared" si="252"/>
        <v>49758.86</v>
      </c>
      <c r="CQ290" s="2">
        <f t="shared" si="253"/>
        <v>5.78</v>
      </c>
      <c r="CR290" s="2">
        <f>(ROUND((ROUND(((ET290)*AV290*1),2)*BB290),2)+ROUND((ROUND(((AE290-(EU290))*AV290*1),2)*BS290),2))</f>
        <v>0</v>
      </c>
      <c r="CS290" s="2">
        <f t="shared" si="254"/>
        <v>0</v>
      </c>
      <c r="CT290" s="2">
        <f t="shared" si="255"/>
        <v>0</v>
      </c>
      <c r="CU290" s="2">
        <f t="shared" si="256"/>
        <v>0</v>
      </c>
      <c r="CV290" s="2">
        <f t="shared" si="257"/>
        <v>0</v>
      </c>
      <c r="CW290" s="2">
        <f t="shared" si="258"/>
        <v>0</v>
      </c>
      <c r="CX290" s="2">
        <f t="shared" si="259"/>
        <v>0</v>
      </c>
      <c r="CY290" s="2">
        <f t="shared" si="260"/>
        <v>0</v>
      </c>
      <c r="CZ290" s="2">
        <f t="shared" si="261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1003</v>
      </c>
      <c r="DV290" s="2" t="s">
        <v>286</v>
      </c>
      <c r="DW290" s="2" t="s">
        <v>286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58162629</v>
      </c>
      <c r="EF290" s="2">
        <v>40</v>
      </c>
      <c r="EG290" s="2" t="s">
        <v>25</v>
      </c>
      <c r="EH290" s="2">
        <v>0</v>
      </c>
      <c r="EI290" s="2" t="s">
        <v>3</v>
      </c>
      <c r="EJ290" s="2">
        <v>2</v>
      </c>
      <c r="EK290" s="2">
        <v>67</v>
      </c>
      <c r="EL290" s="2" t="s">
        <v>225</v>
      </c>
      <c r="EM290" s="2" t="s">
        <v>226</v>
      </c>
      <c r="EN290" s="2"/>
      <c r="EO290" s="2" t="s">
        <v>3</v>
      </c>
      <c r="EP290" s="2"/>
      <c r="EQ290" s="2">
        <v>1024</v>
      </c>
      <c r="ER290" s="2">
        <v>5.78</v>
      </c>
      <c r="ES290" s="2">
        <v>5.78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97</v>
      </c>
      <c r="FY290" s="2">
        <v>51</v>
      </c>
      <c r="FZ290" s="2"/>
      <c r="GA290" s="2" t="s">
        <v>3</v>
      </c>
      <c r="GB290" s="2"/>
      <c r="GC290" s="2"/>
      <c r="GD290" s="2">
        <v>1</v>
      </c>
      <c r="GE290" s="2"/>
      <c r="GF290" s="2">
        <v>-2129111418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262"/>
        <v>0</v>
      </c>
      <c r="GM290" s="2">
        <f t="shared" si="263"/>
        <v>49758.86</v>
      </c>
      <c r="GN290" s="2">
        <f t="shared" si="264"/>
        <v>0</v>
      </c>
      <c r="GO290" s="2">
        <f t="shared" si="265"/>
        <v>49758.86</v>
      </c>
      <c r="GP290" s="2">
        <f t="shared" si="266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267"/>
        <v>0</v>
      </c>
      <c r="GW290" s="2">
        <v>1</v>
      </c>
      <c r="GX290" s="2">
        <f t="shared" si="268"/>
        <v>0</v>
      </c>
      <c r="GY290" s="2"/>
      <c r="GZ290" s="2"/>
      <c r="HA290" s="2">
        <v>0</v>
      </c>
      <c r="HB290" s="2">
        <v>0</v>
      </c>
      <c r="HC290" s="2">
        <f t="shared" si="269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3">
      <c r="A291" s="3">
        <v>18</v>
      </c>
      <c r="B291" s="3">
        <v>1</v>
      </c>
      <c r="C291" s="3"/>
      <c r="D291" s="3"/>
      <c r="E291" s="3" t="s">
        <v>3</v>
      </c>
      <c r="F291" s="3" t="s">
        <v>284</v>
      </c>
      <c r="G291" s="3" t="s">
        <v>285</v>
      </c>
      <c r="H291" s="3" t="s">
        <v>286</v>
      </c>
      <c r="I291" s="3">
        <f>I289*J291</f>
        <v>8608.7999999999993</v>
      </c>
      <c r="J291" s="3">
        <v>101.99999999999999</v>
      </c>
      <c r="K291" s="3">
        <v>102</v>
      </c>
      <c r="L291" s="3"/>
      <c r="M291" s="3"/>
      <c r="N291" s="3"/>
      <c r="O291" s="3">
        <f t="shared" si="238"/>
        <v>305519.40000000002</v>
      </c>
      <c r="P291" s="3">
        <f t="shared" si="239"/>
        <v>305519.40000000002</v>
      </c>
      <c r="Q291" s="3">
        <f>(ROUND((ROUND(((ET291)*AV291*I291),2)*BB291),2)+ROUND((ROUND(((AE291-(EU291))*AV291*I291),2)*BS291),2))</f>
        <v>0</v>
      </c>
      <c r="R291" s="3">
        <f t="shared" si="240"/>
        <v>0</v>
      </c>
      <c r="S291" s="3">
        <f t="shared" si="241"/>
        <v>0</v>
      </c>
      <c r="T291" s="3">
        <f t="shared" si="242"/>
        <v>0</v>
      </c>
      <c r="U291" s="3">
        <f t="shared" si="243"/>
        <v>0</v>
      </c>
      <c r="V291" s="3">
        <f t="shared" si="244"/>
        <v>0</v>
      </c>
      <c r="W291" s="3">
        <f t="shared" si="245"/>
        <v>0</v>
      </c>
      <c r="X291" s="3">
        <f t="shared" si="246"/>
        <v>0</v>
      </c>
      <c r="Y291" s="3">
        <f t="shared" si="247"/>
        <v>0</v>
      </c>
      <c r="Z291" s="3"/>
      <c r="AA291" s="3">
        <v>-1</v>
      </c>
      <c r="AB291" s="3">
        <f t="shared" si="248"/>
        <v>5.78</v>
      </c>
      <c r="AC291" s="3">
        <f t="shared" si="249"/>
        <v>5.78</v>
      </c>
      <c r="AD291" s="3">
        <f>ROUND((((ET291)-(EU291))+AE291),6)</f>
        <v>0</v>
      </c>
      <c r="AE291" s="3">
        <f>ROUND((EU291),6)</f>
        <v>0</v>
      </c>
      <c r="AF291" s="3">
        <f>ROUND((EV291),6)</f>
        <v>0</v>
      </c>
      <c r="AG291" s="3">
        <f t="shared" si="250"/>
        <v>0</v>
      </c>
      <c r="AH291" s="3">
        <f>(EW291)</f>
        <v>0</v>
      </c>
      <c r="AI291" s="3">
        <f>(EX291)</f>
        <v>0</v>
      </c>
      <c r="AJ291" s="3">
        <f t="shared" si="251"/>
        <v>0</v>
      </c>
      <c r="AK291" s="3">
        <v>5.78</v>
      </c>
      <c r="AL291" s="3">
        <v>5.78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97</v>
      </c>
      <c r="AU291" s="3">
        <v>51</v>
      </c>
      <c r="AV291" s="3">
        <v>1</v>
      </c>
      <c r="AW291" s="3">
        <v>1</v>
      </c>
      <c r="AX291" s="3"/>
      <c r="AY291" s="3"/>
      <c r="AZ291" s="3">
        <v>1</v>
      </c>
      <c r="BA291" s="3">
        <v>1</v>
      </c>
      <c r="BB291" s="3">
        <v>1</v>
      </c>
      <c r="BC291" s="3">
        <v>6.14</v>
      </c>
      <c r="BD291" s="3" t="s">
        <v>3</v>
      </c>
      <c r="BE291" s="3" t="s">
        <v>3</v>
      </c>
      <c r="BF291" s="3" t="s">
        <v>3</v>
      </c>
      <c r="BG291" s="3" t="s">
        <v>3</v>
      </c>
      <c r="BH291" s="3">
        <v>3</v>
      </c>
      <c r="BI291" s="3">
        <v>2</v>
      </c>
      <c r="BJ291" s="3" t="s">
        <v>287</v>
      </c>
      <c r="BK291" s="3"/>
      <c r="BL291" s="3"/>
      <c r="BM291" s="3">
        <v>67</v>
      </c>
      <c r="BN291" s="3">
        <v>0</v>
      </c>
      <c r="BO291" s="3" t="s">
        <v>284</v>
      </c>
      <c r="BP291" s="3">
        <v>1</v>
      </c>
      <c r="BQ291" s="3">
        <v>40</v>
      </c>
      <c r="BR291" s="3">
        <v>0</v>
      </c>
      <c r="BS291" s="3">
        <v>1</v>
      </c>
      <c r="BT291" s="3">
        <v>1</v>
      </c>
      <c r="BU291" s="3">
        <v>1</v>
      </c>
      <c r="BV291" s="3">
        <v>1</v>
      </c>
      <c r="BW291" s="3">
        <v>1</v>
      </c>
      <c r="BX291" s="3">
        <v>1</v>
      </c>
      <c r="BY291" s="3" t="s">
        <v>3</v>
      </c>
      <c r="BZ291" s="3">
        <v>97</v>
      </c>
      <c r="CA291" s="3">
        <v>51</v>
      </c>
      <c r="CB291" s="3" t="s">
        <v>3</v>
      </c>
      <c r="CC291" s="3"/>
      <c r="CD291" s="3"/>
      <c r="CE291" s="3">
        <v>30</v>
      </c>
      <c r="CF291" s="3">
        <v>0</v>
      </c>
      <c r="CG291" s="3">
        <v>0</v>
      </c>
      <c r="CH291" s="3"/>
      <c r="CI291" s="3"/>
      <c r="CJ291" s="3"/>
      <c r="CK291" s="3"/>
      <c r="CL291" s="3"/>
      <c r="CM291" s="3">
        <v>0</v>
      </c>
      <c r="CN291" s="3" t="s">
        <v>3</v>
      </c>
      <c r="CO291" s="3">
        <v>0</v>
      </c>
      <c r="CP291" s="3">
        <f t="shared" si="252"/>
        <v>305519.40000000002</v>
      </c>
      <c r="CQ291" s="3">
        <f t="shared" si="253"/>
        <v>35.49</v>
      </c>
      <c r="CR291" s="3">
        <f>(ROUND((ROUND(((ET291)*AV291*1),2)*BB291),2)+ROUND((ROUND(((AE291-(EU291))*AV291*1),2)*BS291),2))</f>
        <v>0</v>
      </c>
      <c r="CS291" s="3">
        <f t="shared" si="254"/>
        <v>0</v>
      </c>
      <c r="CT291" s="3">
        <f t="shared" si="255"/>
        <v>0</v>
      </c>
      <c r="CU291" s="3">
        <f t="shared" si="256"/>
        <v>0</v>
      </c>
      <c r="CV291" s="3">
        <f t="shared" si="257"/>
        <v>0</v>
      </c>
      <c r="CW291" s="3">
        <f t="shared" si="258"/>
        <v>0</v>
      </c>
      <c r="CX291" s="3">
        <f t="shared" si="259"/>
        <v>0</v>
      </c>
      <c r="CY291" s="3">
        <f t="shared" si="260"/>
        <v>0</v>
      </c>
      <c r="CZ291" s="3">
        <f t="shared" si="261"/>
        <v>0</v>
      </c>
      <c r="DA291" s="3"/>
      <c r="DB291" s="3"/>
      <c r="DC291" s="3" t="s">
        <v>3</v>
      </c>
      <c r="DD291" s="3" t="s">
        <v>3</v>
      </c>
      <c r="DE291" s="3" t="s">
        <v>3</v>
      </c>
      <c r="DF291" s="3" t="s">
        <v>3</v>
      </c>
      <c r="DG291" s="3" t="s">
        <v>3</v>
      </c>
      <c r="DH291" s="3" t="s">
        <v>3</v>
      </c>
      <c r="DI291" s="3" t="s">
        <v>3</v>
      </c>
      <c r="DJ291" s="3" t="s">
        <v>3</v>
      </c>
      <c r="DK291" s="3" t="s">
        <v>3</v>
      </c>
      <c r="DL291" s="3" t="s">
        <v>3</v>
      </c>
      <c r="DM291" s="3" t="s">
        <v>3</v>
      </c>
      <c r="DN291" s="3">
        <v>0</v>
      </c>
      <c r="DO291" s="3">
        <v>0</v>
      </c>
      <c r="DP291" s="3">
        <v>1</v>
      </c>
      <c r="DQ291" s="3">
        <v>1</v>
      </c>
      <c r="DR291" s="3"/>
      <c r="DS291" s="3"/>
      <c r="DT291" s="3"/>
      <c r="DU291" s="3">
        <v>1003</v>
      </c>
      <c r="DV291" s="3" t="s">
        <v>286</v>
      </c>
      <c r="DW291" s="3" t="s">
        <v>286</v>
      </c>
      <c r="DX291" s="3">
        <v>1</v>
      </c>
      <c r="DY291" s="3"/>
      <c r="DZ291" s="3" t="s">
        <v>3</v>
      </c>
      <c r="EA291" s="3" t="s">
        <v>3</v>
      </c>
      <c r="EB291" s="3" t="s">
        <v>3</v>
      </c>
      <c r="EC291" s="3" t="s">
        <v>3</v>
      </c>
      <c r="ED291" s="3"/>
      <c r="EE291" s="3">
        <v>58162629</v>
      </c>
      <c r="EF291" s="3">
        <v>40</v>
      </c>
      <c r="EG291" s="3" t="s">
        <v>25</v>
      </c>
      <c r="EH291" s="3">
        <v>0</v>
      </c>
      <c r="EI291" s="3" t="s">
        <v>3</v>
      </c>
      <c r="EJ291" s="3">
        <v>2</v>
      </c>
      <c r="EK291" s="3">
        <v>67</v>
      </c>
      <c r="EL291" s="3" t="s">
        <v>225</v>
      </c>
      <c r="EM291" s="3" t="s">
        <v>226</v>
      </c>
      <c r="EN291" s="3"/>
      <c r="EO291" s="3" t="s">
        <v>3</v>
      </c>
      <c r="EP291" s="3"/>
      <c r="EQ291" s="3">
        <v>1024</v>
      </c>
      <c r="ER291" s="3">
        <v>5.78</v>
      </c>
      <c r="ES291" s="3">
        <v>5.78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>
        <v>0</v>
      </c>
      <c r="FR291" s="3">
        <v>0</v>
      </c>
      <c r="FS291" s="3">
        <v>0</v>
      </c>
      <c r="FT291" s="3"/>
      <c r="FU291" s="3"/>
      <c r="FV291" s="3"/>
      <c r="FW291" s="3"/>
      <c r="FX291" s="3">
        <v>97</v>
      </c>
      <c r="FY291" s="3">
        <v>51</v>
      </c>
      <c r="FZ291" s="3"/>
      <c r="GA291" s="3" t="s">
        <v>3</v>
      </c>
      <c r="GB291" s="3"/>
      <c r="GC291" s="3"/>
      <c r="GD291" s="3">
        <v>1</v>
      </c>
      <c r="GE291" s="3"/>
      <c r="GF291" s="3">
        <v>-2129111418</v>
      </c>
      <c r="GG291" s="3">
        <v>2</v>
      </c>
      <c r="GH291" s="3">
        <v>1</v>
      </c>
      <c r="GI291" s="3">
        <v>2</v>
      </c>
      <c r="GJ291" s="3">
        <v>0</v>
      </c>
      <c r="GK291" s="3">
        <v>0</v>
      </c>
      <c r="GL291" s="3">
        <f t="shared" si="262"/>
        <v>0</v>
      </c>
      <c r="GM291" s="3">
        <f t="shared" si="263"/>
        <v>305519.40000000002</v>
      </c>
      <c r="GN291" s="3">
        <f t="shared" si="264"/>
        <v>0</v>
      </c>
      <c r="GO291" s="3">
        <f t="shared" si="265"/>
        <v>305519.40000000002</v>
      </c>
      <c r="GP291" s="3">
        <f t="shared" si="266"/>
        <v>0</v>
      </c>
      <c r="GQ291" s="3"/>
      <c r="GR291" s="3">
        <v>0</v>
      </c>
      <c r="GS291" s="3">
        <v>3</v>
      </c>
      <c r="GT291" s="3">
        <v>0</v>
      </c>
      <c r="GU291" s="3" t="s">
        <v>3</v>
      </c>
      <c r="GV291" s="3">
        <f t="shared" si="267"/>
        <v>0</v>
      </c>
      <c r="GW291" s="3">
        <v>1</v>
      </c>
      <c r="GX291" s="3">
        <f t="shared" si="268"/>
        <v>0</v>
      </c>
      <c r="GY291" s="3"/>
      <c r="GZ291" s="3"/>
      <c r="HA291" s="3">
        <v>0</v>
      </c>
      <c r="HB291" s="3">
        <v>0</v>
      </c>
      <c r="HC291" s="3">
        <f t="shared" si="269"/>
        <v>0</v>
      </c>
      <c r="HD291" s="3"/>
      <c r="HE291" s="3" t="s">
        <v>3</v>
      </c>
      <c r="HF291" s="3" t="s">
        <v>3</v>
      </c>
      <c r="HG291" s="3"/>
      <c r="HH291" s="3"/>
      <c r="HI291" s="3"/>
      <c r="HJ291" s="3"/>
      <c r="HK291" s="3"/>
      <c r="HL291" s="3"/>
      <c r="HM291" s="3" t="s">
        <v>3</v>
      </c>
      <c r="HN291" s="3" t="s">
        <v>3</v>
      </c>
      <c r="HO291" s="3" t="s">
        <v>3</v>
      </c>
      <c r="HP291" s="3" t="s">
        <v>3</v>
      </c>
      <c r="HQ291" s="3" t="s">
        <v>3</v>
      </c>
      <c r="HR291" s="3"/>
      <c r="HS291" s="3">
        <v>0</v>
      </c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>
        <v>0</v>
      </c>
      <c r="IL291" s="3"/>
      <c r="IM291" s="3"/>
      <c r="IN291" s="3"/>
      <c r="IO291" s="3"/>
      <c r="IP291" s="3"/>
      <c r="IQ291" s="3"/>
      <c r="IR291" s="3"/>
      <c r="IS291" s="3"/>
      <c r="IT291" s="3"/>
      <c r="IU291" s="3"/>
    </row>
    <row r="292" spans="1:255" x14ac:dyDescent="0.3">
      <c r="A292" s="2">
        <v>17</v>
      </c>
      <c r="B292" s="2">
        <v>1</v>
      </c>
      <c r="C292" s="2"/>
      <c r="D292" s="2">
        <f>ROW(EtalonRes!A228)</f>
        <v>228</v>
      </c>
      <c r="E292" s="2" t="s">
        <v>306</v>
      </c>
      <c r="F292" s="2" t="s">
        <v>307</v>
      </c>
      <c r="G292" s="2" t="s">
        <v>308</v>
      </c>
      <c r="H292" s="2" t="s">
        <v>281</v>
      </c>
      <c r="I292" s="2">
        <f>ROUND((500+18600+970-8440*2)/100,9)</f>
        <v>31.9</v>
      </c>
      <c r="J292" s="2">
        <v>0</v>
      </c>
      <c r="K292" s="2">
        <f>ROUND((500+18600+970-8440*2)/100,9)</f>
        <v>31.9</v>
      </c>
      <c r="L292" s="2"/>
      <c r="M292" s="2"/>
      <c r="N292" s="2"/>
      <c r="O292" s="2">
        <f t="shared" si="238"/>
        <v>2435.25</v>
      </c>
      <c r="P292" s="2">
        <f t="shared" si="239"/>
        <v>451.7</v>
      </c>
      <c r="Q292" s="2">
        <f>(ROUND((ROUND((((ET292*1.1))*AV292*I292),2)*BB292),2)+ROUND((ROUND(((AE292-((EU292*1.1)))*AV292*I292),2)*BS292),2))</f>
        <v>0</v>
      </c>
      <c r="R292" s="2">
        <f t="shared" si="240"/>
        <v>0</v>
      </c>
      <c r="S292" s="2">
        <f t="shared" si="241"/>
        <v>1983.55</v>
      </c>
      <c r="T292" s="2">
        <f t="shared" si="242"/>
        <v>0</v>
      </c>
      <c r="U292" s="2">
        <f t="shared" si="243"/>
        <v>167.16349649999998</v>
      </c>
      <c r="V292" s="2">
        <f t="shared" si="244"/>
        <v>0</v>
      </c>
      <c r="W292" s="2">
        <f t="shared" si="245"/>
        <v>0</v>
      </c>
      <c r="X292" s="2">
        <f t="shared" si="246"/>
        <v>1785.2</v>
      </c>
      <c r="Y292" s="2">
        <f t="shared" si="247"/>
        <v>912.43</v>
      </c>
      <c r="Z292" s="2"/>
      <c r="AA292" s="2">
        <v>56505403</v>
      </c>
      <c r="AB292" s="2">
        <f t="shared" si="248"/>
        <v>73.549000000000007</v>
      </c>
      <c r="AC292" s="2">
        <f t="shared" si="249"/>
        <v>14.16</v>
      </c>
      <c r="AD292" s="2">
        <f>ROUND(((((ET292*1.1))-((EU292*1.1)))+AE292),6)</f>
        <v>0</v>
      </c>
      <c r="AE292" s="2">
        <f>ROUND(((EU292*1.1)),6)</f>
        <v>0</v>
      </c>
      <c r="AF292" s="2">
        <f>ROUND(((EV292*1.1)),6)</f>
        <v>59.389000000000003</v>
      </c>
      <c r="AG292" s="2">
        <f t="shared" si="250"/>
        <v>0</v>
      </c>
      <c r="AH292" s="2">
        <f>((EW292*1.1))</f>
        <v>5.0049999999999999</v>
      </c>
      <c r="AI292" s="2">
        <f>((EX292*1.1))</f>
        <v>0</v>
      </c>
      <c r="AJ292" s="2">
        <f t="shared" si="251"/>
        <v>0</v>
      </c>
      <c r="AK292" s="2">
        <v>68.150000000000006</v>
      </c>
      <c r="AL292" s="2">
        <v>14.16</v>
      </c>
      <c r="AM292" s="2">
        <v>0</v>
      </c>
      <c r="AN292" s="2">
        <v>0</v>
      </c>
      <c r="AO292" s="2">
        <v>53.99</v>
      </c>
      <c r="AP292" s="2">
        <v>0</v>
      </c>
      <c r="AQ292" s="2">
        <v>4.55</v>
      </c>
      <c r="AR292" s="2">
        <v>0</v>
      </c>
      <c r="AS292" s="2">
        <v>0</v>
      </c>
      <c r="AT292" s="2">
        <v>90</v>
      </c>
      <c r="AU292" s="2">
        <v>46</v>
      </c>
      <c r="AV292" s="2">
        <v>1.0469999999999999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2</v>
      </c>
      <c r="BJ292" s="2" t="s">
        <v>309</v>
      </c>
      <c r="BK292" s="2"/>
      <c r="BL292" s="2"/>
      <c r="BM292" s="2">
        <v>68</v>
      </c>
      <c r="BN292" s="2">
        <v>0</v>
      </c>
      <c r="BO292" s="2" t="s">
        <v>307</v>
      </c>
      <c r="BP292" s="2">
        <v>1</v>
      </c>
      <c r="BQ292" s="2">
        <v>40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90</v>
      </c>
      <c r="CA292" s="2">
        <v>46</v>
      </c>
      <c r="CB292" s="2" t="s">
        <v>3</v>
      </c>
      <c r="CC292" s="2"/>
      <c r="CD292" s="2"/>
      <c r="CE292" s="2">
        <v>30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3</v>
      </c>
      <c r="CO292" s="2">
        <v>0</v>
      </c>
      <c r="CP292" s="2">
        <f t="shared" si="252"/>
        <v>2435.25</v>
      </c>
      <c r="CQ292" s="2">
        <f t="shared" si="253"/>
        <v>14.16</v>
      </c>
      <c r="CR292" s="2">
        <f>(ROUND((ROUND((((ET292*1.1))*AV292*1),2)*BB292),2)+ROUND((ROUND(((AE292-((EU292*1.1)))*AV292*1),2)*BS292),2))</f>
        <v>0</v>
      </c>
      <c r="CS292" s="2">
        <f t="shared" si="254"/>
        <v>0</v>
      </c>
      <c r="CT292" s="2">
        <f t="shared" si="255"/>
        <v>62.18</v>
      </c>
      <c r="CU292" s="2">
        <f t="shared" si="256"/>
        <v>0</v>
      </c>
      <c r="CV292" s="2">
        <f t="shared" si="257"/>
        <v>5.2402349999999993</v>
      </c>
      <c r="CW292" s="2">
        <f t="shared" si="258"/>
        <v>0</v>
      </c>
      <c r="CX292" s="2">
        <f t="shared" si="259"/>
        <v>0</v>
      </c>
      <c r="CY292" s="2">
        <f t="shared" si="260"/>
        <v>1785.1949999999999</v>
      </c>
      <c r="CZ292" s="2">
        <f t="shared" si="261"/>
        <v>912.43299999999999</v>
      </c>
      <c r="DA292" s="2"/>
      <c r="DB292" s="2"/>
      <c r="DC292" s="2" t="s">
        <v>3</v>
      </c>
      <c r="DD292" s="2" t="s">
        <v>3</v>
      </c>
      <c r="DE292" s="2" t="s">
        <v>24</v>
      </c>
      <c r="DF292" s="2" t="s">
        <v>24</v>
      </c>
      <c r="DG292" s="2" t="s">
        <v>24</v>
      </c>
      <c r="DH292" s="2" t="s">
        <v>3</v>
      </c>
      <c r="DI292" s="2" t="s">
        <v>24</v>
      </c>
      <c r="DJ292" s="2" t="s">
        <v>24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1003</v>
      </c>
      <c r="DV292" s="2" t="s">
        <v>281</v>
      </c>
      <c r="DW292" s="2" t="s">
        <v>281</v>
      </c>
      <c r="DX292" s="2">
        <v>100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58162630</v>
      </c>
      <c r="EF292" s="2">
        <v>40</v>
      </c>
      <c r="EG292" s="2" t="s">
        <v>25</v>
      </c>
      <c r="EH292" s="2">
        <v>0</v>
      </c>
      <c r="EI292" s="2" t="s">
        <v>3</v>
      </c>
      <c r="EJ292" s="2">
        <v>2</v>
      </c>
      <c r="EK292" s="2">
        <v>68</v>
      </c>
      <c r="EL292" s="2" t="s">
        <v>26</v>
      </c>
      <c r="EM292" s="2" t="s">
        <v>27</v>
      </c>
      <c r="EN292" s="2"/>
      <c r="EO292" s="2" t="s">
        <v>28</v>
      </c>
      <c r="EP292" s="2"/>
      <c r="EQ292" s="2">
        <v>0</v>
      </c>
      <c r="ER292" s="2">
        <v>68.150000000000006</v>
      </c>
      <c r="ES292" s="2">
        <v>14.16</v>
      </c>
      <c r="ET292" s="2">
        <v>0</v>
      </c>
      <c r="EU292" s="2">
        <v>0</v>
      </c>
      <c r="EV292" s="2">
        <v>53.99</v>
      </c>
      <c r="EW292" s="2">
        <v>4.55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90</v>
      </c>
      <c r="FY292" s="2">
        <v>46</v>
      </c>
      <c r="FZ292" s="2"/>
      <c r="GA292" s="2" t="s">
        <v>3</v>
      </c>
      <c r="GB292" s="2"/>
      <c r="GC292" s="2"/>
      <c r="GD292" s="2">
        <v>1</v>
      </c>
      <c r="GE292" s="2"/>
      <c r="GF292" s="2">
        <v>1253693826</v>
      </c>
      <c r="GG292" s="2">
        <v>2</v>
      </c>
      <c r="GH292" s="2">
        <v>1</v>
      </c>
      <c r="GI292" s="2">
        <v>2</v>
      </c>
      <c r="GJ292" s="2">
        <v>0</v>
      </c>
      <c r="GK292" s="2">
        <v>0</v>
      </c>
      <c r="GL292" s="2">
        <f t="shared" si="262"/>
        <v>0</v>
      </c>
      <c r="GM292" s="2">
        <f t="shared" si="263"/>
        <v>5132.88</v>
      </c>
      <c r="GN292" s="2">
        <f t="shared" si="264"/>
        <v>0</v>
      </c>
      <c r="GO292" s="2">
        <f t="shared" si="265"/>
        <v>5132.88</v>
      </c>
      <c r="GP292" s="2">
        <f t="shared" si="266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267"/>
        <v>0</v>
      </c>
      <c r="GW292" s="2">
        <v>1</v>
      </c>
      <c r="GX292" s="2">
        <f t="shared" si="268"/>
        <v>0</v>
      </c>
      <c r="GY292" s="2"/>
      <c r="GZ292" s="2"/>
      <c r="HA292" s="2">
        <v>0</v>
      </c>
      <c r="HB292" s="2">
        <v>0</v>
      </c>
      <c r="HC292" s="2">
        <f t="shared" si="269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3">
      <c r="A293" s="3">
        <v>17</v>
      </c>
      <c r="B293" s="3">
        <v>1</v>
      </c>
      <c r="C293" s="3"/>
      <c r="D293" s="3">
        <f>ROW(EtalonRes!A232)</f>
        <v>232</v>
      </c>
      <c r="E293" s="3" t="s">
        <v>306</v>
      </c>
      <c r="F293" s="3" t="s">
        <v>307</v>
      </c>
      <c r="G293" s="3" t="s">
        <v>308</v>
      </c>
      <c r="H293" s="3" t="s">
        <v>281</v>
      </c>
      <c r="I293" s="3">
        <f>ROUND((500+18600+970-8440*2)/100,9)</f>
        <v>31.9</v>
      </c>
      <c r="J293" s="3">
        <v>0</v>
      </c>
      <c r="K293" s="3">
        <f>ROUND((500+18600+970-8440*2)/100,9)</f>
        <v>31.9</v>
      </c>
      <c r="L293" s="3"/>
      <c r="M293" s="3"/>
      <c r="N293" s="3"/>
      <c r="O293" s="3">
        <f t="shared" si="238"/>
        <v>111243.57</v>
      </c>
      <c r="P293" s="3">
        <f t="shared" si="239"/>
        <v>2168.16</v>
      </c>
      <c r="Q293" s="3">
        <f>(ROUND((ROUND((((ET293*1.1))*AV293*I293),2)*BB293),2)+ROUND((ROUND(((AE293-((EU293*1.1)))*AV293*I293),2)*BS293),2))</f>
        <v>0</v>
      </c>
      <c r="R293" s="3">
        <f t="shared" si="240"/>
        <v>0</v>
      </c>
      <c r="S293" s="3">
        <f t="shared" si="241"/>
        <v>109075.41</v>
      </c>
      <c r="T293" s="3">
        <f t="shared" si="242"/>
        <v>0</v>
      </c>
      <c r="U293" s="3">
        <f t="shared" si="243"/>
        <v>167.16349649999998</v>
      </c>
      <c r="V293" s="3">
        <f t="shared" si="244"/>
        <v>0</v>
      </c>
      <c r="W293" s="3">
        <f t="shared" si="245"/>
        <v>0</v>
      </c>
      <c r="X293" s="3">
        <f t="shared" si="246"/>
        <v>98167.87</v>
      </c>
      <c r="Y293" s="3">
        <f t="shared" si="247"/>
        <v>50174.69</v>
      </c>
      <c r="Z293" s="3"/>
      <c r="AA293" s="3">
        <v>56505405</v>
      </c>
      <c r="AB293" s="3">
        <f t="shared" si="248"/>
        <v>73.549000000000007</v>
      </c>
      <c r="AC293" s="3">
        <f t="shared" si="249"/>
        <v>14.16</v>
      </c>
      <c r="AD293" s="3">
        <f>ROUND(((((ET293*1.1))-((EU293*1.1)))+AE293),6)</f>
        <v>0</v>
      </c>
      <c r="AE293" s="3">
        <f>ROUND(((EU293*1.1)),6)</f>
        <v>0</v>
      </c>
      <c r="AF293" s="3">
        <f>ROUND(((EV293*1.1)),6)</f>
        <v>59.389000000000003</v>
      </c>
      <c r="AG293" s="3">
        <f t="shared" si="250"/>
        <v>0</v>
      </c>
      <c r="AH293" s="3">
        <f>((EW293*1.1))</f>
        <v>5.0049999999999999</v>
      </c>
      <c r="AI293" s="3">
        <f>((EX293*1.1))</f>
        <v>0</v>
      </c>
      <c r="AJ293" s="3">
        <f t="shared" si="251"/>
        <v>0</v>
      </c>
      <c r="AK293" s="3">
        <v>68.150000000000006</v>
      </c>
      <c r="AL293" s="3">
        <v>14.16</v>
      </c>
      <c r="AM293" s="3">
        <v>0</v>
      </c>
      <c r="AN293" s="3">
        <v>0</v>
      </c>
      <c r="AO293" s="3">
        <v>53.99</v>
      </c>
      <c r="AP293" s="3">
        <v>0</v>
      </c>
      <c r="AQ293" s="3">
        <v>4.55</v>
      </c>
      <c r="AR293" s="3">
        <v>0</v>
      </c>
      <c r="AS293" s="3">
        <v>0</v>
      </c>
      <c r="AT293" s="3">
        <v>90</v>
      </c>
      <c r="AU293" s="3">
        <v>46</v>
      </c>
      <c r="AV293" s="3">
        <v>1.0469999999999999</v>
      </c>
      <c r="AW293" s="3">
        <v>1</v>
      </c>
      <c r="AX293" s="3"/>
      <c r="AY293" s="3"/>
      <c r="AZ293" s="3">
        <v>1</v>
      </c>
      <c r="BA293" s="3">
        <v>54.99</v>
      </c>
      <c r="BB293" s="3">
        <v>1</v>
      </c>
      <c r="BC293" s="3">
        <v>4.8</v>
      </c>
      <c r="BD293" s="3" t="s">
        <v>3</v>
      </c>
      <c r="BE293" s="3" t="s">
        <v>3</v>
      </c>
      <c r="BF293" s="3" t="s">
        <v>3</v>
      </c>
      <c r="BG293" s="3" t="s">
        <v>3</v>
      </c>
      <c r="BH293" s="3">
        <v>0</v>
      </c>
      <c r="BI293" s="3">
        <v>2</v>
      </c>
      <c r="BJ293" s="3" t="s">
        <v>309</v>
      </c>
      <c r="BK293" s="3"/>
      <c r="BL293" s="3"/>
      <c r="BM293" s="3">
        <v>68</v>
      </c>
      <c r="BN293" s="3">
        <v>0</v>
      </c>
      <c r="BO293" s="3" t="s">
        <v>307</v>
      </c>
      <c r="BP293" s="3">
        <v>1</v>
      </c>
      <c r="BQ293" s="3">
        <v>40</v>
      </c>
      <c r="BR293" s="3">
        <v>0</v>
      </c>
      <c r="BS293" s="3">
        <v>54.99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 t="s">
        <v>3</v>
      </c>
      <c r="BZ293" s="3">
        <v>90</v>
      </c>
      <c r="CA293" s="3">
        <v>46</v>
      </c>
      <c r="CB293" s="3" t="s">
        <v>3</v>
      </c>
      <c r="CC293" s="3"/>
      <c r="CD293" s="3"/>
      <c r="CE293" s="3">
        <v>30</v>
      </c>
      <c r="CF293" s="3">
        <v>0</v>
      </c>
      <c r="CG293" s="3">
        <v>0</v>
      </c>
      <c r="CH293" s="3"/>
      <c r="CI293" s="3"/>
      <c r="CJ293" s="3"/>
      <c r="CK293" s="3"/>
      <c r="CL293" s="3"/>
      <c r="CM293" s="3">
        <v>0</v>
      </c>
      <c r="CN293" s="3" t="s">
        <v>3</v>
      </c>
      <c r="CO293" s="3">
        <v>0</v>
      </c>
      <c r="CP293" s="3">
        <f t="shared" si="252"/>
        <v>111243.57</v>
      </c>
      <c r="CQ293" s="3">
        <f t="shared" si="253"/>
        <v>67.97</v>
      </c>
      <c r="CR293" s="3">
        <f>(ROUND((ROUND((((ET293*1.1))*AV293*1),2)*BB293),2)+ROUND((ROUND(((AE293-((EU293*1.1)))*AV293*1),2)*BS293),2))</f>
        <v>0</v>
      </c>
      <c r="CS293" s="3">
        <f t="shared" si="254"/>
        <v>0</v>
      </c>
      <c r="CT293" s="3">
        <f t="shared" si="255"/>
        <v>3419.28</v>
      </c>
      <c r="CU293" s="3">
        <f t="shared" si="256"/>
        <v>0</v>
      </c>
      <c r="CV293" s="3">
        <f t="shared" si="257"/>
        <v>5.2402349999999993</v>
      </c>
      <c r="CW293" s="3">
        <f t="shared" si="258"/>
        <v>0</v>
      </c>
      <c r="CX293" s="3">
        <f t="shared" si="259"/>
        <v>0</v>
      </c>
      <c r="CY293" s="3">
        <f t="shared" si="260"/>
        <v>98167.869000000006</v>
      </c>
      <c r="CZ293" s="3">
        <f t="shared" si="261"/>
        <v>50174.688600000001</v>
      </c>
      <c r="DA293" s="3"/>
      <c r="DB293" s="3"/>
      <c r="DC293" s="3" t="s">
        <v>3</v>
      </c>
      <c r="DD293" s="3" t="s">
        <v>3</v>
      </c>
      <c r="DE293" s="3" t="s">
        <v>24</v>
      </c>
      <c r="DF293" s="3" t="s">
        <v>24</v>
      </c>
      <c r="DG293" s="3" t="s">
        <v>24</v>
      </c>
      <c r="DH293" s="3" t="s">
        <v>3</v>
      </c>
      <c r="DI293" s="3" t="s">
        <v>24</v>
      </c>
      <c r="DJ293" s="3" t="s">
        <v>24</v>
      </c>
      <c r="DK293" s="3" t="s">
        <v>3</v>
      </c>
      <c r="DL293" s="3" t="s">
        <v>3</v>
      </c>
      <c r="DM293" s="3" t="s">
        <v>3</v>
      </c>
      <c r="DN293" s="3">
        <v>0</v>
      </c>
      <c r="DO293" s="3">
        <v>0</v>
      </c>
      <c r="DP293" s="3">
        <v>1</v>
      </c>
      <c r="DQ293" s="3">
        <v>1</v>
      </c>
      <c r="DR293" s="3"/>
      <c r="DS293" s="3"/>
      <c r="DT293" s="3"/>
      <c r="DU293" s="3">
        <v>1003</v>
      </c>
      <c r="DV293" s="3" t="s">
        <v>281</v>
      </c>
      <c r="DW293" s="3" t="s">
        <v>281</v>
      </c>
      <c r="DX293" s="3">
        <v>100</v>
      </c>
      <c r="DY293" s="3"/>
      <c r="DZ293" s="3" t="s">
        <v>3</v>
      </c>
      <c r="EA293" s="3" t="s">
        <v>3</v>
      </c>
      <c r="EB293" s="3" t="s">
        <v>3</v>
      </c>
      <c r="EC293" s="3" t="s">
        <v>3</v>
      </c>
      <c r="ED293" s="3"/>
      <c r="EE293" s="3">
        <v>58162630</v>
      </c>
      <c r="EF293" s="3">
        <v>40</v>
      </c>
      <c r="EG293" s="3" t="s">
        <v>25</v>
      </c>
      <c r="EH293" s="3">
        <v>0</v>
      </c>
      <c r="EI293" s="3" t="s">
        <v>3</v>
      </c>
      <c r="EJ293" s="3">
        <v>2</v>
      </c>
      <c r="EK293" s="3">
        <v>68</v>
      </c>
      <c r="EL293" s="3" t="s">
        <v>26</v>
      </c>
      <c r="EM293" s="3" t="s">
        <v>27</v>
      </c>
      <c r="EN293" s="3"/>
      <c r="EO293" s="3" t="s">
        <v>28</v>
      </c>
      <c r="EP293" s="3"/>
      <c r="EQ293" s="3">
        <v>0</v>
      </c>
      <c r="ER293" s="3">
        <v>68.150000000000006</v>
      </c>
      <c r="ES293" s="3">
        <v>14.16</v>
      </c>
      <c r="ET293" s="3">
        <v>0</v>
      </c>
      <c r="EU293" s="3">
        <v>0</v>
      </c>
      <c r="EV293" s="3">
        <v>53.99</v>
      </c>
      <c r="EW293" s="3">
        <v>4.55</v>
      </c>
      <c r="EX293" s="3">
        <v>0</v>
      </c>
      <c r="EY293" s="3">
        <v>0</v>
      </c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>
        <v>0</v>
      </c>
      <c r="FR293" s="3">
        <v>0</v>
      </c>
      <c r="FS293" s="3">
        <v>0</v>
      </c>
      <c r="FT293" s="3"/>
      <c r="FU293" s="3"/>
      <c r="FV293" s="3"/>
      <c r="FW293" s="3"/>
      <c r="FX293" s="3">
        <v>90</v>
      </c>
      <c r="FY293" s="3">
        <v>46</v>
      </c>
      <c r="FZ293" s="3"/>
      <c r="GA293" s="3" t="s">
        <v>3</v>
      </c>
      <c r="GB293" s="3"/>
      <c r="GC293" s="3"/>
      <c r="GD293" s="3">
        <v>1</v>
      </c>
      <c r="GE293" s="3"/>
      <c r="GF293" s="3">
        <v>1253693826</v>
      </c>
      <c r="GG293" s="3">
        <v>2</v>
      </c>
      <c r="GH293" s="3">
        <v>1</v>
      </c>
      <c r="GI293" s="3">
        <v>2</v>
      </c>
      <c r="GJ293" s="3">
        <v>0</v>
      </c>
      <c r="GK293" s="3">
        <v>0</v>
      </c>
      <c r="GL293" s="3">
        <f t="shared" si="262"/>
        <v>0</v>
      </c>
      <c r="GM293" s="3">
        <f t="shared" si="263"/>
        <v>259586.13</v>
      </c>
      <c r="GN293" s="3">
        <f t="shared" si="264"/>
        <v>0</v>
      </c>
      <c r="GO293" s="3">
        <f t="shared" si="265"/>
        <v>259586.13</v>
      </c>
      <c r="GP293" s="3">
        <f t="shared" si="266"/>
        <v>0</v>
      </c>
      <c r="GQ293" s="3"/>
      <c r="GR293" s="3">
        <v>0</v>
      </c>
      <c r="GS293" s="3">
        <v>3</v>
      </c>
      <c r="GT293" s="3">
        <v>0</v>
      </c>
      <c r="GU293" s="3" t="s">
        <v>3</v>
      </c>
      <c r="GV293" s="3">
        <f t="shared" si="267"/>
        <v>0</v>
      </c>
      <c r="GW293" s="3">
        <v>1</v>
      </c>
      <c r="GX293" s="3">
        <f t="shared" si="268"/>
        <v>0</v>
      </c>
      <c r="GY293" s="3"/>
      <c r="GZ293" s="3"/>
      <c r="HA293" s="3">
        <v>0</v>
      </c>
      <c r="HB293" s="3">
        <v>0</v>
      </c>
      <c r="HC293" s="3">
        <f t="shared" si="269"/>
        <v>0</v>
      </c>
      <c r="HD293" s="3"/>
      <c r="HE293" s="3" t="s">
        <v>3</v>
      </c>
      <c r="HF293" s="3" t="s">
        <v>3</v>
      </c>
      <c r="HG293" s="3"/>
      <c r="HH293" s="3"/>
      <c r="HI293" s="3"/>
      <c r="HJ293" s="3"/>
      <c r="HK293" s="3"/>
      <c r="HL293" s="3"/>
      <c r="HM293" s="3" t="s">
        <v>3</v>
      </c>
      <c r="HN293" s="3" t="s">
        <v>3</v>
      </c>
      <c r="HO293" s="3" t="s">
        <v>3</v>
      </c>
      <c r="HP293" s="3" t="s">
        <v>3</v>
      </c>
      <c r="HQ293" s="3" t="s">
        <v>3</v>
      </c>
      <c r="HR293" s="3"/>
      <c r="HS293" s="3">
        <v>0</v>
      </c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>
        <v>0</v>
      </c>
      <c r="IL293" s="3"/>
      <c r="IM293" s="3"/>
      <c r="IN293" s="3"/>
      <c r="IO293" s="3"/>
      <c r="IP293" s="3"/>
      <c r="IQ293" s="3"/>
      <c r="IR293" s="3"/>
      <c r="IS293" s="3"/>
      <c r="IT293" s="3"/>
      <c r="IU293" s="3"/>
    </row>
    <row r="294" spans="1:255" x14ac:dyDescent="0.3">
      <c r="A294" s="2">
        <v>18</v>
      </c>
      <c r="B294" s="2">
        <v>1</v>
      </c>
      <c r="C294" s="2"/>
      <c r="D294" s="2"/>
      <c r="E294" s="2" t="s">
        <v>310</v>
      </c>
      <c r="F294" s="2" t="s">
        <v>311</v>
      </c>
      <c r="G294" s="2" t="s">
        <v>312</v>
      </c>
      <c r="H294" s="2" t="s">
        <v>295</v>
      </c>
      <c r="I294" s="2">
        <f>I292*J294</f>
        <v>0.51</v>
      </c>
      <c r="J294" s="2">
        <v>1.5987460815047021E-2</v>
      </c>
      <c r="K294" s="2">
        <v>1.5987459999999998E-2</v>
      </c>
      <c r="L294" s="2"/>
      <c r="M294" s="2"/>
      <c r="N294" s="2"/>
      <c r="O294" s="2">
        <f t="shared" si="238"/>
        <v>3516.09</v>
      </c>
      <c r="P294" s="2">
        <f t="shared" si="239"/>
        <v>3516.09</v>
      </c>
      <c r="Q294" s="2">
        <f t="shared" ref="Q294:Q305" si="282">(ROUND((ROUND(((ET294)*AV294*I294),2)*BB294),2)+ROUND((ROUND(((AE294-(EU294))*AV294*I294),2)*BS294),2))</f>
        <v>0</v>
      </c>
      <c r="R294" s="2">
        <f t="shared" si="240"/>
        <v>0</v>
      </c>
      <c r="S294" s="2">
        <f t="shared" si="241"/>
        <v>0</v>
      </c>
      <c r="T294" s="2">
        <f t="shared" si="242"/>
        <v>0</v>
      </c>
      <c r="U294" s="2">
        <f t="shared" si="243"/>
        <v>0</v>
      </c>
      <c r="V294" s="2">
        <f t="shared" si="244"/>
        <v>0</v>
      </c>
      <c r="W294" s="2">
        <f t="shared" si="245"/>
        <v>0</v>
      </c>
      <c r="X294" s="2">
        <f t="shared" si="246"/>
        <v>0</v>
      </c>
      <c r="Y294" s="2">
        <f t="shared" si="247"/>
        <v>0</v>
      </c>
      <c r="Z294" s="2"/>
      <c r="AA294" s="2">
        <v>56505403</v>
      </c>
      <c r="AB294" s="2">
        <f t="shared" si="248"/>
        <v>6894.29</v>
      </c>
      <c r="AC294" s="2">
        <f t="shared" si="249"/>
        <v>6894.29</v>
      </c>
      <c r="AD294" s="2">
        <f t="shared" ref="AD294:AD305" si="283">ROUND((((ET294)-(EU294))+AE294),6)</f>
        <v>0</v>
      </c>
      <c r="AE294" s="2">
        <f t="shared" ref="AE294:AE305" si="284">ROUND((EU294),6)</f>
        <v>0</v>
      </c>
      <c r="AF294" s="2">
        <f t="shared" ref="AF294:AF305" si="285">ROUND((EV294),6)</f>
        <v>0</v>
      </c>
      <c r="AG294" s="2">
        <f t="shared" si="250"/>
        <v>0</v>
      </c>
      <c r="AH294" s="2">
        <f t="shared" ref="AH294:AH305" si="286">(EW294)</f>
        <v>0</v>
      </c>
      <c r="AI294" s="2">
        <f t="shared" ref="AI294:AI305" si="287">(EX294)</f>
        <v>0</v>
      </c>
      <c r="AJ294" s="2">
        <f t="shared" si="251"/>
        <v>0</v>
      </c>
      <c r="AK294" s="2">
        <v>6894.29</v>
      </c>
      <c r="AL294" s="2">
        <v>6894.29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90</v>
      </c>
      <c r="AU294" s="2">
        <v>46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2</v>
      </c>
      <c r="BJ294" s="2" t="s">
        <v>3</v>
      </c>
      <c r="BK294" s="2"/>
      <c r="BL294" s="2"/>
      <c r="BM294" s="2">
        <v>68</v>
      </c>
      <c r="BN294" s="2">
        <v>0</v>
      </c>
      <c r="BO294" s="2" t="s">
        <v>3</v>
      </c>
      <c r="BP294" s="2">
        <v>0</v>
      </c>
      <c r="BQ294" s="2">
        <v>40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90</v>
      </c>
      <c r="CA294" s="2">
        <v>46</v>
      </c>
      <c r="CB294" s="2" t="s">
        <v>3</v>
      </c>
      <c r="CC294" s="2"/>
      <c r="CD294" s="2"/>
      <c r="CE294" s="2">
        <v>30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3</v>
      </c>
      <c r="CO294" s="2">
        <v>0</v>
      </c>
      <c r="CP294" s="2">
        <f t="shared" si="252"/>
        <v>3516.09</v>
      </c>
      <c r="CQ294" s="2">
        <f t="shared" si="253"/>
        <v>6894.29</v>
      </c>
      <c r="CR294" s="2">
        <f t="shared" ref="CR294:CR305" si="288">(ROUND((ROUND(((ET294)*AV294*1),2)*BB294),2)+ROUND((ROUND(((AE294-(EU294))*AV294*1),2)*BS294),2))</f>
        <v>0</v>
      </c>
      <c r="CS294" s="2">
        <f t="shared" si="254"/>
        <v>0</v>
      </c>
      <c r="CT294" s="2">
        <f t="shared" si="255"/>
        <v>0</v>
      </c>
      <c r="CU294" s="2">
        <f t="shared" si="256"/>
        <v>0</v>
      </c>
      <c r="CV294" s="2">
        <f t="shared" si="257"/>
        <v>0</v>
      </c>
      <c r="CW294" s="2">
        <f t="shared" si="258"/>
        <v>0</v>
      </c>
      <c r="CX294" s="2">
        <f t="shared" si="259"/>
        <v>0</v>
      </c>
      <c r="CY294" s="2">
        <f t="shared" si="260"/>
        <v>0</v>
      </c>
      <c r="CZ294" s="2">
        <f t="shared" si="261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1003</v>
      </c>
      <c r="DV294" s="2" t="s">
        <v>295</v>
      </c>
      <c r="DW294" s="2" t="s">
        <v>295</v>
      </c>
      <c r="DX294" s="2">
        <v>1000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58162630</v>
      </c>
      <c r="EF294" s="2">
        <v>40</v>
      </c>
      <c r="EG294" s="2" t="s">
        <v>25</v>
      </c>
      <c r="EH294" s="2">
        <v>0</v>
      </c>
      <c r="EI294" s="2" t="s">
        <v>3</v>
      </c>
      <c r="EJ294" s="2">
        <v>2</v>
      </c>
      <c r="EK294" s="2">
        <v>68</v>
      </c>
      <c r="EL294" s="2" t="s">
        <v>26</v>
      </c>
      <c r="EM294" s="2" t="s">
        <v>27</v>
      </c>
      <c r="EN294" s="2"/>
      <c r="EO294" s="2" t="s">
        <v>3</v>
      </c>
      <c r="EP294" s="2"/>
      <c r="EQ294" s="2">
        <v>0</v>
      </c>
      <c r="ER294" s="2">
        <v>0</v>
      </c>
      <c r="ES294" s="2">
        <v>6894.29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90</v>
      </c>
      <c r="FY294" s="2">
        <v>46</v>
      </c>
      <c r="FZ294" s="2"/>
      <c r="GA294" s="2" t="s">
        <v>313</v>
      </c>
      <c r="GB294" s="2"/>
      <c r="GC294" s="2"/>
      <c r="GD294" s="2">
        <v>1</v>
      </c>
      <c r="GE294" s="2"/>
      <c r="GF294" s="2">
        <v>-1613205353</v>
      </c>
      <c r="GG294" s="2">
        <v>2</v>
      </c>
      <c r="GH294" s="2">
        <v>4</v>
      </c>
      <c r="GI294" s="2">
        <v>-2</v>
      </c>
      <c r="GJ294" s="2">
        <v>0</v>
      </c>
      <c r="GK294" s="2">
        <v>0</v>
      </c>
      <c r="GL294" s="2">
        <f t="shared" si="262"/>
        <v>0</v>
      </c>
      <c r="GM294" s="2">
        <f t="shared" si="263"/>
        <v>3516.09</v>
      </c>
      <c r="GN294" s="2">
        <f t="shared" si="264"/>
        <v>0</v>
      </c>
      <c r="GO294" s="2">
        <f t="shared" si="265"/>
        <v>3516.09</v>
      </c>
      <c r="GP294" s="2">
        <f t="shared" si="266"/>
        <v>0</v>
      </c>
      <c r="GQ294" s="2"/>
      <c r="GR294" s="2">
        <v>0</v>
      </c>
      <c r="GS294" s="2">
        <v>2</v>
      </c>
      <c r="GT294" s="2">
        <v>0</v>
      </c>
      <c r="GU294" s="2" t="s">
        <v>3</v>
      </c>
      <c r="GV294" s="2">
        <f t="shared" si="267"/>
        <v>0</v>
      </c>
      <c r="GW294" s="2">
        <v>1</v>
      </c>
      <c r="GX294" s="2">
        <f t="shared" si="268"/>
        <v>0</v>
      </c>
      <c r="GY294" s="2"/>
      <c r="GZ294" s="2"/>
      <c r="HA294" s="2">
        <v>0</v>
      </c>
      <c r="HB294" s="2">
        <v>0</v>
      </c>
      <c r="HC294" s="2">
        <f t="shared" si="269"/>
        <v>0</v>
      </c>
      <c r="HD294" s="2"/>
      <c r="HE294" s="2" t="s">
        <v>34</v>
      </c>
      <c r="HF294" s="2" t="s">
        <v>35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3">
      <c r="A295" s="3">
        <v>18</v>
      </c>
      <c r="B295" s="3">
        <v>1</v>
      </c>
      <c r="C295" s="3"/>
      <c r="D295" s="3"/>
      <c r="E295" s="3" t="s">
        <v>310</v>
      </c>
      <c r="F295" s="3" t="s">
        <v>311</v>
      </c>
      <c r="G295" s="3" t="s">
        <v>312</v>
      </c>
      <c r="H295" s="3" t="s">
        <v>295</v>
      </c>
      <c r="I295" s="3">
        <f>I293*J295</f>
        <v>0.51</v>
      </c>
      <c r="J295" s="3">
        <v>1.5987460815047021E-2</v>
      </c>
      <c r="K295" s="3">
        <v>1.5987459999999998E-2</v>
      </c>
      <c r="L295" s="3"/>
      <c r="M295" s="3"/>
      <c r="N295" s="3"/>
      <c r="O295" s="3">
        <f t="shared" si="238"/>
        <v>34738.97</v>
      </c>
      <c r="P295" s="3">
        <f t="shared" si="239"/>
        <v>34738.97</v>
      </c>
      <c r="Q295" s="3">
        <f t="shared" si="282"/>
        <v>0</v>
      </c>
      <c r="R295" s="3">
        <f t="shared" si="240"/>
        <v>0</v>
      </c>
      <c r="S295" s="3">
        <f t="shared" si="241"/>
        <v>0</v>
      </c>
      <c r="T295" s="3">
        <f t="shared" si="242"/>
        <v>0</v>
      </c>
      <c r="U295" s="3">
        <f t="shared" si="243"/>
        <v>0</v>
      </c>
      <c r="V295" s="3">
        <f t="shared" si="244"/>
        <v>0</v>
      </c>
      <c r="W295" s="3">
        <f t="shared" si="245"/>
        <v>0</v>
      </c>
      <c r="X295" s="3">
        <f t="shared" si="246"/>
        <v>0</v>
      </c>
      <c r="Y295" s="3">
        <f t="shared" si="247"/>
        <v>0</v>
      </c>
      <c r="Z295" s="3"/>
      <c r="AA295" s="3">
        <v>56505405</v>
      </c>
      <c r="AB295" s="3">
        <f t="shared" si="248"/>
        <v>6894.29</v>
      </c>
      <c r="AC295" s="3">
        <f t="shared" si="249"/>
        <v>6894.29</v>
      </c>
      <c r="AD295" s="3">
        <f t="shared" si="283"/>
        <v>0</v>
      </c>
      <c r="AE295" s="3">
        <f t="shared" si="284"/>
        <v>0</v>
      </c>
      <c r="AF295" s="3">
        <f t="shared" si="285"/>
        <v>0</v>
      </c>
      <c r="AG295" s="3">
        <f t="shared" si="250"/>
        <v>0</v>
      </c>
      <c r="AH295" s="3">
        <f t="shared" si="286"/>
        <v>0</v>
      </c>
      <c r="AI295" s="3">
        <f t="shared" si="287"/>
        <v>0</v>
      </c>
      <c r="AJ295" s="3">
        <f t="shared" si="251"/>
        <v>0</v>
      </c>
      <c r="AK295" s="3">
        <v>6894.29</v>
      </c>
      <c r="AL295" s="3">
        <v>6894.29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90</v>
      </c>
      <c r="AU295" s="3">
        <v>46</v>
      </c>
      <c r="AV295" s="3">
        <v>1</v>
      </c>
      <c r="AW295" s="3">
        <v>1</v>
      </c>
      <c r="AX295" s="3"/>
      <c r="AY295" s="3"/>
      <c r="AZ295" s="3">
        <v>1</v>
      </c>
      <c r="BA295" s="3">
        <v>1</v>
      </c>
      <c r="BB295" s="3">
        <v>1</v>
      </c>
      <c r="BC295" s="3">
        <v>9.8800000000000008</v>
      </c>
      <c r="BD295" s="3" t="s">
        <v>3</v>
      </c>
      <c r="BE295" s="3" t="s">
        <v>3</v>
      </c>
      <c r="BF295" s="3" t="s">
        <v>3</v>
      </c>
      <c r="BG295" s="3" t="s">
        <v>3</v>
      </c>
      <c r="BH295" s="3">
        <v>3</v>
      </c>
      <c r="BI295" s="3">
        <v>2</v>
      </c>
      <c r="BJ295" s="3" t="s">
        <v>3</v>
      </c>
      <c r="BK295" s="3"/>
      <c r="BL295" s="3"/>
      <c r="BM295" s="3">
        <v>68</v>
      </c>
      <c r="BN295" s="3">
        <v>0</v>
      </c>
      <c r="BO295" s="3" t="s">
        <v>3</v>
      </c>
      <c r="BP295" s="3">
        <v>0</v>
      </c>
      <c r="BQ295" s="3">
        <v>40</v>
      </c>
      <c r="BR295" s="3">
        <v>0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 t="s">
        <v>3</v>
      </c>
      <c r="BZ295" s="3">
        <v>90</v>
      </c>
      <c r="CA295" s="3">
        <v>46</v>
      </c>
      <c r="CB295" s="3" t="s">
        <v>3</v>
      </c>
      <c r="CC295" s="3"/>
      <c r="CD295" s="3"/>
      <c r="CE295" s="3">
        <v>30</v>
      </c>
      <c r="CF295" s="3">
        <v>0</v>
      </c>
      <c r="CG295" s="3">
        <v>0</v>
      </c>
      <c r="CH295" s="3"/>
      <c r="CI295" s="3"/>
      <c r="CJ295" s="3"/>
      <c r="CK295" s="3"/>
      <c r="CL295" s="3"/>
      <c r="CM295" s="3">
        <v>0</v>
      </c>
      <c r="CN295" s="3" t="s">
        <v>3</v>
      </c>
      <c r="CO295" s="3">
        <v>0</v>
      </c>
      <c r="CP295" s="3">
        <f t="shared" si="252"/>
        <v>34738.97</v>
      </c>
      <c r="CQ295" s="3">
        <f t="shared" si="253"/>
        <v>68115.59</v>
      </c>
      <c r="CR295" s="3">
        <f t="shared" si="288"/>
        <v>0</v>
      </c>
      <c r="CS295" s="3">
        <f t="shared" si="254"/>
        <v>0</v>
      </c>
      <c r="CT295" s="3">
        <f t="shared" si="255"/>
        <v>0</v>
      </c>
      <c r="CU295" s="3">
        <f t="shared" si="256"/>
        <v>0</v>
      </c>
      <c r="CV295" s="3">
        <f t="shared" si="257"/>
        <v>0</v>
      </c>
      <c r="CW295" s="3">
        <f t="shared" si="258"/>
        <v>0</v>
      </c>
      <c r="CX295" s="3">
        <f t="shared" si="259"/>
        <v>0</v>
      </c>
      <c r="CY295" s="3">
        <f t="shared" si="260"/>
        <v>0</v>
      </c>
      <c r="CZ295" s="3">
        <f t="shared" si="261"/>
        <v>0</v>
      </c>
      <c r="DA295" s="3"/>
      <c r="DB295" s="3"/>
      <c r="DC295" s="3" t="s">
        <v>3</v>
      </c>
      <c r="DD295" s="3" t="s">
        <v>3</v>
      </c>
      <c r="DE295" s="3" t="s">
        <v>3</v>
      </c>
      <c r="DF295" s="3" t="s">
        <v>3</v>
      </c>
      <c r="DG295" s="3" t="s">
        <v>3</v>
      </c>
      <c r="DH295" s="3" t="s">
        <v>3</v>
      </c>
      <c r="DI295" s="3" t="s">
        <v>3</v>
      </c>
      <c r="DJ295" s="3" t="s">
        <v>3</v>
      </c>
      <c r="DK295" s="3" t="s">
        <v>3</v>
      </c>
      <c r="DL295" s="3" t="s">
        <v>3</v>
      </c>
      <c r="DM295" s="3" t="s">
        <v>3</v>
      </c>
      <c r="DN295" s="3">
        <v>0</v>
      </c>
      <c r="DO295" s="3">
        <v>0</v>
      </c>
      <c r="DP295" s="3">
        <v>1</v>
      </c>
      <c r="DQ295" s="3">
        <v>1</v>
      </c>
      <c r="DR295" s="3"/>
      <c r="DS295" s="3"/>
      <c r="DT295" s="3"/>
      <c r="DU295" s="3">
        <v>1003</v>
      </c>
      <c r="DV295" s="3" t="s">
        <v>295</v>
      </c>
      <c r="DW295" s="3" t="s">
        <v>295</v>
      </c>
      <c r="DX295" s="3">
        <v>1000</v>
      </c>
      <c r="DY295" s="3"/>
      <c r="DZ295" s="3" t="s">
        <v>3</v>
      </c>
      <c r="EA295" s="3" t="s">
        <v>3</v>
      </c>
      <c r="EB295" s="3" t="s">
        <v>3</v>
      </c>
      <c r="EC295" s="3" t="s">
        <v>3</v>
      </c>
      <c r="ED295" s="3"/>
      <c r="EE295" s="3">
        <v>58162630</v>
      </c>
      <c r="EF295" s="3">
        <v>40</v>
      </c>
      <c r="EG295" s="3" t="s">
        <v>25</v>
      </c>
      <c r="EH295" s="3">
        <v>0</v>
      </c>
      <c r="EI295" s="3" t="s">
        <v>3</v>
      </c>
      <c r="EJ295" s="3">
        <v>2</v>
      </c>
      <c r="EK295" s="3">
        <v>68</v>
      </c>
      <c r="EL295" s="3" t="s">
        <v>26</v>
      </c>
      <c r="EM295" s="3" t="s">
        <v>27</v>
      </c>
      <c r="EN295" s="3"/>
      <c r="EO295" s="3" t="s">
        <v>3</v>
      </c>
      <c r="EP295" s="3"/>
      <c r="EQ295" s="3">
        <v>0</v>
      </c>
      <c r="ER295" s="3">
        <v>6894.29</v>
      </c>
      <c r="ES295" s="3">
        <v>6894.29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/>
      <c r="EZ295" s="3">
        <v>5</v>
      </c>
      <c r="FA295" s="3"/>
      <c r="FB295" s="3"/>
      <c r="FC295" s="3">
        <v>1</v>
      </c>
      <c r="FD295" s="3">
        <v>18</v>
      </c>
      <c r="FE295" s="3"/>
      <c r="FF295" s="3">
        <v>80136</v>
      </c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>
        <v>0</v>
      </c>
      <c r="FR295" s="3">
        <v>0</v>
      </c>
      <c r="FS295" s="3">
        <v>0</v>
      </c>
      <c r="FT295" s="3"/>
      <c r="FU295" s="3"/>
      <c r="FV295" s="3"/>
      <c r="FW295" s="3"/>
      <c r="FX295" s="3">
        <v>90</v>
      </c>
      <c r="FY295" s="3">
        <v>46</v>
      </c>
      <c r="FZ295" s="3"/>
      <c r="GA295" s="3" t="s">
        <v>313</v>
      </c>
      <c r="GB295" s="3"/>
      <c r="GC295" s="3"/>
      <c r="GD295" s="3">
        <v>1</v>
      </c>
      <c r="GE295" s="3"/>
      <c r="GF295" s="3">
        <v>-1613205353</v>
      </c>
      <c r="GG295" s="3">
        <v>2</v>
      </c>
      <c r="GH295" s="3">
        <v>3</v>
      </c>
      <c r="GI295" s="3">
        <v>5</v>
      </c>
      <c r="GJ295" s="3">
        <v>0</v>
      </c>
      <c r="GK295" s="3">
        <v>0</v>
      </c>
      <c r="GL295" s="3">
        <f t="shared" si="262"/>
        <v>0</v>
      </c>
      <c r="GM295" s="3">
        <f t="shared" si="263"/>
        <v>34738.97</v>
      </c>
      <c r="GN295" s="3">
        <f t="shared" si="264"/>
        <v>0</v>
      </c>
      <c r="GO295" s="3">
        <f t="shared" si="265"/>
        <v>34738.97</v>
      </c>
      <c r="GP295" s="3">
        <f t="shared" si="266"/>
        <v>0</v>
      </c>
      <c r="GQ295" s="3"/>
      <c r="GR295" s="3">
        <v>1</v>
      </c>
      <c r="GS295" s="3">
        <v>1</v>
      </c>
      <c r="GT295" s="3">
        <v>0</v>
      </c>
      <c r="GU295" s="3" t="s">
        <v>3</v>
      </c>
      <c r="GV295" s="3">
        <f t="shared" si="267"/>
        <v>0</v>
      </c>
      <c r="GW295" s="3">
        <v>1</v>
      </c>
      <c r="GX295" s="3">
        <f t="shared" si="268"/>
        <v>0</v>
      </c>
      <c r="GY295" s="3"/>
      <c r="GZ295" s="3"/>
      <c r="HA295" s="3">
        <v>0</v>
      </c>
      <c r="HB295" s="3">
        <v>0</v>
      </c>
      <c r="HC295" s="3">
        <f t="shared" si="269"/>
        <v>0</v>
      </c>
      <c r="HD295" s="3"/>
      <c r="HE295" s="3" t="s">
        <v>34</v>
      </c>
      <c r="HF295" s="3" t="s">
        <v>35</v>
      </c>
      <c r="HG295" s="3"/>
      <c r="HH295" s="3"/>
      <c r="HI295" s="3"/>
      <c r="HJ295" s="3"/>
      <c r="HK295" s="3"/>
      <c r="HL295" s="3"/>
      <c r="HM295" s="3" t="s">
        <v>3</v>
      </c>
      <c r="HN295" s="3" t="s">
        <v>3</v>
      </c>
      <c r="HO295" s="3" t="s">
        <v>3</v>
      </c>
      <c r="HP295" s="3" t="s">
        <v>3</v>
      </c>
      <c r="HQ295" s="3" t="s">
        <v>3</v>
      </c>
      <c r="HR295" s="3"/>
      <c r="HS295" s="3">
        <v>0</v>
      </c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>
        <v>0</v>
      </c>
      <c r="IL295" s="3"/>
      <c r="IM295" s="3"/>
      <c r="IN295" s="3"/>
      <c r="IO295" s="3"/>
      <c r="IP295" s="3"/>
      <c r="IQ295" s="3"/>
      <c r="IR295" s="3"/>
      <c r="IS295" s="3"/>
      <c r="IT295" s="3"/>
      <c r="IU295" s="3"/>
    </row>
    <row r="296" spans="1:255" x14ac:dyDescent="0.3">
      <c r="A296" s="2">
        <v>18</v>
      </c>
      <c r="B296" s="2">
        <v>1</v>
      </c>
      <c r="C296" s="2"/>
      <c r="D296" s="2"/>
      <c r="E296" s="2" t="s">
        <v>314</v>
      </c>
      <c r="F296" s="2" t="s">
        <v>293</v>
      </c>
      <c r="G296" s="2" t="s">
        <v>294</v>
      </c>
      <c r="H296" s="2" t="s">
        <v>295</v>
      </c>
      <c r="I296" s="2">
        <f>I292*J296</f>
        <v>1.7544</v>
      </c>
      <c r="J296" s="2">
        <v>5.4996865203761756E-2</v>
      </c>
      <c r="K296" s="2">
        <v>5.4996870000000003E-2</v>
      </c>
      <c r="L296" s="2"/>
      <c r="M296" s="2"/>
      <c r="N296" s="2"/>
      <c r="O296" s="2">
        <f t="shared" si="238"/>
        <v>7670.54</v>
      </c>
      <c r="P296" s="2">
        <f t="shared" si="239"/>
        <v>7670.54</v>
      </c>
      <c r="Q296" s="2">
        <f t="shared" si="282"/>
        <v>0</v>
      </c>
      <c r="R296" s="2">
        <f t="shared" si="240"/>
        <v>0</v>
      </c>
      <c r="S296" s="2">
        <f t="shared" si="241"/>
        <v>0</v>
      </c>
      <c r="T296" s="2">
        <f t="shared" si="242"/>
        <v>0</v>
      </c>
      <c r="U296" s="2">
        <f t="shared" si="243"/>
        <v>0</v>
      </c>
      <c r="V296" s="2">
        <f t="shared" si="244"/>
        <v>0</v>
      </c>
      <c r="W296" s="2">
        <f t="shared" si="245"/>
        <v>0</v>
      </c>
      <c r="X296" s="2">
        <f t="shared" si="246"/>
        <v>0</v>
      </c>
      <c r="Y296" s="2">
        <f t="shared" si="247"/>
        <v>0</v>
      </c>
      <c r="Z296" s="2"/>
      <c r="AA296" s="2">
        <v>56505403</v>
      </c>
      <c r="AB296" s="2">
        <f t="shared" si="248"/>
        <v>4372.17</v>
      </c>
      <c r="AC296" s="2">
        <f t="shared" si="249"/>
        <v>4372.17</v>
      </c>
      <c r="AD296" s="2">
        <f t="shared" si="283"/>
        <v>0</v>
      </c>
      <c r="AE296" s="2">
        <f t="shared" si="284"/>
        <v>0</v>
      </c>
      <c r="AF296" s="2">
        <f t="shared" si="285"/>
        <v>0</v>
      </c>
      <c r="AG296" s="2">
        <f t="shared" si="250"/>
        <v>0</v>
      </c>
      <c r="AH296" s="2">
        <f t="shared" si="286"/>
        <v>0</v>
      </c>
      <c r="AI296" s="2">
        <f t="shared" si="287"/>
        <v>0</v>
      </c>
      <c r="AJ296" s="2">
        <f t="shared" si="251"/>
        <v>0</v>
      </c>
      <c r="AK296" s="2">
        <v>4372.1699999999992</v>
      </c>
      <c r="AL296" s="2">
        <v>4372.1699999999992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90</v>
      </c>
      <c r="AU296" s="2">
        <v>46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2</v>
      </c>
      <c r="BJ296" s="2" t="s">
        <v>3</v>
      </c>
      <c r="BK296" s="2"/>
      <c r="BL296" s="2"/>
      <c r="BM296" s="2">
        <v>68</v>
      </c>
      <c r="BN296" s="2">
        <v>0</v>
      </c>
      <c r="BO296" s="2" t="s">
        <v>3</v>
      </c>
      <c r="BP296" s="2">
        <v>0</v>
      </c>
      <c r="BQ296" s="2">
        <v>40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90</v>
      </c>
      <c r="CA296" s="2">
        <v>46</v>
      </c>
      <c r="CB296" s="2" t="s">
        <v>3</v>
      </c>
      <c r="CC296" s="2"/>
      <c r="CD296" s="2"/>
      <c r="CE296" s="2">
        <v>30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3</v>
      </c>
      <c r="CO296" s="2">
        <v>0</v>
      </c>
      <c r="CP296" s="2">
        <f t="shared" si="252"/>
        <v>7670.54</v>
      </c>
      <c r="CQ296" s="2">
        <f t="shared" si="253"/>
        <v>4372.17</v>
      </c>
      <c r="CR296" s="2">
        <f t="shared" si="288"/>
        <v>0</v>
      </c>
      <c r="CS296" s="2">
        <f t="shared" si="254"/>
        <v>0</v>
      </c>
      <c r="CT296" s="2">
        <f t="shared" si="255"/>
        <v>0</v>
      </c>
      <c r="CU296" s="2">
        <f t="shared" si="256"/>
        <v>0</v>
      </c>
      <c r="CV296" s="2">
        <f t="shared" si="257"/>
        <v>0</v>
      </c>
      <c r="CW296" s="2">
        <f t="shared" si="258"/>
        <v>0</v>
      </c>
      <c r="CX296" s="2">
        <f t="shared" si="259"/>
        <v>0</v>
      </c>
      <c r="CY296" s="2">
        <f t="shared" si="260"/>
        <v>0</v>
      </c>
      <c r="CZ296" s="2">
        <f t="shared" si="261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1003</v>
      </c>
      <c r="DV296" s="2" t="s">
        <v>295</v>
      </c>
      <c r="DW296" s="2" t="s">
        <v>295</v>
      </c>
      <c r="DX296" s="2">
        <v>1000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58162630</v>
      </c>
      <c r="EF296" s="2">
        <v>40</v>
      </c>
      <c r="EG296" s="2" t="s">
        <v>25</v>
      </c>
      <c r="EH296" s="2">
        <v>0</v>
      </c>
      <c r="EI296" s="2" t="s">
        <v>3</v>
      </c>
      <c r="EJ296" s="2">
        <v>2</v>
      </c>
      <c r="EK296" s="2">
        <v>68</v>
      </c>
      <c r="EL296" s="2" t="s">
        <v>26</v>
      </c>
      <c r="EM296" s="2" t="s">
        <v>27</v>
      </c>
      <c r="EN296" s="2"/>
      <c r="EO296" s="2" t="s">
        <v>3</v>
      </c>
      <c r="EP296" s="2"/>
      <c r="EQ296" s="2">
        <v>0</v>
      </c>
      <c r="ER296" s="2">
        <v>0</v>
      </c>
      <c r="ES296" s="2">
        <v>4372.1699999999992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90</v>
      </c>
      <c r="FY296" s="2">
        <v>46</v>
      </c>
      <c r="FZ296" s="2"/>
      <c r="GA296" s="2" t="s">
        <v>296</v>
      </c>
      <c r="GB296" s="2"/>
      <c r="GC296" s="2"/>
      <c r="GD296" s="2">
        <v>1</v>
      </c>
      <c r="GE296" s="2"/>
      <c r="GF296" s="2">
        <v>-84156872</v>
      </c>
      <c r="GG296" s="2">
        <v>2</v>
      </c>
      <c r="GH296" s="2">
        <v>4</v>
      </c>
      <c r="GI296" s="2">
        <v>-2</v>
      </c>
      <c r="GJ296" s="2">
        <v>0</v>
      </c>
      <c r="GK296" s="2">
        <v>0</v>
      </c>
      <c r="GL296" s="2">
        <f t="shared" si="262"/>
        <v>0</v>
      </c>
      <c r="GM296" s="2">
        <f t="shared" si="263"/>
        <v>7670.54</v>
      </c>
      <c r="GN296" s="2">
        <f t="shared" si="264"/>
        <v>0</v>
      </c>
      <c r="GO296" s="2">
        <f t="shared" si="265"/>
        <v>7670.54</v>
      </c>
      <c r="GP296" s="2">
        <f t="shared" si="266"/>
        <v>0</v>
      </c>
      <c r="GQ296" s="2"/>
      <c r="GR296" s="2">
        <v>0</v>
      </c>
      <c r="GS296" s="2">
        <v>2</v>
      </c>
      <c r="GT296" s="2">
        <v>0</v>
      </c>
      <c r="GU296" s="2" t="s">
        <v>3</v>
      </c>
      <c r="GV296" s="2">
        <f t="shared" si="267"/>
        <v>0</v>
      </c>
      <c r="GW296" s="2">
        <v>1</v>
      </c>
      <c r="GX296" s="2">
        <f t="shared" si="268"/>
        <v>0</v>
      </c>
      <c r="GY296" s="2"/>
      <c r="GZ296" s="2"/>
      <c r="HA296" s="2">
        <v>0</v>
      </c>
      <c r="HB296" s="2">
        <v>0</v>
      </c>
      <c r="HC296" s="2">
        <f t="shared" si="269"/>
        <v>0</v>
      </c>
      <c r="HD296" s="2"/>
      <c r="HE296" s="2" t="s">
        <v>34</v>
      </c>
      <c r="HF296" s="2" t="s">
        <v>35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3">
      <c r="A297" s="3">
        <v>18</v>
      </c>
      <c r="B297" s="3">
        <v>1</v>
      </c>
      <c r="C297" s="3"/>
      <c r="D297" s="3"/>
      <c r="E297" s="3" t="s">
        <v>314</v>
      </c>
      <c r="F297" s="3" t="s">
        <v>293</v>
      </c>
      <c r="G297" s="3" t="s">
        <v>294</v>
      </c>
      <c r="H297" s="3" t="s">
        <v>295</v>
      </c>
      <c r="I297" s="3">
        <f>I293*J297</f>
        <v>1.7544</v>
      </c>
      <c r="J297" s="3">
        <v>5.4996865203761756E-2</v>
      </c>
      <c r="K297" s="3">
        <v>5.4996870000000003E-2</v>
      </c>
      <c r="L297" s="3"/>
      <c r="M297" s="3"/>
      <c r="N297" s="3"/>
      <c r="O297" s="3">
        <f t="shared" si="238"/>
        <v>75784.94</v>
      </c>
      <c r="P297" s="3">
        <f t="shared" si="239"/>
        <v>75784.94</v>
      </c>
      <c r="Q297" s="3">
        <f t="shared" si="282"/>
        <v>0</v>
      </c>
      <c r="R297" s="3">
        <f t="shared" si="240"/>
        <v>0</v>
      </c>
      <c r="S297" s="3">
        <f t="shared" si="241"/>
        <v>0</v>
      </c>
      <c r="T297" s="3">
        <f t="shared" si="242"/>
        <v>0</v>
      </c>
      <c r="U297" s="3">
        <f t="shared" si="243"/>
        <v>0</v>
      </c>
      <c r="V297" s="3">
        <f t="shared" si="244"/>
        <v>0</v>
      </c>
      <c r="W297" s="3">
        <f t="shared" si="245"/>
        <v>0</v>
      </c>
      <c r="X297" s="3">
        <f t="shared" si="246"/>
        <v>0</v>
      </c>
      <c r="Y297" s="3">
        <f t="shared" si="247"/>
        <v>0</v>
      </c>
      <c r="Z297" s="3"/>
      <c r="AA297" s="3">
        <v>56505405</v>
      </c>
      <c r="AB297" s="3">
        <f t="shared" si="248"/>
        <v>4372.17</v>
      </c>
      <c r="AC297" s="3">
        <f t="shared" si="249"/>
        <v>4372.17</v>
      </c>
      <c r="AD297" s="3">
        <f t="shared" si="283"/>
        <v>0</v>
      </c>
      <c r="AE297" s="3">
        <f t="shared" si="284"/>
        <v>0</v>
      </c>
      <c r="AF297" s="3">
        <f t="shared" si="285"/>
        <v>0</v>
      </c>
      <c r="AG297" s="3">
        <f t="shared" si="250"/>
        <v>0</v>
      </c>
      <c r="AH297" s="3">
        <f t="shared" si="286"/>
        <v>0</v>
      </c>
      <c r="AI297" s="3">
        <f t="shared" si="287"/>
        <v>0</v>
      </c>
      <c r="AJ297" s="3">
        <f t="shared" si="251"/>
        <v>0</v>
      </c>
      <c r="AK297" s="3">
        <v>4372.1699999999992</v>
      </c>
      <c r="AL297" s="3">
        <v>4372.1699999999992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90</v>
      </c>
      <c r="AU297" s="3">
        <v>46</v>
      </c>
      <c r="AV297" s="3">
        <v>1</v>
      </c>
      <c r="AW297" s="3">
        <v>1</v>
      </c>
      <c r="AX297" s="3"/>
      <c r="AY297" s="3"/>
      <c r="AZ297" s="3">
        <v>1</v>
      </c>
      <c r="BA297" s="3">
        <v>1</v>
      </c>
      <c r="BB297" s="3">
        <v>1</v>
      </c>
      <c r="BC297" s="3">
        <v>9.8800000000000008</v>
      </c>
      <c r="BD297" s="3" t="s">
        <v>3</v>
      </c>
      <c r="BE297" s="3" t="s">
        <v>3</v>
      </c>
      <c r="BF297" s="3" t="s">
        <v>3</v>
      </c>
      <c r="BG297" s="3" t="s">
        <v>3</v>
      </c>
      <c r="BH297" s="3">
        <v>3</v>
      </c>
      <c r="BI297" s="3">
        <v>2</v>
      </c>
      <c r="BJ297" s="3" t="s">
        <v>3</v>
      </c>
      <c r="BK297" s="3"/>
      <c r="BL297" s="3"/>
      <c r="BM297" s="3">
        <v>68</v>
      </c>
      <c r="BN297" s="3">
        <v>0</v>
      </c>
      <c r="BO297" s="3" t="s">
        <v>3</v>
      </c>
      <c r="BP297" s="3">
        <v>0</v>
      </c>
      <c r="BQ297" s="3">
        <v>40</v>
      </c>
      <c r="BR297" s="3">
        <v>0</v>
      </c>
      <c r="BS297" s="3">
        <v>1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 t="s">
        <v>3</v>
      </c>
      <c r="BZ297" s="3">
        <v>90</v>
      </c>
      <c r="CA297" s="3">
        <v>46</v>
      </c>
      <c r="CB297" s="3" t="s">
        <v>3</v>
      </c>
      <c r="CC297" s="3"/>
      <c r="CD297" s="3"/>
      <c r="CE297" s="3">
        <v>30</v>
      </c>
      <c r="CF297" s="3">
        <v>0</v>
      </c>
      <c r="CG297" s="3">
        <v>0</v>
      </c>
      <c r="CH297" s="3"/>
      <c r="CI297" s="3"/>
      <c r="CJ297" s="3"/>
      <c r="CK297" s="3"/>
      <c r="CL297" s="3"/>
      <c r="CM297" s="3">
        <v>0</v>
      </c>
      <c r="CN297" s="3" t="s">
        <v>3</v>
      </c>
      <c r="CO297" s="3">
        <v>0</v>
      </c>
      <c r="CP297" s="3">
        <f t="shared" si="252"/>
        <v>75784.94</v>
      </c>
      <c r="CQ297" s="3">
        <f t="shared" si="253"/>
        <v>43197.04</v>
      </c>
      <c r="CR297" s="3">
        <f t="shared" si="288"/>
        <v>0</v>
      </c>
      <c r="CS297" s="3">
        <f t="shared" si="254"/>
        <v>0</v>
      </c>
      <c r="CT297" s="3">
        <f t="shared" si="255"/>
        <v>0</v>
      </c>
      <c r="CU297" s="3">
        <f t="shared" si="256"/>
        <v>0</v>
      </c>
      <c r="CV297" s="3">
        <f t="shared" si="257"/>
        <v>0</v>
      </c>
      <c r="CW297" s="3">
        <f t="shared" si="258"/>
        <v>0</v>
      </c>
      <c r="CX297" s="3">
        <f t="shared" si="259"/>
        <v>0</v>
      </c>
      <c r="CY297" s="3">
        <f t="shared" si="260"/>
        <v>0</v>
      </c>
      <c r="CZ297" s="3">
        <f t="shared" si="261"/>
        <v>0</v>
      </c>
      <c r="DA297" s="3"/>
      <c r="DB297" s="3"/>
      <c r="DC297" s="3" t="s">
        <v>3</v>
      </c>
      <c r="DD297" s="3" t="s">
        <v>3</v>
      </c>
      <c r="DE297" s="3" t="s">
        <v>3</v>
      </c>
      <c r="DF297" s="3" t="s">
        <v>3</v>
      </c>
      <c r="DG297" s="3" t="s">
        <v>3</v>
      </c>
      <c r="DH297" s="3" t="s">
        <v>3</v>
      </c>
      <c r="DI297" s="3" t="s">
        <v>3</v>
      </c>
      <c r="DJ297" s="3" t="s">
        <v>3</v>
      </c>
      <c r="DK297" s="3" t="s">
        <v>3</v>
      </c>
      <c r="DL297" s="3" t="s">
        <v>3</v>
      </c>
      <c r="DM297" s="3" t="s">
        <v>3</v>
      </c>
      <c r="DN297" s="3">
        <v>0</v>
      </c>
      <c r="DO297" s="3">
        <v>0</v>
      </c>
      <c r="DP297" s="3">
        <v>1</v>
      </c>
      <c r="DQ297" s="3">
        <v>1</v>
      </c>
      <c r="DR297" s="3"/>
      <c r="DS297" s="3"/>
      <c r="DT297" s="3"/>
      <c r="DU297" s="3">
        <v>1003</v>
      </c>
      <c r="DV297" s="3" t="s">
        <v>295</v>
      </c>
      <c r="DW297" s="3" t="s">
        <v>295</v>
      </c>
      <c r="DX297" s="3">
        <v>1000</v>
      </c>
      <c r="DY297" s="3"/>
      <c r="DZ297" s="3" t="s">
        <v>3</v>
      </c>
      <c r="EA297" s="3" t="s">
        <v>3</v>
      </c>
      <c r="EB297" s="3" t="s">
        <v>3</v>
      </c>
      <c r="EC297" s="3" t="s">
        <v>3</v>
      </c>
      <c r="ED297" s="3"/>
      <c r="EE297" s="3">
        <v>58162630</v>
      </c>
      <c r="EF297" s="3">
        <v>40</v>
      </c>
      <c r="EG297" s="3" t="s">
        <v>25</v>
      </c>
      <c r="EH297" s="3">
        <v>0</v>
      </c>
      <c r="EI297" s="3" t="s">
        <v>3</v>
      </c>
      <c r="EJ297" s="3">
        <v>2</v>
      </c>
      <c r="EK297" s="3">
        <v>68</v>
      </c>
      <c r="EL297" s="3" t="s">
        <v>26</v>
      </c>
      <c r="EM297" s="3" t="s">
        <v>27</v>
      </c>
      <c r="EN297" s="3"/>
      <c r="EO297" s="3" t="s">
        <v>3</v>
      </c>
      <c r="EP297" s="3"/>
      <c r="EQ297" s="3">
        <v>0</v>
      </c>
      <c r="ER297" s="3">
        <v>4372.1699999999992</v>
      </c>
      <c r="ES297" s="3">
        <v>4372.1699999999992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/>
      <c r="EZ297" s="3">
        <v>5</v>
      </c>
      <c r="FA297" s="3"/>
      <c r="FB297" s="3"/>
      <c r="FC297" s="3">
        <v>1</v>
      </c>
      <c r="FD297" s="3">
        <v>18</v>
      </c>
      <c r="FE297" s="3"/>
      <c r="FF297" s="3">
        <v>50820</v>
      </c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>
        <v>0</v>
      </c>
      <c r="FR297" s="3">
        <v>0</v>
      </c>
      <c r="FS297" s="3">
        <v>0</v>
      </c>
      <c r="FT297" s="3"/>
      <c r="FU297" s="3"/>
      <c r="FV297" s="3"/>
      <c r="FW297" s="3"/>
      <c r="FX297" s="3">
        <v>90</v>
      </c>
      <c r="FY297" s="3">
        <v>46</v>
      </c>
      <c r="FZ297" s="3"/>
      <c r="GA297" s="3" t="s">
        <v>296</v>
      </c>
      <c r="GB297" s="3"/>
      <c r="GC297" s="3"/>
      <c r="GD297" s="3">
        <v>1</v>
      </c>
      <c r="GE297" s="3"/>
      <c r="GF297" s="3">
        <v>-84156872</v>
      </c>
      <c r="GG297" s="3">
        <v>2</v>
      </c>
      <c r="GH297" s="3">
        <v>3</v>
      </c>
      <c r="GI297" s="3">
        <v>5</v>
      </c>
      <c r="GJ297" s="3">
        <v>0</v>
      </c>
      <c r="GK297" s="3">
        <v>0</v>
      </c>
      <c r="GL297" s="3">
        <f t="shared" si="262"/>
        <v>0</v>
      </c>
      <c r="GM297" s="3">
        <f t="shared" si="263"/>
        <v>75784.94</v>
      </c>
      <c r="GN297" s="3">
        <f t="shared" si="264"/>
        <v>0</v>
      </c>
      <c r="GO297" s="3">
        <f t="shared" si="265"/>
        <v>75784.94</v>
      </c>
      <c r="GP297" s="3">
        <f t="shared" si="266"/>
        <v>0</v>
      </c>
      <c r="GQ297" s="3"/>
      <c r="GR297" s="3">
        <v>1</v>
      </c>
      <c r="GS297" s="3">
        <v>1</v>
      </c>
      <c r="GT297" s="3">
        <v>0</v>
      </c>
      <c r="GU297" s="3" t="s">
        <v>3</v>
      </c>
      <c r="GV297" s="3">
        <f t="shared" si="267"/>
        <v>0</v>
      </c>
      <c r="GW297" s="3">
        <v>1</v>
      </c>
      <c r="GX297" s="3">
        <f t="shared" si="268"/>
        <v>0</v>
      </c>
      <c r="GY297" s="3"/>
      <c r="GZ297" s="3"/>
      <c r="HA297" s="3">
        <v>0</v>
      </c>
      <c r="HB297" s="3">
        <v>0</v>
      </c>
      <c r="HC297" s="3">
        <f t="shared" si="269"/>
        <v>0</v>
      </c>
      <c r="HD297" s="3"/>
      <c r="HE297" s="3" t="s">
        <v>34</v>
      </c>
      <c r="HF297" s="3" t="s">
        <v>35</v>
      </c>
      <c r="HG297" s="3"/>
      <c r="HH297" s="3"/>
      <c r="HI297" s="3"/>
      <c r="HJ297" s="3"/>
      <c r="HK297" s="3"/>
      <c r="HL297" s="3"/>
      <c r="HM297" s="3" t="s">
        <v>3</v>
      </c>
      <c r="HN297" s="3" t="s">
        <v>3</v>
      </c>
      <c r="HO297" s="3" t="s">
        <v>3</v>
      </c>
      <c r="HP297" s="3" t="s">
        <v>3</v>
      </c>
      <c r="HQ297" s="3" t="s">
        <v>3</v>
      </c>
      <c r="HR297" s="3"/>
      <c r="HS297" s="3">
        <v>0</v>
      </c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>
        <v>0</v>
      </c>
      <c r="IL297" s="3"/>
      <c r="IM297" s="3"/>
      <c r="IN297" s="3"/>
      <c r="IO297" s="3"/>
      <c r="IP297" s="3"/>
      <c r="IQ297" s="3"/>
      <c r="IR297" s="3"/>
      <c r="IS297" s="3"/>
      <c r="IT297" s="3"/>
      <c r="IU297" s="3"/>
    </row>
    <row r="298" spans="1:255" x14ac:dyDescent="0.3">
      <c r="A298" s="2">
        <v>18</v>
      </c>
      <c r="B298" s="2">
        <v>1</v>
      </c>
      <c r="C298" s="2"/>
      <c r="D298" s="2"/>
      <c r="E298" s="2" t="s">
        <v>315</v>
      </c>
      <c r="F298" s="2" t="s">
        <v>316</v>
      </c>
      <c r="G298" s="2" t="s">
        <v>317</v>
      </c>
      <c r="H298" s="2" t="s">
        <v>295</v>
      </c>
      <c r="I298" s="2">
        <f>I292*J298</f>
        <v>0.98939999999999995</v>
      </c>
      <c r="J298" s="2">
        <v>3.1015673981191223E-2</v>
      </c>
      <c r="K298" s="2">
        <v>3.1015669999999999E-2</v>
      </c>
      <c r="L298" s="2"/>
      <c r="M298" s="2"/>
      <c r="N298" s="2"/>
      <c r="O298" s="2">
        <f t="shared" si="238"/>
        <v>6590.88</v>
      </c>
      <c r="P298" s="2">
        <f t="shared" si="239"/>
        <v>6590.88</v>
      </c>
      <c r="Q298" s="2">
        <f t="shared" si="282"/>
        <v>0</v>
      </c>
      <c r="R298" s="2">
        <f t="shared" si="240"/>
        <v>0</v>
      </c>
      <c r="S298" s="2">
        <f t="shared" si="241"/>
        <v>0</v>
      </c>
      <c r="T298" s="2">
        <f t="shared" si="242"/>
        <v>0</v>
      </c>
      <c r="U298" s="2">
        <f t="shared" si="243"/>
        <v>0</v>
      </c>
      <c r="V298" s="2">
        <f t="shared" si="244"/>
        <v>0</v>
      </c>
      <c r="W298" s="2">
        <f t="shared" si="245"/>
        <v>0</v>
      </c>
      <c r="X298" s="2">
        <f t="shared" si="246"/>
        <v>0</v>
      </c>
      <c r="Y298" s="2">
        <f t="shared" si="247"/>
        <v>0</v>
      </c>
      <c r="Z298" s="2"/>
      <c r="AA298" s="2">
        <v>56505403</v>
      </c>
      <c r="AB298" s="2">
        <f t="shared" si="248"/>
        <v>6661.49</v>
      </c>
      <c r="AC298" s="2">
        <f t="shared" si="249"/>
        <v>6661.49</v>
      </c>
      <c r="AD298" s="2">
        <f t="shared" si="283"/>
        <v>0</v>
      </c>
      <c r="AE298" s="2">
        <f t="shared" si="284"/>
        <v>0</v>
      </c>
      <c r="AF298" s="2">
        <f t="shared" si="285"/>
        <v>0</v>
      </c>
      <c r="AG298" s="2">
        <f t="shared" si="250"/>
        <v>0</v>
      </c>
      <c r="AH298" s="2">
        <f t="shared" si="286"/>
        <v>0</v>
      </c>
      <c r="AI298" s="2">
        <f t="shared" si="287"/>
        <v>0</v>
      </c>
      <c r="AJ298" s="2">
        <f t="shared" si="251"/>
        <v>0</v>
      </c>
      <c r="AK298" s="2">
        <v>6661.49</v>
      </c>
      <c r="AL298" s="2">
        <v>6661.49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90</v>
      </c>
      <c r="AU298" s="2">
        <v>46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2</v>
      </c>
      <c r="BJ298" s="2" t="s">
        <v>3</v>
      </c>
      <c r="BK298" s="2"/>
      <c r="BL298" s="2"/>
      <c r="BM298" s="2">
        <v>68</v>
      </c>
      <c r="BN298" s="2">
        <v>0</v>
      </c>
      <c r="BO298" s="2" t="s">
        <v>3</v>
      </c>
      <c r="BP298" s="2">
        <v>0</v>
      </c>
      <c r="BQ298" s="2">
        <v>40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90</v>
      </c>
      <c r="CA298" s="2">
        <v>46</v>
      </c>
      <c r="CB298" s="2" t="s">
        <v>3</v>
      </c>
      <c r="CC298" s="2"/>
      <c r="CD298" s="2"/>
      <c r="CE298" s="2">
        <v>30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3</v>
      </c>
      <c r="CO298" s="2">
        <v>0</v>
      </c>
      <c r="CP298" s="2">
        <f t="shared" si="252"/>
        <v>6590.88</v>
      </c>
      <c r="CQ298" s="2">
        <f t="shared" si="253"/>
        <v>6661.49</v>
      </c>
      <c r="CR298" s="2">
        <f t="shared" si="288"/>
        <v>0</v>
      </c>
      <c r="CS298" s="2">
        <f t="shared" si="254"/>
        <v>0</v>
      </c>
      <c r="CT298" s="2">
        <f t="shared" si="255"/>
        <v>0</v>
      </c>
      <c r="CU298" s="2">
        <f t="shared" si="256"/>
        <v>0</v>
      </c>
      <c r="CV298" s="2">
        <f t="shared" si="257"/>
        <v>0</v>
      </c>
      <c r="CW298" s="2">
        <f t="shared" si="258"/>
        <v>0</v>
      </c>
      <c r="CX298" s="2">
        <f t="shared" si="259"/>
        <v>0</v>
      </c>
      <c r="CY298" s="2">
        <f t="shared" si="260"/>
        <v>0</v>
      </c>
      <c r="CZ298" s="2">
        <f t="shared" si="261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1003</v>
      </c>
      <c r="DV298" s="2" t="s">
        <v>295</v>
      </c>
      <c r="DW298" s="2" t="s">
        <v>295</v>
      </c>
      <c r="DX298" s="2">
        <v>1000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58162630</v>
      </c>
      <c r="EF298" s="2">
        <v>40</v>
      </c>
      <c r="EG298" s="2" t="s">
        <v>25</v>
      </c>
      <c r="EH298" s="2">
        <v>0</v>
      </c>
      <c r="EI298" s="2" t="s">
        <v>3</v>
      </c>
      <c r="EJ298" s="2">
        <v>2</v>
      </c>
      <c r="EK298" s="2">
        <v>68</v>
      </c>
      <c r="EL298" s="2" t="s">
        <v>26</v>
      </c>
      <c r="EM298" s="2" t="s">
        <v>27</v>
      </c>
      <c r="EN298" s="2"/>
      <c r="EO298" s="2" t="s">
        <v>3</v>
      </c>
      <c r="EP298" s="2"/>
      <c r="EQ298" s="2">
        <v>0</v>
      </c>
      <c r="ER298" s="2">
        <v>0</v>
      </c>
      <c r="ES298" s="2">
        <v>6661.49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90</v>
      </c>
      <c r="FY298" s="2">
        <v>46</v>
      </c>
      <c r="FZ298" s="2"/>
      <c r="GA298" s="2" t="s">
        <v>318</v>
      </c>
      <c r="GB298" s="2"/>
      <c r="GC298" s="2"/>
      <c r="GD298" s="2">
        <v>1</v>
      </c>
      <c r="GE298" s="2"/>
      <c r="GF298" s="2">
        <v>1071750164</v>
      </c>
      <c r="GG298" s="2">
        <v>2</v>
      </c>
      <c r="GH298" s="2">
        <v>4</v>
      </c>
      <c r="GI298" s="2">
        <v>-2</v>
      </c>
      <c r="GJ298" s="2">
        <v>0</v>
      </c>
      <c r="GK298" s="2">
        <v>0</v>
      </c>
      <c r="GL298" s="2">
        <f t="shared" si="262"/>
        <v>0</v>
      </c>
      <c r="GM298" s="2">
        <f t="shared" si="263"/>
        <v>6590.88</v>
      </c>
      <c r="GN298" s="2">
        <f t="shared" si="264"/>
        <v>0</v>
      </c>
      <c r="GO298" s="2">
        <f t="shared" si="265"/>
        <v>6590.88</v>
      </c>
      <c r="GP298" s="2">
        <f t="shared" si="266"/>
        <v>0</v>
      </c>
      <c r="GQ298" s="2"/>
      <c r="GR298" s="2">
        <v>0</v>
      </c>
      <c r="GS298" s="2">
        <v>2</v>
      </c>
      <c r="GT298" s="2">
        <v>0</v>
      </c>
      <c r="GU298" s="2" t="s">
        <v>3</v>
      </c>
      <c r="GV298" s="2">
        <f t="shared" si="267"/>
        <v>0</v>
      </c>
      <c r="GW298" s="2">
        <v>1</v>
      </c>
      <c r="GX298" s="2">
        <f t="shared" si="268"/>
        <v>0</v>
      </c>
      <c r="GY298" s="2"/>
      <c r="GZ298" s="2"/>
      <c r="HA298" s="2">
        <v>0</v>
      </c>
      <c r="HB298" s="2">
        <v>0</v>
      </c>
      <c r="HC298" s="2">
        <f t="shared" si="269"/>
        <v>0</v>
      </c>
      <c r="HD298" s="2"/>
      <c r="HE298" s="2" t="s">
        <v>34</v>
      </c>
      <c r="HF298" s="2" t="s">
        <v>35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3">
      <c r="A299" s="3">
        <v>18</v>
      </c>
      <c r="B299" s="3">
        <v>1</v>
      </c>
      <c r="C299" s="3"/>
      <c r="D299" s="3"/>
      <c r="E299" s="3" t="s">
        <v>315</v>
      </c>
      <c r="F299" s="3" t="s">
        <v>316</v>
      </c>
      <c r="G299" s="3" t="s">
        <v>317</v>
      </c>
      <c r="H299" s="3" t="s">
        <v>295</v>
      </c>
      <c r="I299" s="3">
        <f>I293*J299</f>
        <v>0.98939999999999995</v>
      </c>
      <c r="J299" s="3">
        <v>3.1015673981191223E-2</v>
      </c>
      <c r="K299" s="3">
        <v>3.1015669999999999E-2</v>
      </c>
      <c r="L299" s="3"/>
      <c r="M299" s="3"/>
      <c r="N299" s="3"/>
      <c r="O299" s="3">
        <f t="shared" si="238"/>
        <v>65117.89</v>
      </c>
      <c r="P299" s="3">
        <f t="shared" si="239"/>
        <v>65117.89</v>
      </c>
      <c r="Q299" s="3">
        <f t="shared" si="282"/>
        <v>0</v>
      </c>
      <c r="R299" s="3">
        <f t="shared" si="240"/>
        <v>0</v>
      </c>
      <c r="S299" s="3">
        <f t="shared" si="241"/>
        <v>0</v>
      </c>
      <c r="T299" s="3">
        <f t="shared" si="242"/>
        <v>0</v>
      </c>
      <c r="U299" s="3">
        <f t="shared" si="243"/>
        <v>0</v>
      </c>
      <c r="V299" s="3">
        <f t="shared" si="244"/>
        <v>0</v>
      </c>
      <c r="W299" s="3">
        <f t="shared" si="245"/>
        <v>0</v>
      </c>
      <c r="X299" s="3">
        <f t="shared" si="246"/>
        <v>0</v>
      </c>
      <c r="Y299" s="3">
        <f t="shared" si="247"/>
        <v>0</v>
      </c>
      <c r="Z299" s="3"/>
      <c r="AA299" s="3">
        <v>56505405</v>
      </c>
      <c r="AB299" s="3">
        <f t="shared" si="248"/>
        <v>6661.49</v>
      </c>
      <c r="AC299" s="3">
        <f t="shared" si="249"/>
        <v>6661.49</v>
      </c>
      <c r="AD299" s="3">
        <f t="shared" si="283"/>
        <v>0</v>
      </c>
      <c r="AE299" s="3">
        <f t="shared" si="284"/>
        <v>0</v>
      </c>
      <c r="AF299" s="3">
        <f t="shared" si="285"/>
        <v>0</v>
      </c>
      <c r="AG299" s="3">
        <f t="shared" si="250"/>
        <v>0</v>
      </c>
      <c r="AH299" s="3">
        <f t="shared" si="286"/>
        <v>0</v>
      </c>
      <c r="AI299" s="3">
        <f t="shared" si="287"/>
        <v>0</v>
      </c>
      <c r="AJ299" s="3">
        <f t="shared" si="251"/>
        <v>0</v>
      </c>
      <c r="AK299" s="3">
        <v>6661.49</v>
      </c>
      <c r="AL299" s="3">
        <v>6661.49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90</v>
      </c>
      <c r="AU299" s="3">
        <v>46</v>
      </c>
      <c r="AV299" s="3">
        <v>1</v>
      </c>
      <c r="AW299" s="3">
        <v>1</v>
      </c>
      <c r="AX299" s="3"/>
      <c r="AY299" s="3"/>
      <c r="AZ299" s="3">
        <v>1</v>
      </c>
      <c r="BA299" s="3">
        <v>1</v>
      </c>
      <c r="BB299" s="3">
        <v>1</v>
      </c>
      <c r="BC299" s="3">
        <v>9.8800000000000008</v>
      </c>
      <c r="BD299" s="3" t="s">
        <v>3</v>
      </c>
      <c r="BE299" s="3" t="s">
        <v>3</v>
      </c>
      <c r="BF299" s="3" t="s">
        <v>3</v>
      </c>
      <c r="BG299" s="3" t="s">
        <v>3</v>
      </c>
      <c r="BH299" s="3">
        <v>3</v>
      </c>
      <c r="BI299" s="3">
        <v>2</v>
      </c>
      <c r="BJ299" s="3" t="s">
        <v>3</v>
      </c>
      <c r="BK299" s="3"/>
      <c r="BL299" s="3"/>
      <c r="BM299" s="3">
        <v>68</v>
      </c>
      <c r="BN299" s="3">
        <v>0</v>
      </c>
      <c r="BO299" s="3" t="s">
        <v>3</v>
      </c>
      <c r="BP299" s="3">
        <v>0</v>
      </c>
      <c r="BQ299" s="3">
        <v>40</v>
      </c>
      <c r="BR299" s="3">
        <v>0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 t="s">
        <v>3</v>
      </c>
      <c r="BZ299" s="3">
        <v>90</v>
      </c>
      <c r="CA299" s="3">
        <v>46</v>
      </c>
      <c r="CB299" s="3" t="s">
        <v>3</v>
      </c>
      <c r="CC299" s="3"/>
      <c r="CD299" s="3"/>
      <c r="CE299" s="3">
        <v>30</v>
      </c>
      <c r="CF299" s="3">
        <v>0</v>
      </c>
      <c r="CG299" s="3">
        <v>0</v>
      </c>
      <c r="CH299" s="3"/>
      <c r="CI299" s="3"/>
      <c r="CJ299" s="3"/>
      <c r="CK299" s="3"/>
      <c r="CL299" s="3"/>
      <c r="CM299" s="3">
        <v>0</v>
      </c>
      <c r="CN299" s="3" t="s">
        <v>3</v>
      </c>
      <c r="CO299" s="3">
        <v>0</v>
      </c>
      <c r="CP299" s="3">
        <f t="shared" si="252"/>
        <v>65117.89</v>
      </c>
      <c r="CQ299" s="3">
        <f t="shared" si="253"/>
        <v>65815.520000000004</v>
      </c>
      <c r="CR299" s="3">
        <f t="shared" si="288"/>
        <v>0</v>
      </c>
      <c r="CS299" s="3">
        <f t="shared" si="254"/>
        <v>0</v>
      </c>
      <c r="CT299" s="3">
        <f t="shared" si="255"/>
        <v>0</v>
      </c>
      <c r="CU299" s="3">
        <f t="shared" si="256"/>
        <v>0</v>
      </c>
      <c r="CV299" s="3">
        <f t="shared" si="257"/>
        <v>0</v>
      </c>
      <c r="CW299" s="3">
        <f t="shared" si="258"/>
        <v>0</v>
      </c>
      <c r="CX299" s="3">
        <f t="shared" si="259"/>
        <v>0</v>
      </c>
      <c r="CY299" s="3">
        <f t="shared" si="260"/>
        <v>0</v>
      </c>
      <c r="CZ299" s="3">
        <f t="shared" si="261"/>
        <v>0</v>
      </c>
      <c r="DA299" s="3"/>
      <c r="DB299" s="3"/>
      <c r="DC299" s="3" t="s">
        <v>3</v>
      </c>
      <c r="DD299" s="3" t="s">
        <v>3</v>
      </c>
      <c r="DE299" s="3" t="s">
        <v>3</v>
      </c>
      <c r="DF299" s="3" t="s">
        <v>3</v>
      </c>
      <c r="DG299" s="3" t="s">
        <v>3</v>
      </c>
      <c r="DH299" s="3" t="s">
        <v>3</v>
      </c>
      <c r="DI299" s="3" t="s">
        <v>3</v>
      </c>
      <c r="DJ299" s="3" t="s">
        <v>3</v>
      </c>
      <c r="DK299" s="3" t="s">
        <v>3</v>
      </c>
      <c r="DL299" s="3" t="s">
        <v>3</v>
      </c>
      <c r="DM299" s="3" t="s">
        <v>3</v>
      </c>
      <c r="DN299" s="3">
        <v>0</v>
      </c>
      <c r="DO299" s="3">
        <v>0</v>
      </c>
      <c r="DP299" s="3">
        <v>1</v>
      </c>
      <c r="DQ299" s="3">
        <v>1</v>
      </c>
      <c r="DR299" s="3"/>
      <c r="DS299" s="3"/>
      <c r="DT299" s="3"/>
      <c r="DU299" s="3">
        <v>1003</v>
      </c>
      <c r="DV299" s="3" t="s">
        <v>295</v>
      </c>
      <c r="DW299" s="3" t="s">
        <v>295</v>
      </c>
      <c r="DX299" s="3">
        <v>1000</v>
      </c>
      <c r="DY299" s="3"/>
      <c r="DZ299" s="3" t="s">
        <v>3</v>
      </c>
      <c r="EA299" s="3" t="s">
        <v>3</v>
      </c>
      <c r="EB299" s="3" t="s">
        <v>3</v>
      </c>
      <c r="EC299" s="3" t="s">
        <v>3</v>
      </c>
      <c r="ED299" s="3"/>
      <c r="EE299" s="3">
        <v>58162630</v>
      </c>
      <c r="EF299" s="3">
        <v>40</v>
      </c>
      <c r="EG299" s="3" t="s">
        <v>25</v>
      </c>
      <c r="EH299" s="3">
        <v>0</v>
      </c>
      <c r="EI299" s="3" t="s">
        <v>3</v>
      </c>
      <c r="EJ299" s="3">
        <v>2</v>
      </c>
      <c r="EK299" s="3">
        <v>68</v>
      </c>
      <c r="EL299" s="3" t="s">
        <v>26</v>
      </c>
      <c r="EM299" s="3" t="s">
        <v>27</v>
      </c>
      <c r="EN299" s="3"/>
      <c r="EO299" s="3" t="s">
        <v>3</v>
      </c>
      <c r="EP299" s="3"/>
      <c r="EQ299" s="3">
        <v>0</v>
      </c>
      <c r="ER299" s="3">
        <v>6661.49</v>
      </c>
      <c r="ES299" s="3">
        <v>6661.49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/>
      <c r="EZ299" s="3">
        <v>5</v>
      </c>
      <c r="FA299" s="3"/>
      <c r="FB299" s="3"/>
      <c r="FC299" s="3">
        <v>1</v>
      </c>
      <c r="FD299" s="3">
        <v>18</v>
      </c>
      <c r="FE299" s="3"/>
      <c r="FF299" s="3">
        <v>77430</v>
      </c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>
        <v>0</v>
      </c>
      <c r="FR299" s="3">
        <v>0</v>
      </c>
      <c r="FS299" s="3">
        <v>0</v>
      </c>
      <c r="FT299" s="3"/>
      <c r="FU299" s="3"/>
      <c r="FV299" s="3"/>
      <c r="FW299" s="3"/>
      <c r="FX299" s="3">
        <v>90</v>
      </c>
      <c r="FY299" s="3">
        <v>46</v>
      </c>
      <c r="FZ299" s="3"/>
      <c r="GA299" s="3" t="s">
        <v>318</v>
      </c>
      <c r="GB299" s="3"/>
      <c r="GC299" s="3"/>
      <c r="GD299" s="3">
        <v>1</v>
      </c>
      <c r="GE299" s="3"/>
      <c r="GF299" s="3">
        <v>1071750164</v>
      </c>
      <c r="GG299" s="3">
        <v>2</v>
      </c>
      <c r="GH299" s="3">
        <v>3</v>
      </c>
      <c r="GI299" s="3">
        <v>5</v>
      </c>
      <c r="GJ299" s="3">
        <v>0</v>
      </c>
      <c r="GK299" s="3">
        <v>0</v>
      </c>
      <c r="GL299" s="3">
        <f t="shared" si="262"/>
        <v>0</v>
      </c>
      <c r="GM299" s="3">
        <f t="shared" si="263"/>
        <v>65117.89</v>
      </c>
      <c r="GN299" s="3">
        <f t="shared" si="264"/>
        <v>0</v>
      </c>
      <c r="GO299" s="3">
        <f t="shared" si="265"/>
        <v>65117.89</v>
      </c>
      <c r="GP299" s="3">
        <f t="shared" si="266"/>
        <v>0</v>
      </c>
      <c r="GQ299" s="3"/>
      <c r="GR299" s="3">
        <v>1</v>
      </c>
      <c r="GS299" s="3">
        <v>1</v>
      </c>
      <c r="GT299" s="3">
        <v>0</v>
      </c>
      <c r="GU299" s="3" t="s">
        <v>3</v>
      </c>
      <c r="GV299" s="3">
        <f t="shared" si="267"/>
        <v>0</v>
      </c>
      <c r="GW299" s="3">
        <v>1</v>
      </c>
      <c r="GX299" s="3">
        <f t="shared" si="268"/>
        <v>0</v>
      </c>
      <c r="GY299" s="3"/>
      <c r="GZ299" s="3"/>
      <c r="HA299" s="3">
        <v>0</v>
      </c>
      <c r="HB299" s="3">
        <v>0</v>
      </c>
      <c r="HC299" s="3">
        <f t="shared" si="269"/>
        <v>0</v>
      </c>
      <c r="HD299" s="3"/>
      <c r="HE299" s="3" t="s">
        <v>34</v>
      </c>
      <c r="HF299" s="3" t="s">
        <v>35</v>
      </c>
      <c r="HG299" s="3"/>
      <c r="HH299" s="3"/>
      <c r="HI299" s="3"/>
      <c r="HJ299" s="3"/>
      <c r="HK299" s="3"/>
      <c r="HL299" s="3"/>
      <c r="HM299" s="3" t="s">
        <v>3</v>
      </c>
      <c r="HN299" s="3" t="s">
        <v>3</v>
      </c>
      <c r="HO299" s="3" t="s">
        <v>3</v>
      </c>
      <c r="HP299" s="3" t="s">
        <v>3</v>
      </c>
      <c r="HQ299" s="3" t="s">
        <v>3</v>
      </c>
      <c r="HR299" s="3"/>
      <c r="HS299" s="3">
        <v>0</v>
      </c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>
        <v>0</v>
      </c>
      <c r="IL299" s="3"/>
      <c r="IM299" s="3"/>
      <c r="IN299" s="3"/>
      <c r="IO299" s="3"/>
      <c r="IP299" s="3"/>
      <c r="IQ299" s="3"/>
      <c r="IR299" s="3"/>
      <c r="IS299" s="3"/>
      <c r="IT299" s="3"/>
      <c r="IU299" s="3"/>
    </row>
    <row r="300" spans="1:255" x14ac:dyDescent="0.3">
      <c r="A300" s="2">
        <v>18</v>
      </c>
      <c r="B300" s="2">
        <v>1</v>
      </c>
      <c r="C300" s="2"/>
      <c r="D300" s="2"/>
      <c r="E300" s="2" t="s">
        <v>319</v>
      </c>
      <c r="F300" s="2" t="s">
        <v>320</v>
      </c>
      <c r="G300" s="2" t="s">
        <v>321</v>
      </c>
      <c r="H300" s="2" t="s">
        <v>32</v>
      </c>
      <c r="I300" s="2">
        <f>I292*J300</f>
        <v>44</v>
      </c>
      <c r="J300" s="2">
        <v>1.3793103448275863</v>
      </c>
      <c r="K300" s="2">
        <v>1.37931034</v>
      </c>
      <c r="L300" s="2"/>
      <c r="M300" s="2"/>
      <c r="N300" s="2"/>
      <c r="O300" s="2">
        <f t="shared" si="238"/>
        <v>3611.52</v>
      </c>
      <c r="P300" s="2">
        <f t="shared" si="239"/>
        <v>3611.52</v>
      </c>
      <c r="Q300" s="2">
        <f t="shared" si="282"/>
        <v>0</v>
      </c>
      <c r="R300" s="2">
        <f t="shared" si="240"/>
        <v>0</v>
      </c>
      <c r="S300" s="2">
        <f t="shared" si="241"/>
        <v>0</v>
      </c>
      <c r="T300" s="2">
        <f t="shared" si="242"/>
        <v>0</v>
      </c>
      <c r="U300" s="2">
        <f t="shared" si="243"/>
        <v>0</v>
      </c>
      <c r="V300" s="2">
        <f t="shared" si="244"/>
        <v>0</v>
      </c>
      <c r="W300" s="2">
        <f t="shared" si="245"/>
        <v>0</v>
      </c>
      <c r="X300" s="2">
        <f t="shared" si="246"/>
        <v>0</v>
      </c>
      <c r="Y300" s="2">
        <f t="shared" si="247"/>
        <v>0</v>
      </c>
      <c r="Z300" s="2"/>
      <c r="AA300" s="2">
        <v>56505403</v>
      </c>
      <c r="AB300" s="2">
        <f t="shared" si="248"/>
        <v>82.08</v>
      </c>
      <c r="AC300" s="2">
        <f t="shared" si="249"/>
        <v>82.08</v>
      </c>
      <c r="AD300" s="2">
        <f t="shared" si="283"/>
        <v>0</v>
      </c>
      <c r="AE300" s="2">
        <f t="shared" si="284"/>
        <v>0</v>
      </c>
      <c r="AF300" s="2">
        <f t="shared" si="285"/>
        <v>0</v>
      </c>
      <c r="AG300" s="2">
        <f t="shared" si="250"/>
        <v>0</v>
      </c>
      <c r="AH300" s="2">
        <f t="shared" si="286"/>
        <v>0</v>
      </c>
      <c r="AI300" s="2">
        <f t="shared" si="287"/>
        <v>0</v>
      </c>
      <c r="AJ300" s="2">
        <f t="shared" si="251"/>
        <v>0</v>
      </c>
      <c r="AK300" s="2">
        <v>82.08</v>
      </c>
      <c r="AL300" s="2">
        <v>82.08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90</v>
      </c>
      <c r="AU300" s="2">
        <v>46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2</v>
      </c>
      <c r="BJ300" s="2" t="s">
        <v>3</v>
      </c>
      <c r="BK300" s="2"/>
      <c r="BL300" s="2"/>
      <c r="BM300" s="2">
        <v>68</v>
      </c>
      <c r="BN300" s="2">
        <v>0</v>
      </c>
      <c r="BO300" s="2" t="s">
        <v>3</v>
      </c>
      <c r="BP300" s="2">
        <v>0</v>
      </c>
      <c r="BQ300" s="2">
        <v>40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90</v>
      </c>
      <c r="CA300" s="2">
        <v>46</v>
      </c>
      <c r="CB300" s="2" t="s">
        <v>3</v>
      </c>
      <c r="CC300" s="2"/>
      <c r="CD300" s="2"/>
      <c r="CE300" s="2">
        <v>30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3</v>
      </c>
      <c r="CO300" s="2">
        <v>0</v>
      </c>
      <c r="CP300" s="2">
        <f t="shared" si="252"/>
        <v>3611.52</v>
      </c>
      <c r="CQ300" s="2">
        <f t="shared" si="253"/>
        <v>82.08</v>
      </c>
      <c r="CR300" s="2">
        <f t="shared" si="288"/>
        <v>0</v>
      </c>
      <c r="CS300" s="2">
        <f t="shared" si="254"/>
        <v>0</v>
      </c>
      <c r="CT300" s="2">
        <f t="shared" si="255"/>
        <v>0</v>
      </c>
      <c r="CU300" s="2">
        <f t="shared" si="256"/>
        <v>0</v>
      </c>
      <c r="CV300" s="2">
        <f t="shared" si="257"/>
        <v>0</v>
      </c>
      <c r="CW300" s="2">
        <f t="shared" si="258"/>
        <v>0</v>
      </c>
      <c r="CX300" s="2">
        <f t="shared" si="259"/>
        <v>0</v>
      </c>
      <c r="CY300" s="2">
        <f t="shared" si="260"/>
        <v>0</v>
      </c>
      <c r="CZ300" s="2">
        <f t="shared" si="261"/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32</v>
      </c>
      <c r="DW300" s="2" t="s">
        <v>32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58162630</v>
      </c>
      <c r="EF300" s="2">
        <v>40</v>
      </c>
      <c r="EG300" s="2" t="s">
        <v>25</v>
      </c>
      <c r="EH300" s="2">
        <v>0</v>
      </c>
      <c r="EI300" s="2" t="s">
        <v>3</v>
      </c>
      <c r="EJ300" s="2">
        <v>2</v>
      </c>
      <c r="EK300" s="2">
        <v>68</v>
      </c>
      <c r="EL300" s="2" t="s">
        <v>26</v>
      </c>
      <c r="EM300" s="2" t="s">
        <v>27</v>
      </c>
      <c r="EN300" s="2"/>
      <c r="EO300" s="2" t="s">
        <v>3</v>
      </c>
      <c r="EP300" s="2"/>
      <c r="EQ300" s="2">
        <v>0</v>
      </c>
      <c r="ER300" s="2">
        <v>0</v>
      </c>
      <c r="ES300" s="2">
        <v>82.08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90</v>
      </c>
      <c r="FY300" s="2">
        <v>46</v>
      </c>
      <c r="FZ300" s="2"/>
      <c r="GA300" s="2" t="s">
        <v>322</v>
      </c>
      <c r="GB300" s="2"/>
      <c r="GC300" s="2"/>
      <c r="GD300" s="2">
        <v>1</v>
      </c>
      <c r="GE300" s="2"/>
      <c r="GF300" s="2">
        <v>1110437255</v>
      </c>
      <c r="GG300" s="2">
        <v>2</v>
      </c>
      <c r="GH300" s="2">
        <v>4</v>
      </c>
      <c r="GI300" s="2">
        <v>-2</v>
      </c>
      <c r="GJ300" s="2">
        <v>0</v>
      </c>
      <c r="GK300" s="2">
        <v>0</v>
      </c>
      <c r="GL300" s="2">
        <f t="shared" si="262"/>
        <v>0</v>
      </c>
      <c r="GM300" s="2">
        <f t="shared" si="263"/>
        <v>3611.52</v>
      </c>
      <c r="GN300" s="2">
        <f t="shared" si="264"/>
        <v>0</v>
      </c>
      <c r="GO300" s="2">
        <f t="shared" si="265"/>
        <v>3611.52</v>
      </c>
      <c r="GP300" s="2">
        <f t="shared" si="266"/>
        <v>0</v>
      </c>
      <c r="GQ300" s="2"/>
      <c r="GR300" s="2">
        <v>0</v>
      </c>
      <c r="GS300" s="2">
        <v>2</v>
      </c>
      <c r="GT300" s="2">
        <v>0</v>
      </c>
      <c r="GU300" s="2" t="s">
        <v>3</v>
      </c>
      <c r="GV300" s="2">
        <f t="shared" si="267"/>
        <v>0</v>
      </c>
      <c r="GW300" s="2">
        <v>1</v>
      </c>
      <c r="GX300" s="2">
        <f t="shared" si="268"/>
        <v>0</v>
      </c>
      <c r="GY300" s="2"/>
      <c r="GZ300" s="2"/>
      <c r="HA300" s="2">
        <v>0</v>
      </c>
      <c r="HB300" s="2">
        <v>0</v>
      </c>
      <c r="HC300" s="2">
        <f t="shared" si="269"/>
        <v>0</v>
      </c>
      <c r="HD300" s="2"/>
      <c r="HE300" s="2" t="s">
        <v>34</v>
      </c>
      <c r="HF300" s="2" t="s">
        <v>35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3">
      <c r="A301" s="3">
        <v>18</v>
      </c>
      <c r="B301" s="3">
        <v>1</v>
      </c>
      <c r="C301" s="3"/>
      <c r="D301" s="3"/>
      <c r="E301" s="3" t="s">
        <v>319</v>
      </c>
      <c r="F301" s="3" t="s">
        <v>320</v>
      </c>
      <c r="G301" s="3" t="s">
        <v>321</v>
      </c>
      <c r="H301" s="3" t="s">
        <v>32</v>
      </c>
      <c r="I301" s="3">
        <f>I293*J301</f>
        <v>44</v>
      </c>
      <c r="J301" s="3">
        <v>1.3793103448275863</v>
      </c>
      <c r="K301" s="3">
        <v>1.37931034</v>
      </c>
      <c r="L301" s="3"/>
      <c r="M301" s="3"/>
      <c r="N301" s="3"/>
      <c r="O301" s="3">
        <f t="shared" si="238"/>
        <v>35681.82</v>
      </c>
      <c r="P301" s="3">
        <f t="shared" si="239"/>
        <v>35681.82</v>
      </c>
      <c r="Q301" s="3">
        <f t="shared" si="282"/>
        <v>0</v>
      </c>
      <c r="R301" s="3">
        <f t="shared" si="240"/>
        <v>0</v>
      </c>
      <c r="S301" s="3">
        <f t="shared" si="241"/>
        <v>0</v>
      </c>
      <c r="T301" s="3">
        <f t="shared" si="242"/>
        <v>0</v>
      </c>
      <c r="U301" s="3">
        <f t="shared" si="243"/>
        <v>0</v>
      </c>
      <c r="V301" s="3">
        <f t="shared" si="244"/>
        <v>0</v>
      </c>
      <c r="W301" s="3">
        <f t="shared" si="245"/>
        <v>0</v>
      </c>
      <c r="X301" s="3">
        <f t="shared" si="246"/>
        <v>0</v>
      </c>
      <c r="Y301" s="3">
        <f t="shared" si="247"/>
        <v>0</v>
      </c>
      <c r="Z301" s="3"/>
      <c r="AA301" s="3">
        <v>56505405</v>
      </c>
      <c r="AB301" s="3">
        <f t="shared" si="248"/>
        <v>82.08</v>
      </c>
      <c r="AC301" s="3">
        <f t="shared" si="249"/>
        <v>82.08</v>
      </c>
      <c r="AD301" s="3">
        <f t="shared" si="283"/>
        <v>0</v>
      </c>
      <c r="AE301" s="3">
        <f t="shared" si="284"/>
        <v>0</v>
      </c>
      <c r="AF301" s="3">
        <f t="shared" si="285"/>
        <v>0</v>
      </c>
      <c r="AG301" s="3">
        <f t="shared" si="250"/>
        <v>0</v>
      </c>
      <c r="AH301" s="3">
        <f t="shared" si="286"/>
        <v>0</v>
      </c>
      <c r="AI301" s="3">
        <f t="shared" si="287"/>
        <v>0</v>
      </c>
      <c r="AJ301" s="3">
        <f t="shared" si="251"/>
        <v>0</v>
      </c>
      <c r="AK301" s="3">
        <v>82.08</v>
      </c>
      <c r="AL301" s="3">
        <v>82.08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90</v>
      </c>
      <c r="AU301" s="3">
        <v>46</v>
      </c>
      <c r="AV301" s="3">
        <v>1</v>
      </c>
      <c r="AW301" s="3">
        <v>1</v>
      </c>
      <c r="AX301" s="3"/>
      <c r="AY301" s="3"/>
      <c r="AZ301" s="3">
        <v>1</v>
      </c>
      <c r="BA301" s="3">
        <v>1</v>
      </c>
      <c r="BB301" s="3">
        <v>1</v>
      </c>
      <c r="BC301" s="3">
        <v>9.8800000000000008</v>
      </c>
      <c r="BD301" s="3" t="s">
        <v>3</v>
      </c>
      <c r="BE301" s="3" t="s">
        <v>3</v>
      </c>
      <c r="BF301" s="3" t="s">
        <v>3</v>
      </c>
      <c r="BG301" s="3" t="s">
        <v>3</v>
      </c>
      <c r="BH301" s="3">
        <v>3</v>
      </c>
      <c r="BI301" s="3">
        <v>2</v>
      </c>
      <c r="BJ301" s="3" t="s">
        <v>3</v>
      </c>
      <c r="BK301" s="3"/>
      <c r="BL301" s="3"/>
      <c r="BM301" s="3">
        <v>68</v>
      </c>
      <c r="BN301" s="3">
        <v>0</v>
      </c>
      <c r="BO301" s="3" t="s">
        <v>3</v>
      </c>
      <c r="BP301" s="3">
        <v>0</v>
      </c>
      <c r="BQ301" s="3">
        <v>40</v>
      </c>
      <c r="BR301" s="3">
        <v>0</v>
      </c>
      <c r="BS301" s="3">
        <v>1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 t="s">
        <v>3</v>
      </c>
      <c r="BZ301" s="3">
        <v>90</v>
      </c>
      <c r="CA301" s="3">
        <v>46</v>
      </c>
      <c r="CB301" s="3" t="s">
        <v>3</v>
      </c>
      <c r="CC301" s="3"/>
      <c r="CD301" s="3"/>
      <c r="CE301" s="3">
        <v>30</v>
      </c>
      <c r="CF301" s="3">
        <v>0</v>
      </c>
      <c r="CG301" s="3">
        <v>0</v>
      </c>
      <c r="CH301" s="3"/>
      <c r="CI301" s="3"/>
      <c r="CJ301" s="3"/>
      <c r="CK301" s="3"/>
      <c r="CL301" s="3"/>
      <c r="CM301" s="3">
        <v>0</v>
      </c>
      <c r="CN301" s="3" t="s">
        <v>3</v>
      </c>
      <c r="CO301" s="3">
        <v>0</v>
      </c>
      <c r="CP301" s="3">
        <f t="shared" si="252"/>
        <v>35681.82</v>
      </c>
      <c r="CQ301" s="3">
        <f t="shared" si="253"/>
        <v>810.95</v>
      </c>
      <c r="CR301" s="3">
        <f t="shared" si="288"/>
        <v>0</v>
      </c>
      <c r="CS301" s="3">
        <f t="shared" si="254"/>
        <v>0</v>
      </c>
      <c r="CT301" s="3">
        <f t="shared" si="255"/>
        <v>0</v>
      </c>
      <c r="CU301" s="3">
        <f t="shared" si="256"/>
        <v>0</v>
      </c>
      <c r="CV301" s="3">
        <f t="shared" si="257"/>
        <v>0</v>
      </c>
      <c r="CW301" s="3">
        <f t="shared" si="258"/>
        <v>0</v>
      </c>
      <c r="CX301" s="3">
        <f t="shared" si="259"/>
        <v>0</v>
      </c>
      <c r="CY301" s="3">
        <f t="shared" si="260"/>
        <v>0</v>
      </c>
      <c r="CZ301" s="3">
        <f t="shared" si="261"/>
        <v>0</v>
      </c>
      <c r="DA301" s="3"/>
      <c r="DB301" s="3"/>
      <c r="DC301" s="3" t="s">
        <v>3</v>
      </c>
      <c r="DD301" s="3" t="s">
        <v>3</v>
      </c>
      <c r="DE301" s="3" t="s">
        <v>3</v>
      </c>
      <c r="DF301" s="3" t="s">
        <v>3</v>
      </c>
      <c r="DG301" s="3" t="s">
        <v>3</v>
      </c>
      <c r="DH301" s="3" t="s">
        <v>3</v>
      </c>
      <c r="DI301" s="3" t="s">
        <v>3</v>
      </c>
      <c r="DJ301" s="3" t="s">
        <v>3</v>
      </c>
      <c r="DK301" s="3" t="s">
        <v>3</v>
      </c>
      <c r="DL301" s="3" t="s">
        <v>3</v>
      </c>
      <c r="DM301" s="3" t="s">
        <v>3</v>
      </c>
      <c r="DN301" s="3">
        <v>0</v>
      </c>
      <c r="DO301" s="3">
        <v>0</v>
      </c>
      <c r="DP301" s="3">
        <v>1</v>
      </c>
      <c r="DQ301" s="3">
        <v>1</v>
      </c>
      <c r="DR301" s="3"/>
      <c r="DS301" s="3"/>
      <c r="DT301" s="3"/>
      <c r="DU301" s="3">
        <v>1010</v>
      </c>
      <c r="DV301" s="3" t="s">
        <v>32</v>
      </c>
      <c r="DW301" s="3" t="s">
        <v>32</v>
      </c>
      <c r="DX301" s="3">
        <v>1</v>
      </c>
      <c r="DY301" s="3"/>
      <c r="DZ301" s="3" t="s">
        <v>3</v>
      </c>
      <c r="EA301" s="3" t="s">
        <v>3</v>
      </c>
      <c r="EB301" s="3" t="s">
        <v>3</v>
      </c>
      <c r="EC301" s="3" t="s">
        <v>3</v>
      </c>
      <c r="ED301" s="3"/>
      <c r="EE301" s="3">
        <v>58162630</v>
      </c>
      <c r="EF301" s="3">
        <v>40</v>
      </c>
      <c r="EG301" s="3" t="s">
        <v>25</v>
      </c>
      <c r="EH301" s="3">
        <v>0</v>
      </c>
      <c r="EI301" s="3" t="s">
        <v>3</v>
      </c>
      <c r="EJ301" s="3">
        <v>2</v>
      </c>
      <c r="EK301" s="3">
        <v>68</v>
      </c>
      <c r="EL301" s="3" t="s">
        <v>26</v>
      </c>
      <c r="EM301" s="3" t="s">
        <v>27</v>
      </c>
      <c r="EN301" s="3"/>
      <c r="EO301" s="3" t="s">
        <v>3</v>
      </c>
      <c r="EP301" s="3"/>
      <c r="EQ301" s="3">
        <v>0</v>
      </c>
      <c r="ER301" s="3">
        <v>82.08</v>
      </c>
      <c r="ES301" s="3">
        <v>82.08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/>
      <c r="EZ301" s="3">
        <v>5</v>
      </c>
      <c r="FA301" s="3"/>
      <c r="FB301" s="3"/>
      <c r="FC301" s="3">
        <v>1</v>
      </c>
      <c r="FD301" s="3">
        <v>18</v>
      </c>
      <c r="FE301" s="3"/>
      <c r="FF301" s="3">
        <v>954</v>
      </c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>
        <v>0</v>
      </c>
      <c r="FR301" s="3">
        <v>0</v>
      </c>
      <c r="FS301" s="3">
        <v>0</v>
      </c>
      <c r="FT301" s="3"/>
      <c r="FU301" s="3"/>
      <c r="FV301" s="3"/>
      <c r="FW301" s="3"/>
      <c r="FX301" s="3">
        <v>90</v>
      </c>
      <c r="FY301" s="3">
        <v>46</v>
      </c>
      <c r="FZ301" s="3"/>
      <c r="GA301" s="3" t="s">
        <v>322</v>
      </c>
      <c r="GB301" s="3"/>
      <c r="GC301" s="3"/>
      <c r="GD301" s="3">
        <v>1</v>
      </c>
      <c r="GE301" s="3"/>
      <c r="GF301" s="3">
        <v>1110437255</v>
      </c>
      <c r="GG301" s="3">
        <v>2</v>
      </c>
      <c r="GH301" s="3">
        <v>3</v>
      </c>
      <c r="GI301" s="3">
        <v>5</v>
      </c>
      <c r="GJ301" s="3">
        <v>0</v>
      </c>
      <c r="GK301" s="3">
        <v>0</v>
      </c>
      <c r="GL301" s="3">
        <f t="shared" si="262"/>
        <v>0</v>
      </c>
      <c r="GM301" s="3">
        <f t="shared" si="263"/>
        <v>35681.82</v>
      </c>
      <c r="GN301" s="3">
        <f t="shared" si="264"/>
        <v>0</v>
      </c>
      <c r="GO301" s="3">
        <f t="shared" si="265"/>
        <v>35681.82</v>
      </c>
      <c r="GP301" s="3">
        <f t="shared" si="266"/>
        <v>0</v>
      </c>
      <c r="GQ301" s="3"/>
      <c r="GR301" s="3">
        <v>1</v>
      </c>
      <c r="GS301" s="3">
        <v>1</v>
      </c>
      <c r="GT301" s="3">
        <v>0</v>
      </c>
      <c r="GU301" s="3" t="s">
        <v>3</v>
      </c>
      <c r="GV301" s="3">
        <f t="shared" si="267"/>
        <v>0</v>
      </c>
      <c r="GW301" s="3">
        <v>1</v>
      </c>
      <c r="GX301" s="3">
        <f t="shared" si="268"/>
        <v>0</v>
      </c>
      <c r="GY301" s="3"/>
      <c r="GZ301" s="3"/>
      <c r="HA301" s="3">
        <v>0</v>
      </c>
      <c r="HB301" s="3">
        <v>0</v>
      </c>
      <c r="HC301" s="3">
        <f t="shared" si="269"/>
        <v>0</v>
      </c>
      <c r="HD301" s="3"/>
      <c r="HE301" s="3" t="s">
        <v>34</v>
      </c>
      <c r="HF301" s="3" t="s">
        <v>35</v>
      </c>
      <c r="HG301" s="3"/>
      <c r="HH301" s="3"/>
      <c r="HI301" s="3"/>
      <c r="HJ301" s="3"/>
      <c r="HK301" s="3"/>
      <c r="HL301" s="3"/>
      <c r="HM301" s="3" t="s">
        <v>3</v>
      </c>
      <c r="HN301" s="3" t="s">
        <v>3</v>
      </c>
      <c r="HO301" s="3" t="s">
        <v>3</v>
      </c>
      <c r="HP301" s="3" t="s">
        <v>3</v>
      </c>
      <c r="HQ301" s="3" t="s">
        <v>3</v>
      </c>
      <c r="HR301" s="3"/>
      <c r="HS301" s="3">
        <v>0</v>
      </c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>
        <v>0</v>
      </c>
      <c r="IL301" s="3"/>
      <c r="IM301" s="3"/>
      <c r="IN301" s="3"/>
      <c r="IO301" s="3"/>
      <c r="IP301" s="3"/>
      <c r="IQ301" s="3"/>
      <c r="IR301" s="3"/>
      <c r="IS301" s="3"/>
      <c r="IT301" s="3"/>
      <c r="IU301" s="3"/>
    </row>
    <row r="302" spans="1:255" x14ac:dyDescent="0.3">
      <c r="A302" s="2">
        <v>18</v>
      </c>
      <c r="B302" s="2">
        <v>1</v>
      </c>
      <c r="C302" s="2"/>
      <c r="D302" s="2"/>
      <c r="E302" s="2" t="s">
        <v>323</v>
      </c>
      <c r="F302" s="2" t="s">
        <v>324</v>
      </c>
      <c r="G302" s="2" t="s">
        <v>325</v>
      </c>
      <c r="H302" s="2" t="s">
        <v>223</v>
      </c>
      <c r="I302" s="2">
        <f>I292*J302</f>
        <v>0.16</v>
      </c>
      <c r="J302" s="2">
        <v>5.0156739811912229E-3</v>
      </c>
      <c r="K302" s="2">
        <v>5.0156699999999999E-3</v>
      </c>
      <c r="L302" s="2"/>
      <c r="M302" s="2"/>
      <c r="N302" s="2"/>
      <c r="O302" s="2">
        <f t="shared" si="238"/>
        <v>5.66</v>
      </c>
      <c r="P302" s="2">
        <f t="shared" si="239"/>
        <v>5.66</v>
      </c>
      <c r="Q302" s="2">
        <f t="shared" si="282"/>
        <v>0</v>
      </c>
      <c r="R302" s="2">
        <f t="shared" si="240"/>
        <v>0</v>
      </c>
      <c r="S302" s="2">
        <f t="shared" si="241"/>
        <v>0</v>
      </c>
      <c r="T302" s="2">
        <f t="shared" si="242"/>
        <v>0</v>
      </c>
      <c r="U302" s="2">
        <f t="shared" si="243"/>
        <v>0</v>
      </c>
      <c r="V302" s="2">
        <f t="shared" si="244"/>
        <v>0</v>
      </c>
      <c r="W302" s="2">
        <f t="shared" si="245"/>
        <v>0</v>
      </c>
      <c r="X302" s="2">
        <f t="shared" si="246"/>
        <v>0</v>
      </c>
      <c r="Y302" s="2">
        <f t="shared" si="247"/>
        <v>0</v>
      </c>
      <c r="Z302" s="2"/>
      <c r="AA302" s="2">
        <v>56505403</v>
      </c>
      <c r="AB302" s="2">
        <f t="shared" si="248"/>
        <v>35.4</v>
      </c>
      <c r="AC302" s="2">
        <f t="shared" si="249"/>
        <v>35.4</v>
      </c>
      <c r="AD302" s="2">
        <f t="shared" si="283"/>
        <v>0</v>
      </c>
      <c r="AE302" s="2">
        <f t="shared" si="284"/>
        <v>0</v>
      </c>
      <c r="AF302" s="2">
        <f t="shared" si="285"/>
        <v>0</v>
      </c>
      <c r="AG302" s="2">
        <f t="shared" si="250"/>
        <v>0</v>
      </c>
      <c r="AH302" s="2">
        <f t="shared" si="286"/>
        <v>0</v>
      </c>
      <c r="AI302" s="2">
        <f t="shared" si="287"/>
        <v>0</v>
      </c>
      <c r="AJ302" s="2">
        <f t="shared" si="251"/>
        <v>0</v>
      </c>
      <c r="AK302" s="2">
        <v>35.4</v>
      </c>
      <c r="AL302" s="2">
        <v>35.4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90</v>
      </c>
      <c r="AU302" s="2">
        <v>46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2</v>
      </c>
      <c r="BJ302" s="2" t="s">
        <v>326</v>
      </c>
      <c r="BK302" s="2"/>
      <c r="BL302" s="2"/>
      <c r="BM302" s="2">
        <v>68</v>
      </c>
      <c r="BN302" s="2">
        <v>0</v>
      </c>
      <c r="BO302" s="2" t="s">
        <v>3</v>
      </c>
      <c r="BP302" s="2">
        <v>0</v>
      </c>
      <c r="BQ302" s="2">
        <v>40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90</v>
      </c>
      <c r="CA302" s="2">
        <v>46</v>
      </c>
      <c r="CB302" s="2" t="s">
        <v>3</v>
      </c>
      <c r="CC302" s="2"/>
      <c r="CD302" s="2"/>
      <c r="CE302" s="2">
        <v>30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3</v>
      </c>
      <c r="CO302" s="2">
        <v>0</v>
      </c>
      <c r="CP302" s="2">
        <f t="shared" si="252"/>
        <v>5.66</v>
      </c>
      <c r="CQ302" s="2">
        <f t="shared" si="253"/>
        <v>35.4</v>
      </c>
      <c r="CR302" s="2">
        <f t="shared" si="288"/>
        <v>0</v>
      </c>
      <c r="CS302" s="2">
        <f t="shared" si="254"/>
        <v>0</v>
      </c>
      <c r="CT302" s="2">
        <f t="shared" si="255"/>
        <v>0</v>
      </c>
      <c r="CU302" s="2">
        <f t="shared" si="256"/>
        <v>0</v>
      </c>
      <c r="CV302" s="2">
        <f t="shared" si="257"/>
        <v>0</v>
      </c>
      <c r="CW302" s="2">
        <f t="shared" si="258"/>
        <v>0</v>
      </c>
      <c r="CX302" s="2">
        <f t="shared" si="259"/>
        <v>0</v>
      </c>
      <c r="CY302" s="2">
        <f t="shared" si="260"/>
        <v>0</v>
      </c>
      <c r="CZ302" s="2">
        <f t="shared" si="261"/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1010</v>
      </c>
      <c r="DV302" s="2" t="s">
        <v>223</v>
      </c>
      <c r="DW302" s="2" t="s">
        <v>223</v>
      </c>
      <c r="DX302" s="2">
        <v>100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58162630</v>
      </c>
      <c r="EF302" s="2">
        <v>40</v>
      </c>
      <c r="EG302" s="2" t="s">
        <v>25</v>
      </c>
      <c r="EH302" s="2">
        <v>0</v>
      </c>
      <c r="EI302" s="2" t="s">
        <v>3</v>
      </c>
      <c r="EJ302" s="2">
        <v>2</v>
      </c>
      <c r="EK302" s="2">
        <v>68</v>
      </c>
      <c r="EL302" s="2" t="s">
        <v>26</v>
      </c>
      <c r="EM302" s="2" t="s">
        <v>27</v>
      </c>
      <c r="EN302" s="2"/>
      <c r="EO302" s="2" t="s">
        <v>3</v>
      </c>
      <c r="EP302" s="2"/>
      <c r="EQ302" s="2">
        <v>0</v>
      </c>
      <c r="ER302" s="2">
        <v>35.4</v>
      </c>
      <c r="ES302" s="2">
        <v>35.4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90</v>
      </c>
      <c r="FY302" s="2">
        <v>46</v>
      </c>
      <c r="FZ302" s="2"/>
      <c r="GA302" s="2" t="s">
        <v>3</v>
      </c>
      <c r="GB302" s="2"/>
      <c r="GC302" s="2"/>
      <c r="GD302" s="2">
        <v>1</v>
      </c>
      <c r="GE302" s="2"/>
      <c r="GF302" s="2">
        <v>-520237615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262"/>
        <v>0</v>
      </c>
      <c r="GM302" s="2">
        <f t="shared" si="263"/>
        <v>5.66</v>
      </c>
      <c r="GN302" s="2">
        <f t="shared" si="264"/>
        <v>0</v>
      </c>
      <c r="GO302" s="2">
        <f t="shared" si="265"/>
        <v>5.66</v>
      </c>
      <c r="GP302" s="2">
        <f t="shared" si="266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267"/>
        <v>0</v>
      </c>
      <c r="GW302" s="2">
        <v>1</v>
      </c>
      <c r="GX302" s="2">
        <f t="shared" si="268"/>
        <v>0</v>
      </c>
      <c r="GY302" s="2"/>
      <c r="GZ302" s="2"/>
      <c r="HA302" s="2">
        <v>0</v>
      </c>
      <c r="HB302" s="2">
        <v>0</v>
      </c>
      <c r="HC302" s="2">
        <f t="shared" si="269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3">
      <c r="A303" s="3">
        <v>18</v>
      </c>
      <c r="B303" s="3">
        <v>1</v>
      </c>
      <c r="C303" s="3"/>
      <c r="D303" s="3"/>
      <c r="E303" s="3" t="s">
        <v>323</v>
      </c>
      <c r="F303" s="3" t="s">
        <v>324</v>
      </c>
      <c r="G303" s="3" t="s">
        <v>325</v>
      </c>
      <c r="H303" s="3" t="s">
        <v>223</v>
      </c>
      <c r="I303" s="3">
        <f>I293*J303</f>
        <v>0.16</v>
      </c>
      <c r="J303" s="3">
        <v>5.0156739811912229E-3</v>
      </c>
      <c r="K303" s="3">
        <v>5.0156699999999999E-3</v>
      </c>
      <c r="L303" s="3"/>
      <c r="M303" s="3"/>
      <c r="N303" s="3"/>
      <c r="O303" s="3">
        <f t="shared" si="238"/>
        <v>74.2</v>
      </c>
      <c r="P303" s="3">
        <f t="shared" si="239"/>
        <v>74.2</v>
      </c>
      <c r="Q303" s="3">
        <f t="shared" si="282"/>
        <v>0</v>
      </c>
      <c r="R303" s="3">
        <f t="shared" si="240"/>
        <v>0</v>
      </c>
      <c r="S303" s="3">
        <f t="shared" si="241"/>
        <v>0</v>
      </c>
      <c r="T303" s="3">
        <f t="shared" si="242"/>
        <v>0</v>
      </c>
      <c r="U303" s="3">
        <f t="shared" si="243"/>
        <v>0</v>
      </c>
      <c r="V303" s="3">
        <f t="shared" si="244"/>
        <v>0</v>
      </c>
      <c r="W303" s="3">
        <f t="shared" si="245"/>
        <v>0</v>
      </c>
      <c r="X303" s="3">
        <f t="shared" si="246"/>
        <v>0</v>
      </c>
      <c r="Y303" s="3">
        <f t="shared" si="247"/>
        <v>0</v>
      </c>
      <c r="Z303" s="3"/>
      <c r="AA303" s="3">
        <v>56505405</v>
      </c>
      <c r="AB303" s="3">
        <f t="shared" si="248"/>
        <v>35.4</v>
      </c>
      <c r="AC303" s="3">
        <f t="shared" si="249"/>
        <v>35.4</v>
      </c>
      <c r="AD303" s="3">
        <f t="shared" si="283"/>
        <v>0</v>
      </c>
      <c r="AE303" s="3">
        <f t="shared" si="284"/>
        <v>0</v>
      </c>
      <c r="AF303" s="3">
        <f t="shared" si="285"/>
        <v>0</v>
      </c>
      <c r="AG303" s="3">
        <f t="shared" si="250"/>
        <v>0</v>
      </c>
      <c r="AH303" s="3">
        <f t="shared" si="286"/>
        <v>0</v>
      </c>
      <c r="AI303" s="3">
        <f t="shared" si="287"/>
        <v>0</v>
      </c>
      <c r="AJ303" s="3">
        <f t="shared" si="251"/>
        <v>0</v>
      </c>
      <c r="AK303" s="3">
        <v>35.4</v>
      </c>
      <c r="AL303" s="3">
        <v>35.4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90</v>
      </c>
      <c r="AU303" s="3">
        <v>46</v>
      </c>
      <c r="AV303" s="3">
        <v>1</v>
      </c>
      <c r="AW303" s="3">
        <v>1</v>
      </c>
      <c r="AX303" s="3"/>
      <c r="AY303" s="3"/>
      <c r="AZ303" s="3">
        <v>1</v>
      </c>
      <c r="BA303" s="3">
        <v>1</v>
      </c>
      <c r="BB303" s="3">
        <v>1</v>
      </c>
      <c r="BC303" s="3">
        <v>13.11</v>
      </c>
      <c r="BD303" s="3" t="s">
        <v>3</v>
      </c>
      <c r="BE303" s="3" t="s">
        <v>3</v>
      </c>
      <c r="BF303" s="3" t="s">
        <v>3</v>
      </c>
      <c r="BG303" s="3" t="s">
        <v>3</v>
      </c>
      <c r="BH303" s="3">
        <v>3</v>
      </c>
      <c r="BI303" s="3">
        <v>2</v>
      </c>
      <c r="BJ303" s="3" t="s">
        <v>326</v>
      </c>
      <c r="BK303" s="3"/>
      <c r="BL303" s="3"/>
      <c r="BM303" s="3">
        <v>68</v>
      </c>
      <c r="BN303" s="3">
        <v>0</v>
      </c>
      <c r="BO303" s="3" t="s">
        <v>324</v>
      </c>
      <c r="BP303" s="3">
        <v>1</v>
      </c>
      <c r="BQ303" s="3">
        <v>40</v>
      </c>
      <c r="BR303" s="3">
        <v>0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 t="s">
        <v>3</v>
      </c>
      <c r="BZ303" s="3">
        <v>90</v>
      </c>
      <c r="CA303" s="3">
        <v>46</v>
      </c>
      <c r="CB303" s="3" t="s">
        <v>3</v>
      </c>
      <c r="CC303" s="3"/>
      <c r="CD303" s="3"/>
      <c r="CE303" s="3">
        <v>30</v>
      </c>
      <c r="CF303" s="3">
        <v>0</v>
      </c>
      <c r="CG303" s="3">
        <v>0</v>
      </c>
      <c r="CH303" s="3"/>
      <c r="CI303" s="3"/>
      <c r="CJ303" s="3"/>
      <c r="CK303" s="3"/>
      <c r="CL303" s="3"/>
      <c r="CM303" s="3">
        <v>0</v>
      </c>
      <c r="CN303" s="3" t="s">
        <v>3</v>
      </c>
      <c r="CO303" s="3">
        <v>0</v>
      </c>
      <c r="CP303" s="3">
        <f t="shared" si="252"/>
        <v>74.2</v>
      </c>
      <c r="CQ303" s="3">
        <f t="shared" si="253"/>
        <v>464.09</v>
      </c>
      <c r="CR303" s="3">
        <f t="shared" si="288"/>
        <v>0</v>
      </c>
      <c r="CS303" s="3">
        <f t="shared" si="254"/>
        <v>0</v>
      </c>
      <c r="CT303" s="3">
        <f t="shared" si="255"/>
        <v>0</v>
      </c>
      <c r="CU303" s="3">
        <f t="shared" si="256"/>
        <v>0</v>
      </c>
      <c r="CV303" s="3">
        <f t="shared" si="257"/>
        <v>0</v>
      </c>
      <c r="CW303" s="3">
        <f t="shared" si="258"/>
        <v>0</v>
      </c>
      <c r="CX303" s="3">
        <f t="shared" si="259"/>
        <v>0</v>
      </c>
      <c r="CY303" s="3">
        <f t="shared" si="260"/>
        <v>0</v>
      </c>
      <c r="CZ303" s="3">
        <f t="shared" si="261"/>
        <v>0</v>
      </c>
      <c r="DA303" s="3"/>
      <c r="DB303" s="3"/>
      <c r="DC303" s="3" t="s">
        <v>3</v>
      </c>
      <c r="DD303" s="3" t="s">
        <v>3</v>
      </c>
      <c r="DE303" s="3" t="s">
        <v>3</v>
      </c>
      <c r="DF303" s="3" t="s">
        <v>3</v>
      </c>
      <c r="DG303" s="3" t="s">
        <v>3</v>
      </c>
      <c r="DH303" s="3" t="s">
        <v>3</v>
      </c>
      <c r="DI303" s="3" t="s">
        <v>3</v>
      </c>
      <c r="DJ303" s="3" t="s">
        <v>3</v>
      </c>
      <c r="DK303" s="3" t="s">
        <v>3</v>
      </c>
      <c r="DL303" s="3" t="s">
        <v>3</v>
      </c>
      <c r="DM303" s="3" t="s">
        <v>3</v>
      </c>
      <c r="DN303" s="3">
        <v>0</v>
      </c>
      <c r="DO303" s="3">
        <v>0</v>
      </c>
      <c r="DP303" s="3">
        <v>1</v>
      </c>
      <c r="DQ303" s="3">
        <v>1</v>
      </c>
      <c r="DR303" s="3"/>
      <c r="DS303" s="3"/>
      <c r="DT303" s="3"/>
      <c r="DU303" s="3">
        <v>1010</v>
      </c>
      <c r="DV303" s="3" t="s">
        <v>223</v>
      </c>
      <c r="DW303" s="3" t="s">
        <v>223</v>
      </c>
      <c r="DX303" s="3">
        <v>100</v>
      </c>
      <c r="DY303" s="3"/>
      <c r="DZ303" s="3" t="s">
        <v>3</v>
      </c>
      <c r="EA303" s="3" t="s">
        <v>3</v>
      </c>
      <c r="EB303" s="3" t="s">
        <v>3</v>
      </c>
      <c r="EC303" s="3" t="s">
        <v>3</v>
      </c>
      <c r="ED303" s="3"/>
      <c r="EE303" s="3">
        <v>58162630</v>
      </c>
      <c r="EF303" s="3">
        <v>40</v>
      </c>
      <c r="EG303" s="3" t="s">
        <v>25</v>
      </c>
      <c r="EH303" s="3">
        <v>0</v>
      </c>
      <c r="EI303" s="3" t="s">
        <v>3</v>
      </c>
      <c r="EJ303" s="3">
        <v>2</v>
      </c>
      <c r="EK303" s="3">
        <v>68</v>
      </c>
      <c r="EL303" s="3" t="s">
        <v>26</v>
      </c>
      <c r="EM303" s="3" t="s">
        <v>27</v>
      </c>
      <c r="EN303" s="3"/>
      <c r="EO303" s="3" t="s">
        <v>3</v>
      </c>
      <c r="EP303" s="3"/>
      <c r="EQ303" s="3">
        <v>0</v>
      </c>
      <c r="ER303" s="3">
        <v>35.4</v>
      </c>
      <c r="ES303" s="3">
        <v>35.4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>
        <v>0</v>
      </c>
      <c r="FR303" s="3">
        <v>0</v>
      </c>
      <c r="FS303" s="3">
        <v>0</v>
      </c>
      <c r="FT303" s="3"/>
      <c r="FU303" s="3"/>
      <c r="FV303" s="3"/>
      <c r="FW303" s="3"/>
      <c r="FX303" s="3">
        <v>90</v>
      </c>
      <c r="FY303" s="3">
        <v>46</v>
      </c>
      <c r="FZ303" s="3"/>
      <c r="GA303" s="3" t="s">
        <v>3</v>
      </c>
      <c r="GB303" s="3"/>
      <c r="GC303" s="3"/>
      <c r="GD303" s="3">
        <v>1</v>
      </c>
      <c r="GE303" s="3"/>
      <c r="GF303" s="3">
        <v>-520237615</v>
      </c>
      <c r="GG303" s="3">
        <v>2</v>
      </c>
      <c r="GH303" s="3">
        <v>1</v>
      </c>
      <c r="GI303" s="3">
        <v>2</v>
      </c>
      <c r="GJ303" s="3">
        <v>0</v>
      </c>
      <c r="GK303" s="3">
        <v>0</v>
      </c>
      <c r="GL303" s="3">
        <f t="shared" si="262"/>
        <v>0</v>
      </c>
      <c r="GM303" s="3">
        <f t="shared" si="263"/>
        <v>74.2</v>
      </c>
      <c r="GN303" s="3">
        <f t="shared" si="264"/>
        <v>0</v>
      </c>
      <c r="GO303" s="3">
        <f t="shared" si="265"/>
        <v>74.2</v>
      </c>
      <c r="GP303" s="3">
        <f t="shared" si="266"/>
        <v>0</v>
      </c>
      <c r="GQ303" s="3"/>
      <c r="GR303" s="3">
        <v>0</v>
      </c>
      <c r="GS303" s="3">
        <v>3</v>
      </c>
      <c r="GT303" s="3">
        <v>0</v>
      </c>
      <c r="GU303" s="3" t="s">
        <v>3</v>
      </c>
      <c r="GV303" s="3">
        <f t="shared" si="267"/>
        <v>0</v>
      </c>
      <c r="GW303" s="3">
        <v>1</v>
      </c>
      <c r="GX303" s="3">
        <f t="shared" si="268"/>
        <v>0</v>
      </c>
      <c r="GY303" s="3"/>
      <c r="GZ303" s="3"/>
      <c r="HA303" s="3">
        <v>0</v>
      </c>
      <c r="HB303" s="3">
        <v>0</v>
      </c>
      <c r="HC303" s="3">
        <f t="shared" si="269"/>
        <v>0</v>
      </c>
      <c r="HD303" s="3"/>
      <c r="HE303" s="3" t="s">
        <v>3</v>
      </c>
      <c r="HF303" s="3" t="s">
        <v>3</v>
      </c>
      <c r="HG303" s="3"/>
      <c r="HH303" s="3"/>
      <c r="HI303" s="3"/>
      <c r="HJ303" s="3"/>
      <c r="HK303" s="3"/>
      <c r="HL303" s="3"/>
      <c r="HM303" s="3" t="s">
        <v>3</v>
      </c>
      <c r="HN303" s="3" t="s">
        <v>3</v>
      </c>
      <c r="HO303" s="3" t="s">
        <v>3</v>
      </c>
      <c r="HP303" s="3" t="s">
        <v>3</v>
      </c>
      <c r="HQ303" s="3" t="s">
        <v>3</v>
      </c>
      <c r="HR303" s="3"/>
      <c r="HS303" s="3">
        <v>0</v>
      </c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>
        <v>0</v>
      </c>
      <c r="IL303" s="3"/>
      <c r="IM303" s="3"/>
      <c r="IN303" s="3"/>
      <c r="IO303" s="3"/>
      <c r="IP303" s="3"/>
      <c r="IQ303" s="3"/>
      <c r="IR303" s="3"/>
      <c r="IS303" s="3"/>
      <c r="IT303" s="3"/>
      <c r="IU303" s="3"/>
    </row>
    <row r="304" spans="1:255" x14ac:dyDescent="0.3">
      <c r="A304" s="2">
        <v>18</v>
      </c>
      <c r="B304" s="2">
        <v>1</v>
      </c>
      <c r="C304" s="2"/>
      <c r="D304" s="2"/>
      <c r="E304" s="2" t="s">
        <v>327</v>
      </c>
      <c r="F304" s="2" t="s">
        <v>328</v>
      </c>
      <c r="G304" s="2" t="s">
        <v>329</v>
      </c>
      <c r="H304" s="2" t="s">
        <v>32</v>
      </c>
      <c r="I304" s="2">
        <f>I292*J304</f>
        <v>44</v>
      </c>
      <c r="J304" s="2">
        <v>1.3793103448275863</v>
      </c>
      <c r="K304" s="2">
        <v>1.37931034</v>
      </c>
      <c r="L304" s="2"/>
      <c r="M304" s="2"/>
      <c r="N304" s="2"/>
      <c r="O304" s="2">
        <f t="shared" si="238"/>
        <v>193.16</v>
      </c>
      <c r="P304" s="2">
        <f t="shared" si="239"/>
        <v>193.16</v>
      </c>
      <c r="Q304" s="2">
        <f t="shared" si="282"/>
        <v>0</v>
      </c>
      <c r="R304" s="2">
        <f t="shared" si="240"/>
        <v>0</v>
      </c>
      <c r="S304" s="2">
        <f t="shared" si="241"/>
        <v>0</v>
      </c>
      <c r="T304" s="2">
        <f t="shared" si="242"/>
        <v>0</v>
      </c>
      <c r="U304" s="2">
        <f t="shared" si="243"/>
        <v>0</v>
      </c>
      <c r="V304" s="2">
        <f t="shared" si="244"/>
        <v>0</v>
      </c>
      <c r="W304" s="2">
        <f t="shared" si="245"/>
        <v>0</v>
      </c>
      <c r="X304" s="2">
        <f t="shared" si="246"/>
        <v>0</v>
      </c>
      <c r="Y304" s="2">
        <f t="shared" si="247"/>
        <v>0</v>
      </c>
      <c r="Z304" s="2"/>
      <c r="AA304" s="2">
        <v>56505403</v>
      </c>
      <c r="AB304" s="2">
        <f t="shared" si="248"/>
        <v>4.3899999999999997</v>
      </c>
      <c r="AC304" s="2">
        <f t="shared" si="249"/>
        <v>4.3899999999999997</v>
      </c>
      <c r="AD304" s="2">
        <f t="shared" si="283"/>
        <v>0</v>
      </c>
      <c r="AE304" s="2">
        <f t="shared" si="284"/>
        <v>0</v>
      </c>
      <c r="AF304" s="2">
        <f t="shared" si="285"/>
        <v>0</v>
      </c>
      <c r="AG304" s="2">
        <f t="shared" si="250"/>
        <v>0</v>
      </c>
      <c r="AH304" s="2">
        <f t="shared" si="286"/>
        <v>0</v>
      </c>
      <c r="AI304" s="2">
        <f t="shared" si="287"/>
        <v>0</v>
      </c>
      <c r="AJ304" s="2">
        <f t="shared" si="251"/>
        <v>0</v>
      </c>
      <c r="AK304" s="2">
        <v>4.3899999999999997</v>
      </c>
      <c r="AL304" s="2">
        <v>4.3899999999999997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90</v>
      </c>
      <c r="AU304" s="2">
        <v>46</v>
      </c>
      <c r="AV304" s="2">
        <v>1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2</v>
      </c>
      <c r="BJ304" s="2" t="s">
        <v>3</v>
      </c>
      <c r="BK304" s="2"/>
      <c r="BL304" s="2"/>
      <c r="BM304" s="2">
        <v>68</v>
      </c>
      <c r="BN304" s="2">
        <v>0</v>
      </c>
      <c r="BO304" s="2" t="s">
        <v>3</v>
      </c>
      <c r="BP304" s="2">
        <v>0</v>
      </c>
      <c r="BQ304" s="2">
        <v>40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90</v>
      </c>
      <c r="CA304" s="2">
        <v>46</v>
      </c>
      <c r="CB304" s="2" t="s">
        <v>3</v>
      </c>
      <c r="CC304" s="2"/>
      <c r="CD304" s="2"/>
      <c r="CE304" s="2">
        <v>30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3</v>
      </c>
      <c r="CO304" s="2">
        <v>0</v>
      </c>
      <c r="CP304" s="2">
        <f t="shared" si="252"/>
        <v>193.16</v>
      </c>
      <c r="CQ304" s="2">
        <f t="shared" si="253"/>
        <v>4.3899999999999997</v>
      </c>
      <c r="CR304" s="2">
        <f t="shared" si="288"/>
        <v>0</v>
      </c>
      <c r="CS304" s="2">
        <f t="shared" si="254"/>
        <v>0</v>
      </c>
      <c r="CT304" s="2">
        <f t="shared" si="255"/>
        <v>0</v>
      </c>
      <c r="CU304" s="2">
        <f t="shared" si="256"/>
        <v>0</v>
      </c>
      <c r="CV304" s="2">
        <f t="shared" si="257"/>
        <v>0</v>
      </c>
      <c r="CW304" s="2">
        <f t="shared" si="258"/>
        <v>0</v>
      </c>
      <c r="CX304" s="2">
        <f t="shared" si="259"/>
        <v>0</v>
      </c>
      <c r="CY304" s="2">
        <f t="shared" si="260"/>
        <v>0</v>
      </c>
      <c r="CZ304" s="2">
        <f t="shared" si="261"/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1010</v>
      </c>
      <c r="DV304" s="2" t="s">
        <v>32</v>
      </c>
      <c r="DW304" s="2" t="s">
        <v>32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58162630</v>
      </c>
      <c r="EF304" s="2">
        <v>40</v>
      </c>
      <c r="EG304" s="2" t="s">
        <v>25</v>
      </c>
      <c r="EH304" s="2">
        <v>0</v>
      </c>
      <c r="EI304" s="2" t="s">
        <v>3</v>
      </c>
      <c r="EJ304" s="2">
        <v>2</v>
      </c>
      <c r="EK304" s="2">
        <v>68</v>
      </c>
      <c r="EL304" s="2" t="s">
        <v>26</v>
      </c>
      <c r="EM304" s="2" t="s">
        <v>27</v>
      </c>
      <c r="EN304" s="2"/>
      <c r="EO304" s="2" t="s">
        <v>3</v>
      </c>
      <c r="EP304" s="2"/>
      <c r="EQ304" s="2">
        <v>0</v>
      </c>
      <c r="ER304" s="2">
        <v>0</v>
      </c>
      <c r="ES304" s="2">
        <v>4.3899999999999997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90</v>
      </c>
      <c r="FY304" s="2">
        <v>46</v>
      </c>
      <c r="FZ304" s="2"/>
      <c r="GA304" s="2" t="s">
        <v>330</v>
      </c>
      <c r="GB304" s="2"/>
      <c r="GC304" s="2"/>
      <c r="GD304" s="2">
        <v>1</v>
      </c>
      <c r="GE304" s="2"/>
      <c r="GF304" s="2">
        <v>973940117</v>
      </c>
      <c r="GG304" s="2">
        <v>2</v>
      </c>
      <c r="GH304" s="2">
        <v>4</v>
      </c>
      <c r="GI304" s="2">
        <v>-2</v>
      </c>
      <c r="GJ304" s="2">
        <v>0</v>
      </c>
      <c r="GK304" s="2">
        <v>0</v>
      </c>
      <c r="GL304" s="2">
        <f t="shared" si="262"/>
        <v>0</v>
      </c>
      <c r="GM304" s="2">
        <f t="shared" si="263"/>
        <v>193.16</v>
      </c>
      <c r="GN304" s="2">
        <f t="shared" si="264"/>
        <v>0</v>
      </c>
      <c r="GO304" s="2">
        <f t="shared" si="265"/>
        <v>193.16</v>
      </c>
      <c r="GP304" s="2">
        <f t="shared" si="266"/>
        <v>0</v>
      </c>
      <c r="GQ304" s="2"/>
      <c r="GR304" s="2">
        <v>0</v>
      </c>
      <c r="GS304" s="2">
        <v>2</v>
      </c>
      <c r="GT304" s="2">
        <v>0</v>
      </c>
      <c r="GU304" s="2" t="s">
        <v>3</v>
      </c>
      <c r="GV304" s="2">
        <f t="shared" si="267"/>
        <v>0</v>
      </c>
      <c r="GW304" s="2">
        <v>1</v>
      </c>
      <c r="GX304" s="2">
        <f t="shared" si="268"/>
        <v>0</v>
      </c>
      <c r="GY304" s="2"/>
      <c r="GZ304" s="2"/>
      <c r="HA304" s="2">
        <v>0</v>
      </c>
      <c r="HB304" s="2">
        <v>0</v>
      </c>
      <c r="HC304" s="2">
        <f t="shared" si="269"/>
        <v>0</v>
      </c>
      <c r="HD304" s="2"/>
      <c r="HE304" s="2" t="s">
        <v>34</v>
      </c>
      <c r="HF304" s="2" t="s">
        <v>35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3">
      <c r="A305" s="3">
        <v>18</v>
      </c>
      <c r="B305" s="3">
        <v>1</v>
      </c>
      <c r="C305" s="3"/>
      <c r="D305" s="3"/>
      <c r="E305" s="3" t="s">
        <v>327</v>
      </c>
      <c r="F305" s="3" t="s">
        <v>328</v>
      </c>
      <c r="G305" s="3" t="s">
        <v>329</v>
      </c>
      <c r="H305" s="3" t="s">
        <v>32</v>
      </c>
      <c r="I305" s="3">
        <f>I293*J305</f>
        <v>44</v>
      </c>
      <c r="J305" s="3">
        <v>1.3793103448275863</v>
      </c>
      <c r="K305" s="3">
        <v>1.37931034</v>
      </c>
      <c r="L305" s="3"/>
      <c r="M305" s="3"/>
      <c r="N305" s="3"/>
      <c r="O305" s="3">
        <f t="shared" si="238"/>
        <v>1908.42</v>
      </c>
      <c r="P305" s="3">
        <f t="shared" si="239"/>
        <v>1908.42</v>
      </c>
      <c r="Q305" s="3">
        <f t="shared" si="282"/>
        <v>0</v>
      </c>
      <c r="R305" s="3">
        <f t="shared" si="240"/>
        <v>0</v>
      </c>
      <c r="S305" s="3">
        <f t="shared" si="241"/>
        <v>0</v>
      </c>
      <c r="T305" s="3">
        <f t="shared" si="242"/>
        <v>0</v>
      </c>
      <c r="U305" s="3">
        <f t="shared" si="243"/>
        <v>0</v>
      </c>
      <c r="V305" s="3">
        <f t="shared" si="244"/>
        <v>0</v>
      </c>
      <c r="W305" s="3">
        <f t="shared" si="245"/>
        <v>0</v>
      </c>
      <c r="X305" s="3">
        <f t="shared" si="246"/>
        <v>0</v>
      </c>
      <c r="Y305" s="3">
        <f t="shared" si="247"/>
        <v>0</v>
      </c>
      <c r="Z305" s="3"/>
      <c r="AA305" s="3">
        <v>56505405</v>
      </c>
      <c r="AB305" s="3">
        <f t="shared" si="248"/>
        <v>4.3899999999999997</v>
      </c>
      <c r="AC305" s="3">
        <f t="shared" si="249"/>
        <v>4.3899999999999997</v>
      </c>
      <c r="AD305" s="3">
        <f t="shared" si="283"/>
        <v>0</v>
      </c>
      <c r="AE305" s="3">
        <f t="shared" si="284"/>
        <v>0</v>
      </c>
      <c r="AF305" s="3">
        <f t="shared" si="285"/>
        <v>0</v>
      </c>
      <c r="AG305" s="3">
        <f t="shared" si="250"/>
        <v>0</v>
      </c>
      <c r="AH305" s="3">
        <f t="shared" si="286"/>
        <v>0</v>
      </c>
      <c r="AI305" s="3">
        <f t="shared" si="287"/>
        <v>0</v>
      </c>
      <c r="AJ305" s="3">
        <f t="shared" si="251"/>
        <v>0</v>
      </c>
      <c r="AK305" s="3">
        <v>4.3899999999999997</v>
      </c>
      <c r="AL305" s="3">
        <v>4.3899999999999997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90</v>
      </c>
      <c r="AU305" s="3">
        <v>46</v>
      </c>
      <c r="AV305" s="3">
        <v>1</v>
      </c>
      <c r="AW305" s="3">
        <v>1</v>
      </c>
      <c r="AX305" s="3"/>
      <c r="AY305" s="3"/>
      <c r="AZ305" s="3">
        <v>1</v>
      </c>
      <c r="BA305" s="3">
        <v>1</v>
      </c>
      <c r="BB305" s="3">
        <v>1</v>
      </c>
      <c r="BC305" s="3">
        <v>9.8800000000000008</v>
      </c>
      <c r="BD305" s="3" t="s">
        <v>3</v>
      </c>
      <c r="BE305" s="3" t="s">
        <v>3</v>
      </c>
      <c r="BF305" s="3" t="s">
        <v>3</v>
      </c>
      <c r="BG305" s="3" t="s">
        <v>3</v>
      </c>
      <c r="BH305" s="3">
        <v>3</v>
      </c>
      <c r="BI305" s="3">
        <v>2</v>
      </c>
      <c r="BJ305" s="3" t="s">
        <v>3</v>
      </c>
      <c r="BK305" s="3"/>
      <c r="BL305" s="3"/>
      <c r="BM305" s="3">
        <v>68</v>
      </c>
      <c r="BN305" s="3">
        <v>0</v>
      </c>
      <c r="BO305" s="3" t="s">
        <v>3</v>
      </c>
      <c r="BP305" s="3">
        <v>0</v>
      </c>
      <c r="BQ305" s="3">
        <v>40</v>
      </c>
      <c r="BR305" s="3">
        <v>0</v>
      </c>
      <c r="BS305" s="3">
        <v>1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 t="s">
        <v>3</v>
      </c>
      <c r="BZ305" s="3">
        <v>90</v>
      </c>
      <c r="CA305" s="3">
        <v>46</v>
      </c>
      <c r="CB305" s="3" t="s">
        <v>3</v>
      </c>
      <c r="CC305" s="3"/>
      <c r="CD305" s="3"/>
      <c r="CE305" s="3">
        <v>30</v>
      </c>
      <c r="CF305" s="3">
        <v>0</v>
      </c>
      <c r="CG305" s="3">
        <v>0</v>
      </c>
      <c r="CH305" s="3"/>
      <c r="CI305" s="3"/>
      <c r="CJ305" s="3"/>
      <c r="CK305" s="3"/>
      <c r="CL305" s="3"/>
      <c r="CM305" s="3">
        <v>0</v>
      </c>
      <c r="CN305" s="3" t="s">
        <v>3</v>
      </c>
      <c r="CO305" s="3">
        <v>0</v>
      </c>
      <c r="CP305" s="3">
        <f t="shared" si="252"/>
        <v>1908.42</v>
      </c>
      <c r="CQ305" s="3">
        <f t="shared" si="253"/>
        <v>43.37</v>
      </c>
      <c r="CR305" s="3">
        <f t="shared" si="288"/>
        <v>0</v>
      </c>
      <c r="CS305" s="3">
        <f t="shared" si="254"/>
        <v>0</v>
      </c>
      <c r="CT305" s="3">
        <f t="shared" si="255"/>
        <v>0</v>
      </c>
      <c r="CU305" s="3">
        <f t="shared" si="256"/>
        <v>0</v>
      </c>
      <c r="CV305" s="3">
        <f t="shared" si="257"/>
        <v>0</v>
      </c>
      <c r="CW305" s="3">
        <f t="shared" si="258"/>
        <v>0</v>
      </c>
      <c r="CX305" s="3">
        <f t="shared" si="259"/>
        <v>0</v>
      </c>
      <c r="CY305" s="3">
        <f t="shared" si="260"/>
        <v>0</v>
      </c>
      <c r="CZ305" s="3">
        <f t="shared" si="261"/>
        <v>0</v>
      </c>
      <c r="DA305" s="3"/>
      <c r="DB305" s="3"/>
      <c r="DC305" s="3" t="s">
        <v>3</v>
      </c>
      <c r="DD305" s="3" t="s">
        <v>3</v>
      </c>
      <c r="DE305" s="3" t="s">
        <v>3</v>
      </c>
      <c r="DF305" s="3" t="s">
        <v>3</v>
      </c>
      <c r="DG305" s="3" t="s">
        <v>3</v>
      </c>
      <c r="DH305" s="3" t="s">
        <v>3</v>
      </c>
      <c r="DI305" s="3" t="s">
        <v>3</v>
      </c>
      <c r="DJ305" s="3" t="s">
        <v>3</v>
      </c>
      <c r="DK305" s="3" t="s">
        <v>3</v>
      </c>
      <c r="DL305" s="3" t="s">
        <v>3</v>
      </c>
      <c r="DM305" s="3" t="s">
        <v>3</v>
      </c>
      <c r="DN305" s="3">
        <v>0</v>
      </c>
      <c r="DO305" s="3">
        <v>0</v>
      </c>
      <c r="DP305" s="3">
        <v>1</v>
      </c>
      <c r="DQ305" s="3">
        <v>1</v>
      </c>
      <c r="DR305" s="3"/>
      <c r="DS305" s="3"/>
      <c r="DT305" s="3"/>
      <c r="DU305" s="3">
        <v>1010</v>
      </c>
      <c r="DV305" s="3" t="s">
        <v>32</v>
      </c>
      <c r="DW305" s="3" t="s">
        <v>32</v>
      </c>
      <c r="DX305" s="3">
        <v>1</v>
      </c>
      <c r="DY305" s="3"/>
      <c r="DZ305" s="3" t="s">
        <v>3</v>
      </c>
      <c r="EA305" s="3" t="s">
        <v>3</v>
      </c>
      <c r="EB305" s="3" t="s">
        <v>3</v>
      </c>
      <c r="EC305" s="3" t="s">
        <v>3</v>
      </c>
      <c r="ED305" s="3"/>
      <c r="EE305" s="3">
        <v>58162630</v>
      </c>
      <c r="EF305" s="3">
        <v>40</v>
      </c>
      <c r="EG305" s="3" t="s">
        <v>25</v>
      </c>
      <c r="EH305" s="3">
        <v>0</v>
      </c>
      <c r="EI305" s="3" t="s">
        <v>3</v>
      </c>
      <c r="EJ305" s="3">
        <v>2</v>
      </c>
      <c r="EK305" s="3">
        <v>68</v>
      </c>
      <c r="EL305" s="3" t="s">
        <v>26</v>
      </c>
      <c r="EM305" s="3" t="s">
        <v>27</v>
      </c>
      <c r="EN305" s="3"/>
      <c r="EO305" s="3" t="s">
        <v>3</v>
      </c>
      <c r="EP305" s="3"/>
      <c r="EQ305" s="3">
        <v>0</v>
      </c>
      <c r="ER305" s="3">
        <v>4.3899999999999997</v>
      </c>
      <c r="ES305" s="3">
        <v>4.3899999999999997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/>
      <c r="EZ305" s="3">
        <v>5</v>
      </c>
      <c r="FA305" s="3"/>
      <c r="FB305" s="3"/>
      <c r="FC305" s="3">
        <v>1</v>
      </c>
      <c r="FD305" s="3">
        <v>18</v>
      </c>
      <c r="FE305" s="3"/>
      <c r="FF305" s="3">
        <v>51</v>
      </c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>
        <v>0</v>
      </c>
      <c r="FR305" s="3">
        <v>0</v>
      </c>
      <c r="FS305" s="3">
        <v>0</v>
      </c>
      <c r="FT305" s="3"/>
      <c r="FU305" s="3"/>
      <c r="FV305" s="3"/>
      <c r="FW305" s="3"/>
      <c r="FX305" s="3">
        <v>90</v>
      </c>
      <c r="FY305" s="3">
        <v>46</v>
      </c>
      <c r="FZ305" s="3"/>
      <c r="GA305" s="3" t="s">
        <v>330</v>
      </c>
      <c r="GB305" s="3"/>
      <c r="GC305" s="3"/>
      <c r="GD305" s="3">
        <v>1</v>
      </c>
      <c r="GE305" s="3"/>
      <c r="GF305" s="3">
        <v>973940117</v>
      </c>
      <c r="GG305" s="3">
        <v>2</v>
      </c>
      <c r="GH305" s="3">
        <v>3</v>
      </c>
      <c r="GI305" s="3">
        <v>5</v>
      </c>
      <c r="GJ305" s="3">
        <v>0</v>
      </c>
      <c r="GK305" s="3">
        <v>0</v>
      </c>
      <c r="GL305" s="3">
        <f t="shared" si="262"/>
        <v>0</v>
      </c>
      <c r="GM305" s="3">
        <f t="shared" si="263"/>
        <v>1908.42</v>
      </c>
      <c r="GN305" s="3">
        <f t="shared" si="264"/>
        <v>0</v>
      </c>
      <c r="GO305" s="3">
        <f t="shared" si="265"/>
        <v>1908.42</v>
      </c>
      <c r="GP305" s="3">
        <f t="shared" si="266"/>
        <v>0</v>
      </c>
      <c r="GQ305" s="3"/>
      <c r="GR305" s="3">
        <v>1</v>
      </c>
      <c r="GS305" s="3">
        <v>1</v>
      </c>
      <c r="GT305" s="3">
        <v>0</v>
      </c>
      <c r="GU305" s="3" t="s">
        <v>3</v>
      </c>
      <c r="GV305" s="3">
        <f t="shared" si="267"/>
        <v>0</v>
      </c>
      <c r="GW305" s="3">
        <v>1</v>
      </c>
      <c r="GX305" s="3">
        <f t="shared" si="268"/>
        <v>0</v>
      </c>
      <c r="GY305" s="3"/>
      <c r="GZ305" s="3"/>
      <c r="HA305" s="3">
        <v>0</v>
      </c>
      <c r="HB305" s="3">
        <v>0</v>
      </c>
      <c r="HC305" s="3">
        <f t="shared" si="269"/>
        <v>0</v>
      </c>
      <c r="HD305" s="3"/>
      <c r="HE305" s="3" t="s">
        <v>34</v>
      </c>
      <c r="HF305" s="3" t="s">
        <v>35</v>
      </c>
      <c r="HG305" s="3"/>
      <c r="HH305" s="3"/>
      <c r="HI305" s="3"/>
      <c r="HJ305" s="3"/>
      <c r="HK305" s="3"/>
      <c r="HL305" s="3"/>
      <c r="HM305" s="3" t="s">
        <v>3</v>
      </c>
      <c r="HN305" s="3" t="s">
        <v>3</v>
      </c>
      <c r="HO305" s="3" t="s">
        <v>3</v>
      </c>
      <c r="HP305" s="3" t="s">
        <v>3</v>
      </c>
      <c r="HQ305" s="3" t="s">
        <v>3</v>
      </c>
      <c r="HR305" s="3"/>
      <c r="HS305" s="3">
        <v>0</v>
      </c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>
        <v>0</v>
      </c>
      <c r="IL305" s="3"/>
      <c r="IM305" s="3"/>
      <c r="IN305" s="3"/>
      <c r="IO305" s="3"/>
      <c r="IP305" s="3"/>
      <c r="IQ305" s="3"/>
      <c r="IR305" s="3"/>
      <c r="IS305" s="3"/>
      <c r="IT305" s="3"/>
      <c r="IU305" s="3"/>
    </row>
    <row r="306" spans="1:255" x14ac:dyDescent="0.3">
      <c r="A306" s="2">
        <v>17</v>
      </c>
      <c r="B306" s="2">
        <v>1</v>
      </c>
      <c r="C306" s="2"/>
      <c r="D306" s="2">
        <f>ROW(EtalonRes!A238)</f>
        <v>238</v>
      </c>
      <c r="E306" s="2" t="s">
        <v>3</v>
      </c>
      <c r="F306" s="2" t="s">
        <v>331</v>
      </c>
      <c r="G306" s="2" t="s">
        <v>332</v>
      </c>
      <c r="H306" s="2" t="s">
        <v>281</v>
      </c>
      <c r="I306" s="2">
        <f>ROUND((500+18600+970-8440*2)/100,9)</f>
        <v>31.9</v>
      </c>
      <c r="J306" s="2">
        <v>0</v>
      </c>
      <c r="K306" s="2">
        <f>ROUND((500+18600+970-8440*2)/100,9)</f>
        <v>31.9</v>
      </c>
      <c r="L306" s="2"/>
      <c r="M306" s="2"/>
      <c r="N306" s="2"/>
      <c r="O306" s="2">
        <f t="shared" si="238"/>
        <v>6520.33</v>
      </c>
      <c r="P306" s="2">
        <f t="shared" si="239"/>
        <v>4013.98</v>
      </c>
      <c r="Q306" s="2">
        <f>(ROUND((ROUND((((ET306*1.1))*AV306*I306),2)*BB306),2)+ROUND((ROUND(((AE306-((EU306*1.1)))*AV306*I306),2)*BS306),2))</f>
        <v>96.26</v>
      </c>
      <c r="R306" s="2">
        <f t="shared" si="240"/>
        <v>11.02</v>
      </c>
      <c r="S306" s="2">
        <f t="shared" si="241"/>
        <v>2410.09</v>
      </c>
      <c r="T306" s="2">
        <f t="shared" si="242"/>
        <v>0</v>
      </c>
      <c r="U306" s="2">
        <f t="shared" si="243"/>
        <v>194.35052669999999</v>
      </c>
      <c r="V306" s="2">
        <f t="shared" si="244"/>
        <v>0</v>
      </c>
      <c r="W306" s="2">
        <f t="shared" si="245"/>
        <v>0</v>
      </c>
      <c r="X306" s="2">
        <f t="shared" si="246"/>
        <v>2348.48</v>
      </c>
      <c r="Y306" s="2">
        <f t="shared" si="247"/>
        <v>1234.77</v>
      </c>
      <c r="Z306" s="2"/>
      <c r="AA306" s="2">
        <v>-1</v>
      </c>
      <c r="AB306" s="2">
        <f t="shared" si="248"/>
        <v>200.87200000000001</v>
      </c>
      <c r="AC306" s="2">
        <f t="shared" si="249"/>
        <v>125.83</v>
      </c>
      <c r="AD306" s="2">
        <f>ROUND(((((ET306*1.1))-((EU306*1.1)))+AE306),6)</f>
        <v>2.8820000000000001</v>
      </c>
      <c r="AE306" s="2">
        <f>ROUND(((EU306*1.1)),6)</f>
        <v>0.33</v>
      </c>
      <c r="AF306" s="2">
        <f>ROUND(((EV306*1.1)),6)</f>
        <v>72.16</v>
      </c>
      <c r="AG306" s="2">
        <f t="shared" si="250"/>
        <v>0</v>
      </c>
      <c r="AH306" s="2">
        <f>((EW306*1.1))</f>
        <v>5.8190000000000008</v>
      </c>
      <c r="AI306" s="2">
        <f>((EX306*1.1))</f>
        <v>0</v>
      </c>
      <c r="AJ306" s="2">
        <f t="shared" si="251"/>
        <v>0</v>
      </c>
      <c r="AK306" s="2">
        <v>194.05</v>
      </c>
      <c r="AL306" s="2">
        <v>125.83</v>
      </c>
      <c r="AM306" s="2">
        <v>2.62</v>
      </c>
      <c r="AN306" s="2">
        <v>0.3</v>
      </c>
      <c r="AO306" s="2">
        <v>65.599999999999994</v>
      </c>
      <c r="AP306" s="2">
        <v>0</v>
      </c>
      <c r="AQ306" s="2">
        <v>5.29</v>
      </c>
      <c r="AR306" s="2">
        <v>0</v>
      </c>
      <c r="AS306" s="2">
        <v>0</v>
      </c>
      <c r="AT306" s="2">
        <v>97</v>
      </c>
      <c r="AU306" s="2">
        <v>51</v>
      </c>
      <c r="AV306" s="2">
        <v>1.0469999999999999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0</v>
      </c>
      <c r="BI306" s="2">
        <v>2</v>
      </c>
      <c r="BJ306" s="2" t="s">
        <v>333</v>
      </c>
      <c r="BK306" s="2"/>
      <c r="BL306" s="2"/>
      <c r="BM306" s="2">
        <v>67</v>
      </c>
      <c r="BN306" s="2">
        <v>0</v>
      </c>
      <c r="BO306" s="2" t="s">
        <v>331</v>
      </c>
      <c r="BP306" s="2">
        <v>1</v>
      </c>
      <c r="BQ306" s="2">
        <v>40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97</v>
      </c>
      <c r="CA306" s="2">
        <v>51</v>
      </c>
      <c r="CB306" s="2" t="s">
        <v>3</v>
      </c>
      <c r="CC306" s="2"/>
      <c r="CD306" s="2"/>
      <c r="CE306" s="2">
        <v>30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252"/>
        <v>6520.33</v>
      </c>
      <c r="CQ306" s="2">
        <f t="shared" si="253"/>
        <v>125.83</v>
      </c>
      <c r="CR306" s="2">
        <f>(ROUND((ROUND((((ET306*1.1))*AV306*1),2)*BB306),2)+ROUND((ROUND(((AE306-((EU306*1.1)))*AV306*1),2)*BS306),2))</f>
        <v>3.02</v>
      </c>
      <c r="CS306" s="2">
        <f t="shared" si="254"/>
        <v>0.35</v>
      </c>
      <c r="CT306" s="2">
        <f t="shared" si="255"/>
        <v>75.55</v>
      </c>
      <c r="CU306" s="2">
        <f t="shared" si="256"/>
        <v>0</v>
      </c>
      <c r="CV306" s="2">
        <f t="shared" si="257"/>
        <v>6.0924930000000002</v>
      </c>
      <c r="CW306" s="2">
        <f t="shared" si="258"/>
        <v>0</v>
      </c>
      <c r="CX306" s="2">
        <f t="shared" si="259"/>
        <v>0</v>
      </c>
      <c r="CY306" s="2">
        <f t="shared" si="260"/>
        <v>2348.4767000000002</v>
      </c>
      <c r="CZ306" s="2">
        <f t="shared" si="261"/>
        <v>1234.7661000000001</v>
      </c>
      <c r="DA306" s="2"/>
      <c r="DB306" s="2"/>
      <c r="DC306" s="2" t="s">
        <v>3</v>
      </c>
      <c r="DD306" s="2" t="s">
        <v>3</v>
      </c>
      <c r="DE306" s="2" t="s">
        <v>24</v>
      </c>
      <c r="DF306" s="2" t="s">
        <v>24</v>
      </c>
      <c r="DG306" s="2" t="s">
        <v>24</v>
      </c>
      <c r="DH306" s="2" t="s">
        <v>3</v>
      </c>
      <c r="DI306" s="2" t="s">
        <v>24</v>
      </c>
      <c r="DJ306" s="2" t="s">
        <v>24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1003</v>
      </c>
      <c r="DV306" s="2" t="s">
        <v>281</v>
      </c>
      <c r="DW306" s="2" t="s">
        <v>281</v>
      </c>
      <c r="DX306" s="2">
        <v>100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58162629</v>
      </c>
      <c r="EF306" s="2">
        <v>40</v>
      </c>
      <c r="EG306" s="2" t="s">
        <v>25</v>
      </c>
      <c r="EH306" s="2">
        <v>0</v>
      </c>
      <c r="EI306" s="2" t="s">
        <v>3</v>
      </c>
      <c r="EJ306" s="2">
        <v>2</v>
      </c>
      <c r="EK306" s="2">
        <v>67</v>
      </c>
      <c r="EL306" s="2" t="s">
        <v>225</v>
      </c>
      <c r="EM306" s="2" t="s">
        <v>226</v>
      </c>
      <c r="EN306" s="2"/>
      <c r="EO306" s="2" t="s">
        <v>28</v>
      </c>
      <c r="EP306" s="2"/>
      <c r="EQ306" s="2">
        <v>1024</v>
      </c>
      <c r="ER306" s="2">
        <v>194.05</v>
      </c>
      <c r="ES306" s="2">
        <v>125.83</v>
      </c>
      <c r="ET306" s="2">
        <v>2.62</v>
      </c>
      <c r="EU306" s="2">
        <v>0.3</v>
      </c>
      <c r="EV306" s="2">
        <v>65.599999999999994</v>
      </c>
      <c r="EW306" s="2">
        <v>5.29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97</v>
      </c>
      <c r="FY306" s="2">
        <v>51</v>
      </c>
      <c r="FZ306" s="2"/>
      <c r="GA306" s="2" t="s">
        <v>3</v>
      </c>
      <c r="GB306" s="2"/>
      <c r="GC306" s="2"/>
      <c r="GD306" s="2">
        <v>1</v>
      </c>
      <c r="GE306" s="2"/>
      <c r="GF306" s="2">
        <v>-261515912</v>
      </c>
      <c r="GG306" s="2">
        <v>2</v>
      </c>
      <c r="GH306" s="2">
        <v>1</v>
      </c>
      <c r="GI306" s="2">
        <v>2</v>
      </c>
      <c r="GJ306" s="2">
        <v>0</v>
      </c>
      <c r="GK306" s="2">
        <v>0</v>
      </c>
      <c r="GL306" s="2">
        <f t="shared" si="262"/>
        <v>0</v>
      </c>
      <c r="GM306" s="2">
        <f t="shared" si="263"/>
        <v>10103.58</v>
      </c>
      <c r="GN306" s="2">
        <f t="shared" si="264"/>
        <v>0</v>
      </c>
      <c r="GO306" s="2">
        <f t="shared" si="265"/>
        <v>10103.58</v>
      </c>
      <c r="GP306" s="2">
        <f t="shared" si="266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267"/>
        <v>0</v>
      </c>
      <c r="GW306" s="2">
        <v>1</v>
      </c>
      <c r="GX306" s="2">
        <f t="shared" si="268"/>
        <v>0</v>
      </c>
      <c r="GY306" s="2"/>
      <c r="GZ306" s="2"/>
      <c r="HA306" s="2">
        <v>0</v>
      </c>
      <c r="HB306" s="2">
        <v>0</v>
      </c>
      <c r="HC306" s="2">
        <f t="shared" si="269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3">
      <c r="A307" s="3">
        <v>17</v>
      </c>
      <c r="B307" s="3">
        <v>1</v>
      </c>
      <c r="C307" s="3"/>
      <c r="D307" s="3">
        <f>ROW(EtalonRes!A244)</f>
        <v>244</v>
      </c>
      <c r="E307" s="3" t="s">
        <v>3</v>
      </c>
      <c r="F307" s="3" t="s">
        <v>331</v>
      </c>
      <c r="G307" s="3" t="s">
        <v>332</v>
      </c>
      <c r="H307" s="3" t="s">
        <v>281</v>
      </c>
      <c r="I307" s="3">
        <f>ROUND((500+18600+970-8440*2)/100,9)</f>
        <v>31.9</v>
      </c>
      <c r="J307" s="3">
        <v>0</v>
      </c>
      <c r="K307" s="3">
        <f>ROUND((500+18600+970-8440*2)/100,9)</f>
        <v>31.9</v>
      </c>
      <c r="L307" s="3"/>
      <c r="M307" s="3"/>
      <c r="N307" s="3"/>
      <c r="O307" s="3">
        <f t="shared" si="238"/>
        <v>149828.72</v>
      </c>
      <c r="P307" s="3">
        <f t="shared" si="239"/>
        <v>15895.36</v>
      </c>
      <c r="Q307" s="3">
        <f>(ROUND((ROUND((((ET307*1.1))*AV307*I307),2)*BB307),2)+ROUND((ROUND(((AE307-((EU307*1.1)))*AV307*I307),2)*BS307),2))</f>
        <v>1402.51</v>
      </c>
      <c r="R307" s="3">
        <f t="shared" si="240"/>
        <v>605.99</v>
      </c>
      <c r="S307" s="3">
        <f t="shared" si="241"/>
        <v>132530.85</v>
      </c>
      <c r="T307" s="3">
        <f t="shared" si="242"/>
        <v>0</v>
      </c>
      <c r="U307" s="3">
        <f t="shared" si="243"/>
        <v>194.35052669999999</v>
      </c>
      <c r="V307" s="3">
        <f t="shared" si="244"/>
        <v>0</v>
      </c>
      <c r="W307" s="3">
        <f t="shared" si="245"/>
        <v>0</v>
      </c>
      <c r="X307" s="3">
        <f t="shared" si="246"/>
        <v>129142.73</v>
      </c>
      <c r="Y307" s="3">
        <f t="shared" si="247"/>
        <v>67899.789999999994</v>
      </c>
      <c r="Z307" s="3"/>
      <c r="AA307" s="3">
        <v>-1</v>
      </c>
      <c r="AB307" s="3">
        <f t="shared" si="248"/>
        <v>200.87200000000001</v>
      </c>
      <c r="AC307" s="3">
        <f t="shared" si="249"/>
        <v>125.83</v>
      </c>
      <c r="AD307" s="3">
        <f>ROUND(((((ET307*1.1))-((EU307*1.1)))+AE307),6)</f>
        <v>2.8820000000000001</v>
      </c>
      <c r="AE307" s="3">
        <f>ROUND(((EU307*1.1)),6)</f>
        <v>0.33</v>
      </c>
      <c r="AF307" s="3">
        <f>ROUND(((EV307*1.1)),6)</f>
        <v>72.16</v>
      </c>
      <c r="AG307" s="3">
        <f t="shared" si="250"/>
        <v>0</v>
      </c>
      <c r="AH307" s="3">
        <f>((EW307*1.1))</f>
        <v>5.8190000000000008</v>
      </c>
      <c r="AI307" s="3">
        <f>((EX307*1.1))</f>
        <v>0</v>
      </c>
      <c r="AJ307" s="3">
        <f t="shared" si="251"/>
        <v>0</v>
      </c>
      <c r="AK307" s="3">
        <v>194.05</v>
      </c>
      <c r="AL307" s="3">
        <v>125.83</v>
      </c>
      <c r="AM307" s="3">
        <v>2.62</v>
      </c>
      <c r="AN307" s="3">
        <v>0.3</v>
      </c>
      <c r="AO307" s="3">
        <v>65.599999999999994</v>
      </c>
      <c r="AP307" s="3">
        <v>0</v>
      </c>
      <c r="AQ307" s="3">
        <v>5.29</v>
      </c>
      <c r="AR307" s="3">
        <v>0</v>
      </c>
      <c r="AS307" s="3">
        <v>0</v>
      </c>
      <c r="AT307" s="3">
        <v>97</v>
      </c>
      <c r="AU307" s="3">
        <v>51</v>
      </c>
      <c r="AV307" s="3">
        <v>1.0469999999999999</v>
      </c>
      <c r="AW307" s="3">
        <v>1</v>
      </c>
      <c r="AX307" s="3"/>
      <c r="AY307" s="3"/>
      <c r="AZ307" s="3">
        <v>1</v>
      </c>
      <c r="BA307" s="3">
        <v>54.99</v>
      </c>
      <c r="BB307" s="3">
        <v>14.57</v>
      </c>
      <c r="BC307" s="3">
        <v>3.96</v>
      </c>
      <c r="BD307" s="3" t="s">
        <v>3</v>
      </c>
      <c r="BE307" s="3" t="s">
        <v>3</v>
      </c>
      <c r="BF307" s="3" t="s">
        <v>3</v>
      </c>
      <c r="BG307" s="3" t="s">
        <v>3</v>
      </c>
      <c r="BH307" s="3">
        <v>0</v>
      </c>
      <c r="BI307" s="3">
        <v>2</v>
      </c>
      <c r="BJ307" s="3" t="s">
        <v>333</v>
      </c>
      <c r="BK307" s="3"/>
      <c r="BL307" s="3"/>
      <c r="BM307" s="3">
        <v>67</v>
      </c>
      <c r="BN307" s="3">
        <v>0</v>
      </c>
      <c r="BO307" s="3" t="s">
        <v>331</v>
      </c>
      <c r="BP307" s="3">
        <v>1</v>
      </c>
      <c r="BQ307" s="3">
        <v>40</v>
      </c>
      <c r="BR307" s="3">
        <v>0</v>
      </c>
      <c r="BS307" s="3">
        <v>54.99</v>
      </c>
      <c r="BT307" s="3">
        <v>1</v>
      </c>
      <c r="BU307" s="3">
        <v>1</v>
      </c>
      <c r="BV307" s="3">
        <v>1</v>
      </c>
      <c r="BW307" s="3">
        <v>1</v>
      </c>
      <c r="BX307" s="3">
        <v>1</v>
      </c>
      <c r="BY307" s="3" t="s">
        <v>3</v>
      </c>
      <c r="BZ307" s="3">
        <v>97</v>
      </c>
      <c r="CA307" s="3">
        <v>51</v>
      </c>
      <c r="CB307" s="3" t="s">
        <v>3</v>
      </c>
      <c r="CC307" s="3"/>
      <c r="CD307" s="3"/>
      <c r="CE307" s="3">
        <v>30</v>
      </c>
      <c r="CF307" s="3">
        <v>0</v>
      </c>
      <c r="CG307" s="3">
        <v>0</v>
      </c>
      <c r="CH307" s="3"/>
      <c r="CI307" s="3"/>
      <c r="CJ307" s="3"/>
      <c r="CK307" s="3"/>
      <c r="CL307" s="3"/>
      <c r="CM307" s="3">
        <v>0</v>
      </c>
      <c r="CN307" s="3" t="s">
        <v>3</v>
      </c>
      <c r="CO307" s="3">
        <v>0</v>
      </c>
      <c r="CP307" s="3">
        <f t="shared" si="252"/>
        <v>149828.72</v>
      </c>
      <c r="CQ307" s="3">
        <f t="shared" si="253"/>
        <v>498.29</v>
      </c>
      <c r="CR307" s="3">
        <f>(ROUND((ROUND((((ET307*1.1))*AV307*1),2)*BB307),2)+ROUND((ROUND(((AE307-((EU307*1.1)))*AV307*1),2)*BS307),2))</f>
        <v>44</v>
      </c>
      <c r="CS307" s="3">
        <f t="shared" si="254"/>
        <v>19.25</v>
      </c>
      <c r="CT307" s="3">
        <f t="shared" si="255"/>
        <v>4154.49</v>
      </c>
      <c r="CU307" s="3">
        <f t="shared" si="256"/>
        <v>0</v>
      </c>
      <c r="CV307" s="3">
        <f t="shared" si="257"/>
        <v>6.0924930000000002</v>
      </c>
      <c r="CW307" s="3">
        <f t="shared" si="258"/>
        <v>0</v>
      </c>
      <c r="CX307" s="3">
        <f t="shared" si="259"/>
        <v>0</v>
      </c>
      <c r="CY307" s="3">
        <f t="shared" si="260"/>
        <v>129142.73480000001</v>
      </c>
      <c r="CZ307" s="3">
        <f t="shared" si="261"/>
        <v>67899.788400000005</v>
      </c>
      <c r="DA307" s="3"/>
      <c r="DB307" s="3"/>
      <c r="DC307" s="3" t="s">
        <v>3</v>
      </c>
      <c r="DD307" s="3" t="s">
        <v>3</v>
      </c>
      <c r="DE307" s="3" t="s">
        <v>24</v>
      </c>
      <c r="DF307" s="3" t="s">
        <v>24</v>
      </c>
      <c r="DG307" s="3" t="s">
        <v>24</v>
      </c>
      <c r="DH307" s="3" t="s">
        <v>3</v>
      </c>
      <c r="DI307" s="3" t="s">
        <v>24</v>
      </c>
      <c r="DJ307" s="3" t="s">
        <v>24</v>
      </c>
      <c r="DK307" s="3" t="s">
        <v>3</v>
      </c>
      <c r="DL307" s="3" t="s">
        <v>3</v>
      </c>
      <c r="DM307" s="3" t="s">
        <v>3</v>
      </c>
      <c r="DN307" s="3">
        <v>0</v>
      </c>
      <c r="DO307" s="3">
        <v>0</v>
      </c>
      <c r="DP307" s="3">
        <v>1</v>
      </c>
      <c r="DQ307" s="3">
        <v>1</v>
      </c>
      <c r="DR307" s="3"/>
      <c r="DS307" s="3"/>
      <c r="DT307" s="3"/>
      <c r="DU307" s="3">
        <v>1003</v>
      </c>
      <c r="DV307" s="3" t="s">
        <v>281</v>
      </c>
      <c r="DW307" s="3" t="s">
        <v>281</v>
      </c>
      <c r="DX307" s="3">
        <v>100</v>
      </c>
      <c r="DY307" s="3"/>
      <c r="DZ307" s="3" t="s">
        <v>3</v>
      </c>
      <c r="EA307" s="3" t="s">
        <v>3</v>
      </c>
      <c r="EB307" s="3" t="s">
        <v>3</v>
      </c>
      <c r="EC307" s="3" t="s">
        <v>3</v>
      </c>
      <c r="ED307" s="3"/>
      <c r="EE307" s="3">
        <v>58162629</v>
      </c>
      <c r="EF307" s="3">
        <v>40</v>
      </c>
      <c r="EG307" s="3" t="s">
        <v>25</v>
      </c>
      <c r="EH307" s="3">
        <v>0</v>
      </c>
      <c r="EI307" s="3" t="s">
        <v>3</v>
      </c>
      <c r="EJ307" s="3">
        <v>2</v>
      </c>
      <c r="EK307" s="3">
        <v>67</v>
      </c>
      <c r="EL307" s="3" t="s">
        <v>225</v>
      </c>
      <c r="EM307" s="3" t="s">
        <v>226</v>
      </c>
      <c r="EN307" s="3"/>
      <c r="EO307" s="3" t="s">
        <v>28</v>
      </c>
      <c r="EP307" s="3"/>
      <c r="EQ307" s="3">
        <v>1024</v>
      </c>
      <c r="ER307" s="3">
        <v>194.05</v>
      </c>
      <c r="ES307" s="3">
        <v>125.83</v>
      </c>
      <c r="ET307" s="3">
        <v>2.62</v>
      </c>
      <c r="EU307" s="3">
        <v>0.3</v>
      </c>
      <c r="EV307" s="3">
        <v>65.599999999999994</v>
      </c>
      <c r="EW307" s="3">
        <v>5.29</v>
      </c>
      <c r="EX307" s="3">
        <v>0</v>
      </c>
      <c r="EY307" s="3">
        <v>0</v>
      </c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>
        <v>0</v>
      </c>
      <c r="FR307" s="3">
        <v>0</v>
      </c>
      <c r="FS307" s="3">
        <v>0</v>
      </c>
      <c r="FT307" s="3"/>
      <c r="FU307" s="3"/>
      <c r="FV307" s="3"/>
      <c r="FW307" s="3"/>
      <c r="FX307" s="3">
        <v>97</v>
      </c>
      <c r="FY307" s="3">
        <v>51</v>
      </c>
      <c r="FZ307" s="3"/>
      <c r="GA307" s="3" t="s">
        <v>3</v>
      </c>
      <c r="GB307" s="3"/>
      <c r="GC307" s="3"/>
      <c r="GD307" s="3">
        <v>1</v>
      </c>
      <c r="GE307" s="3"/>
      <c r="GF307" s="3">
        <v>-261515912</v>
      </c>
      <c r="GG307" s="3">
        <v>2</v>
      </c>
      <c r="GH307" s="3">
        <v>1</v>
      </c>
      <c r="GI307" s="3">
        <v>2</v>
      </c>
      <c r="GJ307" s="3">
        <v>0</v>
      </c>
      <c r="GK307" s="3">
        <v>0</v>
      </c>
      <c r="GL307" s="3">
        <f t="shared" si="262"/>
        <v>0</v>
      </c>
      <c r="GM307" s="3">
        <f t="shared" si="263"/>
        <v>346871.24</v>
      </c>
      <c r="GN307" s="3">
        <f t="shared" si="264"/>
        <v>0</v>
      </c>
      <c r="GO307" s="3">
        <f t="shared" si="265"/>
        <v>346871.24</v>
      </c>
      <c r="GP307" s="3">
        <f t="shared" si="266"/>
        <v>0</v>
      </c>
      <c r="GQ307" s="3"/>
      <c r="GR307" s="3">
        <v>0</v>
      </c>
      <c r="GS307" s="3">
        <v>3</v>
      </c>
      <c r="GT307" s="3">
        <v>0</v>
      </c>
      <c r="GU307" s="3" t="s">
        <v>3</v>
      </c>
      <c r="GV307" s="3">
        <f t="shared" si="267"/>
        <v>0</v>
      </c>
      <c r="GW307" s="3">
        <v>1</v>
      </c>
      <c r="GX307" s="3">
        <f t="shared" si="268"/>
        <v>0</v>
      </c>
      <c r="GY307" s="3"/>
      <c r="GZ307" s="3"/>
      <c r="HA307" s="3">
        <v>0</v>
      </c>
      <c r="HB307" s="3">
        <v>0</v>
      </c>
      <c r="HC307" s="3">
        <f t="shared" si="269"/>
        <v>0</v>
      </c>
      <c r="HD307" s="3"/>
      <c r="HE307" s="3" t="s">
        <v>3</v>
      </c>
      <c r="HF307" s="3" t="s">
        <v>3</v>
      </c>
      <c r="HG307" s="3"/>
      <c r="HH307" s="3"/>
      <c r="HI307" s="3"/>
      <c r="HJ307" s="3"/>
      <c r="HK307" s="3"/>
      <c r="HL307" s="3"/>
      <c r="HM307" s="3" t="s">
        <v>3</v>
      </c>
      <c r="HN307" s="3" t="s">
        <v>3</v>
      </c>
      <c r="HO307" s="3" t="s">
        <v>3</v>
      </c>
      <c r="HP307" s="3" t="s">
        <v>3</v>
      </c>
      <c r="HQ307" s="3" t="s">
        <v>3</v>
      </c>
      <c r="HR307" s="3"/>
      <c r="HS307" s="3">
        <v>0</v>
      </c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>
        <v>0</v>
      </c>
      <c r="IL307" s="3"/>
      <c r="IM307" s="3"/>
      <c r="IN307" s="3"/>
      <c r="IO307" s="3"/>
      <c r="IP307" s="3"/>
      <c r="IQ307" s="3"/>
      <c r="IR307" s="3"/>
      <c r="IS307" s="3"/>
      <c r="IT307" s="3"/>
      <c r="IU307" s="3"/>
    </row>
    <row r="308" spans="1:255" x14ac:dyDescent="0.3">
      <c r="A308" s="2">
        <v>18</v>
      </c>
      <c r="B308" s="2">
        <v>1</v>
      </c>
      <c r="C308" s="2"/>
      <c r="D308" s="2"/>
      <c r="E308" s="2" t="s">
        <v>3</v>
      </c>
      <c r="F308" s="2" t="s">
        <v>311</v>
      </c>
      <c r="G308" s="2" t="s">
        <v>312</v>
      </c>
      <c r="H308" s="2" t="s">
        <v>295</v>
      </c>
      <c r="I308" s="2">
        <f>I306*J308</f>
        <v>0.51</v>
      </c>
      <c r="J308" s="2">
        <v>1.5987460815047021E-2</v>
      </c>
      <c r="K308" s="2">
        <v>1.5987459999999998E-2</v>
      </c>
      <c r="L308" s="2"/>
      <c r="M308" s="2"/>
      <c r="N308" s="2"/>
      <c r="O308" s="2">
        <f t="shared" ref="O308:O337" si="289">ROUND(CP308,2)</f>
        <v>3568.91</v>
      </c>
      <c r="P308" s="2">
        <f t="shared" ref="P308:P337" si="290">ROUND((ROUND((AC308*AW308*I308),2)*BC308),2)</f>
        <v>3568.91</v>
      </c>
      <c r="Q308" s="2">
        <f t="shared" ref="Q308:Q319" si="291">(ROUND((ROUND(((ET308)*AV308*I308),2)*BB308),2)+ROUND((ROUND(((AE308-(EU308))*AV308*I308),2)*BS308),2))</f>
        <v>0</v>
      </c>
      <c r="R308" s="2">
        <f t="shared" ref="R308:R337" si="292">ROUND((ROUND((AE308*AV308*I308),2)*BS308),2)</f>
        <v>0</v>
      </c>
      <c r="S308" s="2">
        <f t="shared" ref="S308:S337" si="293">ROUND((ROUND((AF308*AV308*I308),2)*BA308),2)</f>
        <v>0</v>
      </c>
      <c r="T308" s="2">
        <f t="shared" ref="T308:T337" si="294">ROUND(CU308*I308,2)</f>
        <v>0</v>
      </c>
      <c r="U308" s="2">
        <f t="shared" ref="U308:U337" si="295">CV308*I308</f>
        <v>0</v>
      </c>
      <c r="V308" s="2">
        <f t="shared" ref="V308:V337" si="296">CW308*I308</f>
        <v>0</v>
      </c>
      <c r="W308" s="2">
        <f t="shared" ref="W308:W337" si="297">ROUND(CX308*I308,2)</f>
        <v>0</v>
      </c>
      <c r="X308" s="2">
        <f t="shared" ref="X308:X337" si="298">ROUND(CY308,2)</f>
        <v>0</v>
      </c>
      <c r="Y308" s="2">
        <f t="shared" ref="Y308:Y337" si="299">ROUND(CZ308,2)</f>
        <v>0</v>
      </c>
      <c r="Z308" s="2"/>
      <c r="AA308" s="2">
        <v>-1</v>
      </c>
      <c r="AB308" s="2">
        <f t="shared" ref="AB308:AB337" si="300">ROUND((AC308+AD308+AF308),6)</f>
        <v>6997.87</v>
      </c>
      <c r="AC308" s="2">
        <f t="shared" ref="AC308:AC337" si="301">ROUND((ES308),6)</f>
        <v>6997.87</v>
      </c>
      <c r="AD308" s="2">
        <f t="shared" ref="AD308:AD319" si="302">ROUND((((ET308)-(EU308))+AE308),6)</f>
        <v>0</v>
      </c>
      <c r="AE308" s="2">
        <f t="shared" ref="AE308:AE319" si="303">ROUND((EU308),6)</f>
        <v>0</v>
      </c>
      <c r="AF308" s="2">
        <f t="shared" ref="AF308:AF319" si="304">ROUND((EV308),6)</f>
        <v>0</v>
      </c>
      <c r="AG308" s="2">
        <f t="shared" ref="AG308:AG337" si="305">ROUND((AP308),6)</f>
        <v>0</v>
      </c>
      <c r="AH308" s="2">
        <f t="shared" ref="AH308:AH319" si="306">(EW308)</f>
        <v>0</v>
      </c>
      <c r="AI308" s="2">
        <f t="shared" ref="AI308:AI319" si="307">(EX308)</f>
        <v>0</v>
      </c>
      <c r="AJ308" s="2">
        <f t="shared" ref="AJ308:AJ337" si="308">(AS308)</f>
        <v>0</v>
      </c>
      <c r="AK308" s="2">
        <v>6997.87</v>
      </c>
      <c r="AL308" s="2">
        <v>6997.87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97</v>
      </c>
      <c r="AU308" s="2">
        <v>51</v>
      </c>
      <c r="AV308" s="2">
        <v>1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2</v>
      </c>
      <c r="BJ308" s="2" t="s">
        <v>3</v>
      </c>
      <c r="BK308" s="2"/>
      <c r="BL308" s="2"/>
      <c r="BM308" s="2">
        <v>67</v>
      </c>
      <c r="BN308" s="2">
        <v>0</v>
      </c>
      <c r="BO308" s="2" t="s">
        <v>3</v>
      </c>
      <c r="BP308" s="2">
        <v>0</v>
      </c>
      <c r="BQ308" s="2">
        <v>40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97</v>
      </c>
      <c r="CA308" s="2">
        <v>51</v>
      </c>
      <c r="CB308" s="2" t="s">
        <v>3</v>
      </c>
      <c r="CC308" s="2"/>
      <c r="CD308" s="2"/>
      <c r="CE308" s="2">
        <v>30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3</v>
      </c>
      <c r="CO308" s="2">
        <v>0</v>
      </c>
      <c r="CP308" s="2">
        <f t="shared" ref="CP308:CP337" si="309">(P308+Q308+S308)</f>
        <v>3568.91</v>
      </c>
      <c r="CQ308" s="2">
        <f t="shared" ref="CQ308:CQ337" si="310">ROUND((ROUND((AC308*AW308*1),2)*BC308),2)</f>
        <v>6997.87</v>
      </c>
      <c r="CR308" s="2">
        <f t="shared" ref="CR308:CR319" si="311">(ROUND((ROUND(((ET308)*AV308*1),2)*BB308),2)+ROUND((ROUND(((AE308-(EU308))*AV308*1),2)*BS308),2))</f>
        <v>0</v>
      </c>
      <c r="CS308" s="2">
        <f t="shared" ref="CS308:CS337" si="312">ROUND((ROUND((AE308*AV308*1),2)*BS308),2)</f>
        <v>0</v>
      </c>
      <c r="CT308" s="2">
        <f t="shared" ref="CT308:CT337" si="313">ROUND((ROUND((AF308*AV308*1),2)*BA308),2)</f>
        <v>0</v>
      </c>
      <c r="CU308" s="2">
        <f t="shared" ref="CU308:CU337" si="314">AG308</f>
        <v>0</v>
      </c>
      <c r="CV308" s="2">
        <f t="shared" ref="CV308:CV337" si="315">(AH308*AV308)</f>
        <v>0</v>
      </c>
      <c r="CW308" s="2">
        <f t="shared" ref="CW308:CW337" si="316">AI308</f>
        <v>0</v>
      </c>
      <c r="CX308" s="2">
        <f t="shared" ref="CX308:CX337" si="317">AJ308</f>
        <v>0</v>
      </c>
      <c r="CY308" s="2">
        <f t="shared" ref="CY308:CY337" si="318">(((S308+R308)*AT308)/100)</f>
        <v>0</v>
      </c>
      <c r="CZ308" s="2">
        <f t="shared" ref="CZ308:CZ337" si="319">(((S308+R308)*AU308)/100)</f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295</v>
      </c>
      <c r="DW308" s="2" t="s">
        <v>295</v>
      </c>
      <c r="DX308" s="2">
        <v>1000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58162629</v>
      </c>
      <c r="EF308" s="2">
        <v>40</v>
      </c>
      <c r="EG308" s="2" t="s">
        <v>25</v>
      </c>
      <c r="EH308" s="2">
        <v>0</v>
      </c>
      <c r="EI308" s="2" t="s">
        <v>3</v>
      </c>
      <c r="EJ308" s="2">
        <v>2</v>
      </c>
      <c r="EK308" s="2">
        <v>67</v>
      </c>
      <c r="EL308" s="2" t="s">
        <v>225</v>
      </c>
      <c r="EM308" s="2" t="s">
        <v>226</v>
      </c>
      <c r="EN308" s="2"/>
      <c r="EO308" s="2" t="s">
        <v>3</v>
      </c>
      <c r="EP308" s="2"/>
      <c r="EQ308" s="2">
        <v>1024</v>
      </c>
      <c r="ER308" s="2">
        <v>0</v>
      </c>
      <c r="ES308" s="2">
        <v>6997.87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97</v>
      </c>
      <c r="FY308" s="2">
        <v>51</v>
      </c>
      <c r="FZ308" s="2"/>
      <c r="GA308" s="2" t="s">
        <v>334</v>
      </c>
      <c r="GB308" s="2"/>
      <c r="GC308" s="2"/>
      <c r="GD308" s="2">
        <v>1</v>
      </c>
      <c r="GE308" s="2"/>
      <c r="GF308" s="2">
        <v>-1613205353</v>
      </c>
      <c r="GG308" s="2">
        <v>2</v>
      </c>
      <c r="GH308" s="2">
        <v>4</v>
      </c>
      <c r="GI308" s="2">
        <v>-2</v>
      </c>
      <c r="GJ308" s="2">
        <v>0</v>
      </c>
      <c r="GK308" s="2">
        <v>0</v>
      </c>
      <c r="GL308" s="2">
        <f t="shared" ref="GL308:GL337" si="320">ROUND(IF(AND(BH308=3,BI308=3,FS308&lt;&gt;0),P308,0),2)</f>
        <v>0</v>
      </c>
      <c r="GM308" s="2">
        <f t="shared" ref="GM308:GM337" si="321">ROUND(O308+X308+Y308,2)+GX308</f>
        <v>3568.91</v>
      </c>
      <c r="GN308" s="2">
        <f t="shared" ref="GN308:GN337" si="322">IF(OR(BI308=0,BI308=1),GM308-GX308,0)</f>
        <v>0</v>
      </c>
      <c r="GO308" s="2">
        <f t="shared" ref="GO308:GO337" si="323">IF(BI308=2,GM308-GX308,0)</f>
        <v>3568.91</v>
      </c>
      <c r="GP308" s="2">
        <f t="shared" ref="GP308:GP337" si="324">IF(BI308=4,GM308-GX308,0)</f>
        <v>0</v>
      </c>
      <c r="GQ308" s="2"/>
      <c r="GR308" s="2">
        <v>0</v>
      </c>
      <c r="GS308" s="2">
        <v>2</v>
      </c>
      <c r="GT308" s="2">
        <v>0</v>
      </c>
      <c r="GU308" s="2" t="s">
        <v>3</v>
      </c>
      <c r="GV308" s="2">
        <f t="shared" ref="GV308:GV337" si="325">ROUND((GT308),6)</f>
        <v>0</v>
      </c>
      <c r="GW308" s="2">
        <v>1</v>
      </c>
      <c r="GX308" s="2">
        <f t="shared" ref="GX308:GX337" si="326">ROUND(HC308*I308,2)</f>
        <v>0</v>
      </c>
      <c r="GY308" s="2"/>
      <c r="GZ308" s="2"/>
      <c r="HA308" s="2">
        <v>0</v>
      </c>
      <c r="HB308" s="2">
        <v>0</v>
      </c>
      <c r="HC308" s="2">
        <f t="shared" ref="HC308:HC337" si="327">GV308*GW308</f>
        <v>0</v>
      </c>
      <c r="HD308" s="2"/>
      <c r="HE308" s="2" t="s">
        <v>34</v>
      </c>
      <c r="HF308" s="2" t="s">
        <v>35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3">
      <c r="A309" s="3">
        <v>18</v>
      </c>
      <c r="B309" s="3">
        <v>1</v>
      </c>
      <c r="C309" s="3"/>
      <c r="D309" s="3"/>
      <c r="E309" s="3" t="s">
        <v>3</v>
      </c>
      <c r="F309" s="3" t="s">
        <v>311</v>
      </c>
      <c r="G309" s="3" t="s">
        <v>312</v>
      </c>
      <c r="H309" s="3" t="s">
        <v>295</v>
      </c>
      <c r="I309" s="3">
        <f>I307*J309</f>
        <v>0.51</v>
      </c>
      <c r="J309" s="3">
        <v>1.5987460815047021E-2</v>
      </c>
      <c r="K309" s="3">
        <v>1.5987459999999998E-2</v>
      </c>
      <c r="L309" s="3"/>
      <c r="M309" s="3"/>
      <c r="N309" s="3"/>
      <c r="O309" s="3">
        <f t="shared" si="289"/>
        <v>35260.83</v>
      </c>
      <c r="P309" s="3">
        <f t="shared" si="290"/>
        <v>35260.83</v>
      </c>
      <c r="Q309" s="3">
        <f t="shared" si="291"/>
        <v>0</v>
      </c>
      <c r="R309" s="3">
        <f t="shared" si="292"/>
        <v>0</v>
      </c>
      <c r="S309" s="3">
        <f t="shared" si="293"/>
        <v>0</v>
      </c>
      <c r="T309" s="3">
        <f t="shared" si="294"/>
        <v>0</v>
      </c>
      <c r="U309" s="3">
        <f t="shared" si="295"/>
        <v>0</v>
      </c>
      <c r="V309" s="3">
        <f t="shared" si="296"/>
        <v>0</v>
      </c>
      <c r="W309" s="3">
        <f t="shared" si="297"/>
        <v>0</v>
      </c>
      <c r="X309" s="3">
        <f t="shared" si="298"/>
        <v>0</v>
      </c>
      <c r="Y309" s="3">
        <f t="shared" si="299"/>
        <v>0</v>
      </c>
      <c r="Z309" s="3"/>
      <c r="AA309" s="3">
        <v>-1</v>
      </c>
      <c r="AB309" s="3">
        <f t="shared" si="300"/>
        <v>6997.87</v>
      </c>
      <c r="AC309" s="3">
        <f t="shared" si="301"/>
        <v>6997.87</v>
      </c>
      <c r="AD309" s="3">
        <f t="shared" si="302"/>
        <v>0</v>
      </c>
      <c r="AE309" s="3">
        <f t="shared" si="303"/>
        <v>0</v>
      </c>
      <c r="AF309" s="3">
        <f t="shared" si="304"/>
        <v>0</v>
      </c>
      <c r="AG309" s="3">
        <f t="shared" si="305"/>
        <v>0</v>
      </c>
      <c r="AH309" s="3">
        <f t="shared" si="306"/>
        <v>0</v>
      </c>
      <c r="AI309" s="3">
        <f t="shared" si="307"/>
        <v>0</v>
      </c>
      <c r="AJ309" s="3">
        <f t="shared" si="308"/>
        <v>0</v>
      </c>
      <c r="AK309" s="3">
        <v>6997.87</v>
      </c>
      <c r="AL309" s="3">
        <v>6997.87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97</v>
      </c>
      <c r="AU309" s="3">
        <v>51</v>
      </c>
      <c r="AV309" s="3">
        <v>1</v>
      </c>
      <c r="AW309" s="3">
        <v>1</v>
      </c>
      <c r="AX309" s="3"/>
      <c r="AY309" s="3"/>
      <c r="AZ309" s="3">
        <v>1</v>
      </c>
      <c r="BA309" s="3">
        <v>1</v>
      </c>
      <c r="BB309" s="3">
        <v>1</v>
      </c>
      <c r="BC309" s="3">
        <v>9.8800000000000008</v>
      </c>
      <c r="BD309" s="3" t="s">
        <v>3</v>
      </c>
      <c r="BE309" s="3" t="s">
        <v>3</v>
      </c>
      <c r="BF309" s="3" t="s">
        <v>3</v>
      </c>
      <c r="BG309" s="3" t="s">
        <v>3</v>
      </c>
      <c r="BH309" s="3">
        <v>3</v>
      </c>
      <c r="BI309" s="3">
        <v>2</v>
      </c>
      <c r="BJ309" s="3" t="s">
        <v>3</v>
      </c>
      <c r="BK309" s="3"/>
      <c r="BL309" s="3"/>
      <c r="BM309" s="3">
        <v>67</v>
      </c>
      <c r="BN309" s="3">
        <v>0</v>
      </c>
      <c r="BO309" s="3" t="s">
        <v>3</v>
      </c>
      <c r="BP309" s="3">
        <v>0</v>
      </c>
      <c r="BQ309" s="3">
        <v>40</v>
      </c>
      <c r="BR309" s="3">
        <v>0</v>
      </c>
      <c r="BS309" s="3">
        <v>1</v>
      </c>
      <c r="BT309" s="3">
        <v>1</v>
      </c>
      <c r="BU309" s="3">
        <v>1</v>
      </c>
      <c r="BV309" s="3">
        <v>1</v>
      </c>
      <c r="BW309" s="3">
        <v>1</v>
      </c>
      <c r="BX309" s="3">
        <v>1</v>
      </c>
      <c r="BY309" s="3" t="s">
        <v>3</v>
      </c>
      <c r="BZ309" s="3">
        <v>97</v>
      </c>
      <c r="CA309" s="3">
        <v>51</v>
      </c>
      <c r="CB309" s="3" t="s">
        <v>3</v>
      </c>
      <c r="CC309" s="3"/>
      <c r="CD309" s="3"/>
      <c r="CE309" s="3">
        <v>30</v>
      </c>
      <c r="CF309" s="3">
        <v>0</v>
      </c>
      <c r="CG309" s="3">
        <v>0</v>
      </c>
      <c r="CH309" s="3"/>
      <c r="CI309" s="3"/>
      <c r="CJ309" s="3"/>
      <c r="CK309" s="3"/>
      <c r="CL309" s="3"/>
      <c r="CM309" s="3">
        <v>0</v>
      </c>
      <c r="CN309" s="3" t="s">
        <v>3</v>
      </c>
      <c r="CO309" s="3">
        <v>0</v>
      </c>
      <c r="CP309" s="3">
        <f t="shared" si="309"/>
        <v>35260.83</v>
      </c>
      <c r="CQ309" s="3">
        <f t="shared" si="310"/>
        <v>69138.960000000006</v>
      </c>
      <c r="CR309" s="3">
        <f t="shared" si="311"/>
        <v>0</v>
      </c>
      <c r="CS309" s="3">
        <f t="shared" si="312"/>
        <v>0</v>
      </c>
      <c r="CT309" s="3">
        <f t="shared" si="313"/>
        <v>0</v>
      </c>
      <c r="CU309" s="3">
        <f t="shared" si="314"/>
        <v>0</v>
      </c>
      <c r="CV309" s="3">
        <f t="shared" si="315"/>
        <v>0</v>
      </c>
      <c r="CW309" s="3">
        <f t="shared" si="316"/>
        <v>0</v>
      </c>
      <c r="CX309" s="3">
        <f t="shared" si="317"/>
        <v>0</v>
      </c>
      <c r="CY309" s="3">
        <f t="shared" si="318"/>
        <v>0</v>
      </c>
      <c r="CZ309" s="3">
        <f t="shared" si="319"/>
        <v>0</v>
      </c>
      <c r="DA309" s="3"/>
      <c r="DB309" s="3"/>
      <c r="DC309" s="3" t="s">
        <v>3</v>
      </c>
      <c r="DD309" s="3" t="s">
        <v>3</v>
      </c>
      <c r="DE309" s="3" t="s">
        <v>3</v>
      </c>
      <c r="DF309" s="3" t="s">
        <v>3</v>
      </c>
      <c r="DG309" s="3" t="s">
        <v>3</v>
      </c>
      <c r="DH309" s="3" t="s">
        <v>3</v>
      </c>
      <c r="DI309" s="3" t="s">
        <v>3</v>
      </c>
      <c r="DJ309" s="3" t="s">
        <v>3</v>
      </c>
      <c r="DK309" s="3" t="s">
        <v>3</v>
      </c>
      <c r="DL309" s="3" t="s">
        <v>3</v>
      </c>
      <c r="DM309" s="3" t="s">
        <v>3</v>
      </c>
      <c r="DN309" s="3">
        <v>0</v>
      </c>
      <c r="DO309" s="3">
        <v>0</v>
      </c>
      <c r="DP309" s="3">
        <v>1</v>
      </c>
      <c r="DQ309" s="3">
        <v>1</v>
      </c>
      <c r="DR309" s="3"/>
      <c r="DS309" s="3"/>
      <c r="DT309" s="3"/>
      <c r="DU309" s="3">
        <v>1003</v>
      </c>
      <c r="DV309" s="3" t="s">
        <v>295</v>
      </c>
      <c r="DW309" s="3" t="s">
        <v>295</v>
      </c>
      <c r="DX309" s="3">
        <v>1000</v>
      </c>
      <c r="DY309" s="3"/>
      <c r="DZ309" s="3" t="s">
        <v>3</v>
      </c>
      <c r="EA309" s="3" t="s">
        <v>3</v>
      </c>
      <c r="EB309" s="3" t="s">
        <v>3</v>
      </c>
      <c r="EC309" s="3" t="s">
        <v>3</v>
      </c>
      <c r="ED309" s="3"/>
      <c r="EE309" s="3">
        <v>58162629</v>
      </c>
      <c r="EF309" s="3">
        <v>40</v>
      </c>
      <c r="EG309" s="3" t="s">
        <v>25</v>
      </c>
      <c r="EH309" s="3">
        <v>0</v>
      </c>
      <c r="EI309" s="3" t="s">
        <v>3</v>
      </c>
      <c r="EJ309" s="3">
        <v>2</v>
      </c>
      <c r="EK309" s="3">
        <v>67</v>
      </c>
      <c r="EL309" s="3" t="s">
        <v>225</v>
      </c>
      <c r="EM309" s="3" t="s">
        <v>226</v>
      </c>
      <c r="EN309" s="3"/>
      <c r="EO309" s="3" t="s">
        <v>3</v>
      </c>
      <c r="EP309" s="3"/>
      <c r="EQ309" s="3">
        <v>1024</v>
      </c>
      <c r="ER309" s="3">
        <v>6997.87</v>
      </c>
      <c r="ES309" s="3">
        <v>6997.87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/>
      <c r="EZ309" s="3">
        <v>5</v>
      </c>
      <c r="FA309" s="3"/>
      <c r="FB309" s="3"/>
      <c r="FC309" s="3">
        <v>1</v>
      </c>
      <c r="FD309" s="3">
        <v>18</v>
      </c>
      <c r="FE309" s="3"/>
      <c r="FF309" s="3">
        <v>81340</v>
      </c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>
        <v>0</v>
      </c>
      <c r="FR309" s="3">
        <v>0</v>
      </c>
      <c r="FS309" s="3">
        <v>0</v>
      </c>
      <c r="FT309" s="3"/>
      <c r="FU309" s="3"/>
      <c r="FV309" s="3"/>
      <c r="FW309" s="3"/>
      <c r="FX309" s="3">
        <v>97</v>
      </c>
      <c r="FY309" s="3">
        <v>51</v>
      </c>
      <c r="FZ309" s="3"/>
      <c r="GA309" s="3" t="s">
        <v>334</v>
      </c>
      <c r="GB309" s="3"/>
      <c r="GC309" s="3"/>
      <c r="GD309" s="3">
        <v>1</v>
      </c>
      <c r="GE309" s="3"/>
      <c r="GF309" s="3">
        <v>-1613205353</v>
      </c>
      <c r="GG309" s="3">
        <v>2</v>
      </c>
      <c r="GH309" s="3">
        <v>3</v>
      </c>
      <c r="GI309" s="3">
        <v>5</v>
      </c>
      <c r="GJ309" s="3">
        <v>0</v>
      </c>
      <c r="GK309" s="3">
        <v>0</v>
      </c>
      <c r="GL309" s="3">
        <f t="shared" si="320"/>
        <v>0</v>
      </c>
      <c r="GM309" s="3">
        <f t="shared" si="321"/>
        <v>35260.83</v>
      </c>
      <c r="GN309" s="3">
        <f t="shared" si="322"/>
        <v>0</v>
      </c>
      <c r="GO309" s="3">
        <f t="shared" si="323"/>
        <v>35260.83</v>
      </c>
      <c r="GP309" s="3">
        <f t="shared" si="324"/>
        <v>0</v>
      </c>
      <c r="GQ309" s="3"/>
      <c r="GR309" s="3">
        <v>1</v>
      </c>
      <c r="GS309" s="3">
        <v>1</v>
      </c>
      <c r="GT309" s="3">
        <v>0</v>
      </c>
      <c r="GU309" s="3" t="s">
        <v>3</v>
      </c>
      <c r="GV309" s="3">
        <f t="shared" si="325"/>
        <v>0</v>
      </c>
      <c r="GW309" s="3">
        <v>1</v>
      </c>
      <c r="GX309" s="3">
        <f t="shared" si="326"/>
        <v>0</v>
      </c>
      <c r="GY309" s="3"/>
      <c r="GZ309" s="3"/>
      <c r="HA309" s="3">
        <v>0</v>
      </c>
      <c r="HB309" s="3">
        <v>0</v>
      </c>
      <c r="HC309" s="3">
        <f t="shared" si="327"/>
        <v>0</v>
      </c>
      <c r="HD309" s="3"/>
      <c r="HE309" s="3" t="s">
        <v>34</v>
      </c>
      <c r="HF309" s="3" t="s">
        <v>35</v>
      </c>
      <c r="HG309" s="3"/>
      <c r="HH309" s="3"/>
      <c r="HI309" s="3"/>
      <c r="HJ309" s="3"/>
      <c r="HK309" s="3"/>
      <c r="HL309" s="3"/>
      <c r="HM309" s="3" t="s">
        <v>3</v>
      </c>
      <c r="HN309" s="3" t="s">
        <v>3</v>
      </c>
      <c r="HO309" s="3" t="s">
        <v>3</v>
      </c>
      <c r="HP309" s="3" t="s">
        <v>3</v>
      </c>
      <c r="HQ309" s="3" t="s">
        <v>3</v>
      </c>
      <c r="HR309" s="3"/>
      <c r="HS309" s="3">
        <v>0</v>
      </c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>
        <v>0</v>
      </c>
      <c r="IL309" s="3"/>
      <c r="IM309" s="3"/>
      <c r="IN309" s="3"/>
      <c r="IO309" s="3"/>
      <c r="IP309" s="3"/>
      <c r="IQ309" s="3"/>
      <c r="IR309" s="3"/>
      <c r="IS309" s="3"/>
      <c r="IT309" s="3"/>
      <c r="IU309" s="3"/>
    </row>
    <row r="310" spans="1:255" x14ac:dyDescent="0.3">
      <c r="A310" s="2">
        <v>18</v>
      </c>
      <c r="B310" s="2">
        <v>1</v>
      </c>
      <c r="C310" s="2"/>
      <c r="D310" s="2"/>
      <c r="E310" s="2" t="s">
        <v>3</v>
      </c>
      <c r="F310" s="2" t="s">
        <v>293</v>
      </c>
      <c r="G310" s="2" t="s">
        <v>294</v>
      </c>
      <c r="H310" s="2" t="s">
        <v>295</v>
      </c>
      <c r="I310" s="2">
        <f>I306*J310</f>
        <v>18.972000000000001</v>
      </c>
      <c r="J310" s="2">
        <v>0.59473354231974929</v>
      </c>
      <c r="K310" s="2">
        <v>0.59473354</v>
      </c>
      <c r="L310" s="2"/>
      <c r="M310" s="2"/>
      <c r="N310" s="2"/>
      <c r="O310" s="2">
        <f t="shared" si="289"/>
        <v>82948.81</v>
      </c>
      <c r="P310" s="2">
        <f t="shared" si="290"/>
        <v>82948.81</v>
      </c>
      <c r="Q310" s="2">
        <f t="shared" si="291"/>
        <v>0</v>
      </c>
      <c r="R310" s="2">
        <f t="shared" si="292"/>
        <v>0</v>
      </c>
      <c r="S310" s="2">
        <f t="shared" si="293"/>
        <v>0</v>
      </c>
      <c r="T310" s="2">
        <f t="shared" si="294"/>
        <v>0</v>
      </c>
      <c r="U310" s="2">
        <f t="shared" si="295"/>
        <v>0</v>
      </c>
      <c r="V310" s="2">
        <f t="shared" si="296"/>
        <v>0</v>
      </c>
      <c r="W310" s="2">
        <f t="shared" si="297"/>
        <v>0</v>
      </c>
      <c r="X310" s="2">
        <f t="shared" si="298"/>
        <v>0</v>
      </c>
      <c r="Y310" s="2">
        <f t="shared" si="299"/>
        <v>0</v>
      </c>
      <c r="Z310" s="2"/>
      <c r="AA310" s="2">
        <v>-1</v>
      </c>
      <c r="AB310" s="2">
        <f t="shared" si="300"/>
        <v>4372.17</v>
      </c>
      <c r="AC310" s="2">
        <f t="shared" si="301"/>
        <v>4372.17</v>
      </c>
      <c r="AD310" s="2">
        <f t="shared" si="302"/>
        <v>0</v>
      </c>
      <c r="AE310" s="2">
        <f t="shared" si="303"/>
        <v>0</v>
      </c>
      <c r="AF310" s="2">
        <f t="shared" si="304"/>
        <v>0</v>
      </c>
      <c r="AG310" s="2">
        <f t="shared" si="305"/>
        <v>0</v>
      </c>
      <c r="AH310" s="2">
        <f t="shared" si="306"/>
        <v>0</v>
      </c>
      <c r="AI310" s="2">
        <f t="shared" si="307"/>
        <v>0</v>
      </c>
      <c r="AJ310" s="2">
        <f t="shared" si="308"/>
        <v>0</v>
      </c>
      <c r="AK310" s="2">
        <v>4372.1699999999992</v>
      </c>
      <c r="AL310" s="2">
        <v>4372.1699999999992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97</v>
      </c>
      <c r="AU310" s="2">
        <v>51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2</v>
      </c>
      <c r="BJ310" s="2" t="s">
        <v>3</v>
      </c>
      <c r="BK310" s="2"/>
      <c r="BL310" s="2"/>
      <c r="BM310" s="2">
        <v>67</v>
      </c>
      <c r="BN310" s="2">
        <v>0</v>
      </c>
      <c r="BO310" s="2" t="s">
        <v>3</v>
      </c>
      <c r="BP310" s="2">
        <v>0</v>
      </c>
      <c r="BQ310" s="2">
        <v>40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97</v>
      </c>
      <c r="CA310" s="2">
        <v>51</v>
      </c>
      <c r="CB310" s="2" t="s">
        <v>3</v>
      </c>
      <c r="CC310" s="2"/>
      <c r="CD310" s="2"/>
      <c r="CE310" s="2">
        <v>30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3</v>
      </c>
      <c r="CO310" s="2">
        <v>0</v>
      </c>
      <c r="CP310" s="2">
        <f t="shared" si="309"/>
        <v>82948.81</v>
      </c>
      <c r="CQ310" s="2">
        <f t="shared" si="310"/>
        <v>4372.17</v>
      </c>
      <c r="CR310" s="2">
        <f t="shared" si="311"/>
        <v>0</v>
      </c>
      <c r="CS310" s="2">
        <f t="shared" si="312"/>
        <v>0</v>
      </c>
      <c r="CT310" s="2">
        <f t="shared" si="313"/>
        <v>0</v>
      </c>
      <c r="CU310" s="2">
        <f t="shared" si="314"/>
        <v>0</v>
      </c>
      <c r="CV310" s="2">
        <f t="shared" si="315"/>
        <v>0</v>
      </c>
      <c r="CW310" s="2">
        <f t="shared" si="316"/>
        <v>0</v>
      </c>
      <c r="CX310" s="2">
        <f t="shared" si="317"/>
        <v>0</v>
      </c>
      <c r="CY310" s="2">
        <f t="shared" si="318"/>
        <v>0</v>
      </c>
      <c r="CZ310" s="2">
        <f t="shared" si="319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1003</v>
      </c>
      <c r="DV310" s="2" t="s">
        <v>295</v>
      </c>
      <c r="DW310" s="2" t="s">
        <v>295</v>
      </c>
      <c r="DX310" s="2">
        <v>1000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58162629</v>
      </c>
      <c r="EF310" s="2">
        <v>40</v>
      </c>
      <c r="EG310" s="2" t="s">
        <v>25</v>
      </c>
      <c r="EH310" s="2">
        <v>0</v>
      </c>
      <c r="EI310" s="2" t="s">
        <v>3</v>
      </c>
      <c r="EJ310" s="2">
        <v>2</v>
      </c>
      <c r="EK310" s="2">
        <v>67</v>
      </c>
      <c r="EL310" s="2" t="s">
        <v>225</v>
      </c>
      <c r="EM310" s="2" t="s">
        <v>226</v>
      </c>
      <c r="EN310" s="2"/>
      <c r="EO310" s="2" t="s">
        <v>3</v>
      </c>
      <c r="EP310" s="2"/>
      <c r="EQ310" s="2">
        <v>1024</v>
      </c>
      <c r="ER310" s="2">
        <v>0</v>
      </c>
      <c r="ES310" s="2">
        <v>4372.1699999999992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97</v>
      </c>
      <c r="FY310" s="2">
        <v>51</v>
      </c>
      <c r="FZ310" s="2"/>
      <c r="GA310" s="2" t="s">
        <v>296</v>
      </c>
      <c r="GB310" s="2"/>
      <c r="GC310" s="2"/>
      <c r="GD310" s="2">
        <v>1</v>
      </c>
      <c r="GE310" s="2"/>
      <c r="GF310" s="2">
        <v>-84156872</v>
      </c>
      <c r="GG310" s="2">
        <v>2</v>
      </c>
      <c r="GH310" s="2">
        <v>4</v>
      </c>
      <c r="GI310" s="2">
        <v>-2</v>
      </c>
      <c r="GJ310" s="2">
        <v>0</v>
      </c>
      <c r="GK310" s="2">
        <v>0</v>
      </c>
      <c r="GL310" s="2">
        <f t="shared" si="320"/>
        <v>0</v>
      </c>
      <c r="GM310" s="2">
        <f t="shared" si="321"/>
        <v>82948.81</v>
      </c>
      <c r="GN310" s="2">
        <f t="shared" si="322"/>
        <v>0</v>
      </c>
      <c r="GO310" s="2">
        <f t="shared" si="323"/>
        <v>82948.81</v>
      </c>
      <c r="GP310" s="2">
        <f t="shared" si="324"/>
        <v>0</v>
      </c>
      <c r="GQ310" s="2"/>
      <c r="GR310" s="2">
        <v>0</v>
      </c>
      <c r="GS310" s="2">
        <v>2</v>
      </c>
      <c r="GT310" s="2">
        <v>0</v>
      </c>
      <c r="GU310" s="2" t="s">
        <v>3</v>
      </c>
      <c r="GV310" s="2">
        <f t="shared" si="325"/>
        <v>0</v>
      </c>
      <c r="GW310" s="2">
        <v>1</v>
      </c>
      <c r="GX310" s="2">
        <f t="shared" si="326"/>
        <v>0</v>
      </c>
      <c r="GY310" s="2"/>
      <c r="GZ310" s="2"/>
      <c r="HA310" s="2">
        <v>0</v>
      </c>
      <c r="HB310" s="2">
        <v>0</v>
      </c>
      <c r="HC310" s="2">
        <f t="shared" si="327"/>
        <v>0</v>
      </c>
      <c r="HD310" s="2"/>
      <c r="HE310" s="2" t="s">
        <v>34</v>
      </c>
      <c r="HF310" s="2" t="s">
        <v>35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3">
      <c r="A311" s="3">
        <v>18</v>
      </c>
      <c r="B311" s="3">
        <v>1</v>
      </c>
      <c r="C311" s="3"/>
      <c r="D311" s="3"/>
      <c r="E311" s="3" t="s">
        <v>3</v>
      </c>
      <c r="F311" s="3" t="s">
        <v>293</v>
      </c>
      <c r="G311" s="3" t="s">
        <v>294</v>
      </c>
      <c r="H311" s="3" t="s">
        <v>295</v>
      </c>
      <c r="I311" s="3">
        <f>I307*J311</f>
        <v>18.972000000000001</v>
      </c>
      <c r="J311" s="3">
        <v>0.59473354231974929</v>
      </c>
      <c r="K311" s="3">
        <v>0.59473354</v>
      </c>
      <c r="L311" s="3"/>
      <c r="M311" s="3"/>
      <c r="N311" s="3"/>
      <c r="O311" s="3">
        <f t="shared" si="289"/>
        <v>819534.24</v>
      </c>
      <c r="P311" s="3">
        <f t="shared" si="290"/>
        <v>819534.24</v>
      </c>
      <c r="Q311" s="3">
        <f t="shared" si="291"/>
        <v>0</v>
      </c>
      <c r="R311" s="3">
        <f t="shared" si="292"/>
        <v>0</v>
      </c>
      <c r="S311" s="3">
        <f t="shared" si="293"/>
        <v>0</v>
      </c>
      <c r="T311" s="3">
        <f t="shared" si="294"/>
        <v>0</v>
      </c>
      <c r="U311" s="3">
        <f t="shared" si="295"/>
        <v>0</v>
      </c>
      <c r="V311" s="3">
        <f t="shared" si="296"/>
        <v>0</v>
      </c>
      <c r="W311" s="3">
        <f t="shared" si="297"/>
        <v>0</v>
      </c>
      <c r="X311" s="3">
        <f t="shared" si="298"/>
        <v>0</v>
      </c>
      <c r="Y311" s="3">
        <f t="shared" si="299"/>
        <v>0</v>
      </c>
      <c r="Z311" s="3"/>
      <c r="AA311" s="3">
        <v>-1</v>
      </c>
      <c r="AB311" s="3">
        <f t="shared" si="300"/>
        <v>4372.17</v>
      </c>
      <c r="AC311" s="3">
        <f t="shared" si="301"/>
        <v>4372.17</v>
      </c>
      <c r="AD311" s="3">
        <f t="shared" si="302"/>
        <v>0</v>
      </c>
      <c r="AE311" s="3">
        <f t="shared" si="303"/>
        <v>0</v>
      </c>
      <c r="AF311" s="3">
        <f t="shared" si="304"/>
        <v>0</v>
      </c>
      <c r="AG311" s="3">
        <f t="shared" si="305"/>
        <v>0</v>
      </c>
      <c r="AH311" s="3">
        <f t="shared" si="306"/>
        <v>0</v>
      </c>
      <c r="AI311" s="3">
        <f t="shared" si="307"/>
        <v>0</v>
      </c>
      <c r="AJ311" s="3">
        <f t="shared" si="308"/>
        <v>0</v>
      </c>
      <c r="AK311" s="3">
        <v>4372.1699999999992</v>
      </c>
      <c r="AL311" s="3">
        <v>4372.1699999999992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97</v>
      </c>
      <c r="AU311" s="3">
        <v>51</v>
      </c>
      <c r="AV311" s="3">
        <v>1</v>
      </c>
      <c r="AW311" s="3">
        <v>1</v>
      </c>
      <c r="AX311" s="3"/>
      <c r="AY311" s="3"/>
      <c r="AZ311" s="3">
        <v>1</v>
      </c>
      <c r="BA311" s="3">
        <v>1</v>
      </c>
      <c r="BB311" s="3">
        <v>1</v>
      </c>
      <c r="BC311" s="3">
        <v>9.8800000000000008</v>
      </c>
      <c r="BD311" s="3" t="s">
        <v>3</v>
      </c>
      <c r="BE311" s="3" t="s">
        <v>3</v>
      </c>
      <c r="BF311" s="3" t="s">
        <v>3</v>
      </c>
      <c r="BG311" s="3" t="s">
        <v>3</v>
      </c>
      <c r="BH311" s="3">
        <v>3</v>
      </c>
      <c r="BI311" s="3">
        <v>2</v>
      </c>
      <c r="BJ311" s="3" t="s">
        <v>3</v>
      </c>
      <c r="BK311" s="3"/>
      <c r="BL311" s="3"/>
      <c r="BM311" s="3">
        <v>67</v>
      </c>
      <c r="BN311" s="3">
        <v>0</v>
      </c>
      <c r="BO311" s="3" t="s">
        <v>3</v>
      </c>
      <c r="BP311" s="3">
        <v>0</v>
      </c>
      <c r="BQ311" s="3">
        <v>40</v>
      </c>
      <c r="BR311" s="3">
        <v>0</v>
      </c>
      <c r="BS311" s="3">
        <v>1</v>
      </c>
      <c r="BT311" s="3">
        <v>1</v>
      </c>
      <c r="BU311" s="3">
        <v>1</v>
      </c>
      <c r="BV311" s="3">
        <v>1</v>
      </c>
      <c r="BW311" s="3">
        <v>1</v>
      </c>
      <c r="BX311" s="3">
        <v>1</v>
      </c>
      <c r="BY311" s="3" t="s">
        <v>3</v>
      </c>
      <c r="BZ311" s="3">
        <v>97</v>
      </c>
      <c r="CA311" s="3">
        <v>51</v>
      </c>
      <c r="CB311" s="3" t="s">
        <v>3</v>
      </c>
      <c r="CC311" s="3"/>
      <c r="CD311" s="3"/>
      <c r="CE311" s="3">
        <v>30</v>
      </c>
      <c r="CF311" s="3">
        <v>0</v>
      </c>
      <c r="CG311" s="3">
        <v>0</v>
      </c>
      <c r="CH311" s="3"/>
      <c r="CI311" s="3"/>
      <c r="CJ311" s="3"/>
      <c r="CK311" s="3"/>
      <c r="CL311" s="3"/>
      <c r="CM311" s="3">
        <v>0</v>
      </c>
      <c r="CN311" s="3" t="s">
        <v>3</v>
      </c>
      <c r="CO311" s="3">
        <v>0</v>
      </c>
      <c r="CP311" s="3">
        <f t="shared" si="309"/>
        <v>819534.24</v>
      </c>
      <c r="CQ311" s="3">
        <f t="shared" si="310"/>
        <v>43197.04</v>
      </c>
      <c r="CR311" s="3">
        <f t="shared" si="311"/>
        <v>0</v>
      </c>
      <c r="CS311" s="3">
        <f t="shared" si="312"/>
        <v>0</v>
      </c>
      <c r="CT311" s="3">
        <f t="shared" si="313"/>
        <v>0</v>
      </c>
      <c r="CU311" s="3">
        <f t="shared" si="314"/>
        <v>0</v>
      </c>
      <c r="CV311" s="3">
        <f t="shared" si="315"/>
        <v>0</v>
      </c>
      <c r="CW311" s="3">
        <f t="shared" si="316"/>
        <v>0</v>
      </c>
      <c r="CX311" s="3">
        <f t="shared" si="317"/>
        <v>0</v>
      </c>
      <c r="CY311" s="3">
        <f t="shared" si="318"/>
        <v>0</v>
      </c>
      <c r="CZ311" s="3">
        <f t="shared" si="319"/>
        <v>0</v>
      </c>
      <c r="DA311" s="3"/>
      <c r="DB311" s="3"/>
      <c r="DC311" s="3" t="s">
        <v>3</v>
      </c>
      <c r="DD311" s="3" t="s">
        <v>3</v>
      </c>
      <c r="DE311" s="3" t="s">
        <v>3</v>
      </c>
      <c r="DF311" s="3" t="s">
        <v>3</v>
      </c>
      <c r="DG311" s="3" t="s">
        <v>3</v>
      </c>
      <c r="DH311" s="3" t="s">
        <v>3</v>
      </c>
      <c r="DI311" s="3" t="s">
        <v>3</v>
      </c>
      <c r="DJ311" s="3" t="s">
        <v>3</v>
      </c>
      <c r="DK311" s="3" t="s">
        <v>3</v>
      </c>
      <c r="DL311" s="3" t="s">
        <v>3</v>
      </c>
      <c r="DM311" s="3" t="s">
        <v>3</v>
      </c>
      <c r="DN311" s="3">
        <v>0</v>
      </c>
      <c r="DO311" s="3">
        <v>0</v>
      </c>
      <c r="DP311" s="3">
        <v>1</v>
      </c>
      <c r="DQ311" s="3">
        <v>1</v>
      </c>
      <c r="DR311" s="3"/>
      <c r="DS311" s="3"/>
      <c r="DT311" s="3"/>
      <c r="DU311" s="3">
        <v>1003</v>
      </c>
      <c r="DV311" s="3" t="s">
        <v>295</v>
      </c>
      <c r="DW311" s="3" t="s">
        <v>295</v>
      </c>
      <c r="DX311" s="3">
        <v>1000</v>
      </c>
      <c r="DY311" s="3"/>
      <c r="DZ311" s="3" t="s">
        <v>3</v>
      </c>
      <c r="EA311" s="3" t="s">
        <v>3</v>
      </c>
      <c r="EB311" s="3" t="s">
        <v>3</v>
      </c>
      <c r="EC311" s="3" t="s">
        <v>3</v>
      </c>
      <c r="ED311" s="3"/>
      <c r="EE311" s="3">
        <v>58162629</v>
      </c>
      <c r="EF311" s="3">
        <v>40</v>
      </c>
      <c r="EG311" s="3" t="s">
        <v>25</v>
      </c>
      <c r="EH311" s="3">
        <v>0</v>
      </c>
      <c r="EI311" s="3" t="s">
        <v>3</v>
      </c>
      <c r="EJ311" s="3">
        <v>2</v>
      </c>
      <c r="EK311" s="3">
        <v>67</v>
      </c>
      <c r="EL311" s="3" t="s">
        <v>225</v>
      </c>
      <c r="EM311" s="3" t="s">
        <v>226</v>
      </c>
      <c r="EN311" s="3"/>
      <c r="EO311" s="3" t="s">
        <v>3</v>
      </c>
      <c r="EP311" s="3"/>
      <c r="EQ311" s="3">
        <v>1024</v>
      </c>
      <c r="ER311" s="3">
        <v>4372.1699999999992</v>
      </c>
      <c r="ES311" s="3">
        <v>4372.1699999999992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/>
      <c r="EZ311" s="3">
        <v>5</v>
      </c>
      <c r="FA311" s="3"/>
      <c r="FB311" s="3"/>
      <c r="FC311" s="3">
        <v>1</v>
      </c>
      <c r="FD311" s="3">
        <v>18</v>
      </c>
      <c r="FE311" s="3"/>
      <c r="FF311" s="3">
        <v>50820</v>
      </c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>
        <v>0</v>
      </c>
      <c r="FR311" s="3">
        <v>0</v>
      </c>
      <c r="FS311" s="3">
        <v>0</v>
      </c>
      <c r="FT311" s="3"/>
      <c r="FU311" s="3"/>
      <c r="FV311" s="3"/>
      <c r="FW311" s="3"/>
      <c r="FX311" s="3">
        <v>97</v>
      </c>
      <c r="FY311" s="3">
        <v>51</v>
      </c>
      <c r="FZ311" s="3"/>
      <c r="GA311" s="3" t="s">
        <v>296</v>
      </c>
      <c r="GB311" s="3"/>
      <c r="GC311" s="3"/>
      <c r="GD311" s="3">
        <v>1</v>
      </c>
      <c r="GE311" s="3"/>
      <c r="GF311" s="3">
        <v>-84156872</v>
      </c>
      <c r="GG311" s="3">
        <v>2</v>
      </c>
      <c r="GH311" s="3">
        <v>3</v>
      </c>
      <c r="GI311" s="3">
        <v>5</v>
      </c>
      <c r="GJ311" s="3">
        <v>0</v>
      </c>
      <c r="GK311" s="3">
        <v>0</v>
      </c>
      <c r="GL311" s="3">
        <f t="shared" si="320"/>
        <v>0</v>
      </c>
      <c r="GM311" s="3">
        <f t="shared" si="321"/>
        <v>819534.24</v>
      </c>
      <c r="GN311" s="3">
        <f t="shared" si="322"/>
        <v>0</v>
      </c>
      <c r="GO311" s="3">
        <f t="shared" si="323"/>
        <v>819534.24</v>
      </c>
      <c r="GP311" s="3">
        <f t="shared" si="324"/>
        <v>0</v>
      </c>
      <c r="GQ311" s="3"/>
      <c r="GR311" s="3">
        <v>1</v>
      </c>
      <c r="GS311" s="3">
        <v>1</v>
      </c>
      <c r="GT311" s="3">
        <v>0</v>
      </c>
      <c r="GU311" s="3" t="s">
        <v>3</v>
      </c>
      <c r="GV311" s="3">
        <f t="shared" si="325"/>
        <v>0</v>
      </c>
      <c r="GW311" s="3">
        <v>1</v>
      </c>
      <c r="GX311" s="3">
        <f t="shared" si="326"/>
        <v>0</v>
      </c>
      <c r="GY311" s="3"/>
      <c r="GZ311" s="3"/>
      <c r="HA311" s="3">
        <v>0</v>
      </c>
      <c r="HB311" s="3">
        <v>0</v>
      </c>
      <c r="HC311" s="3">
        <f t="shared" si="327"/>
        <v>0</v>
      </c>
      <c r="HD311" s="3"/>
      <c r="HE311" s="3" t="s">
        <v>34</v>
      </c>
      <c r="HF311" s="3" t="s">
        <v>35</v>
      </c>
      <c r="HG311" s="3"/>
      <c r="HH311" s="3"/>
      <c r="HI311" s="3"/>
      <c r="HJ311" s="3"/>
      <c r="HK311" s="3"/>
      <c r="HL311" s="3"/>
      <c r="HM311" s="3" t="s">
        <v>3</v>
      </c>
      <c r="HN311" s="3" t="s">
        <v>3</v>
      </c>
      <c r="HO311" s="3" t="s">
        <v>3</v>
      </c>
      <c r="HP311" s="3" t="s">
        <v>3</v>
      </c>
      <c r="HQ311" s="3" t="s">
        <v>3</v>
      </c>
      <c r="HR311" s="3"/>
      <c r="HS311" s="3">
        <v>0</v>
      </c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>
        <v>0</v>
      </c>
      <c r="IL311" s="3"/>
      <c r="IM311" s="3"/>
      <c r="IN311" s="3"/>
      <c r="IO311" s="3"/>
      <c r="IP311" s="3"/>
      <c r="IQ311" s="3"/>
      <c r="IR311" s="3"/>
      <c r="IS311" s="3"/>
      <c r="IT311" s="3"/>
      <c r="IU311" s="3"/>
    </row>
    <row r="312" spans="1:255" x14ac:dyDescent="0.3">
      <c r="A312" s="2">
        <v>18</v>
      </c>
      <c r="B312" s="2">
        <v>1</v>
      </c>
      <c r="C312" s="2"/>
      <c r="D312" s="2"/>
      <c r="E312" s="2" t="s">
        <v>3</v>
      </c>
      <c r="F312" s="2" t="s">
        <v>316</v>
      </c>
      <c r="G312" s="2" t="s">
        <v>317</v>
      </c>
      <c r="H312" s="2" t="s">
        <v>295</v>
      </c>
      <c r="I312" s="2">
        <f>I306*J312</f>
        <v>0.98939999999999995</v>
      </c>
      <c r="J312" s="2">
        <v>3.1015673981191223E-2</v>
      </c>
      <c r="K312" s="2">
        <v>3.1015669999999999E-2</v>
      </c>
      <c r="L312" s="2"/>
      <c r="M312" s="2"/>
      <c r="N312" s="2"/>
      <c r="O312" s="2">
        <f t="shared" si="289"/>
        <v>6590.88</v>
      </c>
      <c r="P312" s="2">
        <f t="shared" si="290"/>
        <v>6590.88</v>
      </c>
      <c r="Q312" s="2">
        <f t="shared" si="291"/>
        <v>0</v>
      </c>
      <c r="R312" s="2">
        <f t="shared" si="292"/>
        <v>0</v>
      </c>
      <c r="S312" s="2">
        <f t="shared" si="293"/>
        <v>0</v>
      </c>
      <c r="T312" s="2">
        <f t="shared" si="294"/>
        <v>0</v>
      </c>
      <c r="U312" s="2">
        <f t="shared" si="295"/>
        <v>0</v>
      </c>
      <c r="V312" s="2">
        <f t="shared" si="296"/>
        <v>0</v>
      </c>
      <c r="W312" s="2">
        <f t="shared" si="297"/>
        <v>0</v>
      </c>
      <c r="X312" s="2">
        <f t="shared" si="298"/>
        <v>0</v>
      </c>
      <c r="Y312" s="2">
        <f t="shared" si="299"/>
        <v>0</v>
      </c>
      <c r="Z312" s="2"/>
      <c r="AA312" s="2">
        <v>-1</v>
      </c>
      <c r="AB312" s="2">
        <f t="shared" si="300"/>
        <v>6661.49</v>
      </c>
      <c r="AC312" s="2">
        <f t="shared" si="301"/>
        <v>6661.49</v>
      </c>
      <c r="AD312" s="2">
        <f t="shared" si="302"/>
        <v>0</v>
      </c>
      <c r="AE312" s="2">
        <f t="shared" si="303"/>
        <v>0</v>
      </c>
      <c r="AF312" s="2">
        <f t="shared" si="304"/>
        <v>0</v>
      </c>
      <c r="AG312" s="2">
        <f t="shared" si="305"/>
        <v>0</v>
      </c>
      <c r="AH312" s="2">
        <f t="shared" si="306"/>
        <v>0</v>
      </c>
      <c r="AI312" s="2">
        <f t="shared" si="307"/>
        <v>0</v>
      </c>
      <c r="AJ312" s="2">
        <f t="shared" si="308"/>
        <v>0</v>
      </c>
      <c r="AK312" s="2">
        <v>6661.49</v>
      </c>
      <c r="AL312" s="2">
        <v>6661.49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97</v>
      </c>
      <c r="AU312" s="2">
        <v>51</v>
      </c>
      <c r="AV312" s="2">
        <v>1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2</v>
      </c>
      <c r="BJ312" s="2" t="s">
        <v>3</v>
      </c>
      <c r="BK312" s="2"/>
      <c r="BL312" s="2"/>
      <c r="BM312" s="2">
        <v>67</v>
      </c>
      <c r="BN312" s="2">
        <v>0</v>
      </c>
      <c r="BO312" s="2" t="s">
        <v>3</v>
      </c>
      <c r="BP312" s="2">
        <v>0</v>
      </c>
      <c r="BQ312" s="2">
        <v>40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97</v>
      </c>
      <c r="CA312" s="2">
        <v>51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3</v>
      </c>
      <c r="CO312" s="2">
        <v>0</v>
      </c>
      <c r="CP312" s="2">
        <f t="shared" si="309"/>
        <v>6590.88</v>
      </c>
      <c r="CQ312" s="2">
        <f t="shared" si="310"/>
        <v>6661.49</v>
      </c>
      <c r="CR312" s="2">
        <f t="shared" si="311"/>
        <v>0</v>
      </c>
      <c r="CS312" s="2">
        <f t="shared" si="312"/>
        <v>0</v>
      </c>
      <c r="CT312" s="2">
        <f t="shared" si="313"/>
        <v>0</v>
      </c>
      <c r="CU312" s="2">
        <f t="shared" si="314"/>
        <v>0</v>
      </c>
      <c r="CV312" s="2">
        <f t="shared" si="315"/>
        <v>0</v>
      </c>
      <c r="CW312" s="2">
        <f t="shared" si="316"/>
        <v>0</v>
      </c>
      <c r="CX312" s="2">
        <f t="shared" si="317"/>
        <v>0</v>
      </c>
      <c r="CY312" s="2">
        <f t="shared" si="318"/>
        <v>0</v>
      </c>
      <c r="CZ312" s="2">
        <f t="shared" si="319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1003</v>
      </c>
      <c r="DV312" s="2" t="s">
        <v>295</v>
      </c>
      <c r="DW312" s="2" t="s">
        <v>295</v>
      </c>
      <c r="DX312" s="2">
        <v>1000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58162629</v>
      </c>
      <c r="EF312" s="2">
        <v>40</v>
      </c>
      <c r="EG312" s="2" t="s">
        <v>25</v>
      </c>
      <c r="EH312" s="2">
        <v>0</v>
      </c>
      <c r="EI312" s="2" t="s">
        <v>3</v>
      </c>
      <c r="EJ312" s="2">
        <v>2</v>
      </c>
      <c r="EK312" s="2">
        <v>67</v>
      </c>
      <c r="EL312" s="2" t="s">
        <v>225</v>
      </c>
      <c r="EM312" s="2" t="s">
        <v>226</v>
      </c>
      <c r="EN312" s="2"/>
      <c r="EO312" s="2" t="s">
        <v>3</v>
      </c>
      <c r="EP312" s="2"/>
      <c r="EQ312" s="2">
        <v>1024</v>
      </c>
      <c r="ER312" s="2">
        <v>0</v>
      </c>
      <c r="ES312" s="2">
        <v>6661.49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97</v>
      </c>
      <c r="FY312" s="2">
        <v>51</v>
      </c>
      <c r="FZ312" s="2"/>
      <c r="GA312" s="2" t="s">
        <v>318</v>
      </c>
      <c r="GB312" s="2"/>
      <c r="GC312" s="2"/>
      <c r="GD312" s="2">
        <v>1</v>
      </c>
      <c r="GE312" s="2"/>
      <c r="GF312" s="2">
        <v>1071750164</v>
      </c>
      <c r="GG312" s="2">
        <v>2</v>
      </c>
      <c r="GH312" s="2">
        <v>4</v>
      </c>
      <c r="GI312" s="2">
        <v>-2</v>
      </c>
      <c r="GJ312" s="2">
        <v>0</v>
      </c>
      <c r="GK312" s="2">
        <v>0</v>
      </c>
      <c r="GL312" s="2">
        <f t="shared" si="320"/>
        <v>0</v>
      </c>
      <c r="GM312" s="2">
        <f t="shared" si="321"/>
        <v>6590.88</v>
      </c>
      <c r="GN312" s="2">
        <f t="shared" si="322"/>
        <v>0</v>
      </c>
      <c r="GO312" s="2">
        <f t="shared" si="323"/>
        <v>6590.88</v>
      </c>
      <c r="GP312" s="2">
        <f t="shared" si="324"/>
        <v>0</v>
      </c>
      <c r="GQ312" s="2"/>
      <c r="GR312" s="2">
        <v>0</v>
      </c>
      <c r="GS312" s="2">
        <v>2</v>
      </c>
      <c r="GT312" s="2">
        <v>0</v>
      </c>
      <c r="GU312" s="2" t="s">
        <v>3</v>
      </c>
      <c r="GV312" s="2">
        <f t="shared" si="325"/>
        <v>0</v>
      </c>
      <c r="GW312" s="2">
        <v>1</v>
      </c>
      <c r="GX312" s="2">
        <f t="shared" si="326"/>
        <v>0</v>
      </c>
      <c r="GY312" s="2"/>
      <c r="GZ312" s="2"/>
      <c r="HA312" s="2">
        <v>0</v>
      </c>
      <c r="HB312" s="2">
        <v>0</v>
      </c>
      <c r="HC312" s="2">
        <f t="shared" si="327"/>
        <v>0</v>
      </c>
      <c r="HD312" s="2"/>
      <c r="HE312" s="2" t="s">
        <v>34</v>
      </c>
      <c r="HF312" s="2" t="s">
        <v>35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3">
      <c r="A313" s="3">
        <v>18</v>
      </c>
      <c r="B313" s="3">
        <v>1</v>
      </c>
      <c r="C313" s="3"/>
      <c r="D313" s="3"/>
      <c r="E313" s="3" t="s">
        <v>3</v>
      </c>
      <c r="F313" s="3" t="s">
        <v>316</v>
      </c>
      <c r="G313" s="3" t="s">
        <v>317</v>
      </c>
      <c r="H313" s="3" t="s">
        <v>295</v>
      </c>
      <c r="I313" s="3">
        <f>I307*J313</f>
        <v>0.98939999999999995</v>
      </c>
      <c r="J313" s="3">
        <v>3.1015673981191223E-2</v>
      </c>
      <c r="K313" s="3">
        <v>3.1015669999999999E-2</v>
      </c>
      <c r="L313" s="3"/>
      <c r="M313" s="3"/>
      <c r="N313" s="3"/>
      <c r="O313" s="3">
        <f t="shared" si="289"/>
        <v>65117.89</v>
      </c>
      <c r="P313" s="3">
        <f t="shared" si="290"/>
        <v>65117.89</v>
      </c>
      <c r="Q313" s="3">
        <f t="shared" si="291"/>
        <v>0</v>
      </c>
      <c r="R313" s="3">
        <f t="shared" si="292"/>
        <v>0</v>
      </c>
      <c r="S313" s="3">
        <f t="shared" si="293"/>
        <v>0</v>
      </c>
      <c r="T313" s="3">
        <f t="shared" si="294"/>
        <v>0</v>
      </c>
      <c r="U313" s="3">
        <f t="shared" si="295"/>
        <v>0</v>
      </c>
      <c r="V313" s="3">
        <f t="shared" si="296"/>
        <v>0</v>
      </c>
      <c r="W313" s="3">
        <f t="shared" si="297"/>
        <v>0</v>
      </c>
      <c r="X313" s="3">
        <f t="shared" si="298"/>
        <v>0</v>
      </c>
      <c r="Y313" s="3">
        <f t="shared" si="299"/>
        <v>0</v>
      </c>
      <c r="Z313" s="3"/>
      <c r="AA313" s="3">
        <v>-1</v>
      </c>
      <c r="AB313" s="3">
        <f t="shared" si="300"/>
        <v>6661.49</v>
      </c>
      <c r="AC313" s="3">
        <f t="shared" si="301"/>
        <v>6661.49</v>
      </c>
      <c r="AD313" s="3">
        <f t="shared" si="302"/>
        <v>0</v>
      </c>
      <c r="AE313" s="3">
        <f t="shared" si="303"/>
        <v>0</v>
      </c>
      <c r="AF313" s="3">
        <f t="shared" si="304"/>
        <v>0</v>
      </c>
      <c r="AG313" s="3">
        <f t="shared" si="305"/>
        <v>0</v>
      </c>
      <c r="AH313" s="3">
        <f t="shared" si="306"/>
        <v>0</v>
      </c>
      <c r="AI313" s="3">
        <f t="shared" si="307"/>
        <v>0</v>
      </c>
      <c r="AJ313" s="3">
        <f t="shared" si="308"/>
        <v>0</v>
      </c>
      <c r="AK313" s="3">
        <v>6661.49</v>
      </c>
      <c r="AL313" s="3">
        <v>6661.49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97</v>
      </c>
      <c r="AU313" s="3">
        <v>51</v>
      </c>
      <c r="AV313" s="3">
        <v>1</v>
      </c>
      <c r="AW313" s="3">
        <v>1</v>
      </c>
      <c r="AX313" s="3"/>
      <c r="AY313" s="3"/>
      <c r="AZ313" s="3">
        <v>1</v>
      </c>
      <c r="BA313" s="3">
        <v>1</v>
      </c>
      <c r="BB313" s="3">
        <v>1</v>
      </c>
      <c r="BC313" s="3">
        <v>9.8800000000000008</v>
      </c>
      <c r="BD313" s="3" t="s">
        <v>3</v>
      </c>
      <c r="BE313" s="3" t="s">
        <v>3</v>
      </c>
      <c r="BF313" s="3" t="s">
        <v>3</v>
      </c>
      <c r="BG313" s="3" t="s">
        <v>3</v>
      </c>
      <c r="BH313" s="3">
        <v>3</v>
      </c>
      <c r="BI313" s="3">
        <v>2</v>
      </c>
      <c r="BJ313" s="3" t="s">
        <v>3</v>
      </c>
      <c r="BK313" s="3"/>
      <c r="BL313" s="3"/>
      <c r="BM313" s="3">
        <v>67</v>
      </c>
      <c r="BN313" s="3">
        <v>0</v>
      </c>
      <c r="BO313" s="3" t="s">
        <v>3</v>
      </c>
      <c r="BP313" s="3">
        <v>0</v>
      </c>
      <c r="BQ313" s="3">
        <v>40</v>
      </c>
      <c r="BR313" s="3">
        <v>0</v>
      </c>
      <c r="BS313" s="3">
        <v>1</v>
      </c>
      <c r="BT313" s="3">
        <v>1</v>
      </c>
      <c r="BU313" s="3">
        <v>1</v>
      </c>
      <c r="BV313" s="3">
        <v>1</v>
      </c>
      <c r="BW313" s="3">
        <v>1</v>
      </c>
      <c r="BX313" s="3">
        <v>1</v>
      </c>
      <c r="BY313" s="3" t="s">
        <v>3</v>
      </c>
      <c r="BZ313" s="3">
        <v>97</v>
      </c>
      <c r="CA313" s="3">
        <v>51</v>
      </c>
      <c r="CB313" s="3" t="s">
        <v>3</v>
      </c>
      <c r="CC313" s="3"/>
      <c r="CD313" s="3"/>
      <c r="CE313" s="3">
        <v>30</v>
      </c>
      <c r="CF313" s="3">
        <v>0</v>
      </c>
      <c r="CG313" s="3">
        <v>0</v>
      </c>
      <c r="CH313" s="3"/>
      <c r="CI313" s="3"/>
      <c r="CJ313" s="3"/>
      <c r="CK313" s="3"/>
      <c r="CL313" s="3"/>
      <c r="CM313" s="3">
        <v>0</v>
      </c>
      <c r="CN313" s="3" t="s">
        <v>3</v>
      </c>
      <c r="CO313" s="3">
        <v>0</v>
      </c>
      <c r="CP313" s="3">
        <f t="shared" si="309"/>
        <v>65117.89</v>
      </c>
      <c r="CQ313" s="3">
        <f t="shared" si="310"/>
        <v>65815.520000000004</v>
      </c>
      <c r="CR313" s="3">
        <f t="shared" si="311"/>
        <v>0</v>
      </c>
      <c r="CS313" s="3">
        <f t="shared" si="312"/>
        <v>0</v>
      </c>
      <c r="CT313" s="3">
        <f t="shared" si="313"/>
        <v>0</v>
      </c>
      <c r="CU313" s="3">
        <f t="shared" si="314"/>
        <v>0</v>
      </c>
      <c r="CV313" s="3">
        <f t="shared" si="315"/>
        <v>0</v>
      </c>
      <c r="CW313" s="3">
        <f t="shared" si="316"/>
        <v>0</v>
      </c>
      <c r="CX313" s="3">
        <f t="shared" si="317"/>
        <v>0</v>
      </c>
      <c r="CY313" s="3">
        <f t="shared" si="318"/>
        <v>0</v>
      </c>
      <c r="CZ313" s="3">
        <f t="shared" si="319"/>
        <v>0</v>
      </c>
      <c r="DA313" s="3"/>
      <c r="DB313" s="3"/>
      <c r="DC313" s="3" t="s">
        <v>3</v>
      </c>
      <c r="DD313" s="3" t="s">
        <v>3</v>
      </c>
      <c r="DE313" s="3" t="s">
        <v>3</v>
      </c>
      <c r="DF313" s="3" t="s">
        <v>3</v>
      </c>
      <c r="DG313" s="3" t="s">
        <v>3</v>
      </c>
      <c r="DH313" s="3" t="s">
        <v>3</v>
      </c>
      <c r="DI313" s="3" t="s">
        <v>3</v>
      </c>
      <c r="DJ313" s="3" t="s">
        <v>3</v>
      </c>
      <c r="DK313" s="3" t="s">
        <v>3</v>
      </c>
      <c r="DL313" s="3" t="s">
        <v>3</v>
      </c>
      <c r="DM313" s="3" t="s">
        <v>3</v>
      </c>
      <c r="DN313" s="3">
        <v>0</v>
      </c>
      <c r="DO313" s="3">
        <v>0</v>
      </c>
      <c r="DP313" s="3">
        <v>1</v>
      </c>
      <c r="DQ313" s="3">
        <v>1</v>
      </c>
      <c r="DR313" s="3"/>
      <c r="DS313" s="3"/>
      <c r="DT313" s="3"/>
      <c r="DU313" s="3">
        <v>1003</v>
      </c>
      <c r="DV313" s="3" t="s">
        <v>295</v>
      </c>
      <c r="DW313" s="3" t="s">
        <v>295</v>
      </c>
      <c r="DX313" s="3">
        <v>1000</v>
      </c>
      <c r="DY313" s="3"/>
      <c r="DZ313" s="3" t="s">
        <v>3</v>
      </c>
      <c r="EA313" s="3" t="s">
        <v>3</v>
      </c>
      <c r="EB313" s="3" t="s">
        <v>3</v>
      </c>
      <c r="EC313" s="3" t="s">
        <v>3</v>
      </c>
      <c r="ED313" s="3"/>
      <c r="EE313" s="3">
        <v>58162629</v>
      </c>
      <c r="EF313" s="3">
        <v>40</v>
      </c>
      <c r="EG313" s="3" t="s">
        <v>25</v>
      </c>
      <c r="EH313" s="3">
        <v>0</v>
      </c>
      <c r="EI313" s="3" t="s">
        <v>3</v>
      </c>
      <c r="EJ313" s="3">
        <v>2</v>
      </c>
      <c r="EK313" s="3">
        <v>67</v>
      </c>
      <c r="EL313" s="3" t="s">
        <v>225</v>
      </c>
      <c r="EM313" s="3" t="s">
        <v>226</v>
      </c>
      <c r="EN313" s="3"/>
      <c r="EO313" s="3" t="s">
        <v>3</v>
      </c>
      <c r="EP313" s="3"/>
      <c r="EQ313" s="3">
        <v>1024</v>
      </c>
      <c r="ER313" s="3">
        <v>6661.49</v>
      </c>
      <c r="ES313" s="3">
        <v>6661.49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/>
      <c r="EZ313" s="3">
        <v>5</v>
      </c>
      <c r="FA313" s="3"/>
      <c r="FB313" s="3"/>
      <c r="FC313" s="3">
        <v>1</v>
      </c>
      <c r="FD313" s="3">
        <v>18</v>
      </c>
      <c r="FE313" s="3"/>
      <c r="FF313" s="3">
        <v>77430</v>
      </c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>
        <v>0</v>
      </c>
      <c r="FR313" s="3">
        <v>0</v>
      </c>
      <c r="FS313" s="3">
        <v>0</v>
      </c>
      <c r="FT313" s="3"/>
      <c r="FU313" s="3"/>
      <c r="FV313" s="3"/>
      <c r="FW313" s="3"/>
      <c r="FX313" s="3">
        <v>97</v>
      </c>
      <c r="FY313" s="3">
        <v>51</v>
      </c>
      <c r="FZ313" s="3"/>
      <c r="GA313" s="3" t="s">
        <v>318</v>
      </c>
      <c r="GB313" s="3"/>
      <c r="GC313" s="3"/>
      <c r="GD313" s="3">
        <v>1</v>
      </c>
      <c r="GE313" s="3"/>
      <c r="GF313" s="3">
        <v>1071750164</v>
      </c>
      <c r="GG313" s="3">
        <v>2</v>
      </c>
      <c r="GH313" s="3">
        <v>3</v>
      </c>
      <c r="GI313" s="3">
        <v>5</v>
      </c>
      <c r="GJ313" s="3">
        <v>0</v>
      </c>
      <c r="GK313" s="3">
        <v>0</v>
      </c>
      <c r="GL313" s="3">
        <f t="shared" si="320"/>
        <v>0</v>
      </c>
      <c r="GM313" s="3">
        <f t="shared" si="321"/>
        <v>65117.89</v>
      </c>
      <c r="GN313" s="3">
        <f t="shared" si="322"/>
        <v>0</v>
      </c>
      <c r="GO313" s="3">
        <f t="shared" si="323"/>
        <v>65117.89</v>
      </c>
      <c r="GP313" s="3">
        <f t="shared" si="324"/>
        <v>0</v>
      </c>
      <c r="GQ313" s="3"/>
      <c r="GR313" s="3">
        <v>1</v>
      </c>
      <c r="GS313" s="3">
        <v>1</v>
      </c>
      <c r="GT313" s="3">
        <v>0</v>
      </c>
      <c r="GU313" s="3" t="s">
        <v>3</v>
      </c>
      <c r="GV313" s="3">
        <f t="shared" si="325"/>
        <v>0</v>
      </c>
      <c r="GW313" s="3">
        <v>1</v>
      </c>
      <c r="GX313" s="3">
        <f t="shared" si="326"/>
        <v>0</v>
      </c>
      <c r="GY313" s="3"/>
      <c r="GZ313" s="3"/>
      <c r="HA313" s="3">
        <v>0</v>
      </c>
      <c r="HB313" s="3">
        <v>0</v>
      </c>
      <c r="HC313" s="3">
        <f t="shared" si="327"/>
        <v>0</v>
      </c>
      <c r="HD313" s="3"/>
      <c r="HE313" s="3" t="s">
        <v>34</v>
      </c>
      <c r="HF313" s="3" t="s">
        <v>35</v>
      </c>
      <c r="HG313" s="3"/>
      <c r="HH313" s="3"/>
      <c r="HI313" s="3"/>
      <c r="HJ313" s="3"/>
      <c r="HK313" s="3"/>
      <c r="HL313" s="3"/>
      <c r="HM313" s="3" t="s">
        <v>3</v>
      </c>
      <c r="HN313" s="3" t="s">
        <v>3</v>
      </c>
      <c r="HO313" s="3" t="s">
        <v>3</v>
      </c>
      <c r="HP313" s="3" t="s">
        <v>3</v>
      </c>
      <c r="HQ313" s="3" t="s">
        <v>3</v>
      </c>
      <c r="HR313" s="3"/>
      <c r="HS313" s="3">
        <v>0</v>
      </c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>
        <v>0</v>
      </c>
      <c r="IL313" s="3"/>
      <c r="IM313" s="3"/>
      <c r="IN313" s="3"/>
      <c r="IO313" s="3"/>
      <c r="IP313" s="3"/>
      <c r="IQ313" s="3"/>
      <c r="IR313" s="3"/>
      <c r="IS313" s="3"/>
      <c r="IT313" s="3"/>
      <c r="IU313" s="3"/>
    </row>
    <row r="314" spans="1:255" x14ac:dyDescent="0.3">
      <c r="A314" s="2">
        <v>18</v>
      </c>
      <c r="B314" s="2">
        <v>1</v>
      </c>
      <c r="C314" s="2"/>
      <c r="D314" s="2"/>
      <c r="E314" s="2" t="s">
        <v>3</v>
      </c>
      <c r="F314" s="2" t="s">
        <v>320</v>
      </c>
      <c r="G314" s="2" t="s">
        <v>321</v>
      </c>
      <c r="H314" s="2" t="s">
        <v>32</v>
      </c>
      <c r="I314" s="2">
        <f>I306*J314</f>
        <v>44</v>
      </c>
      <c r="J314" s="2">
        <v>1.3793103448275863</v>
      </c>
      <c r="K314" s="2">
        <v>1.37931034</v>
      </c>
      <c r="L314" s="2"/>
      <c r="M314" s="2"/>
      <c r="N314" s="2"/>
      <c r="O314" s="2">
        <f t="shared" si="289"/>
        <v>3611.52</v>
      </c>
      <c r="P314" s="2">
        <f t="shared" si="290"/>
        <v>3611.52</v>
      </c>
      <c r="Q314" s="2">
        <f t="shared" si="291"/>
        <v>0</v>
      </c>
      <c r="R314" s="2">
        <f t="shared" si="292"/>
        <v>0</v>
      </c>
      <c r="S314" s="2">
        <f t="shared" si="293"/>
        <v>0</v>
      </c>
      <c r="T314" s="2">
        <f t="shared" si="294"/>
        <v>0</v>
      </c>
      <c r="U314" s="2">
        <f t="shared" si="295"/>
        <v>0</v>
      </c>
      <c r="V314" s="2">
        <f t="shared" si="296"/>
        <v>0</v>
      </c>
      <c r="W314" s="2">
        <f t="shared" si="297"/>
        <v>0</v>
      </c>
      <c r="X314" s="2">
        <f t="shared" si="298"/>
        <v>0</v>
      </c>
      <c r="Y314" s="2">
        <f t="shared" si="299"/>
        <v>0</v>
      </c>
      <c r="Z314" s="2"/>
      <c r="AA314" s="2">
        <v>-1</v>
      </c>
      <c r="AB314" s="2">
        <f t="shared" si="300"/>
        <v>82.08</v>
      </c>
      <c r="AC314" s="2">
        <f t="shared" si="301"/>
        <v>82.08</v>
      </c>
      <c r="AD314" s="2">
        <f t="shared" si="302"/>
        <v>0</v>
      </c>
      <c r="AE314" s="2">
        <f t="shared" si="303"/>
        <v>0</v>
      </c>
      <c r="AF314" s="2">
        <f t="shared" si="304"/>
        <v>0</v>
      </c>
      <c r="AG314" s="2">
        <f t="shared" si="305"/>
        <v>0</v>
      </c>
      <c r="AH314" s="2">
        <f t="shared" si="306"/>
        <v>0</v>
      </c>
      <c r="AI314" s="2">
        <f t="shared" si="307"/>
        <v>0</v>
      </c>
      <c r="AJ314" s="2">
        <f t="shared" si="308"/>
        <v>0</v>
      </c>
      <c r="AK314" s="2">
        <v>82.08</v>
      </c>
      <c r="AL314" s="2">
        <v>82.08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97</v>
      </c>
      <c r="AU314" s="2">
        <v>51</v>
      </c>
      <c r="AV314" s="2">
        <v>1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2</v>
      </c>
      <c r="BJ314" s="2" t="s">
        <v>3</v>
      </c>
      <c r="BK314" s="2"/>
      <c r="BL314" s="2"/>
      <c r="BM314" s="2">
        <v>67</v>
      </c>
      <c r="BN314" s="2">
        <v>0</v>
      </c>
      <c r="BO314" s="2" t="s">
        <v>3</v>
      </c>
      <c r="BP314" s="2">
        <v>0</v>
      </c>
      <c r="BQ314" s="2">
        <v>40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97</v>
      </c>
      <c r="CA314" s="2">
        <v>51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3</v>
      </c>
      <c r="CO314" s="2">
        <v>0</v>
      </c>
      <c r="CP314" s="2">
        <f t="shared" si="309"/>
        <v>3611.52</v>
      </c>
      <c r="CQ314" s="2">
        <f t="shared" si="310"/>
        <v>82.08</v>
      </c>
      <c r="CR314" s="2">
        <f t="shared" si="311"/>
        <v>0</v>
      </c>
      <c r="CS314" s="2">
        <f t="shared" si="312"/>
        <v>0</v>
      </c>
      <c r="CT314" s="2">
        <f t="shared" si="313"/>
        <v>0</v>
      </c>
      <c r="CU314" s="2">
        <f t="shared" si="314"/>
        <v>0</v>
      </c>
      <c r="CV314" s="2">
        <f t="shared" si="315"/>
        <v>0</v>
      </c>
      <c r="CW314" s="2">
        <f t="shared" si="316"/>
        <v>0</v>
      </c>
      <c r="CX314" s="2">
        <f t="shared" si="317"/>
        <v>0</v>
      </c>
      <c r="CY314" s="2">
        <f t="shared" si="318"/>
        <v>0</v>
      </c>
      <c r="CZ314" s="2">
        <f t="shared" si="319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1010</v>
      </c>
      <c r="DV314" s="2" t="s">
        <v>32</v>
      </c>
      <c r="DW314" s="2" t="s">
        <v>32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58162629</v>
      </c>
      <c r="EF314" s="2">
        <v>40</v>
      </c>
      <c r="EG314" s="2" t="s">
        <v>25</v>
      </c>
      <c r="EH314" s="2">
        <v>0</v>
      </c>
      <c r="EI314" s="2" t="s">
        <v>3</v>
      </c>
      <c r="EJ314" s="2">
        <v>2</v>
      </c>
      <c r="EK314" s="2">
        <v>67</v>
      </c>
      <c r="EL314" s="2" t="s">
        <v>225</v>
      </c>
      <c r="EM314" s="2" t="s">
        <v>226</v>
      </c>
      <c r="EN314" s="2"/>
      <c r="EO314" s="2" t="s">
        <v>3</v>
      </c>
      <c r="EP314" s="2"/>
      <c r="EQ314" s="2">
        <v>1024</v>
      </c>
      <c r="ER314" s="2">
        <v>0</v>
      </c>
      <c r="ES314" s="2">
        <v>82.08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97</v>
      </c>
      <c r="FY314" s="2">
        <v>51</v>
      </c>
      <c r="FZ314" s="2"/>
      <c r="GA314" s="2" t="s">
        <v>322</v>
      </c>
      <c r="GB314" s="2"/>
      <c r="GC314" s="2"/>
      <c r="GD314" s="2">
        <v>1</v>
      </c>
      <c r="GE314" s="2"/>
      <c r="GF314" s="2">
        <v>1110437255</v>
      </c>
      <c r="GG314" s="2">
        <v>2</v>
      </c>
      <c r="GH314" s="2">
        <v>4</v>
      </c>
      <c r="GI314" s="2">
        <v>-2</v>
      </c>
      <c r="GJ314" s="2">
        <v>0</v>
      </c>
      <c r="GK314" s="2">
        <v>0</v>
      </c>
      <c r="GL314" s="2">
        <f t="shared" si="320"/>
        <v>0</v>
      </c>
      <c r="GM314" s="2">
        <f t="shared" si="321"/>
        <v>3611.52</v>
      </c>
      <c r="GN314" s="2">
        <f t="shared" si="322"/>
        <v>0</v>
      </c>
      <c r="GO314" s="2">
        <f t="shared" si="323"/>
        <v>3611.52</v>
      </c>
      <c r="GP314" s="2">
        <f t="shared" si="324"/>
        <v>0</v>
      </c>
      <c r="GQ314" s="2"/>
      <c r="GR314" s="2">
        <v>0</v>
      </c>
      <c r="GS314" s="2">
        <v>2</v>
      </c>
      <c r="GT314" s="2">
        <v>0</v>
      </c>
      <c r="GU314" s="2" t="s">
        <v>3</v>
      </c>
      <c r="GV314" s="2">
        <f t="shared" si="325"/>
        <v>0</v>
      </c>
      <c r="GW314" s="2">
        <v>1</v>
      </c>
      <c r="GX314" s="2">
        <f t="shared" si="326"/>
        <v>0</v>
      </c>
      <c r="GY314" s="2"/>
      <c r="GZ314" s="2"/>
      <c r="HA314" s="2">
        <v>0</v>
      </c>
      <c r="HB314" s="2">
        <v>0</v>
      </c>
      <c r="HC314" s="2">
        <f t="shared" si="327"/>
        <v>0</v>
      </c>
      <c r="HD314" s="2"/>
      <c r="HE314" s="2" t="s">
        <v>34</v>
      </c>
      <c r="HF314" s="2" t="s">
        <v>35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3">
      <c r="A315" s="3">
        <v>18</v>
      </c>
      <c r="B315" s="3">
        <v>1</v>
      </c>
      <c r="C315" s="3"/>
      <c r="D315" s="3"/>
      <c r="E315" s="3" t="s">
        <v>3</v>
      </c>
      <c r="F315" s="3" t="s">
        <v>320</v>
      </c>
      <c r="G315" s="3" t="s">
        <v>321</v>
      </c>
      <c r="H315" s="3" t="s">
        <v>32</v>
      </c>
      <c r="I315" s="3">
        <f>I307*J315</f>
        <v>44</v>
      </c>
      <c r="J315" s="3">
        <v>1.3793103448275863</v>
      </c>
      <c r="K315" s="3">
        <v>1.37931034</v>
      </c>
      <c r="L315" s="3"/>
      <c r="M315" s="3"/>
      <c r="N315" s="3"/>
      <c r="O315" s="3">
        <f t="shared" si="289"/>
        <v>35681.82</v>
      </c>
      <c r="P315" s="3">
        <f t="shared" si="290"/>
        <v>35681.82</v>
      </c>
      <c r="Q315" s="3">
        <f t="shared" si="291"/>
        <v>0</v>
      </c>
      <c r="R315" s="3">
        <f t="shared" si="292"/>
        <v>0</v>
      </c>
      <c r="S315" s="3">
        <f t="shared" si="293"/>
        <v>0</v>
      </c>
      <c r="T315" s="3">
        <f t="shared" si="294"/>
        <v>0</v>
      </c>
      <c r="U315" s="3">
        <f t="shared" si="295"/>
        <v>0</v>
      </c>
      <c r="V315" s="3">
        <f t="shared" si="296"/>
        <v>0</v>
      </c>
      <c r="W315" s="3">
        <f t="shared" si="297"/>
        <v>0</v>
      </c>
      <c r="X315" s="3">
        <f t="shared" si="298"/>
        <v>0</v>
      </c>
      <c r="Y315" s="3">
        <f t="shared" si="299"/>
        <v>0</v>
      </c>
      <c r="Z315" s="3"/>
      <c r="AA315" s="3">
        <v>-1</v>
      </c>
      <c r="AB315" s="3">
        <f t="shared" si="300"/>
        <v>82.08</v>
      </c>
      <c r="AC315" s="3">
        <f t="shared" si="301"/>
        <v>82.08</v>
      </c>
      <c r="AD315" s="3">
        <f t="shared" si="302"/>
        <v>0</v>
      </c>
      <c r="AE315" s="3">
        <f t="shared" si="303"/>
        <v>0</v>
      </c>
      <c r="AF315" s="3">
        <f t="shared" si="304"/>
        <v>0</v>
      </c>
      <c r="AG315" s="3">
        <f t="shared" si="305"/>
        <v>0</v>
      </c>
      <c r="AH315" s="3">
        <f t="shared" si="306"/>
        <v>0</v>
      </c>
      <c r="AI315" s="3">
        <f t="shared" si="307"/>
        <v>0</v>
      </c>
      <c r="AJ315" s="3">
        <f t="shared" si="308"/>
        <v>0</v>
      </c>
      <c r="AK315" s="3">
        <v>82.08</v>
      </c>
      <c r="AL315" s="3">
        <v>82.08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97</v>
      </c>
      <c r="AU315" s="3">
        <v>51</v>
      </c>
      <c r="AV315" s="3">
        <v>1</v>
      </c>
      <c r="AW315" s="3">
        <v>1</v>
      </c>
      <c r="AX315" s="3"/>
      <c r="AY315" s="3"/>
      <c r="AZ315" s="3">
        <v>1</v>
      </c>
      <c r="BA315" s="3">
        <v>1</v>
      </c>
      <c r="BB315" s="3">
        <v>1</v>
      </c>
      <c r="BC315" s="3">
        <v>9.8800000000000008</v>
      </c>
      <c r="BD315" s="3" t="s">
        <v>3</v>
      </c>
      <c r="BE315" s="3" t="s">
        <v>3</v>
      </c>
      <c r="BF315" s="3" t="s">
        <v>3</v>
      </c>
      <c r="BG315" s="3" t="s">
        <v>3</v>
      </c>
      <c r="BH315" s="3">
        <v>3</v>
      </c>
      <c r="BI315" s="3">
        <v>2</v>
      </c>
      <c r="BJ315" s="3" t="s">
        <v>3</v>
      </c>
      <c r="BK315" s="3"/>
      <c r="BL315" s="3"/>
      <c r="BM315" s="3">
        <v>67</v>
      </c>
      <c r="BN315" s="3">
        <v>0</v>
      </c>
      <c r="BO315" s="3" t="s">
        <v>3</v>
      </c>
      <c r="BP315" s="3">
        <v>0</v>
      </c>
      <c r="BQ315" s="3">
        <v>40</v>
      </c>
      <c r="BR315" s="3">
        <v>0</v>
      </c>
      <c r="BS315" s="3">
        <v>1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 t="s">
        <v>3</v>
      </c>
      <c r="BZ315" s="3">
        <v>97</v>
      </c>
      <c r="CA315" s="3">
        <v>51</v>
      </c>
      <c r="CB315" s="3" t="s">
        <v>3</v>
      </c>
      <c r="CC315" s="3"/>
      <c r="CD315" s="3"/>
      <c r="CE315" s="3">
        <v>30</v>
      </c>
      <c r="CF315" s="3">
        <v>0</v>
      </c>
      <c r="CG315" s="3">
        <v>0</v>
      </c>
      <c r="CH315" s="3"/>
      <c r="CI315" s="3"/>
      <c r="CJ315" s="3"/>
      <c r="CK315" s="3"/>
      <c r="CL315" s="3"/>
      <c r="CM315" s="3">
        <v>0</v>
      </c>
      <c r="CN315" s="3" t="s">
        <v>3</v>
      </c>
      <c r="CO315" s="3">
        <v>0</v>
      </c>
      <c r="CP315" s="3">
        <f t="shared" si="309"/>
        <v>35681.82</v>
      </c>
      <c r="CQ315" s="3">
        <f t="shared" si="310"/>
        <v>810.95</v>
      </c>
      <c r="CR315" s="3">
        <f t="shared" si="311"/>
        <v>0</v>
      </c>
      <c r="CS315" s="3">
        <f t="shared" si="312"/>
        <v>0</v>
      </c>
      <c r="CT315" s="3">
        <f t="shared" si="313"/>
        <v>0</v>
      </c>
      <c r="CU315" s="3">
        <f t="shared" si="314"/>
        <v>0</v>
      </c>
      <c r="CV315" s="3">
        <f t="shared" si="315"/>
        <v>0</v>
      </c>
      <c r="CW315" s="3">
        <f t="shared" si="316"/>
        <v>0</v>
      </c>
      <c r="CX315" s="3">
        <f t="shared" si="317"/>
        <v>0</v>
      </c>
      <c r="CY315" s="3">
        <f t="shared" si="318"/>
        <v>0</v>
      </c>
      <c r="CZ315" s="3">
        <f t="shared" si="319"/>
        <v>0</v>
      </c>
      <c r="DA315" s="3"/>
      <c r="DB315" s="3"/>
      <c r="DC315" s="3" t="s">
        <v>3</v>
      </c>
      <c r="DD315" s="3" t="s">
        <v>3</v>
      </c>
      <c r="DE315" s="3" t="s">
        <v>3</v>
      </c>
      <c r="DF315" s="3" t="s">
        <v>3</v>
      </c>
      <c r="DG315" s="3" t="s">
        <v>3</v>
      </c>
      <c r="DH315" s="3" t="s">
        <v>3</v>
      </c>
      <c r="DI315" s="3" t="s">
        <v>3</v>
      </c>
      <c r="DJ315" s="3" t="s">
        <v>3</v>
      </c>
      <c r="DK315" s="3" t="s">
        <v>3</v>
      </c>
      <c r="DL315" s="3" t="s">
        <v>3</v>
      </c>
      <c r="DM315" s="3" t="s">
        <v>3</v>
      </c>
      <c r="DN315" s="3">
        <v>0</v>
      </c>
      <c r="DO315" s="3">
        <v>0</v>
      </c>
      <c r="DP315" s="3">
        <v>1</v>
      </c>
      <c r="DQ315" s="3">
        <v>1</v>
      </c>
      <c r="DR315" s="3"/>
      <c r="DS315" s="3"/>
      <c r="DT315" s="3"/>
      <c r="DU315" s="3">
        <v>1010</v>
      </c>
      <c r="DV315" s="3" t="s">
        <v>32</v>
      </c>
      <c r="DW315" s="3" t="s">
        <v>32</v>
      </c>
      <c r="DX315" s="3">
        <v>1</v>
      </c>
      <c r="DY315" s="3"/>
      <c r="DZ315" s="3" t="s">
        <v>3</v>
      </c>
      <c r="EA315" s="3" t="s">
        <v>3</v>
      </c>
      <c r="EB315" s="3" t="s">
        <v>3</v>
      </c>
      <c r="EC315" s="3" t="s">
        <v>3</v>
      </c>
      <c r="ED315" s="3"/>
      <c r="EE315" s="3">
        <v>58162629</v>
      </c>
      <c r="EF315" s="3">
        <v>40</v>
      </c>
      <c r="EG315" s="3" t="s">
        <v>25</v>
      </c>
      <c r="EH315" s="3">
        <v>0</v>
      </c>
      <c r="EI315" s="3" t="s">
        <v>3</v>
      </c>
      <c r="EJ315" s="3">
        <v>2</v>
      </c>
      <c r="EK315" s="3">
        <v>67</v>
      </c>
      <c r="EL315" s="3" t="s">
        <v>225</v>
      </c>
      <c r="EM315" s="3" t="s">
        <v>226</v>
      </c>
      <c r="EN315" s="3"/>
      <c r="EO315" s="3" t="s">
        <v>3</v>
      </c>
      <c r="EP315" s="3"/>
      <c r="EQ315" s="3">
        <v>1024</v>
      </c>
      <c r="ER315" s="3">
        <v>82.08</v>
      </c>
      <c r="ES315" s="3">
        <v>82.08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/>
      <c r="EZ315" s="3">
        <v>5</v>
      </c>
      <c r="FA315" s="3"/>
      <c r="FB315" s="3"/>
      <c r="FC315" s="3">
        <v>1</v>
      </c>
      <c r="FD315" s="3">
        <v>18</v>
      </c>
      <c r="FE315" s="3"/>
      <c r="FF315" s="3">
        <v>954</v>
      </c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>
        <v>0</v>
      </c>
      <c r="FR315" s="3">
        <v>0</v>
      </c>
      <c r="FS315" s="3">
        <v>0</v>
      </c>
      <c r="FT315" s="3"/>
      <c r="FU315" s="3"/>
      <c r="FV315" s="3"/>
      <c r="FW315" s="3"/>
      <c r="FX315" s="3">
        <v>97</v>
      </c>
      <c r="FY315" s="3">
        <v>51</v>
      </c>
      <c r="FZ315" s="3"/>
      <c r="GA315" s="3" t="s">
        <v>322</v>
      </c>
      <c r="GB315" s="3"/>
      <c r="GC315" s="3"/>
      <c r="GD315" s="3">
        <v>1</v>
      </c>
      <c r="GE315" s="3"/>
      <c r="GF315" s="3">
        <v>1110437255</v>
      </c>
      <c r="GG315" s="3">
        <v>2</v>
      </c>
      <c r="GH315" s="3">
        <v>3</v>
      </c>
      <c r="GI315" s="3">
        <v>5</v>
      </c>
      <c r="GJ315" s="3">
        <v>0</v>
      </c>
      <c r="GK315" s="3">
        <v>0</v>
      </c>
      <c r="GL315" s="3">
        <f t="shared" si="320"/>
        <v>0</v>
      </c>
      <c r="GM315" s="3">
        <f t="shared" si="321"/>
        <v>35681.82</v>
      </c>
      <c r="GN315" s="3">
        <f t="shared" si="322"/>
        <v>0</v>
      </c>
      <c r="GO315" s="3">
        <f t="shared" si="323"/>
        <v>35681.82</v>
      </c>
      <c r="GP315" s="3">
        <f t="shared" si="324"/>
        <v>0</v>
      </c>
      <c r="GQ315" s="3"/>
      <c r="GR315" s="3">
        <v>1</v>
      </c>
      <c r="GS315" s="3">
        <v>1</v>
      </c>
      <c r="GT315" s="3">
        <v>0</v>
      </c>
      <c r="GU315" s="3" t="s">
        <v>3</v>
      </c>
      <c r="GV315" s="3">
        <f t="shared" si="325"/>
        <v>0</v>
      </c>
      <c r="GW315" s="3">
        <v>1</v>
      </c>
      <c r="GX315" s="3">
        <f t="shared" si="326"/>
        <v>0</v>
      </c>
      <c r="GY315" s="3"/>
      <c r="GZ315" s="3"/>
      <c r="HA315" s="3">
        <v>0</v>
      </c>
      <c r="HB315" s="3">
        <v>0</v>
      </c>
      <c r="HC315" s="3">
        <f t="shared" si="327"/>
        <v>0</v>
      </c>
      <c r="HD315" s="3"/>
      <c r="HE315" s="3" t="s">
        <v>34</v>
      </c>
      <c r="HF315" s="3" t="s">
        <v>35</v>
      </c>
      <c r="HG315" s="3"/>
      <c r="HH315" s="3"/>
      <c r="HI315" s="3"/>
      <c r="HJ315" s="3"/>
      <c r="HK315" s="3"/>
      <c r="HL315" s="3"/>
      <c r="HM315" s="3" t="s">
        <v>3</v>
      </c>
      <c r="HN315" s="3" t="s">
        <v>3</v>
      </c>
      <c r="HO315" s="3" t="s">
        <v>3</v>
      </c>
      <c r="HP315" s="3" t="s">
        <v>3</v>
      </c>
      <c r="HQ315" s="3" t="s">
        <v>3</v>
      </c>
      <c r="HR315" s="3"/>
      <c r="HS315" s="3">
        <v>0</v>
      </c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>
        <v>0</v>
      </c>
      <c r="IL315" s="3"/>
      <c r="IM315" s="3"/>
      <c r="IN315" s="3"/>
      <c r="IO315" s="3"/>
      <c r="IP315" s="3"/>
      <c r="IQ315" s="3"/>
      <c r="IR315" s="3"/>
      <c r="IS315" s="3"/>
      <c r="IT315" s="3"/>
      <c r="IU315" s="3"/>
    </row>
    <row r="316" spans="1:255" x14ac:dyDescent="0.3">
      <c r="A316" s="2">
        <v>18</v>
      </c>
      <c r="B316" s="2">
        <v>1</v>
      </c>
      <c r="C316" s="2"/>
      <c r="D316" s="2"/>
      <c r="E316" s="2" t="s">
        <v>3</v>
      </c>
      <c r="F316" s="2" t="s">
        <v>324</v>
      </c>
      <c r="G316" s="2" t="s">
        <v>325</v>
      </c>
      <c r="H316" s="2" t="s">
        <v>223</v>
      </c>
      <c r="I316" s="2">
        <f>I306*J316</f>
        <v>0.16</v>
      </c>
      <c r="J316" s="2">
        <v>5.0156739811912229E-3</v>
      </c>
      <c r="K316" s="2">
        <v>5.0156699999999999E-3</v>
      </c>
      <c r="L316" s="2"/>
      <c r="M316" s="2"/>
      <c r="N316" s="2"/>
      <c r="O316" s="2">
        <f t="shared" si="289"/>
        <v>5.66</v>
      </c>
      <c r="P316" s="2">
        <f t="shared" si="290"/>
        <v>5.66</v>
      </c>
      <c r="Q316" s="2">
        <f t="shared" si="291"/>
        <v>0</v>
      </c>
      <c r="R316" s="2">
        <f t="shared" si="292"/>
        <v>0</v>
      </c>
      <c r="S316" s="2">
        <f t="shared" si="293"/>
        <v>0</v>
      </c>
      <c r="T316" s="2">
        <f t="shared" si="294"/>
        <v>0</v>
      </c>
      <c r="U316" s="2">
        <f t="shared" si="295"/>
        <v>0</v>
      </c>
      <c r="V316" s="2">
        <f t="shared" si="296"/>
        <v>0</v>
      </c>
      <c r="W316" s="2">
        <f t="shared" si="297"/>
        <v>0</v>
      </c>
      <c r="X316" s="2">
        <f t="shared" si="298"/>
        <v>0</v>
      </c>
      <c r="Y316" s="2">
        <f t="shared" si="299"/>
        <v>0</v>
      </c>
      <c r="Z316" s="2"/>
      <c r="AA316" s="2">
        <v>-1</v>
      </c>
      <c r="AB316" s="2">
        <f t="shared" si="300"/>
        <v>35.4</v>
      </c>
      <c r="AC316" s="2">
        <f t="shared" si="301"/>
        <v>35.4</v>
      </c>
      <c r="AD316" s="2">
        <f t="shared" si="302"/>
        <v>0</v>
      </c>
      <c r="AE316" s="2">
        <f t="shared" si="303"/>
        <v>0</v>
      </c>
      <c r="AF316" s="2">
        <f t="shared" si="304"/>
        <v>0</v>
      </c>
      <c r="AG316" s="2">
        <f t="shared" si="305"/>
        <v>0</v>
      </c>
      <c r="AH316" s="2">
        <f t="shared" si="306"/>
        <v>0</v>
      </c>
      <c r="AI316" s="2">
        <f t="shared" si="307"/>
        <v>0</v>
      </c>
      <c r="AJ316" s="2">
        <f t="shared" si="308"/>
        <v>0</v>
      </c>
      <c r="AK316" s="2">
        <v>35.4</v>
      </c>
      <c r="AL316" s="2">
        <v>35.4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97</v>
      </c>
      <c r="AU316" s="2">
        <v>51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2</v>
      </c>
      <c r="BJ316" s="2" t="s">
        <v>326</v>
      </c>
      <c r="BK316" s="2"/>
      <c r="BL316" s="2"/>
      <c r="BM316" s="2">
        <v>67</v>
      </c>
      <c r="BN316" s="2">
        <v>0</v>
      </c>
      <c r="BO316" s="2" t="s">
        <v>3</v>
      </c>
      <c r="BP316" s="2">
        <v>0</v>
      </c>
      <c r="BQ316" s="2">
        <v>40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97</v>
      </c>
      <c r="CA316" s="2">
        <v>51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si="309"/>
        <v>5.66</v>
      </c>
      <c r="CQ316" s="2">
        <f t="shared" si="310"/>
        <v>35.4</v>
      </c>
      <c r="CR316" s="2">
        <f t="shared" si="311"/>
        <v>0</v>
      </c>
      <c r="CS316" s="2">
        <f t="shared" si="312"/>
        <v>0</v>
      </c>
      <c r="CT316" s="2">
        <f t="shared" si="313"/>
        <v>0</v>
      </c>
      <c r="CU316" s="2">
        <f t="shared" si="314"/>
        <v>0</v>
      </c>
      <c r="CV316" s="2">
        <f t="shared" si="315"/>
        <v>0</v>
      </c>
      <c r="CW316" s="2">
        <f t="shared" si="316"/>
        <v>0</v>
      </c>
      <c r="CX316" s="2">
        <f t="shared" si="317"/>
        <v>0</v>
      </c>
      <c r="CY316" s="2">
        <f t="shared" si="318"/>
        <v>0</v>
      </c>
      <c r="CZ316" s="2">
        <f t="shared" si="319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1010</v>
      </c>
      <c r="DV316" s="2" t="s">
        <v>223</v>
      </c>
      <c r="DW316" s="2" t="s">
        <v>223</v>
      </c>
      <c r="DX316" s="2">
        <v>100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58162629</v>
      </c>
      <c r="EF316" s="2">
        <v>40</v>
      </c>
      <c r="EG316" s="2" t="s">
        <v>25</v>
      </c>
      <c r="EH316" s="2">
        <v>0</v>
      </c>
      <c r="EI316" s="2" t="s">
        <v>3</v>
      </c>
      <c r="EJ316" s="2">
        <v>2</v>
      </c>
      <c r="EK316" s="2">
        <v>67</v>
      </c>
      <c r="EL316" s="2" t="s">
        <v>225</v>
      </c>
      <c r="EM316" s="2" t="s">
        <v>226</v>
      </c>
      <c r="EN316" s="2"/>
      <c r="EO316" s="2" t="s">
        <v>3</v>
      </c>
      <c r="EP316" s="2"/>
      <c r="EQ316" s="2">
        <v>1024</v>
      </c>
      <c r="ER316" s="2">
        <v>35.4</v>
      </c>
      <c r="ES316" s="2">
        <v>35.4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97</v>
      </c>
      <c r="FY316" s="2">
        <v>51</v>
      </c>
      <c r="FZ316" s="2"/>
      <c r="GA316" s="2" t="s">
        <v>3</v>
      </c>
      <c r="GB316" s="2"/>
      <c r="GC316" s="2"/>
      <c r="GD316" s="2">
        <v>1</v>
      </c>
      <c r="GE316" s="2"/>
      <c r="GF316" s="2">
        <v>-520237615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320"/>
        <v>0</v>
      </c>
      <c r="GM316" s="2">
        <f t="shared" si="321"/>
        <v>5.66</v>
      </c>
      <c r="GN316" s="2">
        <f t="shared" si="322"/>
        <v>0</v>
      </c>
      <c r="GO316" s="2">
        <f t="shared" si="323"/>
        <v>5.66</v>
      </c>
      <c r="GP316" s="2">
        <f t="shared" si="324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325"/>
        <v>0</v>
      </c>
      <c r="GW316" s="2">
        <v>1</v>
      </c>
      <c r="GX316" s="2">
        <f t="shared" si="326"/>
        <v>0</v>
      </c>
      <c r="GY316" s="2"/>
      <c r="GZ316" s="2"/>
      <c r="HA316" s="2">
        <v>0</v>
      </c>
      <c r="HB316" s="2">
        <v>0</v>
      </c>
      <c r="HC316" s="2">
        <f t="shared" si="327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3">
      <c r="A317" s="3">
        <v>18</v>
      </c>
      <c r="B317" s="3">
        <v>1</v>
      </c>
      <c r="C317" s="3"/>
      <c r="D317" s="3"/>
      <c r="E317" s="3" t="s">
        <v>3</v>
      </c>
      <c r="F317" s="3" t="s">
        <v>324</v>
      </c>
      <c r="G317" s="3" t="s">
        <v>325</v>
      </c>
      <c r="H317" s="3" t="s">
        <v>223</v>
      </c>
      <c r="I317" s="3">
        <f>I307*J317</f>
        <v>0.16</v>
      </c>
      <c r="J317" s="3">
        <v>5.0156739811912229E-3</v>
      </c>
      <c r="K317" s="3">
        <v>5.0156699999999999E-3</v>
      </c>
      <c r="L317" s="3"/>
      <c r="M317" s="3"/>
      <c r="N317" s="3"/>
      <c r="O317" s="3">
        <f t="shared" si="289"/>
        <v>74.2</v>
      </c>
      <c r="P317" s="3">
        <f t="shared" si="290"/>
        <v>74.2</v>
      </c>
      <c r="Q317" s="3">
        <f t="shared" si="291"/>
        <v>0</v>
      </c>
      <c r="R317" s="3">
        <f t="shared" si="292"/>
        <v>0</v>
      </c>
      <c r="S317" s="3">
        <f t="shared" si="293"/>
        <v>0</v>
      </c>
      <c r="T317" s="3">
        <f t="shared" si="294"/>
        <v>0</v>
      </c>
      <c r="U317" s="3">
        <f t="shared" si="295"/>
        <v>0</v>
      </c>
      <c r="V317" s="3">
        <f t="shared" si="296"/>
        <v>0</v>
      </c>
      <c r="W317" s="3">
        <f t="shared" si="297"/>
        <v>0</v>
      </c>
      <c r="X317" s="3">
        <f t="shared" si="298"/>
        <v>0</v>
      </c>
      <c r="Y317" s="3">
        <f t="shared" si="299"/>
        <v>0</v>
      </c>
      <c r="Z317" s="3"/>
      <c r="AA317" s="3">
        <v>-1</v>
      </c>
      <c r="AB317" s="3">
        <f t="shared" si="300"/>
        <v>35.4</v>
      </c>
      <c r="AC317" s="3">
        <f t="shared" si="301"/>
        <v>35.4</v>
      </c>
      <c r="AD317" s="3">
        <f t="shared" si="302"/>
        <v>0</v>
      </c>
      <c r="AE317" s="3">
        <f t="shared" si="303"/>
        <v>0</v>
      </c>
      <c r="AF317" s="3">
        <f t="shared" si="304"/>
        <v>0</v>
      </c>
      <c r="AG317" s="3">
        <f t="shared" si="305"/>
        <v>0</v>
      </c>
      <c r="AH317" s="3">
        <f t="shared" si="306"/>
        <v>0</v>
      </c>
      <c r="AI317" s="3">
        <f t="shared" si="307"/>
        <v>0</v>
      </c>
      <c r="AJ317" s="3">
        <f t="shared" si="308"/>
        <v>0</v>
      </c>
      <c r="AK317" s="3">
        <v>35.4</v>
      </c>
      <c r="AL317" s="3">
        <v>35.4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97</v>
      </c>
      <c r="AU317" s="3">
        <v>51</v>
      </c>
      <c r="AV317" s="3">
        <v>1</v>
      </c>
      <c r="AW317" s="3">
        <v>1</v>
      </c>
      <c r="AX317" s="3"/>
      <c r="AY317" s="3"/>
      <c r="AZ317" s="3">
        <v>1</v>
      </c>
      <c r="BA317" s="3">
        <v>1</v>
      </c>
      <c r="BB317" s="3">
        <v>1</v>
      </c>
      <c r="BC317" s="3">
        <v>13.11</v>
      </c>
      <c r="BD317" s="3" t="s">
        <v>3</v>
      </c>
      <c r="BE317" s="3" t="s">
        <v>3</v>
      </c>
      <c r="BF317" s="3" t="s">
        <v>3</v>
      </c>
      <c r="BG317" s="3" t="s">
        <v>3</v>
      </c>
      <c r="BH317" s="3">
        <v>3</v>
      </c>
      <c r="BI317" s="3">
        <v>2</v>
      </c>
      <c r="BJ317" s="3" t="s">
        <v>326</v>
      </c>
      <c r="BK317" s="3"/>
      <c r="BL317" s="3"/>
      <c r="BM317" s="3">
        <v>67</v>
      </c>
      <c r="BN317" s="3">
        <v>0</v>
      </c>
      <c r="BO317" s="3" t="s">
        <v>324</v>
      </c>
      <c r="BP317" s="3">
        <v>1</v>
      </c>
      <c r="BQ317" s="3">
        <v>40</v>
      </c>
      <c r="BR317" s="3">
        <v>0</v>
      </c>
      <c r="BS317" s="3">
        <v>1</v>
      </c>
      <c r="BT317" s="3">
        <v>1</v>
      </c>
      <c r="BU317" s="3">
        <v>1</v>
      </c>
      <c r="BV317" s="3">
        <v>1</v>
      </c>
      <c r="BW317" s="3">
        <v>1</v>
      </c>
      <c r="BX317" s="3">
        <v>1</v>
      </c>
      <c r="BY317" s="3" t="s">
        <v>3</v>
      </c>
      <c r="BZ317" s="3">
        <v>97</v>
      </c>
      <c r="CA317" s="3">
        <v>51</v>
      </c>
      <c r="CB317" s="3" t="s">
        <v>3</v>
      </c>
      <c r="CC317" s="3"/>
      <c r="CD317" s="3"/>
      <c r="CE317" s="3">
        <v>30</v>
      </c>
      <c r="CF317" s="3">
        <v>0</v>
      </c>
      <c r="CG317" s="3">
        <v>0</v>
      </c>
      <c r="CH317" s="3"/>
      <c r="CI317" s="3"/>
      <c r="CJ317" s="3"/>
      <c r="CK317" s="3"/>
      <c r="CL317" s="3"/>
      <c r="CM317" s="3">
        <v>0</v>
      </c>
      <c r="CN317" s="3" t="s">
        <v>3</v>
      </c>
      <c r="CO317" s="3">
        <v>0</v>
      </c>
      <c r="CP317" s="3">
        <f t="shared" si="309"/>
        <v>74.2</v>
      </c>
      <c r="CQ317" s="3">
        <f t="shared" si="310"/>
        <v>464.09</v>
      </c>
      <c r="CR317" s="3">
        <f t="shared" si="311"/>
        <v>0</v>
      </c>
      <c r="CS317" s="3">
        <f t="shared" si="312"/>
        <v>0</v>
      </c>
      <c r="CT317" s="3">
        <f t="shared" si="313"/>
        <v>0</v>
      </c>
      <c r="CU317" s="3">
        <f t="shared" si="314"/>
        <v>0</v>
      </c>
      <c r="CV317" s="3">
        <f t="shared" si="315"/>
        <v>0</v>
      </c>
      <c r="CW317" s="3">
        <f t="shared" si="316"/>
        <v>0</v>
      </c>
      <c r="CX317" s="3">
        <f t="shared" si="317"/>
        <v>0</v>
      </c>
      <c r="CY317" s="3">
        <f t="shared" si="318"/>
        <v>0</v>
      </c>
      <c r="CZ317" s="3">
        <f t="shared" si="319"/>
        <v>0</v>
      </c>
      <c r="DA317" s="3"/>
      <c r="DB317" s="3"/>
      <c r="DC317" s="3" t="s">
        <v>3</v>
      </c>
      <c r="DD317" s="3" t="s">
        <v>3</v>
      </c>
      <c r="DE317" s="3" t="s">
        <v>3</v>
      </c>
      <c r="DF317" s="3" t="s">
        <v>3</v>
      </c>
      <c r="DG317" s="3" t="s">
        <v>3</v>
      </c>
      <c r="DH317" s="3" t="s">
        <v>3</v>
      </c>
      <c r="DI317" s="3" t="s">
        <v>3</v>
      </c>
      <c r="DJ317" s="3" t="s">
        <v>3</v>
      </c>
      <c r="DK317" s="3" t="s">
        <v>3</v>
      </c>
      <c r="DL317" s="3" t="s">
        <v>3</v>
      </c>
      <c r="DM317" s="3" t="s">
        <v>3</v>
      </c>
      <c r="DN317" s="3">
        <v>0</v>
      </c>
      <c r="DO317" s="3">
        <v>0</v>
      </c>
      <c r="DP317" s="3">
        <v>1</v>
      </c>
      <c r="DQ317" s="3">
        <v>1</v>
      </c>
      <c r="DR317" s="3"/>
      <c r="DS317" s="3"/>
      <c r="DT317" s="3"/>
      <c r="DU317" s="3">
        <v>1010</v>
      </c>
      <c r="DV317" s="3" t="s">
        <v>223</v>
      </c>
      <c r="DW317" s="3" t="s">
        <v>223</v>
      </c>
      <c r="DX317" s="3">
        <v>100</v>
      </c>
      <c r="DY317" s="3"/>
      <c r="DZ317" s="3" t="s">
        <v>3</v>
      </c>
      <c r="EA317" s="3" t="s">
        <v>3</v>
      </c>
      <c r="EB317" s="3" t="s">
        <v>3</v>
      </c>
      <c r="EC317" s="3" t="s">
        <v>3</v>
      </c>
      <c r="ED317" s="3"/>
      <c r="EE317" s="3">
        <v>58162629</v>
      </c>
      <c r="EF317" s="3">
        <v>40</v>
      </c>
      <c r="EG317" s="3" t="s">
        <v>25</v>
      </c>
      <c r="EH317" s="3">
        <v>0</v>
      </c>
      <c r="EI317" s="3" t="s">
        <v>3</v>
      </c>
      <c r="EJ317" s="3">
        <v>2</v>
      </c>
      <c r="EK317" s="3">
        <v>67</v>
      </c>
      <c r="EL317" s="3" t="s">
        <v>225</v>
      </c>
      <c r="EM317" s="3" t="s">
        <v>226</v>
      </c>
      <c r="EN317" s="3"/>
      <c r="EO317" s="3" t="s">
        <v>3</v>
      </c>
      <c r="EP317" s="3"/>
      <c r="EQ317" s="3">
        <v>1024</v>
      </c>
      <c r="ER317" s="3">
        <v>35.4</v>
      </c>
      <c r="ES317" s="3">
        <v>35.4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>
        <v>0</v>
      </c>
      <c r="FR317" s="3">
        <v>0</v>
      </c>
      <c r="FS317" s="3">
        <v>0</v>
      </c>
      <c r="FT317" s="3"/>
      <c r="FU317" s="3"/>
      <c r="FV317" s="3"/>
      <c r="FW317" s="3"/>
      <c r="FX317" s="3">
        <v>97</v>
      </c>
      <c r="FY317" s="3">
        <v>51</v>
      </c>
      <c r="FZ317" s="3"/>
      <c r="GA317" s="3" t="s">
        <v>3</v>
      </c>
      <c r="GB317" s="3"/>
      <c r="GC317" s="3"/>
      <c r="GD317" s="3">
        <v>1</v>
      </c>
      <c r="GE317" s="3"/>
      <c r="GF317" s="3">
        <v>-520237615</v>
      </c>
      <c r="GG317" s="3">
        <v>2</v>
      </c>
      <c r="GH317" s="3">
        <v>1</v>
      </c>
      <c r="GI317" s="3">
        <v>2</v>
      </c>
      <c r="GJ317" s="3">
        <v>0</v>
      </c>
      <c r="GK317" s="3">
        <v>0</v>
      </c>
      <c r="GL317" s="3">
        <f t="shared" si="320"/>
        <v>0</v>
      </c>
      <c r="GM317" s="3">
        <f t="shared" si="321"/>
        <v>74.2</v>
      </c>
      <c r="GN317" s="3">
        <f t="shared" si="322"/>
        <v>0</v>
      </c>
      <c r="GO317" s="3">
        <f t="shared" si="323"/>
        <v>74.2</v>
      </c>
      <c r="GP317" s="3">
        <f t="shared" si="324"/>
        <v>0</v>
      </c>
      <c r="GQ317" s="3"/>
      <c r="GR317" s="3">
        <v>0</v>
      </c>
      <c r="GS317" s="3">
        <v>3</v>
      </c>
      <c r="GT317" s="3">
        <v>0</v>
      </c>
      <c r="GU317" s="3" t="s">
        <v>3</v>
      </c>
      <c r="GV317" s="3">
        <f t="shared" si="325"/>
        <v>0</v>
      </c>
      <c r="GW317" s="3">
        <v>1</v>
      </c>
      <c r="GX317" s="3">
        <f t="shared" si="326"/>
        <v>0</v>
      </c>
      <c r="GY317" s="3"/>
      <c r="GZ317" s="3"/>
      <c r="HA317" s="3">
        <v>0</v>
      </c>
      <c r="HB317" s="3">
        <v>0</v>
      </c>
      <c r="HC317" s="3">
        <f t="shared" si="327"/>
        <v>0</v>
      </c>
      <c r="HD317" s="3"/>
      <c r="HE317" s="3" t="s">
        <v>3</v>
      </c>
      <c r="HF317" s="3" t="s">
        <v>3</v>
      </c>
      <c r="HG317" s="3"/>
      <c r="HH317" s="3"/>
      <c r="HI317" s="3"/>
      <c r="HJ317" s="3"/>
      <c r="HK317" s="3"/>
      <c r="HL317" s="3"/>
      <c r="HM317" s="3" t="s">
        <v>3</v>
      </c>
      <c r="HN317" s="3" t="s">
        <v>3</v>
      </c>
      <c r="HO317" s="3" t="s">
        <v>3</v>
      </c>
      <c r="HP317" s="3" t="s">
        <v>3</v>
      </c>
      <c r="HQ317" s="3" t="s">
        <v>3</v>
      </c>
      <c r="HR317" s="3"/>
      <c r="HS317" s="3">
        <v>0</v>
      </c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>
        <v>0</v>
      </c>
      <c r="IL317" s="3"/>
      <c r="IM317" s="3"/>
      <c r="IN317" s="3"/>
      <c r="IO317" s="3"/>
      <c r="IP317" s="3"/>
      <c r="IQ317" s="3"/>
      <c r="IR317" s="3"/>
      <c r="IS317" s="3"/>
      <c r="IT317" s="3"/>
      <c r="IU317" s="3"/>
    </row>
    <row r="318" spans="1:255" x14ac:dyDescent="0.3">
      <c r="A318" s="2">
        <v>18</v>
      </c>
      <c r="B318" s="2">
        <v>1</v>
      </c>
      <c r="C318" s="2"/>
      <c r="D318" s="2"/>
      <c r="E318" s="2" t="s">
        <v>3</v>
      </c>
      <c r="F318" s="2" t="s">
        <v>328</v>
      </c>
      <c r="G318" s="2" t="s">
        <v>329</v>
      </c>
      <c r="H318" s="2" t="s">
        <v>32</v>
      </c>
      <c r="I318" s="2">
        <f>I306*J318</f>
        <v>44</v>
      </c>
      <c r="J318" s="2">
        <v>1.3793103448275863</v>
      </c>
      <c r="K318" s="2">
        <v>1.37931034</v>
      </c>
      <c r="L318" s="2"/>
      <c r="M318" s="2"/>
      <c r="N318" s="2"/>
      <c r="O318" s="2">
        <f t="shared" si="289"/>
        <v>193.16</v>
      </c>
      <c r="P318" s="2">
        <f t="shared" si="290"/>
        <v>193.16</v>
      </c>
      <c r="Q318" s="2">
        <f t="shared" si="291"/>
        <v>0</v>
      </c>
      <c r="R318" s="2">
        <f t="shared" si="292"/>
        <v>0</v>
      </c>
      <c r="S318" s="2">
        <f t="shared" si="293"/>
        <v>0</v>
      </c>
      <c r="T318" s="2">
        <f t="shared" si="294"/>
        <v>0</v>
      </c>
      <c r="U318" s="2">
        <f t="shared" si="295"/>
        <v>0</v>
      </c>
      <c r="V318" s="2">
        <f t="shared" si="296"/>
        <v>0</v>
      </c>
      <c r="W318" s="2">
        <f t="shared" si="297"/>
        <v>0</v>
      </c>
      <c r="X318" s="2">
        <f t="shared" si="298"/>
        <v>0</v>
      </c>
      <c r="Y318" s="2">
        <f t="shared" si="299"/>
        <v>0</v>
      </c>
      <c r="Z318" s="2"/>
      <c r="AA318" s="2">
        <v>-1</v>
      </c>
      <c r="AB318" s="2">
        <f t="shared" si="300"/>
        <v>4.3899999999999997</v>
      </c>
      <c r="AC318" s="2">
        <f t="shared" si="301"/>
        <v>4.3899999999999997</v>
      </c>
      <c r="AD318" s="2">
        <f t="shared" si="302"/>
        <v>0</v>
      </c>
      <c r="AE318" s="2">
        <f t="shared" si="303"/>
        <v>0</v>
      </c>
      <c r="AF318" s="2">
        <f t="shared" si="304"/>
        <v>0</v>
      </c>
      <c r="AG318" s="2">
        <f t="shared" si="305"/>
        <v>0</v>
      </c>
      <c r="AH318" s="2">
        <f t="shared" si="306"/>
        <v>0</v>
      </c>
      <c r="AI318" s="2">
        <f t="shared" si="307"/>
        <v>0</v>
      </c>
      <c r="AJ318" s="2">
        <f t="shared" si="308"/>
        <v>0</v>
      </c>
      <c r="AK318" s="2">
        <v>4.3899999999999997</v>
      </c>
      <c r="AL318" s="2">
        <v>4.3899999999999997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97</v>
      </c>
      <c r="AU318" s="2">
        <v>51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2</v>
      </c>
      <c r="BJ318" s="2" t="s">
        <v>3</v>
      </c>
      <c r="BK318" s="2"/>
      <c r="BL318" s="2"/>
      <c r="BM318" s="2">
        <v>67</v>
      </c>
      <c r="BN318" s="2">
        <v>0</v>
      </c>
      <c r="BO318" s="2" t="s">
        <v>3</v>
      </c>
      <c r="BP318" s="2">
        <v>0</v>
      </c>
      <c r="BQ318" s="2">
        <v>40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97</v>
      </c>
      <c r="CA318" s="2">
        <v>51</v>
      </c>
      <c r="CB318" s="2" t="s">
        <v>3</v>
      </c>
      <c r="CC318" s="2"/>
      <c r="CD318" s="2"/>
      <c r="CE318" s="2">
        <v>30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309"/>
        <v>193.16</v>
      </c>
      <c r="CQ318" s="2">
        <f t="shared" si="310"/>
        <v>4.3899999999999997</v>
      </c>
      <c r="CR318" s="2">
        <f t="shared" si="311"/>
        <v>0</v>
      </c>
      <c r="CS318" s="2">
        <f t="shared" si="312"/>
        <v>0</v>
      </c>
      <c r="CT318" s="2">
        <f t="shared" si="313"/>
        <v>0</v>
      </c>
      <c r="CU318" s="2">
        <f t="shared" si="314"/>
        <v>0</v>
      </c>
      <c r="CV318" s="2">
        <f t="shared" si="315"/>
        <v>0</v>
      </c>
      <c r="CW318" s="2">
        <f t="shared" si="316"/>
        <v>0</v>
      </c>
      <c r="CX318" s="2">
        <f t="shared" si="317"/>
        <v>0</v>
      </c>
      <c r="CY318" s="2">
        <f t="shared" si="318"/>
        <v>0</v>
      </c>
      <c r="CZ318" s="2">
        <f t="shared" si="319"/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1010</v>
      </c>
      <c r="DV318" s="2" t="s">
        <v>32</v>
      </c>
      <c r="DW318" s="2" t="s">
        <v>32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58162629</v>
      </c>
      <c r="EF318" s="2">
        <v>40</v>
      </c>
      <c r="EG318" s="2" t="s">
        <v>25</v>
      </c>
      <c r="EH318" s="2">
        <v>0</v>
      </c>
      <c r="EI318" s="2" t="s">
        <v>3</v>
      </c>
      <c r="EJ318" s="2">
        <v>2</v>
      </c>
      <c r="EK318" s="2">
        <v>67</v>
      </c>
      <c r="EL318" s="2" t="s">
        <v>225</v>
      </c>
      <c r="EM318" s="2" t="s">
        <v>226</v>
      </c>
      <c r="EN318" s="2"/>
      <c r="EO318" s="2" t="s">
        <v>3</v>
      </c>
      <c r="EP318" s="2"/>
      <c r="EQ318" s="2">
        <v>1024</v>
      </c>
      <c r="ER318" s="2">
        <v>0</v>
      </c>
      <c r="ES318" s="2">
        <v>4.3899999999999997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97</v>
      </c>
      <c r="FY318" s="2">
        <v>51</v>
      </c>
      <c r="FZ318" s="2"/>
      <c r="GA318" s="2" t="s">
        <v>330</v>
      </c>
      <c r="GB318" s="2"/>
      <c r="GC318" s="2"/>
      <c r="GD318" s="2">
        <v>1</v>
      </c>
      <c r="GE318" s="2"/>
      <c r="GF318" s="2">
        <v>973940117</v>
      </c>
      <c r="GG318" s="2">
        <v>2</v>
      </c>
      <c r="GH318" s="2">
        <v>4</v>
      </c>
      <c r="GI318" s="2">
        <v>-2</v>
      </c>
      <c r="GJ318" s="2">
        <v>0</v>
      </c>
      <c r="GK318" s="2">
        <v>0</v>
      </c>
      <c r="GL318" s="2">
        <f t="shared" si="320"/>
        <v>0</v>
      </c>
      <c r="GM318" s="2">
        <f t="shared" si="321"/>
        <v>193.16</v>
      </c>
      <c r="GN318" s="2">
        <f t="shared" si="322"/>
        <v>0</v>
      </c>
      <c r="GO318" s="2">
        <f t="shared" si="323"/>
        <v>193.16</v>
      </c>
      <c r="GP318" s="2">
        <f t="shared" si="324"/>
        <v>0</v>
      </c>
      <c r="GQ318" s="2"/>
      <c r="GR318" s="2">
        <v>0</v>
      </c>
      <c r="GS318" s="2">
        <v>2</v>
      </c>
      <c r="GT318" s="2">
        <v>0</v>
      </c>
      <c r="GU318" s="2" t="s">
        <v>3</v>
      </c>
      <c r="GV318" s="2">
        <f t="shared" si="325"/>
        <v>0</v>
      </c>
      <c r="GW318" s="2">
        <v>1</v>
      </c>
      <c r="GX318" s="2">
        <f t="shared" si="326"/>
        <v>0</v>
      </c>
      <c r="GY318" s="2"/>
      <c r="GZ318" s="2"/>
      <c r="HA318" s="2">
        <v>0</v>
      </c>
      <c r="HB318" s="2">
        <v>0</v>
      </c>
      <c r="HC318" s="2">
        <f t="shared" si="327"/>
        <v>0</v>
      </c>
      <c r="HD318" s="2"/>
      <c r="HE318" s="2" t="s">
        <v>34</v>
      </c>
      <c r="HF318" s="2" t="s">
        <v>35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3">
      <c r="A319" s="3">
        <v>18</v>
      </c>
      <c r="B319" s="3">
        <v>1</v>
      </c>
      <c r="C319" s="3"/>
      <c r="D319" s="3"/>
      <c r="E319" s="3" t="s">
        <v>3</v>
      </c>
      <c r="F319" s="3" t="s">
        <v>328</v>
      </c>
      <c r="G319" s="3" t="s">
        <v>329</v>
      </c>
      <c r="H319" s="3" t="s">
        <v>32</v>
      </c>
      <c r="I319" s="3">
        <f>I307*J319</f>
        <v>44</v>
      </c>
      <c r="J319" s="3">
        <v>1.3793103448275863</v>
      </c>
      <c r="K319" s="3">
        <v>1.37931034</v>
      </c>
      <c r="L319" s="3"/>
      <c r="M319" s="3"/>
      <c r="N319" s="3"/>
      <c r="O319" s="3">
        <f t="shared" si="289"/>
        <v>1908.42</v>
      </c>
      <c r="P319" s="3">
        <f t="shared" si="290"/>
        <v>1908.42</v>
      </c>
      <c r="Q319" s="3">
        <f t="shared" si="291"/>
        <v>0</v>
      </c>
      <c r="R319" s="3">
        <f t="shared" si="292"/>
        <v>0</v>
      </c>
      <c r="S319" s="3">
        <f t="shared" si="293"/>
        <v>0</v>
      </c>
      <c r="T319" s="3">
        <f t="shared" si="294"/>
        <v>0</v>
      </c>
      <c r="U319" s="3">
        <f t="shared" si="295"/>
        <v>0</v>
      </c>
      <c r="V319" s="3">
        <f t="shared" si="296"/>
        <v>0</v>
      </c>
      <c r="W319" s="3">
        <f t="shared" si="297"/>
        <v>0</v>
      </c>
      <c r="X319" s="3">
        <f t="shared" si="298"/>
        <v>0</v>
      </c>
      <c r="Y319" s="3">
        <f t="shared" si="299"/>
        <v>0</v>
      </c>
      <c r="Z319" s="3"/>
      <c r="AA319" s="3">
        <v>-1</v>
      </c>
      <c r="AB319" s="3">
        <f t="shared" si="300"/>
        <v>4.3899999999999997</v>
      </c>
      <c r="AC319" s="3">
        <f t="shared" si="301"/>
        <v>4.3899999999999997</v>
      </c>
      <c r="AD319" s="3">
        <f t="shared" si="302"/>
        <v>0</v>
      </c>
      <c r="AE319" s="3">
        <f t="shared" si="303"/>
        <v>0</v>
      </c>
      <c r="AF319" s="3">
        <f t="shared" si="304"/>
        <v>0</v>
      </c>
      <c r="AG319" s="3">
        <f t="shared" si="305"/>
        <v>0</v>
      </c>
      <c r="AH319" s="3">
        <f t="shared" si="306"/>
        <v>0</v>
      </c>
      <c r="AI319" s="3">
        <f t="shared" si="307"/>
        <v>0</v>
      </c>
      <c r="AJ319" s="3">
        <f t="shared" si="308"/>
        <v>0</v>
      </c>
      <c r="AK319" s="3">
        <v>4.3899999999999997</v>
      </c>
      <c r="AL319" s="3">
        <v>4.3899999999999997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97</v>
      </c>
      <c r="AU319" s="3">
        <v>51</v>
      </c>
      <c r="AV319" s="3">
        <v>1</v>
      </c>
      <c r="AW319" s="3">
        <v>1</v>
      </c>
      <c r="AX319" s="3"/>
      <c r="AY319" s="3"/>
      <c r="AZ319" s="3">
        <v>1</v>
      </c>
      <c r="BA319" s="3">
        <v>1</v>
      </c>
      <c r="BB319" s="3">
        <v>1</v>
      </c>
      <c r="BC319" s="3">
        <v>9.8800000000000008</v>
      </c>
      <c r="BD319" s="3" t="s">
        <v>3</v>
      </c>
      <c r="BE319" s="3" t="s">
        <v>3</v>
      </c>
      <c r="BF319" s="3" t="s">
        <v>3</v>
      </c>
      <c r="BG319" s="3" t="s">
        <v>3</v>
      </c>
      <c r="BH319" s="3">
        <v>3</v>
      </c>
      <c r="BI319" s="3">
        <v>2</v>
      </c>
      <c r="BJ319" s="3" t="s">
        <v>3</v>
      </c>
      <c r="BK319" s="3"/>
      <c r="BL319" s="3"/>
      <c r="BM319" s="3">
        <v>67</v>
      </c>
      <c r="BN319" s="3">
        <v>0</v>
      </c>
      <c r="BO319" s="3" t="s">
        <v>3</v>
      </c>
      <c r="BP319" s="3">
        <v>0</v>
      </c>
      <c r="BQ319" s="3">
        <v>40</v>
      </c>
      <c r="BR319" s="3">
        <v>0</v>
      </c>
      <c r="BS319" s="3">
        <v>1</v>
      </c>
      <c r="BT319" s="3">
        <v>1</v>
      </c>
      <c r="BU319" s="3">
        <v>1</v>
      </c>
      <c r="BV319" s="3">
        <v>1</v>
      </c>
      <c r="BW319" s="3">
        <v>1</v>
      </c>
      <c r="BX319" s="3">
        <v>1</v>
      </c>
      <c r="BY319" s="3" t="s">
        <v>3</v>
      </c>
      <c r="BZ319" s="3">
        <v>97</v>
      </c>
      <c r="CA319" s="3">
        <v>51</v>
      </c>
      <c r="CB319" s="3" t="s">
        <v>3</v>
      </c>
      <c r="CC319" s="3"/>
      <c r="CD319" s="3"/>
      <c r="CE319" s="3">
        <v>30</v>
      </c>
      <c r="CF319" s="3">
        <v>0</v>
      </c>
      <c r="CG319" s="3">
        <v>0</v>
      </c>
      <c r="CH319" s="3"/>
      <c r="CI319" s="3"/>
      <c r="CJ319" s="3"/>
      <c r="CK319" s="3"/>
      <c r="CL319" s="3"/>
      <c r="CM319" s="3">
        <v>0</v>
      </c>
      <c r="CN319" s="3" t="s">
        <v>3</v>
      </c>
      <c r="CO319" s="3">
        <v>0</v>
      </c>
      <c r="CP319" s="3">
        <f t="shared" si="309"/>
        <v>1908.42</v>
      </c>
      <c r="CQ319" s="3">
        <f t="shared" si="310"/>
        <v>43.37</v>
      </c>
      <c r="CR319" s="3">
        <f t="shared" si="311"/>
        <v>0</v>
      </c>
      <c r="CS319" s="3">
        <f t="shared" si="312"/>
        <v>0</v>
      </c>
      <c r="CT319" s="3">
        <f t="shared" si="313"/>
        <v>0</v>
      </c>
      <c r="CU319" s="3">
        <f t="shared" si="314"/>
        <v>0</v>
      </c>
      <c r="CV319" s="3">
        <f t="shared" si="315"/>
        <v>0</v>
      </c>
      <c r="CW319" s="3">
        <f t="shared" si="316"/>
        <v>0</v>
      </c>
      <c r="CX319" s="3">
        <f t="shared" si="317"/>
        <v>0</v>
      </c>
      <c r="CY319" s="3">
        <f t="shared" si="318"/>
        <v>0</v>
      </c>
      <c r="CZ319" s="3">
        <f t="shared" si="319"/>
        <v>0</v>
      </c>
      <c r="DA319" s="3"/>
      <c r="DB319" s="3"/>
      <c r="DC319" s="3" t="s">
        <v>3</v>
      </c>
      <c r="DD319" s="3" t="s">
        <v>3</v>
      </c>
      <c r="DE319" s="3" t="s">
        <v>3</v>
      </c>
      <c r="DF319" s="3" t="s">
        <v>3</v>
      </c>
      <c r="DG319" s="3" t="s">
        <v>3</v>
      </c>
      <c r="DH319" s="3" t="s">
        <v>3</v>
      </c>
      <c r="DI319" s="3" t="s">
        <v>3</v>
      </c>
      <c r="DJ319" s="3" t="s">
        <v>3</v>
      </c>
      <c r="DK319" s="3" t="s">
        <v>3</v>
      </c>
      <c r="DL319" s="3" t="s">
        <v>3</v>
      </c>
      <c r="DM319" s="3" t="s">
        <v>3</v>
      </c>
      <c r="DN319" s="3">
        <v>0</v>
      </c>
      <c r="DO319" s="3">
        <v>0</v>
      </c>
      <c r="DP319" s="3">
        <v>1</v>
      </c>
      <c r="DQ319" s="3">
        <v>1</v>
      </c>
      <c r="DR319" s="3"/>
      <c r="DS319" s="3"/>
      <c r="DT319" s="3"/>
      <c r="DU319" s="3">
        <v>1010</v>
      </c>
      <c r="DV319" s="3" t="s">
        <v>32</v>
      </c>
      <c r="DW319" s="3" t="s">
        <v>32</v>
      </c>
      <c r="DX319" s="3">
        <v>1</v>
      </c>
      <c r="DY319" s="3"/>
      <c r="DZ319" s="3" t="s">
        <v>3</v>
      </c>
      <c r="EA319" s="3" t="s">
        <v>3</v>
      </c>
      <c r="EB319" s="3" t="s">
        <v>3</v>
      </c>
      <c r="EC319" s="3" t="s">
        <v>3</v>
      </c>
      <c r="ED319" s="3"/>
      <c r="EE319" s="3">
        <v>58162629</v>
      </c>
      <c r="EF319" s="3">
        <v>40</v>
      </c>
      <c r="EG319" s="3" t="s">
        <v>25</v>
      </c>
      <c r="EH319" s="3">
        <v>0</v>
      </c>
      <c r="EI319" s="3" t="s">
        <v>3</v>
      </c>
      <c r="EJ319" s="3">
        <v>2</v>
      </c>
      <c r="EK319" s="3">
        <v>67</v>
      </c>
      <c r="EL319" s="3" t="s">
        <v>225</v>
      </c>
      <c r="EM319" s="3" t="s">
        <v>226</v>
      </c>
      <c r="EN319" s="3"/>
      <c r="EO319" s="3" t="s">
        <v>3</v>
      </c>
      <c r="EP319" s="3"/>
      <c r="EQ319" s="3">
        <v>1024</v>
      </c>
      <c r="ER319" s="3">
        <v>4.3899999999999997</v>
      </c>
      <c r="ES319" s="3">
        <v>4.3899999999999997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/>
      <c r="EZ319" s="3">
        <v>5</v>
      </c>
      <c r="FA319" s="3"/>
      <c r="FB319" s="3"/>
      <c r="FC319" s="3">
        <v>1</v>
      </c>
      <c r="FD319" s="3">
        <v>18</v>
      </c>
      <c r="FE319" s="3"/>
      <c r="FF319" s="3">
        <v>51</v>
      </c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>
        <v>0</v>
      </c>
      <c r="FR319" s="3">
        <v>0</v>
      </c>
      <c r="FS319" s="3">
        <v>0</v>
      </c>
      <c r="FT319" s="3"/>
      <c r="FU319" s="3"/>
      <c r="FV319" s="3"/>
      <c r="FW319" s="3"/>
      <c r="FX319" s="3">
        <v>97</v>
      </c>
      <c r="FY319" s="3">
        <v>51</v>
      </c>
      <c r="FZ319" s="3"/>
      <c r="GA319" s="3" t="s">
        <v>330</v>
      </c>
      <c r="GB319" s="3"/>
      <c r="GC319" s="3"/>
      <c r="GD319" s="3">
        <v>1</v>
      </c>
      <c r="GE319" s="3"/>
      <c r="GF319" s="3">
        <v>973940117</v>
      </c>
      <c r="GG319" s="3">
        <v>2</v>
      </c>
      <c r="GH319" s="3">
        <v>3</v>
      </c>
      <c r="GI319" s="3">
        <v>5</v>
      </c>
      <c r="GJ319" s="3">
        <v>0</v>
      </c>
      <c r="GK319" s="3">
        <v>0</v>
      </c>
      <c r="GL319" s="3">
        <f t="shared" si="320"/>
        <v>0</v>
      </c>
      <c r="GM319" s="3">
        <f t="shared" si="321"/>
        <v>1908.42</v>
      </c>
      <c r="GN319" s="3">
        <f t="shared" si="322"/>
        <v>0</v>
      </c>
      <c r="GO319" s="3">
        <f t="shared" si="323"/>
        <v>1908.42</v>
      </c>
      <c r="GP319" s="3">
        <f t="shared" si="324"/>
        <v>0</v>
      </c>
      <c r="GQ319" s="3"/>
      <c r="GR319" s="3">
        <v>1</v>
      </c>
      <c r="GS319" s="3">
        <v>1</v>
      </c>
      <c r="GT319" s="3">
        <v>0</v>
      </c>
      <c r="GU319" s="3" t="s">
        <v>3</v>
      </c>
      <c r="GV319" s="3">
        <f t="shared" si="325"/>
        <v>0</v>
      </c>
      <c r="GW319" s="3">
        <v>1</v>
      </c>
      <c r="GX319" s="3">
        <f t="shared" si="326"/>
        <v>0</v>
      </c>
      <c r="GY319" s="3"/>
      <c r="GZ319" s="3"/>
      <c r="HA319" s="3">
        <v>0</v>
      </c>
      <c r="HB319" s="3">
        <v>0</v>
      </c>
      <c r="HC319" s="3">
        <f t="shared" si="327"/>
        <v>0</v>
      </c>
      <c r="HD319" s="3"/>
      <c r="HE319" s="3" t="s">
        <v>34</v>
      </c>
      <c r="HF319" s="3" t="s">
        <v>35</v>
      </c>
      <c r="HG319" s="3"/>
      <c r="HH319" s="3"/>
      <c r="HI319" s="3"/>
      <c r="HJ319" s="3"/>
      <c r="HK319" s="3"/>
      <c r="HL319" s="3"/>
      <c r="HM319" s="3" t="s">
        <v>3</v>
      </c>
      <c r="HN319" s="3" t="s">
        <v>3</v>
      </c>
      <c r="HO319" s="3" t="s">
        <v>3</v>
      </c>
      <c r="HP319" s="3" t="s">
        <v>3</v>
      </c>
      <c r="HQ319" s="3" t="s">
        <v>3</v>
      </c>
      <c r="HR319" s="3"/>
      <c r="HS319" s="3">
        <v>0</v>
      </c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>
        <v>0</v>
      </c>
      <c r="IL319" s="3"/>
      <c r="IM319" s="3"/>
      <c r="IN319" s="3"/>
      <c r="IO319" s="3"/>
      <c r="IP319" s="3"/>
      <c r="IQ319" s="3"/>
      <c r="IR319" s="3"/>
      <c r="IS319" s="3"/>
      <c r="IT319" s="3"/>
      <c r="IU319" s="3"/>
    </row>
    <row r="320" spans="1:255" x14ac:dyDescent="0.3">
      <c r="A320" s="2">
        <v>17</v>
      </c>
      <c r="B320" s="2">
        <v>1</v>
      </c>
      <c r="C320" s="2"/>
      <c r="D320" s="2">
        <f>ROW(EtalonRes!A257)</f>
        <v>257</v>
      </c>
      <c r="E320" s="2" t="s">
        <v>335</v>
      </c>
      <c r="F320" s="2" t="s">
        <v>336</v>
      </c>
      <c r="G320" s="2" t="s">
        <v>337</v>
      </c>
      <c r="H320" s="2" t="s">
        <v>338</v>
      </c>
      <c r="I320" s="2">
        <f>ROUND((81+124+8)*3/100,9)</f>
        <v>6.39</v>
      </c>
      <c r="J320" s="2">
        <v>0</v>
      </c>
      <c r="K320" s="2">
        <f>ROUND((81+124+8)*3/100,9)</f>
        <v>6.39</v>
      </c>
      <c r="L320" s="2"/>
      <c r="M320" s="2"/>
      <c r="N320" s="2"/>
      <c r="O320" s="2">
        <f t="shared" si="289"/>
        <v>1557.12</v>
      </c>
      <c r="P320" s="2">
        <f t="shared" si="290"/>
        <v>51.25</v>
      </c>
      <c r="Q320" s="2">
        <f>(ROUND((ROUND((((ET320*1.1))*AV320*I320),2)*BB320),2)+ROUND((ROUND(((AE320-((EU320*1.1)))*AV320*I320),2)*BS320),2))</f>
        <v>27.52</v>
      </c>
      <c r="R320" s="2">
        <f t="shared" si="292"/>
        <v>4.8600000000000003</v>
      </c>
      <c r="S320" s="2">
        <f t="shared" si="293"/>
        <v>1478.35</v>
      </c>
      <c r="T320" s="2">
        <f t="shared" si="294"/>
        <v>0</v>
      </c>
      <c r="U320" s="2">
        <f t="shared" si="295"/>
        <v>129.81916332</v>
      </c>
      <c r="V320" s="2">
        <f t="shared" si="296"/>
        <v>0</v>
      </c>
      <c r="W320" s="2">
        <f t="shared" si="297"/>
        <v>0</v>
      </c>
      <c r="X320" s="2">
        <f t="shared" si="298"/>
        <v>1438.71</v>
      </c>
      <c r="Y320" s="2">
        <f t="shared" si="299"/>
        <v>756.44</v>
      </c>
      <c r="Z320" s="2"/>
      <c r="AA320" s="2">
        <v>56505403</v>
      </c>
      <c r="AB320" s="2">
        <f t="shared" si="300"/>
        <v>233.102</v>
      </c>
      <c r="AC320" s="2">
        <f t="shared" si="301"/>
        <v>8.02</v>
      </c>
      <c r="AD320" s="2">
        <f>ROUND(((((ET320*1.1))-((EU320*1.1)))+AE320),6)</f>
        <v>4.1139999999999999</v>
      </c>
      <c r="AE320" s="2">
        <f>ROUND(((EU320*1.1)),6)</f>
        <v>0.72599999999999998</v>
      </c>
      <c r="AF320" s="2">
        <f>ROUND(((EV320*1.1)),6)</f>
        <v>220.96799999999999</v>
      </c>
      <c r="AG320" s="2">
        <f t="shared" si="305"/>
        <v>0</v>
      </c>
      <c r="AH320" s="2">
        <f>((EW320*1.1))</f>
        <v>19.404000000000003</v>
      </c>
      <c r="AI320" s="2">
        <f>((EX320*1.1))</f>
        <v>0</v>
      </c>
      <c r="AJ320" s="2">
        <f t="shared" si="308"/>
        <v>0</v>
      </c>
      <c r="AK320" s="2">
        <v>212.64</v>
      </c>
      <c r="AL320" s="2">
        <v>8.02</v>
      </c>
      <c r="AM320" s="2">
        <v>3.74</v>
      </c>
      <c r="AN320" s="2">
        <v>0.66</v>
      </c>
      <c r="AO320" s="2">
        <v>200.88</v>
      </c>
      <c r="AP320" s="2">
        <v>0</v>
      </c>
      <c r="AQ320" s="2">
        <v>17.64</v>
      </c>
      <c r="AR320" s="2">
        <v>0</v>
      </c>
      <c r="AS320" s="2">
        <v>0</v>
      </c>
      <c r="AT320" s="2">
        <v>97</v>
      </c>
      <c r="AU320" s="2">
        <v>51</v>
      </c>
      <c r="AV320" s="2">
        <v>1.0469999999999999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0</v>
      </c>
      <c r="BI320" s="2">
        <v>2</v>
      </c>
      <c r="BJ320" s="2" t="s">
        <v>339</v>
      </c>
      <c r="BK320" s="2"/>
      <c r="BL320" s="2"/>
      <c r="BM320" s="2">
        <v>67</v>
      </c>
      <c r="BN320" s="2">
        <v>0</v>
      </c>
      <c r="BO320" s="2" t="s">
        <v>336</v>
      </c>
      <c r="BP320" s="2">
        <v>1</v>
      </c>
      <c r="BQ320" s="2">
        <v>40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97</v>
      </c>
      <c r="CA320" s="2">
        <v>51</v>
      </c>
      <c r="CB320" s="2" t="s">
        <v>3</v>
      </c>
      <c r="CC320" s="2"/>
      <c r="CD320" s="2"/>
      <c r="CE320" s="2">
        <v>30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3</v>
      </c>
      <c r="CO320" s="2">
        <v>0</v>
      </c>
      <c r="CP320" s="2">
        <f t="shared" si="309"/>
        <v>1557.12</v>
      </c>
      <c r="CQ320" s="2">
        <f t="shared" si="310"/>
        <v>8.02</v>
      </c>
      <c r="CR320" s="2">
        <f>(ROUND((ROUND((((ET320*1.1))*AV320*1),2)*BB320),2)+ROUND((ROUND(((AE320-((EU320*1.1)))*AV320*1),2)*BS320),2))</f>
        <v>4.3099999999999996</v>
      </c>
      <c r="CS320" s="2">
        <f t="shared" si="312"/>
        <v>0.76</v>
      </c>
      <c r="CT320" s="2">
        <f t="shared" si="313"/>
        <v>231.35</v>
      </c>
      <c r="CU320" s="2">
        <f t="shared" si="314"/>
        <v>0</v>
      </c>
      <c r="CV320" s="2">
        <f t="shared" si="315"/>
        <v>20.315988000000001</v>
      </c>
      <c r="CW320" s="2">
        <f t="shared" si="316"/>
        <v>0</v>
      </c>
      <c r="CX320" s="2">
        <f t="shared" si="317"/>
        <v>0</v>
      </c>
      <c r="CY320" s="2">
        <f t="shared" si="318"/>
        <v>1438.7137</v>
      </c>
      <c r="CZ320" s="2">
        <f t="shared" si="319"/>
        <v>756.43709999999987</v>
      </c>
      <c r="DA320" s="2"/>
      <c r="DB320" s="2"/>
      <c r="DC320" s="2" t="s">
        <v>3</v>
      </c>
      <c r="DD320" s="2" t="s">
        <v>3</v>
      </c>
      <c r="DE320" s="2" t="s">
        <v>24</v>
      </c>
      <c r="DF320" s="2" t="s">
        <v>24</v>
      </c>
      <c r="DG320" s="2" t="s">
        <v>24</v>
      </c>
      <c r="DH320" s="2" t="s">
        <v>3</v>
      </c>
      <c r="DI320" s="2" t="s">
        <v>24</v>
      </c>
      <c r="DJ320" s="2" t="s">
        <v>24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1013</v>
      </c>
      <c r="DV320" s="2" t="s">
        <v>338</v>
      </c>
      <c r="DW320" s="2" t="s">
        <v>338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58162629</v>
      </c>
      <c r="EF320" s="2">
        <v>40</v>
      </c>
      <c r="EG320" s="2" t="s">
        <v>25</v>
      </c>
      <c r="EH320" s="2">
        <v>0</v>
      </c>
      <c r="EI320" s="2" t="s">
        <v>3</v>
      </c>
      <c r="EJ320" s="2">
        <v>2</v>
      </c>
      <c r="EK320" s="2">
        <v>67</v>
      </c>
      <c r="EL320" s="2" t="s">
        <v>225</v>
      </c>
      <c r="EM320" s="2" t="s">
        <v>226</v>
      </c>
      <c r="EN320" s="2"/>
      <c r="EO320" s="2" t="s">
        <v>28</v>
      </c>
      <c r="EP320" s="2"/>
      <c r="EQ320" s="2">
        <v>0</v>
      </c>
      <c r="ER320" s="2">
        <v>212.64</v>
      </c>
      <c r="ES320" s="2">
        <v>8.02</v>
      </c>
      <c r="ET320" s="2">
        <v>3.74</v>
      </c>
      <c r="EU320" s="2">
        <v>0.66</v>
      </c>
      <c r="EV320" s="2">
        <v>200.88</v>
      </c>
      <c r="EW320" s="2">
        <v>17.64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97</v>
      </c>
      <c r="FY320" s="2">
        <v>51</v>
      </c>
      <c r="FZ320" s="2"/>
      <c r="GA320" s="2" t="s">
        <v>3</v>
      </c>
      <c r="GB320" s="2"/>
      <c r="GC320" s="2"/>
      <c r="GD320" s="2">
        <v>1</v>
      </c>
      <c r="GE320" s="2"/>
      <c r="GF320" s="2">
        <v>968217997</v>
      </c>
      <c r="GG320" s="2">
        <v>2</v>
      </c>
      <c r="GH320" s="2">
        <v>1</v>
      </c>
      <c r="GI320" s="2">
        <v>2</v>
      </c>
      <c r="GJ320" s="2">
        <v>0</v>
      </c>
      <c r="GK320" s="2">
        <v>0</v>
      </c>
      <c r="GL320" s="2">
        <f t="shared" si="320"/>
        <v>0</v>
      </c>
      <c r="GM320" s="2">
        <f t="shared" si="321"/>
        <v>3752.27</v>
      </c>
      <c r="GN320" s="2">
        <f t="shared" si="322"/>
        <v>0</v>
      </c>
      <c r="GO320" s="2">
        <f t="shared" si="323"/>
        <v>3752.27</v>
      </c>
      <c r="GP320" s="2">
        <f t="shared" si="324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325"/>
        <v>0</v>
      </c>
      <c r="GW320" s="2">
        <v>1</v>
      </c>
      <c r="GX320" s="2">
        <f t="shared" si="326"/>
        <v>0</v>
      </c>
      <c r="GY320" s="2"/>
      <c r="GZ320" s="2"/>
      <c r="HA320" s="2">
        <v>0</v>
      </c>
      <c r="HB320" s="2">
        <v>0</v>
      </c>
      <c r="HC320" s="2">
        <f t="shared" si="327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3">
      <c r="A321" s="3">
        <v>17</v>
      </c>
      <c r="B321" s="3">
        <v>1</v>
      </c>
      <c r="C321" s="3"/>
      <c r="D321" s="3">
        <f>ROW(EtalonRes!A270)</f>
        <v>270</v>
      </c>
      <c r="E321" s="3" t="s">
        <v>335</v>
      </c>
      <c r="F321" s="3" t="s">
        <v>336</v>
      </c>
      <c r="G321" s="3" t="s">
        <v>337</v>
      </c>
      <c r="H321" s="3" t="s">
        <v>338</v>
      </c>
      <c r="I321" s="3">
        <f>ROUND((81+124+8)*3/100,9)</f>
        <v>6.39</v>
      </c>
      <c r="J321" s="3">
        <v>0</v>
      </c>
      <c r="K321" s="3">
        <f>ROUND((81+124+8)*3/100,9)</f>
        <v>6.39</v>
      </c>
      <c r="L321" s="3"/>
      <c r="M321" s="3"/>
      <c r="N321" s="3"/>
      <c r="O321" s="3">
        <f t="shared" si="289"/>
        <v>82167.39</v>
      </c>
      <c r="P321" s="3">
        <f t="shared" si="290"/>
        <v>379.76</v>
      </c>
      <c r="Q321" s="3">
        <f>(ROUND((ROUND((((ET321*1.1))*AV321*I321),2)*BB321),2)+ROUND((ROUND(((AE321-((EU321*1.1)))*AV321*I321),2)*BS321),2))</f>
        <v>493.16</v>
      </c>
      <c r="R321" s="3">
        <f t="shared" si="292"/>
        <v>267.25</v>
      </c>
      <c r="S321" s="3">
        <f t="shared" si="293"/>
        <v>81294.47</v>
      </c>
      <c r="T321" s="3">
        <f t="shared" si="294"/>
        <v>0</v>
      </c>
      <c r="U321" s="3">
        <f t="shared" si="295"/>
        <v>129.81916332</v>
      </c>
      <c r="V321" s="3">
        <f t="shared" si="296"/>
        <v>0</v>
      </c>
      <c r="W321" s="3">
        <f t="shared" si="297"/>
        <v>0</v>
      </c>
      <c r="X321" s="3">
        <f t="shared" si="298"/>
        <v>79114.87</v>
      </c>
      <c r="Y321" s="3">
        <f t="shared" si="299"/>
        <v>41596.480000000003</v>
      </c>
      <c r="Z321" s="3"/>
      <c r="AA321" s="3">
        <v>56505405</v>
      </c>
      <c r="AB321" s="3">
        <f t="shared" si="300"/>
        <v>233.102</v>
      </c>
      <c r="AC321" s="3">
        <f t="shared" si="301"/>
        <v>8.02</v>
      </c>
      <c r="AD321" s="3">
        <f>ROUND(((((ET321*1.1))-((EU321*1.1)))+AE321),6)</f>
        <v>4.1139999999999999</v>
      </c>
      <c r="AE321" s="3">
        <f>ROUND(((EU321*1.1)),6)</f>
        <v>0.72599999999999998</v>
      </c>
      <c r="AF321" s="3">
        <f>ROUND(((EV321*1.1)),6)</f>
        <v>220.96799999999999</v>
      </c>
      <c r="AG321" s="3">
        <f t="shared" si="305"/>
        <v>0</v>
      </c>
      <c r="AH321" s="3">
        <f>((EW321*1.1))</f>
        <v>19.404000000000003</v>
      </c>
      <c r="AI321" s="3">
        <f>((EX321*1.1))</f>
        <v>0</v>
      </c>
      <c r="AJ321" s="3">
        <f t="shared" si="308"/>
        <v>0</v>
      </c>
      <c r="AK321" s="3">
        <v>212.64</v>
      </c>
      <c r="AL321" s="3">
        <v>8.02</v>
      </c>
      <c r="AM321" s="3">
        <v>3.74</v>
      </c>
      <c r="AN321" s="3">
        <v>0.66</v>
      </c>
      <c r="AO321" s="3">
        <v>200.88</v>
      </c>
      <c r="AP321" s="3">
        <v>0</v>
      </c>
      <c r="AQ321" s="3">
        <v>17.64</v>
      </c>
      <c r="AR321" s="3">
        <v>0</v>
      </c>
      <c r="AS321" s="3">
        <v>0</v>
      </c>
      <c r="AT321" s="3">
        <v>97</v>
      </c>
      <c r="AU321" s="3">
        <v>51</v>
      </c>
      <c r="AV321" s="3">
        <v>1.0469999999999999</v>
      </c>
      <c r="AW321" s="3">
        <v>1</v>
      </c>
      <c r="AX321" s="3"/>
      <c r="AY321" s="3"/>
      <c r="AZ321" s="3">
        <v>1</v>
      </c>
      <c r="BA321" s="3">
        <v>54.99</v>
      </c>
      <c r="BB321" s="3">
        <v>17.920000000000002</v>
      </c>
      <c r="BC321" s="3">
        <v>7.41</v>
      </c>
      <c r="BD321" s="3" t="s">
        <v>3</v>
      </c>
      <c r="BE321" s="3" t="s">
        <v>3</v>
      </c>
      <c r="BF321" s="3" t="s">
        <v>3</v>
      </c>
      <c r="BG321" s="3" t="s">
        <v>3</v>
      </c>
      <c r="BH321" s="3">
        <v>0</v>
      </c>
      <c r="BI321" s="3">
        <v>2</v>
      </c>
      <c r="BJ321" s="3" t="s">
        <v>339</v>
      </c>
      <c r="BK321" s="3"/>
      <c r="BL321" s="3"/>
      <c r="BM321" s="3">
        <v>67</v>
      </c>
      <c r="BN321" s="3">
        <v>0</v>
      </c>
      <c r="BO321" s="3" t="s">
        <v>336</v>
      </c>
      <c r="BP321" s="3">
        <v>1</v>
      </c>
      <c r="BQ321" s="3">
        <v>40</v>
      </c>
      <c r="BR321" s="3">
        <v>0</v>
      </c>
      <c r="BS321" s="3">
        <v>54.99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 t="s">
        <v>3</v>
      </c>
      <c r="BZ321" s="3">
        <v>97</v>
      </c>
      <c r="CA321" s="3">
        <v>51</v>
      </c>
      <c r="CB321" s="3" t="s">
        <v>3</v>
      </c>
      <c r="CC321" s="3"/>
      <c r="CD321" s="3"/>
      <c r="CE321" s="3">
        <v>30</v>
      </c>
      <c r="CF321" s="3">
        <v>0</v>
      </c>
      <c r="CG321" s="3">
        <v>0</v>
      </c>
      <c r="CH321" s="3"/>
      <c r="CI321" s="3"/>
      <c r="CJ321" s="3"/>
      <c r="CK321" s="3"/>
      <c r="CL321" s="3"/>
      <c r="CM321" s="3">
        <v>0</v>
      </c>
      <c r="CN321" s="3" t="s">
        <v>3</v>
      </c>
      <c r="CO321" s="3">
        <v>0</v>
      </c>
      <c r="CP321" s="3">
        <f t="shared" si="309"/>
        <v>82167.39</v>
      </c>
      <c r="CQ321" s="3">
        <f t="shared" si="310"/>
        <v>59.43</v>
      </c>
      <c r="CR321" s="3">
        <f>(ROUND((ROUND((((ET321*1.1))*AV321*1),2)*BB321),2)+ROUND((ROUND(((AE321-((EU321*1.1)))*AV321*1),2)*BS321),2))</f>
        <v>77.239999999999995</v>
      </c>
      <c r="CS321" s="3">
        <f t="shared" si="312"/>
        <v>41.79</v>
      </c>
      <c r="CT321" s="3">
        <f t="shared" si="313"/>
        <v>12721.94</v>
      </c>
      <c r="CU321" s="3">
        <f t="shared" si="314"/>
        <v>0</v>
      </c>
      <c r="CV321" s="3">
        <f t="shared" si="315"/>
        <v>20.315988000000001</v>
      </c>
      <c r="CW321" s="3">
        <f t="shared" si="316"/>
        <v>0</v>
      </c>
      <c r="CX321" s="3">
        <f t="shared" si="317"/>
        <v>0</v>
      </c>
      <c r="CY321" s="3">
        <f t="shared" si="318"/>
        <v>79114.868399999992</v>
      </c>
      <c r="CZ321" s="3">
        <f t="shared" si="319"/>
        <v>41596.477200000001</v>
      </c>
      <c r="DA321" s="3"/>
      <c r="DB321" s="3"/>
      <c r="DC321" s="3" t="s">
        <v>3</v>
      </c>
      <c r="DD321" s="3" t="s">
        <v>3</v>
      </c>
      <c r="DE321" s="3" t="s">
        <v>24</v>
      </c>
      <c r="DF321" s="3" t="s">
        <v>24</v>
      </c>
      <c r="DG321" s="3" t="s">
        <v>24</v>
      </c>
      <c r="DH321" s="3" t="s">
        <v>3</v>
      </c>
      <c r="DI321" s="3" t="s">
        <v>24</v>
      </c>
      <c r="DJ321" s="3" t="s">
        <v>24</v>
      </c>
      <c r="DK321" s="3" t="s">
        <v>3</v>
      </c>
      <c r="DL321" s="3" t="s">
        <v>3</v>
      </c>
      <c r="DM321" s="3" t="s">
        <v>3</v>
      </c>
      <c r="DN321" s="3">
        <v>0</v>
      </c>
      <c r="DO321" s="3">
        <v>0</v>
      </c>
      <c r="DP321" s="3">
        <v>1</v>
      </c>
      <c r="DQ321" s="3">
        <v>1</v>
      </c>
      <c r="DR321" s="3"/>
      <c r="DS321" s="3"/>
      <c r="DT321" s="3"/>
      <c r="DU321" s="3">
        <v>1013</v>
      </c>
      <c r="DV321" s="3" t="s">
        <v>338</v>
      </c>
      <c r="DW321" s="3" t="s">
        <v>338</v>
      </c>
      <c r="DX321" s="3">
        <v>1</v>
      </c>
      <c r="DY321" s="3"/>
      <c r="DZ321" s="3" t="s">
        <v>3</v>
      </c>
      <c r="EA321" s="3" t="s">
        <v>3</v>
      </c>
      <c r="EB321" s="3" t="s">
        <v>3</v>
      </c>
      <c r="EC321" s="3" t="s">
        <v>3</v>
      </c>
      <c r="ED321" s="3"/>
      <c r="EE321" s="3">
        <v>58162629</v>
      </c>
      <c r="EF321" s="3">
        <v>40</v>
      </c>
      <c r="EG321" s="3" t="s">
        <v>25</v>
      </c>
      <c r="EH321" s="3">
        <v>0</v>
      </c>
      <c r="EI321" s="3" t="s">
        <v>3</v>
      </c>
      <c r="EJ321" s="3">
        <v>2</v>
      </c>
      <c r="EK321" s="3">
        <v>67</v>
      </c>
      <c r="EL321" s="3" t="s">
        <v>225</v>
      </c>
      <c r="EM321" s="3" t="s">
        <v>226</v>
      </c>
      <c r="EN321" s="3"/>
      <c r="EO321" s="3" t="s">
        <v>28</v>
      </c>
      <c r="EP321" s="3"/>
      <c r="EQ321" s="3">
        <v>0</v>
      </c>
      <c r="ER321" s="3">
        <v>212.64</v>
      </c>
      <c r="ES321" s="3">
        <v>8.02</v>
      </c>
      <c r="ET321" s="3">
        <v>3.74</v>
      </c>
      <c r="EU321" s="3">
        <v>0.66</v>
      </c>
      <c r="EV321" s="3">
        <v>200.88</v>
      </c>
      <c r="EW321" s="3">
        <v>17.64</v>
      </c>
      <c r="EX321" s="3">
        <v>0</v>
      </c>
      <c r="EY321" s="3">
        <v>0</v>
      </c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>
        <v>0</v>
      </c>
      <c r="FR321" s="3">
        <v>0</v>
      </c>
      <c r="FS321" s="3">
        <v>0</v>
      </c>
      <c r="FT321" s="3"/>
      <c r="FU321" s="3"/>
      <c r="FV321" s="3"/>
      <c r="FW321" s="3"/>
      <c r="FX321" s="3">
        <v>97</v>
      </c>
      <c r="FY321" s="3">
        <v>51</v>
      </c>
      <c r="FZ321" s="3"/>
      <c r="GA321" s="3" t="s">
        <v>3</v>
      </c>
      <c r="GB321" s="3"/>
      <c r="GC321" s="3"/>
      <c r="GD321" s="3">
        <v>1</v>
      </c>
      <c r="GE321" s="3"/>
      <c r="GF321" s="3">
        <v>968217997</v>
      </c>
      <c r="GG321" s="3">
        <v>2</v>
      </c>
      <c r="GH321" s="3">
        <v>1</v>
      </c>
      <c r="GI321" s="3">
        <v>2</v>
      </c>
      <c r="GJ321" s="3">
        <v>0</v>
      </c>
      <c r="GK321" s="3">
        <v>0</v>
      </c>
      <c r="GL321" s="3">
        <f t="shared" si="320"/>
        <v>0</v>
      </c>
      <c r="GM321" s="3">
        <f t="shared" si="321"/>
        <v>202878.74</v>
      </c>
      <c r="GN321" s="3">
        <f t="shared" si="322"/>
        <v>0</v>
      </c>
      <c r="GO321" s="3">
        <f t="shared" si="323"/>
        <v>202878.74</v>
      </c>
      <c r="GP321" s="3">
        <f t="shared" si="324"/>
        <v>0</v>
      </c>
      <c r="GQ321" s="3"/>
      <c r="GR321" s="3">
        <v>0</v>
      </c>
      <c r="GS321" s="3">
        <v>3</v>
      </c>
      <c r="GT321" s="3">
        <v>0</v>
      </c>
      <c r="GU321" s="3" t="s">
        <v>3</v>
      </c>
      <c r="GV321" s="3">
        <f t="shared" si="325"/>
        <v>0</v>
      </c>
      <c r="GW321" s="3">
        <v>1</v>
      </c>
      <c r="GX321" s="3">
        <f t="shared" si="326"/>
        <v>0</v>
      </c>
      <c r="GY321" s="3"/>
      <c r="GZ321" s="3"/>
      <c r="HA321" s="3">
        <v>0</v>
      </c>
      <c r="HB321" s="3">
        <v>0</v>
      </c>
      <c r="HC321" s="3">
        <f t="shared" si="327"/>
        <v>0</v>
      </c>
      <c r="HD321" s="3"/>
      <c r="HE321" s="3" t="s">
        <v>3</v>
      </c>
      <c r="HF321" s="3" t="s">
        <v>3</v>
      </c>
      <c r="HG321" s="3"/>
      <c r="HH321" s="3"/>
      <c r="HI321" s="3"/>
      <c r="HJ321" s="3"/>
      <c r="HK321" s="3"/>
      <c r="HL321" s="3"/>
      <c r="HM321" s="3" t="s">
        <v>3</v>
      </c>
      <c r="HN321" s="3" t="s">
        <v>3</v>
      </c>
      <c r="HO321" s="3" t="s">
        <v>3</v>
      </c>
      <c r="HP321" s="3" t="s">
        <v>3</v>
      </c>
      <c r="HQ321" s="3" t="s">
        <v>3</v>
      </c>
      <c r="HR321" s="3"/>
      <c r="HS321" s="3">
        <v>0</v>
      </c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>
        <v>0</v>
      </c>
      <c r="IL321" s="3"/>
      <c r="IM321" s="3"/>
      <c r="IN321" s="3"/>
      <c r="IO321" s="3"/>
      <c r="IP321" s="3"/>
      <c r="IQ321" s="3"/>
      <c r="IR321" s="3"/>
      <c r="IS321" s="3"/>
      <c r="IT321" s="3"/>
      <c r="IU321" s="3"/>
    </row>
    <row r="322" spans="1:255" x14ac:dyDescent="0.3">
      <c r="A322" s="2">
        <v>18</v>
      </c>
      <c r="B322" s="2">
        <v>1</v>
      </c>
      <c r="C322" s="2"/>
      <c r="D322" s="2"/>
      <c r="E322" s="2" t="s">
        <v>340</v>
      </c>
      <c r="F322" s="2" t="s">
        <v>341</v>
      </c>
      <c r="G322" s="2" t="s">
        <v>342</v>
      </c>
      <c r="H322" s="2" t="s">
        <v>32</v>
      </c>
      <c r="I322" s="2">
        <f>I320*J322</f>
        <v>81</v>
      </c>
      <c r="J322" s="2">
        <v>12.67605633802817</v>
      </c>
      <c r="K322" s="2">
        <v>12.676056300000001</v>
      </c>
      <c r="L322" s="2"/>
      <c r="M322" s="2"/>
      <c r="N322" s="2"/>
      <c r="O322" s="2">
        <f t="shared" si="289"/>
        <v>10367.19</v>
      </c>
      <c r="P322" s="2">
        <f t="shared" si="290"/>
        <v>10367.19</v>
      </c>
      <c r="Q322" s="2">
        <f t="shared" ref="Q322:Q331" si="328">(ROUND((ROUND(((ET322)*AV322*I322),2)*BB322),2)+ROUND((ROUND(((AE322-(EU322))*AV322*I322),2)*BS322),2))</f>
        <v>0</v>
      </c>
      <c r="R322" s="2">
        <f t="shared" si="292"/>
        <v>0</v>
      </c>
      <c r="S322" s="2">
        <f t="shared" si="293"/>
        <v>0</v>
      </c>
      <c r="T322" s="2">
        <f t="shared" si="294"/>
        <v>0</v>
      </c>
      <c r="U322" s="2">
        <f t="shared" si="295"/>
        <v>0</v>
      </c>
      <c r="V322" s="2">
        <f t="shared" si="296"/>
        <v>0</v>
      </c>
      <c r="W322" s="2">
        <f t="shared" si="297"/>
        <v>0</v>
      </c>
      <c r="X322" s="2">
        <f t="shared" si="298"/>
        <v>0</v>
      </c>
      <c r="Y322" s="2">
        <f t="shared" si="299"/>
        <v>0</v>
      </c>
      <c r="Z322" s="2"/>
      <c r="AA322" s="2">
        <v>56505403</v>
      </c>
      <c r="AB322" s="2">
        <f t="shared" si="300"/>
        <v>127.99</v>
      </c>
      <c r="AC322" s="2">
        <f t="shared" si="301"/>
        <v>127.99</v>
      </c>
      <c r="AD322" s="2">
        <f t="shared" ref="AD322:AD331" si="329">ROUND((((ET322)-(EU322))+AE322),6)</f>
        <v>0</v>
      </c>
      <c r="AE322" s="2">
        <f t="shared" ref="AE322:AE331" si="330">ROUND((EU322),6)</f>
        <v>0</v>
      </c>
      <c r="AF322" s="2">
        <f t="shared" ref="AF322:AF331" si="331">ROUND((EV322),6)</f>
        <v>0</v>
      </c>
      <c r="AG322" s="2">
        <f t="shared" si="305"/>
        <v>0</v>
      </c>
      <c r="AH322" s="2">
        <f t="shared" ref="AH322:AH331" si="332">(EW322)</f>
        <v>0</v>
      </c>
      <c r="AI322" s="2">
        <f t="shared" ref="AI322:AI331" si="333">(EX322)</f>
        <v>0</v>
      </c>
      <c r="AJ322" s="2">
        <f t="shared" si="308"/>
        <v>0</v>
      </c>
      <c r="AK322" s="2">
        <v>127.99</v>
      </c>
      <c r="AL322" s="2">
        <v>127.99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97</v>
      </c>
      <c r="AU322" s="2">
        <v>51</v>
      </c>
      <c r="AV322" s="2">
        <v>1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3</v>
      </c>
      <c r="BI322" s="2">
        <v>2</v>
      </c>
      <c r="BJ322" s="2" t="s">
        <v>343</v>
      </c>
      <c r="BK322" s="2"/>
      <c r="BL322" s="2"/>
      <c r="BM322" s="2">
        <v>67</v>
      </c>
      <c r="BN322" s="2">
        <v>0</v>
      </c>
      <c r="BO322" s="2" t="s">
        <v>3</v>
      </c>
      <c r="BP322" s="2">
        <v>0</v>
      </c>
      <c r="BQ322" s="2">
        <v>40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97</v>
      </c>
      <c r="CA322" s="2">
        <v>51</v>
      </c>
      <c r="CB322" s="2" t="s">
        <v>3</v>
      </c>
      <c r="CC322" s="2"/>
      <c r="CD322" s="2"/>
      <c r="CE322" s="2">
        <v>30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3</v>
      </c>
      <c r="CO322" s="2">
        <v>0</v>
      </c>
      <c r="CP322" s="2">
        <f t="shared" si="309"/>
        <v>10367.19</v>
      </c>
      <c r="CQ322" s="2">
        <f t="shared" si="310"/>
        <v>127.99</v>
      </c>
      <c r="CR322" s="2">
        <f t="shared" ref="CR322:CR331" si="334">(ROUND((ROUND(((ET322)*AV322*1),2)*BB322),2)+ROUND((ROUND(((AE322-(EU322))*AV322*1),2)*BS322),2))</f>
        <v>0</v>
      </c>
      <c r="CS322" s="2">
        <f t="shared" si="312"/>
        <v>0</v>
      </c>
      <c r="CT322" s="2">
        <f t="shared" si="313"/>
        <v>0</v>
      </c>
      <c r="CU322" s="2">
        <f t="shared" si="314"/>
        <v>0</v>
      </c>
      <c r="CV322" s="2">
        <f t="shared" si="315"/>
        <v>0</v>
      </c>
      <c r="CW322" s="2">
        <f t="shared" si="316"/>
        <v>0</v>
      </c>
      <c r="CX322" s="2">
        <f t="shared" si="317"/>
        <v>0</v>
      </c>
      <c r="CY322" s="2">
        <f t="shared" si="318"/>
        <v>0</v>
      </c>
      <c r="CZ322" s="2">
        <f t="shared" si="319"/>
        <v>0</v>
      </c>
      <c r="DA322" s="2"/>
      <c r="DB322" s="2"/>
      <c r="DC322" s="2" t="s">
        <v>3</v>
      </c>
      <c r="DD322" s="2" t="s">
        <v>3</v>
      </c>
      <c r="DE322" s="2" t="s">
        <v>3</v>
      </c>
      <c r="DF322" s="2" t="s">
        <v>3</v>
      </c>
      <c r="DG322" s="2" t="s">
        <v>3</v>
      </c>
      <c r="DH322" s="2" t="s">
        <v>3</v>
      </c>
      <c r="DI322" s="2" t="s">
        <v>3</v>
      </c>
      <c r="DJ322" s="2" t="s">
        <v>3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1010</v>
      </c>
      <c r="DV322" s="2" t="s">
        <v>32</v>
      </c>
      <c r="DW322" s="2" t="s">
        <v>32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58162629</v>
      </c>
      <c r="EF322" s="2">
        <v>40</v>
      </c>
      <c r="EG322" s="2" t="s">
        <v>25</v>
      </c>
      <c r="EH322" s="2">
        <v>0</v>
      </c>
      <c r="EI322" s="2" t="s">
        <v>3</v>
      </c>
      <c r="EJ322" s="2">
        <v>2</v>
      </c>
      <c r="EK322" s="2">
        <v>67</v>
      </c>
      <c r="EL322" s="2" t="s">
        <v>225</v>
      </c>
      <c r="EM322" s="2" t="s">
        <v>226</v>
      </c>
      <c r="EN322" s="2"/>
      <c r="EO322" s="2" t="s">
        <v>3</v>
      </c>
      <c r="EP322" s="2"/>
      <c r="EQ322" s="2">
        <v>0</v>
      </c>
      <c r="ER322" s="2">
        <v>127.99</v>
      </c>
      <c r="ES322" s="2">
        <v>127.99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97</v>
      </c>
      <c r="FY322" s="2">
        <v>51</v>
      </c>
      <c r="FZ322" s="2"/>
      <c r="GA322" s="2" t="s">
        <v>3</v>
      </c>
      <c r="GB322" s="2"/>
      <c r="GC322" s="2"/>
      <c r="GD322" s="2">
        <v>1</v>
      </c>
      <c r="GE322" s="2"/>
      <c r="GF322" s="2">
        <v>1135867226</v>
      </c>
      <c r="GG322" s="2">
        <v>2</v>
      </c>
      <c r="GH322" s="2">
        <v>1</v>
      </c>
      <c r="GI322" s="2">
        <v>-2</v>
      </c>
      <c r="GJ322" s="2">
        <v>0</v>
      </c>
      <c r="GK322" s="2">
        <v>0</v>
      </c>
      <c r="GL322" s="2">
        <f t="shared" si="320"/>
        <v>0</v>
      </c>
      <c r="GM322" s="2">
        <f t="shared" si="321"/>
        <v>10367.19</v>
      </c>
      <c r="GN322" s="2">
        <f t="shared" si="322"/>
        <v>0</v>
      </c>
      <c r="GO322" s="2">
        <f t="shared" si="323"/>
        <v>10367.19</v>
      </c>
      <c r="GP322" s="2">
        <f t="shared" si="324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325"/>
        <v>0</v>
      </c>
      <c r="GW322" s="2">
        <v>1</v>
      </c>
      <c r="GX322" s="2">
        <f t="shared" si="326"/>
        <v>0</v>
      </c>
      <c r="GY322" s="2"/>
      <c r="GZ322" s="2"/>
      <c r="HA322" s="2">
        <v>0</v>
      </c>
      <c r="HB322" s="2">
        <v>0</v>
      </c>
      <c r="HC322" s="2">
        <f t="shared" si="327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3">
      <c r="A323" s="3">
        <v>18</v>
      </c>
      <c r="B323" s="3">
        <v>1</v>
      </c>
      <c r="C323" s="3"/>
      <c r="D323" s="3"/>
      <c r="E323" s="3" t="s">
        <v>340</v>
      </c>
      <c r="F323" s="3" t="s">
        <v>341</v>
      </c>
      <c r="G323" s="3" t="s">
        <v>342</v>
      </c>
      <c r="H323" s="3" t="s">
        <v>32</v>
      </c>
      <c r="I323" s="3">
        <f>I321*J323</f>
        <v>81</v>
      </c>
      <c r="J323" s="3">
        <v>12.67605633802817</v>
      </c>
      <c r="K323" s="3">
        <v>12.676056300000001</v>
      </c>
      <c r="L323" s="3"/>
      <c r="M323" s="3"/>
      <c r="N323" s="3"/>
      <c r="O323" s="3">
        <f t="shared" si="289"/>
        <v>90816.58</v>
      </c>
      <c r="P323" s="3">
        <f t="shared" si="290"/>
        <v>90816.58</v>
      </c>
      <c r="Q323" s="3">
        <f t="shared" si="328"/>
        <v>0</v>
      </c>
      <c r="R323" s="3">
        <f t="shared" si="292"/>
        <v>0</v>
      </c>
      <c r="S323" s="3">
        <f t="shared" si="293"/>
        <v>0</v>
      </c>
      <c r="T323" s="3">
        <f t="shared" si="294"/>
        <v>0</v>
      </c>
      <c r="U323" s="3">
        <f t="shared" si="295"/>
        <v>0</v>
      </c>
      <c r="V323" s="3">
        <f t="shared" si="296"/>
        <v>0</v>
      </c>
      <c r="W323" s="3">
        <f t="shared" si="297"/>
        <v>0</v>
      </c>
      <c r="X323" s="3">
        <f t="shared" si="298"/>
        <v>0</v>
      </c>
      <c r="Y323" s="3">
        <f t="shared" si="299"/>
        <v>0</v>
      </c>
      <c r="Z323" s="3"/>
      <c r="AA323" s="3">
        <v>56505405</v>
      </c>
      <c r="AB323" s="3">
        <f t="shared" si="300"/>
        <v>127.99</v>
      </c>
      <c r="AC323" s="3">
        <f t="shared" si="301"/>
        <v>127.99</v>
      </c>
      <c r="AD323" s="3">
        <f t="shared" si="329"/>
        <v>0</v>
      </c>
      <c r="AE323" s="3">
        <f t="shared" si="330"/>
        <v>0</v>
      </c>
      <c r="AF323" s="3">
        <f t="shared" si="331"/>
        <v>0</v>
      </c>
      <c r="AG323" s="3">
        <f t="shared" si="305"/>
        <v>0</v>
      </c>
      <c r="AH323" s="3">
        <f t="shared" si="332"/>
        <v>0</v>
      </c>
      <c r="AI323" s="3">
        <f t="shared" si="333"/>
        <v>0</v>
      </c>
      <c r="AJ323" s="3">
        <f t="shared" si="308"/>
        <v>0</v>
      </c>
      <c r="AK323" s="3">
        <v>127.99</v>
      </c>
      <c r="AL323" s="3">
        <v>127.99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97</v>
      </c>
      <c r="AU323" s="3">
        <v>51</v>
      </c>
      <c r="AV323" s="3">
        <v>1</v>
      </c>
      <c r="AW323" s="3">
        <v>1</v>
      </c>
      <c r="AX323" s="3"/>
      <c r="AY323" s="3"/>
      <c r="AZ323" s="3">
        <v>1</v>
      </c>
      <c r="BA323" s="3">
        <v>1</v>
      </c>
      <c r="BB323" s="3">
        <v>1</v>
      </c>
      <c r="BC323" s="3">
        <v>8.76</v>
      </c>
      <c r="BD323" s="3" t="s">
        <v>3</v>
      </c>
      <c r="BE323" s="3" t="s">
        <v>3</v>
      </c>
      <c r="BF323" s="3" t="s">
        <v>3</v>
      </c>
      <c r="BG323" s="3" t="s">
        <v>3</v>
      </c>
      <c r="BH323" s="3">
        <v>3</v>
      </c>
      <c r="BI323" s="3">
        <v>2</v>
      </c>
      <c r="BJ323" s="3" t="s">
        <v>343</v>
      </c>
      <c r="BK323" s="3"/>
      <c r="BL323" s="3"/>
      <c r="BM323" s="3">
        <v>67</v>
      </c>
      <c r="BN323" s="3">
        <v>0</v>
      </c>
      <c r="BO323" s="3" t="s">
        <v>341</v>
      </c>
      <c r="BP323" s="3">
        <v>1</v>
      </c>
      <c r="BQ323" s="3">
        <v>40</v>
      </c>
      <c r="BR323" s="3">
        <v>0</v>
      </c>
      <c r="BS323" s="3">
        <v>1</v>
      </c>
      <c r="BT323" s="3">
        <v>1</v>
      </c>
      <c r="BU323" s="3">
        <v>1</v>
      </c>
      <c r="BV323" s="3">
        <v>1</v>
      </c>
      <c r="BW323" s="3">
        <v>1</v>
      </c>
      <c r="BX323" s="3">
        <v>1</v>
      </c>
      <c r="BY323" s="3" t="s">
        <v>3</v>
      </c>
      <c r="BZ323" s="3">
        <v>97</v>
      </c>
      <c r="CA323" s="3">
        <v>51</v>
      </c>
      <c r="CB323" s="3" t="s">
        <v>3</v>
      </c>
      <c r="CC323" s="3"/>
      <c r="CD323" s="3"/>
      <c r="CE323" s="3">
        <v>30</v>
      </c>
      <c r="CF323" s="3">
        <v>0</v>
      </c>
      <c r="CG323" s="3">
        <v>0</v>
      </c>
      <c r="CH323" s="3"/>
      <c r="CI323" s="3"/>
      <c r="CJ323" s="3"/>
      <c r="CK323" s="3"/>
      <c r="CL323" s="3"/>
      <c r="CM323" s="3">
        <v>0</v>
      </c>
      <c r="CN323" s="3" t="s">
        <v>3</v>
      </c>
      <c r="CO323" s="3">
        <v>0</v>
      </c>
      <c r="CP323" s="3">
        <f t="shared" si="309"/>
        <v>90816.58</v>
      </c>
      <c r="CQ323" s="3">
        <f t="shared" si="310"/>
        <v>1121.19</v>
      </c>
      <c r="CR323" s="3">
        <f t="shared" si="334"/>
        <v>0</v>
      </c>
      <c r="CS323" s="3">
        <f t="shared" si="312"/>
        <v>0</v>
      </c>
      <c r="CT323" s="3">
        <f t="shared" si="313"/>
        <v>0</v>
      </c>
      <c r="CU323" s="3">
        <f t="shared" si="314"/>
        <v>0</v>
      </c>
      <c r="CV323" s="3">
        <f t="shared" si="315"/>
        <v>0</v>
      </c>
      <c r="CW323" s="3">
        <f t="shared" si="316"/>
        <v>0</v>
      </c>
      <c r="CX323" s="3">
        <f t="shared" si="317"/>
        <v>0</v>
      </c>
      <c r="CY323" s="3">
        <f t="shared" si="318"/>
        <v>0</v>
      </c>
      <c r="CZ323" s="3">
        <f t="shared" si="319"/>
        <v>0</v>
      </c>
      <c r="DA323" s="3"/>
      <c r="DB323" s="3"/>
      <c r="DC323" s="3" t="s">
        <v>3</v>
      </c>
      <c r="DD323" s="3" t="s">
        <v>3</v>
      </c>
      <c r="DE323" s="3" t="s">
        <v>3</v>
      </c>
      <c r="DF323" s="3" t="s">
        <v>3</v>
      </c>
      <c r="DG323" s="3" t="s">
        <v>3</v>
      </c>
      <c r="DH323" s="3" t="s">
        <v>3</v>
      </c>
      <c r="DI323" s="3" t="s">
        <v>3</v>
      </c>
      <c r="DJ323" s="3" t="s">
        <v>3</v>
      </c>
      <c r="DK323" s="3" t="s">
        <v>3</v>
      </c>
      <c r="DL323" s="3" t="s">
        <v>3</v>
      </c>
      <c r="DM323" s="3" t="s">
        <v>3</v>
      </c>
      <c r="DN323" s="3">
        <v>0</v>
      </c>
      <c r="DO323" s="3">
        <v>0</v>
      </c>
      <c r="DP323" s="3">
        <v>1</v>
      </c>
      <c r="DQ323" s="3">
        <v>1</v>
      </c>
      <c r="DR323" s="3"/>
      <c r="DS323" s="3"/>
      <c r="DT323" s="3"/>
      <c r="DU323" s="3">
        <v>1010</v>
      </c>
      <c r="DV323" s="3" t="s">
        <v>32</v>
      </c>
      <c r="DW323" s="3" t="s">
        <v>32</v>
      </c>
      <c r="DX323" s="3">
        <v>1</v>
      </c>
      <c r="DY323" s="3"/>
      <c r="DZ323" s="3" t="s">
        <v>3</v>
      </c>
      <c r="EA323" s="3" t="s">
        <v>3</v>
      </c>
      <c r="EB323" s="3" t="s">
        <v>3</v>
      </c>
      <c r="EC323" s="3" t="s">
        <v>3</v>
      </c>
      <c r="ED323" s="3"/>
      <c r="EE323" s="3">
        <v>58162629</v>
      </c>
      <c r="EF323" s="3">
        <v>40</v>
      </c>
      <c r="EG323" s="3" t="s">
        <v>25</v>
      </c>
      <c r="EH323" s="3">
        <v>0</v>
      </c>
      <c r="EI323" s="3" t="s">
        <v>3</v>
      </c>
      <c r="EJ323" s="3">
        <v>2</v>
      </c>
      <c r="EK323" s="3">
        <v>67</v>
      </c>
      <c r="EL323" s="3" t="s">
        <v>225</v>
      </c>
      <c r="EM323" s="3" t="s">
        <v>226</v>
      </c>
      <c r="EN323" s="3"/>
      <c r="EO323" s="3" t="s">
        <v>3</v>
      </c>
      <c r="EP323" s="3"/>
      <c r="EQ323" s="3">
        <v>0</v>
      </c>
      <c r="ER323" s="3">
        <v>127.99</v>
      </c>
      <c r="ES323" s="3">
        <v>127.99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>
        <v>0</v>
      </c>
      <c r="FR323" s="3">
        <v>0</v>
      </c>
      <c r="FS323" s="3">
        <v>0</v>
      </c>
      <c r="FT323" s="3"/>
      <c r="FU323" s="3"/>
      <c r="FV323" s="3"/>
      <c r="FW323" s="3"/>
      <c r="FX323" s="3">
        <v>97</v>
      </c>
      <c r="FY323" s="3">
        <v>51</v>
      </c>
      <c r="FZ323" s="3"/>
      <c r="GA323" s="3" t="s">
        <v>3</v>
      </c>
      <c r="GB323" s="3"/>
      <c r="GC323" s="3"/>
      <c r="GD323" s="3">
        <v>1</v>
      </c>
      <c r="GE323" s="3"/>
      <c r="GF323" s="3">
        <v>1135867226</v>
      </c>
      <c r="GG323" s="3">
        <v>2</v>
      </c>
      <c r="GH323" s="3">
        <v>1</v>
      </c>
      <c r="GI323" s="3">
        <v>2</v>
      </c>
      <c r="GJ323" s="3">
        <v>0</v>
      </c>
      <c r="GK323" s="3">
        <v>0</v>
      </c>
      <c r="GL323" s="3">
        <f t="shared" si="320"/>
        <v>0</v>
      </c>
      <c r="GM323" s="3">
        <f t="shared" si="321"/>
        <v>90816.58</v>
      </c>
      <c r="GN323" s="3">
        <f t="shared" si="322"/>
        <v>0</v>
      </c>
      <c r="GO323" s="3">
        <f t="shared" si="323"/>
        <v>90816.58</v>
      </c>
      <c r="GP323" s="3">
        <f t="shared" si="324"/>
        <v>0</v>
      </c>
      <c r="GQ323" s="3"/>
      <c r="GR323" s="3">
        <v>0</v>
      </c>
      <c r="GS323" s="3">
        <v>3</v>
      </c>
      <c r="GT323" s="3">
        <v>0</v>
      </c>
      <c r="GU323" s="3" t="s">
        <v>3</v>
      </c>
      <c r="GV323" s="3">
        <f t="shared" si="325"/>
        <v>0</v>
      </c>
      <c r="GW323" s="3">
        <v>1</v>
      </c>
      <c r="GX323" s="3">
        <f t="shared" si="326"/>
        <v>0</v>
      </c>
      <c r="GY323" s="3"/>
      <c r="GZ323" s="3"/>
      <c r="HA323" s="3">
        <v>0</v>
      </c>
      <c r="HB323" s="3">
        <v>0</v>
      </c>
      <c r="HC323" s="3">
        <f t="shared" si="327"/>
        <v>0</v>
      </c>
      <c r="HD323" s="3"/>
      <c r="HE323" s="3" t="s">
        <v>3</v>
      </c>
      <c r="HF323" s="3" t="s">
        <v>3</v>
      </c>
      <c r="HG323" s="3"/>
      <c r="HH323" s="3"/>
      <c r="HI323" s="3"/>
      <c r="HJ323" s="3"/>
      <c r="HK323" s="3"/>
      <c r="HL323" s="3"/>
      <c r="HM323" s="3" t="s">
        <v>3</v>
      </c>
      <c r="HN323" s="3" t="s">
        <v>3</v>
      </c>
      <c r="HO323" s="3" t="s">
        <v>3</v>
      </c>
      <c r="HP323" s="3" t="s">
        <v>3</v>
      </c>
      <c r="HQ323" s="3" t="s">
        <v>3</v>
      </c>
      <c r="HR323" s="3"/>
      <c r="HS323" s="3">
        <v>0</v>
      </c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>
        <v>0</v>
      </c>
      <c r="IL323" s="3"/>
      <c r="IM323" s="3"/>
      <c r="IN323" s="3"/>
      <c r="IO323" s="3"/>
      <c r="IP323" s="3"/>
      <c r="IQ323" s="3"/>
      <c r="IR323" s="3"/>
      <c r="IS323" s="3"/>
      <c r="IT323" s="3"/>
      <c r="IU323" s="3"/>
    </row>
    <row r="324" spans="1:255" x14ac:dyDescent="0.3">
      <c r="A324" s="2">
        <v>18</v>
      </c>
      <c r="B324" s="2">
        <v>1</v>
      </c>
      <c r="C324" s="2"/>
      <c r="D324" s="2"/>
      <c r="E324" s="2" t="s">
        <v>344</v>
      </c>
      <c r="F324" s="2" t="s">
        <v>345</v>
      </c>
      <c r="G324" s="2" t="s">
        <v>346</v>
      </c>
      <c r="H324" s="2" t="s">
        <v>32</v>
      </c>
      <c r="I324" s="2">
        <f>I320*J324</f>
        <v>123.99999999999999</v>
      </c>
      <c r="J324" s="2">
        <v>19.405320813771517</v>
      </c>
      <c r="K324" s="2">
        <v>19.405320799999998</v>
      </c>
      <c r="L324" s="2"/>
      <c r="M324" s="2"/>
      <c r="N324" s="2"/>
      <c r="O324" s="2">
        <f t="shared" si="289"/>
        <v>10650.36</v>
      </c>
      <c r="P324" s="2">
        <f t="shared" si="290"/>
        <v>10650.36</v>
      </c>
      <c r="Q324" s="2">
        <f t="shared" si="328"/>
        <v>0</v>
      </c>
      <c r="R324" s="2">
        <f t="shared" si="292"/>
        <v>0</v>
      </c>
      <c r="S324" s="2">
        <f t="shared" si="293"/>
        <v>0</v>
      </c>
      <c r="T324" s="2">
        <f t="shared" si="294"/>
        <v>0</v>
      </c>
      <c r="U324" s="2">
        <f t="shared" si="295"/>
        <v>0</v>
      </c>
      <c r="V324" s="2">
        <f t="shared" si="296"/>
        <v>0</v>
      </c>
      <c r="W324" s="2">
        <f t="shared" si="297"/>
        <v>0</v>
      </c>
      <c r="X324" s="2">
        <f t="shared" si="298"/>
        <v>0</v>
      </c>
      <c r="Y324" s="2">
        <f t="shared" si="299"/>
        <v>0</v>
      </c>
      <c r="Z324" s="2"/>
      <c r="AA324" s="2">
        <v>56505403</v>
      </c>
      <c r="AB324" s="2">
        <f t="shared" si="300"/>
        <v>85.89</v>
      </c>
      <c r="AC324" s="2">
        <f t="shared" si="301"/>
        <v>85.89</v>
      </c>
      <c r="AD324" s="2">
        <f t="shared" si="329"/>
        <v>0</v>
      </c>
      <c r="AE324" s="2">
        <f t="shared" si="330"/>
        <v>0</v>
      </c>
      <c r="AF324" s="2">
        <f t="shared" si="331"/>
        <v>0</v>
      </c>
      <c r="AG324" s="2">
        <f t="shared" si="305"/>
        <v>0</v>
      </c>
      <c r="AH324" s="2">
        <f t="shared" si="332"/>
        <v>0</v>
      </c>
      <c r="AI324" s="2">
        <f t="shared" si="333"/>
        <v>0</v>
      </c>
      <c r="AJ324" s="2">
        <f t="shared" si="308"/>
        <v>0</v>
      </c>
      <c r="AK324" s="2">
        <v>85.89</v>
      </c>
      <c r="AL324" s="2">
        <v>85.89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97</v>
      </c>
      <c r="AU324" s="2">
        <v>51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2</v>
      </c>
      <c r="BJ324" s="2" t="s">
        <v>347</v>
      </c>
      <c r="BK324" s="2"/>
      <c r="BL324" s="2"/>
      <c r="BM324" s="2">
        <v>67</v>
      </c>
      <c r="BN324" s="2">
        <v>0</v>
      </c>
      <c r="BO324" s="2" t="s">
        <v>3</v>
      </c>
      <c r="BP324" s="2">
        <v>0</v>
      </c>
      <c r="BQ324" s="2">
        <v>40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97</v>
      </c>
      <c r="CA324" s="2">
        <v>51</v>
      </c>
      <c r="CB324" s="2" t="s">
        <v>3</v>
      </c>
      <c r="CC324" s="2"/>
      <c r="CD324" s="2"/>
      <c r="CE324" s="2">
        <v>30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309"/>
        <v>10650.36</v>
      </c>
      <c r="CQ324" s="2">
        <f t="shared" si="310"/>
        <v>85.89</v>
      </c>
      <c r="CR324" s="2">
        <f t="shared" si="334"/>
        <v>0</v>
      </c>
      <c r="CS324" s="2">
        <f t="shared" si="312"/>
        <v>0</v>
      </c>
      <c r="CT324" s="2">
        <f t="shared" si="313"/>
        <v>0</v>
      </c>
      <c r="CU324" s="2">
        <f t="shared" si="314"/>
        <v>0</v>
      </c>
      <c r="CV324" s="2">
        <f t="shared" si="315"/>
        <v>0</v>
      </c>
      <c r="CW324" s="2">
        <f t="shared" si="316"/>
        <v>0</v>
      </c>
      <c r="CX324" s="2">
        <f t="shared" si="317"/>
        <v>0</v>
      </c>
      <c r="CY324" s="2">
        <f t="shared" si="318"/>
        <v>0</v>
      </c>
      <c r="CZ324" s="2">
        <f t="shared" si="319"/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1010</v>
      </c>
      <c r="DV324" s="2" t="s">
        <v>32</v>
      </c>
      <c r="DW324" s="2" t="s">
        <v>32</v>
      </c>
      <c r="DX324" s="2">
        <v>1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58162629</v>
      </c>
      <c r="EF324" s="2">
        <v>40</v>
      </c>
      <c r="EG324" s="2" t="s">
        <v>25</v>
      </c>
      <c r="EH324" s="2">
        <v>0</v>
      </c>
      <c r="EI324" s="2" t="s">
        <v>3</v>
      </c>
      <c r="EJ324" s="2">
        <v>2</v>
      </c>
      <c r="EK324" s="2">
        <v>67</v>
      </c>
      <c r="EL324" s="2" t="s">
        <v>225</v>
      </c>
      <c r="EM324" s="2" t="s">
        <v>226</v>
      </c>
      <c r="EN324" s="2"/>
      <c r="EO324" s="2" t="s">
        <v>3</v>
      </c>
      <c r="EP324" s="2"/>
      <c r="EQ324" s="2">
        <v>0</v>
      </c>
      <c r="ER324" s="2">
        <v>85.89</v>
      </c>
      <c r="ES324" s="2">
        <v>85.89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97</v>
      </c>
      <c r="FY324" s="2">
        <v>51</v>
      </c>
      <c r="FZ324" s="2"/>
      <c r="GA324" s="2" t="s">
        <v>3</v>
      </c>
      <c r="GB324" s="2"/>
      <c r="GC324" s="2"/>
      <c r="GD324" s="2">
        <v>1</v>
      </c>
      <c r="GE324" s="2"/>
      <c r="GF324" s="2">
        <v>114686719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320"/>
        <v>0</v>
      </c>
      <c r="GM324" s="2">
        <f t="shared" si="321"/>
        <v>10650.36</v>
      </c>
      <c r="GN324" s="2">
        <f t="shared" si="322"/>
        <v>0</v>
      </c>
      <c r="GO324" s="2">
        <f t="shared" si="323"/>
        <v>10650.36</v>
      </c>
      <c r="GP324" s="2">
        <f t="shared" si="324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325"/>
        <v>0</v>
      </c>
      <c r="GW324" s="2">
        <v>1</v>
      </c>
      <c r="GX324" s="2">
        <f t="shared" si="326"/>
        <v>0</v>
      </c>
      <c r="GY324" s="2"/>
      <c r="GZ324" s="2"/>
      <c r="HA324" s="2">
        <v>0</v>
      </c>
      <c r="HB324" s="2">
        <v>0</v>
      </c>
      <c r="HC324" s="2">
        <f t="shared" si="327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3">
      <c r="A325" s="3">
        <v>18</v>
      </c>
      <c r="B325" s="3">
        <v>1</v>
      </c>
      <c r="C325" s="3"/>
      <c r="D325" s="3"/>
      <c r="E325" s="3" t="s">
        <v>344</v>
      </c>
      <c r="F325" s="3" t="s">
        <v>345</v>
      </c>
      <c r="G325" s="3" t="s">
        <v>346</v>
      </c>
      <c r="H325" s="3" t="s">
        <v>32</v>
      </c>
      <c r="I325" s="3">
        <f>I321*J325</f>
        <v>123.99999999999999</v>
      </c>
      <c r="J325" s="3">
        <v>19.405320813771517</v>
      </c>
      <c r="K325" s="3">
        <v>19.405320799999998</v>
      </c>
      <c r="L325" s="3"/>
      <c r="M325" s="3"/>
      <c r="N325" s="3"/>
      <c r="O325" s="3">
        <f t="shared" si="289"/>
        <v>93297.15</v>
      </c>
      <c r="P325" s="3">
        <f t="shared" si="290"/>
        <v>93297.15</v>
      </c>
      <c r="Q325" s="3">
        <f t="shared" si="328"/>
        <v>0</v>
      </c>
      <c r="R325" s="3">
        <f t="shared" si="292"/>
        <v>0</v>
      </c>
      <c r="S325" s="3">
        <f t="shared" si="293"/>
        <v>0</v>
      </c>
      <c r="T325" s="3">
        <f t="shared" si="294"/>
        <v>0</v>
      </c>
      <c r="U325" s="3">
        <f t="shared" si="295"/>
        <v>0</v>
      </c>
      <c r="V325" s="3">
        <f t="shared" si="296"/>
        <v>0</v>
      </c>
      <c r="W325" s="3">
        <f t="shared" si="297"/>
        <v>0</v>
      </c>
      <c r="X325" s="3">
        <f t="shared" si="298"/>
        <v>0</v>
      </c>
      <c r="Y325" s="3">
        <f t="shared" si="299"/>
        <v>0</v>
      </c>
      <c r="Z325" s="3"/>
      <c r="AA325" s="3">
        <v>56505405</v>
      </c>
      <c r="AB325" s="3">
        <f t="shared" si="300"/>
        <v>85.89</v>
      </c>
      <c r="AC325" s="3">
        <f t="shared" si="301"/>
        <v>85.89</v>
      </c>
      <c r="AD325" s="3">
        <f t="shared" si="329"/>
        <v>0</v>
      </c>
      <c r="AE325" s="3">
        <f t="shared" si="330"/>
        <v>0</v>
      </c>
      <c r="AF325" s="3">
        <f t="shared" si="331"/>
        <v>0</v>
      </c>
      <c r="AG325" s="3">
        <f t="shared" si="305"/>
        <v>0</v>
      </c>
      <c r="AH325" s="3">
        <f t="shared" si="332"/>
        <v>0</v>
      </c>
      <c r="AI325" s="3">
        <f t="shared" si="333"/>
        <v>0</v>
      </c>
      <c r="AJ325" s="3">
        <f t="shared" si="308"/>
        <v>0</v>
      </c>
      <c r="AK325" s="3">
        <v>85.89</v>
      </c>
      <c r="AL325" s="3">
        <v>85.89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97</v>
      </c>
      <c r="AU325" s="3">
        <v>51</v>
      </c>
      <c r="AV325" s="3">
        <v>1</v>
      </c>
      <c r="AW325" s="3">
        <v>1</v>
      </c>
      <c r="AX325" s="3"/>
      <c r="AY325" s="3"/>
      <c r="AZ325" s="3">
        <v>1</v>
      </c>
      <c r="BA325" s="3">
        <v>1</v>
      </c>
      <c r="BB325" s="3">
        <v>1</v>
      </c>
      <c r="BC325" s="3">
        <v>8.76</v>
      </c>
      <c r="BD325" s="3" t="s">
        <v>3</v>
      </c>
      <c r="BE325" s="3" t="s">
        <v>3</v>
      </c>
      <c r="BF325" s="3" t="s">
        <v>3</v>
      </c>
      <c r="BG325" s="3" t="s">
        <v>3</v>
      </c>
      <c r="BH325" s="3">
        <v>3</v>
      </c>
      <c r="BI325" s="3">
        <v>2</v>
      </c>
      <c r="BJ325" s="3" t="s">
        <v>347</v>
      </c>
      <c r="BK325" s="3"/>
      <c r="BL325" s="3"/>
      <c r="BM325" s="3">
        <v>67</v>
      </c>
      <c r="BN325" s="3">
        <v>0</v>
      </c>
      <c r="BO325" s="3" t="s">
        <v>345</v>
      </c>
      <c r="BP325" s="3">
        <v>1</v>
      </c>
      <c r="BQ325" s="3">
        <v>40</v>
      </c>
      <c r="BR325" s="3">
        <v>0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 t="s">
        <v>3</v>
      </c>
      <c r="BZ325" s="3">
        <v>97</v>
      </c>
      <c r="CA325" s="3">
        <v>51</v>
      </c>
      <c r="CB325" s="3" t="s">
        <v>3</v>
      </c>
      <c r="CC325" s="3"/>
      <c r="CD325" s="3"/>
      <c r="CE325" s="3">
        <v>30</v>
      </c>
      <c r="CF325" s="3">
        <v>0</v>
      </c>
      <c r="CG325" s="3">
        <v>0</v>
      </c>
      <c r="CH325" s="3"/>
      <c r="CI325" s="3"/>
      <c r="CJ325" s="3"/>
      <c r="CK325" s="3"/>
      <c r="CL325" s="3"/>
      <c r="CM325" s="3">
        <v>0</v>
      </c>
      <c r="CN325" s="3" t="s">
        <v>3</v>
      </c>
      <c r="CO325" s="3">
        <v>0</v>
      </c>
      <c r="CP325" s="3">
        <f t="shared" si="309"/>
        <v>93297.15</v>
      </c>
      <c r="CQ325" s="3">
        <f t="shared" si="310"/>
        <v>752.4</v>
      </c>
      <c r="CR325" s="3">
        <f t="shared" si="334"/>
        <v>0</v>
      </c>
      <c r="CS325" s="3">
        <f t="shared" si="312"/>
        <v>0</v>
      </c>
      <c r="CT325" s="3">
        <f t="shared" si="313"/>
        <v>0</v>
      </c>
      <c r="CU325" s="3">
        <f t="shared" si="314"/>
        <v>0</v>
      </c>
      <c r="CV325" s="3">
        <f t="shared" si="315"/>
        <v>0</v>
      </c>
      <c r="CW325" s="3">
        <f t="shared" si="316"/>
        <v>0</v>
      </c>
      <c r="CX325" s="3">
        <f t="shared" si="317"/>
        <v>0</v>
      </c>
      <c r="CY325" s="3">
        <f t="shared" si="318"/>
        <v>0</v>
      </c>
      <c r="CZ325" s="3">
        <f t="shared" si="319"/>
        <v>0</v>
      </c>
      <c r="DA325" s="3"/>
      <c r="DB325" s="3"/>
      <c r="DC325" s="3" t="s">
        <v>3</v>
      </c>
      <c r="DD325" s="3" t="s">
        <v>3</v>
      </c>
      <c r="DE325" s="3" t="s">
        <v>3</v>
      </c>
      <c r="DF325" s="3" t="s">
        <v>3</v>
      </c>
      <c r="DG325" s="3" t="s">
        <v>3</v>
      </c>
      <c r="DH325" s="3" t="s">
        <v>3</v>
      </c>
      <c r="DI325" s="3" t="s">
        <v>3</v>
      </c>
      <c r="DJ325" s="3" t="s">
        <v>3</v>
      </c>
      <c r="DK325" s="3" t="s">
        <v>3</v>
      </c>
      <c r="DL325" s="3" t="s">
        <v>3</v>
      </c>
      <c r="DM325" s="3" t="s">
        <v>3</v>
      </c>
      <c r="DN325" s="3">
        <v>0</v>
      </c>
      <c r="DO325" s="3">
        <v>0</v>
      </c>
      <c r="DP325" s="3">
        <v>1</v>
      </c>
      <c r="DQ325" s="3">
        <v>1</v>
      </c>
      <c r="DR325" s="3"/>
      <c r="DS325" s="3"/>
      <c r="DT325" s="3"/>
      <c r="DU325" s="3">
        <v>1010</v>
      </c>
      <c r="DV325" s="3" t="s">
        <v>32</v>
      </c>
      <c r="DW325" s="3" t="s">
        <v>32</v>
      </c>
      <c r="DX325" s="3">
        <v>1</v>
      </c>
      <c r="DY325" s="3"/>
      <c r="DZ325" s="3" t="s">
        <v>3</v>
      </c>
      <c r="EA325" s="3" t="s">
        <v>3</v>
      </c>
      <c r="EB325" s="3" t="s">
        <v>3</v>
      </c>
      <c r="EC325" s="3" t="s">
        <v>3</v>
      </c>
      <c r="ED325" s="3"/>
      <c r="EE325" s="3">
        <v>58162629</v>
      </c>
      <c r="EF325" s="3">
        <v>40</v>
      </c>
      <c r="EG325" s="3" t="s">
        <v>25</v>
      </c>
      <c r="EH325" s="3">
        <v>0</v>
      </c>
      <c r="EI325" s="3" t="s">
        <v>3</v>
      </c>
      <c r="EJ325" s="3">
        <v>2</v>
      </c>
      <c r="EK325" s="3">
        <v>67</v>
      </c>
      <c r="EL325" s="3" t="s">
        <v>225</v>
      </c>
      <c r="EM325" s="3" t="s">
        <v>226</v>
      </c>
      <c r="EN325" s="3"/>
      <c r="EO325" s="3" t="s">
        <v>3</v>
      </c>
      <c r="EP325" s="3"/>
      <c r="EQ325" s="3">
        <v>0</v>
      </c>
      <c r="ER325" s="3">
        <v>85.89</v>
      </c>
      <c r="ES325" s="3">
        <v>85.89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>
        <v>0</v>
      </c>
      <c r="FR325" s="3">
        <v>0</v>
      </c>
      <c r="FS325" s="3">
        <v>0</v>
      </c>
      <c r="FT325" s="3"/>
      <c r="FU325" s="3"/>
      <c r="FV325" s="3"/>
      <c r="FW325" s="3"/>
      <c r="FX325" s="3">
        <v>97</v>
      </c>
      <c r="FY325" s="3">
        <v>51</v>
      </c>
      <c r="FZ325" s="3"/>
      <c r="GA325" s="3" t="s">
        <v>3</v>
      </c>
      <c r="GB325" s="3"/>
      <c r="GC325" s="3"/>
      <c r="GD325" s="3">
        <v>1</v>
      </c>
      <c r="GE325" s="3"/>
      <c r="GF325" s="3">
        <v>114686719</v>
      </c>
      <c r="GG325" s="3">
        <v>2</v>
      </c>
      <c r="GH325" s="3">
        <v>1</v>
      </c>
      <c r="GI325" s="3">
        <v>2</v>
      </c>
      <c r="GJ325" s="3">
        <v>0</v>
      </c>
      <c r="GK325" s="3">
        <v>0</v>
      </c>
      <c r="GL325" s="3">
        <f t="shared" si="320"/>
        <v>0</v>
      </c>
      <c r="GM325" s="3">
        <f t="shared" si="321"/>
        <v>93297.15</v>
      </c>
      <c r="GN325" s="3">
        <f t="shared" si="322"/>
        <v>0</v>
      </c>
      <c r="GO325" s="3">
        <f t="shared" si="323"/>
        <v>93297.15</v>
      </c>
      <c r="GP325" s="3">
        <f t="shared" si="324"/>
        <v>0</v>
      </c>
      <c r="GQ325" s="3"/>
      <c r="GR325" s="3">
        <v>0</v>
      </c>
      <c r="GS325" s="3">
        <v>3</v>
      </c>
      <c r="GT325" s="3">
        <v>0</v>
      </c>
      <c r="GU325" s="3" t="s">
        <v>3</v>
      </c>
      <c r="GV325" s="3">
        <f t="shared" si="325"/>
        <v>0</v>
      </c>
      <c r="GW325" s="3">
        <v>1</v>
      </c>
      <c r="GX325" s="3">
        <f t="shared" si="326"/>
        <v>0</v>
      </c>
      <c r="GY325" s="3"/>
      <c r="GZ325" s="3"/>
      <c r="HA325" s="3">
        <v>0</v>
      </c>
      <c r="HB325" s="3">
        <v>0</v>
      </c>
      <c r="HC325" s="3">
        <f t="shared" si="327"/>
        <v>0</v>
      </c>
      <c r="HD325" s="3"/>
      <c r="HE325" s="3" t="s">
        <v>3</v>
      </c>
      <c r="HF325" s="3" t="s">
        <v>3</v>
      </c>
      <c r="HG325" s="3"/>
      <c r="HH325" s="3"/>
      <c r="HI325" s="3"/>
      <c r="HJ325" s="3"/>
      <c r="HK325" s="3"/>
      <c r="HL325" s="3"/>
      <c r="HM325" s="3" t="s">
        <v>3</v>
      </c>
      <c r="HN325" s="3" t="s">
        <v>3</v>
      </c>
      <c r="HO325" s="3" t="s">
        <v>3</v>
      </c>
      <c r="HP325" s="3" t="s">
        <v>3</v>
      </c>
      <c r="HQ325" s="3" t="s">
        <v>3</v>
      </c>
      <c r="HR325" s="3"/>
      <c r="HS325" s="3">
        <v>0</v>
      </c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>
        <v>0</v>
      </c>
      <c r="IL325" s="3"/>
      <c r="IM325" s="3"/>
      <c r="IN325" s="3"/>
      <c r="IO325" s="3"/>
      <c r="IP325" s="3"/>
      <c r="IQ325" s="3"/>
      <c r="IR325" s="3"/>
      <c r="IS325" s="3"/>
      <c r="IT325" s="3"/>
      <c r="IU325" s="3"/>
    </row>
    <row r="326" spans="1:255" x14ac:dyDescent="0.3">
      <c r="A326" s="2">
        <v>18</v>
      </c>
      <c r="B326" s="2">
        <v>1</v>
      </c>
      <c r="C326" s="2"/>
      <c r="D326" s="2"/>
      <c r="E326" s="2" t="s">
        <v>348</v>
      </c>
      <c r="F326" s="2" t="s">
        <v>349</v>
      </c>
      <c r="G326" s="2" t="s">
        <v>350</v>
      </c>
      <c r="H326" s="2" t="s">
        <v>32</v>
      </c>
      <c r="I326" s="2">
        <f>I320*J326</f>
        <v>8</v>
      </c>
      <c r="J326" s="2">
        <v>1.2519561815336464</v>
      </c>
      <c r="K326" s="2">
        <v>1.2519562</v>
      </c>
      <c r="L326" s="2"/>
      <c r="M326" s="2"/>
      <c r="N326" s="2"/>
      <c r="O326" s="2">
        <f t="shared" si="289"/>
        <v>599.52</v>
      </c>
      <c r="P326" s="2">
        <f t="shared" si="290"/>
        <v>599.52</v>
      </c>
      <c r="Q326" s="2">
        <f t="shared" si="328"/>
        <v>0</v>
      </c>
      <c r="R326" s="2">
        <f t="shared" si="292"/>
        <v>0</v>
      </c>
      <c r="S326" s="2">
        <f t="shared" si="293"/>
        <v>0</v>
      </c>
      <c r="T326" s="2">
        <f t="shared" si="294"/>
        <v>0</v>
      </c>
      <c r="U326" s="2">
        <f t="shared" si="295"/>
        <v>0</v>
      </c>
      <c r="V326" s="2">
        <f t="shared" si="296"/>
        <v>0</v>
      </c>
      <c r="W326" s="2">
        <f t="shared" si="297"/>
        <v>0</v>
      </c>
      <c r="X326" s="2">
        <f t="shared" si="298"/>
        <v>0</v>
      </c>
      <c r="Y326" s="2">
        <f t="shared" si="299"/>
        <v>0</v>
      </c>
      <c r="Z326" s="2"/>
      <c r="AA326" s="2">
        <v>56505403</v>
      </c>
      <c r="AB326" s="2">
        <f t="shared" si="300"/>
        <v>74.94</v>
      </c>
      <c r="AC326" s="2">
        <f t="shared" si="301"/>
        <v>74.94</v>
      </c>
      <c r="AD326" s="2">
        <f t="shared" si="329"/>
        <v>0</v>
      </c>
      <c r="AE326" s="2">
        <f t="shared" si="330"/>
        <v>0</v>
      </c>
      <c r="AF326" s="2">
        <f t="shared" si="331"/>
        <v>0</v>
      </c>
      <c r="AG326" s="2">
        <f t="shared" si="305"/>
        <v>0</v>
      </c>
      <c r="AH326" s="2">
        <f t="shared" si="332"/>
        <v>0</v>
      </c>
      <c r="AI326" s="2">
        <f t="shared" si="333"/>
        <v>0</v>
      </c>
      <c r="AJ326" s="2">
        <f t="shared" si="308"/>
        <v>0</v>
      </c>
      <c r="AK326" s="2">
        <v>74.94</v>
      </c>
      <c r="AL326" s="2">
        <v>74.94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97</v>
      </c>
      <c r="AU326" s="2">
        <v>51</v>
      </c>
      <c r="AV326" s="2">
        <v>1</v>
      </c>
      <c r="AW326" s="2">
        <v>1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2</v>
      </c>
      <c r="BJ326" s="2" t="s">
        <v>351</v>
      </c>
      <c r="BK326" s="2"/>
      <c r="BL326" s="2"/>
      <c r="BM326" s="2">
        <v>67</v>
      </c>
      <c r="BN326" s="2">
        <v>0</v>
      </c>
      <c r="BO326" s="2" t="s">
        <v>3</v>
      </c>
      <c r="BP326" s="2">
        <v>0</v>
      </c>
      <c r="BQ326" s="2">
        <v>40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97</v>
      </c>
      <c r="CA326" s="2">
        <v>51</v>
      </c>
      <c r="CB326" s="2" t="s">
        <v>3</v>
      </c>
      <c r="CC326" s="2"/>
      <c r="CD326" s="2"/>
      <c r="CE326" s="2">
        <v>30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309"/>
        <v>599.52</v>
      </c>
      <c r="CQ326" s="2">
        <f t="shared" si="310"/>
        <v>74.94</v>
      </c>
      <c r="CR326" s="2">
        <f t="shared" si="334"/>
        <v>0</v>
      </c>
      <c r="CS326" s="2">
        <f t="shared" si="312"/>
        <v>0</v>
      </c>
      <c r="CT326" s="2">
        <f t="shared" si="313"/>
        <v>0</v>
      </c>
      <c r="CU326" s="2">
        <f t="shared" si="314"/>
        <v>0</v>
      </c>
      <c r="CV326" s="2">
        <f t="shared" si="315"/>
        <v>0</v>
      </c>
      <c r="CW326" s="2">
        <f t="shared" si="316"/>
        <v>0</v>
      </c>
      <c r="CX326" s="2">
        <f t="shared" si="317"/>
        <v>0</v>
      </c>
      <c r="CY326" s="2">
        <f t="shared" si="318"/>
        <v>0</v>
      </c>
      <c r="CZ326" s="2">
        <f t="shared" si="319"/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1010</v>
      </c>
      <c r="DV326" s="2" t="s">
        <v>32</v>
      </c>
      <c r="DW326" s="2" t="s">
        <v>32</v>
      </c>
      <c r="DX326" s="2">
        <v>1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58162629</v>
      </c>
      <c r="EF326" s="2">
        <v>40</v>
      </c>
      <c r="EG326" s="2" t="s">
        <v>25</v>
      </c>
      <c r="EH326" s="2">
        <v>0</v>
      </c>
      <c r="EI326" s="2" t="s">
        <v>3</v>
      </c>
      <c r="EJ326" s="2">
        <v>2</v>
      </c>
      <c r="EK326" s="2">
        <v>67</v>
      </c>
      <c r="EL326" s="2" t="s">
        <v>225</v>
      </c>
      <c r="EM326" s="2" t="s">
        <v>226</v>
      </c>
      <c r="EN326" s="2"/>
      <c r="EO326" s="2" t="s">
        <v>3</v>
      </c>
      <c r="EP326" s="2"/>
      <c r="EQ326" s="2">
        <v>0</v>
      </c>
      <c r="ER326" s="2">
        <v>74.94</v>
      </c>
      <c r="ES326" s="2">
        <v>74.94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97</v>
      </c>
      <c r="FY326" s="2">
        <v>51</v>
      </c>
      <c r="FZ326" s="2"/>
      <c r="GA326" s="2" t="s">
        <v>3</v>
      </c>
      <c r="GB326" s="2"/>
      <c r="GC326" s="2"/>
      <c r="GD326" s="2">
        <v>1</v>
      </c>
      <c r="GE326" s="2"/>
      <c r="GF326" s="2">
        <v>1417448993</v>
      </c>
      <c r="GG326" s="2">
        <v>2</v>
      </c>
      <c r="GH326" s="2">
        <v>1</v>
      </c>
      <c r="GI326" s="2">
        <v>-2</v>
      </c>
      <c r="GJ326" s="2">
        <v>0</v>
      </c>
      <c r="GK326" s="2">
        <v>0</v>
      </c>
      <c r="GL326" s="2">
        <f t="shared" si="320"/>
        <v>0</v>
      </c>
      <c r="GM326" s="2">
        <f t="shared" si="321"/>
        <v>599.52</v>
      </c>
      <c r="GN326" s="2">
        <f t="shared" si="322"/>
        <v>0</v>
      </c>
      <c r="GO326" s="2">
        <f t="shared" si="323"/>
        <v>599.52</v>
      </c>
      <c r="GP326" s="2">
        <f t="shared" si="324"/>
        <v>0</v>
      </c>
      <c r="GQ326" s="2"/>
      <c r="GR326" s="2">
        <v>0</v>
      </c>
      <c r="GS326" s="2">
        <v>3</v>
      </c>
      <c r="GT326" s="2">
        <v>0</v>
      </c>
      <c r="GU326" s="2" t="s">
        <v>3</v>
      </c>
      <c r="GV326" s="2">
        <f t="shared" si="325"/>
        <v>0</v>
      </c>
      <c r="GW326" s="2">
        <v>1</v>
      </c>
      <c r="GX326" s="2">
        <f t="shared" si="326"/>
        <v>0</v>
      </c>
      <c r="GY326" s="2"/>
      <c r="GZ326" s="2"/>
      <c r="HA326" s="2">
        <v>0</v>
      </c>
      <c r="HB326" s="2">
        <v>0</v>
      </c>
      <c r="HC326" s="2">
        <f t="shared" si="327"/>
        <v>0</v>
      </c>
      <c r="HD326" s="2"/>
      <c r="HE326" s="2" t="s">
        <v>3</v>
      </c>
      <c r="HF326" s="2" t="s">
        <v>3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3">
      <c r="A327" s="3">
        <v>18</v>
      </c>
      <c r="B327" s="3">
        <v>1</v>
      </c>
      <c r="C327" s="3"/>
      <c r="D327" s="3"/>
      <c r="E327" s="3" t="s">
        <v>348</v>
      </c>
      <c r="F327" s="3" t="s">
        <v>349</v>
      </c>
      <c r="G327" s="3" t="s">
        <v>350</v>
      </c>
      <c r="H327" s="3" t="s">
        <v>32</v>
      </c>
      <c r="I327" s="3">
        <f>I321*J327</f>
        <v>8</v>
      </c>
      <c r="J327" s="3">
        <v>1.2519561815336464</v>
      </c>
      <c r="K327" s="3">
        <v>1.2519562</v>
      </c>
      <c r="L327" s="3"/>
      <c r="M327" s="3"/>
      <c r="N327" s="3"/>
      <c r="O327" s="3">
        <f t="shared" si="289"/>
        <v>5251.8</v>
      </c>
      <c r="P327" s="3">
        <f t="shared" si="290"/>
        <v>5251.8</v>
      </c>
      <c r="Q327" s="3">
        <f t="shared" si="328"/>
        <v>0</v>
      </c>
      <c r="R327" s="3">
        <f t="shared" si="292"/>
        <v>0</v>
      </c>
      <c r="S327" s="3">
        <f t="shared" si="293"/>
        <v>0</v>
      </c>
      <c r="T327" s="3">
        <f t="shared" si="294"/>
        <v>0</v>
      </c>
      <c r="U327" s="3">
        <f t="shared" si="295"/>
        <v>0</v>
      </c>
      <c r="V327" s="3">
        <f t="shared" si="296"/>
        <v>0</v>
      </c>
      <c r="W327" s="3">
        <f t="shared" si="297"/>
        <v>0</v>
      </c>
      <c r="X327" s="3">
        <f t="shared" si="298"/>
        <v>0</v>
      </c>
      <c r="Y327" s="3">
        <f t="shared" si="299"/>
        <v>0</v>
      </c>
      <c r="Z327" s="3"/>
      <c r="AA327" s="3">
        <v>56505405</v>
      </c>
      <c r="AB327" s="3">
        <f t="shared" si="300"/>
        <v>74.94</v>
      </c>
      <c r="AC327" s="3">
        <f t="shared" si="301"/>
        <v>74.94</v>
      </c>
      <c r="AD327" s="3">
        <f t="shared" si="329"/>
        <v>0</v>
      </c>
      <c r="AE327" s="3">
        <f t="shared" si="330"/>
        <v>0</v>
      </c>
      <c r="AF327" s="3">
        <f t="shared" si="331"/>
        <v>0</v>
      </c>
      <c r="AG327" s="3">
        <f t="shared" si="305"/>
        <v>0</v>
      </c>
      <c r="AH327" s="3">
        <f t="shared" si="332"/>
        <v>0</v>
      </c>
      <c r="AI327" s="3">
        <f t="shared" si="333"/>
        <v>0</v>
      </c>
      <c r="AJ327" s="3">
        <f t="shared" si="308"/>
        <v>0</v>
      </c>
      <c r="AK327" s="3">
        <v>74.94</v>
      </c>
      <c r="AL327" s="3">
        <v>74.94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97</v>
      </c>
      <c r="AU327" s="3">
        <v>51</v>
      </c>
      <c r="AV327" s="3">
        <v>1</v>
      </c>
      <c r="AW327" s="3">
        <v>1</v>
      </c>
      <c r="AX327" s="3"/>
      <c r="AY327" s="3"/>
      <c r="AZ327" s="3">
        <v>1</v>
      </c>
      <c r="BA327" s="3">
        <v>1</v>
      </c>
      <c r="BB327" s="3">
        <v>1</v>
      </c>
      <c r="BC327" s="3">
        <v>8.76</v>
      </c>
      <c r="BD327" s="3" t="s">
        <v>3</v>
      </c>
      <c r="BE327" s="3" t="s">
        <v>3</v>
      </c>
      <c r="BF327" s="3" t="s">
        <v>3</v>
      </c>
      <c r="BG327" s="3" t="s">
        <v>3</v>
      </c>
      <c r="BH327" s="3">
        <v>3</v>
      </c>
      <c r="BI327" s="3">
        <v>2</v>
      </c>
      <c r="BJ327" s="3" t="s">
        <v>351</v>
      </c>
      <c r="BK327" s="3"/>
      <c r="BL327" s="3"/>
      <c r="BM327" s="3">
        <v>67</v>
      </c>
      <c r="BN327" s="3">
        <v>0</v>
      </c>
      <c r="BO327" s="3" t="s">
        <v>349</v>
      </c>
      <c r="BP327" s="3">
        <v>1</v>
      </c>
      <c r="BQ327" s="3">
        <v>40</v>
      </c>
      <c r="BR327" s="3">
        <v>0</v>
      </c>
      <c r="BS327" s="3">
        <v>1</v>
      </c>
      <c r="BT327" s="3">
        <v>1</v>
      </c>
      <c r="BU327" s="3">
        <v>1</v>
      </c>
      <c r="BV327" s="3">
        <v>1</v>
      </c>
      <c r="BW327" s="3">
        <v>1</v>
      </c>
      <c r="BX327" s="3">
        <v>1</v>
      </c>
      <c r="BY327" s="3" t="s">
        <v>3</v>
      </c>
      <c r="BZ327" s="3">
        <v>97</v>
      </c>
      <c r="CA327" s="3">
        <v>51</v>
      </c>
      <c r="CB327" s="3" t="s">
        <v>3</v>
      </c>
      <c r="CC327" s="3"/>
      <c r="CD327" s="3"/>
      <c r="CE327" s="3">
        <v>30</v>
      </c>
      <c r="CF327" s="3">
        <v>0</v>
      </c>
      <c r="CG327" s="3">
        <v>0</v>
      </c>
      <c r="CH327" s="3"/>
      <c r="CI327" s="3"/>
      <c r="CJ327" s="3"/>
      <c r="CK327" s="3"/>
      <c r="CL327" s="3"/>
      <c r="CM327" s="3">
        <v>0</v>
      </c>
      <c r="CN327" s="3" t="s">
        <v>3</v>
      </c>
      <c r="CO327" s="3">
        <v>0</v>
      </c>
      <c r="CP327" s="3">
        <f t="shared" si="309"/>
        <v>5251.8</v>
      </c>
      <c r="CQ327" s="3">
        <f t="shared" si="310"/>
        <v>656.47</v>
      </c>
      <c r="CR327" s="3">
        <f t="shared" si="334"/>
        <v>0</v>
      </c>
      <c r="CS327" s="3">
        <f t="shared" si="312"/>
        <v>0</v>
      </c>
      <c r="CT327" s="3">
        <f t="shared" si="313"/>
        <v>0</v>
      </c>
      <c r="CU327" s="3">
        <f t="shared" si="314"/>
        <v>0</v>
      </c>
      <c r="CV327" s="3">
        <f t="shared" si="315"/>
        <v>0</v>
      </c>
      <c r="CW327" s="3">
        <f t="shared" si="316"/>
        <v>0</v>
      </c>
      <c r="CX327" s="3">
        <f t="shared" si="317"/>
        <v>0</v>
      </c>
      <c r="CY327" s="3">
        <f t="shared" si="318"/>
        <v>0</v>
      </c>
      <c r="CZ327" s="3">
        <f t="shared" si="319"/>
        <v>0</v>
      </c>
      <c r="DA327" s="3"/>
      <c r="DB327" s="3"/>
      <c r="DC327" s="3" t="s">
        <v>3</v>
      </c>
      <c r="DD327" s="3" t="s">
        <v>3</v>
      </c>
      <c r="DE327" s="3" t="s">
        <v>3</v>
      </c>
      <c r="DF327" s="3" t="s">
        <v>3</v>
      </c>
      <c r="DG327" s="3" t="s">
        <v>3</v>
      </c>
      <c r="DH327" s="3" t="s">
        <v>3</v>
      </c>
      <c r="DI327" s="3" t="s">
        <v>3</v>
      </c>
      <c r="DJ327" s="3" t="s">
        <v>3</v>
      </c>
      <c r="DK327" s="3" t="s">
        <v>3</v>
      </c>
      <c r="DL327" s="3" t="s">
        <v>3</v>
      </c>
      <c r="DM327" s="3" t="s">
        <v>3</v>
      </c>
      <c r="DN327" s="3">
        <v>0</v>
      </c>
      <c r="DO327" s="3">
        <v>0</v>
      </c>
      <c r="DP327" s="3">
        <v>1</v>
      </c>
      <c r="DQ327" s="3">
        <v>1</v>
      </c>
      <c r="DR327" s="3"/>
      <c r="DS327" s="3"/>
      <c r="DT327" s="3"/>
      <c r="DU327" s="3">
        <v>1010</v>
      </c>
      <c r="DV327" s="3" t="s">
        <v>32</v>
      </c>
      <c r="DW327" s="3" t="s">
        <v>32</v>
      </c>
      <c r="DX327" s="3">
        <v>1</v>
      </c>
      <c r="DY327" s="3"/>
      <c r="DZ327" s="3" t="s">
        <v>3</v>
      </c>
      <c r="EA327" s="3" t="s">
        <v>3</v>
      </c>
      <c r="EB327" s="3" t="s">
        <v>3</v>
      </c>
      <c r="EC327" s="3" t="s">
        <v>3</v>
      </c>
      <c r="ED327" s="3"/>
      <c r="EE327" s="3">
        <v>58162629</v>
      </c>
      <c r="EF327" s="3">
        <v>40</v>
      </c>
      <c r="EG327" s="3" t="s">
        <v>25</v>
      </c>
      <c r="EH327" s="3">
        <v>0</v>
      </c>
      <c r="EI327" s="3" t="s">
        <v>3</v>
      </c>
      <c r="EJ327" s="3">
        <v>2</v>
      </c>
      <c r="EK327" s="3">
        <v>67</v>
      </c>
      <c r="EL327" s="3" t="s">
        <v>225</v>
      </c>
      <c r="EM327" s="3" t="s">
        <v>226</v>
      </c>
      <c r="EN327" s="3"/>
      <c r="EO327" s="3" t="s">
        <v>3</v>
      </c>
      <c r="EP327" s="3"/>
      <c r="EQ327" s="3">
        <v>0</v>
      </c>
      <c r="ER327" s="3">
        <v>74.94</v>
      </c>
      <c r="ES327" s="3">
        <v>74.94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>
        <v>0</v>
      </c>
      <c r="FR327" s="3">
        <v>0</v>
      </c>
      <c r="FS327" s="3">
        <v>0</v>
      </c>
      <c r="FT327" s="3"/>
      <c r="FU327" s="3"/>
      <c r="FV327" s="3"/>
      <c r="FW327" s="3"/>
      <c r="FX327" s="3">
        <v>97</v>
      </c>
      <c r="FY327" s="3">
        <v>51</v>
      </c>
      <c r="FZ327" s="3"/>
      <c r="GA327" s="3" t="s">
        <v>3</v>
      </c>
      <c r="GB327" s="3"/>
      <c r="GC327" s="3"/>
      <c r="GD327" s="3">
        <v>1</v>
      </c>
      <c r="GE327" s="3"/>
      <c r="GF327" s="3">
        <v>1417448993</v>
      </c>
      <c r="GG327" s="3">
        <v>2</v>
      </c>
      <c r="GH327" s="3">
        <v>1</v>
      </c>
      <c r="GI327" s="3">
        <v>2</v>
      </c>
      <c r="GJ327" s="3">
        <v>0</v>
      </c>
      <c r="GK327" s="3">
        <v>0</v>
      </c>
      <c r="GL327" s="3">
        <f t="shared" si="320"/>
        <v>0</v>
      </c>
      <c r="GM327" s="3">
        <f t="shared" si="321"/>
        <v>5251.8</v>
      </c>
      <c r="GN327" s="3">
        <f t="shared" si="322"/>
        <v>0</v>
      </c>
      <c r="GO327" s="3">
        <f t="shared" si="323"/>
        <v>5251.8</v>
      </c>
      <c r="GP327" s="3">
        <f t="shared" si="324"/>
        <v>0</v>
      </c>
      <c r="GQ327" s="3"/>
      <c r="GR327" s="3">
        <v>0</v>
      </c>
      <c r="GS327" s="3">
        <v>3</v>
      </c>
      <c r="GT327" s="3">
        <v>0</v>
      </c>
      <c r="GU327" s="3" t="s">
        <v>3</v>
      </c>
      <c r="GV327" s="3">
        <f t="shared" si="325"/>
        <v>0</v>
      </c>
      <c r="GW327" s="3">
        <v>1</v>
      </c>
      <c r="GX327" s="3">
        <f t="shared" si="326"/>
        <v>0</v>
      </c>
      <c r="GY327" s="3"/>
      <c r="GZ327" s="3"/>
      <c r="HA327" s="3">
        <v>0</v>
      </c>
      <c r="HB327" s="3">
        <v>0</v>
      </c>
      <c r="HC327" s="3">
        <f t="shared" si="327"/>
        <v>0</v>
      </c>
      <c r="HD327" s="3"/>
      <c r="HE327" s="3" t="s">
        <v>3</v>
      </c>
      <c r="HF327" s="3" t="s">
        <v>3</v>
      </c>
      <c r="HG327" s="3"/>
      <c r="HH327" s="3"/>
      <c r="HI327" s="3"/>
      <c r="HJ327" s="3"/>
      <c r="HK327" s="3"/>
      <c r="HL327" s="3"/>
      <c r="HM327" s="3" t="s">
        <v>3</v>
      </c>
      <c r="HN327" s="3" t="s">
        <v>3</v>
      </c>
      <c r="HO327" s="3" t="s">
        <v>3</v>
      </c>
      <c r="HP327" s="3" t="s">
        <v>3</v>
      </c>
      <c r="HQ327" s="3" t="s">
        <v>3</v>
      </c>
      <c r="HR327" s="3"/>
      <c r="HS327" s="3">
        <v>0</v>
      </c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>
        <v>0</v>
      </c>
      <c r="IL327" s="3"/>
      <c r="IM327" s="3"/>
      <c r="IN327" s="3"/>
      <c r="IO327" s="3"/>
      <c r="IP327" s="3"/>
      <c r="IQ327" s="3"/>
      <c r="IR327" s="3"/>
      <c r="IS327" s="3"/>
      <c r="IT327" s="3"/>
      <c r="IU327" s="3"/>
    </row>
    <row r="328" spans="1:255" x14ac:dyDescent="0.3">
      <c r="A328" s="2">
        <v>18</v>
      </c>
      <c r="B328" s="2">
        <v>1</v>
      </c>
      <c r="C328" s="2"/>
      <c r="D328" s="2"/>
      <c r="E328" s="2" t="s">
        <v>352</v>
      </c>
      <c r="F328" s="2" t="s">
        <v>353</v>
      </c>
      <c r="G328" s="2" t="s">
        <v>354</v>
      </c>
      <c r="H328" s="2" t="s">
        <v>355</v>
      </c>
      <c r="I328" s="2">
        <f>I320*J328</f>
        <v>0</v>
      </c>
      <c r="J328" s="2">
        <v>0</v>
      </c>
      <c r="K328" s="2">
        <v>0</v>
      </c>
      <c r="L328" s="2"/>
      <c r="M328" s="2"/>
      <c r="N328" s="2"/>
      <c r="O328" s="2">
        <f t="shared" si="289"/>
        <v>0</v>
      </c>
      <c r="P328" s="2">
        <f t="shared" si="290"/>
        <v>0</v>
      </c>
      <c r="Q328" s="2">
        <f t="shared" si="328"/>
        <v>0</v>
      </c>
      <c r="R328" s="2">
        <f t="shared" si="292"/>
        <v>0</v>
      </c>
      <c r="S328" s="2">
        <f t="shared" si="293"/>
        <v>0</v>
      </c>
      <c r="T328" s="2">
        <f t="shared" si="294"/>
        <v>0</v>
      </c>
      <c r="U328" s="2">
        <f t="shared" si="295"/>
        <v>0</v>
      </c>
      <c r="V328" s="2">
        <f t="shared" si="296"/>
        <v>0</v>
      </c>
      <c r="W328" s="2">
        <f t="shared" si="297"/>
        <v>0</v>
      </c>
      <c r="X328" s="2">
        <f t="shared" si="298"/>
        <v>0</v>
      </c>
      <c r="Y328" s="2">
        <f t="shared" si="299"/>
        <v>0</v>
      </c>
      <c r="Z328" s="2"/>
      <c r="AA328" s="2">
        <v>56505403</v>
      </c>
      <c r="AB328" s="2">
        <f t="shared" si="300"/>
        <v>3.07</v>
      </c>
      <c r="AC328" s="2">
        <f t="shared" si="301"/>
        <v>3.07</v>
      </c>
      <c r="AD328" s="2">
        <f t="shared" si="329"/>
        <v>0</v>
      </c>
      <c r="AE328" s="2">
        <f t="shared" si="330"/>
        <v>0</v>
      </c>
      <c r="AF328" s="2">
        <f t="shared" si="331"/>
        <v>0</v>
      </c>
      <c r="AG328" s="2">
        <f t="shared" si="305"/>
        <v>0</v>
      </c>
      <c r="AH328" s="2">
        <f t="shared" si="332"/>
        <v>0</v>
      </c>
      <c r="AI328" s="2">
        <f t="shared" si="333"/>
        <v>0</v>
      </c>
      <c r="AJ328" s="2">
        <f t="shared" si="308"/>
        <v>0</v>
      </c>
      <c r="AK328" s="2">
        <v>3.07</v>
      </c>
      <c r="AL328" s="2">
        <v>3.07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97</v>
      </c>
      <c r="AU328" s="2">
        <v>51</v>
      </c>
      <c r="AV328" s="2">
        <v>1</v>
      </c>
      <c r="AW328" s="2">
        <v>1</v>
      </c>
      <c r="AX328" s="2"/>
      <c r="AY328" s="2"/>
      <c r="AZ328" s="2">
        <v>1</v>
      </c>
      <c r="BA328" s="2">
        <v>1</v>
      </c>
      <c r="BB328" s="2">
        <v>1</v>
      </c>
      <c r="BC328" s="2">
        <v>1</v>
      </c>
      <c r="BD328" s="2" t="s">
        <v>3</v>
      </c>
      <c r="BE328" s="2" t="s">
        <v>3</v>
      </c>
      <c r="BF328" s="2" t="s">
        <v>3</v>
      </c>
      <c r="BG328" s="2" t="s">
        <v>3</v>
      </c>
      <c r="BH328" s="2">
        <v>3</v>
      </c>
      <c r="BI328" s="2">
        <v>2</v>
      </c>
      <c r="BJ328" s="2" t="s">
        <v>356</v>
      </c>
      <c r="BK328" s="2"/>
      <c r="BL328" s="2"/>
      <c r="BM328" s="2">
        <v>67</v>
      </c>
      <c r="BN328" s="2">
        <v>0</v>
      </c>
      <c r="BO328" s="2" t="s">
        <v>3</v>
      </c>
      <c r="BP328" s="2">
        <v>0</v>
      </c>
      <c r="BQ328" s="2">
        <v>40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 t="s">
        <v>3</v>
      </c>
      <c r="BZ328" s="2">
        <v>97</v>
      </c>
      <c r="CA328" s="2">
        <v>51</v>
      </c>
      <c r="CB328" s="2" t="s">
        <v>3</v>
      </c>
      <c r="CC328" s="2"/>
      <c r="CD328" s="2"/>
      <c r="CE328" s="2">
        <v>30</v>
      </c>
      <c r="CF328" s="2">
        <v>0</v>
      </c>
      <c r="CG328" s="2">
        <v>0</v>
      </c>
      <c r="CH328" s="2"/>
      <c r="CI328" s="2"/>
      <c r="CJ328" s="2"/>
      <c r="CK328" s="2"/>
      <c r="CL328" s="2"/>
      <c r="CM328" s="2">
        <v>0</v>
      </c>
      <c r="CN328" s="2" t="s">
        <v>3</v>
      </c>
      <c r="CO328" s="2">
        <v>0</v>
      </c>
      <c r="CP328" s="2">
        <f t="shared" si="309"/>
        <v>0</v>
      </c>
      <c r="CQ328" s="2">
        <f t="shared" si="310"/>
        <v>3.07</v>
      </c>
      <c r="CR328" s="2">
        <f t="shared" si="334"/>
        <v>0</v>
      </c>
      <c r="CS328" s="2">
        <f t="shared" si="312"/>
        <v>0</v>
      </c>
      <c r="CT328" s="2">
        <f t="shared" si="313"/>
        <v>0</v>
      </c>
      <c r="CU328" s="2">
        <f t="shared" si="314"/>
        <v>0</v>
      </c>
      <c r="CV328" s="2">
        <f t="shared" si="315"/>
        <v>0</v>
      </c>
      <c r="CW328" s="2">
        <f t="shared" si="316"/>
        <v>0</v>
      </c>
      <c r="CX328" s="2">
        <f t="shared" si="317"/>
        <v>0</v>
      </c>
      <c r="CY328" s="2">
        <f t="shared" si="318"/>
        <v>0</v>
      </c>
      <c r="CZ328" s="2">
        <f t="shared" si="319"/>
        <v>0</v>
      </c>
      <c r="DA328" s="2"/>
      <c r="DB328" s="2"/>
      <c r="DC328" s="2" t="s">
        <v>3</v>
      </c>
      <c r="DD328" s="2" t="s">
        <v>3</v>
      </c>
      <c r="DE328" s="2" t="s">
        <v>3</v>
      </c>
      <c r="DF328" s="2" t="s">
        <v>3</v>
      </c>
      <c r="DG328" s="2" t="s">
        <v>3</v>
      </c>
      <c r="DH328" s="2" t="s">
        <v>3</v>
      </c>
      <c r="DI328" s="2" t="s">
        <v>3</v>
      </c>
      <c r="DJ328" s="2" t="s">
        <v>3</v>
      </c>
      <c r="DK328" s="2" t="s">
        <v>3</v>
      </c>
      <c r="DL328" s="2" t="s">
        <v>3</v>
      </c>
      <c r="DM328" s="2" t="s">
        <v>3</v>
      </c>
      <c r="DN328" s="2">
        <v>0</v>
      </c>
      <c r="DO328" s="2">
        <v>0</v>
      </c>
      <c r="DP328" s="2">
        <v>1</v>
      </c>
      <c r="DQ328" s="2">
        <v>1</v>
      </c>
      <c r="DR328" s="2"/>
      <c r="DS328" s="2"/>
      <c r="DT328" s="2"/>
      <c r="DU328" s="2">
        <v>1013</v>
      </c>
      <c r="DV328" s="2" t="s">
        <v>355</v>
      </c>
      <c r="DW328" s="2" t="s">
        <v>355</v>
      </c>
      <c r="DX328" s="2">
        <v>1</v>
      </c>
      <c r="DY328" s="2"/>
      <c r="DZ328" s="2" t="s">
        <v>3</v>
      </c>
      <c r="EA328" s="2" t="s">
        <v>3</v>
      </c>
      <c r="EB328" s="2" t="s">
        <v>3</v>
      </c>
      <c r="EC328" s="2" t="s">
        <v>3</v>
      </c>
      <c r="ED328" s="2"/>
      <c r="EE328" s="2">
        <v>58162629</v>
      </c>
      <c r="EF328" s="2">
        <v>40</v>
      </c>
      <c r="EG328" s="2" t="s">
        <v>25</v>
      </c>
      <c r="EH328" s="2">
        <v>0</v>
      </c>
      <c r="EI328" s="2" t="s">
        <v>3</v>
      </c>
      <c r="EJ328" s="2">
        <v>2</v>
      </c>
      <c r="EK328" s="2">
        <v>67</v>
      </c>
      <c r="EL328" s="2" t="s">
        <v>225</v>
      </c>
      <c r="EM328" s="2" t="s">
        <v>226</v>
      </c>
      <c r="EN328" s="2"/>
      <c r="EO328" s="2" t="s">
        <v>3</v>
      </c>
      <c r="EP328" s="2"/>
      <c r="EQ328" s="2">
        <v>0</v>
      </c>
      <c r="ER328" s="2">
        <v>3.07</v>
      </c>
      <c r="ES328" s="2">
        <v>3.07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>
        <v>0</v>
      </c>
      <c r="FR328" s="2">
        <v>0</v>
      </c>
      <c r="FS328" s="2">
        <v>0</v>
      </c>
      <c r="FT328" s="2"/>
      <c r="FU328" s="2"/>
      <c r="FV328" s="2"/>
      <c r="FW328" s="2"/>
      <c r="FX328" s="2">
        <v>97</v>
      </c>
      <c r="FY328" s="2">
        <v>51</v>
      </c>
      <c r="FZ328" s="2"/>
      <c r="GA328" s="2" t="s">
        <v>3</v>
      </c>
      <c r="GB328" s="2"/>
      <c r="GC328" s="2"/>
      <c r="GD328" s="2">
        <v>1</v>
      </c>
      <c r="GE328" s="2"/>
      <c r="GF328" s="2">
        <v>847585266</v>
      </c>
      <c r="GG328" s="2">
        <v>2</v>
      </c>
      <c r="GH328" s="2">
        <v>1</v>
      </c>
      <c r="GI328" s="2">
        <v>-2</v>
      </c>
      <c r="GJ328" s="2">
        <v>0</v>
      </c>
      <c r="GK328" s="2">
        <v>0</v>
      </c>
      <c r="GL328" s="2">
        <f t="shared" si="320"/>
        <v>0</v>
      </c>
      <c r="GM328" s="2">
        <f t="shared" si="321"/>
        <v>0</v>
      </c>
      <c r="GN328" s="2">
        <f t="shared" si="322"/>
        <v>0</v>
      </c>
      <c r="GO328" s="2">
        <f t="shared" si="323"/>
        <v>0</v>
      </c>
      <c r="GP328" s="2">
        <f t="shared" si="324"/>
        <v>0</v>
      </c>
      <c r="GQ328" s="2"/>
      <c r="GR328" s="2">
        <v>0</v>
      </c>
      <c r="GS328" s="2">
        <v>3</v>
      </c>
      <c r="GT328" s="2">
        <v>0</v>
      </c>
      <c r="GU328" s="2" t="s">
        <v>3</v>
      </c>
      <c r="GV328" s="2">
        <f t="shared" si="325"/>
        <v>0</v>
      </c>
      <c r="GW328" s="2">
        <v>1</v>
      </c>
      <c r="GX328" s="2">
        <f t="shared" si="326"/>
        <v>0</v>
      </c>
      <c r="GY328" s="2"/>
      <c r="GZ328" s="2"/>
      <c r="HA328" s="2">
        <v>0</v>
      </c>
      <c r="HB328" s="2">
        <v>0</v>
      </c>
      <c r="HC328" s="2">
        <f t="shared" si="327"/>
        <v>0</v>
      </c>
      <c r="HD328" s="2"/>
      <c r="HE328" s="2" t="s">
        <v>3</v>
      </c>
      <c r="HF328" s="2" t="s">
        <v>3</v>
      </c>
      <c r="HG328" s="2"/>
      <c r="HH328" s="2"/>
      <c r="HI328" s="2"/>
      <c r="HJ328" s="2"/>
      <c r="HK328" s="2"/>
      <c r="HL328" s="2"/>
      <c r="HM328" s="2" t="s">
        <v>3</v>
      </c>
      <c r="HN328" s="2" t="s">
        <v>3</v>
      </c>
      <c r="HO328" s="2" t="s">
        <v>3</v>
      </c>
      <c r="HP328" s="2" t="s">
        <v>3</v>
      </c>
      <c r="HQ328" s="2" t="s">
        <v>3</v>
      </c>
      <c r="HR328" s="2"/>
      <c r="HS328" s="2">
        <v>0</v>
      </c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>
        <v>0</v>
      </c>
      <c r="IL328" s="2"/>
      <c r="IM328" s="2"/>
      <c r="IN328" s="2"/>
      <c r="IO328" s="2"/>
      <c r="IP328" s="2"/>
      <c r="IQ328" s="2"/>
      <c r="IR328" s="2"/>
      <c r="IS328" s="2"/>
      <c r="IT328" s="2"/>
      <c r="IU328" s="2"/>
    </row>
    <row r="329" spans="1:255" x14ac:dyDescent="0.3">
      <c r="A329" s="3">
        <v>18</v>
      </c>
      <c r="B329" s="3">
        <v>1</v>
      </c>
      <c r="C329" s="3"/>
      <c r="D329" s="3"/>
      <c r="E329" s="3" t="s">
        <v>352</v>
      </c>
      <c r="F329" s="3" t="s">
        <v>353</v>
      </c>
      <c r="G329" s="3" t="s">
        <v>354</v>
      </c>
      <c r="H329" s="3" t="s">
        <v>355</v>
      </c>
      <c r="I329" s="3">
        <f>I321*J329</f>
        <v>0</v>
      </c>
      <c r="J329" s="3">
        <v>0</v>
      </c>
      <c r="K329" s="3">
        <v>0</v>
      </c>
      <c r="L329" s="3"/>
      <c r="M329" s="3"/>
      <c r="N329" s="3"/>
      <c r="O329" s="3">
        <f t="shared" si="289"/>
        <v>0</v>
      </c>
      <c r="P329" s="3">
        <f t="shared" si="290"/>
        <v>0</v>
      </c>
      <c r="Q329" s="3">
        <f t="shared" si="328"/>
        <v>0</v>
      </c>
      <c r="R329" s="3">
        <f t="shared" si="292"/>
        <v>0</v>
      </c>
      <c r="S329" s="3">
        <f t="shared" si="293"/>
        <v>0</v>
      </c>
      <c r="T329" s="3">
        <f t="shared" si="294"/>
        <v>0</v>
      </c>
      <c r="U329" s="3">
        <f t="shared" si="295"/>
        <v>0</v>
      </c>
      <c r="V329" s="3">
        <f t="shared" si="296"/>
        <v>0</v>
      </c>
      <c r="W329" s="3">
        <f t="shared" si="297"/>
        <v>0</v>
      </c>
      <c r="X329" s="3">
        <f t="shared" si="298"/>
        <v>0</v>
      </c>
      <c r="Y329" s="3">
        <f t="shared" si="299"/>
        <v>0</v>
      </c>
      <c r="Z329" s="3"/>
      <c r="AA329" s="3">
        <v>56505405</v>
      </c>
      <c r="AB329" s="3">
        <f t="shared" si="300"/>
        <v>3.07</v>
      </c>
      <c r="AC329" s="3">
        <f t="shared" si="301"/>
        <v>3.07</v>
      </c>
      <c r="AD329" s="3">
        <f t="shared" si="329"/>
        <v>0</v>
      </c>
      <c r="AE329" s="3">
        <f t="shared" si="330"/>
        <v>0</v>
      </c>
      <c r="AF329" s="3">
        <f t="shared" si="331"/>
        <v>0</v>
      </c>
      <c r="AG329" s="3">
        <f t="shared" si="305"/>
        <v>0</v>
      </c>
      <c r="AH329" s="3">
        <f t="shared" si="332"/>
        <v>0</v>
      </c>
      <c r="AI329" s="3">
        <f t="shared" si="333"/>
        <v>0</v>
      </c>
      <c r="AJ329" s="3">
        <f t="shared" si="308"/>
        <v>0</v>
      </c>
      <c r="AK329" s="3">
        <v>3.07</v>
      </c>
      <c r="AL329" s="3">
        <v>3.07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97</v>
      </c>
      <c r="AU329" s="3">
        <v>51</v>
      </c>
      <c r="AV329" s="3">
        <v>1</v>
      </c>
      <c r="AW329" s="3">
        <v>1</v>
      </c>
      <c r="AX329" s="3"/>
      <c r="AY329" s="3"/>
      <c r="AZ329" s="3">
        <v>1</v>
      </c>
      <c r="BA329" s="3">
        <v>1</v>
      </c>
      <c r="BB329" s="3">
        <v>1</v>
      </c>
      <c r="BC329" s="3">
        <v>9.89</v>
      </c>
      <c r="BD329" s="3" t="s">
        <v>3</v>
      </c>
      <c r="BE329" s="3" t="s">
        <v>3</v>
      </c>
      <c r="BF329" s="3" t="s">
        <v>3</v>
      </c>
      <c r="BG329" s="3" t="s">
        <v>3</v>
      </c>
      <c r="BH329" s="3">
        <v>3</v>
      </c>
      <c r="BI329" s="3">
        <v>2</v>
      </c>
      <c r="BJ329" s="3" t="s">
        <v>356</v>
      </c>
      <c r="BK329" s="3"/>
      <c r="BL329" s="3"/>
      <c r="BM329" s="3">
        <v>67</v>
      </c>
      <c r="BN329" s="3">
        <v>0</v>
      </c>
      <c r="BO329" s="3" t="s">
        <v>353</v>
      </c>
      <c r="BP329" s="3">
        <v>1</v>
      </c>
      <c r="BQ329" s="3">
        <v>40</v>
      </c>
      <c r="BR329" s="3">
        <v>0</v>
      </c>
      <c r="BS329" s="3">
        <v>1</v>
      </c>
      <c r="BT329" s="3">
        <v>1</v>
      </c>
      <c r="BU329" s="3">
        <v>1</v>
      </c>
      <c r="BV329" s="3">
        <v>1</v>
      </c>
      <c r="BW329" s="3">
        <v>1</v>
      </c>
      <c r="BX329" s="3">
        <v>1</v>
      </c>
      <c r="BY329" s="3" t="s">
        <v>3</v>
      </c>
      <c r="BZ329" s="3">
        <v>97</v>
      </c>
      <c r="CA329" s="3">
        <v>51</v>
      </c>
      <c r="CB329" s="3" t="s">
        <v>3</v>
      </c>
      <c r="CC329" s="3"/>
      <c r="CD329" s="3"/>
      <c r="CE329" s="3">
        <v>30</v>
      </c>
      <c r="CF329" s="3">
        <v>0</v>
      </c>
      <c r="CG329" s="3">
        <v>0</v>
      </c>
      <c r="CH329" s="3"/>
      <c r="CI329" s="3"/>
      <c r="CJ329" s="3"/>
      <c r="CK329" s="3"/>
      <c r="CL329" s="3"/>
      <c r="CM329" s="3">
        <v>0</v>
      </c>
      <c r="CN329" s="3" t="s">
        <v>3</v>
      </c>
      <c r="CO329" s="3">
        <v>0</v>
      </c>
      <c r="CP329" s="3">
        <f t="shared" si="309"/>
        <v>0</v>
      </c>
      <c r="CQ329" s="3">
        <f t="shared" si="310"/>
        <v>30.36</v>
      </c>
      <c r="CR329" s="3">
        <f t="shared" si="334"/>
        <v>0</v>
      </c>
      <c r="CS329" s="3">
        <f t="shared" si="312"/>
        <v>0</v>
      </c>
      <c r="CT329" s="3">
        <f t="shared" si="313"/>
        <v>0</v>
      </c>
      <c r="CU329" s="3">
        <f t="shared" si="314"/>
        <v>0</v>
      </c>
      <c r="CV329" s="3">
        <f t="shared" si="315"/>
        <v>0</v>
      </c>
      <c r="CW329" s="3">
        <f t="shared" si="316"/>
        <v>0</v>
      </c>
      <c r="CX329" s="3">
        <f t="shared" si="317"/>
        <v>0</v>
      </c>
      <c r="CY329" s="3">
        <f t="shared" si="318"/>
        <v>0</v>
      </c>
      <c r="CZ329" s="3">
        <f t="shared" si="319"/>
        <v>0</v>
      </c>
      <c r="DA329" s="3"/>
      <c r="DB329" s="3"/>
      <c r="DC329" s="3" t="s">
        <v>3</v>
      </c>
      <c r="DD329" s="3" t="s">
        <v>3</v>
      </c>
      <c r="DE329" s="3" t="s">
        <v>3</v>
      </c>
      <c r="DF329" s="3" t="s">
        <v>3</v>
      </c>
      <c r="DG329" s="3" t="s">
        <v>3</v>
      </c>
      <c r="DH329" s="3" t="s">
        <v>3</v>
      </c>
      <c r="DI329" s="3" t="s">
        <v>3</v>
      </c>
      <c r="DJ329" s="3" t="s">
        <v>3</v>
      </c>
      <c r="DK329" s="3" t="s">
        <v>3</v>
      </c>
      <c r="DL329" s="3" t="s">
        <v>3</v>
      </c>
      <c r="DM329" s="3" t="s">
        <v>3</v>
      </c>
      <c r="DN329" s="3">
        <v>0</v>
      </c>
      <c r="DO329" s="3">
        <v>0</v>
      </c>
      <c r="DP329" s="3">
        <v>1</v>
      </c>
      <c r="DQ329" s="3">
        <v>1</v>
      </c>
      <c r="DR329" s="3"/>
      <c r="DS329" s="3"/>
      <c r="DT329" s="3"/>
      <c r="DU329" s="3">
        <v>1013</v>
      </c>
      <c r="DV329" s="3" t="s">
        <v>355</v>
      </c>
      <c r="DW329" s="3" t="s">
        <v>355</v>
      </c>
      <c r="DX329" s="3">
        <v>1</v>
      </c>
      <c r="DY329" s="3"/>
      <c r="DZ329" s="3" t="s">
        <v>3</v>
      </c>
      <c r="EA329" s="3" t="s">
        <v>3</v>
      </c>
      <c r="EB329" s="3" t="s">
        <v>3</v>
      </c>
      <c r="EC329" s="3" t="s">
        <v>3</v>
      </c>
      <c r="ED329" s="3"/>
      <c r="EE329" s="3">
        <v>58162629</v>
      </c>
      <c r="EF329" s="3">
        <v>40</v>
      </c>
      <c r="EG329" s="3" t="s">
        <v>25</v>
      </c>
      <c r="EH329" s="3">
        <v>0</v>
      </c>
      <c r="EI329" s="3" t="s">
        <v>3</v>
      </c>
      <c r="EJ329" s="3">
        <v>2</v>
      </c>
      <c r="EK329" s="3">
        <v>67</v>
      </c>
      <c r="EL329" s="3" t="s">
        <v>225</v>
      </c>
      <c r="EM329" s="3" t="s">
        <v>226</v>
      </c>
      <c r="EN329" s="3"/>
      <c r="EO329" s="3" t="s">
        <v>3</v>
      </c>
      <c r="EP329" s="3"/>
      <c r="EQ329" s="3">
        <v>0</v>
      </c>
      <c r="ER329" s="3">
        <v>3.07</v>
      </c>
      <c r="ES329" s="3">
        <v>3.07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>
        <v>0</v>
      </c>
      <c r="FR329" s="3">
        <v>0</v>
      </c>
      <c r="FS329" s="3">
        <v>0</v>
      </c>
      <c r="FT329" s="3"/>
      <c r="FU329" s="3"/>
      <c r="FV329" s="3"/>
      <c r="FW329" s="3"/>
      <c r="FX329" s="3">
        <v>97</v>
      </c>
      <c r="FY329" s="3">
        <v>51</v>
      </c>
      <c r="FZ329" s="3"/>
      <c r="GA329" s="3" t="s">
        <v>3</v>
      </c>
      <c r="GB329" s="3"/>
      <c r="GC329" s="3"/>
      <c r="GD329" s="3">
        <v>1</v>
      </c>
      <c r="GE329" s="3"/>
      <c r="GF329" s="3">
        <v>847585266</v>
      </c>
      <c r="GG329" s="3">
        <v>2</v>
      </c>
      <c r="GH329" s="3">
        <v>1</v>
      </c>
      <c r="GI329" s="3">
        <v>2</v>
      </c>
      <c r="GJ329" s="3">
        <v>0</v>
      </c>
      <c r="GK329" s="3">
        <v>0</v>
      </c>
      <c r="GL329" s="3">
        <f t="shared" si="320"/>
        <v>0</v>
      </c>
      <c r="GM329" s="3">
        <f t="shared" si="321"/>
        <v>0</v>
      </c>
      <c r="GN329" s="3">
        <f t="shared" si="322"/>
        <v>0</v>
      </c>
      <c r="GO329" s="3">
        <f t="shared" si="323"/>
        <v>0</v>
      </c>
      <c r="GP329" s="3">
        <f t="shared" si="324"/>
        <v>0</v>
      </c>
      <c r="GQ329" s="3"/>
      <c r="GR329" s="3">
        <v>0</v>
      </c>
      <c r="GS329" s="3">
        <v>3</v>
      </c>
      <c r="GT329" s="3">
        <v>0</v>
      </c>
      <c r="GU329" s="3" t="s">
        <v>3</v>
      </c>
      <c r="GV329" s="3">
        <f t="shared" si="325"/>
        <v>0</v>
      </c>
      <c r="GW329" s="3">
        <v>1</v>
      </c>
      <c r="GX329" s="3">
        <f t="shared" si="326"/>
        <v>0</v>
      </c>
      <c r="GY329" s="3"/>
      <c r="GZ329" s="3"/>
      <c r="HA329" s="3">
        <v>0</v>
      </c>
      <c r="HB329" s="3">
        <v>0</v>
      </c>
      <c r="HC329" s="3">
        <f t="shared" si="327"/>
        <v>0</v>
      </c>
      <c r="HD329" s="3"/>
      <c r="HE329" s="3" t="s">
        <v>3</v>
      </c>
      <c r="HF329" s="3" t="s">
        <v>3</v>
      </c>
      <c r="HG329" s="3"/>
      <c r="HH329" s="3"/>
      <c r="HI329" s="3"/>
      <c r="HJ329" s="3"/>
      <c r="HK329" s="3"/>
      <c r="HL329" s="3"/>
      <c r="HM329" s="3" t="s">
        <v>3</v>
      </c>
      <c r="HN329" s="3" t="s">
        <v>3</v>
      </c>
      <c r="HO329" s="3" t="s">
        <v>3</v>
      </c>
      <c r="HP329" s="3" t="s">
        <v>3</v>
      </c>
      <c r="HQ329" s="3" t="s">
        <v>3</v>
      </c>
      <c r="HR329" s="3"/>
      <c r="HS329" s="3">
        <v>0</v>
      </c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>
        <v>0</v>
      </c>
      <c r="IL329" s="3"/>
      <c r="IM329" s="3"/>
      <c r="IN329" s="3"/>
      <c r="IO329" s="3"/>
      <c r="IP329" s="3"/>
      <c r="IQ329" s="3"/>
      <c r="IR329" s="3"/>
      <c r="IS329" s="3"/>
      <c r="IT329" s="3"/>
      <c r="IU329" s="3"/>
    </row>
    <row r="330" spans="1:255" x14ac:dyDescent="0.3">
      <c r="A330" s="2">
        <v>18</v>
      </c>
      <c r="B330" s="2">
        <v>1</v>
      </c>
      <c r="C330" s="2"/>
      <c r="D330" s="2"/>
      <c r="E330" s="2" t="s">
        <v>357</v>
      </c>
      <c r="F330" s="2" t="s">
        <v>358</v>
      </c>
      <c r="G330" s="2" t="s">
        <v>359</v>
      </c>
      <c r="H330" s="2" t="s">
        <v>165</v>
      </c>
      <c r="I330" s="2">
        <f>I320*J330</f>
        <v>5.5785000000000001E-2</v>
      </c>
      <c r="J330" s="2">
        <v>8.730046948356808E-3</v>
      </c>
      <c r="K330" s="2">
        <v>8.7299999999999999E-3</v>
      </c>
      <c r="L330" s="2"/>
      <c r="M330" s="2"/>
      <c r="N330" s="2"/>
      <c r="O330" s="2">
        <f t="shared" si="289"/>
        <v>1887.08</v>
      </c>
      <c r="P330" s="2">
        <f t="shared" si="290"/>
        <v>1887.08</v>
      </c>
      <c r="Q330" s="2">
        <f t="shared" si="328"/>
        <v>0</v>
      </c>
      <c r="R330" s="2">
        <f t="shared" si="292"/>
        <v>0</v>
      </c>
      <c r="S330" s="2">
        <f t="shared" si="293"/>
        <v>0</v>
      </c>
      <c r="T330" s="2">
        <f t="shared" si="294"/>
        <v>0</v>
      </c>
      <c r="U330" s="2">
        <f t="shared" si="295"/>
        <v>0</v>
      </c>
      <c r="V330" s="2">
        <f t="shared" si="296"/>
        <v>0</v>
      </c>
      <c r="W330" s="2">
        <f t="shared" si="297"/>
        <v>0</v>
      </c>
      <c r="X330" s="2">
        <f t="shared" si="298"/>
        <v>0</v>
      </c>
      <c r="Y330" s="2">
        <f t="shared" si="299"/>
        <v>0</v>
      </c>
      <c r="Z330" s="2"/>
      <c r="AA330" s="2">
        <v>56505403</v>
      </c>
      <c r="AB330" s="2">
        <f t="shared" si="300"/>
        <v>33827.69</v>
      </c>
      <c r="AC330" s="2">
        <f t="shared" si="301"/>
        <v>33827.69</v>
      </c>
      <c r="AD330" s="2">
        <f t="shared" si="329"/>
        <v>0</v>
      </c>
      <c r="AE330" s="2">
        <f t="shared" si="330"/>
        <v>0</v>
      </c>
      <c r="AF330" s="2">
        <f t="shared" si="331"/>
        <v>0</v>
      </c>
      <c r="AG330" s="2">
        <f t="shared" si="305"/>
        <v>0</v>
      </c>
      <c r="AH330" s="2">
        <f t="shared" si="332"/>
        <v>0</v>
      </c>
      <c r="AI330" s="2">
        <f t="shared" si="333"/>
        <v>0</v>
      </c>
      <c r="AJ330" s="2">
        <f t="shared" si="308"/>
        <v>0</v>
      </c>
      <c r="AK330" s="2">
        <v>33827.69</v>
      </c>
      <c r="AL330" s="2">
        <v>33827.69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97</v>
      </c>
      <c r="AU330" s="2">
        <v>51</v>
      </c>
      <c r="AV330" s="2">
        <v>1</v>
      </c>
      <c r="AW330" s="2">
        <v>1</v>
      </c>
      <c r="AX330" s="2"/>
      <c r="AY330" s="2"/>
      <c r="AZ330" s="2">
        <v>1</v>
      </c>
      <c r="BA330" s="2">
        <v>1</v>
      </c>
      <c r="BB330" s="2">
        <v>1</v>
      </c>
      <c r="BC330" s="2">
        <v>1</v>
      </c>
      <c r="BD330" s="2" t="s">
        <v>3</v>
      </c>
      <c r="BE330" s="2" t="s">
        <v>3</v>
      </c>
      <c r="BF330" s="2" t="s">
        <v>3</v>
      </c>
      <c r="BG330" s="2" t="s">
        <v>3</v>
      </c>
      <c r="BH330" s="2">
        <v>3</v>
      </c>
      <c r="BI330" s="2">
        <v>2</v>
      </c>
      <c r="BJ330" s="2" t="s">
        <v>360</v>
      </c>
      <c r="BK330" s="2"/>
      <c r="BL330" s="2"/>
      <c r="BM330" s="2">
        <v>67</v>
      </c>
      <c r="BN330" s="2">
        <v>0</v>
      </c>
      <c r="BO330" s="2" t="s">
        <v>3</v>
      </c>
      <c r="BP330" s="2">
        <v>0</v>
      </c>
      <c r="BQ330" s="2">
        <v>40</v>
      </c>
      <c r="BR330" s="2">
        <v>0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 t="s">
        <v>3</v>
      </c>
      <c r="BZ330" s="2">
        <v>97</v>
      </c>
      <c r="CA330" s="2">
        <v>51</v>
      </c>
      <c r="CB330" s="2" t="s">
        <v>3</v>
      </c>
      <c r="CC330" s="2"/>
      <c r="CD330" s="2"/>
      <c r="CE330" s="2">
        <v>30</v>
      </c>
      <c r="CF330" s="2">
        <v>0</v>
      </c>
      <c r="CG330" s="2">
        <v>0</v>
      </c>
      <c r="CH330" s="2"/>
      <c r="CI330" s="2"/>
      <c r="CJ330" s="2"/>
      <c r="CK330" s="2"/>
      <c r="CL330" s="2"/>
      <c r="CM330" s="2">
        <v>0</v>
      </c>
      <c r="CN330" s="2" t="s">
        <v>3</v>
      </c>
      <c r="CO330" s="2">
        <v>0</v>
      </c>
      <c r="CP330" s="2">
        <f t="shared" si="309"/>
        <v>1887.08</v>
      </c>
      <c r="CQ330" s="2">
        <f t="shared" si="310"/>
        <v>33827.69</v>
      </c>
      <c r="CR330" s="2">
        <f t="shared" si="334"/>
        <v>0</v>
      </c>
      <c r="CS330" s="2">
        <f t="shared" si="312"/>
        <v>0</v>
      </c>
      <c r="CT330" s="2">
        <f t="shared" si="313"/>
        <v>0</v>
      </c>
      <c r="CU330" s="2">
        <f t="shared" si="314"/>
        <v>0</v>
      </c>
      <c r="CV330" s="2">
        <f t="shared" si="315"/>
        <v>0</v>
      </c>
      <c r="CW330" s="2">
        <f t="shared" si="316"/>
        <v>0</v>
      </c>
      <c r="CX330" s="2">
        <f t="shared" si="317"/>
        <v>0</v>
      </c>
      <c r="CY330" s="2">
        <f t="shared" si="318"/>
        <v>0</v>
      </c>
      <c r="CZ330" s="2">
        <f t="shared" si="319"/>
        <v>0</v>
      </c>
      <c r="DA330" s="2"/>
      <c r="DB330" s="2"/>
      <c r="DC330" s="2" t="s">
        <v>3</v>
      </c>
      <c r="DD330" s="2" t="s">
        <v>3</v>
      </c>
      <c r="DE330" s="2" t="s">
        <v>3</v>
      </c>
      <c r="DF330" s="2" t="s">
        <v>3</v>
      </c>
      <c r="DG330" s="2" t="s">
        <v>3</v>
      </c>
      <c r="DH330" s="2" t="s">
        <v>3</v>
      </c>
      <c r="DI330" s="2" t="s">
        <v>3</v>
      </c>
      <c r="DJ330" s="2" t="s">
        <v>3</v>
      </c>
      <c r="DK330" s="2" t="s">
        <v>3</v>
      </c>
      <c r="DL330" s="2" t="s">
        <v>3</v>
      </c>
      <c r="DM330" s="2" t="s">
        <v>3</v>
      </c>
      <c r="DN330" s="2">
        <v>0</v>
      </c>
      <c r="DO330" s="2">
        <v>0</v>
      </c>
      <c r="DP330" s="2">
        <v>1</v>
      </c>
      <c r="DQ330" s="2">
        <v>1</v>
      </c>
      <c r="DR330" s="2"/>
      <c r="DS330" s="2"/>
      <c r="DT330" s="2"/>
      <c r="DU330" s="2">
        <v>1009</v>
      </c>
      <c r="DV330" s="2" t="s">
        <v>165</v>
      </c>
      <c r="DW330" s="2" t="s">
        <v>165</v>
      </c>
      <c r="DX330" s="2">
        <v>1000</v>
      </c>
      <c r="DY330" s="2"/>
      <c r="DZ330" s="2" t="s">
        <v>3</v>
      </c>
      <c r="EA330" s="2" t="s">
        <v>3</v>
      </c>
      <c r="EB330" s="2" t="s">
        <v>3</v>
      </c>
      <c r="EC330" s="2" t="s">
        <v>3</v>
      </c>
      <c r="ED330" s="2"/>
      <c r="EE330" s="2">
        <v>58162629</v>
      </c>
      <c r="EF330" s="2">
        <v>40</v>
      </c>
      <c r="EG330" s="2" t="s">
        <v>25</v>
      </c>
      <c r="EH330" s="2">
        <v>0</v>
      </c>
      <c r="EI330" s="2" t="s">
        <v>3</v>
      </c>
      <c r="EJ330" s="2">
        <v>2</v>
      </c>
      <c r="EK330" s="2">
        <v>67</v>
      </c>
      <c r="EL330" s="2" t="s">
        <v>225</v>
      </c>
      <c r="EM330" s="2" t="s">
        <v>226</v>
      </c>
      <c r="EN330" s="2"/>
      <c r="EO330" s="2" t="s">
        <v>3</v>
      </c>
      <c r="EP330" s="2"/>
      <c r="EQ330" s="2">
        <v>0</v>
      </c>
      <c r="ER330" s="2">
        <v>33827.69</v>
      </c>
      <c r="ES330" s="2">
        <v>33827.69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>
        <v>0</v>
      </c>
      <c r="FR330" s="2">
        <v>0</v>
      </c>
      <c r="FS330" s="2">
        <v>0</v>
      </c>
      <c r="FT330" s="2"/>
      <c r="FU330" s="2"/>
      <c r="FV330" s="2"/>
      <c r="FW330" s="2"/>
      <c r="FX330" s="2">
        <v>97</v>
      </c>
      <c r="FY330" s="2">
        <v>51</v>
      </c>
      <c r="FZ330" s="2"/>
      <c r="GA330" s="2" t="s">
        <v>3</v>
      </c>
      <c r="GB330" s="2"/>
      <c r="GC330" s="2"/>
      <c r="GD330" s="2">
        <v>1</v>
      </c>
      <c r="GE330" s="2"/>
      <c r="GF330" s="2">
        <v>764623737</v>
      </c>
      <c r="GG330" s="2">
        <v>2</v>
      </c>
      <c r="GH330" s="2">
        <v>1</v>
      </c>
      <c r="GI330" s="2">
        <v>-2</v>
      </c>
      <c r="GJ330" s="2">
        <v>0</v>
      </c>
      <c r="GK330" s="2">
        <v>0</v>
      </c>
      <c r="GL330" s="2">
        <f t="shared" si="320"/>
        <v>0</v>
      </c>
      <c r="GM330" s="2">
        <f t="shared" si="321"/>
        <v>1887.08</v>
      </c>
      <c r="GN330" s="2">
        <f t="shared" si="322"/>
        <v>0</v>
      </c>
      <c r="GO330" s="2">
        <f t="shared" si="323"/>
        <v>1887.08</v>
      </c>
      <c r="GP330" s="2">
        <f t="shared" si="324"/>
        <v>0</v>
      </c>
      <c r="GQ330" s="2"/>
      <c r="GR330" s="2">
        <v>0</v>
      </c>
      <c r="GS330" s="2">
        <v>3</v>
      </c>
      <c r="GT330" s="2">
        <v>0</v>
      </c>
      <c r="GU330" s="2" t="s">
        <v>3</v>
      </c>
      <c r="GV330" s="2">
        <f t="shared" si="325"/>
        <v>0</v>
      </c>
      <c r="GW330" s="2">
        <v>1</v>
      </c>
      <c r="GX330" s="2">
        <f t="shared" si="326"/>
        <v>0</v>
      </c>
      <c r="GY330" s="2"/>
      <c r="GZ330" s="2"/>
      <c r="HA330" s="2">
        <v>0</v>
      </c>
      <c r="HB330" s="2">
        <v>0</v>
      </c>
      <c r="HC330" s="2">
        <f t="shared" si="327"/>
        <v>0</v>
      </c>
      <c r="HD330" s="2"/>
      <c r="HE330" s="2" t="s">
        <v>3</v>
      </c>
      <c r="HF330" s="2" t="s">
        <v>3</v>
      </c>
      <c r="HG330" s="2"/>
      <c r="HH330" s="2"/>
      <c r="HI330" s="2"/>
      <c r="HJ330" s="2"/>
      <c r="HK330" s="2"/>
      <c r="HL330" s="2"/>
      <c r="HM330" s="2" t="s">
        <v>3</v>
      </c>
      <c r="HN330" s="2" t="s">
        <v>3</v>
      </c>
      <c r="HO330" s="2" t="s">
        <v>3</v>
      </c>
      <c r="HP330" s="2" t="s">
        <v>3</v>
      </c>
      <c r="HQ330" s="2" t="s">
        <v>3</v>
      </c>
      <c r="HR330" s="2"/>
      <c r="HS330" s="2">
        <v>0</v>
      </c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>
        <v>0</v>
      </c>
      <c r="IL330" s="2"/>
      <c r="IM330" s="2"/>
      <c r="IN330" s="2"/>
      <c r="IO330" s="2"/>
      <c r="IP330" s="2"/>
      <c r="IQ330" s="2"/>
      <c r="IR330" s="2"/>
      <c r="IS330" s="2"/>
      <c r="IT330" s="2"/>
      <c r="IU330" s="2"/>
    </row>
    <row r="331" spans="1:255" x14ac:dyDescent="0.3">
      <c r="A331" s="3">
        <v>18</v>
      </c>
      <c r="B331" s="3">
        <v>1</v>
      </c>
      <c r="C331" s="3"/>
      <c r="D331" s="3"/>
      <c r="E331" s="3" t="s">
        <v>357</v>
      </c>
      <c r="F331" s="3" t="s">
        <v>358</v>
      </c>
      <c r="G331" s="3" t="s">
        <v>359</v>
      </c>
      <c r="H331" s="3" t="s">
        <v>165</v>
      </c>
      <c r="I331" s="3">
        <f>I321*J331</f>
        <v>5.5785000000000001E-2</v>
      </c>
      <c r="J331" s="3">
        <v>8.730046948356808E-3</v>
      </c>
      <c r="K331" s="3">
        <v>8.7299999999999999E-3</v>
      </c>
      <c r="L331" s="3"/>
      <c r="M331" s="3"/>
      <c r="N331" s="3"/>
      <c r="O331" s="3">
        <f t="shared" si="289"/>
        <v>8850.41</v>
      </c>
      <c r="P331" s="3">
        <f t="shared" si="290"/>
        <v>8850.41</v>
      </c>
      <c r="Q331" s="3">
        <f t="shared" si="328"/>
        <v>0</v>
      </c>
      <c r="R331" s="3">
        <f t="shared" si="292"/>
        <v>0</v>
      </c>
      <c r="S331" s="3">
        <f t="shared" si="293"/>
        <v>0</v>
      </c>
      <c r="T331" s="3">
        <f t="shared" si="294"/>
        <v>0</v>
      </c>
      <c r="U331" s="3">
        <f t="shared" si="295"/>
        <v>0</v>
      </c>
      <c r="V331" s="3">
        <f t="shared" si="296"/>
        <v>0</v>
      </c>
      <c r="W331" s="3">
        <f t="shared" si="297"/>
        <v>0</v>
      </c>
      <c r="X331" s="3">
        <f t="shared" si="298"/>
        <v>0</v>
      </c>
      <c r="Y331" s="3">
        <f t="shared" si="299"/>
        <v>0</v>
      </c>
      <c r="Z331" s="3"/>
      <c r="AA331" s="3">
        <v>56505405</v>
      </c>
      <c r="AB331" s="3">
        <f t="shared" si="300"/>
        <v>33827.69</v>
      </c>
      <c r="AC331" s="3">
        <f t="shared" si="301"/>
        <v>33827.69</v>
      </c>
      <c r="AD331" s="3">
        <f t="shared" si="329"/>
        <v>0</v>
      </c>
      <c r="AE331" s="3">
        <f t="shared" si="330"/>
        <v>0</v>
      </c>
      <c r="AF331" s="3">
        <f t="shared" si="331"/>
        <v>0</v>
      </c>
      <c r="AG331" s="3">
        <f t="shared" si="305"/>
        <v>0</v>
      </c>
      <c r="AH331" s="3">
        <f t="shared" si="332"/>
        <v>0</v>
      </c>
      <c r="AI331" s="3">
        <f t="shared" si="333"/>
        <v>0</v>
      </c>
      <c r="AJ331" s="3">
        <f t="shared" si="308"/>
        <v>0</v>
      </c>
      <c r="AK331" s="3">
        <v>33827.69</v>
      </c>
      <c r="AL331" s="3">
        <v>33827.69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97</v>
      </c>
      <c r="AU331" s="3">
        <v>51</v>
      </c>
      <c r="AV331" s="3">
        <v>1</v>
      </c>
      <c r="AW331" s="3">
        <v>1</v>
      </c>
      <c r="AX331" s="3"/>
      <c r="AY331" s="3"/>
      <c r="AZ331" s="3">
        <v>1</v>
      </c>
      <c r="BA331" s="3">
        <v>1</v>
      </c>
      <c r="BB331" s="3">
        <v>1</v>
      </c>
      <c r="BC331" s="3">
        <v>4.6900000000000004</v>
      </c>
      <c r="BD331" s="3" t="s">
        <v>3</v>
      </c>
      <c r="BE331" s="3" t="s">
        <v>3</v>
      </c>
      <c r="BF331" s="3" t="s">
        <v>3</v>
      </c>
      <c r="BG331" s="3" t="s">
        <v>3</v>
      </c>
      <c r="BH331" s="3">
        <v>3</v>
      </c>
      <c r="BI331" s="3">
        <v>2</v>
      </c>
      <c r="BJ331" s="3" t="s">
        <v>360</v>
      </c>
      <c r="BK331" s="3"/>
      <c r="BL331" s="3"/>
      <c r="BM331" s="3">
        <v>67</v>
      </c>
      <c r="BN331" s="3">
        <v>0</v>
      </c>
      <c r="BO331" s="3" t="s">
        <v>358</v>
      </c>
      <c r="BP331" s="3">
        <v>1</v>
      </c>
      <c r="BQ331" s="3">
        <v>40</v>
      </c>
      <c r="BR331" s="3">
        <v>0</v>
      </c>
      <c r="BS331" s="3">
        <v>1</v>
      </c>
      <c r="BT331" s="3">
        <v>1</v>
      </c>
      <c r="BU331" s="3">
        <v>1</v>
      </c>
      <c r="BV331" s="3">
        <v>1</v>
      </c>
      <c r="BW331" s="3">
        <v>1</v>
      </c>
      <c r="BX331" s="3">
        <v>1</v>
      </c>
      <c r="BY331" s="3" t="s">
        <v>3</v>
      </c>
      <c r="BZ331" s="3">
        <v>97</v>
      </c>
      <c r="CA331" s="3">
        <v>51</v>
      </c>
      <c r="CB331" s="3" t="s">
        <v>3</v>
      </c>
      <c r="CC331" s="3"/>
      <c r="CD331" s="3"/>
      <c r="CE331" s="3">
        <v>30</v>
      </c>
      <c r="CF331" s="3">
        <v>0</v>
      </c>
      <c r="CG331" s="3">
        <v>0</v>
      </c>
      <c r="CH331" s="3"/>
      <c r="CI331" s="3"/>
      <c r="CJ331" s="3"/>
      <c r="CK331" s="3"/>
      <c r="CL331" s="3"/>
      <c r="CM331" s="3">
        <v>0</v>
      </c>
      <c r="CN331" s="3" t="s">
        <v>3</v>
      </c>
      <c r="CO331" s="3">
        <v>0</v>
      </c>
      <c r="CP331" s="3">
        <f t="shared" si="309"/>
        <v>8850.41</v>
      </c>
      <c r="CQ331" s="3">
        <f t="shared" si="310"/>
        <v>158651.87</v>
      </c>
      <c r="CR331" s="3">
        <f t="shared" si="334"/>
        <v>0</v>
      </c>
      <c r="CS331" s="3">
        <f t="shared" si="312"/>
        <v>0</v>
      </c>
      <c r="CT331" s="3">
        <f t="shared" si="313"/>
        <v>0</v>
      </c>
      <c r="CU331" s="3">
        <f t="shared" si="314"/>
        <v>0</v>
      </c>
      <c r="CV331" s="3">
        <f t="shared" si="315"/>
        <v>0</v>
      </c>
      <c r="CW331" s="3">
        <f t="shared" si="316"/>
        <v>0</v>
      </c>
      <c r="CX331" s="3">
        <f t="shared" si="317"/>
        <v>0</v>
      </c>
      <c r="CY331" s="3">
        <f t="shared" si="318"/>
        <v>0</v>
      </c>
      <c r="CZ331" s="3">
        <f t="shared" si="319"/>
        <v>0</v>
      </c>
      <c r="DA331" s="3"/>
      <c r="DB331" s="3"/>
      <c r="DC331" s="3" t="s">
        <v>3</v>
      </c>
      <c r="DD331" s="3" t="s">
        <v>3</v>
      </c>
      <c r="DE331" s="3" t="s">
        <v>3</v>
      </c>
      <c r="DF331" s="3" t="s">
        <v>3</v>
      </c>
      <c r="DG331" s="3" t="s">
        <v>3</v>
      </c>
      <c r="DH331" s="3" t="s">
        <v>3</v>
      </c>
      <c r="DI331" s="3" t="s">
        <v>3</v>
      </c>
      <c r="DJ331" s="3" t="s">
        <v>3</v>
      </c>
      <c r="DK331" s="3" t="s">
        <v>3</v>
      </c>
      <c r="DL331" s="3" t="s">
        <v>3</v>
      </c>
      <c r="DM331" s="3" t="s">
        <v>3</v>
      </c>
      <c r="DN331" s="3">
        <v>0</v>
      </c>
      <c r="DO331" s="3">
        <v>0</v>
      </c>
      <c r="DP331" s="3">
        <v>1</v>
      </c>
      <c r="DQ331" s="3">
        <v>1</v>
      </c>
      <c r="DR331" s="3"/>
      <c r="DS331" s="3"/>
      <c r="DT331" s="3"/>
      <c r="DU331" s="3">
        <v>1009</v>
      </c>
      <c r="DV331" s="3" t="s">
        <v>165</v>
      </c>
      <c r="DW331" s="3" t="s">
        <v>165</v>
      </c>
      <c r="DX331" s="3">
        <v>1000</v>
      </c>
      <c r="DY331" s="3"/>
      <c r="DZ331" s="3" t="s">
        <v>3</v>
      </c>
      <c r="EA331" s="3" t="s">
        <v>3</v>
      </c>
      <c r="EB331" s="3" t="s">
        <v>3</v>
      </c>
      <c r="EC331" s="3" t="s">
        <v>3</v>
      </c>
      <c r="ED331" s="3"/>
      <c r="EE331" s="3">
        <v>58162629</v>
      </c>
      <c r="EF331" s="3">
        <v>40</v>
      </c>
      <c r="EG331" s="3" t="s">
        <v>25</v>
      </c>
      <c r="EH331" s="3">
        <v>0</v>
      </c>
      <c r="EI331" s="3" t="s">
        <v>3</v>
      </c>
      <c r="EJ331" s="3">
        <v>2</v>
      </c>
      <c r="EK331" s="3">
        <v>67</v>
      </c>
      <c r="EL331" s="3" t="s">
        <v>225</v>
      </c>
      <c r="EM331" s="3" t="s">
        <v>226</v>
      </c>
      <c r="EN331" s="3"/>
      <c r="EO331" s="3" t="s">
        <v>3</v>
      </c>
      <c r="EP331" s="3"/>
      <c r="EQ331" s="3">
        <v>0</v>
      </c>
      <c r="ER331" s="3">
        <v>33827.69</v>
      </c>
      <c r="ES331" s="3">
        <v>33827.69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>
        <v>0</v>
      </c>
      <c r="FR331" s="3">
        <v>0</v>
      </c>
      <c r="FS331" s="3">
        <v>0</v>
      </c>
      <c r="FT331" s="3"/>
      <c r="FU331" s="3"/>
      <c r="FV331" s="3"/>
      <c r="FW331" s="3"/>
      <c r="FX331" s="3">
        <v>97</v>
      </c>
      <c r="FY331" s="3">
        <v>51</v>
      </c>
      <c r="FZ331" s="3"/>
      <c r="GA331" s="3" t="s">
        <v>3</v>
      </c>
      <c r="GB331" s="3"/>
      <c r="GC331" s="3"/>
      <c r="GD331" s="3">
        <v>1</v>
      </c>
      <c r="GE331" s="3"/>
      <c r="GF331" s="3">
        <v>764623737</v>
      </c>
      <c r="GG331" s="3">
        <v>2</v>
      </c>
      <c r="GH331" s="3">
        <v>1</v>
      </c>
      <c r="GI331" s="3">
        <v>2</v>
      </c>
      <c r="GJ331" s="3">
        <v>0</v>
      </c>
      <c r="GK331" s="3">
        <v>0</v>
      </c>
      <c r="GL331" s="3">
        <f t="shared" si="320"/>
        <v>0</v>
      </c>
      <c r="GM331" s="3">
        <f t="shared" si="321"/>
        <v>8850.41</v>
      </c>
      <c r="GN331" s="3">
        <f t="shared" si="322"/>
        <v>0</v>
      </c>
      <c r="GO331" s="3">
        <f t="shared" si="323"/>
        <v>8850.41</v>
      </c>
      <c r="GP331" s="3">
        <f t="shared" si="324"/>
        <v>0</v>
      </c>
      <c r="GQ331" s="3"/>
      <c r="GR331" s="3">
        <v>0</v>
      </c>
      <c r="GS331" s="3">
        <v>3</v>
      </c>
      <c r="GT331" s="3">
        <v>0</v>
      </c>
      <c r="GU331" s="3" t="s">
        <v>3</v>
      </c>
      <c r="GV331" s="3">
        <f t="shared" si="325"/>
        <v>0</v>
      </c>
      <c r="GW331" s="3">
        <v>1</v>
      </c>
      <c r="GX331" s="3">
        <f t="shared" si="326"/>
        <v>0</v>
      </c>
      <c r="GY331" s="3"/>
      <c r="GZ331" s="3"/>
      <c r="HA331" s="3">
        <v>0</v>
      </c>
      <c r="HB331" s="3">
        <v>0</v>
      </c>
      <c r="HC331" s="3">
        <f t="shared" si="327"/>
        <v>0</v>
      </c>
      <c r="HD331" s="3"/>
      <c r="HE331" s="3" t="s">
        <v>3</v>
      </c>
      <c r="HF331" s="3" t="s">
        <v>3</v>
      </c>
      <c r="HG331" s="3"/>
      <c r="HH331" s="3"/>
      <c r="HI331" s="3"/>
      <c r="HJ331" s="3"/>
      <c r="HK331" s="3"/>
      <c r="HL331" s="3"/>
      <c r="HM331" s="3" t="s">
        <v>3</v>
      </c>
      <c r="HN331" s="3" t="s">
        <v>3</v>
      </c>
      <c r="HO331" s="3" t="s">
        <v>3</v>
      </c>
      <c r="HP331" s="3" t="s">
        <v>3</v>
      </c>
      <c r="HQ331" s="3" t="s">
        <v>3</v>
      </c>
      <c r="HR331" s="3"/>
      <c r="HS331" s="3">
        <v>0</v>
      </c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>
        <v>0</v>
      </c>
      <c r="IL331" s="3"/>
      <c r="IM331" s="3"/>
      <c r="IN331" s="3"/>
      <c r="IO331" s="3"/>
      <c r="IP331" s="3"/>
      <c r="IQ331" s="3"/>
      <c r="IR331" s="3"/>
      <c r="IS331" s="3"/>
      <c r="IT331" s="3"/>
      <c r="IU331" s="3"/>
    </row>
    <row r="332" spans="1:255" x14ac:dyDescent="0.3">
      <c r="A332" s="2">
        <v>17</v>
      </c>
      <c r="B332" s="2">
        <v>1</v>
      </c>
      <c r="C332" s="2"/>
      <c r="D332" s="2">
        <f>ROW(EtalonRes!A284)</f>
        <v>284</v>
      </c>
      <c r="E332" s="2" t="s">
        <v>361</v>
      </c>
      <c r="F332" s="2" t="s">
        <v>362</v>
      </c>
      <c r="G332" s="2" t="s">
        <v>363</v>
      </c>
      <c r="H332" s="2" t="s">
        <v>281</v>
      </c>
      <c r="I332" s="2">
        <f>ROUND(279/100,9)</f>
        <v>2.79</v>
      </c>
      <c r="J332" s="2">
        <v>0</v>
      </c>
      <c r="K332" s="2">
        <f>ROUND(279/100,9)</f>
        <v>2.79</v>
      </c>
      <c r="L332" s="2"/>
      <c r="M332" s="2"/>
      <c r="N332" s="2"/>
      <c r="O332" s="2">
        <f t="shared" si="289"/>
        <v>3182.48</v>
      </c>
      <c r="P332" s="2">
        <f t="shared" si="290"/>
        <v>1850.63</v>
      </c>
      <c r="Q332" s="2">
        <f>(ROUND((ROUND((((ET332*1.1))*AV332*I332),2)*BB332),2)+ROUND((ROUND(((AE332-((EU332*1.1)))*AV332*I332),2)*BS332),2))</f>
        <v>148.19</v>
      </c>
      <c r="R332" s="2">
        <f t="shared" si="292"/>
        <v>12.18</v>
      </c>
      <c r="S332" s="2">
        <f t="shared" si="293"/>
        <v>1183.6600000000001</v>
      </c>
      <c r="T332" s="2">
        <f t="shared" si="294"/>
        <v>0</v>
      </c>
      <c r="U332" s="2">
        <f t="shared" si="295"/>
        <v>96.075965699999983</v>
      </c>
      <c r="V332" s="2">
        <f t="shared" si="296"/>
        <v>0</v>
      </c>
      <c r="W332" s="2">
        <f t="shared" si="297"/>
        <v>0</v>
      </c>
      <c r="X332" s="2">
        <f t="shared" si="298"/>
        <v>1159.96</v>
      </c>
      <c r="Y332" s="2">
        <f t="shared" si="299"/>
        <v>609.88</v>
      </c>
      <c r="Z332" s="2"/>
      <c r="AA332" s="2">
        <v>56505403</v>
      </c>
      <c r="AB332" s="2">
        <f t="shared" si="300"/>
        <v>1119.249</v>
      </c>
      <c r="AC332" s="2">
        <f t="shared" si="301"/>
        <v>663.31</v>
      </c>
      <c r="AD332" s="2">
        <f>ROUND(((((ET332*1.1))-((EU332*1.1)))+AE332),6)</f>
        <v>50.731999999999999</v>
      </c>
      <c r="AE332" s="2">
        <f>ROUND(((EU332*1.1)),6)</f>
        <v>4.1689999999999996</v>
      </c>
      <c r="AF332" s="2">
        <f>ROUND(((EV332*1.1)),6)</f>
        <v>405.20699999999999</v>
      </c>
      <c r="AG332" s="2">
        <f t="shared" si="305"/>
        <v>0</v>
      </c>
      <c r="AH332" s="2">
        <f>((EW332*1.1))</f>
        <v>32.89</v>
      </c>
      <c r="AI332" s="2">
        <f>((EX332*1.1))</f>
        <v>0</v>
      </c>
      <c r="AJ332" s="2">
        <f t="shared" si="308"/>
        <v>0</v>
      </c>
      <c r="AK332" s="2">
        <v>1077.8</v>
      </c>
      <c r="AL332" s="2">
        <v>663.31</v>
      </c>
      <c r="AM332" s="2">
        <v>46.12</v>
      </c>
      <c r="AN332" s="2">
        <v>3.79</v>
      </c>
      <c r="AO332" s="2">
        <v>368.37</v>
      </c>
      <c r="AP332" s="2">
        <v>0</v>
      </c>
      <c r="AQ332" s="2">
        <v>29.9</v>
      </c>
      <c r="AR332" s="2">
        <v>0</v>
      </c>
      <c r="AS332" s="2">
        <v>0</v>
      </c>
      <c r="AT332" s="2">
        <v>97</v>
      </c>
      <c r="AU332" s="2">
        <v>51</v>
      </c>
      <c r="AV332" s="2">
        <v>1.0469999999999999</v>
      </c>
      <c r="AW332" s="2">
        <v>1</v>
      </c>
      <c r="AX332" s="2"/>
      <c r="AY332" s="2"/>
      <c r="AZ332" s="2">
        <v>1</v>
      </c>
      <c r="BA332" s="2">
        <v>1</v>
      </c>
      <c r="BB332" s="2">
        <v>1</v>
      </c>
      <c r="BC332" s="2">
        <v>1</v>
      </c>
      <c r="BD332" s="2" t="s">
        <v>3</v>
      </c>
      <c r="BE332" s="2" t="s">
        <v>3</v>
      </c>
      <c r="BF332" s="2" t="s">
        <v>3</v>
      </c>
      <c r="BG332" s="2" t="s">
        <v>3</v>
      </c>
      <c r="BH332" s="2">
        <v>0</v>
      </c>
      <c r="BI332" s="2">
        <v>2</v>
      </c>
      <c r="BJ332" s="2" t="s">
        <v>364</v>
      </c>
      <c r="BK332" s="2"/>
      <c r="BL332" s="2"/>
      <c r="BM332" s="2">
        <v>67</v>
      </c>
      <c r="BN332" s="2">
        <v>0</v>
      </c>
      <c r="BO332" s="2" t="s">
        <v>362</v>
      </c>
      <c r="BP332" s="2">
        <v>1</v>
      </c>
      <c r="BQ332" s="2">
        <v>40</v>
      </c>
      <c r="BR332" s="2">
        <v>0</v>
      </c>
      <c r="BS332" s="2">
        <v>1</v>
      </c>
      <c r="BT332" s="2">
        <v>1</v>
      </c>
      <c r="BU332" s="2">
        <v>1</v>
      </c>
      <c r="BV332" s="2">
        <v>1</v>
      </c>
      <c r="BW332" s="2">
        <v>1</v>
      </c>
      <c r="BX332" s="2">
        <v>1</v>
      </c>
      <c r="BY332" s="2" t="s">
        <v>3</v>
      </c>
      <c r="BZ332" s="2">
        <v>97</v>
      </c>
      <c r="CA332" s="2">
        <v>51</v>
      </c>
      <c r="CB332" s="2" t="s">
        <v>3</v>
      </c>
      <c r="CC332" s="2"/>
      <c r="CD332" s="2"/>
      <c r="CE332" s="2">
        <v>30</v>
      </c>
      <c r="CF332" s="2">
        <v>0</v>
      </c>
      <c r="CG332" s="2">
        <v>0</v>
      </c>
      <c r="CH332" s="2"/>
      <c r="CI332" s="2"/>
      <c r="CJ332" s="2"/>
      <c r="CK332" s="2"/>
      <c r="CL332" s="2"/>
      <c r="CM332" s="2">
        <v>0</v>
      </c>
      <c r="CN332" s="2" t="s">
        <v>3</v>
      </c>
      <c r="CO332" s="2">
        <v>0</v>
      </c>
      <c r="CP332" s="2">
        <f t="shared" si="309"/>
        <v>3182.4800000000005</v>
      </c>
      <c r="CQ332" s="2">
        <f t="shared" si="310"/>
        <v>663.31</v>
      </c>
      <c r="CR332" s="2">
        <f>(ROUND((ROUND((((ET332*1.1))*AV332*1),2)*BB332),2)+ROUND((ROUND(((AE332-((EU332*1.1)))*AV332*1),2)*BS332),2))</f>
        <v>53.12</v>
      </c>
      <c r="CS332" s="2">
        <f t="shared" si="312"/>
        <v>4.3600000000000003</v>
      </c>
      <c r="CT332" s="2">
        <f t="shared" si="313"/>
        <v>424.25</v>
      </c>
      <c r="CU332" s="2">
        <f t="shared" si="314"/>
        <v>0</v>
      </c>
      <c r="CV332" s="2">
        <f t="shared" si="315"/>
        <v>34.435829999999996</v>
      </c>
      <c r="CW332" s="2">
        <f t="shared" si="316"/>
        <v>0</v>
      </c>
      <c r="CX332" s="2">
        <f t="shared" si="317"/>
        <v>0</v>
      </c>
      <c r="CY332" s="2">
        <f t="shared" si="318"/>
        <v>1159.9648000000002</v>
      </c>
      <c r="CZ332" s="2">
        <f t="shared" si="319"/>
        <v>609.87840000000006</v>
      </c>
      <c r="DA332" s="2"/>
      <c r="DB332" s="2"/>
      <c r="DC332" s="2" t="s">
        <v>3</v>
      </c>
      <c r="DD332" s="2" t="s">
        <v>3</v>
      </c>
      <c r="DE332" s="2" t="s">
        <v>24</v>
      </c>
      <c r="DF332" s="2" t="s">
        <v>24</v>
      </c>
      <c r="DG332" s="2" t="s">
        <v>24</v>
      </c>
      <c r="DH332" s="2" t="s">
        <v>3</v>
      </c>
      <c r="DI332" s="2" t="s">
        <v>24</v>
      </c>
      <c r="DJ332" s="2" t="s">
        <v>24</v>
      </c>
      <c r="DK332" s="2" t="s">
        <v>3</v>
      </c>
      <c r="DL332" s="2" t="s">
        <v>3</v>
      </c>
      <c r="DM332" s="2" t="s">
        <v>3</v>
      </c>
      <c r="DN332" s="2">
        <v>0</v>
      </c>
      <c r="DO332" s="2">
        <v>0</v>
      </c>
      <c r="DP332" s="2">
        <v>1</v>
      </c>
      <c r="DQ332" s="2">
        <v>1</v>
      </c>
      <c r="DR332" s="2"/>
      <c r="DS332" s="2"/>
      <c r="DT332" s="2"/>
      <c r="DU332" s="2">
        <v>1003</v>
      </c>
      <c r="DV332" s="2" t="s">
        <v>281</v>
      </c>
      <c r="DW332" s="2" t="s">
        <v>281</v>
      </c>
      <c r="DX332" s="2">
        <v>100</v>
      </c>
      <c r="DY332" s="2"/>
      <c r="DZ332" s="2" t="s">
        <v>3</v>
      </c>
      <c r="EA332" s="2" t="s">
        <v>3</v>
      </c>
      <c r="EB332" s="2" t="s">
        <v>3</v>
      </c>
      <c r="EC332" s="2" t="s">
        <v>3</v>
      </c>
      <c r="ED332" s="2"/>
      <c r="EE332" s="2">
        <v>58162629</v>
      </c>
      <c r="EF332" s="2">
        <v>40</v>
      </c>
      <c r="EG332" s="2" t="s">
        <v>25</v>
      </c>
      <c r="EH332" s="2">
        <v>0</v>
      </c>
      <c r="EI332" s="2" t="s">
        <v>3</v>
      </c>
      <c r="EJ332" s="2">
        <v>2</v>
      </c>
      <c r="EK332" s="2">
        <v>67</v>
      </c>
      <c r="EL332" s="2" t="s">
        <v>225</v>
      </c>
      <c r="EM332" s="2" t="s">
        <v>226</v>
      </c>
      <c r="EN332" s="2"/>
      <c r="EO332" s="2" t="s">
        <v>28</v>
      </c>
      <c r="EP332" s="2"/>
      <c r="EQ332" s="2">
        <v>0</v>
      </c>
      <c r="ER332" s="2">
        <v>1077.8</v>
      </c>
      <c r="ES332" s="2">
        <v>663.31</v>
      </c>
      <c r="ET332" s="2">
        <v>46.12</v>
      </c>
      <c r="EU332" s="2">
        <v>3.79</v>
      </c>
      <c r="EV332" s="2">
        <v>368.37</v>
      </c>
      <c r="EW332" s="2">
        <v>29.9</v>
      </c>
      <c r="EX332" s="2">
        <v>0</v>
      </c>
      <c r="EY332" s="2">
        <v>0</v>
      </c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>
        <v>0</v>
      </c>
      <c r="FR332" s="2">
        <v>0</v>
      </c>
      <c r="FS332" s="2">
        <v>0</v>
      </c>
      <c r="FT332" s="2"/>
      <c r="FU332" s="2"/>
      <c r="FV332" s="2"/>
      <c r="FW332" s="2"/>
      <c r="FX332" s="2">
        <v>97</v>
      </c>
      <c r="FY332" s="2">
        <v>51</v>
      </c>
      <c r="FZ332" s="2"/>
      <c r="GA332" s="2" t="s">
        <v>3</v>
      </c>
      <c r="GB332" s="2"/>
      <c r="GC332" s="2"/>
      <c r="GD332" s="2">
        <v>1</v>
      </c>
      <c r="GE332" s="2"/>
      <c r="GF332" s="2">
        <v>-1367691273</v>
      </c>
      <c r="GG332" s="2">
        <v>2</v>
      </c>
      <c r="GH332" s="2">
        <v>1</v>
      </c>
      <c r="GI332" s="2">
        <v>2</v>
      </c>
      <c r="GJ332" s="2">
        <v>0</v>
      </c>
      <c r="GK332" s="2">
        <v>0</v>
      </c>
      <c r="GL332" s="2">
        <f t="shared" si="320"/>
        <v>0</v>
      </c>
      <c r="GM332" s="2">
        <f t="shared" si="321"/>
        <v>4952.32</v>
      </c>
      <c r="GN332" s="2">
        <f t="shared" si="322"/>
        <v>0</v>
      </c>
      <c r="GO332" s="2">
        <f t="shared" si="323"/>
        <v>4952.32</v>
      </c>
      <c r="GP332" s="2">
        <f t="shared" si="324"/>
        <v>0</v>
      </c>
      <c r="GQ332" s="2"/>
      <c r="GR332" s="2">
        <v>0</v>
      </c>
      <c r="GS332" s="2">
        <v>3</v>
      </c>
      <c r="GT332" s="2">
        <v>0</v>
      </c>
      <c r="GU332" s="2" t="s">
        <v>3</v>
      </c>
      <c r="GV332" s="2">
        <f t="shared" si="325"/>
        <v>0</v>
      </c>
      <c r="GW332" s="2">
        <v>1</v>
      </c>
      <c r="GX332" s="2">
        <f t="shared" si="326"/>
        <v>0</v>
      </c>
      <c r="GY332" s="2"/>
      <c r="GZ332" s="2"/>
      <c r="HA332" s="2">
        <v>0</v>
      </c>
      <c r="HB332" s="2">
        <v>0</v>
      </c>
      <c r="HC332" s="2">
        <f t="shared" si="327"/>
        <v>0</v>
      </c>
      <c r="HD332" s="2"/>
      <c r="HE332" s="2" t="s">
        <v>3</v>
      </c>
      <c r="HF332" s="2" t="s">
        <v>3</v>
      </c>
      <c r="HG332" s="2"/>
      <c r="HH332" s="2"/>
      <c r="HI332" s="2"/>
      <c r="HJ332" s="2"/>
      <c r="HK332" s="2"/>
      <c r="HL332" s="2"/>
      <c r="HM332" s="2" t="s">
        <v>3</v>
      </c>
      <c r="HN332" s="2" t="s">
        <v>3</v>
      </c>
      <c r="HO332" s="2" t="s">
        <v>3</v>
      </c>
      <c r="HP332" s="2" t="s">
        <v>3</v>
      </c>
      <c r="HQ332" s="2" t="s">
        <v>3</v>
      </c>
      <c r="HR332" s="2"/>
      <c r="HS332" s="2">
        <v>0</v>
      </c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>
        <v>0</v>
      </c>
      <c r="IL332" s="2"/>
      <c r="IM332" s="2"/>
      <c r="IN332" s="2"/>
      <c r="IO332" s="2"/>
      <c r="IP332" s="2"/>
      <c r="IQ332" s="2"/>
      <c r="IR332" s="2"/>
      <c r="IS332" s="2"/>
      <c r="IT332" s="2"/>
      <c r="IU332" s="2"/>
    </row>
    <row r="333" spans="1:255" x14ac:dyDescent="0.3">
      <c r="A333" s="3">
        <v>17</v>
      </c>
      <c r="B333" s="3">
        <v>1</v>
      </c>
      <c r="C333" s="3"/>
      <c r="D333" s="3">
        <f>ROW(EtalonRes!A298)</f>
        <v>298</v>
      </c>
      <c r="E333" s="3" t="s">
        <v>361</v>
      </c>
      <c r="F333" s="3" t="s">
        <v>362</v>
      </c>
      <c r="G333" s="3" t="s">
        <v>363</v>
      </c>
      <c r="H333" s="3" t="s">
        <v>281</v>
      </c>
      <c r="I333" s="3">
        <f>ROUND(279/100,9)</f>
        <v>2.79</v>
      </c>
      <c r="J333" s="3">
        <v>0</v>
      </c>
      <c r="K333" s="3">
        <f>ROUND(279/100,9)</f>
        <v>2.79</v>
      </c>
      <c r="L333" s="3"/>
      <c r="M333" s="3"/>
      <c r="N333" s="3"/>
      <c r="O333" s="3">
        <f t="shared" si="289"/>
        <v>72892.91</v>
      </c>
      <c r="P333" s="3">
        <f t="shared" si="290"/>
        <v>5755.46</v>
      </c>
      <c r="Q333" s="3">
        <f>(ROUND((ROUND((((ET333*1.1))*AV333*I333),2)*BB333),2)+ROUND((ROUND(((AE333-((EU333*1.1)))*AV333*I333),2)*BS333),2))</f>
        <v>2047.99</v>
      </c>
      <c r="R333" s="3">
        <f t="shared" si="292"/>
        <v>669.78</v>
      </c>
      <c r="S333" s="3">
        <f t="shared" si="293"/>
        <v>65089.46</v>
      </c>
      <c r="T333" s="3">
        <f t="shared" si="294"/>
        <v>0</v>
      </c>
      <c r="U333" s="3">
        <f t="shared" si="295"/>
        <v>96.075965699999983</v>
      </c>
      <c r="V333" s="3">
        <f t="shared" si="296"/>
        <v>0</v>
      </c>
      <c r="W333" s="3">
        <f t="shared" si="297"/>
        <v>0</v>
      </c>
      <c r="X333" s="3">
        <f t="shared" si="298"/>
        <v>63786.46</v>
      </c>
      <c r="Y333" s="3">
        <f t="shared" si="299"/>
        <v>33537.21</v>
      </c>
      <c r="Z333" s="3"/>
      <c r="AA333" s="3">
        <v>56505405</v>
      </c>
      <c r="AB333" s="3">
        <f t="shared" si="300"/>
        <v>1119.249</v>
      </c>
      <c r="AC333" s="3">
        <f t="shared" si="301"/>
        <v>663.31</v>
      </c>
      <c r="AD333" s="3">
        <f>ROUND(((((ET333*1.1))-((EU333*1.1)))+AE333),6)</f>
        <v>50.731999999999999</v>
      </c>
      <c r="AE333" s="3">
        <f>ROUND(((EU333*1.1)),6)</f>
        <v>4.1689999999999996</v>
      </c>
      <c r="AF333" s="3">
        <f>ROUND(((EV333*1.1)),6)</f>
        <v>405.20699999999999</v>
      </c>
      <c r="AG333" s="3">
        <f t="shared" si="305"/>
        <v>0</v>
      </c>
      <c r="AH333" s="3">
        <f>((EW333*1.1))</f>
        <v>32.89</v>
      </c>
      <c r="AI333" s="3">
        <f>((EX333*1.1))</f>
        <v>0</v>
      </c>
      <c r="AJ333" s="3">
        <f t="shared" si="308"/>
        <v>0</v>
      </c>
      <c r="AK333" s="3">
        <v>1077.8</v>
      </c>
      <c r="AL333" s="3">
        <v>663.31</v>
      </c>
      <c r="AM333" s="3">
        <v>46.12</v>
      </c>
      <c r="AN333" s="3">
        <v>3.79</v>
      </c>
      <c r="AO333" s="3">
        <v>368.37</v>
      </c>
      <c r="AP333" s="3">
        <v>0</v>
      </c>
      <c r="AQ333" s="3">
        <v>29.9</v>
      </c>
      <c r="AR333" s="3">
        <v>0</v>
      </c>
      <c r="AS333" s="3">
        <v>0</v>
      </c>
      <c r="AT333" s="3">
        <v>97</v>
      </c>
      <c r="AU333" s="3">
        <v>51</v>
      </c>
      <c r="AV333" s="3">
        <v>1.0469999999999999</v>
      </c>
      <c r="AW333" s="3">
        <v>1</v>
      </c>
      <c r="AX333" s="3"/>
      <c r="AY333" s="3"/>
      <c r="AZ333" s="3">
        <v>1</v>
      </c>
      <c r="BA333" s="3">
        <v>54.99</v>
      </c>
      <c r="BB333" s="3">
        <v>13.82</v>
      </c>
      <c r="BC333" s="3">
        <v>3.11</v>
      </c>
      <c r="BD333" s="3" t="s">
        <v>3</v>
      </c>
      <c r="BE333" s="3" t="s">
        <v>3</v>
      </c>
      <c r="BF333" s="3" t="s">
        <v>3</v>
      </c>
      <c r="BG333" s="3" t="s">
        <v>3</v>
      </c>
      <c r="BH333" s="3">
        <v>0</v>
      </c>
      <c r="BI333" s="3">
        <v>2</v>
      </c>
      <c r="BJ333" s="3" t="s">
        <v>364</v>
      </c>
      <c r="BK333" s="3"/>
      <c r="BL333" s="3"/>
      <c r="BM333" s="3">
        <v>67</v>
      </c>
      <c r="BN333" s="3">
        <v>0</v>
      </c>
      <c r="BO333" s="3" t="s">
        <v>362</v>
      </c>
      <c r="BP333" s="3">
        <v>1</v>
      </c>
      <c r="BQ333" s="3">
        <v>40</v>
      </c>
      <c r="BR333" s="3">
        <v>0</v>
      </c>
      <c r="BS333" s="3">
        <v>54.99</v>
      </c>
      <c r="BT333" s="3">
        <v>1</v>
      </c>
      <c r="BU333" s="3">
        <v>1</v>
      </c>
      <c r="BV333" s="3">
        <v>1</v>
      </c>
      <c r="BW333" s="3">
        <v>1</v>
      </c>
      <c r="BX333" s="3">
        <v>1</v>
      </c>
      <c r="BY333" s="3" t="s">
        <v>3</v>
      </c>
      <c r="BZ333" s="3">
        <v>97</v>
      </c>
      <c r="CA333" s="3">
        <v>51</v>
      </c>
      <c r="CB333" s="3" t="s">
        <v>3</v>
      </c>
      <c r="CC333" s="3"/>
      <c r="CD333" s="3"/>
      <c r="CE333" s="3">
        <v>30</v>
      </c>
      <c r="CF333" s="3">
        <v>0</v>
      </c>
      <c r="CG333" s="3">
        <v>0</v>
      </c>
      <c r="CH333" s="3"/>
      <c r="CI333" s="3"/>
      <c r="CJ333" s="3"/>
      <c r="CK333" s="3"/>
      <c r="CL333" s="3"/>
      <c r="CM333" s="3">
        <v>0</v>
      </c>
      <c r="CN333" s="3" t="s">
        <v>3</v>
      </c>
      <c r="CO333" s="3">
        <v>0</v>
      </c>
      <c r="CP333" s="3">
        <f t="shared" si="309"/>
        <v>72892.91</v>
      </c>
      <c r="CQ333" s="3">
        <f t="shared" si="310"/>
        <v>2062.89</v>
      </c>
      <c r="CR333" s="3">
        <f>(ROUND((ROUND((((ET333*1.1))*AV333*1),2)*BB333),2)+ROUND((ROUND(((AE333-((EU333*1.1)))*AV333*1),2)*BS333),2))</f>
        <v>734.12</v>
      </c>
      <c r="CS333" s="3">
        <f t="shared" si="312"/>
        <v>239.76</v>
      </c>
      <c r="CT333" s="3">
        <f t="shared" si="313"/>
        <v>23329.51</v>
      </c>
      <c r="CU333" s="3">
        <f t="shared" si="314"/>
        <v>0</v>
      </c>
      <c r="CV333" s="3">
        <f t="shared" si="315"/>
        <v>34.435829999999996</v>
      </c>
      <c r="CW333" s="3">
        <f t="shared" si="316"/>
        <v>0</v>
      </c>
      <c r="CX333" s="3">
        <f t="shared" si="317"/>
        <v>0</v>
      </c>
      <c r="CY333" s="3">
        <f t="shared" si="318"/>
        <v>63786.462800000001</v>
      </c>
      <c r="CZ333" s="3">
        <f t="shared" si="319"/>
        <v>33537.212400000004</v>
      </c>
      <c r="DA333" s="3"/>
      <c r="DB333" s="3"/>
      <c r="DC333" s="3" t="s">
        <v>3</v>
      </c>
      <c r="DD333" s="3" t="s">
        <v>3</v>
      </c>
      <c r="DE333" s="3" t="s">
        <v>24</v>
      </c>
      <c r="DF333" s="3" t="s">
        <v>24</v>
      </c>
      <c r="DG333" s="3" t="s">
        <v>24</v>
      </c>
      <c r="DH333" s="3" t="s">
        <v>3</v>
      </c>
      <c r="DI333" s="3" t="s">
        <v>24</v>
      </c>
      <c r="DJ333" s="3" t="s">
        <v>24</v>
      </c>
      <c r="DK333" s="3" t="s">
        <v>3</v>
      </c>
      <c r="DL333" s="3" t="s">
        <v>3</v>
      </c>
      <c r="DM333" s="3" t="s">
        <v>3</v>
      </c>
      <c r="DN333" s="3">
        <v>0</v>
      </c>
      <c r="DO333" s="3">
        <v>0</v>
      </c>
      <c r="DP333" s="3">
        <v>1</v>
      </c>
      <c r="DQ333" s="3">
        <v>1</v>
      </c>
      <c r="DR333" s="3"/>
      <c r="DS333" s="3"/>
      <c r="DT333" s="3"/>
      <c r="DU333" s="3">
        <v>1003</v>
      </c>
      <c r="DV333" s="3" t="s">
        <v>281</v>
      </c>
      <c r="DW333" s="3" t="s">
        <v>281</v>
      </c>
      <c r="DX333" s="3">
        <v>100</v>
      </c>
      <c r="DY333" s="3"/>
      <c r="DZ333" s="3" t="s">
        <v>3</v>
      </c>
      <c r="EA333" s="3" t="s">
        <v>3</v>
      </c>
      <c r="EB333" s="3" t="s">
        <v>3</v>
      </c>
      <c r="EC333" s="3" t="s">
        <v>3</v>
      </c>
      <c r="ED333" s="3"/>
      <c r="EE333" s="3">
        <v>58162629</v>
      </c>
      <c r="EF333" s="3">
        <v>40</v>
      </c>
      <c r="EG333" s="3" t="s">
        <v>25</v>
      </c>
      <c r="EH333" s="3">
        <v>0</v>
      </c>
      <c r="EI333" s="3" t="s">
        <v>3</v>
      </c>
      <c r="EJ333" s="3">
        <v>2</v>
      </c>
      <c r="EK333" s="3">
        <v>67</v>
      </c>
      <c r="EL333" s="3" t="s">
        <v>225</v>
      </c>
      <c r="EM333" s="3" t="s">
        <v>226</v>
      </c>
      <c r="EN333" s="3"/>
      <c r="EO333" s="3" t="s">
        <v>28</v>
      </c>
      <c r="EP333" s="3"/>
      <c r="EQ333" s="3">
        <v>0</v>
      </c>
      <c r="ER333" s="3">
        <v>1077.8</v>
      </c>
      <c r="ES333" s="3">
        <v>663.31</v>
      </c>
      <c r="ET333" s="3">
        <v>46.12</v>
      </c>
      <c r="EU333" s="3">
        <v>3.79</v>
      </c>
      <c r="EV333" s="3">
        <v>368.37</v>
      </c>
      <c r="EW333" s="3">
        <v>29.9</v>
      </c>
      <c r="EX333" s="3">
        <v>0</v>
      </c>
      <c r="EY333" s="3">
        <v>0</v>
      </c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>
        <v>0</v>
      </c>
      <c r="FR333" s="3">
        <v>0</v>
      </c>
      <c r="FS333" s="3">
        <v>0</v>
      </c>
      <c r="FT333" s="3"/>
      <c r="FU333" s="3"/>
      <c r="FV333" s="3"/>
      <c r="FW333" s="3"/>
      <c r="FX333" s="3">
        <v>97</v>
      </c>
      <c r="FY333" s="3">
        <v>51</v>
      </c>
      <c r="FZ333" s="3"/>
      <c r="GA333" s="3" t="s">
        <v>3</v>
      </c>
      <c r="GB333" s="3"/>
      <c r="GC333" s="3"/>
      <c r="GD333" s="3">
        <v>1</v>
      </c>
      <c r="GE333" s="3"/>
      <c r="GF333" s="3">
        <v>-1367691273</v>
      </c>
      <c r="GG333" s="3">
        <v>2</v>
      </c>
      <c r="GH333" s="3">
        <v>1</v>
      </c>
      <c r="GI333" s="3">
        <v>2</v>
      </c>
      <c r="GJ333" s="3">
        <v>0</v>
      </c>
      <c r="GK333" s="3">
        <v>0</v>
      </c>
      <c r="GL333" s="3">
        <f t="shared" si="320"/>
        <v>0</v>
      </c>
      <c r="GM333" s="3">
        <f t="shared" si="321"/>
        <v>170216.58</v>
      </c>
      <c r="GN333" s="3">
        <f t="shared" si="322"/>
        <v>0</v>
      </c>
      <c r="GO333" s="3">
        <f t="shared" si="323"/>
        <v>170216.58</v>
      </c>
      <c r="GP333" s="3">
        <f t="shared" si="324"/>
        <v>0</v>
      </c>
      <c r="GQ333" s="3"/>
      <c r="GR333" s="3">
        <v>0</v>
      </c>
      <c r="GS333" s="3">
        <v>3</v>
      </c>
      <c r="GT333" s="3">
        <v>0</v>
      </c>
      <c r="GU333" s="3" t="s">
        <v>3</v>
      </c>
      <c r="GV333" s="3">
        <f t="shared" si="325"/>
        <v>0</v>
      </c>
      <c r="GW333" s="3">
        <v>1</v>
      </c>
      <c r="GX333" s="3">
        <f t="shared" si="326"/>
        <v>0</v>
      </c>
      <c r="GY333" s="3"/>
      <c r="GZ333" s="3"/>
      <c r="HA333" s="3">
        <v>0</v>
      </c>
      <c r="HB333" s="3">
        <v>0</v>
      </c>
      <c r="HC333" s="3">
        <f t="shared" si="327"/>
        <v>0</v>
      </c>
      <c r="HD333" s="3"/>
      <c r="HE333" s="3" t="s">
        <v>3</v>
      </c>
      <c r="HF333" s="3" t="s">
        <v>3</v>
      </c>
      <c r="HG333" s="3"/>
      <c r="HH333" s="3"/>
      <c r="HI333" s="3"/>
      <c r="HJ333" s="3"/>
      <c r="HK333" s="3"/>
      <c r="HL333" s="3"/>
      <c r="HM333" s="3" t="s">
        <v>3</v>
      </c>
      <c r="HN333" s="3" t="s">
        <v>3</v>
      </c>
      <c r="HO333" s="3" t="s">
        <v>3</v>
      </c>
      <c r="HP333" s="3" t="s">
        <v>3</v>
      </c>
      <c r="HQ333" s="3" t="s">
        <v>3</v>
      </c>
      <c r="HR333" s="3"/>
      <c r="HS333" s="3">
        <v>0</v>
      </c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>
        <v>0</v>
      </c>
      <c r="IL333" s="3"/>
      <c r="IM333" s="3"/>
      <c r="IN333" s="3"/>
      <c r="IO333" s="3"/>
      <c r="IP333" s="3"/>
      <c r="IQ333" s="3"/>
      <c r="IR333" s="3"/>
      <c r="IS333" s="3"/>
      <c r="IT333" s="3"/>
      <c r="IU333" s="3"/>
    </row>
    <row r="334" spans="1:255" x14ac:dyDescent="0.3">
      <c r="A334" s="2">
        <v>18</v>
      </c>
      <c r="B334" s="2">
        <v>1</v>
      </c>
      <c r="C334" s="2"/>
      <c r="D334" s="2"/>
      <c r="E334" s="2" t="s">
        <v>365</v>
      </c>
      <c r="F334" s="2" t="s">
        <v>366</v>
      </c>
      <c r="G334" s="2" t="s">
        <v>367</v>
      </c>
      <c r="H334" s="2" t="s">
        <v>286</v>
      </c>
      <c r="I334" s="2">
        <f>I332*J334</f>
        <v>284.58</v>
      </c>
      <c r="J334" s="2">
        <v>102</v>
      </c>
      <c r="K334" s="2">
        <v>102</v>
      </c>
      <c r="L334" s="2"/>
      <c r="M334" s="2"/>
      <c r="N334" s="2"/>
      <c r="O334" s="2">
        <f t="shared" si="289"/>
        <v>2606.75</v>
      </c>
      <c r="P334" s="2">
        <f t="shared" si="290"/>
        <v>2606.75</v>
      </c>
      <c r="Q334" s="2">
        <f>(ROUND((ROUND(((ET334)*AV334*I334),2)*BB334),2)+ROUND((ROUND(((AE334-(EU334))*AV334*I334),2)*BS334),2))</f>
        <v>0</v>
      </c>
      <c r="R334" s="2">
        <f t="shared" si="292"/>
        <v>0</v>
      </c>
      <c r="S334" s="2">
        <f t="shared" si="293"/>
        <v>0</v>
      </c>
      <c r="T334" s="2">
        <f t="shared" si="294"/>
        <v>0</v>
      </c>
      <c r="U334" s="2">
        <f t="shared" si="295"/>
        <v>0</v>
      </c>
      <c r="V334" s="2">
        <f t="shared" si="296"/>
        <v>0</v>
      </c>
      <c r="W334" s="2">
        <f t="shared" si="297"/>
        <v>0</v>
      </c>
      <c r="X334" s="2">
        <f t="shared" si="298"/>
        <v>0</v>
      </c>
      <c r="Y334" s="2">
        <f t="shared" si="299"/>
        <v>0</v>
      </c>
      <c r="Z334" s="2"/>
      <c r="AA334" s="2">
        <v>56505403</v>
      </c>
      <c r="AB334" s="2">
        <f t="shared" si="300"/>
        <v>9.16</v>
      </c>
      <c r="AC334" s="2">
        <f t="shared" si="301"/>
        <v>9.16</v>
      </c>
      <c r="AD334" s="2">
        <f>ROUND((((ET334)-(EU334))+AE334),6)</f>
        <v>0</v>
      </c>
      <c r="AE334" s="2">
        <f t="shared" ref="AE334:AF337" si="335">ROUND((EU334),6)</f>
        <v>0</v>
      </c>
      <c r="AF334" s="2">
        <f t="shared" si="335"/>
        <v>0</v>
      </c>
      <c r="AG334" s="2">
        <f t="shared" si="305"/>
        <v>0</v>
      </c>
      <c r="AH334" s="2">
        <f t="shared" ref="AH334:AI337" si="336">(EW334)</f>
        <v>0</v>
      </c>
      <c r="AI334" s="2">
        <f t="shared" si="336"/>
        <v>0</v>
      </c>
      <c r="AJ334" s="2">
        <f t="shared" si="308"/>
        <v>0</v>
      </c>
      <c r="AK334" s="2">
        <v>9.16</v>
      </c>
      <c r="AL334" s="2">
        <v>9.16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97</v>
      </c>
      <c r="AU334" s="2">
        <v>51</v>
      </c>
      <c r="AV334" s="2">
        <v>1</v>
      </c>
      <c r="AW334" s="2">
        <v>1</v>
      </c>
      <c r="AX334" s="2"/>
      <c r="AY334" s="2"/>
      <c r="AZ334" s="2">
        <v>1</v>
      </c>
      <c r="BA334" s="2">
        <v>1</v>
      </c>
      <c r="BB334" s="2">
        <v>1</v>
      </c>
      <c r="BC334" s="2">
        <v>1</v>
      </c>
      <c r="BD334" s="2" t="s">
        <v>3</v>
      </c>
      <c r="BE334" s="2" t="s">
        <v>3</v>
      </c>
      <c r="BF334" s="2" t="s">
        <v>3</v>
      </c>
      <c r="BG334" s="2" t="s">
        <v>3</v>
      </c>
      <c r="BH334" s="2">
        <v>3</v>
      </c>
      <c r="BI334" s="2">
        <v>2</v>
      </c>
      <c r="BJ334" s="2" t="s">
        <v>368</v>
      </c>
      <c r="BK334" s="2"/>
      <c r="BL334" s="2"/>
      <c r="BM334" s="2">
        <v>67</v>
      </c>
      <c r="BN334" s="2">
        <v>0</v>
      </c>
      <c r="BO334" s="2" t="s">
        <v>3</v>
      </c>
      <c r="BP334" s="2">
        <v>0</v>
      </c>
      <c r="BQ334" s="2">
        <v>40</v>
      </c>
      <c r="BR334" s="2">
        <v>0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 t="s">
        <v>3</v>
      </c>
      <c r="BZ334" s="2">
        <v>97</v>
      </c>
      <c r="CA334" s="2">
        <v>51</v>
      </c>
      <c r="CB334" s="2" t="s">
        <v>3</v>
      </c>
      <c r="CC334" s="2"/>
      <c r="CD334" s="2"/>
      <c r="CE334" s="2">
        <v>30</v>
      </c>
      <c r="CF334" s="2">
        <v>0</v>
      </c>
      <c r="CG334" s="2">
        <v>0</v>
      </c>
      <c r="CH334" s="2"/>
      <c r="CI334" s="2"/>
      <c r="CJ334" s="2"/>
      <c r="CK334" s="2"/>
      <c r="CL334" s="2"/>
      <c r="CM334" s="2">
        <v>0</v>
      </c>
      <c r="CN334" s="2" t="s">
        <v>3</v>
      </c>
      <c r="CO334" s="2">
        <v>0</v>
      </c>
      <c r="CP334" s="2">
        <f t="shared" si="309"/>
        <v>2606.75</v>
      </c>
      <c r="CQ334" s="2">
        <f t="shared" si="310"/>
        <v>9.16</v>
      </c>
      <c r="CR334" s="2">
        <f>(ROUND((ROUND(((ET334)*AV334*1),2)*BB334),2)+ROUND((ROUND(((AE334-(EU334))*AV334*1),2)*BS334),2))</f>
        <v>0</v>
      </c>
      <c r="CS334" s="2">
        <f t="shared" si="312"/>
        <v>0</v>
      </c>
      <c r="CT334" s="2">
        <f t="shared" si="313"/>
        <v>0</v>
      </c>
      <c r="CU334" s="2">
        <f t="shared" si="314"/>
        <v>0</v>
      </c>
      <c r="CV334" s="2">
        <f t="shared" si="315"/>
        <v>0</v>
      </c>
      <c r="CW334" s="2">
        <f t="shared" si="316"/>
        <v>0</v>
      </c>
      <c r="CX334" s="2">
        <f t="shared" si="317"/>
        <v>0</v>
      </c>
      <c r="CY334" s="2">
        <f t="shared" si="318"/>
        <v>0</v>
      </c>
      <c r="CZ334" s="2">
        <f t="shared" si="319"/>
        <v>0</v>
      </c>
      <c r="DA334" s="2"/>
      <c r="DB334" s="2"/>
      <c r="DC334" s="2" t="s">
        <v>3</v>
      </c>
      <c r="DD334" s="2" t="s">
        <v>3</v>
      </c>
      <c r="DE334" s="2" t="s">
        <v>3</v>
      </c>
      <c r="DF334" s="2" t="s">
        <v>3</v>
      </c>
      <c r="DG334" s="2" t="s">
        <v>3</v>
      </c>
      <c r="DH334" s="2" t="s">
        <v>3</v>
      </c>
      <c r="DI334" s="2" t="s">
        <v>3</v>
      </c>
      <c r="DJ334" s="2" t="s">
        <v>3</v>
      </c>
      <c r="DK334" s="2" t="s">
        <v>3</v>
      </c>
      <c r="DL334" s="2" t="s">
        <v>3</v>
      </c>
      <c r="DM334" s="2" t="s">
        <v>3</v>
      </c>
      <c r="DN334" s="2">
        <v>0</v>
      </c>
      <c r="DO334" s="2">
        <v>0</v>
      </c>
      <c r="DP334" s="2">
        <v>1</v>
      </c>
      <c r="DQ334" s="2">
        <v>1</v>
      </c>
      <c r="DR334" s="2"/>
      <c r="DS334" s="2"/>
      <c r="DT334" s="2"/>
      <c r="DU334" s="2">
        <v>1003</v>
      </c>
      <c r="DV334" s="2" t="s">
        <v>286</v>
      </c>
      <c r="DW334" s="2" t="s">
        <v>286</v>
      </c>
      <c r="DX334" s="2">
        <v>1</v>
      </c>
      <c r="DY334" s="2"/>
      <c r="DZ334" s="2" t="s">
        <v>3</v>
      </c>
      <c r="EA334" s="2" t="s">
        <v>3</v>
      </c>
      <c r="EB334" s="2" t="s">
        <v>3</v>
      </c>
      <c r="EC334" s="2" t="s">
        <v>3</v>
      </c>
      <c r="ED334" s="2"/>
      <c r="EE334" s="2">
        <v>58162629</v>
      </c>
      <c r="EF334" s="2">
        <v>40</v>
      </c>
      <c r="EG334" s="2" t="s">
        <v>25</v>
      </c>
      <c r="EH334" s="2">
        <v>0</v>
      </c>
      <c r="EI334" s="2" t="s">
        <v>3</v>
      </c>
      <c r="EJ334" s="2">
        <v>2</v>
      </c>
      <c r="EK334" s="2">
        <v>67</v>
      </c>
      <c r="EL334" s="2" t="s">
        <v>225</v>
      </c>
      <c r="EM334" s="2" t="s">
        <v>226</v>
      </c>
      <c r="EN334" s="2"/>
      <c r="EO334" s="2" t="s">
        <v>3</v>
      </c>
      <c r="EP334" s="2"/>
      <c r="EQ334" s="2">
        <v>0</v>
      </c>
      <c r="ER334" s="2">
        <v>9.16</v>
      </c>
      <c r="ES334" s="2">
        <v>9.16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>
        <v>0</v>
      </c>
      <c r="FR334" s="2">
        <v>0</v>
      </c>
      <c r="FS334" s="2">
        <v>0</v>
      </c>
      <c r="FT334" s="2"/>
      <c r="FU334" s="2"/>
      <c r="FV334" s="2"/>
      <c r="FW334" s="2"/>
      <c r="FX334" s="2">
        <v>97</v>
      </c>
      <c r="FY334" s="2">
        <v>51</v>
      </c>
      <c r="FZ334" s="2"/>
      <c r="GA334" s="2" t="s">
        <v>3</v>
      </c>
      <c r="GB334" s="2"/>
      <c r="GC334" s="2"/>
      <c r="GD334" s="2">
        <v>1</v>
      </c>
      <c r="GE334" s="2"/>
      <c r="GF334" s="2">
        <v>2100521464</v>
      </c>
      <c r="GG334" s="2">
        <v>2</v>
      </c>
      <c r="GH334" s="2">
        <v>1</v>
      </c>
      <c r="GI334" s="2">
        <v>-2</v>
      </c>
      <c r="GJ334" s="2">
        <v>0</v>
      </c>
      <c r="GK334" s="2">
        <v>0</v>
      </c>
      <c r="GL334" s="2">
        <f t="shared" si="320"/>
        <v>0</v>
      </c>
      <c r="GM334" s="2">
        <f t="shared" si="321"/>
        <v>2606.75</v>
      </c>
      <c r="GN334" s="2">
        <f t="shared" si="322"/>
        <v>0</v>
      </c>
      <c r="GO334" s="2">
        <f t="shared" si="323"/>
        <v>2606.75</v>
      </c>
      <c r="GP334" s="2">
        <f t="shared" si="324"/>
        <v>0</v>
      </c>
      <c r="GQ334" s="2"/>
      <c r="GR334" s="2">
        <v>0</v>
      </c>
      <c r="GS334" s="2">
        <v>3</v>
      </c>
      <c r="GT334" s="2">
        <v>0</v>
      </c>
      <c r="GU334" s="2" t="s">
        <v>3</v>
      </c>
      <c r="GV334" s="2">
        <f t="shared" si="325"/>
        <v>0</v>
      </c>
      <c r="GW334" s="2">
        <v>1</v>
      </c>
      <c r="GX334" s="2">
        <f t="shared" si="326"/>
        <v>0</v>
      </c>
      <c r="GY334" s="2"/>
      <c r="GZ334" s="2"/>
      <c r="HA334" s="2">
        <v>0</v>
      </c>
      <c r="HB334" s="2">
        <v>0</v>
      </c>
      <c r="HC334" s="2">
        <f t="shared" si="327"/>
        <v>0</v>
      </c>
      <c r="HD334" s="2"/>
      <c r="HE334" s="2" t="s">
        <v>3</v>
      </c>
      <c r="HF334" s="2" t="s">
        <v>3</v>
      </c>
      <c r="HG334" s="2"/>
      <c r="HH334" s="2"/>
      <c r="HI334" s="2"/>
      <c r="HJ334" s="2"/>
      <c r="HK334" s="2"/>
      <c r="HL334" s="2"/>
      <c r="HM334" s="2" t="s">
        <v>3</v>
      </c>
      <c r="HN334" s="2" t="s">
        <v>3</v>
      </c>
      <c r="HO334" s="2" t="s">
        <v>3</v>
      </c>
      <c r="HP334" s="2" t="s">
        <v>3</v>
      </c>
      <c r="HQ334" s="2" t="s">
        <v>3</v>
      </c>
      <c r="HR334" s="2"/>
      <c r="HS334" s="2">
        <v>0</v>
      </c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>
        <v>0</v>
      </c>
      <c r="IL334" s="2"/>
      <c r="IM334" s="2"/>
      <c r="IN334" s="2"/>
      <c r="IO334" s="2"/>
      <c r="IP334" s="2"/>
      <c r="IQ334" s="2"/>
      <c r="IR334" s="2"/>
      <c r="IS334" s="2"/>
      <c r="IT334" s="2"/>
      <c r="IU334" s="2"/>
    </row>
    <row r="335" spans="1:255" x14ac:dyDescent="0.3">
      <c r="A335" s="3">
        <v>18</v>
      </c>
      <c r="B335" s="3">
        <v>1</v>
      </c>
      <c r="C335" s="3"/>
      <c r="D335" s="3"/>
      <c r="E335" s="3" t="s">
        <v>365</v>
      </c>
      <c r="F335" s="3" t="s">
        <v>366</v>
      </c>
      <c r="G335" s="3" t="s">
        <v>367</v>
      </c>
      <c r="H335" s="3" t="s">
        <v>286</v>
      </c>
      <c r="I335" s="3">
        <f>I333*J335</f>
        <v>284.58</v>
      </c>
      <c r="J335" s="3">
        <v>102</v>
      </c>
      <c r="K335" s="3">
        <v>102</v>
      </c>
      <c r="L335" s="3"/>
      <c r="M335" s="3"/>
      <c r="N335" s="3"/>
      <c r="O335" s="3">
        <f t="shared" si="289"/>
        <v>14649.94</v>
      </c>
      <c r="P335" s="3">
        <f t="shared" si="290"/>
        <v>14649.94</v>
      </c>
      <c r="Q335" s="3">
        <f>(ROUND((ROUND(((ET335)*AV335*I335),2)*BB335),2)+ROUND((ROUND(((AE335-(EU335))*AV335*I335),2)*BS335),2))</f>
        <v>0</v>
      </c>
      <c r="R335" s="3">
        <f t="shared" si="292"/>
        <v>0</v>
      </c>
      <c r="S335" s="3">
        <f t="shared" si="293"/>
        <v>0</v>
      </c>
      <c r="T335" s="3">
        <f t="shared" si="294"/>
        <v>0</v>
      </c>
      <c r="U335" s="3">
        <f t="shared" si="295"/>
        <v>0</v>
      </c>
      <c r="V335" s="3">
        <f t="shared" si="296"/>
        <v>0</v>
      </c>
      <c r="W335" s="3">
        <f t="shared" si="297"/>
        <v>0</v>
      </c>
      <c r="X335" s="3">
        <f t="shared" si="298"/>
        <v>0</v>
      </c>
      <c r="Y335" s="3">
        <f t="shared" si="299"/>
        <v>0</v>
      </c>
      <c r="Z335" s="3"/>
      <c r="AA335" s="3">
        <v>56505405</v>
      </c>
      <c r="AB335" s="3">
        <f t="shared" si="300"/>
        <v>9.16</v>
      </c>
      <c r="AC335" s="3">
        <f t="shared" si="301"/>
        <v>9.16</v>
      </c>
      <c r="AD335" s="3">
        <f>ROUND((((ET335)-(EU335))+AE335),6)</f>
        <v>0</v>
      </c>
      <c r="AE335" s="3">
        <f t="shared" si="335"/>
        <v>0</v>
      </c>
      <c r="AF335" s="3">
        <f t="shared" si="335"/>
        <v>0</v>
      </c>
      <c r="AG335" s="3">
        <f t="shared" si="305"/>
        <v>0</v>
      </c>
      <c r="AH335" s="3">
        <f t="shared" si="336"/>
        <v>0</v>
      </c>
      <c r="AI335" s="3">
        <f t="shared" si="336"/>
        <v>0</v>
      </c>
      <c r="AJ335" s="3">
        <f t="shared" si="308"/>
        <v>0</v>
      </c>
      <c r="AK335" s="3">
        <v>9.16</v>
      </c>
      <c r="AL335" s="3">
        <v>9.16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97</v>
      </c>
      <c r="AU335" s="3">
        <v>51</v>
      </c>
      <c r="AV335" s="3">
        <v>1</v>
      </c>
      <c r="AW335" s="3">
        <v>1</v>
      </c>
      <c r="AX335" s="3"/>
      <c r="AY335" s="3"/>
      <c r="AZ335" s="3">
        <v>1</v>
      </c>
      <c r="BA335" s="3">
        <v>1</v>
      </c>
      <c r="BB335" s="3">
        <v>1</v>
      </c>
      <c r="BC335" s="3">
        <v>5.62</v>
      </c>
      <c r="BD335" s="3" t="s">
        <v>3</v>
      </c>
      <c r="BE335" s="3" t="s">
        <v>3</v>
      </c>
      <c r="BF335" s="3" t="s">
        <v>3</v>
      </c>
      <c r="BG335" s="3" t="s">
        <v>3</v>
      </c>
      <c r="BH335" s="3">
        <v>3</v>
      </c>
      <c r="BI335" s="3">
        <v>2</v>
      </c>
      <c r="BJ335" s="3" t="s">
        <v>368</v>
      </c>
      <c r="BK335" s="3"/>
      <c r="BL335" s="3"/>
      <c r="BM335" s="3">
        <v>67</v>
      </c>
      <c r="BN335" s="3">
        <v>0</v>
      </c>
      <c r="BO335" s="3" t="s">
        <v>366</v>
      </c>
      <c r="BP335" s="3">
        <v>1</v>
      </c>
      <c r="BQ335" s="3">
        <v>40</v>
      </c>
      <c r="BR335" s="3">
        <v>0</v>
      </c>
      <c r="BS335" s="3">
        <v>1</v>
      </c>
      <c r="BT335" s="3">
        <v>1</v>
      </c>
      <c r="BU335" s="3">
        <v>1</v>
      </c>
      <c r="BV335" s="3">
        <v>1</v>
      </c>
      <c r="BW335" s="3">
        <v>1</v>
      </c>
      <c r="BX335" s="3">
        <v>1</v>
      </c>
      <c r="BY335" s="3" t="s">
        <v>3</v>
      </c>
      <c r="BZ335" s="3">
        <v>97</v>
      </c>
      <c r="CA335" s="3">
        <v>51</v>
      </c>
      <c r="CB335" s="3" t="s">
        <v>3</v>
      </c>
      <c r="CC335" s="3"/>
      <c r="CD335" s="3"/>
      <c r="CE335" s="3">
        <v>30</v>
      </c>
      <c r="CF335" s="3">
        <v>0</v>
      </c>
      <c r="CG335" s="3">
        <v>0</v>
      </c>
      <c r="CH335" s="3"/>
      <c r="CI335" s="3"/>
      <c r="CJ335" s="3"/>
      <c r="CK335" s="3"/>
      <c r="CL335" s="3"/>
      <c r="CM335" s="3">
        <v>0</v>
      </c>
      <c r="CN335" s="3" t="s">
        <v>3</v>
      </c>
      <c r="CO335" s="3">
        <v>0</v>
      </c>
      <c r="CP335" s="3">
        <f t="shared" si="309"/>
        <v>14649.94</v>
      </c>
      <c r="CQ335" s="3">
        <f t="shared" si="310"/>
        <v>51.48</v>
      </c>
      <c r="CR335" s="3">
        <f>(ROUND((ROUND(((ET335)*AV335*1),2)*BB335),2)+ROUND((ROUND(((AE335-(EU335))*AV335*1),2)*BS335),2))</f>
        <v>0</v>
      </c>
      <c r="CS335" s="3">
        <f t="shared" si="312"/>
        <v>0</v>
      </c>
      <c r="CT335" s="3">
        <f t="shared" si="313"/>
        <v>0</v>
      </c>
      <c r="CU335" s="3">
        <f t="shared" si="314"/>
        <v>0</v>
      </c>
      <c r="CV335" s="3">
        <f t="shared" si="315"/>
        <v>0</v>
      </c>
      <c r="CW335" s="3">
        <f t="shared" si="316"/>
        <v>0</v>
      </c>
      <c r="CX335" s="3">
        <f t="shared" si="317"/>
        <v>0</v>
      </c>
      <c r="CY335" s="3">
        <f t="shared" si="318"/>
        <v>0</v>
      </c>
      <c r="CZ335" s="3">
        <f t="shared" si="319"/>
        <v>0</v>
      </c>
      <c r="DA335" s="3"/>
      <c r="DB335" s="3"/>
      <c r="DC335" s="3" t="s">
        <v>3</v>
      </c>
      <c r="DD335" s="3" t="s">
        <v>3</v>
      </c>
      <c r="DE335" s="3" t="s">
        <v>3</v>
      </c>
      <c r="DF335" s="3" t="s">
        <v>3</v>
      </c>
      <c r="DG335" s="3" t="s">
        <v>3</v>
      </c>
      <c r="DH335" s="3" t="s">
        <v>3</v>
      </c>
      <c r="DI335" s="3" t="s">
        <v>3</v>
      </c>
      <c r="DJ335" s="3" t="s">
        <v>3</v>
      </c>
      <c r="DK335" s="3" t="s">
        <v>3</v>
      </c>
      <c r="DL335" s="3" t="s">
        <v>3</v>
      </c>
      <c r="DM335" s="3" t="s">
        <v>3</v>
      </c>
      <c r="DN335" s="3">
        <v>0</v>
      </c>
      <c r="DO335" s="3">
        <v>0</v>
      </c>
      <c r="DP335" s="3">
        <v>1</v>
      </c>
      <c r="DQ335" s="3">
        <v>1</v>
      </c>
      <c r="DR335" s="3"/>
      <c r="DS335" s="3"/>
      <c r="DT335" s="3"/>
      <c r="DU335" s="3">
        <v>1003</v>
      </c>
      <c r="DV335" s="3" t="s">
        <v>286</v>
      </c>
      <c r="DW335" s="3" t="s">
        <v>286</v>
      </c>
      <c r="DX335" s="3">
        <v>1</v>
      </c>
      <c r="DY335" s="3"/>
      <c r="DZ335" s="3" t="s">
        <v>3</v>
      </c>
      <c r="EA335" s="3" t="s">
        <v>3</v>
      </c>
      <c r="EB335" s="3" t="s">
        <v>3</v>
      </c>
      <c r="EC335" s="3" t="s">
        <v>3</v>
      </c>
      <c r="ED335" s="3"/>
      <c r="EE335" s="3">
        <v>58162629</v>
      </c>
      <c r="EF335" s="3">
        <v>40</v>
      </c>
      <c r="EG335" s="3" t="s">
        <v>25</v>
      </c>
      <c r="EH335" s="3">
        <v>0</v>
      </c>
      <c r="EI335" s="3" t="s">
        <v>3</v>
      </c>
      <c r="EJ335" s="3">
        <v>2</v>
      </c>
      <c r="EK335" s="3">
        <v>67</v>
      </c>
      <c r="EL335" s="3" t="s">
        <v>225</v>
      </c>
      <c r="EM335" s="3" t="s">
        <v>226</v>
      </c>
      <c r="EN335" s="3"/>
      <c r="EO335" s="3" t="s">
        <v>3</v>
      </c>
      <c r="EP335" s="3"/>
      <c r="EQ335" s="3">
        <v>0</v>
      </c>
      <c r="ER335" s="3">
        <v>9.16</v>
      </c>
      <c r="ES335" s="3">
        <v>9.16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>
        <v>0</v>
      </c>
      <c r="FR335" s="3">
        <v>0</v>
      </c>
      <c r="FS335" s="3">
        <v>0</v>
      </c>
      <c r="FT335" s="3"/>
      <c r="FU335" s="3"/>
      <c r="FV335" s="3"/>
      <c r="FW335" s="3"/>
      <c r="FX335" s="3">
        <v>97</v>
      </c>
      <c r="FY335" s="3">
        <v>51</v>
      </c>
      <c r="FZ335" s="3"/>
      <c r="GA335" s="3" t="s">
        <v>3</v>
      </c>
      <c r="GB335" s="3"/>
      <c r="GC335" s="3"/>
      <c r="GD335" s="3">
        <v>1</v>
      </c>
      <c r="GE335" s="3"/>
      <c r="GF335" s="3">
        <v>2100521464</v>
      </c>
      <c r="GG335" s="3">
        <v>2</v>
      </c>
      <c r="GH335" s="3">
        <v>1</v>
      </c>
      <c r="GI335" s="3">
        <v>2</v>
      </c>
      <c r="GJ335" s="3">
        <v>0</v>
      </c>
      <c r="GK335" s="3">
        <v>0</v>
      </c>
      <c r="GL335" s="3">
        <f t="shared" si="320"/>
        <v>0</v>
      </c>
      <c r="GM335" s="3">
        <f t="shared" si="321"/>
        <v>14649.94</v>
      </c>
      <c r="GN335" s="3">
        <f t="shared" si="322"/>
        <v>0</v>
      </c>
      <c r="GO335" s="3">
        <f t="shared" si="323"/>
        <v>14649.94</v>
      </c>
      <c r="GP335" s="3">
        <f t="shared" si="324"/>
        <v>0</v>
      </c>
      <c r="GQ335" s="3"/>
      <c r="GR335" s="3">
        <v>0</v>
      </c>
      <c r="GS335" s="3">
        <v>3</v>
      </c>
      <c r="GT335" s="3">
        <v>0</v>
      </c>
      <c r="GU335" s="3" t="s">
        <v>3</v>
      </c>
      <c r="GV335" s="3">
        <f t="shared" si="325"/>
        <v>0</v>
      </c>
      <c r="GW335" s="3">
        <v>1</v>
      </c>
      <c r="GX335" s="3">
        <f t="shared" si="326"/>
        <v>0</v>
      </c>
      <c r="GY335" s="3"/>
      <c r="GZ335" s="3"/>
      <c r="HA335" s="3">
        <v>0</v>
      </c>
      <c r="HB335" s="3">
        <v>0</v>
      </c>
      <c r="HC335" s="3">
        <f t="shared" si="327"/>
        <v>0</v>
      </c>
      <c r="HD335" s="3"/>
      <c r="HE335" s="3" t="s">
        <v>3</v>
      </c>
      <c r="HF335" s="3" t="s">
        <v>3</v>
      </c>
      <c r="HG335" s="3"/>
      <c r="HH335" s="3"/>
      <c r="HI335" s="3"/>
      <c r="HJ335" s="3"/>
      <c r="HK335" s="3"/>
      <c r="HL335" s="3"/>
      <c r="HM335" s="3" t="s">
        <v>3</v>
      </c>
      <c r="HN335" s="3" t="s">
        <v>3</v>
      </c>
      <c r="HO335" s="3" t="s">
        <v>3</v>
      </c>
      <c r="HP335" s="3" t="s">
        <v>3</v>
      </c>
      <c r="HQ335" s="3" t="s">
        <v>3</v>
      </c>
      <c r="HR335" s="3"/>
      <c r="HS335" s="3">
        <v>0</v>
      </c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>
        <v>0</v>
      </c>
      <c r="IL335" s="3"/>
      <c r="IM335" s="3"/>
      <c r="IN335" s="3"/>
      <c r="IO335" s="3"/>
      <c r="IP335" s="3"/>
      <c r="IQ335" s="3"/>
      <c r="IR335" s="3"/>
      <c r="IS335" s="3"/>
      <c r="IT335" s="3"/>
      <c r="IU335" s="3"/>
    </row>
    <row r="336" spans="1:255" x14ac:dyDescent="0.3">
      <c r="A336" s="2">
        <v>18</v>
      </c>
      <c r="B336" s="2">
        <v>1</v>
      </c>
      <c r="C336" s="2"/>
      <c r="D336" s="2"/>
      <c r="E336" s="2" t="s">
        <v>369</v>
      </c>
      <c r="F336" s="2" t="s">
        <v>370</v>
      </c>
      <c r="G336" s="2" t="s">
        <v>371</v>
      </c>
      <c r="H336" s="2" t="s">
        <v>372</v>
      </c>
      <c r="I336" s="2">
        <f>I332*J336</f>
        <v>5</v>
      </c>
      <c r="J336" s="2">
        <v>1.7921146953405018</v>
      </c>
      <c r="K336" s="2">
        <v>1.7921146999999999</v>
      </c>
      <c r="L336" s="2"/>
      <c r="M336" s="2"/>
      <c r="N336" s="2"/>
      <c r="O336" s="2">
        <f t="shared" si="289"/>
        <v>212.65</v>
      </c>
      <c r="P336" s="2">
        <f t="shared" si="290"/>
        <v>212.65</v>
      </c>
      <c r="Q336" s="2">
        <f>(ROUND((ROUND(((ET336)*AV336*I336),2)*BB336),2)+ROUND((ROUND(((AE336-(EU336))*AV336*I336),2)*BS336),2))</f>
        <v>0</v>
      </c>
      <c r="R336" s="2">
        <f t="shared" si="292"/>
        <v>0</v>
      </c>
      <c r="S336" s="2">
        <f t="shared" si="293"/>
        <v>0</v>
      </c>
      <c r="T336" s="2">
        <f t="shared" si="294"/>
        <v>0</v>
      </c>
      <c r="U336" s="2">
        <f t="shared" si="295"/>
        <v>0</v>
      </c>
      <c r="V336" s="2">
        <f t="shared" si="296"/>
        <v>0</v>
      </c>
      <c r="W336" s="2">
        <f t="shared" si="297"/>
        <v>0</v>
      </c>
      <c r="X336" s="2">
        <f t="shared" si="298"/>
        <v>0</v>
      </c>
      <c r="Y336" s="2">
        <f t="shared" si="299"/>
        <v>0</v>
      </c>
      <c r="Z336" s="2"/>
      <c r="AA336" s="2">
        <v>56505403</v>
      </c>
      <c r="AB336" s="2">
        <f t="shared" si="300"/>
        <v>42.53</v>
      </c>
      <c r="AC336" s="2">
        <f t="shared" si="301"/>
        <v>42.53</v>
      </c>
      <c r="AD336" s="2">
        <f>ROUND((((ET336)-(EU336))+AE336),6)</f>
        <v>0</v>
      </c>
      <c r="AE336" s="2">
        <f t="shared" si="335"/>
        <v>0</v>
      </c>
      <c r="AF336" s="2">
        <f t="shared" si="335"/>
        <v>0</v>
      </c>
      <c r="AG336" s="2">
        <f t="shared" si="305"/>
        <v>0</v>
      </c>
      <c r="AH336" s="2">
        <f t="shared" si="336"/>
        <v>0</v>
      </c>
      <c r="AI336" s="2">
        <f t="shared" si="336"/>
        <v>0</v>
      </c>
      <c r="AJ336" s="2">
        <f t="shared" si="308"/>
        <v>0</v>
      </c>
      <c r="AK336" s="2">
        <v>42.53</v>
      </c>
      <c r="AL336" s="2">
        <v>42.53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97</v>
      </c>
      <c r="AU336" s="2">
        <v>51</v>
      </c>
      <c r="AV336" s="2">
        <v>1</v>
      </c>
      <c r="AW336" s="2">
        <v>1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3</v>
      </c>
      <c r="BI336" s="2">
        <v>2</v>
      </c>
      <c r="BJ336" s="2" t="s">
        <v>373</v>
      </c>
      <c r="BK336" s="2"/>
      <c r="BL336" s="2"/>
      <c r="BM336" s="2">
        <v>67</v>
      </c>
      <c r="BN336" s="2">
        <v>0</v>
      </c>
      <c r="BO336" s="2" t="s">
        <v>3</v>
      </c>
      <c r="BP336" s="2">
        <v>0</v>
      </c>
      <c r="BQ336" s="2">
        <v>40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97</v>
      </c>
      <c r="CA336" s="2">
        <v>51</v>
      </c>
      <c r="CB336" s="2" t="s">
        <v>3</v>
      </c>
      <c r="CC336" s="2"/>
      <c r="CD336" s="2"/>
      <c r="CE336" s="2">
        <v>30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3</v>
      </c>
      <c r="CO336" s="2">
        <v>0</v>
      </c>
      <c r="CP336" s="2">
        <f t="shared" si="309"/>
        <v>212.65</v>
      </c>
      <c r="CQ336" s="2">
        <f t="shared" si="310"/>
        <v>42.53</v>
      </c>
      <c r="CR336" s="2">
        <f>(ROUND((ROUND(((ET336)*AV336*1),2)*BB336),2)+ROUND((ROUND(((AE336-(EU336))*AV336*1),2)*BS336),2))</f>
        <v>0</v>
      </c>
      <c r="CS336" s="2">
        <f t="shared" si="312"/>
        <v>0</v>
      </c>
      <c r="CT336" s="2">
        <f t="shared" si="313"/>
        <v>0</v>
      </c>
      <c r="CU336" s="2">
        <f t="shared" si="314"/>
        <v>0</v>
      </c>
      <c r="CV336" s="2">
        <f t="shared" si="315"/>
        <v>0</v>
      </c>
      <c r="CW336" s="2">
        <f t="shared" si="316"/>
        <v>0</v>
      </c>
      <c r="CX336" s="2">
        <f t="shared" si="317"/>
        <v>0</v>
      </c>
      <c r="CY336" s="2">
        <f t="shared" si="318"/>
        <v>0</v>
      </c>
      <c r="CZ336" s="2">
        <f t="shared" si="319"/>
        <v>0</v>
      </c>
      <c r="DA336" s="2"/>
      <c r="DB336" s="2"/>
      <c r="DC336" s="2" t="s">
        <v>3</v>
      </c>
      <c r="DD336" s="2" t="s">
        <v>3</v>
      </c>
      <c r="DE336" s="2" t="s">
        <v>3</v>
      </c>
      <c r="DF336" s="2" t="s">
        <v>3</v>
      </c>
      <c r="DG336" s="2" t="s">
        <v>3</v>
      </c>
      <c r="DH336" s="2" t="s">
        <v>3</v>
      </c>
      <c r="DI336" s="2" t="s">
        <v>3</v>
      </c>
      <c r="DJ336" s="2" t="s">
        <v>3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1009</v>
      </c>
      <c r="DV336" s="2" t="s">
        <v>372</v>
      </c>
      <c r="DW336" s="2" t="s">
        <v>372</v>
      </c>
      <c r="DX336" s="2">
        <v>1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58162629</v>
      </c>
      <c r="EF336" s="2">
        <v>40</v>
      </c>
      <c r="EG336" s="2" t="s">
        <v>25</v>
      </c>
      <c r="EH336" s="2">
        <v>0</v>
      </c>
      <c r="EI336" s="2" t="s">
        <v>3</v>
      </c>
      <c r="EJ336" s="2">
        <v>2</v>
      </c>
      <c r="EK336" s="2">
        <v>67</v>
      </c>
      <c r="EL336" s="2" t="s">
        <v>225</v>
      </c>
      <c r="EM336" s="2" t="s">
        <v>226</v>
      </c>
      <c r="EN336" s="2"/>
      <c r="EO336" s="2" t="s">
        <v>3</v>
      </c>
      <c r="EP336" s="2"/>
      <c r="EQ336" s="2">
        <v>0</v>
      </c>
      <c r="ER336" s="2">
        <v>42.53</v>
      </c>
      <c r="ES336" s="2">
        <v>42.53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97</v>
      </c>
      <c r="FY336" s="2">
        <v>51</v>
      </c>
      <c r="FZ336" s="2"/>
      <c r="GA336" s="2" t="s">
        <v>3</v>
      </c>
      <c r="GB336" s="2"/>
      <c r="GC336" s="2"/>
      <c r="GD336" s="2">
        <v>1</v>
      </c>
      <c r="GE336" s="2"/>
      <c r="GF336" s="2">
        <v>-1075972502</v>
      </c>
      <c r="GG336" s="2">
        <v>2</v>
      </c>
      <c r="GH336" s="2">
        <v>1</v>
      </c>
      <c r="GI336" s="2">
        <v>-2</v>
      </c>
      <c r="GJ336" s="2">
        <v>0</v>
      </c>
      <c r="GK336" s="2">
        <v>0</v>
      </c>
      <c r="GL336" s="2">
        <f t="shared" si="320"/>
        <v>0</v>
      </c>
      <c r="GM336" s="2">
        <f t="shared" si="321"/>
        <v>212.65</v>
      </c>
      <c r="GN336" s="2">
        <f t="shared" si="322"/>
        <v>0</v>
      </c>
      <c r="GO336" s="2">
        <f t="shared" si="323"/>
        <v>212.65</v>
      </c>
      <c r="GP336" s="2">
        <f t="shared" si="324"/>
        <v>0</v>
      </c>
      <c r="GQ336" s="2"/>
      <c r="GR336" s="2">
        <v>0</v>
      </c>
      <c r="GS336" s="2">
        <v>3</v>
      </c>
      <c r="GT336" s="2">
        <v>0</v>
      </c>
      <c r="GU336" s="2" t="s">
        <v>3</v>
      </c>
      <c r="GV336" s="2">
        <f t="shared" si="325"/>
        <v>0</v>
      </c>
      <c r="GW336" s="2">
        <v>1</v>
      </c>
      <c r="GX336" s="2">
        <f t="shared" si="326"/>
        <v>0</v>
      </c>
      <c r="GY336" s="2"/>
      <c r="GZ336" s="2"/>
      <c r="HA336" s="2">
        <v>0</v>
      </c>
      <c r="HB336" s="2">
        <v>0</v>
      </c>
      <c r="HC336" s="2">
        <f t="shared" si="327"/>
        <v>0</v>
      </c>
      <c r="HD336" s="2"/>
      <c r="HE336" s="2" t="s">
        <v>3</v>
      </c>
      <c r="HF336" s="2" t="s">
        <v>3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3">
      <c r="A337" s="3">
        <v>18</v>
      </c>
      <c r="B337" s="3">
        <v>1</v>
      </c>
      <c r="C337" s="3"/>
      <c r="D337" s="3"/>
      <c r="E337" s="3" t="s">
        <v>369</v>
      </c>
      <c r="F337" s="3" t="s">
        <v>370</v>
      </c>
      <c r="G337" s="3" t="s">
        <v>371</v>
      </c>
      <c r="H337" s="3" t="s">
        <v>372</v>
      </c>
      <c r="I337" s="3">
        <f>I333*J337</f>
        <v>5</v>
      </c>
      <c r="J337" s="3">
        <v>1.7921146953405018</v>
      </c>
      <c r="K337" s="3">
        <v>1.7921146999999999</v>
      </c>
      <c r="L337" s="3"/>
      <c r="M337" s="3"/>
      <c r="N337" s="3"/>
      <c r="O337" s="3">
        <f t="shared" si="289"/>
        <v>897.38</v>
      </c>
      <c r="P337" s="3">
        <f t="shared" si="290"/>
        <v>897.38</v>
      </c>
      <c r="Q337" s="3">
        <f>(ROUND((ROUND(((ET337)*AV337*I337),2)*BB337),2)+ROUND((ROUND(((AE337-(EU337))*AV337*I337),2)*BS337),2))</f>
        <v>0</v>
      </c>
      <c r="R337" s="3">
        <f t="shared" si="292"/>
        <v>0</v>
      </c>
      <c r="S337" s="3">
        <f t="shared" si="293"/>
        <v>0</v>
      </c>
      <c r="T337" s="3">
        <f t="shared" si="294"/>
        <v>0</v>
      </c>
      <c r="U337" s="3">
        <f t="shared" si="295"/>
        <v>0</v>
      </c>
      <c r="V337" s="3">
        <f t="shared" si="296"/>
        <v>0</v>
      </c>
      <c r="W337" s="3">
        <f t="shared" si="297"/>
        <v>0</v>
      </c>
      <c r="X337" s="3">
        <f t="shared" si="298"/>
        <v>0</v>
      </c>
      <c r="Y337" s="3">
        <f t="shared" si="299"/>
        <v>0</v>
      </c>
      <c r="Z337" s="3"/>
      <c r="AA337" s="3">
        <v>56505405</v>
      </c>
      <c r="AB337" s="3">
        <f t="shared" si="300"/>
        <v>42.53</v>
      </c>
      <c r="AC337" s="3">
        <f t="shared" si="301"/>
        <v>42.53</v>
      </c>
      <c r="AD337" s="3">
        <f>ROUND((((ET337)-(EU337))+AE337),6)</f>
        <v>0</v>
      </c>
      <c r="AE337" s="3">
        <f t="shared" si="335"/>
        <v>0</v>
      </c>
      <c r="AF337" s="3">
        <f t="shared" si="335"/>
        <v>0</v>
      </c>
      <c r="AG337" s="3">
        <f t="shared" si="305"/>
        <v>0</v>
      </c>
      <c r="AH337" s="3">
        <f t="shared" si="336"/>
        <v>0</v>
      </c>
      <c r="AI337" s="3">
        <f t="shared" si="336"/>
        <v>0</v>
      </c>
      <c r="AJ337" s="3">
        <f t="shared" si="308"/>
        <v>0</v>
      </c>
      <c r="AK337" s="3">
        <v>42.53</v>
      </c>
      <c r="AL337" s="3">
        <v>42.53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97</v>
      </c>
      <c r="AU337" s="3">
        <v>51</v>
      </c>
      <c r="AV337" s="3">
        <v>1</v>
      </c>
      <c r="AW337" s="3">
        <v>1</v>
      </c>
      <c r="AX337" s="3"/>
      <c r="AY337" s="3"/>
      <c r="AZ337" s="3">
        <v>1</v>
      </c>
      <c r="BA337" s="3">
        <v>1</v>
      </c>
      <c r="BB337" s="3">
        <v>1</v>
      </c>
      <c r="BC337" s="3">
        <v>4.22</v>
      </c>
      <c r="BD337" s="3" t="s">
        <v>3</v>
      </c>
      <c r="BE337" s="3" t="s">
        <v>3</v>
      </c>
      <c r="BF337" s="3" t="s">
        <v>3</v>
      </c>
      <c r="BG337" s="3" t="s">
        <v>3</v>
      </c>
      <c r="BH337" s="3">
        <v>3</v>
      </c>
      <c r="BI337" s="3">
        <v>2</v>
      </c>
      <c r="BJ337" s="3" t="s">
        <v>373</v>
      </c>
      <c r="BK337" s="3"/>
      <c r="BL337" s="3"/>
      <c r="BM337" s="3">
        <v>67</v>
      </c>
      <c r="BN337" s="3">
        <v>0</v>
      </c>
      <c r="BO337" s="3" t="s">
        <v>370</v>
      </c>
      <c r="BP337" s="3">
        <v>1</v>
      </c>
      <c r="BQ337" s="3">
        <v>40</v>
      </c>
      <c r="BR337" s="3">
        <v>0</v>
      </c>
      <c r="BS337" s="3">
        <v>1</v>
      </c>
      <c r="BT337" s="3">
        <v>1</v>
      </c>
      <c r="BU337" s="3">
        <v>1</v>
      </c>
      <c r="BV337" s="3">
        <v>1</v>
      </c>
      <c r="BW337" s="3">
        <v>1</v>
      </c>
      <c r="BX337" s="3">
        <v>1</v>
      </c>
      <c r="BY337" s="3" t="s">
        <v>3</v>
      </c>
      <c r="BZ337" s="3">
        <v>97</v>
      </c>
      <c r="CA337" s="3">
        <v>51</v>
      </c>
      <c r="CB337" s="3" t="s">
        <v>3</v>
      </c>
      <c r="CC337" s="3"/>
      <c r="CD337" s="3"/>
      <c r="CE337" s="3">
        <v>30</v>
      </c>
      <c r="CF337" s="3">
        <v>0</v>
      </c>
      <c r="CG337" s="3">
        <v>0</v>
      </c>
      <c r="CH337" s="3"/>
      <c r="CI337" s="3"/>
      <c r="CJ337" s="3"/>
      <c r="CK337" s="3"/>
      <c r="CL337" s="3"/>
      <c r="CM337" s="3">
        <v>0</v>
      </c>
      <c r="CN337" s="3" t="s">
        <v>3</v>
      </c>
      <c r="CO337" s="3">
        <v>0</v>
      </c>
      <c r="CP337" s="3">
        <f t="shared" si="309"/>
        <v>897.38</v>
      </c>
      <c r="CQ337" s="3">
        <f t="shared" si="310"/>
        <v>179.48</v>
      </c>
      <c r="CR337" s="3">
        <f>(ROUND((ROUND(((ET337)*AV337*1),2)*BB337),2)+ROUND((ROUND(((AE337-(EU337))*AV337*1),2)*BS337),2))</f>
        <v>0</v>
      </c>
      <c r="CS337" s="3">
        <f t="shared" si="312"/>
        <v>0</v>
      </c>
      <c r="CT337" s="3">
        <f t="shared" si="313"/>
        <v>0</v>
      </c>
      <c r="CU337" s="3">
        <f t="shared" si="314"/>
        <v>0</v>
      </c>
      <c r="CV337" s="3">
        <f t="shared" si="315"/>
        <v>0</v>
      </c>
      <c r="CW337" s="3">
        <f t="shared" si="316"/>
        <v>0</v>
      </c>
      <c r="CX337" s="3">
        <f t="shared" si="317"/>
        <v>0</v>
      </c>
      <c r="CY337" s="3">
        <f t="shared" si="318"/>
        <v>0</v>
      </c>
      <c r="CZ337" s="3">
        <f t="shared" si="319"/>
        <v>0</v>
      </c>
      <c r="DA337" s="3"/>
      <c r="DB337" s="3"/>
      <c r="DC337" s="3" t="s">
        <v>3</v>
      </c>
      <c r="DD337" s="3" t="s">
        <v>3</v>
      </c>
      <c r="DE337" s="3" t="s">
        <v>3</v>
      </c>
      <c r="DF337" s="3" t="s">
        <v>3</v>
      </c>
      <c r="DG337" s="3" t="s">
        <v>3</v>
      </c>
      <c r="DH337" s="3" t="s">
        <v>3</v>
      </c>
      <c r="DI337" s="3" t="s">
        <v>3</v>
      </c>
      <c r="DJ337" s="3" t="s">
        <v>3</v>
      </c>
      <c r="DK337" s="3" t="s">
        <v>3</v>
      </c>
      <c r="DL337" s="3" t="s">
        <v>3</v>
      </c>
      <c r="DM337" s="3" t="s">
        <v>3</v>
      </c>
      <c r="DN337" s="3">
        <v>0</v>
      </c>
      <c r="DO337" s="3">
        <v>0</v>
      </c>
      <c r="DP337" s="3">
        <v>1</v>
      </c>
      <c r="DQ337" s="3">
        <v>1</v>
      </c>
      <c r="DR337" s="3"/>
      <c r="DS337" s="3"/>
      <c r="DT337" s="3"/>
      <c r="DU337" s="3">
        <v>1009</v>
      </c>
      <c r="DV337" s="3" t="s">
        <v>372</v>
      </c>
      <c r="DW337" s="3" t="s">
        <v>372</v>
      </c>
      <c r="DX337" s="3">
        <v>1</v>
      </c>
      <c r="DY337" s="3"/>
      <c r="DZ337" s="3" t="s">
        <v>3</v>
      </c>
      <c r="EA337" s="3" t="s">
        <v>3</v>
      </c>
      <c r="EB337" s="3" t="s">
        <v>3</v>
      </c>
      <c r="EC337" s="3" t="s">
        <v>3</v>
      </c>
      <c r="ED337" s="3"/>
      <c r="EE337" s="3">
        <v>58162629</v>
      </c>
      <c r="EF337" s="3">
        <v>40</v>
      </c>
      <c r="EG337" s="3" t="s">
        <v>25</v>
      </c>
      <c r="EH337" s="3">
        <v>0</v>
      </c>
      <c r="EI337" s="3" t="s">
        <v>3</v>
      </c>
      <c r="EJ337" s="3">
        <v>2</v>
      </c>
      <c r="EK337" s="3">
        <v>67</v>
      </c>
      <c r="EL337" s="3" t="s">
        <v>225</v>
      </c>
      <c r="EM337" s="3" t="s">
        <v>226</v>
      </c>
      <c r="EN337" s="3"/>
      <c r="EO337" s="3" t="s">
        <v>3</v>
      </c>
      <c r="EP337" s="3"/>
      <c r="EQ337" s="3">
        <v>0</v>
      </c>
      <c r="ER337" s="3">
        <v>42.53</v>
      </c>
      <c r="ES337" s="3">
        <v>42.53</v>
      </c>
      <c r="ET337" s="3">
        <v>0</v>
      </c>
      <c r="EU337" s="3">
        <v>0</v>
      </c>
      <c r="EV337" s="3">
        <v>0</v>
      </c>
      <c r="EW337" s="3">
        <v>0</v>
      </c>
      <c r="EX337" s="3">
        <v>0</v>
      </c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>
        <v>0</v>
      </c>
      <c r="FR337" s="3">
        <v>0</v>
      </c>
      <c r="FS337" s="3">
        <v>0</v>
      </c>
      <c r="FT337" s="3"/>
      <c r="FU337" s="3"/>
      <c r="FV337" s="3"/>
      <c r="FW337" s="3"/>
      <c r="FX337" s="3">
        <v>97</v>
      </c>
      <c r="FY337" s="3">
        <v>51</v>
      </c>
      <c r="FZ337" s="3"/>
      <c r="GA337" s="3" t="s">
        <v>3</v>
      </c>
      <c r="GB337" s="3"/>
      <c r="GC337" s="3"/>
      <c r="GD337" s="3">
        <v>1</v>
      </c>
      <c r="GE337" s="3"/>
      <c r="GF337" s="3">
        <v>-1075972502</v>
      </c>
      <c r="GG337" s="3">
        <v>2</v>
      </c>
      <c r="GH337" s="3">
        <v>1</v>
      </c>
      <c r="GI337" s="3">
        <v>2</v>
      </c>
      <c r="GJ337" s="3">
        <v>0</v>
      </c>
      <c r="GK337" s="3">
        <v>0</v>
      </c>
      <c r="GL337" s="3">
        <f t="shared" si="320"/>
        <v>0</v>
      </c>
      <c r="GM337" s="3">
        <f t="shared" si="321"/>
        <v>897.38</v>
      </c>
      <c r="GN337" s="3">
        <f t="shared" si="322"/>
        <v>0</v>
      </c>
      <c r="GO337" s="3">
        <f t="shared" si="323"/>
        <v>897.38</v>
      </c>
      <c r="GP337" s="3">
        <f t="shared" si="324"/>
        <v>0</v>
      </c>
      <c r="GQ337" s="3"/>
      <c r="GR337" s="3">
        <v>0</v>
      </c>
      <c r="GS337" s="3">
        <v>3</v>
      </c>
      <c r="GT337" s="3">
        <v>0</v>
      </c>
      <c r="GU337" s="3" t="s">
        <v>3</v>
      </c>
      <c r="GV337" s="3">
        <f t="shared" si="325"/>
        <v>0</v>
      </c>
      <c r="GW337" s="3">
        <v>1</v>
      </c>
      <c r="GX337" s="3">
        <f t="shared" si="326"/>
        <v>0</v>
      </c>
      <c r="GY337" s="3"/>
      <c r="GZ337" s="3"/>
      <c r="HA337" s="3">
        <v>0</v>
      </c>
      <c r="HB337" s="3">
        <v>0</v>
      </c>
      <c r="HC337" s="3">
        <f t="shared" si="327"/>
        <v>0</v>
      </c>
      <c r="HD337" s="3"/>
      <c r="HE337" s="3" t="s">
        <v>3</v>
      </c>
      <c r="HF337" s="3" t="s">
        <v>3</v>
      </c>
      <c r="HG337" s="3"/>
      <c r="HH337" s="3"/>
      <c r="HI337" s="3"/>
      <c r="HJ337" s="3"/>
      <c r="HK337" s="3"/>
      <c r="HL337" s="3"/>
      <c r="HM337" s="3" t="s">
        <v>3</v>
      </c>
      <c r="HN337" s="3" t="s">
        <v>3</v>
      </c>
      <c r="HO337" s="3" t="s">
        <v>3</v>
      </c>
      <c r="HP337" s="3" t="s">
        <v>3</v>
      </c>
      <c r="HQ337" s="3" t="s">
        <v>3</v>
      </c>
      <c r="HR337" s="3"/>
      <c r="HS337" s="3">
        <v>0</v>
      </c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>
        <v>0</v>
      </c>
      <c r="IL337" s="3"/>
      <c r="IM337" s="3"/>
      <c r="IN337" s="3"/>
      <c r="IO337" s="3"/>
      <c r="IP337" s="3"/>
      <c r="IQ337" s="3"/>
      <c r="IR337" s="3"/>
      <c r="IS337" s="3"/>
      <c r="IT337" s="3"/>
      <c r="IU337" s="3"/>
    </row>
    <row r="339" spans="1:255" x14ac:dyDescent="0.3">
      <c r="A339" s="4">
        <v>51</v>
      </c>
      <c r="B339" s="4">
        <f>B272</f>
        <v>1</v>
      </c>
      <c r="C339" s="4">
        <f>A272</f>
        <v>4</v>
      </c>
      <c r="D339" s="4">
        <f>ROW(A272)</f>
        <v>272</v>
      </c>
      <c r="E339" s="4"/>
      <c r="F339" s="4" t="str">
        <f>IF(F272&lt;&gt;"",F272,"")</f>
        <v/>
      </c>
      <c r="G339" s="4" t="str">
        <f>IF(G272&lt;&gt;"",G272,"")</f>
        <v>Кабель, трубы</v>
      </c>
      <c r="H339" s="4">
        <v>0</v>
      </c>
      <c r="I339" s="4"/>
      <c r="J339" s="4"/>
      <c r="K339" s="4"/>
      <c r="L339" s="4"/>
      <c r="M339" s="4"/>
      <c r="N339" s="4"/>
      <c r="O339" s="4">
        <f t="shared" ref="O339:T339" si="337">ROUND(AB339,2)</f>
        <v>235417.60000000001</v>
      </c>
      <c r="P339" s="4">
        <f t="shared" si="337"/>
        <v>211251.87</v>
      </c>
      <c r="Q339" s="4">
        <f t="shared" si="337"/>
        <v>343.87</v>
      </c>
      <c r="R339" s="4">
        <f t="shared" si="337"/>
        <v>17.04</v>
      </c>
      <c r="S339" s="4">
        <f t="shared" si="337"/>
        <v>23821.86</v>
      </c>
      <c r="T339" s="4">
        <f t="shared" si="337"/>
        <v>0</v>
      </c>
      <c r="U339" s="4">
        <f>AH339</f>
        <v>2006.6363935200002</v>
      </c>
      <c r="V339" s="4">
        <f>AI339</f>
        <v>0</v>
      </c>
      <c r="W339" s="4">
        <f>ROUND(AJ339,2)</f>
        <v>0</v>
      </c>
      <c r="X339" s="4">
        <f>ROUND(AK339,2)</f>
        <v>21642.54</v>
      </c>
      <c r="Y339" s="4">
        <f>ROUND(AL339,2)</f>
        <v>11099.85</v>
      </c>
      <c r="Z339" s="4"/>
      <c r="AA339" s="4"/>
      <c r="AB339" s="4">
        <f>ROUND(SUMIF(AA276:AA337,"=56505403",O276:O337),2)</f>
        <v>235417.60000000001</v>
      </c>
      <c r="AC339" s="4">
        <f>ROUND(SUMIF(AA276:AA337,"=56505403",P276:P337),2)</f>
        <v>211251.87</v>
      </c>
      <c r="AD339" s="4">
        <f>ROUND(SUMIF(AA276:AA337,"=56505403",Q276:Q337),2)</f>
        <v>343.87</v>
      </c>
      <c r="AE339" s="4">
        <f>ROUND(SUMIF(AA276:AA337,"=56505403",R276:R337),2)</f>
        <v>17.04</v>
      </c>
      <c r="AF339" s="4">
        <f>ROUND(SUMIF(AA276:AA337,"=56505403",S276:S337),2)</f>
        <v>23821.86</v>
      </c>
      <c r="AG339" s="4">
        <f>ROUND(SUMIF(AA276:AA337,"=56505403",T276:T337),2)</f>
        <v>0</v>
      </c>
      <c r="AH339" s="4">
        <f>SUMIF(AA276:AA337,"=56505403",U276:U337)</f>
        <v>2006.6363935200002</v>
      </c>
      <c r="AI339" s="4">
        <f>SUMIF(AA276:AA337,"=56505403",V276:V337)</f>
        <v>0</v>
      </c>
      <c r="AJ339" s="4">
        <f>ROUND(SUMIF(AA276:AA337,"=56505403",W276:W337),2)</f>
        <v>0</v>
      </c>
      <c r="AK339" s="4">
        <f>ROUND(SUMIF(AA276:AA337,"=56505403",X276:X337),2)</f>
        <v>21642.54</v>
      </c>
      <c r="AL339" s="4">
        <f>ROUND(SUMIF(AA276:AA337,"=56505403",Y276:Y337),2)</f>
        <v>11099.85</v>
      </c>
      <c r="AM339" s="4"/>
      <c r="AN339" s="4"/>
      <c r="AO339" s="4">
        <f t="shared" ref="AO339:BD339" si="338">ROUND(BX339,2)</f>
        <v>0</v>
      </c>
      <c r="AP339" s="4">
        <f t="shared" si="338"/>
        <v>0</v>
      </c>
      <c r="AQ339" s="4">
        <f t="shared" si="338"/>
        <v>0</v>
      </c>
      <c r="AR339" s="4">
        <f t="shared" si="338"/>
        <v>268159.99</v>
      </c>
      <c r="AS339" s="4">
        <f t="shared" si="338"/>
        <v>0</v>
      </c>
      <c r="AT339" s="4">
        <f t="shared" si="338"/>
        <v>268159.99</v>
      </c>
      <c r="AU339" s="4">
        <f t="shared" si="338"/>
        <v>0</v>
      </c>
      <c r="AV339" s="4">
        <f t="shared" si="338"/>
        <v>211251.87</v>
      </c>
      <c r="AW339" s="4">
        <f t="shared" si="338"/>
        <v>211251.87</v>
      </c>
      <c r="AX339" s="4">
        <f t="shared" si="338"/>
        <v>0</v>
      </c>
      <c r="AY339" s="4">
        <f t="shared" si="338"/>
        <v>211251.87</v>
      </c>
      <c r="AZ339" s="4">
        <f t="shared" si="338"/>
        <v>0</v>
      </c>
      <c r="BA339" s="4">
        <f t="shared" si="338"/>
        <v>0</v>
      </c>
      <c r="BB339" s="4">
        <f t="shared" si="338"/>
        <v>0</v>
      </c>
      <c r="BC339" s="4">
        <f t="shared" si="338"/>
        <v>0</v>
      </c>
      <c r="BD339" s="4">
        <f t="shared" si="338"/>
        <v>0</v>
      </c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>
        <f>ROUND(SUMIF(AA276:AA337,"=56505403",FQ276:FQ337),2)</f>
        <v>0</v>
      </c>
      <c r="BY339" s="4">
        <f>ROUND(SUMIF(AA276:AA337,"=56505403",FR276:FR337),2)</f>
        <v>0</v>
      </c>
      <c r="BZ339" s="4">
        <f>ROUND(SUMIF(AA276:AA337,"=56505403",GL276:GL337),2)</f>
        <v>0</v>
      </c>
      <c r="CA339" s="4">
        <f>ROUND(SUMIF(AA276:AA337,"=56505403",GM276:GM337),2)</f>
        <v>268159.99</v>
      </c>
      <c r="CB339" s="4">
        <f>ROUND(SUMIF(AA276:AA337,"=56505403",GN276:GN337),2)</f>
        <v>0</v>
      </c>
      <c r="CC339" s="4">
        <f>ROUND(SUMIF(AA276:AA337,"=56505403",GO276:GO337),2)</f>
        <v>268159.99</v>
      </c>
      <c r="CD339" s="4">
        <f>ROUND(SUMIF(AA276:AA337,"=56505403",GP276:GP337),2)</f>
        <v>0</v>
      </c>
      <c r="CE339" s="4">
        <f>AC339-BX339</f>
        <v>211251.87</v>
      </c>
      <c r="CF339" s="4">
        <f>AC339-BY339</f>
        <v>211251.87</v>
      </c>
      <c r="CG339" s="4">
        <f>BX339-BZ339</f>
        <v>0</v>
      </c>
      <c r="CH339" s="4">
        <f>AC339-BX339-BY339+BZ339</f>
        <v>211251.87</v>
      </c>
      <c r="CI339" s="4">
        <f>BY339-BZ339</f>
        <v>0</v>
      </c>
      <c r="CJ339" s="4">
        <f>ROUND(SUMIF(AA276:AA337,"=56505403",GX276:GX337),2)</f>
        <v>0</v>
      </c>
      <c r="CK339" s="4">
        <f>ROUND(SUMIF(AA276:AA337,"=56505403",GY276:GY337),2)</f>
        <v>0</v>
      </c>
      <c r="CL339" s="4">
        <f>ROUND(SUMIF(AA276:AA337,"=56505403",GZ276:GZ337),2)</f>
        <v>0</v>
      </c>
      <c r="CM339" s="4">
        <f>ROUND(SUMIF(AA276:AA337,"=56505403",HD276:HD337),2)</f>
        <v>0</v>
      </c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5">
        <f t="shared" ref="DG339:DL339" si="339">ROUND(DT339,2)</f>
        <v>2878098.03</v>
      </c>
      <c r="DH339" s="5">
        <f t="shared" si="339"/>
        <v>1564128.13</v>
      </c>
      <c r="DI339" s="5">
        <f t="shared" si="339"/>
        <v>4005.82</v>
      </c>
      <c r="DJ339" s="5">
        <f t="shared" si="339"/>
        <v>937.03</v>
      </c>
      <c r="DK339" s="5">
        <f t="shared" si="339"/>
        <v>1309964.08</v>
      </c>
      <c r="DL339" s="5">
        <f t="shared" si="339"/>
        <v>0</v>
      </c>
      <c r="DM339" s="5">
        <f>DZ339</f>
        <v>2006.6363935200002</v>
      </c>
      <c r="DN339" s="5">
        <f>EA339</f>
        <v>0</v>
      </c>
      <c r="DO339" s="5">
        <f>ROUND(EB339,2)</f>
        <v>0</v>
      </c>
      <c r="DP339" s="5">
        <f>ROUND(EC339,2)</f>
        <v>1190123.47</v>
      </c>
      <c r="DQ339" s="5">
        <f>ROUND(ED339,2)</f>
        <v>610380.56000000006</v>
      </c>
      <c r="DR339" s="5"/>
      <c r="DS339" s="5"/>
      <c r="DT339" s="5">
        <f>ROUND(SUMIF(AA276:AA337,"=56505405",O276:O337),2)</f>
        <v>2878098.03</v>
      </c>
      <c r="DU339" s="5">
        <f>ROUND(SUMIF(AA276:AA337,"=56505405",P276:P337),2)</f>
        <v>1564128.13</v>
      </c>
      <c r="DV339" s="5">
        <f>ROUND(SUMIF(AA276:AA337,"=56505405",Q276:Q337),2)</f>
        <v>4005.82</v>
      </c>
      <c r="DW339" s="5">
        <f>ROUND(SUMIF(AA276:AA337,"=56505405",R276:R337),2)</f>
        <v>937.03</v>
      </c>
      <c r="DX339" s="5">
        <f>ROUND(SUMIF(AA276:AA337,"=56505405",S276:S337),2)</f>
        <v>1309964.08</v>
      </c>
      <c r="DY339" s="5">
        <f>ROUND(SUMIF(AA276:AA337,"=56505405",T276:T337),2)</f>
        <v>0</v>
      </c>
      <c r="DZ339" s="5">
        <f>SUMIF(AA276:AA337,"=56505405",U276:U337)</f>
        <v>2006.6363935200002</v>
      </c>
      <c r="EA339" s="5">
        <f>SUMIF(AA276:AA337,"=56505405",V276:V337)</f>
        <v>0</v>
      </c>
      <c r="EB339" s="5">
        <f>ROUND(SUMIF(AA276:AA337,"=56505405",W276:W337),2)</f>
        <v>0</v>
      </c>
      <c r="EC339" s="5">
        <f>ROUND(SUMIF(AA276:AA337,"=56505405",X276:X337),2)</f>
        <v>1190123.47</v>
      </c>
      <c r="ED339" s="5">
        <f>ROUND(SUMIF(AA276:AA337,"=56505405",Y276:Y337),2)</f>
        <v>610380.56000000006</v>
      </c>
      <c r="EE339" s="5"/>
      <c r="EF339" s="5"/>
      <c r="EG339" s="5">
        <f t="shared" ref="EG339:EV339" si="340">ROUND(FP339,2)</f>
        <v>0</v>
      </c>
      <c r="EH339" s="5">
        <f t="shared" si="340"/>
        <v>0</v>
      </c>
      <c r="EI339" s="5">
        <f t="shared" si="340"/>
        <v>0</v>
      </c>
      <c r="EJ339" s="5">
        <f t="shared" si="340"/>
        <v>4678602.0599999996</v>
      </c>
      <c r="EK339" s="5">
        <f t="shared" si="340"/>
        <v>0</v>
      </c>
      <c r="EL339" s="5">
        <f t="shared" si="340"/>
        <v>4678602.0599999996</v>
      </c>
      <c r="EM339" s="5">
        <f t="shared" si="340"/>
        <v>0</v>
      </c>
      <c r="EN339" s="5">
        <f t="shared" si="340"/>
        <v>1564128.13</v>
      </c>
      <c r="EO339" s="5">
        <f t="shared" si="340"/>
        <v>1564128.13</v>
      </c>
      <c r="EP339" s="5">
        <f t="shared" si="340"/>
        <v>0</v>
      </c>
      <c r="EQ339" s="5">
        <f t="shared" si="340"/>
        <v>1564128.13</v>
      </c>
      <c r="ER339" s="5">
        <f t="shared" si="340"/>
        <v>0</v>
      </c>
      <c r="ES339" s="5">
        <f t="shared" si="340"/>
        <v>0</v>
      </c>
      <c r="ET339" s="5">
        <f t="shared" si="340"/>
        <v>0</v>
      </c>
      <c r="EU339" s="5">
        <f t="shared" si="340"/>
        <v>0</v>
      </c>
      <c r="EV339" s="5">
        <f t="shared" si="340"/>
        <v>0</v>
      </c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>
        <f>ROUND(SUMIF(AA276:AA337,"=56505405",FQ276:FQ337),2)</f>
        <v>0</v>
      </c>
      <c r="FQ339" s="5">
        <f>ROUND(SUMIF(AA276:AA337,"=56505405",FR276:FR337),2)</f>
        <v>0</v>
      </c>
      <c r="FR339" s="5">
        <f>ROUND(SUMIF(AA276:AA337,"=56505405",GL276:GL337),2)</f>
        <v>0</v>
      </c>
      <c r="FS339" s="5">
        <f>ROUND(SUMIF(AA276:AA337,"=56505405",GM276:GM337),2)</f>
        <v>4678602.0599999996</v>
      </c>
      <c r="FT339" s="5">
        <f>ROUND(SUMIF(AA276:AA337,"=56505405",GN276:GN337),2)</f>
        <v>0</v>
      </c>
      <c r="FU339" s="5">
        <f>ROUND(SUMIF(AA276:AA337,"=56505405",GO276:GO337),2)</f>
        <v>4678602.0599999996</v>
      </c>
      <c r="FV339" s="5">
        <f>ROUND(SUMIF(AA276:AA337,"=56505405",GP276:GP337),2)</f>
        <v>0</v>
      </c>
      <c r="FW339" s="5">
        <f>DU339-FP339</f>
        <v>1564128.13</v>
      </c>
      <c r="FX339" s="5">
        <f>DU339-FQ339</f>
        <v>1564128.13</v>
      </c>
      <c r="FY339" s="5">
        <f>FP339-FR339</f>
        <v>0</v>
      </c>
      <c r="FZ339" s="5">
        <f>DU339-FP339-FQ339+FR339</f>
        <v>1564128.13</v>
      </c>
      <c r="GA339" s="5">
        <f>FQ339-FR339</f>
        <v>0</v>
      </c>
      <c r="GB339" s="5">
        <f>ROUND(SUMIF(AA276:AA337,"=56505405",GX276:GX337),2)</f>
        <v>0</v>
      </c>
      <c r="GC339" s="5">
        <f>ROUND(SUMIF(AA276:AA337,"=56505405",GY276:GY337),2)</f>
        <v>0</v>
      </c>
      <c r="GD339" s="5">
        <f>ROUND(SUMIF(AA276:AA337,"=56505405",GZ276:GZ337),2)</f>
        <v>0</v>
      </c>
      <c r="GE339" s="5">
        <f>ROUND(SUMIF(AA276:AA337,"=56505405",HD276:HD337),2)</f>
        <v>0</v>
      </c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>
        <v>0</v>
      </c>
    </row>
    <row r="341" spans="1:255" x14ac:dyDescent="0.3">
      <c r="A341" s="6">
        <v>50</v>
      </c>
      <c r="B341" s="6">
        <v>0</v>
      </c>
      <c r="C341" s="6">
        <v>0</v>
      </c>
      <c r="D341" s="6">
        <v>1</v>
      </c>
      <c r="E341" s="6">
        <v>201</v>
      </c>
      <c r="F341" s="6">
        <f>ROUND(Source!O339,O341)</f>
        <v>235417.60000000001</v>
      </c>
      <c r="G341" s="6" t="s">
        <v>77</v>
      </c>
      <c r="H341" s="6" t="s">
        <v>78</v>
      </c>
      <c r="I341" s="6"/>
      <c r="J341" s="6"/>
      <c r="K341" s="6">
        <v>201</v>
      </c>
      <c r="L341" s="6">
        <v>1</v>
      </c>
      <c r="M341" s="6">
        <v>3</v>
      </c>
      <c r="N341" s="6" t="s">
        <v>3</v>
      </c>
      <c r="O341" s="6">
        <v>2</v>
      </c>
      <c r="P341" s="6">
        <f>ROUND(Source!DG339,O341)</f>
        <v>2878098.03</v>
      </c>
      <c r="Q341" s="6"/>
      <c r="R341" s="6"/>
      <c r="S341" s="6"/>
      <c r="T341" s="6"/>
      <c r="U341" s="6"/>
      <c r="V341" s="6"/>
      <c r="W341" s="6">
        <v>235417.60000000001</v>
      </c>
      <c r="X341" s="6">
        <v>1</v>
      </c>
      <c r="Y341" s="6">
        <v>235417.60000000001</v>
      </c>
      <c r="Z341" s="6">
        <v>2878098.03</v>
      </c>
      <c r="AA341" s="6">
        <v>1</v>
      </c>
      <c r="AB341" s="6">
        <v>2878098.03</v>
      </c>
    </row>
    <row r="342" spans="1:255" x14ac:dyDescent="0.3">
      <c r="A342" s="6">
        <v>50</v>
      </c>
      <c r="B342" s="6">
        <v>0</v>
      </c>
      <c r="C342" s="6">
        <v>0</v>
      </c>
      <c r="D342" s="6">
        <v>1</v>
      </c>
      <c r="E342" s="6">
        <v>202</v>
      </c>
      <c r="F342" s="6">
        <f>ROUND(Source!P339,O342)</f>
        <v>211251.87</v>
      </c>
      <c r="G342" s="6" t="s">
        <v>79</v>
      </c>
      <c r="H342" s="6" t="s">
        <v>80</v>
      </c>
      <c r="I342" s="6"/>
      <c r="J342" s="6"/>
      <c r="K342" s="6">
        <v>202</v>
      </c>
      <c r="L342" s="6">
        <v>2</v>
      </c>
      <c r="M342" s="6">
        <v>3</v>
      </c>
      <c r="N342" s="6" t="s">
        <v>3</v>
      </c>
      <c r="O342" s="6">
        <v>2</v>
      </c>
      <c r="P342" s="6">
        <f>ROUND(Source!DH339,O342)</f>
        <v>1564128.13</v>
      </c>
      <c r="Q342" s="6"/>
      <c r="R342" s="6"/>
      <c r="S342" s="6"/>
      <c r="T342" s="6"/>
      <c r="U342" s="6"/>
      <c r="V342" s="6"/>
      <c r="W342" s="6">
        <v>211251.87</v>
      </c>
      <c r="X342" s="6">
        <v>1</v>
      </c>
      <c r="Y342" s="6">
        <v>211251.87</v>
      </c>
      <c r="Z342" s="6">
        <v>1564128.13</v>
      </c>
      <c r="AA342" s="6">
        <v>1</v>
      </c>
      <c r="AB342" s="6">
        <v>1564128.13</v>
      </c>
    </row>
    <row r="343" spans="1:255" x14ac:dyDescent="0.3">
      <c r="A343" s="6">
        <v>50</v>
      </c>
      <c r="B343" s="6">
        <v>0</v>
      </c>
      <c r="C343" s="6">
        <v>0</v>
      </c>
      <c r="D343" s="6">
        <v>1</v>
      </c>
      <c r="E343" s="6">
        <v>222</v>
      </c>
      <c r="F343" s="6">
        <f>ROUND(Source!AO339,O343)</f>
        <v>0</v>
      </c>
      <c r="G343" s="6" t="s">
        <v>81</v>
      </c>
      <c r="H343" s="6" t="s">
        <v>82</v>
      </c>
      <c r="I343" s="6"/>
      <c r="J343" s="6"/>
      <c r="K343" s="6">
        <v>222</v>
      </c>
      <c r="L343" s="6">
        <v>3</v>
      </c>
      <c r="M343" s="6">
        <v>3</v>
      </c>
      <c r="N343" s="6" t="s">
        <v>3</v>
      </c>
      <c r="O343" s="6">
        <v>2</v>
      </c>
      <c r="P343" s="6">
        <f>ROUND(Source!EG339,O343)</f>
        <v>0</v>
      </c>
      <c r="Q343" s="6"/>
      <c r="R343" s="6"/>
      <c r="S343" s="6"/>
      <c r="T343" s="6"/>
      <c r="U343" s="6"/>
      <c r="V343" s="6"/>
      <c r="W343" s="6">
        <v>0</v>
      </c>
      <c r="X343" s="6">
        <v>1</v>
      </c>
      <c r="Y343" s="6">
        <v>0</v>
      </c>
      <c r="Z343" s="6">
        <v>0</v>
      </c>
      <c r="AA343" s="6">
        <v>1</v>
      </c>
      <c r="AB343" s="6">
        <v>0</v>
      </c>
    </row>
    <row r="344" spans="1:255" x14ac:dyDescent="0.3">
      <c r="A344" s="6">
        <v>50</v>
      </c>
      <c r="B344" s="6">
        <v>0</v>
      </c>
      <c r="C344" s="6">
        <v>0</v>
      </c>
      <c r="D344" s="6">
        <v>1</v>
      </c>
      <c r="E344" s="6">
        <v>225</v>
      </c>
      <c r="F344" s="6">
        <f>ROUND(Source!AV339,O344)</f>
        <v>211251.87</v>
      </c>
      <c r="G344" s="6" t="s">
        <v>83</v>
      </c>
      <c r="H344" s="6" t="s">
        <v>84</v>
      </c>
      <c r="I344" s="6"/>
      <c r="J344" s="6"/>
      <c r="K344" s="6">
        <v>225</v>
      </c>
      <c r="L344" s="6">
        <v>4</v>
      </c>
      <c r="M344" s="6">
        <v>3</v>
      </c>
      <c r="N344" s="6" t="s">
        <v>3</v>
      </c>
      <c r="O344" s="6">
        <v>2</v>
      </c>
      <c r="P344" s="6">
        <f>ROUND(Source!EN339,O344)</f>
        <v>1564128.13</v>
      </c>
      <c r="Q344" s="6"/>
      <c r="R344" s="6"/>
      <c r="S344" s="6"/>
      <c r="T344" s="6"/>
      <c r="U344" s="6"/>
      <c r="V344" s="6"/>
      <c r="W344" s="6">
        <v>211251.87</v>
      </c>
      <c r="X344" s="6">
        <v>1</v>
      </c>
      <c r="Y344" s="6">
        <v>211251.87</v>
      </c>
      <c r="Z344" s="6">
        <v>1564128.13</v>
      </c>
      <c r="AA344" s="6">
        <v>1</v>
      </c>
      <c r="AB344" s="6">
        <v>1564128.13</v>
      </c>
    </row>
    <row r="345" spans="1:255" x14ac:dyDescent="0.3">
      <c r="A345" s="6">
        <v>50</v>
      </c>
      <c r="B345" s="6">
        <v>0</v>
      </c>
      <c r="C345" s="6">
        <v>0</v>
      </c>
      <c r="D345" s="6">
        <v>1</v>
      </c>
      <c r="E345" s="6">
        <v>226</v>
      </c>
      <c r="F345" s="6">
        <f>ROUND(Source!AW339,O345)</f>
        <v>211251.87</v>
      </c>
      <c r="G345" s="6" t="s">
        <v>85</v>
      </c>
      <c r="H345" s="6" t="s">
        <v>86</v>
      </c>
      <c r="I345" s="6"/>
      <c r="J345" s="6"/>
      <c r="K345" s="6">
        <v>226</v>
      </c>
      <c r="L345" s="6">
        <v>5</v>
      </c>
      <c r="M345" s="6">
        <v>3</v>
      </c>
      <c r="N345" s="6" t="s">
        <v>3</v>
      </c>
      <c r="O345" s="6">
        <v>2</v>
      </c>
      <c r="P345" s="6">
        <f>ROUND(Source!EO339,O345)</f>
        <v>1564128.13</v>
      </c>
      <c r="Q345" s="6"/>
      <c r="R345" s="6"/>
      <c r="S345" s="6"/>
      <c r="T345" s="6"/>
      <c r="U345" s="6"/>
      <c r="V345" s="6"/>
      <c r="W345" s="6">
        <v>211251.87</v>
      </c>
      <c r="X345" s="6">
        <v>1</v>
      </c>
      <c r="Y345" s="6">
        <v>211251.87</v>
      </c>
      <c r="Z345" s="6">
        <v>1564128.13</v>
      </c>
      <c r="AA345" s="6">
        <v>1</v>
      </c>
      <c r="AB345" s="6">
        <v>1564128.13</v>
      </c>
    </row>
    <row r="346" spans="1:255" x14ac:dyDescent="0.3">
      <c r="A346" s="6">
        <v>50</v>
      </c>
      <c r="B346" s="6">
        <v>0</v>
      </c>
      <c r="C346" s="6">
        <v>0</v>
      </c>
      <c r="D346" s="6">
        <v>1</v>
      </c>
      <c r="E346" s="6">
        <v>227</v>
      </c>
      <c r="F346" s="6">
        <f>ROUND(Source!AX339,O346)</f>
        <v>0</v>
      </c>
      <c r="G346" s="6" t="s">
        <v>87</v>
      </c>
      <c r="H346" s="6" t="s">
        <v>88</v>
      </c>
      <c r="I346" s="6"/>
      <c r="J346" s="6"/>
      <c r="K346" s="6">
        <v>227</v>
      </c>
      <c r="L346" s="6">
        <v>6</v>
      </c>
      <c r="M346" s="6">
        <v>3</v>
      </c>
      <c r="N346" s="6" t="s">
        <v>3</v>
      </c>
      <c r="O346" s="6">
        <v>2</v>
      </c>
      <c r="P346" s="6">
        <f>ROUND(Source!EP339,O346)</f>
        <v>0</v>
      </c>
      <c r="Q346" s="6"/>
      <c r="R346" s="6"/>
      <c r="S346" s="6"/>
      <c r="T346" s="6"/>
      <c r="U346" s="6"/>
      <c r="V346" s="6"/>
      <c r="W346" s="6">
        <v>0</v>
      </c>
      <c r="X346" s="6">
        <v>1</v>
      </c>
      <c r="Y346" s="6">
        <v>0</v>
      </c>
      <c r="Z346" s="6">
        <v>0</v>
      </c>
      <c r="AA346" s="6">
        <v>1</v>
      </c>
      <c r="AB346" s="6">
        <v>0</v>
      </c>
    </row>
    <row r="347" spans="1:255" x14ac:dyDescent="0.3">
      <c r="A347" s="6">
        <v>50</v>
      </c>
      <c r="B347" s="6">
        <v>0</v>
      </c>
      <c r="C347" s="6">
        <v>0</v>
      </c>
      <c r="D347" s="6">
        <v>1</v>
      </c>
      <c r="E347" s="6">
        <v>228</v>
      </c>
      <c r="F347" s="6">
        <f>ROUND(Source!AY339,O347)</f>
        <v>211251.87</v>
      </c>
      <c r="G347" s="6" t="s">
        <v>89</v>
      </c>
      <c r="H347" s="6" t="s">
        <v>90</v>
      </c>
      <c r="I347" s="6"/>
      <c r="J347" s="6"/>
      <c r="K347" s="6">
        <v>228</v>
      </c>
      <c r="L347" s="6">
        <v>7</v>
      </c>
      <c r="M347" s="6">
        <v>3</v>
      </c>
      <c r="N347" s="6" t="s">
        <v>3</v>
      </c>
      <c r="O347" s="6">
        <v>2</v>
      </c>
      <c r="P347" s="6">
        <f>ROUND(Source!EQ339,O347)</f>
        <v>1564128.13</v>
      </c>
      <c r="Q347" s="6"/>
      <c r="R347" s="6"/>
      <c r="S347" s="6"/>
      <c r="T347" s="6"/>
      <c r="U347" s="6"/>
      <c r="V347" s="6"/>
      <c r="W347" s="6">
        <v>211251.87</v>
      </c>
      <c r="X347" s="6">
        <v>1</v>
      </c>
      <c r="Y347" s="6">
        <v>211251.87</v>
      </c>
      <c r="Z347" s="6">
        <v>1564128.13</v>
      </c>
      <c r="AA347" s="6">
        <v>1</v>
      </c>
      <c r="AB347" s="6">
        <v>1564128.13</v>
      </c>
    </row>
    <row r="348" spans="1:255" x14ac:dyDescent="0.3">
      <c r="A348" s="6">
        <v>50</v>
      </c>
      <c r="B348" s="6">
        <v>0</v>
      </c>
      <c r="C348" s="6">
        <v>0</v>
      </c>
      <c r="D348" s="6">
        <v>1</v>
      </c>
      <c r="E348" s="6">
        <v>216</v>
      </c>
      <c r="F348" s="6">
        <f>ROUND(Source!AP339,O348)</f>
        <v>0</v>
      </c>
      <c r="G348" s="6" t="s">
        <v>91</v>
      </c>
      <c r="H348" s="6" t="s">
        <v>92</v>
      </c>
      <c r="I348" s="6"/>
      <c r="J348" s="6"/>
      <c r="K348" s="6">
        <v>216</v>
      </c>
      <c r="L348" s="6">
        <v>8</v>
      </c>
      <c r="M348" s="6">
        <v>3</v>
      </c>
      <c r="N348" s="6" t="s">
        <v>3</v>
      </c>
      <c r="O348" s="6">
        <v>2</v>
      </c>
      <c r="P348" s="6">
        <f>ROUND(Source!EH339,O348)</f>
        <v>0</v>
      </c>
      <c r="Q348" s="6"/>
      <c r="R348" s="6"/>
      <c r="S348" s="6"/>
      <c r="T348" s="6"/>
      <c r="U348" s="6"/>
      <c r="V348" s="6"/>
      <c r="W348" s="6">
        <v>0</v>
      </c>
      <c r="X348" s="6">
        <v>1</v>
      </c>
      <c r="Y348" s="6">
        <v>0</v>
      </c>
      <c r="Z348" s="6">
        <v>0</v>
      </c>
      <c r="AA348" s="6">
        <v>1</v>
      </c>
      <c r="AB348" s="6">
        <v>0</v>
      </c>
    </row>
    <row r="349" spans="1:255" x14ac:dyDescent="0.3">
      <c r="A349" s="6">
        <v>50</v>
      </c>
      <c r="B349" s="6">
        <v>0</v>
      </c>
      <c r="C349" s="6">
        <v>0</v>
      </c>
      <c r="D349" s="6">
        <v>1</v>
      </c>
      <c r="E349" s="6">
        <v>223</v>
      </c>
      <c r="F349" s="6">
        <f>ROUND(Source!AQ339,O349)</f>
        <v>0</v>
      </c>
      <c r="G349" s="6" t="s">
        <v>93</v>
      </c>
      <c r="H349" s="6" t="s">
        <v>94</v>
      </c>
      <c r="I349" s="6"/>
      <c r="J349" s="6"/>
      <c r="K349" s="6">
        <v>223</v>
      </c>
      <c r="L349" s="6">
        <v>9</v>
      </c>
      <c r="M349" s="6">
        <v>3</v>
      </c>
      <c r="N349" s="6" t="s">
        <v>3</v>
      </c>
      <c r="O349" s="6">
        <v>2</v>
      </c>
      <c r="P349" s="6">
        <f>ROUND(Source!EI339,O349)</f>
        <v>0</v>
      </c>
      <c r="Q349" s="6"/>
      <c r="R349" s="6"/>
      <c r="S349" s="6"/>
      <c r="T349" s="6"/>
      <c r="U349" s="6"/>
      <c r="V349" s="6"/>
      <c r="W349" s="6">
        <v>0</v>
      </c>
      <c r="X349" s="6">
        <v>1</v>
      </c>
      <c r="Y349" s="6">
        <v>0</v>
      </c>
      <c r="Z349" s="6">
        <v>0</v>
      </c>
      <c r="AA349" s="6">
        <v>1</v>
      </c>
      <c r="AB349" s="6">
        <v>0</v>
      </c>
    </row>
    <row r="350" spans="1:255" x14ac:dyDescent="0.3">
      <c r="A350" s="6">
        <v>50</v>
      </c>
      <c r="B350" s="6">
        <v>0</v>
      </c>
      <c r="C350" s="6">
        <v>0</v>
      </c>
      <c r="D350" s="6">
        <v>1</v>
      </c>
      <c r="E350" s="6">
        <v>229</v>
      </c>
      <c r="F350" s="6">
        <f>ROUND(Source!AZ339,O350)</f>
        <v>0</v>
      </c>
      <c r="G350" s="6" t="s">
        <v>95</v>
      </c>
      <c r="H350" s="6" t="s">
        <v>96</v>
      </c>
      <c r="I350" s="6"/>
      <c r="J350" s="6"/>
      <c r="K350" s="6">
        <v>229</v>
      </c>
      <c r="L350" s="6">
        <v>10</v>
      </c>
      <c r="M350" s="6">
        <v>3</v>
      </c>
      <c r="N350" s="6" t="s">
        <v>3</v>
      </c>
      <c r="O350" s="6">
        <v>2</v>
      </c>
      <c r="P350" s="6">
        <f>ROUND(Source!ER339,O350)</f>
        <v>0</v>
      </c>
      <c r="Q350" s="6"/>
      <c r="R350" s="6"/>
      <c r="S350" s="6"/>
      <c r="T350" s="6"/>
      <c r="U350" s="6"/>
      <c r="V350" s="6"/>
      <c r="W350" s="6">
        <v>0</v>
      </c>
      <c r="X350" s="6">
        <v>1</v>
      </c>
      <c r="Y350" s="6">
        <v>0</v>
      </c>
      <c r="Z350" s="6">
        <v>0</v>
      </c>
      <c r="AA350" s="6">
        <v>1</v>
      </c>
      <c r="AB350" s="6">
        <v>0</v>
      </c>
    </row>
    <row r="351" spans="1:255" x14ac:dyDescent="0.3">
      <c r="A351" s="6">
        <v>50</v>
      </c>
      <c r="B351" s="6">
        <v>0</v>
      </c>
      <c r="C351" s="6">
        <v>0</v>
      </c>
      <c r="D351" s="6">
        <v>1</v>
      </c>
      <c r="E351" s="6">
        <v>203</v>
      </c>
      <c r="F351" s="6">
        <f>ROUND(Source!Q339,O351)</f>
        <v>343.87</v>
      </c>
      <c r="G351" s="6" t="s">
        <v>97</v>
      </c>
      <c r="H351" s="6" t="s">
        <v>98</v>
      </c>
      <c r="I351" s="6"/>
      <c r="J351" s="6"/>
      <c r="K351" s="6">
        <v>203</v>
      </c>
      <c r="L351" s="6">
        <v>11</v>
      </c>
      <c r="M351" s="6">
        <v>3</v>
      </c>
      <c r="N351" s="6" t="s">
        <v>3</v>
      </c>
      <c r="O351" s="6">
        <v>2</v>
      </c>
      <c r="P351" s="6">
        <f>ROUND(Source!DI339,O351)</f>
        <v>4005.82</v>
      </c>
      <c r="Q351" s="6"/>
      <c r="R351" s="6"/>
      <c r="S351" s="6"/>
      <c r="T351" s="6"/>
      <c r="U351" s="6"/>
      <c r="V351" s="6"/>
      <c r="W351" s="6">
        <v>343.87</v>
      </c>
      <c r="X351" s="6">
        <v>1</v>
      </c>
      <c r="Y351" s="6">
        <v>343.87</v>
      </c>
      <c r="Z351" s="6">
        <v>4005.82</v>
      </c>
      <c r="AA351" s="6">
        <v>1</v>
      </c>
      <c r="AB351" s="6">
        <v>4005.82</v>
      </c>
    </row>
    <row r="352" spans="1:255" x14ac:dyDescent="0.3">
      <c r="A352" s="6">
        <v>50</v>
      </c>
      <c r="B352" s="6">
        <v>0</v>
      </c>
      <c r="C352" s="6">
        <v>0</v>
      </c>
      <c r="D352" s="6">
        <v>1</v>
      </c>
      <c r="E352" s="6">
        <v>231</v>
      </c>
      <c r="F352" s="6">
        <f>ROUND(Source!BB339,O352)</f>
        <v>0</v>
      </c>
      <c r="G352" s="6" t="s">
        <v>99</v>
      </c>
      <c r="H352" s="6" t="s">
        <v>100</v>
      </c>
      <c r="I352" s="6"/>
      <c r="J352" s="6"/>
      <c r="K352" s="6">
        <v>231</v>
      </c>
      <c r="L352" s="6">
        <v>12</v>
      </c>
      <c r="M352" s="6">
        <v>3</v>
      </c>
      <c r="N352" s="6" t="s">
        <v>3</v>
      </c>
      <c r="O352" s="6">
        <v>2</v>
      </c>
      <c r="P352" s="6">
        <f>ROUND(Source!ET339,O352)</f>
        <v>0</v>
      </c>
      <c r="Q352" s="6"/>
      <c r="R352" s="6"/>
      <c r="S352" s="6"/>
      <c r="T352" s="6"/>
      <c r="U352" s="6"/>
      <c r="V352" s="6"/>
      <c r="W352" s="6">
        <v>0</v>
      </c>
      <c r="X352" s="6">
        <v>1</v>
      </c>
      <c r="Y352" s="6">
        <v>0</v>
      </c>
      <c r="Z352" s="6">
        <v>0</v>
      </c>
      <c r="AA352" s="6">
        <v>1</v>
      </c>
      <c r="AB352" s="6">
        <v>0</v>
      </c>
    </row>
    <row r="353" spans="1:28" x14ac:dyDescent="0.3">
      <c r="A353" s="6">
        <v>50</v>
      </c>
      <c r="B353" s="6">
        <v>0</v>
      </c>
      <c r="C353" s="6">
        <v>0</v>
      </c>
      <c r="D353" s="6">
        <v>1</v>
      </c>
      <c r="E353" s="6">
        <v>204</v>
      </c>
      <c r="F353" s="6">
        <f>ROUND(Source!R339,O353)</f>
        <v>17.04</v>
      </c>
      <c r="G353" s="6" t="s">
        <v>101</v>
      </c>
      <c r="H353" s="6" t="s">
        <v>102</v>
      </c>
      <c r="I353" s="6"/>
      <c r="J353" s="6"/>
      <c r="K353" s="6">
        <v>204</v>
      </c>
      <c r="L353" s="6">
        <v>13</v>
      </c>
      <c r="M353" s="6">
        <v>3</v>
      </c>
      <c r="N353" s="6" t="s">
        <v>3</v>
      </c>
      <c r="O353" s="6">
        <v>2</v>
      </c>
      <c r="P353" s="6">
        <f>ROUND(Source!DJ339,O353)</f>
        <v>937.03</v>
      </c>
      <c r="Q353" s="6"/>
      <c r="R353" s="6"/>
      <c r="S353" s="6"/>
      <c r="T353" s="6"/>
      <c r="U353" s="6"/>
      <c r="V353" s="6"/>
      <c r="W353" s="6">
        <v>17.04</v>
      </c>
      <c r="X353" s="6">
        <v>1</v>
      </c>
      <c r="Y353" s="6">
        <v>17.04</v>
      </c>
      <c r="Z353" s="6">
        <v>937.03</v>
      </c>
      <c r="AA353" s="6">
        <v>1</v>
      </c>
      <c r="AB353" s="6">
        <v>937.03</v>
      </c>
    </row>
    <row r="354" spans="1:28" x14ac:dyDescent="0.3">
      <c r="A354" s="6">
        <v>50</v>
      </c>
      <c r="B354" s="6">
        <v>0</v>
      </c>
      <c r="C354" s="6">
        <v>0</v>
      </c>
      <c r="D354" s="6">
        <v>1</v>
      </c>
      <c r="E354" s="6">
        <v>205</v>
      </c>
      <c r="F354" s="6">
        <f>ROUND(Source!S339,O354)</f>
        <v>23821.86</v>
      </c>
      <c r="G354" s="6" t="s">
        <v>103</v>
      </c>
      <c r="H354" s="6" t="s">
        <v>104</v>
      </c>
      <c r="I354" s="6"/>
      <c r="J354" s="6"/>
      <c r="K354" s="6">
        <v>205</v>
      </c>
      <c r="L354" s="6">
        <v>14</v>
      </c>
      <c r="M354" s="6">
        <v>3</v>
      </c>
      <c r="N354" s="6" t="s">
        <v>3</v>
      </c>
      <c r="O354" s="6">
        <v>2</v>
      </c>
      <c r="P354" s="6">
        <f>ROUND(Source!DK339,O354)</f>
        <v>1309964.08</v>
      </c>
      <c r="Q354" s="6"/>
      <c r="R354" s="6"/>
      <c r="S354" s="6"/>
      <c r="T354" s="6"/>
      <c r="U354" s="6"/>
      <c r="V354" s="6"/>
      <c r="W354" s="6">
        <v>23821.86</v>
      </c>
      <c r="X354" s="6">
        <v>1</v>
      </c>
      <c r="Y354" s="6">
        <v>23821.86</v>
      </c>
      <c r="Z354" s="6">
        <v>1309964.08</v>
      </c>
      <c r="AA354" s="6">
        <v>1</v>
      </c>
      <c r="AB354" s="6">
        <v>1309964.08</v>
      </c>
    </row>
    <row r="355" spans="1:28" x14ac:dyDescent="0.3">
      <c r="A355" s="6">
        <v>50</v>
      </c>
      <c r="B355" s="6">
        <v>0</v>
      </c>
      <c r="C355" s="6">
        <v>0</v>
      </c>
      <c r="D355" s="6">
        <v>1</v>
      </c>
      <c r="E355" s="6">
        <v>232</v>
      </c>
      <c r="F355" s="6">
        <f>ROUND(Source!BC339,O355)</f>
        <v>0</v>
      </c>
      <c r="G355" s="6" t="s">
        <v>105</v>
      </c>
      <c r="H355" s="6" t="s">
        <v>106</v>
      </c>
      <c r="I355" s="6"/>
      <c r="J355" s="6"/>
      <c r="K355" s="6">
        <v>232</v>
      </c>
      <c r="L355" s="6">
        <v>15</v>
      </c>
      <c r="M355" s="6">
        <v>3</v>
      </c>
      <c r="N355" s="6" t="s">
        <v>3</v>
      </c>
      <c r="O355" s="6">
        <v>2</v>
      </c>
      <c r="P355" s="6">
        <f>ROUND(Source!EU339,O355)</f>
        <v>0</v>
      </c>
      <c r="Q355" s="6"/>
      <c r="R355" s="6"/>
      <c r="S355" s="6"/>
      <c r="T355" s="6"/>
      <c r="U355" s="6"/>
      <c r="V355" s="6"/>
      <c r="W355" s="6">
        <v>0</v>
      </c>
      <c r="X355" s="6">
        <v>1</v>
      </c>
      <c r="Y355" s="6">
        <v>0</v>
      </c>
      <c r="Z355" s="6">
        <v>0</v>
      </c>
      <c r="AA355" s="6">
        <v>1</v>
      </c>
      <c r="AB355" s="6">
        <v>0</v>
      </c>
    </row>
    <row r="356" spans="1:28" x14ac:dyDescent="0.3">
      <c r="A356" s="6">
        <v>50</v>
      </c>
      <c r="B356" s="6">
        <v>0</v>
      </c>
      <c r="C356" s="6">
        <v>0</v>
      </c>
      <c r="D356" s="6">
        <v>1</v>
      </c>
      <c r="E356" s="6">
        <v>214</v>
      </c>
      <c r="F356" s="6">
        <f>ROUND(Source!AS339,O356)</f>
        <v>0</v>
      </c>
      <c r="G356" s="6" t="s">
        <v>107</v>
      </c>
      <c r="H356" s="6" t="s">
        <v>108</v>
      </c>
      <c r="I356" s="6"/>
      <c r="J356" s="6"/>
      <c r="K356" s="6">
        <v>214</v>
      </c>
      <c r="L356" s="6">
        <v>16</v>
      </c>
      <c r="M356" s="6">
        <v>3</v>
      </c>
      <c r="N356" s="6" t="s">
        <v>3</v>
      </c>
      <c r="O356" s="6">
        <v>2</v>
      </c>
      <c r="P356" s="6">
        <f>ROUND(Source!EK339,O356)</f>
        <v>0</v>
      </c>
      <c r="Q356" s="6"/>
      <c r="R356" s="6"/>
      <c r="S356" s="6"/>
      <c r="T356" s="6"/>
      <c r="U356" s="6"/>
      <c r="V356" s="6"/>
      <c r="W356" s="6">
        <v>0</v>
      </c>
      <c r="X356" s="6">
        <v>1</v>
      </c>
      <c r="Y356" s="6">
        <v>0</v>
      </c>
      <c r="Z356" s="6">
        <v>0</v>
      </c>
      <c r="AA356" s="6">
        <v>1</v>
      </c>
      <c r="AB356" s="6">
        <v>0</v>
      </c>
    </row>
    <row r="357" spans="1:28" x14ac:dyDescent="0.3">
      <c r="A357" s="6">
        <v>50</v>
      </c>
      <c r="B357" s="6">
        <v>0</v>
      </c>
      <c r="C357" s="6">
        <v>0</v>
      </c>
      <c r="D357" s="6">
        <v>1</v>
      </c>
      <c r="E357" s="6">
        <v>215</v>
      </c>
      <c r="F357" s="6">
        <f>ROUND(Source!AT339,O357)</f>
        <v>268159.99</v>
      </c>
      <c r="G357" s="6" t="s">
        <v>109</v>
      </c>
      <c r="H357" s="6" t="s">
        <v>110</v>
      </c>
      <c r="I357" s="6"/>
      <c r="J357" s="6"/>
      <c r="K357" s="6">
        <v>215</v>
      </c>
      <c r="L357" s="6">
        <v>17</v>
      </c>
      <c r="M357" s="6">
        <v>3</v>
      </c>
      <c r="N357" s="6" t="s">
        <v>3</v>
      </c>
      <c r="O357" s="6">
        <v>2</v>
      </c>
      <c r="P357" s="6">
        <f>ROUND(Source!EL339,O357)</f>
        <v>4678602.0599999996</v>
      </c>
      <c r="Q357" s="6"/>
      <c r="R357" s="6"/>
      <c r="S357" s="6"/>
      <c r="T357" s="6"/>
      <c r="U357" s="6"/>
      <c r="V357" s="6"/>
      <c r="W357" s="6">
        <v>268159.99</v>
      </c>
      <c r="X357" s="6">
        <v>1</v>
      </c>
      <c r="Y357" s="6">
        <v>268159.99</v>
      </c>
      <c r="Z357" s="6">
        <v>4678602.0599999996</v>
      </c>
      <c r="AA357" s="6">
        <v>1</v>
      </c>
      <c r="AB357" s="6">
        <v>4678602.0599999996</v>
      </c>
    </row>
    <row r="358" spans="1:28" x14ac:dyDescent="0.3">
      <c r="A358" s="6">
        <v>50</v>
      </c>
      <c r="B358" s="6">
        <v>0</v>
      </c>
      <c r="C358" s="6">
        <v>0</v>
      </c>
      <c r="D358" s="6">
        <v>1</v>
      </c>
      <c r="E358" s="6">
        <v>217</v>
      </c>
      <c r="F358" s="6">
        <f>ROUND(Source!AU339,O358)</f>
        <v>0</v>
      </c>
      <c r="G358" s="6" t="s">
        <v>111</v>
      </c>
      <c r="H358" s="6" t="s">
        <v>112</v>
      </c>
      <c r="I358" s="6"/>
      <c r="J358" s="6"/>
      <c r="K358" s="6">
        <v>217</v>
      </c>
      <c r="L358" s="6">
        <v>18</v>
      </c>
      <c r="M358" s="6">
        <v>3</v>
      </c>
      <c r="N358" s="6" t="s">
        <v>3</v>
      </c>
      <c r="O358" s="6">
        <v>2</v>
      </c>
      <c r="P358" s="6">
        <f>ROUND(Source!EM339,O358)</f>
        <v>0</v>
      </c>
      <c r="Q358" s="6"/>
      <c r="R358" s="6"/>
      <c r="S358" s="6"/>
      <c r="T358" s="6"/>
      <c r="U358" s="6"/>
      <c r="V358" s="6"/>
      <c r="W358" s="6">
        <v>0</v>
      </c>
      <c r="X358" s="6">
        <v>1</v>
      </c>
      <c r="Y358" s="6">
        <v>0</v>
      </c>
      <c r="Z358" s="6">
        <v>0</v>
      </c>
      <c r="AA358" s="6">
        <v>1</v>
      </c>
      <c r="AB358" s="6">
        <v>0</v>
      </c>
    </row>
    <row r="359" spans="1:28" x14ac:dyDescent="0.3">
      <c r="A359" s="6">
        <v>50</v>
      </c>
      <c r="B359" s="6">
        <v>0</v>
      </c>
      <c r="C359" s="6">
        <v>0</v>
      </c>
      <c r="D359" s="6">
        <v>1</v>
      </c>
      <c r="E359" s="6">
        <v>230</v>
      </c>
      <c r="F359" s="6">
        <f>ROUND(Source!BA339,O359)</f>
        <v>0</v>
      </c>
      <c r="G359" s="6" t="s">
        <v>113</v>
      </c>
      <c r="H359" s="6" t="s">
        <v>114</v>
      </c>
      <c r="I359" s="6"/>
      <c r="J359" s="6"/>
      <c r="K359" s="6">
        <v>230</v>
      </c>
      <c r="L359" s="6">
        <v>19</v>
      </c>
      <c r="M359" s="6">
        <v>3</v>
      </c>
      <c r="N359" s="6" t="s">
        <v>3</v>
      </c>
      <c r="O359" s="6">
        <v>2</v>
      </c>
      <c r="P359" s="6">
        <f>ROUND(Source!ES339,O359)</f>
        <v>0</v>
      </c>
      <c r="Q359" s="6"/>
      <c r="R359" s="6"/>
      <c r="S359" s="6"/>
      <c r="T359" s="6"/>
      <c r="U359" s="6"/>
      <c r="V359" s="6"/>
      <c r="W359" s="6">
        <v>0</v>
      </c>
      <c r="X359" s="6">
        <v>1</v>
      </c>
      <c r="Y359" s="6">
        <v>0</v>
      </c>
      <c r="Z359" s="6">
        <v>0</v>
      </c>
      <c r="AA359" s="6">
        <v>1</v>
      </c>
      <c r="AB359" s="6">
        <v>0</v>
      </c>
    </row>
    <row r="360" spans="1:28" x14ac:dyDescent="0.3">
      <c r="A360" s="6">
        <v>50</v>
      </c>
      <c r="B360" s="6">
        <v>0</v>
      </c>
      <c r="C360" s="6">
        <v>0</v>
      </c>
      <c r="D360" s="6">
        <v>1</v>
      </c>
      <c r="E360" s="6">
        <v>206</v>
      </c>
      <c r="F360" s="6">
        <f>ROUND(Source!T339,O360)</f>
        <v>0</v>
      </c>
      <c r="G360" s="6" t="s">
        <v>115</v>
      </c>
      <c r="H360" s="6" t="s">
        <v>116</v>
      </c>
      <c r="I360" s="6"/>
      <c r="J360" s="6"/>
      <c r="K360" s="6">
        <v>206</v>
      </c>
      <c r="L360" s="6">
        <v>20</v>
      </c>
      <c r="M360" s="6">
        <v>3</v>
      </c>
      <c r="N360" s="6" t="s">
        <v>3</v>
      </c>
      <c r="O360" s="6">
        <v>2</v>
      </c>
      <c r="P360" s="6">
        <f>ROUND(Source!DL339,O360)</f>
        <v>0</v>
      </c>
      <c r="Q360" s="6"/>
      <c r="R360" s="6"/>
      <c r="S360" s="6"/>
      <c r="T360" s="6"/>
      <c r="U360" s="6"/>
      <c r="V360" s="6"/>
      <c r="W360" s="6">
        <v>0</v>
      </c>
      <c r="X360" s="6">
        <v>1</v>
      </c>
      <c r="Y360" s="6">
        <v>0</v>
      </c>
      <c r="Z360" s="6">
        <v>0</v>
      </c>
      <c r="AA360" s="6">
        <v>1</v>
      </c>
      <c r="AB360" s="6">
        <v>0</v>
      </c>
    </row>
    <row r="361" spans="1:28" x14ac:dyDescent="0.3">
      <c r="A361" s="6">
        <v>50</v>
      </c>
      <c r="B361" s="6">
        <v>0</v>
      </c>
      <c r="C361" s="6">
        <v>0</v>
      </c>
      <c r="D361" s="6">
        <v>1</v>
      </c>
      <c r="E361" s="6">
        <v>207</v>
      </c>
      <c r="F361" s="6">
        <f>Source!U339</f>
        <v>2006.6363935200002</v>
      </c>
      <c r="G361" s="6" t="s">
        <v>117</v>
      </c>
      <c r="H361" s="6" t="s">
        <v>118</v>
      </c>
      <c r="I361" s="6"/>
      <c r="J361" s="6"/>
      <c r="K361" s="6">
        <v>207</v>
      </c>
      <c r="L361" s="6">
        <v>21</v>
      </c>
      <c r="M361" s="6">
        <v>3</v>
      </c>
      <c r="N361" s="6" t="s">
        <v>3</v>
      </c>
      <c r="O361" s="6">
        <v>-1</v>
      </c>
      <c r="P361" s="6">
        <f>Source!DM339</f>
        <v>2006.6363935200002</v>
      </c>
      <c r="Q361" s="6"/>
      <c r="R361" s="6"/>
      <c r="S361" s="6"/>
      <c r="T361" s="6"/>
      <c r="U361" s="6"/>
      <c r="V361" s="6"/>
      <c r="W361" s="6">
        <v>2006.6363935200002</v>
      </c>
      <c r="X361" s="6">
        <v>1</v>
      </c>
      <c r="Y361" s="6">
        <v>2006.6363935200002</v>
      </c>
      <c r="Z361" s="6">
        <v>2006.6363935200002</v>
      </c>
      <c r="AA361" s="6">
        <v>1</v>
      </c>
      <c r="AB361" s="6">
        <v>2006.6363935200002</v>
      </c>
    </row>
    <row r="362" spans="1:28" x14ac:dyDescent="0.3">
      <c r="A362" s="6">
        <v>50</v>
      </c>
      <c r="B362" s="6">
        <v>0</v>
      </c>
      <c r="C362" s="6">
        <v>0</v>
      </c>
      <c r="D362" s="6">
        <v>1</v>
      </c>
      <c r="E362" s="6">
        <v>208</v>
      </c>
      <c r="F362" s="6">
        <f>Source!V339</f>
        <v>0</v>
      </c>
      <c r="G362" s="6" t="s">
        <v>119</v>
      </c>
      <c r="H362" s="6" t="s">
        <v>120</v>
      </c>
      <c r="I362" s="6"/>
      <c r="J362" s="6"/>
      <c r="K362" s="6">
        <v>208</v>
      </c>
      <c r="L362" s="6">
        <v>22</v>
      </c>
      <c r="M362" s="6">
        <v>3</v>
      </c>
      <c r="N362" s="6" t="s">
        <v>3</v>
      </c>
      <c r="O362" s="6">
        <v>-1</v>
      </c>
      <c r="P362" s="6">
        <f>Source!DN339</f>
        <v>0</v>
      </c>
      <c r="Q362" s="6"/>
      <c r="R362" s="6"/>
      <c r="S362" s="6"/>
      <c r="T362" s="6"/>
      <c r="U362" s="6"/>
      <c r="V362" s="6"/>
      <c r="W362" s="6">
        <v>0</v>
      </c>
      <c r="X362" s="6">
        <v>1</v>
      </c>
      <c r="Y362" s="6">
        <v>0</v>
      </c>
      <c r="Z362" s="6">
        <v>0</v>
      </c>
      <c r="AA362" s="6">
        <v>1</v>
      </c>
      <c r="AB362" s="6">
        <v>0</v>
      </c>
    </row>
    <row r="363" spans="1:28" x14ac:dyDescent="0.3">
      <c r="A363" s="6">
        <v>50</v>
      </c>
      <c r="B363" s="6">
        <v>0</v>
      </c>
      <c r="C363" s="6">
        <v>0</v>
      </c>
      <c r="D363" s="6">
        <v>1</v>
      </c>
      <c r="E363" s="6">
        <v>209</v>
      </c>
      <c r="F363" s="6">
        <f>ROUND(Source!W339,O363)</f>
        <v>0</v>
      </c>
      <c r="G363" s="6" t="s">
        <v>121</v>
      </c>
      <c r="H363" s="6" t="s">
        <v>122</v>
      </c>
      <c r="I363" s="6"/>
      <c r="J363" s="6"/>
      <c r="K363" s="6">
        <v>209</v>
      </c>
      <c r="L363" s="6">
        <v>23</v>
      </c>
      <c r="M363" s="6">
        <v>3</v>
      </c>
      <c r="N363" s="6" t="s">
        <v>3</v>
      </c>
      <c r="O363" s="6">
        <v>2</v>
      </c>
      <c r="P363" s="6">
        <f>ROUND(Source!DO339,O363)</f>
        <v>0</v>
      </c>
      <c r="Q363" s="6"/>
      <c r="R363" s="6"/>
      <c r="S363" s="6"/>
      <c r="T363" s="6"/>
      <c r="U363" s="6"/>
      <c r="V363" s="6"/>
      <c r="W363" s="6">
        <v>0</v>
      </c>
      <c r="X363" s="6">
        <v>1</v>
      </c>
      <c r="Y363" s="6">
        <v>0</v>
      </c>
      <c r="Z363" s="6">
        <v>0</v>
      </c>
      <c r="AA363" s="6">
        <v>1</v>
      </c>
      <c r="AB363" s="6">
        <v>0</v>
      </c>
    </row>
    <row r="364" spans="1:28" x14ac:dyDescent="0.3">
      <c r="A364" s="6">
        <v>50</v>
      </c>
      <c r="B364" s="6">
        <v>0</v>
      </c>
      <c r="C364" s="6">
        <v>0</v>
      </c>
      <c r="D364" s="6">
        <v>1</v>
      </c>
      <c r="E364" s="6">
        <v>233</v>
      </c>
      <c r="F364" s="6">
        <f>ROUND(Source!BD339,O364)</f>
        <v>0</v>
      </c>
      <c r="G364" s="6" t="s">
        <v>123</v>
      </c>
      <c r="H364" s="6" t="s">
        <v>124</v>
      </c>
      <c r="I364" s="6"/>
      <c r="J364" s="6"/>
      <c r="K364" s="6">
        <v>233</v>
      </c>
      <c r="L364" s="6">
        <v>24</v>
      </c>
      <c r="M364" s="6">
        <v>3</v>
      </c>
      <c r="N364" s="6" t="s">
        <v>3</v>
      </c>
      <c r="O364" s="6">
        <v>2</v>
      </c>
      <c r="P364" s="6">
        <f>ROUND(Source!EV339,O364)</f>
        <v>0</v>
      </c>
      <c r="Q364" s="6"/>
      <c r="R364" s="6"/>
      <c r="S364" s="6"/>
      <c r="T364" s="6"/>
      <c r="U364" s="6"/>
      <c r="V364" s="6"/>
      <c r="W364" s="6">
        <v>0</v>
      </c>
      <c r="X364" s="6">
        <v>1</v>
      </c>
      <c r="Y364" s="6">
        <v>0</v>
      </c>
      <c r="Z364" s="6">
        <v>0</v>
      </c>
      <c r="AA364" s="6">
        <v>1</v>
      </c>
      <c r="AB364" s="6">
        <v>0</v>
      </c>
    </row>
    <row r="365" spans="1:28" x14ac:dyDescent="0.3">
      <c r="A365" s="6">
        <v>50</v>
      </c>
      <c r="B365" s="6">
        <v>0</v>
      </c>
      <c r="C365" s="6">
        <v>0</v>
      </c>
      <c r="D365" s="6">
        <v>1</v>
      </c>
      <c r="E365" s="6">
        <v>210</v>
      </c>
      <c r="F365" s="6">
        <f>ROUND(Source!X339,O365)</f>
        <v>21642.54</v>
      </c>
      <c r="G365" s="6" t="s">
        <v>125</v>
      </c>
      <c r="H365" s="6" t="s">
        <v>126</v>
      </c>
      <c r="I365" s="6"/>
      <c r="J365" s="6"/>
      <c r="K365" s="6">
        <v>210</v>
      </c>
      <c r="L365" s="6">
        <v>25</v>
      </c>
      <c r="M365" s="6">
        <v>3</v>
      </c>
      <c r="N365" s="6" t="s">
        <v>3</v>
      </c>
      <c r="O365" s="6">
        <v>2</v>
      </c>
      <c r="P365" s="6">
        <f>ROUND(Source!DP339,O365)</f>
        <v>1190123.47</v>
      </c>
      <c r="Q365" s="6"/>
      <c r="R365" s="6"/>
      <c r="S365" s="6"/>
      <c r="T365" s="6"/>
      <c r="U365" s="6"/>
      <c r="V365" s="6"/>
      <c r="W365" s="6">
        <v>21642.54</v>
      </c>
      <c r="X365" s="6">
        <v>1</v>
      </c>
      <c r="Y365" s="6">
        <v>21642.54</v>
      </c>
      <c r="Z365" s="6">
        <v>1190123.47</v>
      </c>
      <c r="AA365" s="6">
        <v>1</v>
      </c>
      <c r="AB365" s="6">
        <v>1190123.47</v>
      </c>
    </row>
    <row r="366" spans="1:28" x14ac:dyDescent="0.3">
      <c r="A366" s="6">
        <v>50</v>
      </c>
      <c r="B366" s="6">
        <v>0</v>
      </c>
      <c r="C366" s="6">
        <v>0</v>
      </c>
      <c r="D366" s="6">
        <v>1</v>
      </c>
      <c r="E366" s="6">
        <v>211</v>
      </c>
      <c r="F366" s="6">
        <f>ROUND(Source!Y339,O366)</f>
        <v>11099.85</v>
      </c>
      <c r="G366" s="6" t="s">
        <v>127</v>
      </c>
      <c r="H366" s="6" t="s">
        <v>128</v>
      </c>
      <c r="I366" s="6"/>
      <c r="J366" s="6"/>
      <c r="K366" s="6">
        <v>211</v>
      </c>
      <c r="L366" s="6">
        <v>26</v>
      </c>
      <c r="M366" s="6">
        <v>3</v>
      </c>
      <c r="N366" s="6" t="s">
        <v>3</v>
      </c>
      <c r="O366" s="6">
        <v>2</v>
      </c>
      <c r="P366" s="6">
        <f>ROUND(Source!DQ339,O366)</f>
        <v>610380.56000000006</v>
      </c>
      <c r="Q366" s="6"/>
      <c r="R366" s="6"/>
      <c r="S366" s="6"/>
      <c r="T366" s="6"/>
      <c r="U366" s="6"/>
      <c r="V366" s="6"/>
      <c r="W366" s="6">
        <v>11099.85</v>
      </c>
      <c r="X366" s="6">
        <v>1</v>
      </c>
      <c r="Y366" s="6">
        <v>11099.85</v>
      </c>
      <c r="Z366" s="6">
        <v>610380.56000000006</v>
      </c>
      <c r="AA366" s="6">
        <v>1</v>
      </c>
      <c r="AB366" s="6">
        <v>610380.56000000006</v>
      </c>
    </row>
    <row r="367" spans="1:28" x14ac:dyDescent="0.3">
      <c r="A367" s="6">
        <v>50</v>
      </c>
      <c r="B367" s="6">
        <v>0</v>
      </c>
      <c r="C367" s="6">
        <v>0</v>
      </c>
      <c r="D367" s="6">
        <v>1</v>
      </c>
      <c r="E367" s="6">
        <v>224</v>
      </c>
      <c r="F367" s="6">
        <f>ROUND(Source!AR339,O367)</f>
        <v>268159.99</v>
      </c>
      <c r="G367" s="6" t="s">
        <v>129</v>
      </c>
      <c r="H367" s="6" t="s">
        <v>130</v>
      </c>
      <c r="I367" s="6"/>
      <c r="J367" s="6"/>
      <c r="K367" s="6">
        <v>224</v>
      </c>
      <c r="L367" s="6">
        <v>27</v>
      </c>
      <c r="M367" s="6">
        <v>3</v>
      </c>
      <c r="N367" s="6" t="s">
        <v>3</v>
      </c>
      <c r="O367" s="6">
        <v>2</v>
      </c>
      <c r="P367" s="6">
        <f>ROUND(Source!EJ339,O367)</f>
        <v>4678602.0599999996</v>
      </c>
      <c r="Q367" s="6"/>
      <c r="R367" s="6"/>
      <c r="S367" s="6"/>
      <c r="T367" s="6"/>
      <c r="U367" s="6"/>
      <c r="V367" s="6"/>
      <c r="W367" s="6">
        <v>268159.99</v>
      </c>
      <c r="X367" s="6">
        <v>1</v>
      </c>
      <c r="Y367" s="6">
        <v>268159.99</v>
      </c>
      <c r="Z367" s="6">
        <v>4678602.0599999996</v>
      </c>
      <c r="AA367" s="6">
        <v>1</v>
      </c>
      <c r="AB367" s="6">
        <v>4678602.0599999996</v>
      </c>
    </row>
    <row r="369" spans="1:206" x14ac:dyDescent="0.3">
      <c r="A369" s="4">
        <v>51</v>
      </c>
      <c r="B369" s="4">
        <f>B20</f>
        <v>1</v>
      </c>
      <c r="C369" s="4">
        <f>A20</f>
        <v>3</v>
      </c>
      <c r="D369" s="4">
        <f>ROW(A20)</f>
        <v>20</v>
      </c>
      <c r="E369" s="4"/>
      <c r="F369" s="4" t="str">
        <f>IF(F20&lt;&gt;"",F20,"")</f>
        <v>02-01-12</v>
      </c>
      <c r="G369" s="4" t="str">
        <f>IF(G20&lt;&gt;"",G20,"")</f>
        <v>Структурированная кабельная сеть</v>
      </c>
      <c r="H369" s="4">
        <v>0</v>
      </c>
      <c r="I369" s="4"/>
      <c r="J369" s="4"/>
      <c r="K369" s="4"/>
      <c r="L369" s="4"/>
      <c r="M369" s="4"/>
      <c r="N369" s="4"/>
      <c r="O369" s="4">
        <f t="shared" ref="O369:T369" si="341">ROUND(O51+O112+O161+O242+O339+AB369,2)</f>
        <v>968093.54</v>
      </c>
      <c r="P369" s="4">
        <f t="shared" si="341"/>
        <v>929001.41</v>
      </c>
      <c r="Q369" s="4">
        <f t="shared" si="341"/>
        <v>3132.9</v>
      </c>
      <c r="R369" s="4">
        <f t="shared" si="341"/>
        <v>324.23</v>
      </c>
      <c r="S369" s="4">
        <f t="shared" si="341"/>
        <v>35959.230000000003</v>
      </c>
      <c r="T369" s="4">
        <f t="shared" si="341"/>
        <v>0</v>
      </c>
      <c r="U369" s="4">
        <f>U51+U112+U161+U242+U339+AH369</f>
        <v>3008.2474253700002</v>
      </c>
      <c r="V369" s="4">
        <f>V51+V112+V161+V242+V339+AI369</f>
        <v>0</v>
      </c>
      <c r="W369" s="4">
        <f>ROUND(W51+W112+W161+W242+W339+AJ369,2)</f>
        <v>0</v>
      </c>
      <c r="X369" s="4">
        <f>ROUND(X51+X112+X161+X242+X339+AK369,2)</f>
        <v>33100.57</v>
      </c>
      <c r="Y369" s="4">
        <f>ROUND(Y51+Y112+Y161+Y242+Y339+AL369,2)</f>
        <v>17008.57</v>
      </c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>
        <f t="shared" ref="AO369:BD369" si="342">ROUND(AO51+AO112+AO161+AO242+AO339+BX369,2)</f>
        <v>0</v>
      </c>
      <c r="AP369" s="4">
        <f t="shared" si="342"/>
        <v>469730.01</v>
      </c>
      <c r="AQ369" s="4">
        <f t="shared" si="342"/>
        <v>0</v>
      </c>
      <c r="AR369" s="4">
        <f t="shared" si="342"/>
        <v>1018202.68</v>
      </c>
      <c r="AS369" s="4">
        <f t="shared" si="342"/>
        <v>0</v>
      </c>
      <c r="AT369" s="4">
        <f t="shared" si="342"/>
        <v>548472.67000000004</v>
      </c>
      <c r="AU369" s="4">
        <f t="shared" si="342"/>
        <v>0</v>
      </c>
      <c r="AV369" s="4">
        <f t="shared" si="342"/>
        <v>929001.41</v>
      </c>
      <c r="AW369" s="4">
        <f t="shared" si="342"/>
        <v>459271.4</v>
      </c>
      <c r="AX369" s="4">
        <f t="shared" si="342"/>
        <v>0</v>
      </c>
      <c r="AY369" s="4">
        <f t="shared" si="342"/>
        <v>459271.4</v>
      </c>
      <c r="AZ369" s="4">
        <f t="shared" si="342"/>
        <v>469730.01</v>
      </c>
      <c r="BA369" s="4">
        <f t="shared" si="342"/>
        <v>0</v>
      </c>
      <c r="BB369" s="4">
        <f t="shared" si="342"/>
        <v>0</v>
      </c>
      <c r="BC369" s="4">
        <f t="shared" si="342"/>
        <v>0</v>
      </c>
      <c r="BD369" s="4">
        <f t="shared" si="342"/>
        <v>0</v>
      </c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5">
        <f t="shared" ref="DG369:DL369" si="343">ROUND(DG51+DG112+DG161+DG242+DG339+DT369,2)</f>
        <v>9370519.4700000007</v>
      </c>
      <c r="DH369" s="5">
        <f t="shared" si="343"/>
        <v>7346074.7999999998</v>
      </c>
      <c r="DI369" s="5">
        <f t="shared" si="343"/>
        <v>47046.61</v>
      </c>
      <c r="DJ369" s="5">
        <f t="shared" si="343"/>
        <v>17829.400000000001</v>
      </c>
      <c r="DK369" s="5">
        <f t="shared" si="343"/>
        <v>1977398.06</v>
      </c>
      <c r="DL369" s="5">
        <f t="shared" si="343"/>
        <v>0</v>
      </c>
      <c r="DM369" s="5">
        <f>DM51+DM112+DM161+DM242+DM339+DZ369</f>
        <v>3008.2474253700002</v>
      </c>
      <c r="DN369" s="5">
        <f>DN51+DN112+DN161+DN242+DN339+EA369</f>
        <v>0</v>
      </c>
      <c r="DO369" s="5">
        <f>ROUND(DO51+DO112+DO161+DO242+DO339+EB369,2)</f>
        <v>0</v>
      </c>
      <c r="DP369" s="5">
        <f>ROUND(DP51+DP112+DP161+DP242+DP339+EC369,2)</f>
        <v>1820200.59</v>
      </c>
      <c r="DQ369" s="5">
        <f>ROUND(DQ51+DQ112+DQ161+DQ242+DQ339+ED369,2)</f>
        <v>935301.67</v>
      </c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>
        <f t="shared" ref="EG369:EV369" si="344">ROUND(EG51+EG112+EG161+EG242+EG339+FP369,2)</f>
        <v>0</v>
      </c>
      <c r="EH369" s="5">
        <f t="shared" si="344"/>
        <v>3475133.18</v>
      </c>
      <c r="EI369" s="5">
        <f t="shared" si="344"/>
        <v>0</v>
      </c>
      <c r="EJ369" s="5">
        <f t="shared" si="344"/>
        <v>12126021.73</v>
      </c>
      <c r="EK369" s="5">
        <f t="shared" si="344"/>
        <v>0</v>
      </c>
      <c r="EL369" s="5">
        <f t="shared" si="344"/>
        <v>8650888.5500000007</v>
      </c>
      <c r="EM369" s="5">
        <f t="shared" si="344"/>
        <v>0</v>
      </c>
      <c r="EN369" s="5">
        <f t="shared" si="344"/>
        <v>7346074.7999999998</v>
      </c>
      <c r="EO369" s="5">
        <f t="shared" si="344"/>
        <v>3870941.62</v>
      </c>
      <c r="EP369" s="5">
        <f t="shared" si="344"/>
        <v>0</v>
      </c>
      <c r="EQ369" s="5">
        <f t="shared" si="344"/>
        <v>3870941.62</v>
      </c>
      <c r="ER369" s="5">
        <f t="shared" si="344"/>
        <v>3475133.18</v>
      </c>
      <c r="ES369" s="5">
        <f t="shared" si="344"/>
        <v>0</v>
      </c>
      <c r="ET369" s="5">
        <f t="shared" si="344"/>
        <v>0</v>
      </c>
      <c r="EU369" s="5">
        <f t="shared" si="344"/>
        <v>0</v>
      </c>
      <c r="EV369" s="5">
        <f t="shared" si="344"/>
        <v>0</v>
      </c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>
        <v>0</v>
      </c>
    </row>
    <row r="371" spans="1:206" x14ac:dyDescent="0.3">
      <c r="A371" s="6">
        <v>50</v>
      </c>
      <c r="B371" s="6">
        <v>0</v>
      </c>
      <c r="C371" s="6">
        <v>0</v>
      </c>
      <c r="D371" s="6">
        <v>1</v>
      </c>
      <c r="E371" s="6">
        <v>201</v>
      </c>
      <c r="F371" s="6">
        <f>ROUND(Source!O369,O371)</f>
        <v>968093.54</v>
      </c>
      <c r="G371" s="6" t="s">
        <v>77</v>
      </c>
      <c r="H371" s="6" t="s">
        <v>78</v>
      </c>
      <c r="I371" s="6"/>
      <c r="J371" s="6"/>
      <c r="K371" s="6">
        <v>201</v>
      </c>
      <c r="L371" s="6">
        <v>1</v>
      </c>
      <c r="M371" s="6">
        <v>3</v>
      </c>
      <c r="N371" s="6" t="s">
        <v>3</v>
      </c>
      <c r="O371" s="6">
        <v>2</v>
      </c>
      <c r="P371" s="6">
        <f>ROUND(Source!DG369,O371)</f>
        <v>9370519.4700000007</v>
      </c>
      <c r="Q371" s="6"/>
      <c r="R371" s="6"/>
      <c r="S371" s="6"/>
      <c r="T371" s="6"/>
      <c r="U371" s="6"/>
      <c r="V371" s="6"/>
      <c r="W371" s="6">
        <v>968093.54</v>
      </c>
      <c r="X371" s="6">
        <v>1</v>
      </c>
      <c r="Y371" s="6">
        <v>968093.54</v>
      </c>
      <c r="Z371" s="6">
        <v>9370519.4700000007</v>
      </c>
      <c r="AA371" s="6">
        <v>1</v>
      </c>
      <c r="AB371" s="6">
        <v>9370519.4700000007</v>
      </c>
    </row>
    <row r="372" spans="1:206" x14ac:dyDescent="0.3">
      <c r="A372" s="6">
        <v>50</v>
      </c>
      <c r="B372" s="6">
        <v>0</v>
      </c>
      <c r="C372" s="6">
        <v>0</v>
      </c>
      <c r="D372" s="6">
        <v>1</v>
      </c>
      <c r="E372" s="6">
        <v>202</v>
      </c>
      <c r="F372" s="6">
        <f>ROUND(Source!P369,O372)</f>
        <v>929001.41</v>
      </c>
      <c r="G372" s="6" t="s">
        <v>79</v>
      </c>
      <c r="H372" s="6" t="s">
        <v>80</v>
      </c>
      <c r="I372" s="6"/>
      <c r="J372" s="6"/>
      <c r="K372" s="6">
        <v>202</v>
      </c>
      <c r="L372" s="6">
        <v>2</v>
      </c>
      <c r="M372" s="6">
        <v>3</v>
      </c>
      <c r="N372" s="6" t="s">
        <v>3</v>
      </c>
      <c r="O372" s="6">
        <v>2</v>
      </c>
      <c r="P372" s="6">
        <f>ROUND(Source!DH369,O372)</f>
        <v>7346074.7999999998</v>
      </c>
      <c r="Q372" s="6"/>
      <c r="R372" s="6"/>
      <c r="S372" s="6"/>
      <c r="T372" s="6"/>
      <c r="U372" s="6"/>
      <c r="V372" s="6"/>
      <c r="W372" s="6">
        <v>929001.41</v>
      </c>
      <c r="X372" s="6">
        <v>1</v>
      </c>
      <c r="Y372" s="6">
        <v>929001.41</v>
      </c>
      <c r="Z372" s="6">
        <v>7346074.7999999998</v>
      </c>
      <c r="AA372" s="6">
        <v>1</v>
      </c>
      <c r="AB372" s="6">
        <v>7346074.7999999998</v>
      </c>
    </row>
    <row r="373" spans="1:206" x14ac:dyDescent="0.3">
      <c r="A373" s="6">
        <v>50</v>
      </c>
      <c r="B373" s="6">
        <v>0</v>
      </c>
      <c r="C373" s="6">
        <v>0</v>
      </c>
      <c r="D373" s="6">
        <v>1</v>
      </c>
      <c r="E373" s="6">
        <v>222</v>
      </c>
      <c r="F373" s="6">
        <f>ROUND(Source!AO369,O373)</f>
        <v>0</v>
      </c>
      <c r="G373" s="6" t="s">
        <v>81</v>
      </c>
      <c r="H373" s="6" t="s">
        <v>82</v>
      </c>
      <c r="I373" s="6"/>
      <c r="J373" s="6"/>
      <c r="K373" s="6">
        <v>222</v>
      </c>
      <c r="L373" s="6">
        <v>3</v>
      </c>
      <c r="M373" s="6">
        <v>3</v>
      </c>
      <c r="N373" s="6" t="s">
        <v>3</v>
      </c>
      <c r="O373" s="6">
        <v>2</v>
      </c>
      <c r="P373" s="6">
        <f>ROUND(Source!EG369,O373)</f>
        <v>0</v>
      </c>
      <c r="Q373" s="6"/>
      <c r="R373" s="6"/>
      <c r="S373" s="6"/>
      <c r="T373" s="6"/>
      <c r="U373" s="6"/>
      <c r="V373" s="6"/>
      <c r="W373" s="6">
        <v>0</v>
      </c>
      <c r="X373" s="6">
        <v>1</v>
      </c>
      <c r="Y373" s="6">
        <v>0</v>
      </c>
      <c r="Z373" s="6">
        <v>0</v>
      </c>
      <c r="AA373" s="6">
        <v>1</v>
      </c>
      <c r="AB373" s="6">
        <v>0</v>
      </c>
    </row>
    <row r="374" spans="1:206" x14ac:dyDescent="0.3">
      <c r="A374" s="6">
        <v>50</v>
      </c>
      <c r="B374" s="6">
        <v>0</v>
      </c>
      <c r="C374" s="6">
        <v>0</v>
      </c>
      <c r="D374" s="6">
        <v>1</v>
      </c>
      <c r="E374" s="6">
        <v>225</v>
      </c>
      <c r="F374" s="6">
        <f>ROUND(Source!AV369,O374)</f>
        <v>929001.41</v>
      </c>
      <c r="G374" s="6" t="s">
        <v>83</v>
      </c>
      <c r="H374" s="6" t="s">
        <v>84</v>
      </c>
      <c r="I374" s="6"/>
      <c r="J374" s="6"/>
      <c r="K374" s="6">
        <v>225</v>
      </c>
      <c r="L374" s="6">
        <v>4</v>
      </c>
      <c r="M374" s="6">
        <v>3</v>
      </c>
      <c r="N374" s="6" t="s">
        <v>3</v>
      </c>
      <c r="O374" s="6">
        <v>2</v>
      </c>
      <c r="P374" s="6">
        <f>ROUND(Source!EN369,O374)</f>
        <v>7346074.7999999998</v>
      </c>
      <c r="Q374" s="6"/>
      <c r="R374" s="6"/>
      <c r="S374" s="6"/>
      <c r="T374" s="6"/>
      <c r="U374" s="6"/>
      <c r="V374" s="6"/>
      <c r="W374" s="6">
        <v>929001.41</v>
      </c>
      <c r="X374" s="6">
        <v>1</v>
      </c>
      <c r="Y374" s="6">
        <v>929001.41</v>
      </c>
      <c r="Z374" s="6">
        <v>7346074.7999999998</v>
      </c>
      <c r="AA374" s="6">
        <v>1</v>
      </c>
      <c r="AB374" s="6">
        <v>7346074.7999999998</v>
      </c>
    </row>
    <row r="375" spans="1:206" x14ac:dyDescent="0.3">
      <c r="A375" s="6">
        <v>50</v>
      </c>
      <c r="B375" s="6">
        <v>0</v>
      </c>
      <c r="C375" s="6">
        <v>0</v>
      </c>
      <c r="D375" s="6">
        <v>1</v>
      </c>
      <c r="E375" s="6">
        <v>226</v>
      </c>
      <c r="F375" s="6">
        <f>ROUND(Source!AW369,O375)</f>
        <v>459271.4</v>
      </c>
      <c r="G375" s="6" t="s">
        <v>85</v>
      </c>
      <c r="H375" s="6" t="s">
        <v>86</v>
      </c>
      <c r="I375" s="6"/>
      <c r="J375" s="6"/>
      <c r="K375" s="6">
        <v>226</v>
      </c>
      <c r="L375" s="6">
        <v>5</v>
      </c>
      <c r="M375" s="6">
        <v>3</v>
      </c>
      <c r="N375" s="6" t="s">
        <v>3</v>
      </c>
      <c r="O375" s="6">
        <v>2</v>
      </c>
      <c r="P375" s="6">
        <f>ROUND(Source!EO369,O375)</f>
        <v>3870941.62</v>
      </c>
      <c r="Q375" s="6"/>
      <c r="R375" s="6"/>
      <c r="S375" s="6"/>
      <c r="T375" s="6"/>
      <c r="U375" s="6"/>
      <c r="V375" s="6"/>
      <c r="W375" s="6">
        <v>459271.4</v>
      </c>
      <c r="X375" s="6">
        <v>1</v>
      </c>
      <c r="Y375" s="6">
        <v>459271.4</v>
      </c>
      <c r="Z375" s="6">
        <v>3870941.62</v>
      </c>
      <c r="AA375" s="6">
        <v>1</v>
      </c>
      <c r="AB375" s="6">
        <v>3870941.62</v>
      </c>
    </row>
    <row r="376" spans="1:206" x14ac:dyDescent="0.3">
      <c r="A376" s="6">
        <v>50</v>
      </c>
      <c r="B376" s="6">
        <v>0</v>
      </c>
      <c r="C376" s="6">
        <v>0</v>
      </c>
      <c r="D376" s="6">
        <v>1</v>
      </c>
      <c r="E376" s="6">
        <v>227</v>
      </c>
      <c r="F376" s="6">
        <f>ROUND(Source!AX369,O376)</f>
        <v>0</v>
      </c>
      <c r="G376" s="6" t="s">
        <v>87</v>
      </c>
      <c r="H376" s="6" t="s">
        <v>88</v>
      </c>
      <c r="I376" s="6"/>
      <c r="J376" s="6"/>
      <c r="K376" s="6">
        <v>227</v>
      </c>
      <c r="L376" s="6">
        <v>6</v>
      </c>
      <c r="M376" s="6">
        <v>3</v>
      </c>
      <c r="N376" s="6" t="s">
        <v>3</v>
      </c>
      <c r="O376" s="6">
        <v>2</v>
      </c>
      <c r="P376" s="6">
        <f>ROUND(Source!EP369,O376)</f>
        <v>0</v>
      </c>
      <c r="Q376" s="6"/>
      <c r="R376" s="6"/>
      <c r="S376" s="6"/>
      <c r="T376" s="6"/>
      <c r="U376" s="6"/>
      <c r="V376" s="6"/>
      <c r="W376" s="6">
        <v>0</v>
      </c>
      <c r="X376" s="6">
        <v>1</v>
      </c>
      <c r="Y376" s="6">
        <v>0</v>
      </c>
      <c r="Z376" s="6">
        <v>0</v>
      </c>
      <c r="AA376" s="6">
        <v>1</v>
      </c>
      <c r="AB376" s="6">
        <v>0</v>
      </c>
    </row>
    <row r="377" spans="1:206" x14ac:dyDescent="0.3">
      <c r="A377" s="6">
        <v>50</v>
      </c>
      <c r="B377" s="6">
        <v>0</v>
      </c>
      <c r="C377" s="6">
        <v>0</v>
      </c>
      <c r="D377" s="6">
        <v>1</v>
      </c>
      <c r="E377" s="6">
        <v>228</v>
      </c>
      <c r="F377" s="6">
        <f>ROUND(Source!AY369,O377)</f>
        <v>459271.4</v>
      </c>
      <c r="G377" s="6" t="s">
        <v>89</v>
      </c>
      <c r="H377" s="6" t="s">
        <v>90</v>
      </c>
      <c r="I377" s="6"/>
      <c r="J377" s="6"/>
      <c r="K377" s="6">
        <v>228</v>
      </c>
      <c r="L377" s="6">
        <v>7</v>
      </c>
      <c r="M377" s="6">
        <v>3</v>
      </c>
      <c r="N377" s="6" t="s">
        <v>3</v>
      </c>
      <c r="O377" s="6">
        <v>2</v>
      </c>
      <c r="P377" s="6">
        <f>ROUND(Source!EQ369,O377)</f>
        <v>3870941.62</v>
      </c>
      <c r="Q377" s="6"/>
      <c r="R377" s="6"/>
      <c r="S377" s="6"/>
      <c r="T377" s="6"/>
      <c r="U377" s="6"/>
      <c r="V377" s="6"/>
      <c r="W377" s="6">
        <v>459271.4</v>
      </c>
      <c r="X377" s="6">
        <v>1</v>
      </c>
      <c r="Y377" s="6">
        <v>459271.4</v>
      </c>
      <c r="Z377" s="6">
        <v>3870941.62</v>
      </c>
      <c r="AA377" s="6">
        <v>1</v>
      </c>
      <c r="AB377" s="6">
        <v>3870941.62</v>
      </c>
    </row>
    <row r="378" spans="1:206" x14ac:dyDescent="0.3">
      <c r="A378" s="6">
        <v>50</v>
      </c>
      <c r="B378" s="6">
        <v>0</v>
      </c>
      <c r="C378" s="6">
        <v>0</v>
      </c>
      <c r="D378" s="6">
        <v>1</v>
      </c>
      <c r="E378" s="6">
        <v>216</v>
      </c>
      <c r="F378" s="6">
        <f>ROUND(Source!AP369,O378)</f>
        <v>469730.01</v>
      </c>
      <c r="G378" s="6" t="s">
        <v>91</v>
      </c>
      <c r="H378" s="6" t="s">
        <v>92</v>
      </c>
      <c r="I378" s="6"/>
      <c r="J378" s="6"/>
      <c r="K378" s="6">
        <v>216</v>
      </c>
      <c r="L378" s="6">
        <v>8</v>
      </c>
      <c r="M378" s="6">
        <v>3</v>
      </c>
      <c r="N378" s="6" t="s">
        <v>3</v>
      </c>
      <c r="O378" s="6">
        <v>2</v>
      </c>
      <c r="P378" s="6">
        <f>ROUND(Source!EH369,O378)</f>
        <v>3475133.18</v>
      </c>
      <c r="Q378" s="6"/>
      <c r="R378" s="6"/>
      <c r="S378" s="6"/>
      <c r="T378" s="6"/>
      <c r="U378" s="6"/>
      <c r="V378" s="6"/>
      <c r="W378" s="6">
        <v>469730.01</v>
      </c>
      <c r="X378" s="6">
        <v>1</v>
      </c>
      <c r="Y378" s="6">
        <v>469730.01</v>
      </c>
      <c r="Z378" s="6">
        <v>3475133.18</v>
      </c>
      <c r="AA378" s="6">
        <v>1</v>
      </c>
      <c r="AB378" s="6">
        <v>3475133.18</v>
      </c>
    </row>
    <row r="379" spans="1:206" x14ac:dyDescent="0.3">
      <c r="A379" s="6">
        <v>50</v>
      </c>
      <c r="B379" s="6">
        <v>0</v>
      </c>
      <c r="C379" s="6">
        <v>0</v>
      </c>
      <c r="D379" s="6">
        <v>1</v>
      </c>
      <c r="E379" s="6">
        <v>223</v>
      </c>
      <c r="F379" s="6">
        <f>ROUND(Source!AQ369,O379)</f>
        <v>0</v>
      </c>
      <c r="G379" s="6" t="s">
        <v>93</v>
      </c>
      <c r="H379" s="6" t="s">
        <v>94</v>
      </c>
      <c r="I379" s="6"/>
      <c r="J379" s="6"/>
      <c r="K379" s="6">
        <v>223</v>
      </c>
      <c r="L379" s="6">
        <v>9</v>
      </c>
      <c r="M379" s="6">
        <v>3</v>
      </c>
      <c r="N379" s="6" t="s">
        <v>3</v>
      </c>
      <c r="O379" s="6">
        <v>2</v>
      </c>
      <c r="P379" s="6">
        <f>ROUND(Source!EI369,O379)</f>
        <v>0</v>
      </c>
      <c r="Q379" s="6"/>
      <c r="R379" s="6"/>
      <c r="S379" s="6"/>
      <c r="T379" s="6"/>
      <c r="U379" s="6"/>
      <c r="V379" s="6"/>
      <c r="W379" s="6">
        <v>0</v>
      </c>
      <c r="X379" s="6">
        <v>1</v>
      </c>
      <c r="Y379" s="6">
        <v>0</v>
      </c>
      <c r="Z379" s="6">
        <v>0</v>
      </c>
      <c r="AA379" s="6">
        <v>1</v>
      </c>
      <c r="AB379" s="6">
        <v>0</v>
      </c>
    </row>
    <row r="380" spans="1:206" x14ac:dyDescent="0.3">
      <c r="A380" s="6">
        <v>50</v>
      </c>
      <c r="B380" s="6">
        <v>0</v>
      </c>
      <c r="C380" s="6">
        <v>0</v>
      </c>
      <c r="D380" s="6">
        <v>1</v>
      </c>
      <c r="E380" s="6">
        <v>229</v>
      </c>
      <c r="F380" s="6">
        <f>ROUND(Source!AZ369,O380)</f>
        <v>469730.01</v>
      </c>
      <c r="G380" s="6" t="s">
        <v>95</v>
      </c>
      <c r="H380" s="6" t="s">
        <v>96</v>
      </c>
      <c r="I380" s="6"/>
      <c r="J380" s="6"/>
      <c r="K380" s="6">
        <v>229</v>
      </c>
      <c r="L380" s="6">
        <v>10</v>
      </c>
      <c r="M380" s="6">
        <v>3</v>
      </c>
      <c r="N380" s="6" t="s">
        <v>3</v>
      </c>
      <c r="O380" s="6">
        <v>2</v>
      </c>
      <c r="P380" s="6">
        <f>ROUND(Source!ER369,O380)</f>
        <v>3475133.18</v>
      </c>
      <c r="Q380" s="6"/>
      <c r="R380" s="6"/>
      <c r="S380" s="6"/>
      <c r="T380" s="6"/>
      <c r="U380" s="6"/>
      <c r="V380" s="6"/>
      <c r="W380" s="6">
        <v>469730.01</v>
      </c>
      <c r="X380" s="6">
        <v>1</v>
      </c>
      <c r="Y380" s="6">
        <v>469730.01</v>
      </c>
      <c r="Z380" s="6">
        <v>3475133.18</v>
      </c>
      <c r="AA380" s="6">
        <v>1</v>
      </c>
      <c r="AB380" s="6">
        <v>3475133.18</v>
      </c>
    </row>
    <row r="381" spans="1:206" x14ac:dyDescent="0.3">
      <c r="A381" s="6">
        <v>50</v>
      </c>
      <c r="B381" s="6">
        <v>0</v>
      </c>
      <c r="C381" s="6">
        <v>0</v>
      </c>
      <c r="D381" s="6">
        <v>1</v>
      </c>
      <c r="E381" s="6">
        <v>203</v>
      </c>
      <c r="F381" s="6">
        <f>ROUND(Source!Q369,O381)</f>
        <v>3132.9</v>
      </c>
      <c r="G381" s="6" t="s">
        <v>97</v>
      </c>
      <c r="H381" s="6" t="s">
        <v>98</v>
      </c>
      <c r="I381" s="6"/>
      <c r="J381" s="6"/>
      <c r="K381" s="6">
        <v>203</v>
      </c>
      <c r="L381" s="6">
        <v>11</v>
      </c>
      <c r="M381" s="6">
        <v>3</v>
      </c>
      <c r="N381" s="6" t="s">
        <v>3</v>
      </c>
      <c r="O381" s="6">
        <v>2</v>
      </c>
      <c r="P381" s="6">
        <f>ROUND(Source!DI369,O381)</f>
        <v>47046.61</v>
      </c>
      <c r="Q381" s="6"/>
      <c r="R381" s="6"/>
      <c r="S381" s="6"/>
      <c r="T381" s="6"/>
      <c r="U381" s="6"/>
      <c r="V381" s="6"/>
      <c r="W381" s="6">
        <v>3132.9</v>
      </c>
      <c r="X381" s="6">
        <v>1</v>
      </c>
      <c r="Y381" s="6">
        <v>3132.9</v>
      </c>
      <c r="Z381" s="6">
        <v>47046.61</v>
      </c>
      <c r="AA381" s="6">
        <v>1</v>
      </c>
      <c r="AB381" s="6">
        <v>47046.61</v>
      </c>
    </row>
    <row r="382" spans="1:206" x14ac:dyDescent="0.3">
      <c r="A382" s="6">
        <v>50</v>
      </c>
      <c r="B382" s="6">
        <v>0</v>
      </c>
      <c r="C382" s="6">
        <v>0</v>
      </c>
      <c r="D382" s="6">
        <v>1</v>
      </c>
      <c r="E382" s="6">
        <v>231</v>
      </c>
      <c r="F382" s="6">
        <f>ROUND(Source!BB369,O382)</f>
        <v>0</v>
      </c>
      <c r="G382" s="6" t="s">
        <v>99</v>
      </c>
      <c r="H382" s="6" t="s">
        <v>100</v>
      </c>
      <c r="I382" s="6"/>
      <c r="J382" s="6"/>
      <c r="K382" s="6">
        <v>231</v>
      </c>
      <c r="L382" s="6">
        <v>12</v>
      </c>
      <c r="M382" s="6">
        <v>3</v>
      </c>
      <c r="N382" s="6" t="s">
        <v>3</v>
      </c>
      <c r="O382" s="6">
        <v>2</v>
      </c>
      <c r="P382" s="6">
        <f>ROUND(Source!ET369,O382)</f>
        <v>0</v>
      </c>
      <c r="Q382" s="6"/>
      <c r="R382" s="6"/>
      <c r="S382" s="6"/>
      <c r="T382" s="6"/>
      <c r="U382" s="6"/>
      <c r="V382" s="6"/>
      <c r="W382" s="6">
        <v>0</v>
      </c>
      <c r="X382" s="6">
        <v>1</v>
      </c>
      <c r="Y382" s="6">
        <v>0</v>
      </c>
      <c r="Z382" s="6">
        <v>0</v>
      </c>
      <c r="AA382" s="6">
        <v>1</v>
      </c>
      <c r="AB382" s="6">
        <v>0</v>
      </c>
    </row>
    <row r="383" spans="1:206" x14ac:dyDescent="0.3">
      <c r="A383" s="6">
        <v>50</v>
      </c>
      <c r="B383" s="6">
        <v>0</v>
      </c>
      <c r="C383" s="6">
        <v>0</v>
      </c>
      <c r="D383" s="6">
        <v>1</v>
      </c>
      <c r="E383" s="6">
        <v>204</v>
      </c>
      <c r="F383" s="6">
        <f>ROUND(Source!R369,O383)</f>
        <v>324.23</v>
      </c>
      <c r="G383" s="6" t="s">
        <v>101</v>
      </c>
      <c r="H383" s="6" t="s">
        <v>102</v>
      </c>
      <c r="I383" s="6"/>
      <c r="J383" s="6"/>
      <c r="K383" s="6">
        <v>204</v>
      </c>
      <c r="L383" s="6">
        <v>13</v>
      </c>
      <c r="M383" s="6">
        <v>3</v>
      </c>
      <c r="N383" s="6" t="s">
        <v>3</v>
      </c>
      <c r="O383" s="6">
        <v>2</v>
      </c>
      <c r="P383" s="6">
        <f>ROUND(Source!DJ369,O383)</f>
        <v>17829.400000000001</v>
      </c>
      <c r="Q383" s="6"/>
      <c r="R383" s="6"/>
      <c r="S383" s="6"/>
      <c r="T383" s="6"/>
      <c r="U383" s="6"/>
      <c r="V383" s="6"/>
      <c r="W383" s="6">
        <v>324.23</v>
      </c>
      <c r="X383" s="6">
        <v>1</v>
      </c>
      <c r="Y383" s="6">
        <v>324.23</v>
      </c>
      <c r="Z383" s="6">
        <v>17829.400000000001</v>
      </c>
      <c r="AA383" s="6">
        <v>1</v>
      </c>
      <c r="AB383" s="6">
        <v>17829.400000000001</v>
      </c>
    </row>
    <row r="384" spans="1:206" x14ac:dyDescent="0.3">
      <c r="A384" s="6">
        <v>50</v>
      </c>
      <c r="B384" s="6">
        <v>0</v>
      </c>
      <c r="C384" s="6">
        <v>0</v>
      </c>
      <c r="D384" s="6">
        <v>1</v>
      </c>
      <c r="E384" s="6">
        <v>205</v>
      </c>
      <c r="F384" s="6">
        <f>ROUND(Source!S369,O384)</f>
        <v>35959.230000000003</v>
      </c>
      <c r="G384" s="6" t="s">
        <v>103</v>
      </c>
      <c r="H384" s="6" t="s">
        <v>104</v>
      </c>
      <c r="I384" s="6"/>
      <c r="J384" s="6"/>
      <c r="K384" s="6">
        <v>205</v>
      </c>
      <c r="L384" s="6">
        <v>14</v>
      </c>
      <c r="M384" s="6">
        <v>3</v>
      </c>
      <c r="N384" s="6" t="s">
        <v>3</v>
      </c>
      <c r="O384" s="6">
        <v>2</v>
      </c>
      <c r="P384" s="6">
        <f>ROUND(Source!DK369,O384)</f>
        <v>1977398.06</v>
      </c>
      <c r="Q384" s="6"/>
      <c r="R384" s="6"/>
      <c r="S384" s="6"/>
      <c r="T384" s="6"/>
      <c r="U384" s="6"/>
      <c r="V384" s="6"/>
      <c r="W384" s="6">
        <v>35959.230000000003</v>
      </c>
      <c r="X384" s="6">
        <v>1</v>
      </c>
      <c r="Y384" s="6">
        <v>35959.230000000003</v>
      </c>
      <c r="Z384" s="6">
        <v>1977398.06</v>
      </c>
      <c r="AA384" s="6">
        <v>1</v>
      </c>
      <c r="AB384" s="6">
        <v>1977398.06</v>
      </c>
    </row>
    <row r="385" spans="1:206" x14ac:dyDescent="0.3">
      <c r="A385" s="6">
        <v>50</v>
      </c>
      <c r="B385" s="6">
        <v>0</v>
      </c>
      <c r="C385" s="6">
        <v>0</v>
      </c>
      <c r="D385" s="6">
        <v>1</v>
      </c>
      <c r="E385" s="6">
        <v>232</v>
      </c>
      <c r="F385" s="6">
        <f>ROUND(Source!BC369,O385)</f>
        <v>0</v>
      </c>
      <c r="G385" s="6" t="s">
        <v>105</v>
      </c>
      <c r="H385" s="6" t="s">
        <v>106</v>
      </c>
      <c r="I385" s="6"/>
      <c r="J385" s="6"/>
      <c r="K385" s="6">
        <v>232</v>
      </c>
      <c r="L385" s="6">
        <v>15</v>
      </c>
      <c r="M385" s="6">
        <v>3</v>
      </c>
      <c r="N385" s="6" t="s">
        <v>3</v>
      </c>
      <c r="O385" s="6">
        <v>2</v>
      </c>
      <c r="P385" s="6">
        <f>ROUND(Source!EU369,O385)</f>
        <v>0</v>
      </c>
      <c r="Q385" s="6"/>
      <c r="R385" s="6"/>
      <c r="S385" s="6"/>
      <c r="T385" s="6"/>
      <c r="U385" s="6"/>
      <c r="V385" s="6"/>
      <c r="W385" s="6">
        <v>0</v>
      </c>
      <c r="X385" s="6">
        <v>1</v>
      </c>
      <c r="Y385" s="6">
        <v>0</v>
      </c>
      <c r="Z385" s="6">
        <v>0</v>
      </c>
      <c r="AA385" s="6">
        <v>1</v>
      </c>
      <c r="AB385" s="6">
        <v>0</v>
      </c>
    </row>
    <row r="386" spans="1:206" x14ac:dyDescent="0.3">
      <c r="A386" s="6">
        <v>50</v>
      </c>
      <c r="B386" s="6">
        <v>0</v>
      </c>
      <c r="C386" s="6">
        <v>0</v>
      </c>
      <c r="D386" s="6">
        <v>1</v>
      </c>
      <c r="E386" s="6">
        <v>214</v>
      </c>
      <c r="F386" s="6">
        <f>ROUND(Source!AS369,O386)</f>
        <v>0</v>
      </c>
      <c r="G386" s="6" t="s">
        <v>107</v>
      </c>
      <c r="H386" s="6" t="s">
        <v>108</v>
      </c>
      <c r="I386" s="6"/>
      <c r="J386" s="6"/>
      <c r="K386" s="6">
        <v>214</v>
      </c>
      <c r="L386" s="6">
        <v>16</v>
      </c>
      <c r="M386" s="6">
        <v>3</v>
      </c>
      <c r="N386" s="6" t="s">
        <v>3</v>
      </c>
      <c r="O386" s="6">
        <v>2</v>
      </c>
      <c r="P386" s="6">
        <f>ROUND(Source!EK369,O386)</f>
        <v>0</v>
      </c>
      <c r="Q386" s="6"/>
      <c r="R386" s="6"/>
      <c r="S386" s="6"/>
      <c r="T386" s="6"/>
      <c r="U386" s="6"/>
      <c r="V386" s="6"/>
      <c r="W386" s="6">
        <v>0</v>
      </c>
      <c r="X386" s="6">
        <v>1</v>
      </c>
      <c r="Y386" s="6">
        <v>0</v>
      </c>
      <c r="Z386" s="6">
        <v>0</v>
      </c>
      <c r="AA386" s="6">
        <v>1</v>
      </c>
      <c r="AB386" s="6">
        <v>0</v>
      </c>
    </row>
    <row r="387" spans="1:206" x14ac:dyDescent="0.3">
      <c r="A387" s="6">
        <v>50</v>
      </c>
      <c r="B387" s="6">
        <v>0</v>
      </c>
      <c r="C387" s="6">
        <v>0</v>
      </c>
      <c r="D387" s="6">
        <v>1</v>
      </c>
      <c r="E387" s="6">
        <v>215</v>
      </c>
      <c r="F387" s="6">
        <f>ROUND(Source!AT369,O387)</f>
        <v>548472.67000000004</v>
      </c>
      <c r="G387" s="6" t="s">
        <v>109</v>
      </c>
      <c r="H387" s="6" t="s">
        <v>110</v>
      </c>
      <c r="I387" s="6"/>
      <c r="J387" s="6"/>
      <c r="K387" s="6">
        <v>215</v>
      </c>
      <c r="L387" s="6">
        <v>17</v>
      </c>
      <c r="M387" s="6">
        <v>3</v>
      </c>
      <c r="N387" s="6" t="s">
        <v>3</v>
      </c>
      <c r="O387" s="6">
        <v>2</v>
      </c>
      <c r="P387" s="6">
        <f>ROUND(Source!EL369,O387)</f>
        <v>8650888.5500000007</v>
      </c>
      <c r="Q387" s="6"/>
      <c r="R387" s="6"/>
      <c r="S387" s="6"/>
      <c r="T387" s="6"/>
      <c r="U387" s="6"/>
      <c r="V387" s="6"/>
      <c r="W387" s="6">
        <v>548472.67000000004</v>
      </c>
      <c r="X387" s="6">
        <v>1</v>
      </c>
      <c r="Y387" s="6">
        <v>548472.67000000004</v>
      </c>
      <c r="Z387" s="6">
        <v>8650888.5500000007</v>
      </c>
      <c r="AA387" s="6">
        <v>1</v>
      </c>
      <c r="AB387" s="6">
        <v>8650888.5500000007</v>
      </c>
    </row>
    <row r="388" spans="1:206" x14ac:dyDescent="0.3">
      <c r="A388" s="6">
        <v>50</v>
      </c>
      <c r="B388" s="6">
        <v>0</v>
      </c>
      <c r="C388" s="6">
        <v>0</v>
      </c>
      <c r="D388" s="6">
        <v>1</v>
      </c>
      <c r="E388" s="6">
        <v>217</v>
      </c>
      <c r="F388" s="6">
        <f>ROUND(Source!AU369,O388)</f>
        <v>0</v>
      </c>
      <c r="G388" s="6" t="s">
        <v>111</v>
      </c>
      <c r="H388" s="6" t="s">
        <v>112</v>
      </c>
      <c r="I388" s="6"/>
      <c r="J388" s="6"/>
      <c r="K388" s="6">
        <v>217</v>
      </c>
      <c r="L388" s="6">
        <v>18</v>
      </c>
      <c r="M388" s="6">
        <v>3</v>
      </c>
      <c r="N388" s="6" t="s">
        <v>3</v>
      </c>
      <c r="O388" s="6">
        <v>2</v>
      </c>
      <c r="P388" s="6">
        <f>ROUND(Source!EM369,O388)</f>
        <v>0</v>
      </c>
      <c r="Q388" s="6"/>
      <c r="R388" s="6"/>
      <c r="S388" s="6"/>
      <c r="T388" s="6"/>
      <c r="U388" s="6"/>
      <c r="V388" s="6"/>
      <c r="W388" s="6">
        <v>0</v>
      </c>
      <c r="X388" s="6">
        <v>1</v>
      </c>
      <c r="Y388" s="6">
        <v>0</v>
      </c>
      <c r="Z388" s="6">
        <v>0</v>
      </c>
      <c r="AA388" s="6">
        <v>1</v>
      </c>
      <c r="AB388" s="6">
        <v>0</v>
      </c>
    </row>
    <row r="389" spans="1:206" x14ac:dyDescent="0.3">
      <c r="A389" s="6">
        <v>50</v>
      </c>
      <c r="B389" s="6">
        <v>0</v>
      </c>
      <c r="C389" s="6">
        <v>0</v>
      </c>
      <c r="D389" s="6">
        <v>1</v>
      </c>
      <c r="E389" s="6">
        <v>230</v>
      </c>
      <c r="F389" s="6">
        <f>ROUND(Source!BA369,O389)</f>
        <v>0</v>
      </c>
      <c r="G389" s="6" t="s">
        <v>113</v>
      </c>
      <c r="H389" s="6" t="s">
        <v>114</v>
      </c>
      <c r="I389" s="6"/>
      <c r="J389" s="6"/>
      <c r="K389" s="6">
        <v>230</v>
      </c>
      <c r="L389" s="6">
        <v>19</v>
      </c>
      <c r="M389" s="6">
        <v>3</v>
      </c>
      <c r="N389" s="6" t="s">
        <v>3</v>
      </c>
      <c r="O389" s="6">
        <v>2</v>
      </c>
      <c r="P389" s="6">
        <f>ROUND(Source!ES369,O389)</f>
        <v>0</v>
      </c>
      <c r="Q389" s="6"/>
      <c r="R389" s="6"/>
      <c r="S389" s="6"/>
      <c r="T389" s="6"/>
      <c r="U389" s="6"/>
      <c r="V389" s="6"/>
      <c r="W389" s="6">
        <v>0</v>
      </c>
      <c r="X389" s="6">
        <v>1</v>
      </c>
      <c r="Y389" s="6">
        <v>0</v>
      </c>
      <c r="Z389" s="6">
        <v>0</v>
      </c>
      <c r="AA389" s="6">
        <v>1</v>
      </c>
      <c r="AB389" s="6">
        <v>0</v>
      </c>
    </row>
    <row r="390" spans="1:206" x14ac:dyDescent="0.3">
      <c r="A390" s="6">
        <v>50</v>
      </c>
      <c r="B390" s="6">
        <v>0</v>
      </c>
      <c r="C390" s="6">
        <v>0</v>
      </c>
      <c r="D390" s="6">
        <v>1</v>
      </c>
      <c r="E390" s="6">
        <v>206</v>
      </c>
      <c r="F390" s="6">
        <f>ROUND(Source!T369,O390)</f>
        <v>0</v>
      </c>
      <c r="G390" s="6" t="s">
        <v>115</v>
      </c>
      <c r="H390" s="6" t="s">
        <v>116</v>
      </c>
      <c r="I390" s="6"/>
      <c r="J390" s="6"/>
      <c r="K390" s="6">
        <v>206</v>
      </c>
      <c r="L390" s="6">
        <v>20</v>
      </c>
      <c r="M390" s="6">
        <v>3</v>
      </c>
      <c r="N390" s="6" t="s">
        <v>3</v>
      </c>
      <c r="O390" s="6">
        <v>2</v>
      </c>
      <c r="P390" s="6">
        <f>ROUND(Source!DL369,O390)</f>
        <v>0</v>
      </c>
      <c r="Q390" s="6"/>
      <c r="R390" s="6"/>
      <c r="S390" s="6"/>
      <c r="T390" s="6"/>
      <c r="U390" s="6"/>
      <c r="V390" s="6"/>
      <c r="W390" s="6">
        <v>0</v>
      </c>
      <c r="X390" s="6">
        <v>1</v>
      </c>
      <c r="Y390" s="6">
        <v>0</v>
      </c>
      <c r="Z390" s="6">
        <v>0</v>
      </c>
      <c r="AA390" s="6">
        <v>1</v>
      </c>
      <c r="AB390" s="6">
        <v>0</v>
      </c>
    </row>
    <row r="391" spans="1:206" x14ac:dyDescent="0.3">
      <c r="A391" s="6">
        <v>50</v>
      </c>
      <c r="B391" s="6">
        <v>0</v>
      </c>
      <c r="C391" s="6">
        <v>0</v>
      </c>
      <c r="D391" s="6">
        <v>1</v>
      </c>
      <c r="E391" s="6">
        <v>207</v>
      </c>
      <c r="F391" s="6">
        <f>Source!U369</f>
        <v>3008.2474253700002</v>
      </c>
      <c r="G391" s="6" t="s">
        <v>117</v>
      </c>
      <c r="H391" s="6" t="s">
        <v>118</v>
      </c>
      <c r="I391" s="6"/>
      <c r="J391" s="6"/>
      <c r="K391" s="6">
        <v>207</v>
      </c>
      <c r="L391" s="6">
        <v>21</v>
      </c>
      <c r="M391" s="6">
        <v>3</v>
      </c>
      <c r="N391" s="6" t="s">
        <v>3</v>
      </c>
      <c r="O391" s="6">
        <v>-1</v>
      </c>
      <c r="P391" s="6">
        <f>Source!DM369</f>
        <v>3008.2474253700002</v>
      </c>
      <c r="Q391" s="6"/>
      <c r="R391" s="6"/>
      <c r="S391" s="6"/>
      <c r="T391" s="6"/>
      <c r="U391" s="6"/>
      <c r="V391" s="6"/>
      <c r="W391" s="6">
        <v>3008.2474253699997</v>
      </c>
      <c r="X391" s="6">
        <v>1</v>
      </c>
      <c r="Y391" s="6">
        <v>3008.2474253699997</v>
      </c>
      <c r="Z391" s="6">
        <v>3008.2474253699997</v>
      </c>
      <c r="AA391" s="6">
        <v>1</v>
      </c>
      <c r="AB391" s="6">
        <v>3008.2474253699997</v>
      </c>
    </row>
    <row r="392" spans="1:206" x14ac:dyDescent="0.3">
      <c r="A392" s="6">
        <v>50</v>
      </c>
      <c r="B392" s="6">
        <v>0</v>
      </c>
      <c r="C392" s="6">
        <v>0</v>
      </c>
      <c r="D392" s="6">
        <v>1</v>
      </c>
      <c r="E392" s="6">
        <v>208</v>
      </c>
      <c r="F392" s="6">
        <f>Source!V369</f>
        <v>0</v>
      </c>
      <c r="G392" s="6" t="s">
        <v>119</v>
      </c>
      <c r="H392" s="6" t="s">
        <v>120</v>
      </c>
      <c r="I392" s="6"/>
      <c r="J392" s="6"/>
      <c r="K392" s="6">
        <v>208</v>
      </c>
      <c r="L392" s="6">
        <v>22</v>
      </c>
      <c r="M392" s="6">
        <v>3</v>
      </c>
      <c r="N392" s="6" t="s">
        <v>3</v>
      </c>
      <c r="O392" s="6">
        <v>-1</v>
      </c>
      <c r="P392" s="6">
        <f>Source!DN369</f>
        <v>0</v>
      </c>
      <c r="Q392" s="6"/>
      <c r="R392" s="6"/>
      <c r="S392" s="6"/>
      <c r="T392" s="6"/>
      <c r="U392" s="6"/>
      <c r="V392" s="6"/>
      <c r="W392" s="6">
        <v>0</v>
      </c>
      <c r="X392" s="6">
        <v>1</v>
      </c>
      <c r="Y392" s="6">
        <v>0</v>
      </c>
      <c r="Z392" s="6">
        <v>0</v>
      </c>
      <c r="AA392" s="6">
        <v>1</v>
      </c>
      <c r="AB392" s="6">
        <v>0</v>
      </c>
    </row>
    <row r="393" spans="1:206" x14ac:dyDescent="0.3">
      <c r="A393" s="6">
        <v>50</v>
      </c>
      <c r="B393" s="6">
        <v>0</v>
      </c>
      <c r="C393" s="6">
        <v>0</v>
      </c>
      <c r="D393" s="6">
        <v>1</v>
      </c>
      <c r="E393" s="6">
        <v>209</v>
      </c>
      <c r="F393" s="6">
        <f>ROUND(Source!W369,O393)</f>
        <v>0</v>
      </c>
      <c r="G393" s="6" t="s">
        <v>121</v>
      </c>
      <c r="H393" s="6" t="s">
        <v>122</v>
      </c>
      <c r="I393" s="6"/>
      <c r="J393" s="6"/>
      <c r="K393" s="6">
        <v>209</v>
      </c>
      <c r="L393" s="6">
        <v>23</v>
      </c>
      <c r="M393" s="6">
        <v>3</v>
      </c>
      <c r="N393" s="6" t="s">
        <v>3</v>
      </c>
      <c r="O393" s="6">
        <v>2</v>
      </c>
      <c r="P393" s="6">
        <f>ROUND(Source!DO369,O393)</f>
        <v>0</v>
      </c>
      <c r="Q393" s="6"/>
      <c r="R393" s="6"/>
      <c r="S393" s="6"/>
      <c r="T393" s="6"/>
      <c r="U393" s="6"/>
      <c r="V393" s="6"/>
      <c r="W393" s="6">
        <v>0</v>
      </c>
      <c r="X393" s="6">
        <v>1</v>
      </c>
      <c r="Y393" s="6">
        <v>0</v>
      </c>
      <c r="Z393" s="6">
        <v>0</v>
      </c>
      <c r="AA393" s="6">
        <v>1</v>
      </c>
      <c r="AB393" s="6">
        <v>0</v>
      </c>
    </row>
    <row r="394" spans="1:206" x14ac:dyDescent="0.3">
      <c r="A394" s="6">
        <v>50</v>
      </c>
      <c r="B394" s="6">
        <v>0</v>
      </c>
      <c r="C394" s="6">
        <v>0</v>
      </c>
      <c r="D394" s="6">
        <v>1</v>
      </c>
      <c r="E394" s="6">
        <v>233</v>
      </c>
      <c r="F394" s="6">
        <f>ROUND(Source!BD369,O394)</f>
        <v>0</v>
      </c>
      <c r="G394" s="6" t="s">
        <v>123</v>
      </c>
      <c r="H394" s="6" t="s">
        <v>124</v>
      </c>
      <c r="I394" s="6"/>
      <c r="J394" s="6"/>
      <c r="K394" s="6">
        <v>233</v>
      </c>
      <c r="L394" s="6">
        <v>24</v>
      </c>
      <c r="M394" s="6">
        <v>3</v>
      </c>
      <c r="N394" s="6" t="s">
        <v>3</v>
      </c>
      <c r="O394" s="6">
        <v>2</v>
      </c>
      <c r="P394" s="6">
        <f>ROUND(Source!EV369,O394)</f>
        <v>0</v>
      </c>
      <c r="Q394" s="6"/>
      <c r="R394" s="6"/>
      <c r="S394" s="6"/>
      <c r="T394" s="6"/>
      <c r="U394" s="6"/>
      <c r="V394" s="6"/>
      <c r="W394" s="6">
        <v>0</v>
      </c>
      <c r="X394" s="6">
        <v>1</v>
      </c>
      <c r="Y394" s="6">
        <v>0</v>
      </c>
      <c r="Z394" s="6">
        <v>0</v>
      </c>
      <c r="AA394" s="6">
        <v>1</v>
      </c>
      <c r="AB394" s="6">
        <v>0</v>
      </c>
    </row>
    <row r="395" spans="1:206" x14ac:dyDescent="0.3">
      <c r="A395" s="6">
        <v>50</v>
      </c>
      <c r="B395" s="6">
        <v>0</v>
      </c>
      <c r="C395" s="6">
        <v>0</v>
      </c>
      <c r="D395" s="6">
        <v>1</v>
      </c>
      <c r="E395" s="6">
        <v>210</v>
      </c>
      <c r="F395" s="6">
        <f>ROUND(Source!X369,O395)</f>
        <v>33100.57</v>
      </c>
      <c r="G395" s="6" t="s">
        <v>125</v>
      </c>
      <c r="H395" s="6" t="s">
        <v>126</v>
      </c>
      <c r="I395" s="6"/>
      <c r="J395" s="6"/>
      <c r="K395" s="6">
        <v>210</v>
      </c>
      <c r="L395" s="6">
        <v>25</v>
      </c>
      <c r="M395" s="6">
        <v>3</v>
      </c>
      <c r="N395" s="6" t="s">
        <v>3</v>
      </c>
      <c r="O395" s="6">
        <v>2</v>
      </c>
      <c r="P395" s="6">
        <f>ROUND(Source!DP369,O395)</f>
        <v>1820200.59</v>
      </c>
      <c r="Q395" s="6"/>
      <c r="R395" s="6"/>
      <c r="S395" s="6"/>
      <c r="T395" s="6"/>
      <c r="U395" s="6"/>
      <c r="V395" s="6"/>
      <c r="W395" s="6">
        <v>33100.57</v>
      </c>
      <c r="X395" s="6">
        <v>1</v>
      </c>
      <c r="Y395" s="6">
        <v>33100.57</v>
      </c>
      <c r="Z395" s="6">
        <v>1820200.59</v>
      </c>
      <c r="AA395" s="6">
        <v>1</v>
      </c>
      <c r="AB395" s="6">
        <v>1820200.59</v>
      </c>
    </row>
    <row r="396" spans="1:206" x14ac:dyDescent="0.3">
      <c r="A396" s="6">
        <v>50</v>
      </c>
      <c r="B396" s="6">
        <v>0</v>
      </c>
      <c r="C396" s="6">
        <v>0</v>
      </c>
      <c r="D396" s="6">
        <v>1</v>
      </c>
      <c r="E396" s="6">
        <v>211</v>
      </c>
      <c r="F396" s="6">
        <f>ROUND(Source!Y369,O396)</f>
        <v>17008.57</v>
      </c>
      <c r="G396" s="6" t="s">
        <v>127</v>
      </c>
      <c r="H396" s="6" t="s">
        <v>128</v>
      </c>
      <c r="I396" s="6"/>
      <c r="J396" s="6"/>
      <c r="K396" s="6">
        <v>211</v>
      </c>
      <c r="L396" s="6">
        <v>26</v>
      </c>
      <c r="M396" s="6">
        <v>3</v>
      </c>
      <c r="N396" s="6" t="s">
        <v>3</v>
      </c>
      <c r="O396" s="6">
        <v>2</v>
      </c>
      <c r="P396" s="6">
        <f>ROUND(Source!DQ369,O396)</f>
        <v>935301.67</v>
      </c>
      <c r="Q396" s="6"/>
      <c r="R396" s="6"/>
      <c r="S396" s="6"/>
      <c r="T396" s="6"/>
      <c r="U396" s="6"/>
      <c r="V396" s="6"/>
      <c r="W396" s="6">
        <v>17008.57</v>
      </c>
      <c r="X396" s="6">
        <v>1</v>
      </c>
      <c r="Y396" s="6">
        <v>17008.57</v>
      </c>
      <c r="Z396" s="6">
        <v>935301.67</v>
      </c>
      <c r="AA396" s="6">
        <v>1</v>
      </c>
      <c r="AB396" s="6">
        <v>935301.67</v>
      </c>
    </row>
    <row r="397" spans="1:206" x14ac:dyDescent="0.3">
      <c r="A397" s="6">
        <v>50</v>
      </c>
      <c r="B397" s="6">
        <v>0</v>
      </c>
      <c r="C397" s="6">
        <v>0</v>
      </c>
      <c r="D397" s="6">
        <v>1</v>
      </c>
      <c r="E397" s="6">
        <v>224</v>
      </c>
      <c r="F397" s="6">
        <f>ROUND(Source!AR369,O397)</f>
        <v>1018202.68</v>
      </c>
      <c r="G397" s="6" t="s">
        <v>129</v>
      </c>
      <c r="H397" s="6" t="s">
        <v>130</v>
      </c>
      <c r="I397" s="6"/>
      <c r="J397" s="6"/>
      <c r="K397" s="6">
        <v>224</v>
      </c>
      <c r="L397" s="6">
        <v>27</v>
      </c>
      <c r="M397" s="6">
        <v>3</v>
      </c>
      <c r="N397" s="6" t="s">
        <v>3</v>
      </c>
      <c r="O397" s="6">
        <v>2</v>
      </c>
      <c r="P397" s="6">
        <f>ROUND(Source!EJ369,O397)</f>
        <v>12126021.73</v>
      </c>
      <c r="Q397" s="6"/>
      <c r="R397" s="6"/>
      <c r="S397" s="6"/>
      <c r="T397" s="6"/>
      <c r="U397" s="6"/>
      <c r="V397" s="6"/>
      <c r="W397" s="6">
        <v>1018202.68</v>
      </c>
      <c r="X397" s="6">
        <v>1</v>
      </c>
      <c r="Y397" s="6">
        <v>1018202.68</v>
      </c>
      <c r="Z397" s="6">
        <v>12126021.73</v>
      </c>
      <c r="AA397" s="6">
        <v>1</v>
      </c>
      <c r="AB397" s="6">
        <v>12126021.73</v>
      </c>
    </row>
    <row r="399" spans="1:206" x14ac:dyDescent="0.3">
      <c r="A399" s="4">
        <v>51</v>
      </c>
      <c r="B399" s="4">
        <f>B12</f>
        <v>438</v>
      </c>
      <c r="C399" s="4">
        <f>A12</f>
        <v>1</v>
      </c>
      <c r="D399" s="4">
        <f>ROW(A12)</f>
        <v>12</v>
      </c>
      <c r="E399" s="4"/>
      <c r="F399" s="4" t="str">
        <f>IF(F12&lt;&gt;"",F12,"")</f>
        <v>02-01-12</v>
      </c>
      <c r="G399" s="4" t="str">
        <f>IF(G12&lt;&gt;"",G12,"")</f>
        <v>02-01-12 СКС</v>
      </c>
      <c r="H399" s="4">
        <v>0</v>
      </c>
      <c r="I399" s="4"/>
      <c r="J399" s="4"/>
      <c r="K399" s="4"/>
      <c r="L399" s="4"/>
      <c r="M399" s="4"/>
      <c r="N399" s="4"/>
      <c r="O399" s="4">
        <f t="shared" ref="O399:T399" si="345">ROUND(O369,2)</f>
        <v>968093.54</v>
      </c>
      <c r="P399" s="4">
        <f t="shared" si="345"/>
        <v>929001.41</v>
      </c>
      <c r="Q399" s="4">
        <f t="shared" si="345"/>
        <v>3132.9</v>
      </c>
      <c r="R399" s="4">
        <f t="shared" si="345"/>
        <v>324.23</v>
      </c>
      <c r="S399" s="4">
        <f t="shared" si="345"/>
        <v>35959.230000000003</v>
      </c>
      <c r="T399" s="4">
        <f t="shared" si="345"/>
        <v>0</v>
      </c>
      <c r="U399" s="4">
        <f>U369</f>
        <v>3008.2474253700002</v>
      </c>
      <c r="V399" s="4">
        <f>V369</f>
        <v>0</v>
      </c>
      <c r="W399" s="4">
        <f>ROUND(W369,2)</f>
        <v>0</v>
      </c>
      <c r="X399" s="4">
        <f>ROUND(X369,2)</f>
        <v>33100.57</v>
      </c>
      <c r="Y399" s="4">
        <f>ROUND(Y369,2)</f>
        <v>17008.57</v>
      </c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>
        <f t="shared" ref="AO399:BD399" si="346">ROUND(AO369,2)</f>
        <v>0</v>
      </c>
      <c r="AP399" s="4">
        <f t="shared" si="346"/>
        <v>469730.01</v>
      </c>
      <c r="AQ399" s="4">
        <f t="shared" si="346"/>
        <v>0</v>
      </c>
      <c r="AR399" s="4">
        <f t="shared" si="346"/>
        <v>1018202.68</v>
      </c>
      <c r="AS399" s="4">
        <f t="shared" si="346"/>
        <v>0</v>
      </c>
      <c r="AT399" s="4">
        <f t="shared" si="346"/>
        <v>548472.67000000004</v>
      </c>
      <c r="AU399" s="4">
        <f t="shared" si="346"/>
        <v>0</v>
      </c>
      <c r="AV399" s="4">
        <f t="shared" si="346"/>
        <v>929001.41</v>
      </c>
      <c r="AW399" s="4">
        <f t="shared" si="346"/>
        <v>459271.4</v>
      </c>
      <c r="AX399" s="4">
        <f t="shared" si="346"/>
        <v>0</v>
      </c>
      <c r="AY399" s="4">
        <f t="shared" si="346"/>
        <v>459271.4</v>
      </c>
      <c r="AZ399" s="4">
        <f t="shared" si="346"/>
        <v>469730.01</v>
      </c>
      <c r="BA399" s="4">
        <f t="shared" si="346"/>
        <v>0</v>
      </c>
      <c r="BB399" s="4">
        <f t="shared" si="346"/>
        <v>0</v>
      </c>
      <c r="BC399" s="4">
        <f t="shared" si="346"/>
        <v>0</v>
      </c>
      <c r="BD399" s="4">
        <f t="shared" si="346"/>
        <v>0</v>
      </c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5">
        <f t="shared" ref="DG399:DL399" si="347">ROUND(DG369,2)</f>
        <v>9370519.4700000007</v>
      </c>
      <c r="DH399" s="5">
        <f t="shared" si="347"/>
        <v>7346074.7999999998</v>
      </c>
      <c r="DI399" s="5">
        <f t="shared" si="347"/>
        <v>47046.61</v>
      </c>
      <c r="DJ399" s="5">
        <f t="shared" si="347"/>
        <v>17829.400000000001</v>
      </c>
      <c r="DK399" s="5">
        <f t="shared" si="347"/>
        <v>1977398.06</v>
      </c>
      <c r="DL399" s="5">
        <f t="shared" si="347"/>
        <v>0</v>
      </c>
      <c r="DM399" s="5">
        <f>DM369</f>
        <v>3008.2474253700002</v>
      </c>
      <c r="DN399" s="5">
        <f>DN369</f>
        <v>0</v>
      </c>
      <c r="DO399" s="5">
        <f>ROUND(DO369,2)</f>
        <v>0</v>
      </c>
      <c r="DP399" s="5">
        <f>ROUND(DP369,2)</f>
        <v>1820200.59</v>
      </c>
      <c r="DQ399" s="5">
        <f>ROUND(DQ369,2)</f>
        <v>935301.67</v>
      </c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>
        <f t="shared" ref="EG399:EV399" si="348">ROUND(EG369,2)</f>
        <v>0</v>
      </c>
      <c r="EH399" s="5">
        <f t="shared" si="348"/>
        <v>3475133.18</v>
      </c>
      <c r="EI399" s="5">
        <f t="shared" si="348"/>
        <v>0</v>
      </c>
      <c r="EJ399" s="5">
        <f t="shared" si="348"/>
        <v>12126021.73</v>
      </c>
      <c r="EK399" s="5">
        <f t="shared" si="348"/>
        <v>0</v>
      </c>
      <c r="EL399" s="5">
        <f t="shared" si="348"/>
        <v>8650888.5500000007</v>
      </c>
      <c r="EM399" s="5">
        <f t="shared" si="348"/>
        <v>0</v>
      </c>
      <c r="EN399" s="5">
        <f t="shared" si="348"/>
        <v>7346074.7999999998</v>
      </c>
      <c r="EO399" s="5">
        <f t="shared" si="348"/>
        <v>3870941.62</v>
      </c>
      <c r="EP399" s="5">
        <f t="shared" si="348"/>
        <v>0</v>
      </c>
      <c r="EQ399" s="5">
        <f t="shared" si="348"/>
        <v>3870941.62</v>
      </c>
      <c r="ER399" s="5">
        <f t="shared" si="348"/>
        <v>3475133.18</v>
      </c>
      <c r="ES399" s="5">
        <f t="shared" si="348"/>
        <v>0</v>
      </c>
      <c r="ET399" s="5">
        <f t="shared" si="348"/>
        <v>0</v>
      </c>
      <c r="EU399" s="5">
        <f t="shared" si="348"/>
        <v>0</v>
      </c>
      <c r="EV399" s="5">
        <f t="shared" si="348"/>
        <v>0</v>
      </c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>
        <v>0</v>
      </c>
    </row>
    <row r="401" spans="1:28" x14ac:dyDescent="0.3">
      <c r="A401" s="6">
        <v>50</v>
      </c>
      <c r="B401" s="6">
        <v>0</v>
      </c>
      <c r="C401" s="6">
        <v>0</v>
      </c>
      <c r="D401" s="6">
        <v>1</v>
      </c>
      <c r="E401" s="6">
        <v>201</v>
      </c>
      <c r="F401" s="6">
        <f>ROUND(Source!O399,O401)</f>
        <v>968093.54</v>
      </c>
      <c r="G401" s="6" t="s">
        <v>77</v>
      </c>
      <c r="H401" s="6" t="s">
        <v>78</v>
      </c>
      <c r="I401" s="6"/>
      <c r="J401" s="6"/>
      <c r="K401" s="6">
        <v>201</v>
      </c>
      <c r="L401" s="6">
        <v>1</v>
      </c>
      <c r="M401" s="6">
        <v>3</v>
      </c>
      <c r="N401" s="6" t="s">
        <v>3</v>
      </c>
      <c r="O401" s="6">
        <v>2</v>
      </c>
      <c r="P401" s="6">
        <f>ROUND(Source!DG399,O401)</f>
        <v>9370519.4700000007</v>
      </c>
      <c r="Q401" s="6"/>
      <c r="R401" s="6"/>
      <c r="S401" s="6"/>
      <c r="T401" s="6"/>
      <c r="U401" s="6"/>
      <c r="V401" s="6"/>
      <c r="W401" s="6">
        <v>968093.54</v>
      </c>
      <c r="X401" s="6">
        <v>1</v>
      </c>
      <c r="Y401" s="6">
        <v>968093.54</v>
      </c>
      <c r="Z401" s="6">
        <v>9370519.4700000007</v>
      </c>
      <c r="AA401" s="6">
        <v>1</v>
      </c>
      <c r="AB401" s="6">
        <v>9370519.4700000007</v>
      </c>
    </row>
    <row r="402" spans="1:28" x14ac:dyDescent="0.3">
      <c r="A402" s="6">
        <v>50</v>
      </c>
      <c r="B402" s="6">
        <v>0</v>
      </c>
      <c r="C402" s="6">
        <v>0</v>
      </c>
      <c r="D402" s="6">
        <v>1</v>
      </c>
      <c r="E402" s="6">
        <v>202</v>
      </c>
      <c r="F402" s="6">
        <f>ROUND(Source!P399,O402)</f>
        <v>929001.41</v>
      </c>
      <c r="G402" s="6" t="s">
        <v>79</v>
      </c>
      <c r="H402" s="6" t="s">
        <v>80</v>
      </c>
      <c r="I402" s="6"/>
      <c r="J402" s="6"/>
      <c r="K402" s="6">
        <v>202</v>
      </c>
      <c r="L402" s="6">
        <v>2</v>
      </c>
      <c r="M402" s="6">
        <v>3</v>
      </c>
      <c r="N402" s="6" t="s">
        <v>3</v>
      </c>
      <c r="O402" s="6">
        <v>2</v>
      </c>
      <c r="P402" s="6">
        <f>ROUND(Source!DH399,O402)</f>
        <v>7346074.7999999998</v>
      </c>
      <c r="Q402" s="6"/>
      <c r="R402" s="6"/>
      <c r="S402" s="6"/>
      <c r="T402" s="6"/>
      <c r="U402" s="6"/>
      <c r="V402" s="6"/>
      <c r="W402" s="6">
        <v>929001.41</v>
      </c>
      <c r="X402" s="6">
        <v>1</v>
      </c>
      <c r="Y402" s="6">
        <v>929001.41</v>
      </c>
      <c r="Z402" s="6">
        <v>7346074.7999999998</v>
      </c>
      <c r="AA402" s="6">
        <v>1</v>
      </c>
      <c r="AB402" s="6">
        <v>7346074.7999999998</v>
      </c>
    </row>
    <row r="403" spans="1:28" x14ac:dyDescent="0.3">
      <c r="A403" s="6">
        <v>50</v>
      </c>
      <c r="B403" s="6">
        <v>0</v>
      </c>
      <c r="C403" s="6">
        <v>0</v>
      </c>
      <c r="D403" s="6">
        <v>1</v>
      </c>
      <c r="E403" s="6">
        <v>222</v>
      </c>
      <c r="F403" s="6">
        <f>ROUND(Source!AO399,O403)</f>
        <v>0</v>
      </c>
      <c r="G403" s="6" t="s">
        <v>81</v>
      </c>
      <c r="H403" s="6" t="s">
        <v>82</v>
      </c>
      <c r="I403" s="6"/>
      <c r="J403" s="6"/>
      <c r="K403" s="6">
        <v>222</v>
      </c>
      <c r="L403" s="6">
        <v>3</v>
      </c>
      <c r="M403" s="6">
        <v>3</v>
      </c>
      <c r="N403" s="6" t="s">
        <v>3</v>
      </c>
      <c r="O403" s="6">
        <v>2</v>
      </c>
      <c r="P403" s="6">
        <f>ROUND(Source!EG399,O403)</f>
        <v>0</v>
      </c>
      <c r="Q403" s="6"/>
      <c r="R403" s="6"/>
      <c r="S403" s="6"/>
      <c r="T403" s="6"/>
      <c r="U403" s="6"/>
      <c r="V403" s="6"/>
      <c r="W403" s="6">
        <v>0</v>
      </c>
      <c r="X403" s="6">
        <v>1</v>
      </c>
      <c r="Y403" s="6">
        <v>0</v>
      </c>
      <c r="Z403" s="6">
        <v>0</v>
      </c>
      <c r="AA403" s="6">
        <v>1</v>
      </c>
      <c r="AB403" s="6">
        <v>0</v>
      </c>
    </row>
    <row r="404" spans="1:28" x14ac:dyDescent="0.3">
      <c r="A404" s="6">
        <v>50</v>
      </c>
      <c r="B404" s="6">
        <v>0</v>
      </c>
      <c r="C404" s="6">
        <v>0</v>
      </c>
      <c r="D404" s="6">
        <v>1</v>
      </c>
      <c r="E404" s="6">
        <v>225</v>
      </c>
      <c r="F404" s="6">
        <f>ROUND(Source!AV399,O404)</f>
        <v>929001.41</v>
      </c>
      <c r="G404" s="6" t="s">
        <v>83</v>
      </c>
      <c r="H404" s="6" t="s">
        <v>84</v>
      </c>
      <c r="I404" s="6"/>
      <c r="J404" s="6"/>
      <c r="K404" s="6">
        <v>225</v>
      </c>
      <c r="L404" s="6">
        <v>4</v>
      </c>
      <c r="M404" s="6">
        <v>3</v>
      </c>
      <c r="N404" s="6" t="s">
        <v>3</v>
      </c>
      <c r="O404" s="6">
        <v>2</v>
      </c>
      <c r="P404" s="6">
        <f>ROUND(Source!EN399,O404)</f>
        <v>7346074.7999999998</v>
      </c>
      <c r="Q404" s="6"/>
      <c r="R404" s="6"/>
      <c r="S404" s="6"/>
      <c r="T404" s="6"/>
      <c r="U404" s="6"/>
      <c r="V404" s="6"/>
      <c r="W404" s="6">
        <v>929001.41</v>
      </c>
      <c r="X404" s="6">
        <v>1</v>
      </c>
      <c r="Y404" s="6">
        <v>929001.41</v>
      </c>
      <c r="Z404" s="6">
        <v>7346074.7999999998</v>
      </c>
      <c r="AA404" s="6">
        <v>1</v>
      </c>
      <c r="AB404" s="6">
        <v>7346074.7999999998</v>
      </c>
    </row>
    <row r="405" spans="1:28" x14ac:dyDescent="0.3">
      <c r="A405" s="6">
        <v>50</v>
      </c>
      <c r="B405" s="6">
        <v>0</v>
      </c>
      <c r="C405" s="6">
        <v>0</v>
      </c>
      <c r="D405" s="6">
        <v>1</v>
      </c>
      <c r="E405" s="6">
        <v>226</v>
      </c>
      <c r="F405" s="6">
        <f>ROUND(Source!AW399,O405)</f>
        <v>459271.4</v>
      </c>
      <c r="G405" s="6" t="s">
        <v>85</v>
      </c>
      <c r="H405" s="6" t="s">
        <v>86</v>
      </c>
      <c r="I405" s="6"/>
      <c r="J405" s="6"/>
      <c r="K405" s="6">
        <v>226</v>
      </c>
      <c r="L405" s="6">
        <v>5</v>
      </c>
      <c r="M405" s="6">
        <v>3</v>
      </c>
      <c r="N405" s="6" t="s">
        <v>3</v>
      </c>
      <c r="O405" s="6">
        <v>2</v>
      </c>
      <c r="P405" s="6">
        <f>ROUND(Source!EO399,O405)</f>
        <v>3870941.62</v>
      </c>
      <c r="Q405" s="6"/>
      <c r="R405" s="6"/>
      <c r="S405" s="6"/>
      <c r="T405" s="6"/>
      <c r="U405" s="6"/>
      <c r="V405" s="6"/>
      <c r="W405" s="6">
        <v>459271.4</v>
      </c>
      <c r="X405" s="6">
        <v>1</v>
      </c>
      <c r="Y405" s="6">
        <v>459271.4</v>
      </c>
      <c r="Z405" s="6">
        <v>3870941.62</v>
      </c>
      <c r="AA405" s="6">
        <v>1</v>
      </c>
      <c r="AB405" s="6">
        <v>3870941.62</v>
      </c>
    </row>
    <row r="406" spans="1:28" x14ac:dyDescent="0.3">
      <c r="A406" s="6">
        <v>50</v>
      </c>
      <c r="B406" s="6">
        <v>0</v>
      </c>
      <c r="C406" s="6">
        <v>0</v>
      </c>
      <c r="D406" s="6">
        <v>1</v>
      </c>
      <c r="E406" s="6">
        <v>227</v>
      </c>
      <c r="F406" s="6">
        <f>ROUND(Source!AX399,O406)</f>
        <v>0</v>
      </c>
      <c r="G406" s="6" t="s">
        <v>87</v>
      </c>
      <c r="H406" s="6" t="s">
        <v>88</v>
      </c>
      <c r="I406" s="6"/>
      <c r="J406" s="6"/>
      <c r="K406" s="6">
        <v>227</v>
      </c>
      <c r="L406" s="6">
        <v>6</v>
      </c>
      <c r="M406" s="6">
        <v>3</v>
      </c>
      <c r="N406" s="6" t="s">
        <v>3</v>
      </c>
      <c r="O406" s="6">
        <v>2</v>
      </c>
      <c r="P406" s="6">
        <f>ROUND(Source!EP399,O406)</f>
        <v>0</v>
      </c>
      <c r="Q406" s="6"/>
      <c r="R406" s="6"/>
      <c r="S406" s="6"/>
      <c r="T406" s="6"/>
      <c r="U406" s="6"/>
      <c r="V406" s="6"/>
      <c r="W406" s="6">
        <v>0</v>
      </c>
      <c r="X406" s="6">
        <v>1</v>
      </c>
      <c r="Y406" s="6">
        <v>0</v>
      </c>
      <c r="Z406" s="6">
        <v>0</v>
      </c>
      <c r="AA406" s="6">
        <v>1</v>
      </c>
      <c r="AB406" s="6">
        <v>0</v>
      </c>
    </row>
    <row r="407" spans="1:28" x14ac:dyDescent="0.3">
      <c r="A407" s="6">
        <v>50</v>
      </c>
      <c r="B407" s="6">
        <v>0</v>
      </c>
      <c r="C407" s="6">
        <v>0</v>
      </c>
      <c r="D407" s="6">
        <v>1</v>
      </c>
      <c r="E407" s="6">
        <v>228</v>
      </c>
      <c r="F407" s="6">
        <f>ROUND(Source!AY399,O407)</f>
        <v>459271.4</v>
      </c>
      <c r="G407" s="6" t="s">
        <v>89</v>
      </c>
      <c r="H407" s="6" t="s">
        <v>90</v>
      </c>
      <c r="I407" s="6"/>
      <c r="J407" s="6"/>
      <c r="K407" s="6">
        <v>228</v>
      </c>
      <c r="L407" s="6">
        <v>7</v>
      </c>
      <c r="M407" s="6">
        <v>3</v>
      </c>
      <c r="N407" s="6" t="s">
        <v>3</v>
      </c>
      <c r="O407" s="6">
        <v>2</v>
      </c>
      <c r="P407" s="6">
        <f>ROUND(Source!EQ399,O407)</f>
        <v>3870941.62</v>
      </c>
      <c r="Q407" s="6"/>
      <c r="R407" s="6"/>
      <c r="S407" s="6"/>
      <c r="T407" s="6"/>
      <c r="U407" s="6"/>
      <c r="V407" s="6"/>
      <c r="W407" s="6">
        <v>459271.4</v>
      </c>
      <c r="X407" s="6">
        <v>1</v>
      </c>
      <c r="Y407" s="6">
        <v>459271.4</v>
      </c>
      <c r="Z407" s="6">
        <v>3870941.62</v>
      </c>
      <c r="AA407" s="6">
        <v>1</v>
      </c>
      <c r="AB407" s="6">
        <v>3870941.62</v>
      </c>
    </row>
    <row r="408" spans="1:28" x14ac:dyDescent="0.3">
      <c r="A408" s="6">
        <v>50</v>
      </c>
      <c r="B408" s="6">
        <v>0</v>
      </c>
      <c r="C408" s="6">
        <v>0</v>
      </c>
      <c r="D408" s="6">
        <v>1</v>
      </c>
      <c r="E408" s="6">
        <v>216</v>
      </c>
      <c r="F408" s="6">
        <f>ROUND(Source!AP399,O408)</f>
        <v>469730.01</v>
      </c>
      <c r="G408" s="6" t="s">
        <v>91</v>
      </c>
      <c r="H408" s="6" t="s">
        <v>92</v>
      </c>
      <c r="I408" s="6"/>
      <c r="J408" s="6"/>
      <c r="K408" s="6">
        <v>216</v>
      </c>
      <c r="L408" s="6">
        <v>8</v>
      </c>
      <c r="M408" s="6">
        <v>3</v>
      </c>
      <c r="N408" s="6" t="s">
        <v>3</v>
      </c>
      <c r="O408" s="6">
        <v>2</v>
      </c>
      <c r="P408" s="6">
        <f>ROUND(Source!EH399,O408)</f>
        <v>3475133.18</v>
      </c>
      <c r="Q408" s="6"/>
      <c r="R408" s="6"/>
      <c r="S408" s="6"/>
      <c r="T408" s="6"/>
      <c r="U408" s="6"/>
      <c r="V408" s="6"/>
      <c r="W408" s="6">
        <v>469730.01</v>
      </c>
      <c r="X408" s="6">
        <v>1</v>
      </c>
      <c r="Y408" s="6">
        <v>469730.01</v>
      </c>
      <c r="Z408" s="6">
        <v>3475133.18</v>
      </c>
      <c r="AA408" s="6">
        <v>1</v>
      </c>
      <c r="AB408" s="6">
        <v>3475133.18</v>
      </c>
    </row>
    <row r="409" spans="1:28" x14ac:dyDescent="0.3">
      <c r="A409" s="6">
        <v>50</v>
      </c>
      <c r="B409" s="6">
        <v>0</v>
      </c>
      <c r="C409" s="6">
        <v>0</v>
      </c>
      <c r="D409" s="6">
        <v>1</v>
      </c>
      <c r="E409" s="6">
        <v>223</v>
      </c>
      <c r="F409" s="6">
        <f>ROUND(Source!AQ399,O409)</f>
        <v>0</v>
      </c>
      <c r="G409" s="6" t="s">
        <v>93</v>
      </c>
      <c r="H409" s="6" t="s">
        <v>94</v>
      </c>
      <c r="I409" s="6"/>
      <c r="J409" s="6"/>
      <c r="K409" s="6">
        <v>223</v>
      </c>
      <c r="L409" s="6">
        <v>9</v>
      </c>
      <c r="M409" s="6">
        <v>3</v>
      </c>
      <c r="N409" s="6" t="s">
        <v>3</v>
      </c>
      <c r="O409" s="6">
        <v>2</v>
      </c>
      <c r="P409" s="6">
        <f>ROUND(Source!EI399,O409)</f>
        <v>0</v>
      </c>
      <c r="Q409" s="6"/>
      <c r="R409" s="6"/>
      <c r="S409" s="6"/>
      <c r="T409" s="6"/>
      <c r="U409" s="6"/>
      <c r="V409" s="6"/>
      <c r="W409" s="6">
        <v>0</v>
      </c>
      <c r="X409" s="6">
        <v>1</v>
      </c>
      <c r="Y409" s="6">
        <v>0</v>
      </c>
      <c r="Z409" s="6">
        <v>0</v>
      </c>
      <c r="AA409" s="6">
        <v>1</v>
      </c>
      <c r="AB409" s="6">
        <v>0</v>
      </c>
    </row>
    <row r="410" spans="1:28" x14ac:dyDescent="0.3">
      <c r="A410" s="6">
        <v>50</v>
      </c>
      <c r="B410" s="6">
        <v>0</v>
      </c>
      <c r="C410" s="6">
        <v>0</v>
      </c>
      <c r="D410" s="6">
        <v>1</v>
      </c>
      <c r="E410" s="6">
        <v>229</v>
      </c>
      <c r="F410" s="6">
        <f>ROUND(Source!AZ399,O410)</f>
        <v>469730.01</v>
      </c>
      <c r="G410" s="6" t="s">
        <v>95</v>
      </c>
      <c r="H410" s="6" t="s">
        <v>96</v>
      </c>
      <c r="I410" s="6"/>
      <c r="J410" s="6"/>
      <c r="K410" s="6">
        <v>229</v>
      </c>
      <c r="L410" s="6">
        <v>10</v>
      </c>
      <c r="M410" s="6">
        <v>3</v>
      </c>
      <c r="N410" s="6" t="s">
        <v>3</v>
      </c>
      <c r="O410" s="6">
        <v>2</v>
      </c>
      <c r="P410" s="6">
        <f>ROUND(Source!ER399,O410)</f>
        <v>3475133.18</v>
      </c>
      <c r="Q410" s="6"/>
      <c r="R410" s="6"/>
      <c r="S410" s="6"/>
      <c r="T410" s="6"/>
      <c r="U410" s="6"/>
      <c r="V410" s="6"/>
      <c r="W410" s="6">
        <v>469730.01</v>
      </c>
      <c r="X410" s="6">
        <v>1</v>
      </c>
      <c r="Y410" s="6">
        <v>469730.01</v>
      </c>
      <c r="Z410" s="6">
        <v>3475133.18</v>
      </c>
      <c r="AA410" s="6">
        <v>1</v>
      </c>
      <c r="AB410" s="6">
        <v>3475133.18</v>
      </c>
    </row>
    <row r="411" spans="1:28" x14ac:dyDescent="0.3">
      <c r="A411" s="6">
        <v>50</v>
      </c>
      <c r="B411" s="6">
        <v>0</v>
      </c>
      <c r="C411" s="6">
        <v>0</v>
      </c>
      <c r="D411" s="6">
        <v>1</v>
      </c>
      <c r="E411" s="6">
        <v>203</v>
      </c>
      <c r="F411" s="6">
        <f>ROUND(Source!Q399,O411)</f>
        <v>3132.9</v>
      </c>
      <c r="G411" s="6" t="s">
        <v>97</v>
      </c>
      <c r="H411" s="6" t="s">
        <v>98</v>
      </c>
      <c r="I411" s="6"/>
      <c r="J411" s="6"/>
      <c r="K411" s="6">
        <v>203</v>
      </c>
      <c r="L411" s="6">
        <v>11</v>
      </c>
      <c r="M411" s="6">
        <v>3</v>
      </c>
      <c r="N411" s="6" t="s">
        <v>3</v>
      </c>
      <c r="O411" s="6">
        <v>2</v>
      </c>
      <c r="P411" s="6">
        <f>ROUND(Source!DI399,O411)</f>
        <v>47046.61</v>
      </c>
      <c r="Q411" s="6"/>
      <c r="R411" s="6"/>
      <c r="S411" s="6"/>
      <c r="T411" s="6"/>
      <c r="U411" s="6"/>
      <c r="V411" s="6"/>
      <c r="W411" s="6">
        <v>3132.9</v>
      </c>
      <c r="X411" s="6">
        <v>1</v>
      </c>
      <c r="Y411" s="6">
        <v>3132.9</v>
      </c>
      <c r="Z411" s="6">
        <v>47046.61</v>
      </c>
      <c r="AA411" s="6">
        <v>1</v>
      </c>
      <c r="AB411" s="6">
        <v>47046.61</v>
      </c>
    </row>
    <row r="412" spans="1:28" x14ac:dyDescent="0.3">
      <c r="A412" s="6">
        <v>50</v>
      </c>
      <c r="B412" s="6">
        <v>0</v>
      </c>
      <c r="C412" s="6">
        <v>0</v>
      </c>
      <c r="D412" s="6">
        <v>1</v>
      </c>
      <c r="E412" s="6">
        <v>231</v>
      </c>
      <c r="F412" s="6">
        <f>ROUND(Source!BB399,O412)</f>
        <v>0</v>
      </c>
      <c r="G412" s="6" t="s">
        <v>99</v>
      </c>
      <c r="H412" s="6" t="s">
        <v>100</v>
      </c>
      <c r="I412" s="6"/>
      <c r="J412" s="6"/>
      <c r="K412" s="6">
        <v>231</v>
      </c>
      <c r="L412" s="6">
        <v>12</v>
      </c>
      <c r="M412" s="6">
        <v>3</v>
      </c>
      <c r="N412" s="6" t="s">
        <v>3</v>
      </c>
      <c r="O412" s="6">
        <v>2</v>
      </c>
      <c r="P412" s="6">
        <f>ROUND(Source!ET399,O412)</f>
        <v>0</v>
      </c>
      <c r="Q412" s="6"/>
      <c r="R412" s="6"/>
      <c r="S412" s="6"/>
      <c r="T412" s="6"/>
      <c r="U412" s="6"/>
      <c r="V412" s="6"/>
      <c r="W412" s="6">
        <v>0</v>
      </c>
      <c r="X412" s="6">
        <v>1</v>
      </c>
      <c r="Y412" s="6">
        <v>0</v>
      </c>
      <c r="Z412" s="6">
        <v>0</v>
      </c>
      <c r="AA412" s="6">
        <v>1</v>
      </c>
      <c r="AB412" s="6">
        <v>0</v>
      </c>
    </row>
    <row r="413" spans="1:28" x14ac:dyDescent="0.3">
      <c r="A413" s="6">
        <v>50</v>
      </c>
      <c r="B413" s="6">
        <v>0</v>
      </c>
      <c r="C413" s="6">
        <v>0</v>
      </c>
      <c r="D413" s="6">
        <v>1</v>
      </c>
      <c r="E413" s="6">
        <v>204</v>
      </c>
      <c r="F413" s="6">
        <f>ROUND(Source!R399,O413)</f>
        <v>324.23</v>
      </c>
      <c r="G413" s="6" t="s">
        <v>101</v>
      </c>
      <c r="H413" s="6" t="s">
        <v>102</v>
      </c>
      <c r="I413" s="6"/>
      <c r="J413" s="6"/>
      <c r="K413" s="6">
        <v>204</v>
      </c>
      <c r="L413" s="6">
        <v>13</v>
      </c>
      <c r="M413" s="6">
        <v>3</v>
      </c>
      <c r="N413" s="6" t="s">
        <v>3</v>
      </c>
      <c r="O413" s="6">
        <v>2</v>
      </c>
      <c r="P413" s="6">
        <f>ROUND(Source!DJ399,O413)</f>
        <v>17829.400000000001</v>
      </c>
      <c r="Q413" s="6"/>
      <c r="R413" s="6"/>
      <c r="S413" s="6"/>
      <c r="T413" s="6"/>
      <c r="U413" s="6"/>
      <c r="V413" s="6"/>
      <c r="W413" s="6">
        <v>324.23</v>
      </c>
      <c r="X413" s="6">
        <v>1</v>
      </c>
      <c r="Y413" s="6">
        <v>324.23</v>
      </c>
      <c r="Z413" s="6">
        <v>17829.400000000001</v>
      </c>
      <c r="AA413" s="6">
        <v>1</v>
      </c>
      <c r="AB413" s="6">
        <v>17829.400000000001</v>
      </c>
    </row>
    <row r="414" spans="1:28" x14ac:dyDescent="0.3">
      <c r="A414" s="6">
        <v>50</v>
      </c>
      <c r="B414" s="6">
        <v>0</v>
      </c>
      <c r="C414" s="6">
        <v>0</v>
      </c>
      <c r="D414" s="6">
        <v>1</v>
      </c>
      <c r="E414" s="6">
        <v>205</v>
      </c>
      <c r="F414" s="6">
        <f>ROUND(Source!S399,O414)</f>
        <v>35959.230000000003</v>
      </c>
      <c r="G414" s="6" t="s">
        <v>103</v>
      </c>
      <c r="H414" s="6" t="s">
        <v>104</v>
      </c>
      <c r="I414" s="6"/>
      <c r="J414" s="6"/>
      <c r="K414" s="6">
        <v>205</v>
      </c>
      <c r="L414" s="6">
        <v>14</v>
      </c>
      <c r="M414" s="6">
        <v>3</v>
      </c>
      <c r="N414" s="6" t="s">
        <v>3</v>
      </c>
      <c r="O414" s="6">
        <v>2</v>
      </c>
      <c r="P414" s="6">
        <f>ROUND(Source!DK399,O414)</f>
        <v>1977398.06</v>
      </c>
      <c r="Q414" s="6"/>
      <c r="R414" s="6"/>
      <c r="S414" s="6"/>
      <c r="T414" s="6"/>
      <c r="U414" s="6"/>
      <c r="V414" s="6"/>
      <c r="W414" s="6">
        <v>35959.230000000003</v>
      </c>
      <c r="X414" s="6">
        <v>1</v>
      </c>
      <c r="Y414" s="6">
        <v>35959.230000000003</v>
      </c>
      <c r="Z414" s="6">
        <v>1977398.06</v>
      </c>
      <c r="AA414" s="6">
        <v>1</v>
      </c>
      <c r="AB414" s="6">
        <v>1977398.06</v>
      </c>
    </row>
    <row r="415" spans="1:28" x14ac:dyDescent="0.3">
      <c r="A415" s="6">
        <v>50</v>
      </c>
      <c r="B415" s="6">
        <v>0</v>
      </c>
      <c r="C415" s="6">
        <v>0</v>
      </c>
      <c r="D415" s="6">
        <v>1</v>
      </c>
      <c r="E415" s="6">
        <v>232</v>
      </c>
      <c r="F415" s="6">
        <f>ROUND(Source!BC399,O415)</f>
        <v>0</v>
      </c>
      <c r="G415" s="6" t="s">
        <v>105</v>
      </c>
      <c r="H415" s="6" t="s">
        <v>106</v>
      </c>
      <c r="I415" s="6"/>
      <c r="J415" s="6"/>
      <c r="K415" s="6">
        <v>232</v>
      </c>
      <c r="L415" s="6">
        <v>15</v>
      </c>
      <c r="M415" s="6">
        <v>3</v>
      </c>
      <c r="N415" s="6" t="s">
        <v>3</v>
      </c>
      <c r="O415" s="6">
        <v>2</v>
      </c>
      <c r="P415" s="6">
        <f>ROUND(Source!EU399,O415)</f>
        <v>0</v>
      </c>
      <c r="Q415" s="6"/>
      <c r="R415" s="6"/>
      <c r="S415" s="6"/>
      <c r="T415" s="6"/>
      <c r="U415" s="6"/>
      <c r="V415" s="6"/>
      <c r="W415" s="6">
        <v>0</v>
      </c>
      <c r="X415" s="6">
        <v>1</v>
      </c>
      <c r="Y415" s="6">
        <v>0</v>
      </c>
      <c r="Z415" s="6">
        <v>0</v>
      </c>
      <c r="AA415" s="6">
        <v>1</v>
      </c>
      <c r="AB415" s="6">
        <v>0</v>
      </c>
    </row>
    <row r="416" spans="1:28" x14ac:dyDescent="0.3">
      <c r="A416" s="6">
        <v>50</v>
      </c>
      <c r="B416" s="6">
        <v>0</v>
      </c>
      <c r="C416" s="6">
        <v>0</v>
      </c>
      <c r="D416" s="6">
        <v>1</v>
      </c>
      <c r="E416" s="6">
        <v>214</v>
      </c>
      <c r="F416" s="6">
        <f>ROUND(Source!AS399,O416)</f>
        <v>0</v>
      </c>
      <c r="G416" s="6" t="s">
        <v>107</v>
      </c>
      <c r="H416" s="6" t="s">
        <v>108</v>
      </c>
      <c r="I416" s="6"/>
      <c r="J416" s="6"/>
      <c r="K416" s="6">
        <v>214</v>
      </c>
      <c r="L416" s="6">
        <v>16</v>
      </c>
      <c r="M416" s="6">
        <v>3</v>
      </c>
      <c r="N416" s="6" t="s">
        <v>3</v>
      </c>
      <c r="O416" s="6">
        <v>2</v>
      </c>
      <c r="P416" s="6">
        <f>ROUND(Source!EK399,O416)</f>
        <v>0</v>
      </c>
      <c r="Q416" s="6"/>
      <c r="R416" s="6"/>
      <c r="S416" s="6"/>
      <c r="T416" s="6"/>
      <c r="U416" s="6"/>
      <c r="V416" s="6"/>
      <c r="W416" s="6">
        <v>0</v>
      </c>
      <c r="X416" s="6">
        <v>1</v>
      </c>
      <c r="Y416" s="6">
        <v>0</v>
      </c>
      <c r="Z416" s="6">
        <v>0</v>
      </c>
      <c r="AA416" s="6">
        <v>1</v>
      </c>
      <c r="AB416" s="6">
        <v>0</v>
      </c>
    </row>
    <row r="417" spans="1:28" x14ac:dyDescent="0.3">
      <c r="A417" s="6">
        <v>50</v>
      </c>
      <c r="B417" s="6">
        <v>0</v>
      </c>
      <c r="C417" s="6">
        <v>0</v>
      </c>
      <c r="D417" s="6">
        <v>1</v>
      </c>
      <c r="E417" s="6">
        <v>215</v>
      </c>
      <c r="F417" s="6">
        <f>ROUND(Source!AT399,O417)</f>
        <v>548472.67000000004</v>
      </c>
      <c r="G417" s="6" t="s">
        <v>109</v>
      </c>
      <c r="H417" s="6" t="s">
        <v>110</v>
      </c>
      <c r="I417" s="6"/>
      <c r="J417" s="6"/>
      <c r="K417" s="6">
        <v>215</v>
      </c>
      <c r="L417" s="6">
        <v>17</v>
      </c>
      <c r="M417" s="6">
        <v>3</v>
      </c>
      <c r="N417" s="6" t="s">
        <v>3</v>
      </c>
      <c r="O417" s="6">
        <v>2</v>
      </c>
      <c r="P417" s="6">
        <f>ROUND(Source!EL399,O417)</f>
        <v>8650888.5500000007</v>
      </c>
      <c r="Q417" s="6"/>
      <c r="R417" s="6"/>
      <c r="S417" s="6"/>
      <c r="T417" s="6"/>
      <c r="U417" s="6"/>
      <c r="V417" s="6"/>
      <c r="W417" s="6">
        <v>548472.67000000004</v>
      </c>
      <c r="X417" s="6">
        <v>1</v>
      </c>
      <c r="Y417" s="6">
        <v>548472.67000000004</v>
      </c>
      <c r="Z417" s="6">
        <v>8650888.5500000007</v>
      </c>
      <c r="AA417" s="6">
        <v>1</v>
      </c>
      <c r="AB417" s="6">
        <v>8650888.5500000007</v>
      </c>
    </row>
    <row r="418" spans="1:28" x14ac:dyDescent="0.3">
      <c r="A418" s="6">
        <v>50</v>
      </c>
      <c r="B418" s="6">
        <v>0</v>
      </c>
      <c r="C418" s="6">
        <v>0</v>
      </c>
      <c r="D418" s="6">
        <v>1</v>
      </c>
      <c r="E418" s="6">
        <v>217</v>
      </c>
      <c r="F418" s="6">
        <f>ROUND(Source!AU399,O418)</f>
        <v>0</v>
      </c>
      <c r="G418" s="6" t="s">
        <v>111</v>
      </c>
      <c r="H418" s="6" t="s">
        <v>112</v>
      </c>
      <c r="I418" s="6"/>
      <c r="J418" s="6"/>
      <c r="K418" s="6">
        <v>217</v>
      </c>
      <c r="L418" s="6">
        <v>18</v>
      </c>
      <c r="M418" s="6">
        <v>3</v>
      </c>
      <c r="N418" s="6" t="s">
        <v>3</v>
      </c>
      <c r="O418" s="6">
        <v>2</v>
      </c>
      <c r="P418" s="6">
        <f>ROUND(Source!EM399,O418)</f>
        <v>0</v>
      </c>
      <c r="Q418" s="6"/>
      <c r="R418" s="6"/>
      <c r="S418" s="6"/>
      <c r="T418" s="6"/>
      <c r="U418" s="6"/>
      <c r="V418" s="6"/>
      <c r="W418" s="6">
        <v>0</v>
      </c>
      <c r="X418" s="6">
        <v>1</v>
      </c>
      <c r="Y418" s="6">
        <v>0</v>
      </c>
      <c r="Z418" s="6">
        <v>0</v>
      </c>
      <c r="AA418" s="6">
        <v>1</v>
      </c>
      <c r="AB418" s="6">
        <v>0</v>
      </c>
    </row>
    <row r="419" spans="1:28" x14ac:dyDescent="0.3">
      <c r="A419" s="6">
        <v>50</v>
      </c>
      <c r="B419" s="6">
        <v>0</v>
      </c>
      <c r="C419" s="6">
        <v>0</v>
      </c>
      <c r="D419" s="6">
        <v>1</v>
      </c>
      <c r="E419" s="6">
        <v>230</v>
      </c>
      <c r="F419" s="6">
        <f>ROUND(Source!BA399,O419)</f>
        <v>0</v>
      </c>
      <c r="G419" s="6" t="s">
        <v>113</v>
      </c>
      <c r="H419" s="6" t="s">
        <v>114</v>
      </c>
      <c r="I419" s="6"/>
      <c r="J419" s="6"/>
      <c r="K419" s="6">
        <v>230</v>
      </c>
      <c r="L419" s="6">
        <v>19</v>
      </c>
      <c r="M419" s="6">
        <v>3</v>
      </c>
      <c r="N419" s="6" t="s">
        <v>3</v>
      </c>
      <c r="O419" s="6">
        <v>2</v>
      </c>
      <c r="P419" s="6">
        <f>ROUND(Source!ES399,O419)</f>
        <v>0</v>
      </c>
      <c r="Q419" s="6"/>
      <c r="R419" s="6"/>
      <c r="S419" s="6"/>
      <c r="T419" s="6"/>
      <c r="U419" s="6"/>
      <c r="V419" s="6"/>
      <c r="W419" s="6">
        <v>0</v>
      </c>
      <c r="X419" s="6">
        <v>1</v>
      </c>
      <c r="Y419" s="6">
        <v>0</v>
      </c>
      <c r="Z419" s="6">
        <v>0</v>
      </c>
      <c r="AA419" s="6">
        <v>1</v>
      </c>
      <c r="AB419" s="6">
        <v>0</v>
      </c>
    </row>
    <row r="420" spans="1:28" x14ac:dyDescent="0.3">
      <c r="A420" s="6">
        <v>50</v>
      </c>
      <c r="B420" s="6">
        <v>0</v>
      </c>
      <c r="C420" s="6">
        <v>0</v>
      </c>
      <c r="D420" s="6">
        <v>1</v>
      </c>
      <c r="E420" s="6">
        <v>206</v>
      </c>
      <c r="F420" s="6">
        <f>ROUND(Source!T399,O420)</f>
        <v>0</v>
      </c>
      <c r="G420" s="6" t="s">
        <v>115</v>
      </c>
      <c r="H420" s="6" t="s">
        <v>116</v>
      </c>
      <c r="I420" s="6"/>
      <c r="J420" s="6"/>
      <c r="K420" s="6">
        <v>206</v>
      </c>
      <c r="L420" s="6">
        <v>20</v>
      </c>
      <c r="M420" s="6">
        <v>3</v>
      </c>
      <c r="N420" s="6" t="s">
        <v>3</v>
      </c>
      <c r="O420" s="6">
        <v>2</v>
      </c>
      <c r="P420" s="6">
        <f>ROUND(Source!DL399,O420)</f>
        <v>0</v>
      </c>
      <c r="Q420" s="6"/>
      <c r="R420" s="6"/>
      <c r="S420" s="6"/>
      <c r="T420" s="6"/>
      <c r="U420" s="6"/>
      <c r="V420" s="6"/>
      <c r="W420" s="6">
        <v>0</v>
      </c>
      <c r="X420" s="6">
        <v>1</v>
      </c>
      <c r="Y420" s="6">
        <v>0</v>
      </c>
      <c r="Z420" s="6">
        <v>0</v>
      </c>
      <c r="AA420" s="6">
        <v>1</v>
      </c>
      <c r="AB420" s="6">
        <v>0</v>
      </c>
    </row>
    <row r="421" spans="1:28" x14ac:dyDescent="0.3">
      <c r="A421" s="6">
        <v>50</v>
      </c>
      <c r="B421" s="6">
        <v>0</v>
      </c>
      <c r="C421" s="6">
        <v>0</v>
      </c>
      <c r="D421" s="6">
        <v>1</v>
      </c>
      <c r="E421" s="6">
        <v>207</v>
      </c>
      <c r="F421" s="6">
        <f>Source!U399</f>
        <v>3008.2474253700002</v>
      </c>
      <c r="G421" s="6" t="s">
        <v>117</v>
      </c>
      <c r="H421" s="6" t="s">
        <v>118</v>
      </c>
      <c r="I421" s="6"/>
      <c r="J421" s="6"/>
      <c r="K421" s="6">
        <v>207</v>
      </c>
      <c r="L421" s="6">
        <v>21</v>
      </c>
      <c r="M421" s="6">
        <v>3</v>
      </c>
      <c r="N421" s="6" t="s">
        <v>3</v>
      </c>
      <c r="O421" s="6">
        <v>-1</v>
      </c>
      <c r="P421" s="6">
        <f>Source!DM399</f>
        <v>3008.2474253700002</v>
      </c>
      <c r="Q421" s="6"/>
      <c r="R421" s="6"/>
      <c r="S421" s="6"/>
      <c r="T421" s="6"/>
      <c r="U421" s="6"/>
      <c r="V421" s="6"/>
      <c r="W421" s="6">
        <v>3008.2474253699997</v>
      </c>
      <c r="X421" s="6">
        <v>1</v>
      </c>
      <c r="Y421" s="6">
        <v>3008.2474253699997</v>
      </c>
      <c r="Z421" s="6">
        <v>3008.2474253699997</v>
      </c>
      <c r="AA421" s="6">
        <v>1</v>
      </c>
      <c r="AB421" s="6">
        <v>3008.2474253699997</v>
      </c>
    </row>
    <row r="422" spans="1:28" x14ac:dyDescent="0.3">
      <c r="A422" s="6">
        <v>50</v>
      </c>
      <c r="B422" s="6">
        <v>0</v>
      </c>
      <c r="C422" s="6">
        <v>0</v>
      </c>
      <c r="D422" s="6">
        <v>1</v>
      </c>
      <c r="E422" s="6">
        <v>208</v>
      </c>
      <c r="F422" s="6">
        <f>Source!V399</f>
        <v>0</v>
      </c>
      <c r="G422" s="6" t="s">
        <v>119</v>
      </c>
      <c r="H422" s="6" t="s">
        <v>120</v>
      </c>
      <c r="I422" s="6"/>
      <c r="J422" s="6"/>
      <c r="K422" s="6">
        <v>208</v>
      </c>
      <c r="L422" s="6">
        <v>22</v>
      </c>
      <c r="M422" s="6">
        <v>3</v>
      </c>
      <c r="N422" s="6" t="s">
        <v>3</v>
      </c>
      <c r="O422" s="6">
        <v>-1</v>
      </c>
      <c r="P422" s="6">
        <f>Source!DN399</f>
        <v>0</v>
      </c>
      <c r="Q422" s="6"/>
      <c r="R422" s="6"/>
      <c r="S422" s="6"/>
      <c r="T422" s="6"/>
      <c r="U422" s="6"/>
      <c r="V422" s="6"/>
      <c r="W422" s="6">
        <v>0</v>
      </c>
      <c r="X422" s="6">
        <v>1</v>
      </c>
      <c r="Y422" s="6">
        <v>0</v>
      </c>
      <c r="Z422" s="6">
        <v>0</v>
      </c>
      <c r="AA422" s="6">
        <v>1</v>
      </c>
      <c r="AB422" s="6">
        <v>0</v>
      </c>
    </row>
    <row r="423" spans="1:28" x14ac:dyDescent="0.3">
      <c r="A423" s="6">
        <v>50</v>
      </c>
      <c r="B423" s="6">
        <v>0</v>
      </c>
      <c r="C423" s="6">
        <v>0</v>
      </c>
      <c r="D423" s="6">
        <v>1</v>
      </c>
      <c r="E423" s="6">
        <v>209</v>
      </c>
      <c r="F423" s="6">
        <f>ROUND(Source!W399,O423)</f>
        <v>0</v>
      </c>
      <c r="G423" s="6" t="s">
        <v>121</v>
      </c>
      <c r="H423" s="6" t="s">
        <v>122</v>
      </c>
      <c r="I423" s="6"/>
      <c r="J423" s="6"/>
      <c r="K423" s="6">
        <v>209</v>
      </c>
      <c r="L423" s="6">
        <v>23</v>
      </c>
      <c r="M423" s="6">
        <v>3</v>
      </c>
      <c r="N423" s="6" t="s">
        <v>3</v>
      </c>
      <c r="O423" s="6">
        <v>2</v>
      </c>
      <c r="P423" s="6">
        <f>ROUND(Source!DO399,O423)</f>
        <v>0</v>
      </c>
      <c r="Q423" s="6"/>
      <c r="R423" s="6"/>
      <c r="S423" s="6"/>
      <c r="T423" s="6"/>
      <c r="U423" s="6"/>
      <c r="V423" s="6"/>
      <c r="W423" s="6">
        <v>0</v>
      </c>
      <c r="X423" s="6">
        <v>1</v>
      </c>
      <c r="Y423" s="6">
        <v>0</v>
      </c>
      <c r="Z423" s="6">
        <v>0</v>
      </c>
      <c r="AA423" s="6">
        <v>1</v>
      </c>
      <c r="AB423" s="6">
        <v>0</v>
      </c>
    </row>
    <row r="424" spans="1:28" x14ac:dyDescent="0.3">
      <c r="A424" s="6">
        <v>50</v>
      </c>
      <c r="B424" s="6">
        <v>0</v>
      </c>
      <c r="C424" s="6">
        <v>0</v>
      </c>
      <c r="D424" s="6">
        <v>1</v>
      </c>
      <c r="E424" s="6">
        <v>233</v>
      </c>
      <c r="F424" s="6">
        <f>ROUND(Source!BD399,O424)</f>
        <v>0</v>
      </c>
      <c r="G424" s="6" t="s">
        <v>123</v>
      </c>
      <c r="H424" s="6" t="s">
        <v>124</v>
      </c>
      <c r="I424" s="6"/>
      <c r="J424" s="6"/>
      <c r="K424" s="6">
        <v>233</v>
      </c>
      <c r="L424" s="6">
        <v>24</v>
      </c>
      <c r="M424" s="6">
        <v>3</v>
      </c>
      <c r="N424" s="6" t="s">
        <v>3</v>
      </c>
      <c r="O424" s="6">
        <v>2</v>
      </c>
      <c r="P424" s="6">
        <f>ROUND(Source!EV399,O424)</f>
        <v>0</v>
      </c>
      <c r="Q424" s="6"/>
      <c r="R424" s="6"/>
      <c r="S424" s="6"/>
      <c r="T424" s="6"/>
      <c r="U424" s="6"/>
      <c r="V424" s="6"/>
      <c r="W424" s="6">
        <v>0</v>
      </c>
      <c r="X424" s="6">
        <v>1</v>
      </c>
      <c r="Y424" s="6">
        <v>0</v>
      </c>
      <c r="Z424" s="6">
        <v>0</v>
      </c>
      <c r="AA424" s="6">
        <v>1</v>
      </c>
      <c r="AB424" s="6">
        <v>0</v>
      </c>
    </row>
    <row r="425" spans="1:28" x14ac:dyDescent="0.3">
      <c r="A425" s="6">
        <v>50</v>
      </c>
      <c r="B425" s="6">
        <v>0</v>
      </c>
      <c r="C425" s="6">
        <v>0</v>
      </c>
      <c r="D425" s="6">
        <v>1</v>
      </c>
      <c r="E425" s="6">
        <v>210</v>
      </c>
      <c r="F425" s="6">
        <f>ROUND(Source!X399,O425)</f>
        <v>33100.57</v>
      </c>
      <c r="G425" s="6" t="s">
        <v>125</v>
      </c>
      <c r="H425" s="6" t="s">
        <v>126</v>
      </c>
      <c r="I425" s="6"/>
      <c r="J425" s="6"/>
      <c r="K425" s="6">
        <v>210</v>
      </c>
      <c r="L425" s="6">
        <v>25</v>
      </c>
      <c r="M425" s="6">
        <v>3</v>
      </c>
      <c r="N425" s="6" t="s">
        <v>3</v>
      </c>
      <c r="O425" s="6">
        <v>2</v>
      </c>
      <c r="P425" s="6">
        <f>ROUND(Source!DP399,O425)</f>
        <v>1820200.59</v>
      </c>
      <c r="Q425" s="6"/>
      <c r="R425" s="6"/>
      <c r="S425" s="6"/>
      <c r="T425" s="6"/>
      <c r="U425" s="6"/>
      <c r="V425" s="6"/>
      <c r="W425" s="6">
        <v>33100.57</v>
      </c>
      <c r="X425" s="6">
        <v>1</v>
      </c>
      <c r="Y425" s="6">
        <v>33100.57</v>
      </c>
      <c r="Z425" s="6">
        <v>1820200.59</v>
      </c>
      <c r="AA425" s="6">
        <v>1</v>
      </c>
      <c r="AB425" s="6">
        <v>1820200.59</v>
      </c>
    </row>
    <row r="426" spans="1:28" x14ac:dyDescent="0.3">
      <c r="A426" s="6">
        <v>50</v>
      </c>
      <c r="B426" s="6">
        <v>0</v>
      </c>
      <c r="C426" s="6">
        <v>0</v>
      </c>
      <c r="D426" s="6">
        <v>1</v>
      </c>
      <c r="E426" s="6">
        <v>211</v>
      </c>
      <c r="F426" s="6">
        <f>ROUND(Source!Y399,O426)</f>
        <v>17008.57</v>
      </c>
      <c r="G426" s="6" t="s">
        <v>127</v>
      </c>
      <c r="H426" s="6" t="s">
        <v>128</v>
      </c>
      <c r="I426" s="6"/>
      <c r="J426" s="6"/>
      <c r="K426" s="6">
        <v>211</v>
      </c>
      <c r="L426" s="6">
        <v>26</v>
      </c>
      <c r="M426" s="6">
        <v>3</v>
      </c>
      <c r="N426" s="6" t="s">
        <v>3</v>
      </c>
      <c r="O426" s="6">
        <v>2</v>
      </c>
      <c r="P426" s="6">
        <f>ROUND(Source!DQ399,O426)</f>
        <v>935301.67</v>
      </c>
      <c r="Q426" s="6"/>
      <c r="R426" s="6"/>
      <c r="S426" s="6"/>
      <c r="T426" s="6"/>
      <c r="U426" s="6"/>
      <c r="V426" s="6"/>
      <c r="W426" s="6">
        <v>17008.57</v>
      </c>
      <c r="X426" s="6">
        <v>1</v>
      </c>
      <c r="Y426" s="6">
        <v>17008.57</v>
      </c>
      <c r="Z426" s="6">
        <v>935301.67</v>
      </c>
      <c r="AA426" s="6">
        <v>1</v>
      </c>
      <c r="AB426" s="6">
        <v>935301.67</v>
      </c>
    </row>
    <row r="427" spans="1:28" x14ac:dyDescent="0.3">
      <c r="A427" s="6">
        <v>50</v>
      </c>
      <c r="B427" s="6">
        <v>0</v>
      </c>
      <c r="C427" s="6">
        <v>0</v>
      </c>
      <c r="D427" s="6">
        <v>1</v>
      </c>
      <c r="E427" s="6">
        <v>224</v>
      </c>
      <c r="F427" s="6">
        <f>ROUND(Source!AR399,O427)</f>
        <v>1018202.68</v>
      </c>
      <c r="G427" s="6" t="s">
        <v>129</v>
      </c>
      <c r="H427" s="6" t="s">
        <v>130</v>
      </c>
      <c r="I427" s="6"/>
      <c r="J427" s="6"/>
      <c r="K427" s="6">
        <v>224</v>
      </c>
      <c r="L427" s="6">
        <v>27</v>
      </c>
      <c r="M427" s="6">
        <v>3</v>
      </c>
      <c r="N427" s="6" t="s">
        <v>3</v>
      </c>
      <c r="O427" s="6">
        <v>2</v>
      </c>
      <c r="P427" s="6">
        <f>ROUND(Source!EJ399,O427)</f>
        <v>12126021.73</v>
      </c>
      <c r="Q427" s="6"/>
      <c r="R427" s="6"/>
      <c r="S427" s="6"/>
      <c r="T427" s="6"/>
      <c r="U427" s="6"/>
      <c r="V427" s="6"/>
      <c r="W427" s="6">
        <v>1018202.68</v>
      </c>
      <c r="X427" s="6">
        <v>1</v>
      </c>
      <c r="Y427" s="6">
        <v>1018202.68</v>
      </c>
      <c r="Z427" s="6">
        <v>12126021.73</v>
      </c>
      <c r="AA427" s="6">
        <v>1</v>
      </c>
      <c r="AB427" s="6">
        <v>12126021.73</v>
      </c>
    </row>
    <row r="430" spans="1:28" x14ac:dyDescent="0.3">
      <c r="A430">
        <v>70</v>
      </c>
      <c r="B430">
        <v>1</v>
      </c>
      <c r="D430">
        <v>1</v>
      </c>
      <c r="E430" t="s">
        <v>374</v>
      </c>
      <c r="F430" t="s">
        <v>375</v>
      </c>
      <c r="G430">
        <v>0</v>
      </c>
      <c r="H430">
        <v>0</v>
      </c>
      <c r="I430" t="s">
        <v>3</v>
      </c>
      <c r="J430">
        <v>1</v>
      </c>
      <c r="K430">
        <v>0</v>
      </c>
      <c r="L430" t="s">
        <v>3</v>
      </c>
      <c r="M430" t="s">
        <v>3</v>
      </c>
      <c r="N430">
        <v>0</v>
      </c>
      <c r="O430">
        <v>0</v>
      </c>
      <c r="P430" t="s">
        <v>3</v>
      </c>
    </row>
    <row r="431" spans="1:28" x14ac:dyDescent="0.3">
      <c r="A431">
        <v>70</v>
      </c>
      <c r="B431">
        <v>1</v>
      </c>
      <c r="D431">
        <v>2</v>
      </c>
      <c r="E431" t="s">
        <v>376</v>
      </c>
      <c r="F431" t="s">
        <v>377</v>
      </c>
      <c r="G431">
        <v>1</v>
      </c>
      <c r="H431">
        <v>0</v>
      </c>
      <c r="I431" t="s">
        <v>3</v>
      </c>
      <c r="J431">
        <v>1</v>
      </c>
      <c r="K431">
        <v>0</v>
      </c>
      <c r="L431" t="s">
        <v>3</v>
      </c>
      <c r="M431" t="s">
        <v>3</v>
      </c>
      <c r="N431">
        <v>0</v>
      </c>
      <c r="O431">
        <v>1</v>
      </c>
      <c r="P431" t="s">
        <v>3</v>
      </c>
    </row>
    <row r="432" spans="1:28" x14ac:dyDescent="0.3">
      <c r="A432">
        <v>70</v>
      </c>
      <c r="B432">
        <v>1</v>
      </c>
      <c r="D432">
        <v>3</v>
      </c>
      <c r="E432" t="s">
        <v>378</v>
      </c>
      <c r="F432" t="s">
        <v>379</v>
      </c>
      <c r="G432">
        <v>1</v>
      </c>
      <c r="H432">
        <v>0</v>
      </c>
      <c r="I432" t="s">
        <v>3</v>
      </c>
      <c r="J432">
        <v>0</v>
      </c>
      <c r="K432">
        <v>0</v>
      </c>
      <c r="L432" t="s">
        <v>3</v>
      </c>
      <c r="M432" t="s">
        <v>3</v>
      </c>
      <c r="N432">
        <v>0</v>
      </c>
      <c r="O432">
        <v>1</v>
      </c>
      <c r="P432" t="s">
        <v>3</v>
      </c>
    </row>
    <row r="433" spans="1:50" x14ac:dyDescent="0.3">
      <c r="A433">
        <v>70</v>
      </c>
      <c r="B433">
        <v>1</v>
      </c>
      <c r="D433">
        <v>4</v>
      </c>
      <c r="E433" t="s">
        <v>380</v>
      </c>
      <c r="F433" t="s">
        <v>381</v>
      </c>
      <c r="G433">
        <v>1</v>
      </c>
      <c r="H433">
        <v>0</v>
      </c>
      <c r="I433" t="s">
        <v>3</v>
      </c>
      <c r="J433">
        <v>0</v>
      </c>
      <c r="K433">
        <v>0</v>
      </c>
      <c r="L433" t="s">
        <v>3</v>
      </c>
      <c r="M433" t="s">
        <v>3</v>
      </c>
      <c r="N433">
        <v>0</v>
      </c>
      <c r="O433">
        <v>1</v>
      </c>
      <c r="P433" t="s">
        <v>3</v>
      </c>
    </row>
    <row r="434" spans="1:50" x14ac:dyDescent="0.3">
      <c r="A434">
        <v>70</v>
      </c>
      <c r="B434">
        <v>1</v>
      </c>
      <c r="D434">
        <v>5</v>
      </c>
      <c r="E434" t="s">
        <v>382</v>
      </c>
      <c r="F434" t="s">
        <v>383</v>
      </c>
      <c r="G434">
        <v>0</v>
      </c>
      <c r="H434">
        <v>0</v>
      </c>
      <c r="I434" t="s">
        <v>3</v>
      </c>
      <c r="J434">
        <v>0</v>
      </c>
      <c r="K434">
        <v>0</v>
      </c>
      <c r="L434" t="s">
        <v>3</v>
      </c>
      <c r="M434" t="s">
        <v>3</v>
      </c>
      <c r="N434">
        <v>0</v>
      </c>
      <c r="O434">
        <v>0</v>
      </c>
      <c r="P434" t="s">
        <v>3</v>
      </c>
    </row>
    <row r="436" spans="1:50" x14ac:dyDescent="0.3">
      <c r="A436">
        <v>-1</v>
      </c>
    </row>
    <row r="438" spans="1:50" x14ac:dyDescent="0.3">
      <c r="A438" s="5">
        <v>75</v>
      </c>
      <c r="B438" s="5" t="s">
        <v>384</v>
      </c>
      <c r="C438" s="5">
        <v>2025</v>
      </c>
      <c r="D438" s="5">
        <v>3</v>
      </c>
      <c r="E438" s="5">
        <v>0</v>
      </c>
      <c r="F438" s="5"/>
      <c r="G438" s="5">
        <v>0</v>
      </c>
      <c r="H438" s="5">
        <v>1</v>
      </c>
      <c r="I438" s="5">
        <v>1</v>
      </c>
      <c r="J438" s="5">
        <v>3</v>
      </c>
      <c r="K438" s="5">
        <v>0</v>
      </c>
      <c r="L438" s="5">
        <v>0</v>
      </c>
      <c r="M438" s="5">
        <v>1</v>
      </c>
      <c r="N438" s="5">
        <v>56505405</v>
      </c>
      <c r="O438" s="5">
        <v>1</v>
      </c>
    </row>
    <row r="439" spans="1:50" x14ac:dyDescent="0.3">
      <c r="A439" s="7">
        <v>1</v>
      </c>
      <c r="B439" s="7" t="s">
        <v>385</v>
      </c>
      <c r="C439" s="7" t="s">
        <v>386</v>
      </c>
      <c r="D439" s="7">
        <v>2025</v>
      </c>
      <c r="E439" s="7">
        <v>9</v>
      </c>
      <c r="F439" s="7">
        <v>1</v>
      </c>
      <c r="G439" s="7">
        <v>1</v>
      </c>
      <c r="H439" s="7">
        <v>0</v>
      </c>
      <c r="I439" s="7">
        <v>2</v>
      </c>
      <c r="J439" s="7">
        <v>1</v>
      </c>
      <c r="K439" s="7">
        <v>9.8800000000000008</v>
      </c>
      <c r="L439" s="7">
        <v>7.66</v>
      </c>
      <c r="M439" s="7">
        <v>1</v>
      </c>
      <c r="N439" s="7">
        <v>1</v>
      </c>
      <c r="O439" s="7">
        <v>9.8800000000000008</v>
      </c>
      <c r="P439" s="7">
        <v>7.66</v>
      </c>
      <c r="Q439" s="7">
        <v>1</v>
      </c>
      <c r="R439" s="7" t="s">
        <v>3</v>
      </c>
      <c r="S439" s="7" t="s">
        <v>3</v>
      </c>
      <c r="T439" s="7" t="s">
        <v>3</v>
      </c>
      <c r="U439" s="7" t="s">
        <v>3</v>
      </c>
      <c r="V439" s="7" t="s">
        <v>3</v>
      </c>
      <c r="W439" s="7" t="s">
        <v>3</v>
      </c>
      <c r="X439" s="7" t="s">
        <v>3</v>
      </c>
      <c r="Y439" s="7" t="s">
        <v>3</v>
      </c>
      <c r="Z439" s="7" t="s">
        <v>3</v>
      </c>
      <c r="AA439" s="7" t="s">
        <v>387</v>
      </c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>
        <v>56505406</v>
      </c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x14ac:dyDescent="0.3">
      <c r="A440" s="7">
        <v>1</v>
      </c>
      <c r="B440" s="7" t="s">
        <v>385</v>
      </c>
      <c r="C440" s="7" t="s">
        <v>388</v>
      </c>
      <c r="D440" s="7">
        <v>2025</v>
      </c>
      <c r="E440" s="7">
        <v>7</v>
      </c>
      <c r="F440" s="7">
        <v>1</v>
      </c>
      <c r="G440" s="7">
        <v>1</v>
      </c>
      <c r="H440" s="7">
        <v>0</v>
      </c>
      <c r="I440" s="7">
        <v>2</v>
      </c>
      <c r="J440" s="7">
        <v>1</v>
      </c>
      <c r="K440" s="7">
        <v>1</v>
      </c>
      <c r="L440" s="7">
        <v>1</v>
      </c>
      <c r="M440" s="7">
        <v>1</v>
      </c>
      <c r="N440" s="7">
        <v>1</v>
      </c>
      <c r="O440" s="7">
        <v>1</v>
      </c>
      <c r="P440" s="7">
        <v>1</v>
      </c>
      <c r="Q440" s="7">
        <v>1</v>
      </c>
      <c r="R440" s="7" t="s">
        <v>3</v>
      </c>
      <c r="S440" s="7" t="s">
        <v>3</v>
      </c>
      <c r="T440" s="7" t="s">
        <v>3</v>
      </c>
      <c r="U440" s="7" t="s">
        <v>3</v>
      </c>
      <c r="V440" s="7" t="s">
        <v>3</v>
      </c>
      <c r="W440" s="7" t="s">
        <v>3</v>
      </c>
      <c r="X440" s="7" t="s">
        <v>3</v>
      </c>
      <c r="Y440" s="7" t="s">
        <v>3</v>
      </c>
      <c r="Z440" s="7" t="s">
        <v>3</v>
      </c>
      <c r="AA440" s="7" t="s">
        <v>389</v>
      </c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>
        <v>56505407</v>
      </c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x14ac:dyDescent="0.3">
      <c r="A441" s="5">
        <v>75</v>
      </c>
      <c r="B441" s="5" t="s">
        <v>390</v>
      </c>
      <c r="C441" s="5">
        <v>2000</v>
      </c>
      <c r="D441" s="5">
        <v>0</v>
      </c>
      <c r="E441" s="5">
        <v>1</v>
      </c>
      <c r="F441" s="5">
        <v>0</v>
      </c>
      <c r="G441" s="5">
        <v>0</v>
      </c>
      <c r="H441" s="5">
        <v>1</v>
      </c>
      <c r="I441" s="5">
        <v>1</v>
      </c>
      <c r="J441" s="5">
        <v>3</v>
      </c>
      <c r="K441" s="5">
        <v>0</v>
      </c>
      <c r="L441" s="5">
        <v>0</v>
      </c>
      <c r="M441" s="5">
        <v>0</v>
      </c>
      <c r="N441" s="5">
        <v>56505403</v>
      </c>
      <c r="O441" s="5">
        <v>2</v>
      </c>
    </row>
    <row r="442" spans="1:50" x14ac:dyDescent="0.3">
      <c r="A442" s="7">
        <v>1</v>
      </c>
      <c r="B442" s="7" t="s">
        <v>385</v>
      </c>
      <c r="C442" s="7" t="s">
        <v>386</v>
      </c>
      <c r="D442" s="7">
        <v>2000</v>
      </c>
      <c r="E442" s="7">
        <v>1</v>
      </c>
      <c r="F442" s="7">
        <v>1</v>
      </c>
      <c r="G442" s="7">
        <v>1</v>
      </c>
      <c r="H442" s="7">
        <v>0</v>
      </c>
      <c r="I442" s="7">
        <v>2</v>
      </c>
      <c r="J442" s="7">
        <v>1</v>
      </c>
      <c r="K442" s="7">
        <v>1</v>
      </c>
      <c r="L442" s="7">
        <v>1</v>
      </c>
      <c r="M442" s="7">
        <v>1</v>
      </c>
      <c r="N442" s="7">
        <v>1</v>
      </c>
      <c r="O442" s="7">
        <v>1</v>
      </c>
      <c r="P442" s="7">
        <v>1</v>
      </c>
      <c r="Q442" s="7">
        <v>1</v>
      </c>
      <c r="R442" s="7" t="s">
        <v>3</v>
      </c>
      <c r="S442" s="7" t="s">
        <v>3</v>
      </c>
      <c r="T442" s="7" t="s">
        <v>3</v>
      </c>
      <c r="U442" s="7" t="s">
        <v>3</v>
      </c>
      <c r="V442" s="7" t="s">
        <v>3</v>
      </c>
      <c r="W442" s="7" t="s">
        <v>3</v>
      </c>
      <c r="X442" s="7" t="s">
        <v>3</v>
      </c>
      <c r="Y442" s="7" t="s">
        <v>3</v>
      </c>
      <c r="Z442" s="7" t="s">
        <v>3</v>
      </c>
      <c r="AA442" s="7" t="s">
        <v>34</v>
      </c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>
        <v>58689339</v>
      </c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6" spans="1:50" x14ac:dyDescent="0.3">
      <c r="A446">
        <v>65</v>
      </c>
      <c r="C446">
        <v>1</v>
      </c>
      <c r="D446">
        <v>0</v>
      </c>
      <c r="E446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391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3">
      <c r="A14" s="1">
        <v>22</v>
      </c>
      <c r="B14" s="1">
        <v>1</v>
      </c>
      <c r="C14" s="1">
        <v>0</v>
      </c>
      <c r="D14" s="1">
        <v>56505405</v>
      </c>
      <c r="E14" s="1">
        <v>56505403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3">
      <c r="A16" s="8">
        <v>3</v>
      </c>
      <c r="B16" s="8">
        <v>1</v>
      </c>
      <c r="C16" s="8" t="s">
        <v>5</v>
      </c>
      <c r="D16" s="8" t="s">
        <v>17</v>
      </c>
      <c r="E16" s="9">
        <f>ROUND((Source!P386)/1000,2)</f>
        <v>0</v>
      </c>
      <c r="F16" s="9">
        <f>ROUND((Source!P387)/1000,2)</f>
        <v>8650.89</v>
      </c>
      <c r="G16" s="9">
        <f>ROUND((Source!P378)/1000,2)</f>
        <v>3475.13</v>
      </c>
      <c r="H16" s="9">
        <f>ROUND((Source!P388)/1000+(Source!P389)/1000,2)</f>
        <v>0</v>
      </c>
      <c r="I16" s="9">
        <f>E16+F16+G16+H16</f>
        <v>12126.02</v>
      </c>
      <c r="J16" s="9">
        <f>ROUND((Source!P384+Source!P383)/1000,2)</f>
        <v>1995.23</v>
      </c>
      <c r="K16" s="9">
        <v>16716.59</v>
      </c>
      <c r="L16" s="9">
        <v>0</v>
      </c>
      <c r="M16" s="9">
        <v>0</v>
      </c>
      <c r="N16" s="9">
        <f>I16+L16+M16</f>
        <v>12126.02</v>
      </c>
      <c r="T16" s="10">
        <f>ROUND((Source!F386)/1000,2)</f>
        <v>0</v>
      </c>
      <c r="U16" s="10">
        <f>ROUND((Source!F387)/1000,2)</f>
        <v>548.47</v>
      </c>
      <c r="V16" s="10">
        <f>ROUND((Source!F378)/1000,2)</f>
        <v>469.73</v>
      </c>
      <c r="W16" s="10">
        <f>ROUND((Source!F388)/1000+(Source!F389)/1000,2)</f>
        <v>0</v>
      </c>
      <c r="X16" s="10">
        <f>T16+U16+V16+W16</f>
        <v>1018.2</v>
      </c>
      <c r="Y16" s="10">
        <f>ROUND((Source!F384+Source!F383)/1000,2)</f>
        <v>36.28</v>
      </c>
      <c r="Z16" s="10">
        <v>1897.09</v>
      </c>
      <c r="AA16" s="10">
        <v>0</v>
      </c>
      <c r="AB16" s="10">
        <v>0</v>
      </c>
      <c r="AC16" s="10">
        <f>X16+AA16+AB16</f>
        <v>1018.2</v>
      </c>
      <c r="AI16" s="8">
        <v>0</v>
      </c>
      <c r="AJ16" s="8">
        <v>-1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9370519.4700000007</v>
      </c>
      <c r="AU16" s="9">
        <v>7346074.7999999998</v>
      </c>
      <c r="AV16" s="9">
        <v>0</v>
      </c>
      <c r="AW16" s="9">
        <v>3475133.18</v>
      </c>
      <c r="AX16" s="9">
        <v>0</v>
      </c>
      <c r="AY16" s="9">
        <v>47046.61</v>
      </c>
      <c r="AZ16" s="9">
        <v>17829.400000000001</v>
      </c>
      <c r="BA16" s="9">
        <v>1977398.06</v>
      </c>
      <c r="BB16" s="9">
        <v>0</v>
      </c>
      <c r="BC16" s="9">
        <v>8650888.5500000007</v>
      </c>
      <c r="BD16" s="9">
        <v>0</v>
      </c>
      <c r="BE16" s="9">
        <v>0</v>
      </c>
      <c r="BF16" s="9">
        <v>3008.2474253699997</v>
      </c>
      <c r="BG16" s="9">
        <v>0</v>
      </c>
      <c r="BH16" s="9">
        <v>0</v>
      </c>
      <c r="BI16" s="9">
        <v>1820200.59</v>
      </c>
      <c r="BJ16" s="9">
        <v>935301.67</v>
      </c>
      <c r="BK16" s="9">
        <v>12126021.73</v>
      </c>
      <c r="BR16" s="10">
        <v>968093.54</v>
      </c>
      <c r="BS16" s="10">
        <v>929001.41</v>
      </c>
      <c r="BT16" s="10">
        <v>0</v>
      </c>
      <c r="BU16" s="10">
        <v>469730.01</v>
      </c>
      <c r="BV16" s="10">
        <v>0</v>
      </c>
      <c r="BW16" s="10">
        <v>3132.9</v>
      </c>
      <c r="BX16" s="10">
        <v>324.23</v>
      </c>
      <c r="BY16" s="10">
        <v>35959.230000000003</v>
      </c>
      <c r="BZ16" s="10">
        <v>0</v>
      </c>
      <c r="CA16" s="10">
        <v>548472.67000000004</v>
      </c>
      <c r="CB16" s="10">
        <v>0</v>
      </c>
      <c r="CC16" s="10">
        <v>0</v>
      </c>
      <c r="CD16" s="10">
        <v>3008.2474253699997</v>
      </c>
      <c r="CE16" s="10">
        <v>0</v>
      </c>
      <c r="CF16" s="10">
        <v>0</v>
      </c>
      <c r="CG16" s="10">
        <v>33100.57</v>
      </c>
      <c r="CH16" s="10">
        <v>17008.57</v>
      </c>
      <c r="CI16" s="10">
        <v>1018202.68</v>
      </c>
    </row>
    <row r="18" spans="1:29" x14ac:dyDescent="0.3">
      <c r="A18">
        <v>51</v>
      </c>
      <c r="E18">
        <v>0</v>
      </c>
      <c r="F18">
        <v>8650.89</v>
      </c>
      <c r="G18">
        <v>3475.13</v>
      </c>
      <c r="H18">
        <v>0</v>
      </c>
      <c r="I18">
        <v>12126.02</v>
      </c>
      <c r="J18">
        <v>1995.23</v>
      </c>
      <c r="K18">
        <v>16716.59</v>
      </c>
      <c r="L18">
        <v>0</v>
      </c>
      <c r="M18">
        <v>0</v>
      </c>
      <c r="N18">
        <v>12126.02</v>
      </c>
      <c r="T18">
        <v>0</v>
      </c>
      <c r="U18">
        <v>548.47</v>
      </c>
      <c r="V18">
        <v>469.73</v>
      </c>
      <c r="W18">
        <v>0</v>
      </c>
      <c r="X18">
        <v>1018.2</v>
      </c>
      <c r="Y18">
        <v>36.28</v>
      </c>
      <c r="Z18">
        <v>1897.09</v>
      </c>
      <c r="AA18">
        <v>0</v>
      </c>
      <c r="AB18">
        <v>0</v>
      </c>
      <c r="AC18">
        <v>1018.2</v>
      </c>
    </row>
    <row r="20" spans="1:29" x14ac:dyDescent="0.3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9370519.4700000007</v>
      </c>
      <c r="G20" s="6" t="s">
        <v>77</v>
      </c>
      <c r="H20" s="6" t="s">
        <v>78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968093.54</v>
      </c>
    </row>
    <row r="21" spans="1:29" x14ac:dyDescent="0.3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7346074.7999999998</v>
      </c>
      <c r="G21" s="6" t="s">
        <v>79</v>
      </c>
      <c r="H21" s="6" t="s">
        <v>80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929001.41</v>
      </c>
    </row>
    <row r="22" spans="1:29" x14ac:dyDescent="0.3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81</v>
      </c>
      <c r="H22" s="6" t="s">
        <v>82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x14ac:dyDescent="0.3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7346074.7999999998</v>
      </c>
      <c r="G23" s="6" t="s">
        <v>83</v>
      </c>
      <c r="H23" s="6" t="s">
        <v>84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929001.41</v>
      </c>
    </row>
    <row r="24" spans="1:29" x14ac:dyDescent="0.3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3870941.62</v>
      </c>
      <c r="G24" s="6" t="s">
        <v>85</v>
      </c>
      <c r="H24" s="6" t="s">
        <v>86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459271.4</v>
      </c>
    </row>
    <row r="25" spans="1:29" x14ac:dyDescent="0.3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87</v>
      </c>
      <c r="H25" s="6" t="s">
        <v>88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x14ac:dyDescent="0.3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3870941.62</v>
      </c>
      <c r="G26" s="6" t="s">
        <v>89</v>
      </c>
      <c r="H26" s="6" t="s">
        <v>90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459271.4</v>
      </c>
    </row>
    <row r="27" spans="1:29" x14ac:dyDescent="0.3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3475133.18</v>
      </c>
      <c r="G27" s="6" t="s">
        <v>91</v>
      </c>
      <c r="H27" s="6" t="s">
        <v>92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469730.01</v>
      </c>
    </row>
    <row r="28" spans="1:29" x14ac:dyDescent="0.3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93</v>
      </c>
      <c r="H28" s="6" t="s">
        <v>94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x14ac:dyDescent="0.3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3475133.18</v>
      </c>
      <c r="G29" s="6" t="s">
        <v>95</v>
      </c>
      <c r="H29" s="6" t="s">
        <v>96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469730.01</v>
      </c>
    </row>
    <row r="30" spans="1:29" x14ac:dyDescent="0.3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47046.61</v>
      </c>
      <c r="G30" s="6" t="s">
        <v>97</v>
      </c>
      <c r="H30" s="6" t="s">
        <v>98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3132.9</v>
      </c>
    </row>
    <row r="31" spans="1:29" x14ac:dyDescent="0.3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99</v>
      </c>
      <c r="H31" s="6" t="s">
        <v>100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x14ac:dyDescent="0.3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17829.400000000001</v>
      </c>
      <c r="G32" s="6" t="s">
        <v>101</v>
      </c>
      <c r="H32" s="6" t="s">
        <v>102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324.23</v>
      </c>
    </row>
    <row r="33" spans="1:16" x14ac:dyDescent="0.3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1977398.06</v>
      </c>
      <c r="G33" s="6" t="s">
        <v>103</v>
      </c>
      <c r="H33" s="6" t="s">
        <v>104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35959.230000000003</v>
      </c>
    </row>
    <row r="34" spans="1:16" x14ac:dyDescent="0.3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105</v>
      </c>
      <c r="H34" s="6" t="s">
        <v>106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x14ac:dyDescent="0.3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0</v>
      </c>
      <c r="G35" s="6" t="s">
        <v>107</v>
      </c>
      <c r="H35" s="6" t="s">
        <v>108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0</v>
      </c>
    </row>
    <row r="36" spans="1:16" x14ac:dyDescent="0.3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8650888.5500000007</v>
      </c>
      <c r="G36" s="6" t="s">
        <v>109</v>
      </c>
      <c r="H36" s="6" t="s">
        <v>110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548472.67000000004</v>
      </c>
    </row>
    <row r="37" spans="1:16" x14ac:dyDescent="0.3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111</v>
      </c>
      <c r="H37" s="6" t="s">
        <v>112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x14ac:dyDescent="0.3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113</v>
      </c>
      <c r="H38" s="6" t="s">
        <v>114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x14ac:dyDescent="0.3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115</v>
      </c>
      <c r="H39" s="6" t="s">
        <v>116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x14ac:dyDescent="0.3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3008.2474253699997</v>
      </c>
      <c r="G40" s="6" t="s">
        <v>117</v>
      </c>
      <c r="H40" s="6" t="s">
        <v>118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3008.2474253699997</v>
      </c>
    </row>
    <row r="41" spans="1:16" x14ac:dyDescent="0.3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119</v>
      </c>
      <c r="H41" s="6" t="s">
        <v>120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x14ac:dyDescent="0.3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121</v>
      </c>
      <c r="H42" s="6" t="s">
        <v>122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x14ac:dyDescent="0.3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123</v>
      </c>
      <c r="H43" s="6" t="s">
        <v>124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x14ac:dyDescent="0.3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1820200.59</v>
      </c>
      <c r="G44" s="6" t="s">
        <v>125</v>
      </c>
      <c r="H44" s="6" t="s">
        <v>126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33100.57</v>
      </c>
    </row>
    <row r="45" spans="1:16" x14ac:dyDescent="0.3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935301.67</v>
      </c>
      <c r="G45" s="6" t="s">
        <v>127</v>
      </c>
      <c r="H45" s="6" t="s">
        <v>128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17008.57</v>
      </c>
    </row>
    <row r="46" spans="1:16" x14ac:dyDescent="0.3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12126021.73</v>
      </c>
      <c r="G46" s="6" t="s">
        <v>129</v>
      </c>
      <c r="H46" s="6" t="s">
        <v>130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1018202.68</v>
      </c>
    </row>
    <row r="48" spans="1:16" x14ac:dyDescent="0.3">
      <c r="A48">
        <v>-1</v>
      </c>
    </row>
    <row r="51" spans="1:50" x14ac:dyDescent="0.3">
      <c r="A51" s="5">
        <v>75</v>
      </c>
      <c r="B51" s="5" t="s">
        <v>384</v>
      </c>
      <c r="C51" s="5">
        <v>2025</v>
      </c>
      <c r="D51" s="5">
        <v>3</v>
      </c>
      <c r="E51" s="5">
        <v>0</v>
      </c>
      <c r="F51" s="5"/>
      <c r="G51" s="5">
        <v>0</v>
      </c>
      <c r="H51" s="5">
        <v>1</v>
      </c>
      <c r="I51" s="5">
        <v>1</v>
      </c>
      <c r="J51" s="5">
        <v>3</v>
      </c>
      <c r="K51" s="5">
        <v>0</v>
      </c>
      <c r="L51" s="5">
        <v>0</v>
      </c>
      <c r="M51" s="5">
        <v>1</v>
      </c>
      <c r="N51" s="5">
        <v>56505405</v>
      </c>
      <c r="O51" s="5">
        <v>1</v>
      </c>
    </row>
    <row r="52" spans="1:50" x14ac:dyDescent="0.3">
      <c r="A52" s="7">
        <v>1</v>
      </c>
      <c r="B52" s="7" t="s">
        <v>385</v>
      </c>
      <c r="C52" s="7" t="s">
        <v>386</v>
      </c>
      <c r="D52" s="7">
        <v>2025</v>
      </c>
      <c r="E52" s="7">
        <v>9</v>
      </c>
      <c r="F52" s="7">
        <v>1</v>
      </c>
      <c r="G52" s="7">
        <v>1</v>
      </c>
      <c r="H52" s="7">
        <v>0</v>
      </c>
      <c r="I52" s="7">
        <v>2</v>
      </c>
      <c r="J52" s="7">
        <v>1</v>
      </c>
      <c r="K52" s="7">
        <v>9.8800000000000008</v>
      </c>
      <c r="L52" s="7">
        <v>7.66</v>
      </c>
      <c r="M52" s="7">
        <v>1</v>
      </c>
      <c r="N52" s="7">
        <v>1</v>
      </c>
      <c r="O52" s="7">
        <v>9.8800000000000008</v>
      </c>
      <c r="P52" s="7">
        <v>7.66</v>
      </c>
      <c r="Q52" s="7">
        <v>1</v>
      </c>
      <c r="R52" s="7" t="s">
        <v>3</v>
      </c>
      <c r="S52" s="7" t="s">
        <v>3</v>
      </c>
      <c r="T52" s="7" t="s">
        <v>3</v>
      </c>
      <c r="U52" s="7" t="s">
        <v>3</v>
      </c>
      <c r="V52" s="7" t="s">
        <v>3</v>
      </c>
      <c r="W52" s="7" t="s">
        <v>3</v>
      </c>
      <c r="X52" s="7" t="s">
        <v>3</v>
      </c>
      <c r="Y52" s="7" t="s">
        <v>3</v>
      </c>
      <c r="Z52" s="7" t="s">
        <v>3</v>
      </c>
      <c r="AA52" s="7" t="s">
        <v>387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>
        <v>56505406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3">
      <c r="A53" s="7">
        <v>1</v>
      </c>
      <c r="B53" s="7" t="s">
        <v>385</v>
      </c>
      <c r="C53" s="7" t="s">
        <v>388</v>
      </c>
      <c r="D53" s="7">
        <v>2025</v>
      </c>
      <c r="E53" s="7">
        <v>7</v>
      </c>
      <c r="F53" s="7">
        <v>1</v>
      </c>
      <c r="G53" s="7">
        <v>1</v>
      </c>
      <c r="H53" s="7">
        <v>0</v>
      </c>
      <c r="I53" s="7">
        <v>2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 t="s">
        <v>3</v>
      </c>
      <c r="S53" s="7" t="s">
        <v>3</v>
      </c>
      <c r="T53" s="7" t="s">
        <v>3</v>
      </c>
      <c r="U53" s="7" t="s">
        <v>3</v>
      </c>
      <c r="V53" s="7" t="s">
        <v>3</v>
      </c>
      <c r="W53" s="7" t="s">
        <v>3</v>
      </c>
      <c r="X53" s="7" t="s">
        <v>3</v>
      </c>
      <c r="Y53" s="7" t="s">
        <v>3</v>
      </c>
      <c r="Z53" s="7" t="s">
        <v>3</v>
      </c>
      <c r="AA53" s="7" t="s">
        <v>389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>
        <v>56505407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3">
      <c r="A54" s="5">
        <v>75</v>
      </c>
      <c r="B54" s="5" t="s">
        <v>390</v>
      </c>
      <c r="C54" s="5">
        <v>2000</v>
      </c>
      <c r="D54" s="5">
        <v>0</v>
      </c>
      <c r="E54" s="5">
        <v>1</v>
      </c>
      <c r="F54" s="5">
        <v>0</v>
      </c>
      <c r="G54" s="5">
        <v>0</v>
      </c>
      <c r="H54" s="5">
        <v>1</v>
      </c>
      <c r="I54" s="5">
        <v>1</v>
      </c>
      <c r="J54" s="5">
        <v>3</v>
      </c>
      <c r="K54" s="5">
        <v>0</v>
      </c>
      <c r="L54" s="5">
        <v>0</v>
      </c>
      <c r="M54" s="5">
        <v>0</v>
      </c>
      <c r="N54" s="5">
        <v>56505403</v>
      </c>
      <c r="O54" s="5">
        <v>2</v>
      </c>
    </row>
    <row r="55" spans="1:50" x14ac:dyDescent="0.3">
      <c r="A55" s="7">
        <v>1</v>
      </c>
      <c r="B55" s="7" t="s">
        <v>385</v>
      </c>
      <c r="C55" s="7" t="s">
        <v>386</v>
      </c>
      <c r="D55" s="7">
        <v>2000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34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58689339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19" x14ac:dyDescent="0.3">
      <c r="A1">
        <f>ROW(Source!A213)</f>
        <v>213</v>
      </c>
      <c r="B1">
        <v>56505403</v>
      </c>
      <c r="C1">
        <v>58754180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392</v>
      </c>
      <c r="J1" t="s">
        <v>3</v>
      </c>
      <c r="K1" t="s">
        <v>393</v>
      </c>
      <c r="L1">
        <v>1191</v>
      </c>
      <c r="N1">
        <v>1013</v>
      </c>
      <c r="O1" t="s">
        <v>394</v>
      </c>
      <c r="P1" t="s">
        <v>394</v>
      </c>
      <c r="Q1">
        <v>1</v>
      </c>
      <c r="W1">
        <v>0</v>
      </c>
      <c r="X1">
        <v>476480486</v>
      </c>
      <c r="Y1">
        <f>(AT1*1.1)</f>
        <v>74.107000000000014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67.37</v>
      </c>
      <c r="AU1" t="s">
        <v>24</v>
      </c>
      <c r="AV1">
        <v>1</v>
      </c>
      <c r="AW1">
        <v>2</v>
      </c>
      <c r="AX1">
        <v>58754200</v>
      </c>
      <c r="AY1">
        <v>1</v>
      </c>
      <c r="AZ1">
        <v>0</v>
      </c>
      <c r="BA1">
        <v>91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ROUND(AT1*Source!I213*AH1*AL1,2)</f>
        <v>0</v>
      </c>
      <c r="CV1">
        <f>ROUND(Y1*Source!I213,9)</f>
        <v>270.49054999999998</v>
      </c>
      <c r="CW1">
        <v>0</v>
      </c>
      <c r="CX1">
        <f>ROUND(Y1*Source!I213,9)</f>
        <v>270.49054999999998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13" si="0">ROUND(ROUND(AE1,2)*CX1,2)</f>
        <v>0</v>
      </c>
      <c r="DG1">
        <f t="shared" ref="DG1:DG12" si="1">ROUND(ROUND(AF1,2)*CX1,2)</f>
        <v>0</v>
      </c>
      <c r="DH1">
        <f t="shared" ref="DH1:DH12" si="2">ROUND(ROUND(AG1,2)*CX1,2)</f>
        <v>0</v>
      </c>
      <c r="DI1">
        <f t="shared" ref="DI1:DI2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3">
      <c r="A2">
        <f>ROW(Source!A213)</f>
        <v>213</v>
      </c>
      <c r="B2">
        <v>56505403</v>
      </c>
      <c r="C2">
        <v>58754180</v>
      </c>
      <c r="D2">
        <v>57696079</v>
      </c>
      <c r="E2">
        <v>1</v>
      </c>
      <c r="F2">
        <v>1</v>
      </c>
      <c r="G2">
        <v>1080</v>
      </c>
      <c r="H2">
        <v>2</v>
      </c>
      <c r="I2" t="s">
        <v>395</v>
      </c>
      <c r="J2" t="s">
        <v>396</v>
      </c>
      <c r="K2" t="s">
        <v>397</v>
      </c>
      <c r="L2">
        <v>1368</v>
      </c>
      <c r="N2">
        <v>1011</v>
      </c>
      <c r="O2" t="s">
        <v>398</v>
      </c>
      <c r="P2" t="s">
        <v>398</v>
      </c>
      <c r="Q2">
        <v>1</v>
      </c>
      <c r="W2">
        <v>0</v>
      </c>
      <c r="X2">
        <v>-1985943078</v>
      </c>
      <c r="Y2">
        <f>(AT2*1.1)</f>
        <v>0.12100000000000001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0.11</v>
      </c>
      <c r="AU2" t="s">
        <v>24</v>
      </c>
      <c r="AV2">
        <v>0</v>
      </c>
      <c r="AW2">
        <v>2</v>
      </c>
      <c r="AX2">
        <v>58754201</v>
      </c>
      <c r="AY2">
        <v>1</v>
      </c>
      <c r="AZ2">
        <v>0</v>
      </c>
      <c r="BA2">
        <v>92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ROUND(Y2*Source!I213*DO2,9)</f>
        <v>5.5736230000000004</v>
      </c>
      <c r="CX2">
        <f>ROUND(Y2*Source!I213,9)</f>
        <v>0.44164999999999999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10.054</v>
      </c>
      <c r="DC2">
        <f>ROUND((ROUND(AT2*AG2,2)*1.1),6)</f>
        <v>1.5289999999999999</v>
      </c>
      <c r="DD2" t="s">
        <v>3</v>
      </c>
      <c r="DE2" t="s">
        <v>3</v>
      </c>
      <c r="DF2">
        <f t="shared" si="0"/>
        <v>0</v>
      </c>
      <c r="DG2">
        <f t="shared" si="1"/>
        <v>36.700000000000003</v>
      </c>
      <c r="DH2">
        <f t="shared" si="2"/>
        <v>5.57</v>
      </c>
      <c r="DI2">
        <f t="shared" si="3"/>
        <v>0</v>
      </c>
      <c r="DJ2">
        <f>DG2</f>
        <v>36.700000000000003</v>
      </c>
      <c r="DK2">
        <v>0</v>
      </c>
      <c r="DL2" t="s">
        <v>399</v>
      </c>
      <c r="DM2">
        <v>0</v>
      </c>
      <c r="DN2" t="s">
        <v>394</v>
      </c>
      <c r="DO2">
        <v>12.62</v>
      </c>
    </row>
    <row r="3" spans="1:119" x14ac:dyDescent="0.3">
      <c r="A3">
        <f>ROW(Source!A213)</f>
        <v>213</v>
      </c>
      <c r="B3">
        <v>56505403</v>
      </c>
      <c r="C3">
        <v>58754180</v>
      </c>
      <c r="D3">
        <v>57664986</v>
      </c>
      <c r="E3">
        <v>1</v>
      </c>
      <c r="F3">
        <v>1</v>
      </c>
      <c r="G3">
        <v>1080</v>
      </c>
      <c r="H3">
        <v>3</v>
      </c>
      <c r="I3" t="s">
        <v>400</v>
      </c>
      <c r="J3" t="s">
        <v>401</v>
      </c>
      <c r="K3" t="s">
        <v>402</v>
      </c>
      <c r="L3">
        <v>1348</v>
      </c>
      <c r="N3">
        <v>1009</v>
      </c>
      <c r="O3" t="s">
        <v>165</v>
      </c>
      <c r="P3" t="s">
        <v>165</v>
      </c>
      <c r="Q3">
        <v>1000</v>
      </c>
      <c r="W3">
        <v>0</v>
      </c>
      <c r="X3">
        <v>1286623552</v>
      </c>
      <c r="Y3">
        <f t="shared" ref="Y3:Y11" si="4">AT3</f>
        <v>9.5999999999999992E-3</v>
      </c>
      <c r="AA3">
        <v>7246.05</v>
      </c>
      <c r="AB3">
        <v>0</v>
      </c>
      <c r="AC3">
        <v>0</v>
      </c>
      <c r="AD3">
        <v>0</v>
      </c>
      <c r="AE3">
        <v>7246.05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9.5999999999999992E-3</v>
      </c>
      <c r="AU3" t="s">
        <v>3</v>
      </c>
      <c r="AV3">
        <v>0</v>
      </c>
      <c r="AW3">
        <v>2</v>
      </c>
      <c r="AX3">
        <v>58754202</v>
      </c>
      <c r="AY3">
        <v>1</v>
      </c>
      <c r="AZ3">
        <v>0</v>
      </c>
      <c r="BA3">
        <v>93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ROUND(Y3*Source!I213,9)</f>
        <v>3.5040000000000002E-2</v>
      </c>
      <c r="CY3">
        <f t="shared" ref="CY3:CY11" si="5">AA3</f>
        <v>7246.05</v>
      </c>
      <c r="CZ3">
        <f t="shared" ref="CZ3:CZ11" si="6">AE3</f>
        <v>7246.05</v>
      </c>
      <c r="DA3">
        <f t="shared" ref="DA3:DA11" si="7">AI3</f>
        <v>1</v>
      </c>
      <c r="DB3">
        <f t="shared" ref="DB3:DB11" si="8">ROUND(ROUND(AT3*CZ3,2),6)</f>
        <v>69.56</v>
      </c>
      <c r="DC3">
        <f t="shared" ref="DC3:DC11" si="9">ROUND(ROUND(AT3*AG3,2),6)</f>
        <v>0</v>
      </c>
      <c r="DD3" t="s">
        <v>3</v>
      </c>
      <c r="DE3" t="s">
        <v>3</v>
      </c>
      <c r="DF3">
        <f t="shared" si="0"/>
        <v>253.9</v>
      </c>
      <c r="DG3">
        <f t="shared" si="1"/>
        <v>0</v>
      </c>
      <c r="DH3">
        <f t="shared" si="2"/>
        <v>0</v>
      </c>
      <c r="DI3">
        <f t="shared" si="3"/>
        <v>0</v>
      </c>
      <c r="DJ3">
        <f t="shared" ref="DJ3:DJ11" si="10">DF3</f>
        <v>253.9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3">
      <c r="A4">
        <f>ROW(Source!A213)</f>
        <v>213</v>
      </c>
      <c r="B4">
        <v>56505403</v>
      </c>
      <c r="C4">
        <v>58754180</v>
      </c>
      <c r="D4">
        <v>57664417</v>
      </c>
      <c r="E4">
        <v>1</v>
      </c>
      <c r="F4">
        <v>1</v>
      </c>
      <c r="G4">
        <v>1080</v>
      </c>
      <c r="H4">
        <v>3</v>
      </c>
      <c r="I4" t="s">
        <v>403</v>
      </c>
      <c r="J4" t="s">
        <v>404</v>
      </c>
      <c r="K4" t="s">
        <v>405</v>
      </c>
      <c r="L4">
        <v>1354</v>
      </c>
      <c r="N4">
        <v>1010</v>
      </c>
      <c r="O4" t="s">
        <v>32</v>
      </c>
      <c r="P4" t="s">
        <v>32</v>
      </c>
      <c r="Q4">
        <v>1</v>
      </c>
      <c r="W4">
        <v>0</v>
      </c>
      <c r="X4">
        <v>-1414204412</v>
      </c>
      <c r="Y4">
        <f t="shared" si="4"/>
        <v>204</v>
      </c>
      <c r="AA4">
        <v>3.86</v>
      </c>
      <c r="AB4">
        <v>0</v>
      </c>
      <c r="AC4">
        <v>0</v>
      </c>
      <c r="AD4">
        <v>0</v>
      </c>
      <c r="AE4">
        <v>3.86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204</v>
      </c>
      <c r="AU4" t="s">
        <v>3</v>
      </c>
      <c r="AV4">
        <v>0</v>
      </c>
      <c r="AW4">
        <v>2</v>
      </c>
      <c r="AX4">
        <v>58754203</v>
      </c>
      <c r="AY4">
        <v>1</v>
      </c>
      <c r="AZ4">
        <v>0</v>
      </c>
      <c r="BA4">
        <v>94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ROUND(Y4*Source!I213,9)</f>
        <v>744.6</v>
      </c>
      <c r="CY4">
        <f t="shared" si="5"/>
        <v>3.86</v>
      </c>
      <c r="CZ4">
        <f t="shared" si="6"/>
        <v>3.86</v>
      </c>
      <c r="DA4">
        <f t="shared" si="7"/>
        <v>1</v>
      </c>
      <c r="DB4">
        <f t="shared" si="8"/>
        <v>787.44</v>
      </c>
      <c r="DC4">
        <f t="shared" si="9"/>
        <v>0</v>
      </c>
      <c r="DD4" t="s">
        <v>3</v>
      </c>
      <c r="DE4" t="s">
        <v>3</v>
      </c>
      <c r="DF4">
        <f t="shared" si="0"/>
        <v>2874.16</v>
      </c>
      <c r="DG4">
        <f t="shared" si="1"/>
        <v>0</v>
      </c>
      <c r="DH4">
        <f t="shared" si="2"/>
        <v>0</v>
      </c>
      <c r="DI4">
        <f t="shared" si="3"/>
        <v>0</v>
      </c>
      <c r="DJ4">
        <f t="shared" si="10"/>
        <v>2874.16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3">
      <c r="A5">
        <f>ROW(Source!A213)</f>
        <v>213</v>
      </c>
      <c r="B5">
        <v>56505403</v>
      </c>
      <c r="C5">
        <v>58754180</v>
      </c>
      <c r="D5">
        <v>57664267</v>
      </c>
      <c r="E5">
        <v>1</v>
      </c>
      <c r="F5">
        <v>1</v>
      </c>
      <c r="G5">
        <v>1080</v>
      </c>
      <c r="H5">
        <v>3</v>
      </c>
      <c r="I5" t="s">
        <v>163</v>
      </c>
      <c r="J5" t="s">
        <v>166</v>
      </c>
      <c r="K5" t="s">
        <v>164</v>
      </c>
      <c r="L5">
        <v>1348</v>
      </c>
      <c r="N5">
        <v>1009</v>
      </c>
      <c r="O5" t="s">
        <v>165</v>
      </c>
      <c r="P5" t="s">
        <v>165</v>
      </c>
      <c r="Q5">
        <v>1000</v>
      </c>
      <c r="W5">
        <v>0</v>
      </c>
      <c r="X5">
        <v>-566361729</v>
      </c>
      <c r="Y5">
        <f t="shared" si="4"/>
        <v>1.5E-3</v>
      </c>
      <c r="AA5">
        <v>24609.759999999998</v>
      </c>
      <c r="AB5">
        <v>0</v>
      </c>
      <c r="AC5">
        <v>0</v>
      </c>
      <c r="AD5">
        <v>0</v>
      </c>
      <c r="AE5">
        <v>24609.759999999998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3</v>
      </c>
      <c r="AT5">
        <v>1.5E-3</v>
      </c>
      <c r="AU5" t="s">
        <v>3</v>
      </c>
      <c r="AV5">
        <v>0</v>
      </c>
      <c r="AW5">
        <v>1</v>
      </c>
      <c r="AX5">
        <v>-1</v>
      </c>
      <c r="AY5">
        <v>0</v>
      </c>
      <c r="AZ5">
        <v>0</v>
      </c>
      <c r="BA5" t="s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ROUND(Y5*Source!I213,9)</f>
        <v>5.4749999999999998E-3</v>
      </c>
      <c r="CY5">
        <f t="shared" si="5"/>
        <v>24609.759999999998</v>
      </c>
      <c r="CZ5">
        <f t="shared" si="6"/>
        <v>24609.759999999998</v>
      </c>
      <c r="DA5">
        <f t="shared" si="7"/>
        <v>1</v>
      </c>
      <c r="DB5">
        <f t="shared" si="8"/>
        <v>36.909999999999997</v>
      </c>
      <c r="DC5">
        <f t="shared" si="9"/>
        <v>0</v>
      </c>
      <c r="DD5" t="s">
        <v>3</v>
      </c>
      <c r="DE5" t="s">
        <v>3</v>
      </c>
      <c r="DF5">
        <f t="shared" si="0"/>
        <v>134.74</v>
      </c>
      <c r="DG5">
        <f t="shared" si="1"/>
        <v>0</v>
      </c>
      <c r="DH5">
        <f t="shared" si="2"/>
        <v>0</v>
      </c>
      <c r="DI5">
        <f t="shared" si="3"/>
        <v>0</v>
      </c>
      <c r="DJ5">
        <f t="shared" si="10"/>
        <v>134.74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3">
      <c r="A6">
        <f>ROW(Source!A213)</f>
        <v>213</v>
      </c>
      <c r="B6">
        <v>56505403</v>
      </c>
      <c r="C6">
        <v>58754180</v>
      </c>
      <c r="D6">
        <v>57688445</v>
      </c>
      <c r="E6">
        <v>1</v>
      </c>
      <c r="F6">
        <v>1</v>
      </c>
      <c r="G6">
        <v>1080</v>
      </c>
      <c r="H6">
        <v>3</v>
      </c>
      <c r="I6" t="s">
        <v>229</v>
      </c>
      <c r="J6" t="s">
        <v>231</v>
      </c>
      <c r="K6" t="s">
        <v>230</v>
      </c>
      <c r="L6">
        <v>1355</v>
      </c>
      <c r="N6">
        <v>1010</v>
      </c>
      <c r="O6" t="s">
        <v>223</v>
      </c>
      <c r="P6" t="s">
        <v>223</v>
      </c>
      <c r="Q6">
        <v>100</v>
      </c>
      <c r="W6">
        <v>0</v>
      </c>
      <c r="X6">
        <v>-278186458</v>
      </c>
      <c r="Y6">
        <f t="shared" si="4"/>
        <v>1.02</v>
      </c>
      <c r="AA6">
        <v>21.2</v>
      </c>
      <c r="AB6">
        <v>0</v>
      </c>
      <c r="AC6">
        <v>0</v>
      </c>
      <c r="AD6">
        <v>0</v>
      </c>
      <c r="AE6">
        <v>21.2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3</v>
      </c>
      <c r="AT6">
        <v>1.02</v>
      </c>
      <c r="AU6" t="s">
        <v>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ROUND(Y6*Source!I213,9)</f>
        <v>3.7229999999999999</v>
      </c>
      <c r="CY6">
        <f t="shared" si="5"/>
        <v>21.2</v>
      </c>
      <c r="CZ6">
        <f t="shared" si="6"/>
        <v>21.2</v>
      </c>
      <c r="DA6">
        <f t="shared" si="7"/>
        <v>1</v>
      </c>
      <c r="DB6">
        <f t="shared" si="8"/>
        <v>21.62</v>
      </c>
      <c r="DC6">
        <f t="shared" si="9"/>
        <v>0</v>
      </c>
      <c r="DD6" t="s">
        <v>3</v>
      </c>
      <c r="DE6" t="s">
        <v>3</v>
      </c>
      <c r="DF6">
        <f t="shared" si="0"/>
        <v>78.930000000000007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si="10"/>
        <v>78.930000000000007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3">
      <c r="A7">
        <f>ROW(Source!A213)</f>
        <v>213</v>
      </c>
      <c r="B7">
        <v>56505403</v>
      </c>
      <c r="C7">
        <v>58754180</v>
      </c>
      <c r="D7">
        <v>57687459</v>
      </c>
      <c r="E7">
        <v>1</v>
      </c>
      <c r="F7">
        <v>1</v>
      </c>
      <c r="G7">
        <v>1080</v>
      </c>
      <c r="H7">
        <v>3</v>
      </c>
      <c r="I7" t="s">
        <v>241</v>
      </c>
      <c r="J7" t="s">
        <v>243</v>
      </c>
      <c r="K7" t="s">
        <v>242</v>
      </c>
      <c r="L7">
        <v>1354</v>
      </c>
      <c r="N7">
        <v>1010</v>
      </c>
      <c r="O7" t="s">
        <v>32</v>
      </c>
      <c r="P7" t="s">
        <v>32</v>
      </c>
      <c r="Q7">
        <v>1</v>
      </c>
      <c r="W7">
        <v>0</v>
      </c>
      <c r="X7">
        <v>1729520002</v>
      </c>
      <c r="Y7">
        <f t="shared" si="4"/>
        <v>0.27397260000000001</v>
      </c>
      <c r="AA7">
        <v>15.67</v>
      </c>
      <c r="AB7">
        <v>0</v>
      </c>
      <c r="AC7">
        <v>0</v>
      </c>
      <c r="AD7">
        <v>0</v>
      </c>
      <c r="AE7">
        <v>15.67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3</v>
      </c>
      <c r="AT7">
        <v>0.27397260000000001</v>
      </c>
      <c r="AU7" t="s">
        <v>3</v>
      </c>
      <c r="AV7">
        <v>0</v>
      </c>
      <c r="AW7">
        <v>1</v>
      </c>
      <c r="AX7">
        <v>-1</v>
      </c>
      <c r="AY7">
        <v>0</v>
      </c>
      <c r="AZ7">
        <v>0</v>
      </c>
      <c r="BA7" t="s">
        <v>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ROUND(Y7*Source!I213,9)</f>
        <v>0.99999998999999995</v>
      </c>
      <c r="CY7">
        <f t="shared" si="5"/>
        <v>15.67</v>
      </c>
      <c r="CZ7">
        <f t="shared" si="6"/>
        <v>15.67</v>
      </c>
      <c r="DA7">
        <f t="shared" si="7"/>
        <v>1</v>
      </c>
      <c r="DB7">
        <f t="shared" si="8"/>
        <v>4.29</v>
      </c>
      <c r="DC7">
        <f t="shared" si="9"/>
        <v>0</v>
      </c>
      <c r="DD7" t="s">
        <v>3</v>
      </c>
      <c r="DE7" t="s">
        <v>3</v>
      </c>
      <c r="DF7">
        <f t="shared" si="0"/>
        <v>15.67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10"/>
        <v>15.67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3">
      <c r="A8">
        <f>ROW(Source!A213)</f>
        <v>213</v>
      </c>
      <c r="B8">
        <v>56505403</v>
      </c>
      <c r="C8">
        <v>58754180</v>
      </c>
      <c r="D8">
        <v>57687917</v>
      </c>
      <c r="E8">
        <v>1</v>
      </c>
      <c r="F8">
        <v>1</v>
      </c>
      <c r="G8">
        <v>1080</v>
      </c>
      <c r="H8">
        <v>3</v>
      </c>
      <c r="I8" t="s">
        <v>233</v>
      </c>
      <c r="J8" t="s">
        <v>235</v>
      </c>
      <c r="K8" t="s">
        <v>234</v>
      </c>
      <c r="L8">
        <v>1354</v>
      </c>
      <c r="N8">
        <v>1010</v>
      </c>
      <c r="O8" t="s">
        <v>32</v>
      </c>
      <c r="P8" t="s">
        <v>32</v>
      </c>
      <c r="Q8">
        <v>1</v>
      </c>
      <c r="W8">
        <v>0</v>
      </c>
      <c r="X8">
        <v>-462143021</v>
      </c>
      <c r="Y8">
        <f t="shared" si="4"/>
        <v>24.657534200000001</v>
      </c>
      <c r="AA8">
        <v>156.25</v>
      </c>
      <c r="AB8">
        <v>0</v>
      </c>
      <c r="AC8">
        <v>0</v>
      </c>
      <c r="AD8">
        <v>0</v>
      </c>
      <c r="AE8">
        <v>156.25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3</v>
      </c>
      <c r="AT8">
        <v>24.657534200000001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ROUND(Y8*Source!I213,9)</f>
        <v>89.999999829999993</v>
      </c>
      <c r="CY8">
        <f t="shared" si="5"/>
        <v>156.25</v>
      </c>
      <c r="CZ8">
        <f t="shared" si="6"/>
        <v>156.25</v>
      </c>
      <c r="DA8">
        <f t="shared" si="7"/>
        <v>1</v>
      </c>
      <c r="DB8">
        <f t="shared" si="8"/>
        <v>3852.74</v>
      </c>
      <c r="DC8">
        <f t="shared" si="9"/>
        <v>0</v>
      </c>
      <c r="DD8" t="s">
        <v>3</v>
      </c>
      <c r="DE8" t="s">
        <v>3</v>
      </c>
      <c r="DF8">
        <f t="shared" si="0"/>
        <v>14062.5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10"/>
        <v>14062.5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3">
      <c r="A9">
        <f>ROW(Source!A213)</f>
        <v>213</v>
      </c>
      <c r="B9">
        <v>56505403</v>
      </c>
      <c r="C9">
        <v>58754180</v>
      </c>
      <c r="D9">
        <v>0</v>
      </c>
      <c r="E9">
        <v>1080</v>
      </c>
      <c r="F9">
        <v>1</v>
      </c>
      <c r="G9">
        <v>1080</v>
      </c>
      <c r="H9">
        <v>3</v>
      </c>
      <c r="I9" t="s">
        <v>237</v>
      </c>
      <c r="J9" t="s">
        <v>3</v>
      </c>
      <c r="K9" t="s">
        <v>238</v>
      </c>
      <c r="L9">
        <v>1354</v>
      </c>
      <c r="N9">
        <v>1010</v>
      </c>
      <c r="O9" t="s">
        <v>32</v>
      </c>
      <c r="P9" t="s">
        <v>32</v>
      </c>
      <c r="Q9">
        <v>1</v>
      </c>
      <c r="W9">
        <v>0</v>
      </c>
      <c r="X9">
        <v>851852885</v>
      </c>
      <c r="Y9">
        <f t="shared" si="4"/>
        <v>51.232876699999998</v>
      </c>
      <c r="AA9">
        <v>212.66</v>
      </c>
      <c r="AB9">
        <v>0</v>
      </c>
      <c r="AC9">
        <v>0</v>
      </c>
      <c r="AD9">
        <v>0</v>
      </c>
      <c r="AE9">
        <v>212.66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3</v>
      </c>
      <c r="AT9">
        <v>51.232876699999998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ROUND(Y9*Source!I213,9)</f>
        <v>186.99999995499999</v>
      </c>
      <c r="CY9">
        <f t="shared" si="5"/>
        <v>212.66</v>
      </c>
      <c r="CZ9">
        <f t="shared" si="6"/>
        <v>212.66</v>
      </c>
      <c r="DA9">
        <f t="shared" si="7"/>
        <v>1</v>
      </c>
      <c r="DB9">
        <f t="shared" si="8"/>
        <v>10895.18</v>
      </c>
      <c r="DC9">
        <f t="shared" si="9"/>
        <v>0</v>
      </c>
      <c r="DD9" t="s">
        <v>3</v>
      </c>
      <c r="DE9" t="s">
        <v>3</v>
      </c>
      <c r="DF9">
        <f t="shared" si="0"/>
        <v>39767.42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10"/>
        <v>39767.42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3">
      <c r="A10">
        <f>ROW(Source!A213)</f>
        <v>213</v>
      </c>
      <c r="B10">
        <v>56505403</v>
      </c>
      <c r="C10">
        <v>58754180</v>
      </c>
      <c r="D10">
        <v>0</v>
      </c>
      <c r="E10">
        <v>1080</v>
      </c>
      <c r="F10">
        <v>1</v>
      </c>
      <c r="G10">
        <v>1080</v>
      </c>
      <c r="H10">
        <v>3</v>
      </c>
      <c r="I10" t="s">
        <v>245</v>
      </c>
      <c r="J10" t="s">
        <v>3</v>
      </c>
      <c r="K10" t="s">
        <v>246</v>
      </c>
      <c r="L10">
        <v>1354</v>
      </c>
      <c r="N10">
        <v>1010</v>
      </c>
      <c r="O10" t="s">
        <v>32</v>
      </c>
      <c r="P10" t="s">
        <v>32</v>
      </c>
      <c r="Q10">
        <v>1</v>
      </c>
      <c r="W10">
        <v>0</v>
      </c>
      <c r="X10">
        <v>956552529</v>
      </c>
      <c r="Y10">
        <f t="shared" si="4"/>
        <v>12.0547945</v>
      </c>
      <c r="AA10">
        <v>51.53</v>
      </c>
      <c r="AB10">
        <v>0</v>
      </c>
      <c r="AC10">
        <v>0</v>
      </c>
      <c r="AD10">
        <v>0</v>
      </c>
      <c r="AE10">
        <v>51.53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3</v>
      </c>
      <c r="AT10">
        <v>12.0547945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ROUND(Y10*Source!I213,9)</f>
        <v>43.999999924999997</v>
      </c>
      <c r="CY10">
        <f t="shared" si="5"/>
        <v>51.53</v>
      </c>
      <c r="CZ10">
        <f t="shared" si="6"/>
        <v>51.53</v>
      </c>
      <c r="DA10">
        <f t="shared" si="7"/>
        <v>1</v>
      </c>
      <c r="DB10">
        <f t="shared" si="8"/>
        <v>621.17999999999995</v>
      </c>
      <c r="DC10">
        <f t="shared" si="9"/>
        <v>0</v>
      </c>
      <c r="DD10" t="s">
        <v>3</v>
      </c>
      <c r="DE10" t="s">
        <v>3</v>
      </c>
      <c r="DF10">
        <f t="shared" si="0"/>
        <v>2267.3200000000002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10"/>
        <v>2267.3200000000002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3">
      <c r="A11">
        <f>ROW(Source!A213)</f>
        <v>213</v>
      </c>
      <c r="B11">
        <v>56505403</v>
      </c>
      <c r="C11">
        <v>58754180</v>
      </c>
      <c r="D11">
        <v>0</v>
      </c>
      <c r="E11">
        <v>1080</v>
      </c>
      <c r="F11">
        <v>1</v>
      </c>
      <c r="G11">
        <v>1080</v>
      </c>
      <c r="H11">
        <v>3</v>
      </c>
      <c r="I11" t="s">
        <v>249</v>
      </c>
      <c r="J11" t="s">
        <v>3</v>
      </c>
      <c r="K11" t="s">
        <v>250</v>
      </c>
      <c r="L11">
        <v>1354</v>
      </c>
      <c r="N11">
        <v>1010</v>
      </c>
      <c r="O11" t="s">
        <v>32</v>
      </c>
      <c r="P11" t="s">
        <v>32</v>
      </c>
      <c r="Q11">
        <v>1</v>
      </c>
      <c r="W11">
        <v>0</v>
      </c>
      <c r="X11">
        <v>-1065421352</v>
      </c>
      <c r="Y11">
        <f t="shared" si="4"/>
        <v>12.0547945</v>
      </c>
      <c r="AA11">
        <v>212.66</v>
      </c>
      <c r="AB11">
        <v>0</v>
      </c>
      <c r="AC11">
        <v>0</v>
      </c>
      <c r="AD11">
        <v>0</v>
      </c>
      <c r="AE11">
        <v>212.66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3</v>
      </c>
      <c r="AT11">
        <v>12.0547945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ROUND(Y11*Source!I213,9)</f>
        <v>43.999999924999997</v>
      </c>
      <c r="CY11">
        <f t="shared" si="5"/>
        <v>212.66</v>
      </c>
      <c r="CZ11">
        <f t="shared" si="6"/>
        <v>212.66</v>
      </c>
      <c r="DA11">
        <f t="shared" si="7"/>
        <v>1</v>
      </c>
      <c r="DB11">
        <f t="shared" si="8"/>
        <v>2563.5700000000002</v>
      </c>
      <c r="DC11">
        <f t="shared" si="9"/>
        <v>0</v>
      </c>
      <c r="DD11" t="s">
        <v>3</v>
      </c>
      <c r="DE11" t="s">
        <v>3</v>
      </c>
      <c r="DF11">
        <f t="shared" si="0"/>
        <v>9357.0400000000009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10"/>
        <v>9357.0400000000009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3">
      <c r="A12">
        <f>ROW(Source!A214)</f>
        <v>214</v>
      </c>
      <c r="B12">
        <v>56505405</v>
      </c>
      <c r="C12">
        <v>58754180</v>
      </c>
      <c r="D12">
        <v>57621905</v>
      </c>
      <c r="E12">
        <v>1080</v>
      </c>
      <c r="F12">
        <v>1</v>
      </c>
      <c r="G12">
        <v>1080</v>
      </c>
      <c r="H12">
        <v>1</v>
      </c>
      <c r="I12" t="s">
        <v>392</v>
      </c>
      <c r="J12" t="s">
        <v>3</v>
      </c>
      <c r="K12" t="s">
        <v>393</v>
      </c>
      <c r="L12">
        <v>1191</v>
      </c>
      <c r="N12">
        <v>1013</v>
      </c>
      <c r="O12" t="s">
        <v>394</v>
      </c>
      <c r="P12" t="s">
        <v>394</v>
      </c>
      <c r="Q12">
        <v>1</v>
      </c>
      <c r="W12">
        <v>0</v>
      </c>
      <c r="X12">
        <v>476480486</v>
      </c>
      <c r="Y12">
        <f>(AT12*1.1)</f>
        <v>74.107000000000014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67.37</v>
      </c>
      <c r="AU12" t="s">
        <v>24</v>
      </c>
      <c r="AV12">
        <v>1</v>
      </c>
      <c r="AW12">
        <v>2</v>
      </c>
      <c r="AX12">
        <v>58754200</v>
      </c>
      <c r="AY12">
        <v>1</v>
      </c>
      <c r="AZ12">
        <v>0</v>
      </c>
      <c r="BA12">
        <v>96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ROUND(AT12*Source!I214*AH12*AL12,2)</f>
        <v>0</v>
      </c>
      <c r="CV12">
        <f>ROUND(Y12*Source!I214,9)</f>
        <v>270.49054999999998</v>
      </c>
      <c r="CW12">
        <v>0</v>
      </c>
      <c r="CX12">
        <f>ROUND(Y12*Source!I214,9)</f>
        <v>270.49054999999998</v>
      </c>
      <c r="CY12">
        <f>AD12</f>
        <v>0</v>
      </c>
      <c r="CZ12">
        <f>AH12</f>
        <v>0</v>
      </c>
      <c r="DA12">
        <f>AL12</f>
        <v>1</v>
      </c>
      <c r="DB12">
        <f>ROUND((ROUND(AT12*CZ12,2)*1.1),6)</f>
        <v>0</v>
      </c>
      <c r="DC12">
        <f>ROUND((ROUND(AT12*AG12,2)*1.1),6)</f>
        <v>0</v>
      </c>
      <c r="DD12" t="s">
        <v>3</v>
      </c>
      <c r="DE12" t="s">
        <v>3</v>
      </c>
      <c r="DF12">
        <f t="shared" si="0"/>
        <v>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>DI12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3">
      <c r="A13">
        <f>ROW(Source!A214)</f>
        <v>214</v>
      </c>
      <c r="B13">
        <v>56505405</v>
      </c>
      <c r="C13">
        <v>58754180</v>
      </c>
      <c r="D13">
        <v>57696079</v>
      </c>
      <c r="E13">
        <v>1</v>
      </c>
      <c r="F13">
        <v>1</v>
      </c>
      <c r="G13">
        <v>1080</v>
      </c>
      <c r="H13">
        <v>2</v>
      </c>
      <c r="I13" t="s">
        <v>395</v>
      </c>
      <c r="J13" t="s">
        <v>396</v>
      </c>
      <c r="K13" t="s">
        <v>397</v>
      </c>
      <c r="L13">
        <v>1368</v>
      </c>
      <c r="N13">
        <v>1011</v>
      </c>
      <c r="O13" t="s">
        <v>398</v>
      </c>
      <c r="P13" t="s">
        <v>398</v>
      </c>
      <c r="Q13">
        <v>1</v>
      </c>
      <c r="W13">
        <v>0</v>
      </c>
      <c r="X13">
        <v>-1985943078</v>
      </c>
      <c r="Y13">
        <f>(AT13*1.1)</f>
        <v>0.12100000000000001</v>
      </c>
      <c r="AA13">
        <v>0</v>
      </c>
      <c r="AB13">
        <v>1418.19</v>
      </c>
      <c r="AC13">
        <v>726.59</v>
      </c>
      <c r="AD13">
        <v>0</v>
      </c>
      <c r="AE13">
        <v>0</v>
      </c>
      <c r="AF13">
        <v>83.1</v>
      </c>
      <c r="AG13">
        <v>12.62</v>
      </c>
      <c r="AH13">
        <v>0</v>
      </c>
      <c r="AI13">
        <v>1</v>
      </c>
      <c r="AJ13">
        <v>16.3</v>
      </c>
      <c r="AK13">
        <v>54.99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0.11</v>
      </c>
      <c r="AU13" t="s">
        <v>24</v>
      </c>
      <c r="AV13">
        <v>0</v>
      </c>
      <c r="AW13">
        <v>2</v>
      </c>
      <c r="AX13">
        <v>58754201</v>
      </c>
      <c r="AY13">
        <v>1</v>
      </c>
      <c r="AZ13">
        <v>0</v>
      </c>
      <c r="BA13">
        <v>97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ROUND(Y13*Source!I214*DO13,9)</f>
        <v>5.5736230000000004</v>
      </c>
      <c r="CX13">
        <f>ROUND(Y13*Source!I214,9)</f>
        <v>0.44164999999999999</v>
      </c>
      <c r="CY13">
        <f>AB13</f>
        <v>1418.19</v>
      </c>
      <c r="CZ13">
        <f>AF13</f>
        <v>83.1</v>
      </c>
      <c r="DA13">
        <f>AJ13</f>
        <v>16.3</v>
      </c>
      <c r="DB13">
        <f>ROUND((ROUND(AT13*CZ13,2)*1.1),6)</f>
        <v>10.054</v>
      </c>
      <c r="DC13">
        <f>ROUND((ROUND(AT13*AG13,2)*1.1),6)</f>
        <v>1.5289999999999999</v>
      </c>
      <c r="DD13" t="s">
        <v>3</v>
      </c>
      <c r="DE13" t="s">
        <v>3</v>
      </c>
      <c r="DF13">
        <f t="shared" si="0"/>
        <v>0</v>
      </c>
      <c r="DG13">
        <f>ROUND(ROUND(AF13*AJ13,2)*CX13,2)</f>
        <v>598.23</v>
      </c>
      <c r="DH13">
        <f>ROUND(ROUND(AG13*AK13,2)*CX13,2)</f>
        <v>306.49</v>
      </c>
      <c r="DI13">
        <f t="shared" si="3"/>
        <v>0</v>
      </c>
      <c r="DJ13">
        <f>DG13</f>
        <v>598.23</v>
      </c>
      <c r="DK13">
        <v>0</v>
      </c>
      <c r="DL13" t="s">
        <v>399</v>
      </c>
      <c r="DM13">
        <v>0</v>
      </c>
      <c r="DN13" t="s">
        <v>394</v>
      </c>
      <c r="DO13">
        <v>12.62</v>
      </c>
    </row>
    <row r="14" spans="1:119" x14ac:dyDescent="0.3">
      <c r="A14">
        <f>ROW(Source!A214)</f>
        <v>214</v>
      </c>
      <c r="B14">
        <v>56505405</v>
      </c>
      <c r="C14">
        <v>58754180</v>
      </c>
      <c r="D14">
        <v>57664986</v>
      </c>
      <c r="E14">
        <v>1</v>
      </c>
      <c r="F14">
        <v>1</v>
      </c>
      <c r="G14">
        <v>1080</v>
      </c>
      <c r="H14">
        <v>3</v>
      </c>
      <c r="I14" t="s">
        <v>400</v>
      </c>
      <c r="J14" t="s">
        <v>401</v>
      </c>
      <c r="K14" t="s">
        <v>402</v>
      </c>
      <c r="L14">
        <v>1348</v>
      </c>
      <c r="N14">
        <v>1009</v>
      </c>
      <c r="O14" t="s">
        <v>165</v>
      </c>
      <c r="P14" t="s">
        <v>165</v>
      </c>
      <c r="Q14">
        <v>1000</v>
      </c>
      <c r="W14">
        <v>0</v>
      </c>
      <c r="X14">
        <v>1286623552</v>
      </c>
      <c r="Y14">
        <f t="shared" ref="Y14:Y22" si="11">AT14</f>
        <v>9.5999999999999992E-3</v>
      </c>
      <c r="AA14">
        <v>65214.45</v>
      </c>
      <c r="AB14">
        <v>0</v>
      </c>
      <c r="AC14">
        <v>0</v>
      </c>
      <c r="AD14">
        <v>0</v>
      </c>
      <c r="AE14">
        <v>7246.05</v>
      </c>
      <c r="AF14">
        <v>0</v>
      </c>
      <c r="AG14">
        <v>0</v>
      </c>
      <c r="AH14">
        <v>0</v>
      </c>
      <c r="AI14">
        <v>9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9.5999999999999992E-3</v>
      </c>
      <c r="AU14" t="s">
        <v>3</v>
      </c>
      <c r="AV14">
        <v>0</v>
      </c>
      <c r="AW14">
        <v>2</v>
      </c>
      <c r="AX14">
        <v>58754202</v>
      </c>
      <c r="AY14">
        <v>1</v>
      </c>
      <c r="AZ14">
        <v>0</v>
      </c>
      <c r="BA14">
        <v>98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ROUND(Y14*Source!I214,9)</f>
        <v>3.5040000000000002E-2</v>
      </c>
      <c r="CY14">
        <f t="shared" ref="CY14:CY22" si="12">AA14</f>
        <v>65214.45</v>
      </c>
      <c r="CZ14">
        <f t="shared" ref="CZ14:CZ22" si="13">AE14</f>
        <v>7246.05</v>
      </c>
      <c r="DA14">
        <f t="shared" ref="DA14:DA22" si="14">AI14</f>
        <v>9</v>
      </c>
      <c r="DB14">
        <f t="shared" ref="DB14:DB22" si="15">ROUND(ROUND(AT14*CZ14,2),6)</f>
        <v>69.56</v>
      </c>
      <c r="DC14">
        <f t="shared" ref="DC14:DC22" si="16">ROUND(ROUND(AT14*AG14,2),6)</f>
        <v>0</v>
      </c>
      <c r="DD14" t="s">
        <v>3</v>
      </c>
      <c r="DE14" t="s">
        <v>3</v>
      </c>
      <c r="DF14">
        <f t="shared" ref="DF14:DF22" si="17">ROUND(ROUND(AE14*AI14,2)*CX14,2)</f>
        <v>2285.11</v>
      </c>
      <c r="DG14">
        <f t="shared" ref="DG14:DG22" si="18">ROUND(ROUND(AF14,2)*CX14,2)</f>
        <v>0</v>
      </c>
      <c r="DH14">
        <f t="shared" ref="DH14:DH22" si="19">ROUND(ROUND(AG14,2)*CX14,2)</f>
        <v>0</v>
      </c>
      <c r="DI14">
        <f t="shared" si="3"/>
        <v>0</v>
      </c>
      <c r="DJ14">
        <f t="shared" ref="DJ14:DJ22" si="20">DF14</f>
        <v>2285.11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3">
      <c r="A15">
        <f>ROW(Source!A214)</f>
        <v>214</v>
      </c>
      <c r="B15">
        <v>56505405</v>
      </c>
      <c r="C15">
        <v>58754180</v>
      </c>
      <c r="D15">
        <v>57664417</v>
      </c>
      <c r="E15">
        <v>1</v>
      </c>
      <c r="F15">
        <v>1</v>
      </c>
      <c r="G15">
        <v>1080</v>
      </c>
      <c r="H15">
        <v>3</v>
      </c>
      <c r="I15" t="s">
        <v>403</v>
      </c>
      <c r="J15" t="s">
        <v>404</v>
      </c>
      <c r="K15" t="s">
        <v>405</v>
      </c>
      <c r="L15">
        <v>1354</v>
      </c>
      <c r="N15">
        <v>1010</v>
      </c>
      <c r="O15" t="s">
        <v>32</v>
      </c>
      <c r="P15" t="s">
        <v>32</v>
      </c>
      <c r="Q15">
        <v>1</v>
      </c>
      <c r="W15">
        <v>0</v>
      </c>
      <c r="X15">
        <v>-1414204412</v>
      </c>
      <c r="Y15">
        <f t="shared" si="11"/>
        <v>204</v>
      </c>
      <c r="AA15">
        <v>9.34</v>
      </c>
      <c r="AB15">
        <v>0</v>
      </c>
      <c r="AC15">
        <v>0</v>
      </c>
      <c r="AD15">
        <v>0</v>
      </c>
      <c r="AE15">
        <v>3.86</v>
      </c>
      <c r="AF15">
        <v>0</v>
      </c>
      <c r="AG15">
        <v>0</v>
      </c>
      <c r="AH15">
        <v>0</v>
      </c>
      <c r="AI15">
        <v>2.42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204</v>
      </c>
      <c r="AU15" t="s">
        <v>3</v>
      </c>
      <c r="AV15">
        <v>0</v>
      </c>
      <c r="AW15">
        <v>2</v>
      </c>
      <c r="AX15">
        <v>58754203</v>
      </c>
      <c r="AY15">
        <v>1</v>
      </c>
      <c r="AZ15">
        <v>0</v>
      </c>
      <c r="BA15">
        <v>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ROUND(Y15*Source!I214,9)</f>
        <v>744.6</v>
      </c>
      <c r="CY15">
        <f t="shared" si="12"/>
        <v>9.34</v>
      </c>
      <c r="CZ15">
        <f t="shared" si="13"/>
        <v>3.86</v>
      </c>
      <c r="DA15">
        <f t="shared" si="14"/>
        <v>2.42</v>
      </c>
      <c r="DB15">
        <f t="shared" si="15"/>
        <v>787.44</v>
      </c>
      <c r="DC15">
        <f t="shared" si="16"/>
        <v>0</v>
      </c>
      <c r="DD15" t="s">
        <v>3</v>
      </c>
      <c r="DE15" t="s">
        <v>3</v>
      </c>
      <c r="DF15">
        <f t="shared" si="17"/>
        <v>6954.56</v>
      </c>
      <c r="DG15">
        <f t="shared" si="18"/>
        <v>0</v>
      </c>
      <c r="DH15">
        <f t="shared" si="19"/>
        <v>0</v>
      </c>
      <c r="DI15">
        <f t="shared" si="3"/>
        <v>0</v>
      </c>
      <c r="DJ15">
        <f t="shared" si="20"/>
        <v>6954.56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3">
      <c r="A16">
        <f>ROW(Source!A214)</f>
        <v>214</v>
      </c>
      <c r="B16">
        <v>56505405</v>
      </c>
      <c r="C16">
        <v>58754180</v>
      </c>
      <c r="D16">
        <v>57664267</v>
      </c>
      <c r="E16">
        <v>1</v>
      </c>
      <c r="F16">
        <v>1</v>
      </c>
      <c r="G16">
        <v>1080</v>
      </c>
      <c r="H16">
        <v>3</v>
      </c>
      <c r="I16" t="s">
        <v>163</v>
      </c>
      <c r="J16" t="s">
        <v>166</v>
      </c>
      <c r="K16" t="s">
        <v>164</v>
      </c>
      <c r="L16">
        <v>1348</v>
      </c>
      <c r="N16">
        <v>1009</v>
      </c>
      <c r="O16" t="s">
        <v>165</v>
      </c>
      <c r="P16" t="s">
        <v>165</v>
      </c>
      <c r="Q16">
        <v>1000</v>
      </c>
      <c r="W16">
        <v>0</v>
      </c>
      <c r="X16">
        <v>-566361729</v>
      </c>
      <c r="Y16">
        <f t="shared" si="11"/>
        <v>1.5E-3</v>
      </c>
      <c r="AA16">
        <v>126740.26</v>
      </c>
      <c r="AB16">
        <v>0</v>
      </c>
      <c r="AC16">
        <v>0</v>
      </c>
      <c r="AD16">
        <v>0</v>
      </c>
      <c r="AE16">
        <v>24609.759999999998</v>
      </c>
      <c r="AF16">
        <v>0</v>
      </c>
      <c r="AG16">
        <v>0</v>
      </c>
      <c r="AH16">
        <v>0</v>
      </c>
      <c r="AI16">
        <v>5.15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3</v>
      </c>
      <c r="AT16">
        <v>1.5E-3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ROUND(Y16*Source!I214,9)</f>
        <v>5.4749999999999998E-3</v>
      </c>
      <c r="CY16">
        <f t="shared" si="12"/>
        <v>126740.26</v>
      </c>
      <c r="CZ16">
        <f t="shared" si="13"/>
        <v>24609.759999999998</v>
      </c>
      <c r="DA16">
        <f t="shared" si="14"/>
        <v>5.15</v>
      </c>
      <c r="DB16">
        <f t="shared" si="15"/>
        <v>36.909999999999997</v>
      </c>
      <c r="DC16">
        <f t="shared" si="16"/>
        <v>0</v>
      </c>
      <c r="DD16" t="s">
        <v>3</v>
      </c>
      <c r="DE16" t="s">
        <v>3</v>
      </c>
      <c r="DF16">
        <f t="shared" si="17"/>
        <v>693.9</v>
      </c>
      <c r="DG16">
        <f t="shared" si="18"/>
        <v>0</v>
      </c>
      <c r="DH16">
        <f t="shared" si="19"/>
        <v>0</v>
      </c>
      <c r="DI16">
        <f t="shared" si="3"/>
        <v>0</v>
      </c>
      <c r="DJ16">
        <f t="shared" si="20"/>
        <v>693.9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3">
      <c r="A17">
        <f>ROW(Source!A214)</f>
        <v>214</v>
      </c>
      <c r="B17">
        <v>56505405</v>
      </c>
      <c r="C17">
        <v>58754180</v>
      </c>
      <c r="D17">
        <v>57688445</v>
      </c>
      <c r="E17">
        <v>1</v>
      </c>
      <c r="F17">
        <v>1</v>
      </c>
      <c r="G17">
        <v>1080</v>
      </c>
      <c r="H17">
        <v>3</v>
      </c>
      <c r="I17" t="s">
        <v>229</v>
      </c>
      <c r="J17" t="s">
        <v>231</v>
      </c>
      <c r="K17" t="s">
        <v>230</v>
      </c>
      <c r="L17">
        <v>1355</v>
      </c>
      <c r="N17">
        <v>1010</v>
      </c>
      <c r="O17" t="s">
        <v>223</v>
      </c>
      <c r="P17" t="s">
        <v>223</v>
      </c>
      <c r="Q17">
        <v>100</v>
      </c>
      <c r="W17">
        <v>0</v>
      </c>
      <c r="X17">
        <v>-278186458</v>
      </c>
      <c r="Y17">
        <f t="shared" si="11"/>
        <v>1.02</v>
      </c>
      <c r="AA17">
        <v>130.16999999999999</v>
      </c>
      <c r="AB17">
        <v>0</v>
      </c>
      <c r="AC17">
        <v>0</v>
      </c>
      <c r="AD17">
        <v>0</v>
      </c>
      <c r="AE17">
        <v>21.2</v>
      </c>
      <c r="AF17">
        <v>0</v>
      </c>
      <c r="AG17">
        <v>0</v>
      </c>
      <c r="AH17">
        <v>0</v>
      </c>
      <c r="AI17">
        <v>6.14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3</v>
      </c>
      <c r="AT17">
        <v>1.02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ROUND(Y17*Source!I214,9)</f>
        <v>3.7229999999999999</v>
      </c>
      <c r="CY17">
        <f t="shared" si="12"/>
        <v>130.16999999999999</v>
      </c>
      <c r="CZ17">
        <f t="shared" si="13"/>
        <v>21.2</v>
      </c>
      <c r="DA17">
        <f t="shared" si="14"/>
        <v>6.14</v>
      </c>
      <c r="DB17">
        <f t="shared" si="15"/>
        <v>21.62</v>
      </c>
      <c r="DC17">
        <f t="shared" si="16"/>
        <v>0</v>
      </c>
      <c r="DD17" t="s">
        <v>3</v>
      </c>
      <c r="DE17" t="s">
        <v>3</v>
      </c>
      <c r="DF17">
        <f t="shared" si="17"/>
        <v>484.62</v>
      </c>
      <c r="DG17">
        <f t="shared" si="18"/>
        <v>0</v>
      </c>
      <c r="DH17">
        <f t="shared" si="19"/>
        <v>0</v>
      </c>
      <c r="DI17">
        <f t="shared" si="3"/>
        <v>0</v>
      </c>
      <c r="DJ17">
        <f t="shared" si="20"/>
        <v>484.62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3">
      <c r="A18">
        <f>ROW(Source!A214)</f>
        <v>214</v>
      </c>
      <c r="B18">
        <v>56505405</v>
      </c>
      <c r="C18">
        <v>58754180</v>
      </c>
      <c r="D18">
        <v>57687459</v>
      </c>
      <c r="E18">
        <v>1</v>
      </c>
      <c r="F18">
        <v>1</v>
      </c>
      <c r="G18">
        <v>1080</v>
      </c>
      <c r="H18">
        <v>3</v>
      </c>
      <c r="I18" t="s">
        <v>241</v>
      </c>
      <c r="J18" t="s">
        <v>243</v>
      </c>
      <c r="K18" t="s">
        <v>242</v>
      </c>
      <c r="L18">
        <v>1354</v>
      </c>
      <c r="N18">
        <v>1010</v>
      </c>
      <c r="O18" t="s">
        <v>32</v>
      </c>
      <c r="P18" t="s">
        <v>32</v>
      </c>
      <c r="Q18">
        <v>1</v>
      </c>
      <c r="W18">
        <v>0</v>
      </c>
      <c r="X18">
        <v>1729520002</v>
      </c>
      <c r="Y18">
        <f t="shared" si="11"/>
        <v>0.27397260000000001</v>
      </c>
      <c r="AA18">
        <v>10.029999999999999</v>
      </c>
      <c r="AB18">
        <v>0</v>
      </c>
      <c r="AC18">
        <v>0</v>
      </c>
      <c r="AD18">
        <v>0</v>
      </c>
      <c r="AE18">
        <v>15.67</v>
      </c>
      <c r="AF18">
        <v>0</v>
      </c>
      <c r="AG18">
        <v>0</v>
      </c>
      <c r="AH18">
        <v>0</v>
      </c>
      <c r="AI18">
        <v>0.64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3</v>
      </c>
      <c r="AT18">
        <v>0.27397260000000001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ROUND(Y18*Source!I214,9)</f>
        <v>0.99999998999999995</v>
      </c>
      <c r="CY18">
        <f t="shared" si="12"/>
        <v>10.029999999999999</v>
      </c>
      <c r="CZ18">
        <f t="shared" si="13"/>
        <v>15.67</v>
      </c>
      <c r="DA18">
        <f t="shared" si="14"/>
        <v>0.64</v>
      </c>
      <c r="DB18">
        <f t="shared" si="15"/>
        <v>4.29</v>
      </c>
      <c r="DC18">
        <f t="shared" si="16"/>
        <v>0</v>
      </c>
      <c r="DD18" t="s">
        <v>3</v>
      </c>
      <c r="DE18" t="s">
        <v>3</v>
      </c>
      <c r="DF18">
        <f t="shared" si="17"/>
        <v>10.029999999999999</v>
      </c>
      <c r="DG18">
        <f t="shared" si="18"/>
        <v>0</v>
      </c>
      <c r="DH18">
        <f t="shared" si="19"/>
        <v>0</v>
      </c>
      <c r="DI18">
        <f t="shared" si="3"/>
        <v>0</v>
      </c>
      <c r="DJ18">
        <f t="shared" si="20"/>
        <v>10.029999999999999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3">
      <c r="A19">
        <f>ROW(Source!A214)</f>
        <v>214</v>
      </c>
      <c r="B19">
        <v>56505405</v>
      </c>
      <c r="C19">
        <v>58754180</v>
      </c>
      <c r="D19">
        <v>57687917</v>
      </c>
      <c r="E19">
        <v>1</v>
      </c>
      <c r="F19">
        <v>1</v>
      </c>
      <c r="G19">
        <v>1080</v>
      </c>
      <c r="H19">
        <v>3</v>
      </c>
      <c r="I19" t="s">
        <v>233</v>
      </c>
      <c r="J19" t="s">
        <v>235</v>
      </c>
      <c r="K19" t="s">
        <v>234</v>
      </c>
      <c r="L19">
        <v>1354</v>
      </c>
      <c r="N19">
        <v>1010</v>
      </c>
      <c r="O19" t="s">
        <v>32</v>
      </c>
      <c r="P19" t="s">
        <v>32</v>
      </c>
      <c r="Q19">
        <v>1</v>
      </c>
      <c r="W19">
        <v>0</v>
      </c>
      <c r="X19">
        <v>-462143021</v>
      </c>
      <c r="Y19">
        <f t="shared" si="11"/>
        <v>24.657534200000001</v>
      </c>
      <c r="AA19">
        <v>239.06</v>
      </c>
      <c r="AB19">
        <v>0</v>
      </c>
      <c r="AC19">
        <v>0</v>
      </c>
      <c r="AD19">
        <v>0</v>
      </c>
      <c r="AE19">
        <v>156.25</v>
      </c>
      <c r="AF19">
        <v>0</v>
      </c>
      <c r="AG19">
        <v>0</v>
      </c>
      <c r="AH19">
        <v>0</v>
      </c>
      <c r="AI19">
        <v>1.53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3</v>
      </c>
      <c r="AT19">
        <v>24.657534200000001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ROUND(Y19*Source!I214,9)</f>
        <v>89.999999829999993</v>
      </c>
      <c r="CY19">
        <f t="shared" si="12"/>
        <v>239.06</v>
      </c>
      <c r="CZ19">
        <f t="shared" si="13"/>
        <v>156.25</v>
      </c>
      <c r="DA19">
        <f t="shared" si="14"/>
        <v>1.53</v>
      </c>
      <c r="DB19">
        <f t="shared" si="15"/>
        <v>3852.74</v>
      </c>
      <c r="DC19">
        <f t="shared" si="16"/>
        <v>0</v>
      </c>
      <c r="DD19" t="s">
        <v>3</v>
      </c>
      <c r="DE19" t="s">
        <v>3</v>
      </c>
      <c r="DF19">
        <f t="shared" si="17"/>
        <v>21515.4</v>
      </c>
      <c r="DG19">
        <f t="shared" si="18"/>
        <v>0</v>
      </c>
      <c r="DH19">
        <f t="shared" si="19"/>
        <v>0</v>
      </c>
      <c r="DI19">
        <f t="shared" si="3"/>
        <v>0</v>
      </c>
      <c r="DJ19">
        <f t="shared" si="20"/>
        <v>21515.4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3">
      <c r="A20">
        <f>ROW(Source!A214)</f>
        <v>214</v>
      </c>
      <c r="B20">
        <v>56505405</v>
      </c>
      <c r="C20">
        <v>58754180</v>
      </c>
      <c r="D20">
        <v>0</v>
      </c>
      <c r="E20">
        <v>1080</v>
      </c>
      <c r="F20">
        <v>1</v>
      </c>
      <c r="G20">
        <v>1080</v>
      </c>
      <c r="H20">
        <v>3</v>
      </c>
      <c r="I20" t="s">
        <v>237</v>
      </c>
      <c r="J20" t="s">
        <v>3</v>
      </c>
      <c r="K20" t="s">
        <v>238</v>
      </c>
      <c r="L20">
        <v>1354</v>
      </c>
      <c r="N20">
        <v>1010</v>
      </c>
      <c r="O20" t="s">
        <v>32</v>
      </c>
      <c r="P20" t="s">
        <v>32</v>
      </c>
      <c r="Q20">
        <v>1</v>
      </c>
      <c r="W20">
        <v>0</v>
      </c>
      <c r="X20">
        <v>851852885</v>
      </c>
      <c r="Y20">
        <f t="shared" si="11"/>
        <v>51.232876699999998</v>
      </c>
      <c r="AA20">
        <v>2101.08</v>
      </c>
      <c r="AB20">
        <v>0</v>
      </c>
      <c r="AC20">
        <v>0</v>
      </c>
      <c r="AD20">
        <v>0</v>
      </c>
      <c r="AE20">
        <v>212.66</v>
      </c>
      <c r="AF20">
        <v>0</v>
      </c>
      <c r="AG20">
        <v>0</v>
      </c>
      <c r="AH20">
        <v>0</v>
      </c>
      <c r="AI20">
        <v>9.8800000000000008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3</v>
      </c>
      <c r="AT20">
        <v>51.232876699999998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ROUND(Y20*Source!I214,9)</f>
        <v>186.99999995499999</v>
      </c>
      <c r="CY20">
        <f t="shared" si="12"/>
        <v>2101.08</v>
      </c>
      <c r="CZ20">
        <f t="shared" si="13"/>
        <v>212.66</v>
      </c>
      <c r="DA20">
        <f t="shared" si="14"/>
        <v>9.8800000000000008</v>
      </c>
      <c r="DB20">
        <f t="shared" si="15"/>
        <v>10895.18</v>
      </c>
      <c r="DC20">
        <f t="shared" si="16"/>
        <v>0</v>
      </c>
      <c r="DD20" t="s">
        <v>3</v>
      </c>
      <c r="DE20" t="s">
        <v>3</v>
      </c>
      <c r="DF20">
        <f t="shared" si="17"/>
        <v>392901.96</v>
      </c>
      <c r="DG20">
        <f t="shared" si="18"/>
        <v>0</v>
      </c>
      <c r="DH20">
        <f t="shared" si="19"/>
        <v>0</v>
      </c>
      <c r="DI20">
        <f t="shared" si="3"/>
        <v>0</v>
      </c>
      <c r="DJ20">
        <f t="shared" si="20"/>
        <v>392901.96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3">
      <c r="A21">
        <f>ROW(Source!A214)</f>
        <v>214</v>
      </c>
      <c r="B21">
        <v>56505405</v>
      </c>
      <c r="C21">
        <v>58754180</v>
      </c>
      <c r="D21">
        <v>0</v>
      </c>
      <c r="E21">
        <v>1080</v>
      </c>
      <c r="F21">
        <v>1</v>
      </c>
      <c r="G21">
        <v>1080</v>
      </c>
      <c r="H21">
        <v>3</v>
      </c>
      <c r="I21" t="s">
        <v>245</v>
      </c>
      <c r="J21" t="s">
        <v>3</v>
      </c>
      <c r="K21" t="s">
        <v>246</v>
      </c>
      <c r="L21">
        <v>1354</v>
      </c>
      <c r="N21">
        <v>1010</v>
      </c>
      <c r="O21" t="s">
        <v>32</v>
      </c>
      <c r="P21" t="s">
        <v>32</v>
      </c>
      <c r="Q21">
        <v>1</v>
      </c>
      <c r="W21">
        <v>0</v>
      </c>
      <c r="X21">
        <v>956552529</v>
      </c>
      <c r="Y21">
        <f t="shared" si="11"/>
        <v>12.0547945</v>
      </c>
      <c r="AA21">
        <v>509.12</v>
      </c>
      <c r="AB21">
        <v>0</v>
      </c>
      <c r="AC21">
        <v>0</v>
      </c>
      <c r="AD21">
        <v>0</v>
      </c>
      <c r="AE21">
        <v>51.53</v>
      </c>
      <c r="AF21">
        <v>0</v>
      </c>
      <c r="AG21">
        <v>0</v>
      </c>
      <c r="AH21">
        <v>0</v>
      </c>
      <c r="AI21">
        <v>9.8800000000000008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3</v>
      </c>
      <c r="AT21">
        <v>12.0547945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ROUND(Y21*Source!I214,9)</f>
        <v>43.999999924999997</v>
      </c>
      <c r="CY21">
        <f t="shared" si="12"/>
        <v>509.12</v>
      </c>
      <c r="CZ21">
        <f t="shared" si="13"/>
        <v>51.53</v>
      </c>
      <c r="DA21">
        <f t="shared" si="14"/>
        <v>9.8800000000000008</v>
      </c>
      <c r="DB21">
        <f t="shared" si="15"/>
        <v>621.17999999999995</v>
      </c>
      <c r="DC21">
        <f t="shared" si="16"/>
        <v>0</v>
      </c>
      <c r="DD21" t="s">
        <v>3</v>
      </c>
      <c r="DE21" t="s">
        <v>3</v>
      </c>
      <c r="DF21">
        <f t="shared" si="17"/>
        <v>22401.279999999999</v>
      </c>
      <c r="DG21">
        <f t="shared" si="18"/>
        <v>0</v>
      </c>
      <c r="DH21">
        <f t="shared" si="19"/>
        <v>0</v>
      </c>
      <c r="DI21">
        <f t="shared" si="3"/>
        <v>0</v>
      </c>
      <c r="DJ21">
        <f t="shared" si="20"/>
        <v>22401.279999999999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3">
      <c r="A22">
        <f>ROW(Source!A214)</f>
        <v>214</v>
      </c>
      <c r="B22">
        <v>56505405</v>
      </c>
      <c r="C22">
        <v>58754180</v>
      </c>
      <c r="D22">
        <v>0</v>
      </c>
      <c r="E22">
        <v>1080</v>
      </c>
      <c r="F22">
        <v>1</v>
      </c>
      <c r="G22">
        <v>1080</v>
      </c>
      <c r="H22">
        <v>3</v>
      </c>
      <c r="I22" t="s">
        <v>249</v>
      </c>
      <c r="J22" t="s">
        <v>3</v>
      </c>
      <c r="K22" t="s">
        <v>250</v>
      </c>
      <c r="L22">
        <v>1354</v>
      </c>
      <c r="N22">
        <v>1010</v>
      </c>
      <c r="O22" t="s">
        <v>32</v>
      </c>
      <c r="P22" t="s">
        <v>32</v>
      </c>
      <c r="Q22">
        <v>1</v>
      </c>
      <c r="W22">
        <v>0</v>
      </c>
      <c r="X22">
        <v>-1065421352</v>
      </c>
      <c r="Y22">
        <f t="shared" si="11"/>
        <v>12.0547945</v>
      </c>
      <c r="AA22">
        <v>2101.08</v>
      </c>
      <c r="AB22">
        <v>0</v>
      </c>
      <c r="AC22">
        <v>0</v>
      </c>
      <c r="AD22">
        <v>0</v>
      </c>
      <c r="AE22">
        <v>212.66</v>
      </c>
      <c r="AF22">
        <v>0</v>
      </c>
      <c r="AG22">
        <v>0</v>
      </c>
      <c r="AH22">
        <v>0</v>
      </c>
      <c r="AI22">
        <v>9.8800000000000008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3</v>
      </c>
      <c r="AT22">
        <v>12.0547945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ROUND(Y22*Source!I214,9)</f>
        <v>43.999999924999997</v>
      </c>
      <c r="CY22">
        <f t="shared" si="12"/>
        <v>2101.08</v>
      </c>
      <c r="CZ22">
        <f t="shared" si="13"/>
        <v>212.66</v>
      </c>
      <c r="DA22">
        <f t="shared" si="14"/>
        <v>9.8800000000000008</v>
      </c>
      <c r="DB22">
        <f t="shared" si="15"/>
        <v>2563.5700000000002</v>
      </c>
      <c r="DC22">
        <f t="shared" si="16"/>
        <v>0</v>
      </c>
      <c r="DD22" t="s">
        <v>3</v>
      </c>
      <c r="DE22" t="s">
        <v>3</v>
      </c>
      <c r="DF22">
        <f t="shared" si="17"/>
        <v>92447.52</v>
      </c>
      <c r="DG22">
        <f t="shared" si="18"/>
        <v>0</v>
      </c>
      <c r="DH22">
        <f t="shared" si="19"/>
        <v>0</v>
      </c>
      <c r="DI22">
        <f t="shared" si="3"/>
        <v>0</v>
      </c>
      <c r="DJ22">
        <f t="shared" si="20"/>
        <v>92447.52</v>
      </c>
      <c r="DK22">
        <v>0</v>
      </c>
      <c r="DL22" t="s">
        <v>3</v>
      </c>
      <c r="DM22">
        <v>0</v>
      </c>
      <c r="DN22" t="s">
        <v>3</v>
      </c>
      <c r="DO2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8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44" x14ac:dyDescent="0.3">
      <c r="A1">
        <f>ROW(Source!A28)</f>
        <v>28</v>
      </c>
      <c r="B1">
        <v>58754036</v>
      </c>
      <c r="C1">
        <v>56505825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392</v>
      </c>
      <c r="J1" t="s">
        <v>3</v>
      </c>
      <c r="K1" t="s">
        <v>393</v>
      </c>
      <c r="L1">
        <v>1191</v>
      </c>
      <c r="N1">
        <v>1013</v>
      </c>
      <c r="O1" t="s">
        <v>394</v>
      </c>
      <c r="P1" t="s">
        <v>394</v>
      </c>
      <c r="Q1">
        <v>1</v>
      </c>
      <c r="X1">
        <v>8.1999999999999993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9.02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3">
      <c r="A2">
        <f>ROW(Source!A28)</f>
        <v>28</v>
      </c>
      <c r="B2">
        <v>58754037</v>
      </c>
      <c r="C2">
        <v>56505825</v>
      </c>
      <c r="D2">
        <v>57695385</v>
      </c>
      <c r="E2">
        <v>1</v>
      </c>
      <c r="F2">
        <v>1</v>
      </c>
      <c r="G2">
        <v>1080</v>
      </c>
      <c r="H2">
        <v>2</v>
      </c>
      <c r="I2" t="s">
        <v>406</v>
      </c>
      <c r="J2" t="s">
        <v>407</v>
      </c>
      <c r="K2" t="s">
        <v>408</v>
      </c>
      <c r="L2">
        <v>1368</v>
      </c>
      <c r="N2">
        <v>1011</v>
      </c>
      <c r="O2" t="s">
        <v>398</v>
      </c>
      <c r="P2" t="s">
        <v>398</v>
      </c>
      <c r="Q2">
        <v>1</v>
      </c>
      <c r="X2">
        <v>0.33</v>
      </c>
      <c r="Y2">
        <v>0</v>
      </c>
      <c r="Z2">
        <v>114.83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0.36300000000000004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>
        <f>ROW(Source!A28)</f>
        <v>28</v>
      </c>
      <c r="B3">
        <v>58754038</v>
      </c>
      <c r="C3">
        <v>56505825</v>
      </c>
      <c r="D3">
        <v>57695397</v>
      </c>
      <c r="E3">
        <v>1</v>
      </c>
      <c r="F3">
        <v>1</v>
      </c>
      <c r="G3">
        <v>1080</v>
      </c>
      <c r="H3">
        <v>2</v>
      </c>
      <c r="I3" t="s">
        <v>409</v>
      </c>
      <c r="J3" t="s">
        <v>410</v>
      </c>
      <c r="K3" t="s">
        <v>411</v>
      </c>
      <c r="L3">
        <v>1368</v>
      </c>
      <c r="N3">
        <v>1011</v>
      </c>
      <c r="O3" t="s">
        <v>398</v>
      </c>
      <c r="P3" t="s">
        <v>398</v>
      </c>
      <c r="Q3">
        <v>1</v>
      </c>
      <c r="X3">
        <v>1.33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1.4630000000000003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>
        <f>ROW(Source!A28)</f>
        <v>28</v>
      </c>
      <c r="B4">
        <v>58754039</v>
      </c>
      <c r="C4">
        <v>56505825</v>
      </c>
      <c r="D4">
        <v>57664535</v>
      </c>
      <c r="E4">
        <v>1</v>
      </c>
      <c r="F4">
        <v>1</v>
      </c>
      <c r="G4">
        <v>1080</v>
      </c>
      <c r="H4">
        <v>3</v>
      </c>
      <c r="I4" t="s">
        <v>412</v>
      </c>
      <c r="J4" t="s">
        <v>413</v>
      </c>
      <c r="K4" t="s">
        <v>414</v>
      </c>
      <c r="L4">
        <v>1346</v>
      </c>
      <c r="N4">
        <v>1009</v>
      </c>
      <c r="O4" t="s">
        <v>372</v>
      </c>
      <c r="P4" t="s">
        <v>372</v>
      </c>
      <c r="Q4">
        <v>1</v>
      </c>
      <c r="X4">
        <v>2.5000000000000001E-2</v>
      </c>
      <c r="Y4">
        <v>23.87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2.5000000000000001E-2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>
        <f>ROW(Source!A28)</f>
        <v>28</v>
      </c>
      <c r="B5">
        <v>58754040</v>
      </c>
      <c r="C5">
        <v>56505825</v>
      </c>
      <c r="D5">
        <v>57664720</v>
      </c>
      <c r="E5">
        <v>1</v>
      </c>
      <c r="F5">
        <v>1</v>
      </c>
      <c r="G5">
        <v>1080</v>
      </c>
      <c r="H5">
        <v>3</v>
      </c>
      <c r="I5" t="s">
        <v>415</v>
      </c>
      <c r="J5" t="s">
        <v>416</v>
      </c>
      <c r="K5" t="s">
        <v>417</v>
      </c>
      <c r="L5">
        <v>1327</v>
      </c>
      <c r="N5">
        <v>1005</v>
      </c>
      <c r="O5" t="s">
        <v>418</v>
      </c>
      <c r="P5" t="s">
        <v>418</v>
      </c>
      <c r="Q5">
        <v>1</v>
      </c>
      <c r="X5">
        <v>0.45</v>
      </c>
      <c r="Y5">
        <v>7.39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0.45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">
      <c r="A6">
        <f>ROW(Source!A28)</f>
        <v>28</v>
      </c>
      <c r="B6">
        <v>58754041</v>
      </c>
      <c r="C6">
        <v>56505825</v>
      </c>
      <c r="D6">
        <v>57652444</v>
      </c>
      <c r="E6">
        <v>1080</v>
      </c>
      <c r="F6">
        <v>1</v>
      </c>
      <c r="G6">
        <v>1080</v>
      </c>
      <c r="H6">
        <v>3</v>
      </c>
      <c r="I6" t="s">
        <v>419</v>
      </c>
      <c r="J6" t="s">
        <v>3</v>
      </c>
      <c r="K6" t="s">
        <v>420</v>
      </c>
      <c r="L6">
        <v>1354</v>
      </c>
      <c r="N6">
        <v>1010</v>
      </c>
      <c r="O6" t="s">
        <v>32</v>
      </c>
      <c r="P6" t="s">
        <v>32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</v>
      </c>
      <c r="AG6">
        <v>1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>
        <f>ROW(Source!A29)</f>
        <v>29</v>
      </c>
      <c r="B7">
        <v>58754036</v>
      </c>
      <c r="C7">
        <v>56505825</v>
      </c>
      <c r="D7">
        <v>57621905</v>
      </c>
      <c r="E7">
        <v>1080</v>
      </c>
      <c r="F7">
        <v>1</v>
      </c>
      <c r="G7">
        <v>1080</v>
      </c>
      <c r="H7">
        <v>1</v>
      </c>
      <c r="I7" t="s">
        <v>392</v>
      </c>
      <c r="J7" t="s">
        <v>3</v>
      </c>
      <c r="K7" t="s">
        <v>393</v>
      </c>
      <c r="L7">
        <v>1191</v>
      </c>
      <c r="N7">
        <v>1013</v>
      </c>
      <c r="O7" t="s">
        <v>394</v>
      </c>
      <c r="P7" t="s">
        <v>394</v>
      </c>
      <c r="Q7">
        <v>1</v>
      </c>
      <c r="X7">
        <v>8.1999999999999993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24</v>
      </c>
      <c r="AG7">
        <v>9.02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>
        <f>ROW(Source!A29)</f>
        <v>29</v>
      </c>
      <c r="B8">
        <v>58754037</v>
      </c>
      <c r="C8">
        <v>56505825</v>
      </c>
      <c r="D8">
        <v>57695385</v>
      </c>
      <c r="E8">
        <v>1</v>
      </c>
      <c r="F8">
        <v>1</v>
      </c>
      <c r="G8">
        <v>1080</v>
      </c>
      <c r="H8">
        <v>2</v>
      </c>
      <c r="I8" t="s">
        <v>406</v>
      </c>
      <c r="J8" t="s">
        <v>407</v>
      </c>
      <c r="K8" t="s">
        <v>408</v>
      </c>
      <c r="L8">
        <v>1368</v>
      </c>
      <c r="N8">
        <v>1011</v>
      </c>
      <c r="O8" t="s">
        <v>398</v>
      </c>
      <c r="P8" t="s">
        <v>398</v>
      </c>
      <c r="Q8">
        <v>1</v>
      </c>
      <c r="X8">
        <v>0.33</v>
      </c>
      <c r="Y8">
        <v>0</v>
      </c>
      <c r="Z8">
        <v>114.83</v>
      </c>
      <c r="AA8">
        <v>12.62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0.36300000000000004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>
        <f>ROW(Source!A29)</f>
        <v>29</v>
      </c>
      <c r="B9">
        <v>58754038</v>
      </c>
      <c r="C9">
        <v>56505825</v>
      </c>
      <c r="D9">
        <v>57695397</v>
      </c>
      <c r="E9">
        <v>1</v>
      </c>
      <c r="F9">
        <v>1</v>
      </c>
      <c r="G9">
        <v>1080</v>
      </c>
      <c r="H9">
        <v>2</v>
      </c>
      <c r="I9" t="s">
        <v>409</v>
      </c>
      <c r="J9" t="s">
        <v>410</v>
      </c>
      <c r="K9" t="s">
        <v>411</v>
      </c>
      <c r="L9">
        <v>1368</v>
      </c>
      <c r="N9">
        <v>1011</v>
      </c>
      <c r="O9" t="s">
        <v>398</v>
      </c>
      <c r="P9" t="s">
        <v>398</v>
      </c>
      <c r="Q9">
        <v>1</v>
      </c>
      <c r="X9">
        <v>1.33</v>
      </c>
      <c r="Y9">
        <v>0</v>
      </c>
      <c r="Z9">
        <v>0.77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1.4630000000000003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>
        <f>ROW(Source!A29)</f>
        <v>29</v>
      </c>
      <c r="B10">
        <v>58754039</v>
      </c>
      <c r="C10">
        <v>56505825</v>
      </c>
      <c r="D10">
        <v>57664535</v>
      </c>
      <c r="E10">
        <v>1</v>
      </c>
      <c r="F10">
        <v>1</v>
      </c>
      <c r="G10">
        <v>1080</v>
      </c>
      <c r="H10">
        <v>3</v>
      </c>
      <c r="I10" t="s">
        <v>412</v>
      </c>
      <c r="J10" t="s">
        <v>413</v>
      </c>
      <c r="K10" t="s">
        <v>414</v>
      </c>
      <c r="L10">
        <v>1346</v>
      </c>
      <c r="N10">
        <v>1009</v>
      </c>
      <c r="O10" t="s">
        <v>372</v>
      </c>
      <c r="P10" t="s">
        <v>372</v>
      </c>
      <c r="Q10">
        <v>1</v>
      </c>
      <c r="X10">
        <v>2.5000000000000001E-2</v>
      </c>
      <c r="Y10">
        <v>23.87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2.5000000000000001E-2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>
        <f>ROW(Source!A29)</f>
        <v>29</v>
      </c>
      <c r="B11">
        <v>58754040</v>
      </c>
      <c r="C11">
        <v>56505825</v>
      </c>
      <c r="D11">
        <v>57664720</v>
      </c>
      <c r="E11">
        <v>1</v>
      </c>
      <c r="F11">
        <v>1</v>
      </c>
      <c r="G11">
        <v>1080</v>
      </c>
      <c r="H11">
        <v>3</v>
      </c>
      <c r="I11" t="s">
        <v>415</v>
      </c>
      <c r="J11" t="s">
        <v>416</v>
      </c>
      <c r="K11" t="s">
        <v>417</v>
      </c>
      <c r="L11">
        <v>1327</v>
      </c>
      <c r="N11">
        <v>1005</v>
      </c>
      <c r="O11" t="s">
        <v>418</v>
      </c>
      <c r="P11" t="s">
        <v>418</v>
      </c>
      <c r="Q11">
        <v>1</v>
      </c>
      <c r="X11">
        <v>0.45</v>
      </c>
      <c r="Y11">
        <v>7.39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0.45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>
        <f>ROW(Source!A29)</f>
        <v>29</v>
      </c>
      <c r="B12">
        <v>58754041</v>
      </c>
      <c r="C12">
        <v>56505825</v>
      </c>
      <c r="D12">
        <v>57652444</v>
      </c>
      <c r="E12">
        <v>1080</v>
      </c>
      <c r="F12">
        <v>1</v>
      </c>
      <c r="G12">
        <v>1080</v>
      </c>
      <c r="H12">
        <v>3</v>
      </c>
      <c r="I12" t="s">
        <v>419</v>
      </c>
      <c r="J12" t="s">
        <v>3</v>
      </c>
      <c r="K12" t="s">
        <v>420</v>
      </c>
      <c r="L12">
        <v>1354</v>
      </c>
      <c r="N12">
        <v>1010</v>
      </c>
      <c r="O12" t="s">
        <v>32</v>
      </c>
      <c r="P12" t="s">
        <v>32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>
        <f>ROW(Source!A36)</f>
        <v>36</v>
      </c>
      <c r="B13">
        <v>58754042</v>
      </c>
      <c r="C13">
        <v>56506308</v>
      </c>
      <c r="D13">
        <v>57621905</v>
      </c>
      <c r="E13">
        <v>1080</v>
      </c>
      <c r="F13">
        <v>1</v>
      </c>
      <c r="G13">
        <v>1080</v>
      </c>
      <c r="H13">
        <v>1</v>
      </c>
      <c r="I13" t="s">
        <v>392</v>
      </c>
      <c r="J13" t="s">
        <v>3</v>
      </c>
      <c r="K13" t="s">
        <v>393</v>
      </c>
      <c r="L13">
        <v>1191</v>
      </c>
      <c r="N13">
        <v>1013</v>
      </c>
      <c r="O13" t="s">
        <v>394</v>
      </c>
      <c r="P13" t="s">
        <v>394</v>
      </c>
      <c r="Q13">
        <v>1</v>
      </c>
      <c r="X13">
        <v>1.03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24</v>
      </c>
      <c r="AG13">
        <v>1.1330000000000002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>
        <f>ROW(Source!A36)</f>
        <v>36</v>
      </c>
      <c r="B14">
        <v>58754043</v>
      </c>
      <c r="C14">
        <v>56506308</v>
      </c>
      <c r="D14">
        <v>57696079</v>
      </c>
      <c r="E14">
        <v>1</v>
      </c>
      <c r="F14">
        <v>1</v>
      </c>
      <c r="G14">
        <v>1080</v>
      </c>
      <c r="H14">
        <v>2</v>
      </c>
      <c r="I14" t="s">
        <v>395</v>
      </c>
      <c r="J14" t="s">
        <v>396</v>
      </c>
      <c r="K14" t="s">
        <v>397</v>
      </c>
      <c r="L14">
        <v>1368</v>
      </c>
      <c r="N14">
        <v>1011</v>
      </c>
      <c r="O14" t="s">
        <v>398</v>
      </c>
      <c r="P14" t="s">
        <v>398</v>
      </c>
      <c r="Q14">
        <v>1</v>
      </c>
      <c r="X14">
        <v>6.0000000000000001E-3</v>
      </c>
      <c r="Y14">
        <v>0</v>
      </c>
      <c r="Z14">
        <v>83.1</v>
      </c>
      <c r="AA14">
        <v>12.62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6.6000000000000008E-3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>
        <f>ROW(Source!A36)</f>
        <v>36</v>
      </c>
      <c r="B15">
        <v>58754044</v>
      </c>
      <c r="C15">
        <v>56506308</v>
      </c>
      <c r="D15">
        <v>57643782</v>
      </c>
      <c r="E15">
        <v>1080</v>
      </c>
      <c r="F15">
        <v>1</v>
      </c>
      <c r="G15">
        <v>1080</v>
      </c>
      <c r="H15">
        <v>3</v>
      </c>
      <c r="I15" t="s">
        <v>421</v>
      </c>
      <c r="J15" t="s">
        <v>3</v>
      </c>
      <c r="K15" t="s">
        <v>422</v>
      </c>
      <c r="L15">
        <v>1354</v>
      </c>
      <c r="N15">
        <v>1010</v>
      </c>
      <c r="O15" t="s">
        <v>32</v>
      </c>
      <c r="P15" t="s">
        <v>32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</v>
      </c>
      <c r="AG15">
        <v>1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>
        <f>ROW(Source!A37)</f>
        <v>37</v>
      </c>
      <c r="B16">
        <v>58754042</v>
      </c>
      <c r="C16">
        <v>56506308</v>
      </c>
      <c r="D16">
        <v>57621905</v>
      </c>
      <c r="E16">
        <v>1080</v>
      </c>
      <c r="F16">
        <v>1</v>
      </c>
      <c r="G16">
        <v>1080</v>
      </c>
      <c r="H16">
        <v>1</v>
      </c>
      <c r="I16" t="s">
        <v>392</v>
      </c>
      <c r="J16" t="s">
        <v>3</v>
      </c>
      <c r="K16" t="s">
        <v>393</v>
      </c>
      <c r="L16">
        <v>1191</v>
      </c>
      <c r="N16">
        <v>1013</v>
      </c>
      <c r="O16" t="s">
        <v>394</v>
      </c>
      <c r="P16" t="s">
        <v>394</v>
      </c>
      <c r="Q16">
        <v>1</v>
      </c>
      <c r="X16">
        <v>1.03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24</v>
      </c>
      <c r="AG16">
        <v>1.1330000000000002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>
        <f>ROW(Source!A37)</f>
        <v>37</v>
      </c>
      <c r="B17">
        <v>58754043</v>
      </c>
      <c r="C17">
        <v>56506308</v>
      </c>
      <c r="D17">
        <v>57696079</v>
      </c>
      <c r="E17">
        <v>1</v>
      </c>
      <c r="F17">
        <v>1</v>
      </c>
      <c r="G17">
        <v>1080</v>
      </c>
      <c r="H17">
        <v>2</v>
      </c>
      <c r="I17" t="s">
        <v>395</v>
      </c>
      <c r="J17" t="s">
        <v>396</v>
      </c>
      <c r="K17" t="s">
        <v>397</v>
      </c>
      <c r="L17">
        <v>1368</v>
      </c>
      <c r="N17">
        <v>1011</v>
      </c>
      <c r="O17" t="s">
        <v>398</v>
      </c>
      <c r="P17" t="s">
        <v>398</v>
      </c>
      <c r="Q17">
        <v>1</v>
      </c>
      <c r="X17">
        <v>6.0000000000000001E-3</v>
      </c>
      <c r="Y17">
        <v>0</v>
      </c>
      <c r="Z17">
        <v>83.1</v>
      </c>
      <c r="AA17">
        <v>12.62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6.6000000000000008E-3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>
        <f>ROW(Source!A37)</f>
        <v>37</v>
      </c>
      <c r="B18">
        <v>58754044</v>
      </c>
      <c r="C18">
        <v>56506308</v>
      </c>
      <c r="D18">
        <v>57643782</v>
      </c>
      <c r="E18">
        <v>1080</v>
      </c>
      <c r="F18">
        <v>1</v>
      </c>
      <c r="G18">
        <v>1080</v>
      </c>
      <c r="H18">
        <v>3</v>
      </c>
      <c r="I18" t="s">
        <v>421</v>
      </c>
      <c r="J18" t="s">
        <v>3</v>
      </c>
      <c r="K18" t="s">
        <v>422</v>
      </c>
      <c r="L18">
        <v>1354</v>
      </c>
      <c r="N18">
        <v>1010</v>
      </c>
      <c r="O18" t="s">
        <v>32</v>
      </c>
      <c r="P18" t="s">
        <v>32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</v>
      </c>
      <c r="AG18">
        <v>1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>
        <f>ROW(Source!A46)</f>
        <v>46</v>
      </c>
      <c r="B19">
        <v>58754045</v>
      </c>
      <c r="C19">
        <v>56506327</v>
      </c>
      <c r="D19">
        <v>57621905</v>
      </c>
      <c r="E19">
        <v>1080</v>
      </c>
      <c r="F19">
        <v>1</v>
      </c>
      <c r="G19">
        <v>1080</v>
      </c>
      <c r="H19">
        <v>1</v>
      </c>
      <c r="I19" t="s">
        <v>392</v>
      </c>
      <c r="J19" t="s">
        <v>3</v>
      </c>
      <c r="K19" t="s">
        <v>393</v>
      </c>
      <c r="L19">
        <v>1191</v>
      </c>
      <c r="N19">
        <v>1013</v>
      </c>
      <c r="O19" t="s">
        <v>394</v>
      </c>
      <c r="P19" t="s">
        <v>394</v>
      </c>
      <c r="Q19">
        <v>1</v>
      </c>
      <c r="X19">
        <v>0.22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24</v>
      </c>
      <c r="AG19">
        <v>0.24200000000000002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>
        <f>ROW(Source!A47)</f>
        <v>47</v>
      </c>
      <c r="B20">
        <v>58754045</v>
      </c>
      <c r="C20">
        <v>56506327</v>
      </c>
      <c r="D20">
        <v>57621905</v>
      </c>
      <c r="E20">
        <v>1080</v>
      </c>
      <c r="F20">
        <v>1</v>
      </c>
      <c r="G20">
        <v>1080</v>
      </c>
      <c r="H20">
        <v>1</v>
      </c>
      <c r="I20" t="s">
        <v>392</v>
      </c>
      <c r="J20" t="s">
        <v>3</v>
      </c>
      <c r="K20" t="s">
        <v>393</v>
      </c>
      <c r="L20">
        <v>1191</v>
      </c>
      <c r="N20">
        <v>1013</v>
      </c>
      <c r="O20" t="s">
        <v>394</v>
      </c>
      <c r="P20" t="s">
        <v>394</v>
      </c>
      <c r="Q20">
        <v>1</v>
      </c>
      <c r="X20">
        <v>0.22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24</v>
      </c>
      <c r="AG20">
        <v>0.24200000000000002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>
        <f>ROW(Source!A85)</f>
        <v>85</v>
      </c>
      <c r="B21">
        <v>58754046</v>
      </c>
      <c r="C21">
        <v>56506348</v>
      </c>
      <c r="D21">
        <v>57621905</v>
      </c>
      <c r="E21">
        <v>1080</v>
      </c>
      <c r="F21">
        <v>1</v>
      </c>
      <c r="G21">
        <v>1080</v>
      </c>
      <c r="H21">
        <v>1</v>
      </c>
      <c r="I21" t="s">
        <v>392</v>
      </c>
      <c r="J21" t="s">
        <v>3</v>
      </c>
      <c r="K21" t="s">
        <v>393</v>
      </c>
      <c r="L21">
        <v>1191</v>
      </c>
      <c r="N21">
        <v>1013</v>
      </c>
      <c r="O21" t="s">
        <v>394</v>
      </c>
      <c r="P21" t="s">
        <v>394</v>
      </c>
      <c r="Q21">
        <v>1</v>
      </c>
      <c r="X21">
        <v>8.1999999999999993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24</v>
      </c>
      <c r="AG21">
        <v>9.02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">
      <c r="A22">
        <f>ROW(Source!A85)</f>
        <v>85</v>
      </c>
      <c r="B22">
        <v>58754047</v>
      </c>
      <c r="C22">
        <v>56506348</v>
      </c>
      <c r="D22">
        <v>57695385</v>
      </c>
      <c r="E22">
        <v>1</v>
      </c>
      <c r="F22">
        <v>1</v>
      </c>
      <c r="G22">
        <v>1080</v>
      </c>
      <c r="H22">
        <v>2</v>
      </c>
      <c r="I22" t="s">
        <v>406</v>
      </c>
      <c r="J22" t="s">
        <v>407</v>
      </c>
      <c r="K22" t="s">
        <v>408</v>
      </c>
      <c r="L22">
        <v>1368</v>
      </c>
      <c r="N22">
        <v>1011</v>
      </c>
      <c r="O22" t="s">
        <v>398</v>
      </c>
      <c r="P22" t="s">
        <v>398</v>
      </c>
      <c r="Q22">
        <v>1</v>
      </c>
      <c r="X22">
        <v>0.33</v>
      </c>
      <c r="Y22">
        <v>0</v>
      </c>
      <c r="Z22">
        <v>114.83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0.36300000000000004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">
      <c r="A23">
        <f>ROW(Source!A85)</f>
        <v>85</v>
      </c>
      <c r="B23">
        <v>58754048</v>
      </c>
      <c r="C23">
        <v>56506348</v>
      </c>
      <c r="D23">
        <v>57695397</v>
      </c>
      <c r="E23">
        <v>1</v>
      </c>
      <c r="F23">
        <v>1</v>
      </c>
      <c r="G23">
        <v>1080</v>
      </c>
      <c r="H23">
        <v>2</v>
      </c>
      <c r="I23" t="s">
        <v>409</v>
      </c>
      <c r="J23" t="s">
        <v>410</v>
      </c>
      <c r="K23" t="s">
        <v>411</v>
      </c>
      <c r="L23">
        <v>1368</v>
      </c>
      <c r="N23">
        <v>1011</v>
      </c>
      <c r="O23" t="s">
        <v>398</v>
      </c>
      <c r="P23" t="s">
        <v>398</v>
      </c>
      <c r="Q23">
        <v>1</v>
      </c>
      <c r="X23">
        <v>1.33</v>
      </c>
      <c r="Y23">
        <v>0</v>
      </c>
      <c r="Z23">
        <v>0.77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1.4630000000000003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>
        <f>ROW(Source!A85)</f>
        <v>85</v>
      </c>
      <c r="B24">
        <v>58754049</v>
      </c>
      <c r="C24">
        <v>56506348</v>
      </c>
      <c r="D24">
        <v>57664535</v>
      </c>
      <c r="E24">
        <v>1</v>
      </c>
      <c r="F24">
        <v>1</v>
      </c>
      <c r="G24">
        <v>1080</v>
      </c>
      <c r="H24">
        <v>3</v>
      </c>
      <c r="I24" t="s">
        <v>412</v>
      </c>
      <c r="J24" t="s">
        <v>413</v>
      </c>
      <c r="K24" t="s">
        <v>414</v>
      </c>
      <c r="L24">
        <v>1346</v>
      </c>
      <c r="N24">
        <v>1009</v>
      </c>
      <c r="O24" t="s">
        <v>372</v>
      </c>
      <c r="P24" t="s">
        <v>372</v>
      </c>
      <c r="Q24">
        <v>1</v>
      </c>
      <c r="X24">
        <v>2.5000000000000001E-2</v>
      </c>
      <c r="Y24">
        <v>23.87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2.5000000000000001E-2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>
        <f>ROW(Source!A85)</f>
        <v>85</v>
      </c>
      <c r="B25">
        <v>58754050</v>
      </c>
      <c r="C25">
        <v>56506348</v>
      </c>
      <c r="D25">
        <v>57664720</v>
      </c>
      <c r="E25">
        <v>1</v>
      </c>
      <c r="F25">
        <v>1</v>
      </c>
      <c r="G25">
        <v>1080</v>
      </c>
      <c r="H25">
        <v>3</v>
      </c>
      <c r="I25" t="s">
        <v>415</v>
      </c>
      <c r="J25" t="s">
        <v>416</v>
      </c>
      <c r="K25" t="s">
        <v>417</v>
      </c>
      <c r="L25">
        <v>1327</v>
      </c>
      <c r="N25">
        <v>1005</v>
      </c>
      <c r="O25" t="s">
        <v>418</v>
      </c>
      <c r="P25" t="s">
        <v>418</v>
      </c>
      <c r="Q25">
        <v>1</v>
      </c>
      <c r="X25">
        <v>0.45</v>
      </c>
      <c r="Y25">
        <v>7.39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0.45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>
        <f>ROW(Source!A85)</f>
        <v>85</v>
      </c>
      <c r="B26">
        <v>58754051</v>
      </c>
      <c r="C26">
        <v>56506348</v>
      </c>
      <c r="D26">
        <v>57652444</v>
      </c>
      <c r="E26">
        <v>1080</v>
      </c>
      <c r="F26">
        <v>1</v>
      </c>
      <c r="G26">
        <v>1080</v>
      </c>
      <c r="H26">
        <v>3</v>
      </c>
      <c r="I26" t="s">
        <v>419</v>
      </c>
      <c r="J26" t="s">
        <v>3</v>
      </c>
      <c r="K26" t="s">
        <v>420</v>
      </c>
      <c r="L26">
        <v>1354</v>
      </c>
      <c r="N26">
        <v>1010</v>
      </c>
      <c r="O26" t="s">
        <v>32</v>
      </c>
      <c r="P26" t="s">
        <v>32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</v>
      </c>
      <c r="AG26">
        <v>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>
        <f>ROW(Source!A86)</f>
        <v>86</v>
      </c>
      <c r="B27">
        <v>58754046</v>
      </c>
      <c r="C27">
        <v>56506348</v>
      </c>
      <c r="D27">
        <v>57621905</v>
      </c>
      <c r="E27">
        <v>1080</v>
      </c>
      <c r="F27">
        <v>1</v>
      </c>
      <c r="G27">
        <v>1080</v>
      </c>
      <c r="H27">
        <v>1</v>
      </c>
      <c r="I27" t="s">
        <v>392</v>
      </c>
      <c r="J27" t="s">
        <v>3</v>
      </c>
      <c r="K27" t="s">
        <v>393</v>
      </c>
      <c r="L27">
        <v>1191</v>
      </c>
      <c r="N27">
        <v>1013</v>
      </c>
      <c r="O27" t="s">
        <v>394</v>
      </c>
      <c r="P27" t="s">
        <v>394</v>
      </c>
      <c r="Q27">
        <v>1</v>
      </c>
      <c r="X27">
        <v>8.1999999999999993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24</v>
      </c>
      <c r="AG27">
        <v>9.02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>
        <f>ROW(Source!A86)</f>
        <v>86</v>
      </c>
      <c r="B28">
        <v>58754047</v>
      </c>
      <c r="C28">
        <v>56506348</v>
      </c>
      <c r="D28">
        <v>57695385</v>
      </c>
      <c r="E28">
        <v>1</v>
      </c>
      <c r="F28">
        <v>1</v>
      </c>
      <c r="G28">
        <v>1080</v>
      </c>
      <c r="H28">
        <v>2</v>
      </c>
      <c r="I28" t="s">
        <v>406</v>
      </c>
      <c r="J28" t="s">
        <v>407</v>
      </c>
      <c r="K28" t="s">
        <v>408</v>
      </c>
      <c r="L28">
        <v>1368</v>
      </c>
      <c r="N28">
        <v>1011</v>
      </c>
      <c r="O28" t="s">
        <v>398</v>
      </c>
      <c r="P28" t="s">
        <v>398</v>
      </c>
      <c r="Q28">
        <v>1</v>
      </c>
      <c r="X28">
        <v>0.33</v>
      </c>
      <c r="Y28">
        <v>0</v>
      </c>
      <c r="Z28">
        <v>114.83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0.36300000000000004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>
        <f>ROW(Source!A86)</f>
        <v>86</v>
      </c>
      <c r="B29">
        <v>58754048</v>
      </c>
      <c r="C29">
        <v>56506348</v>
      </c>
      <c r="D29">
        <v>57695397</v>
      </c>
      <c r="E29">
        <v>1</v>
      </c>
      <c r="F29">
        <v>1</v>
      </c>
      <c r="G29">
        <v>1080</v>
      </c>
      <c r="H29">
        <v>2</v>
      </c>
      <c r="I29" t="s">
        <v>409</v>
      </c>
      <c r="J29" t="s">
        <v>410</v>
      </c>
      <c r="K29" t="s">
        <v>411</v>
      </c>
      <c r="L29">
        <v>1368</v>
      </c>
      <c r="N29">
        <v>1011</v>
      </c>
      <c r="O29" t="s">
        <v>398</v>
      </c>
      <c r="P29" t="s">
        <v>398</v>
      </c>
      <c r="Q29">
        <v>1</v>
      </c>
      <c r="X29">
        <v>1.33</v>
      </c>
      <c r="Y29">
        <v>0</v>
      </c>
      <c r="Z29">
        <v>0.77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1.4630000000000003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>
        <f>ROW(Source!A86)</f>
        <v>86</v>
      </c>
      <c r="B30">
        <v>58754049</v>
      </c>
      <c r="C30">
        <v>56506348</v>
      </c>
      <c r="D30">
        <v>57664535</v>
      </c>
      <c r="E30">
        <v>1</v>
      </c>
      <c r="F30">
        <v>1</v>
      </c>
      <c r="G30">
        <v>1080</v>
      </c>
      <c r="H30">
        <v>3</v>
      </c>
      <c r="I30" t="s">
        <v>412</v>
      </c>
      <c r="J30" t="s">
        <v>413</v>
      </c>
      <c r="K30" t="s">
        <v>414</v>
      </c>
      <c r="L30">
        <v>1346</v>
      </c>
      <c r="N30">
        <v>1009</v>
      </c>
      <c r="O30" t="s">
        <v>372</v>
      </c>
      <c r="P30" t="s">
        <v>372</v>
      </c>
      <c r="Q30">
        <v>1</v>
      </c>
      <c r="X30">
        <v>2.5000000000000001E-2</v>
      </c>
      <c r="Y30">
        <v>23.87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2.5000000000000001E-2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>
        <f>ROW(Source!A86)</f>
        <v>86</v>
      </c>
      <c r="B31">
        <v>58754050</v>
      </c>
      <c r="C31">
        <v>56506348</v>
      </c>
      <c r="D31">
        <v>57664720</v>
      </c>
      <c r="E31">
        <v>1</v>
      </c>
      <c r="F31">
        <v>1</v>
      </c>
      <c r="G31">
        <v>1080</v>
      </c>
      <c r="H31">
        <v>3</v>
      </c>
      <c r="I31" t="s">
        <v>415</v>
      </c>
      <c r="J31" t="s">
        <v>416</v>
      </c>
      <c r="K31" t="s">
        <v>417</v>
      </c>
      <c r="L31">
        <v>1327</v>
      </c>
      <c r="N31">
        <v>1005</v>
      </c>
      <c r="O31" t="s">
        <v>418</v>
      </c>
      <c r="P31" t="s">
        <v>418</v>
      </c>
      <c r="Q31">
        <v>1</v>
      </c>
      <c r="X31">
        <v>0.45</v>
      </c>
      <c r="Y31">
        <v>7.39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0.45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>
        <f>ROW(Source!A86)</f>
        <v>86</v>
      </c>
      <c r="B32">
        <v>58754051</v>
      </c>
      <c r="C32">
        <v>56506348</v>
      </c>
      <c r="D32">
        <v>57652444</v>
      </c>
      <c r="E32">
        <v>1080</v>
      </c>
      <c r="F32">
        <v>1</v>
      </c>
      <c r="G32">
        <v>1080</v>
      </c>
      <c r="H32">
        <v>3</v>
      </c>
      <c r="I32" t="s">
        <v>419</v>
      </c>
      <c r="J32" t="s">
        <v>3</v>
      </c>
      <c r="K32" t="s">
        <v>420</v>
      </c>
      <c r="L32">
        <v>1354</v>
      </c>
      <c r="N32">
        <v>1010</v>
      </c>
      <c r="O32" t="s">
        <v>32</v>
      </c>
      <c r="P32" t="s">
        <v>32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>
        <f>ROW(Source!A95)</f>
        <v>95</v>
      </c>
      <c r="B33">
        <v>58754052</v>
      </c>
      <c r="C33">
        <v>56506374</v>
      </c>
      <c r="D33">
        <v>57621905</v>
      </c>
      <c r="E33">
        <v>1080</v>
      </c>
      <c r="F33">
        <v>1</v>
      </c>
      <c r="G33">
        <v>1080</v>
      </c>
      <c r="H33">
        <v>1</v>
      </c>
      <c r="I33" t="s">
        <v>392</v>
      </c>
      <c r="J33" t="s">
        <v>3</v>
      </c>
      <c r="K33" t="s">
        <v>393</v>
      </c>
      <c r="L33">
        <v>1191</v>
      </c>
      <c r="N33">
        <v>1013</v>
      </c>
      <c r="O33" t="s">
        <v>394</v>
      </c>
      <c r="P33" t="s">
        <v>394</v>
      </c>
      <c r="Q33">
        <v>1</v>
      </c>
      <c r="X33">
        <v>0.22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0.24200000000000002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>
        <f>ROW(Source!A96)</f>
        <v>96</v>
      </c>
      <c r="B34">
        <v>58754052</v>
      </c>
      <c r="C34">
        <v>56506374</v>
      </c>
      <c r="D34">
        <v>57621905</v>
      </c>
      <c r="E34">
        <v>1080</v>
      </c>
      <c r="F34">
        <v>1</v>
      </c>
      <c r="G34">
        <v>1080</v>
      </c>
      <c r="H34">
        <v>1</v>
      </c>
      <c r="I34" t="s">
        <v>392</v>
      </c>
      <c r="J34" t="s">
        <v>3</v>
      </c>
      <c r="K34" t="s">
        <v>393</v>
      </c>
      <c r="L34">
        <v>1191</v>
      </c>
      <c r="N34">
        <v>1013</v>
      </c>
      <c r="O34" t="s">
        <v>394</v>
      </c>
      <c r="P34" t="s">
        <v>394</v>
      </c>
      <c r="Q34">
        <v>1</v>
      </c>
      <c r="X34">
        <v>0.22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24</v>
      </c>
      <c r="AG34">
        <v>0.24200000000000002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>
        <f>ROW(Source!A101)</f>
        <v>101</v>
      </c>
      <c r="B35">
        <v>58754053</v>
      </c>
      <c r="C35">
        <v>56506379</v>
      </c>
      <c r="D35">
        <v>57621905</v>
      </c>
      <c r="E35">
        <v>1080</v>
      </c>
      <c r="F35">
        <v>1</v>
      </c>
      <c r="G35">
        <v>1080</v>
      </c>
      <c r="H35">
        <v>1</v>
      </c>
      <c r="I35" t="s">
        <v>392</v>
      </c>
      <c r="J35" t="s">
        <v>3</v>
      </c>
      <c r="K35" t="s">
        <v>393</v>
      </c>
      <c r="L35">
        <v>1191</v>
      </c>
      <c r="N35">
        <v>1013</v>
      </c>
      <c r="O35" t="s">
        <v>394</v>
      </c>
      <c r="P35" t="s">
        <v>394</v>
      </c>
      <c r="Q35">
        <v>1</v>
      </c>
      <c r="X35">
        <v>1.03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24</v>
      </c>
      <c r="AG35">
        <v>1.1330000000000002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>
        <f>ROW(Source!A101)</f>
        <v>101</v>
      </c>
      <c r="B36">
        <v>58754054</v>
      </c>
      <c r="C36">
        <v>56506379</v>
      </c>
      <c r="D36">
        <v>57696079</v>
      </c>
      <c r="E36">
        <v>1</v>
      </c>
      <c r="F36">
        <v>1</v>
      </c>
      <c r="G36">
        <v>1080</v>
      </c>
      <c r="H36">
        <v>2</v>
      </c>
      <c r="I36" t="s">
        <v>395</v>
      </c>
      <c r="J36" t="s">
        <v>396</v>
      </c>
      <c r="K36" t="s">
        <v>397</v>
      </c>
      <c r="L36">
        <v>1368</v>
      </c>
      <c r="N36">
        <v>1011</v>
      </c>
      <c r="O36" t="s">
        <v>398</v>
      </c>
      <c r="P36" t="s">
        <v>398</v>
      </c>
      <c r="Q36">
        <v>1</v>
      </c>
      <c r="X36">
        <v>6.0000000000000001E-3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6.6000000000000008E-3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>
        <f>ROW(Source!A101)</f>
        <v>101</v>
      </c>
      <c r="B37">
        <v>58754055</v>
      </c>
      <c r="C37">
        <v>56506379</v>
      </c>
      <c r="D37">
        <v>57643782</v>
      </c>
      <c r="E37">
        <v>1080</v>
      </c>
      <c r="F37">
        <v>1</v>
      </c>
      <c r="G37">
        <v>1080</v>
      </c>
      <c r="H37">
        <v>3</v>
      </c>
      <c r="I37" t="s">
        <v>421</v>
      </c>
      <c r="J37" t="s">
        <v>3</v>
      </c>
      <c r="K37" t="s">
        <v>422</v>
      </c>
      <c r="L37">
        <v>1354</v>
      </c>
      <c r="N37">
        <v>1010</v>
      </c>
      <c r="O37" t="s">
        <v>32</v>
      </c>
      <c r="P37" t="s">
        <v>32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</v>
      </c>
      <c r="AG37">
        <v>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>
        <f>ROW(Source!A102)</f>
        <v>102</v>
      </c>
      <c r="B38">
        <v>58754053</v>
      </c>
      <c r="C38">
        <v>56506379</v>
      </c>
      <c r="D38">
        <v>57621905</v>
      </c>
      <c r="E38">
        <v>1080</v>
      </c>
      <c r="F38">
        <v>1</v>
      </c>
      <c r="G38">
        <v>1080</v>
      </c>
      <c r="H38">
        <v>1</v>
      </c>
      <c r="I38" t="s">
        <v>392</v>
      </c>
      <c r="J38" t="s">
        <v>3</v>
      </c>
      <c r="K38" t="s">
        <v>393</v>
      </c>
      <c r="L38">
        <v>1191</v>
      </c>
      <c r="N38">
        <v>1013</v>
      </c>
      <c r="O38" t="s">
        <v>394</v>
      </c>
      <c r="P38" t="s">
        <v>394</v>
      </c>
      <c r="Q38">
        <v>1</v>
      </c>
      <c r="X38">
        <v>1.03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24</v>
      </c>
      <c r="AG38">
        <v>1.1330000000000002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>
        <f>ROW(Source!A102)</f>
        <v>102</v>
      </c>
      <c r="B39">
        <v>58754054</v>
      </c>
      <c r="C39">
        <v>56506379</v>
      </c>
      <c r="D39">
        <v>57696079</v>
      </c>
      <c r="E39">
        <v>1</v>
      </c>
      <c r="F39">
        <v>1</v>
      </c>
      <c r="G39">
        <v>1080</v>
      </c>
      <c r="H39">
        <v>2</v>
      </c>
      <c r="I39" t="s">
        <v>395</v>
      </c>
      <c r="J39" t="s">
        <v>396</v>
      </c>
      <c r="K39" t="s">
        <v>397</v>
      </c>
      <c r="L39">
        <v>1368</v>
      </c>
      <c r="N39">
        <v>1011</v>
      </c>
      <c r="O39" t="s">
        <v>398</v>
      </c>
      <c r="P39" t="s">
        <v>398</v>
      </c>
      <c r="Q39">
        <v>1</v>
      </c>
      <c r="X39">
        <v>6.0000000000000001E-3</v>
      </c>
      <c r="Y39">
        <v>0</v>
      </c>
      <c r="Z39">
        <v>83.1</v>
      </c>
      <c r="AA39">
        <v>12.62</v>
      </c>
      <c r="AB39">
        <v>0</v>
      </c>
      <c r="AC39">
        <v>0</v>
      </c>
      <c r="AD39">
        <v>1</v>
      </c>
      <c r="AE39">
        <v>0</v>
      </c>
      <c r="AF39" t="s">
        <v>24</v>
      </c>
      <c r="AG39">
        <v>6.6000000000000008E-3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>
        <f>ROW(Source!A102)</f>
        <v>102</v>
      </c>
      <c r="B40">
        <v>58754055</v>
      </c>
      <c r="C40">
        <v>56506379</v>
      </c>
      <c r="D40">
        <v>57643782</v>
      </c>
      <c r="E40">
        <v>1080</v>
      </c>
      <c r="F40">
        <v>1</v>
      </c>
      <c r="G40">
        <v>1080</v>
      </c>
      <c r="H40">
        <v>3</v>
      </c>
      <c r="I40" t="s">
        <v>421</v>
      </c>
      <c r="J40" t="s">
        <v>3</v>
      </c>
      <c r="K40" t="s">
        <v>422</v>
      </c>
      <c r="L40">
        <v>1354</v>
      </c>
      <c r="N40">
        <v>1010</v>
      </c>
      <c r="O40" t="s">
        <v>32</v>
      </c>
      <c r="P40" t="s">
        <v>32</v>
      </c>
      <c r="Q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</v>
      </c>
      <c r="AG40">
        <v>1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>
        <f>ROW(Source!A146)</f>
        <v>146</v>
      </c>
      <c r="B41">
        <v>58754056</v>
      </c>
      <c r="C41">
        <v>56506397</v>
      </c>
      <c r="D41">
        <v>57621905</v>
      </c>
      <c r="E41">
        <v>1080</v>
      </c>
      <c r="F41">
        <v>1</v>
      </c>
      <c r="G41">
        <v>1080</v>
      </c>
      <c r="H41">
        <v>1</v>
      </c>
      <c r="I41" t="s">
        <v>392</v>
      </c>
      <c r="J41" t="s">
        <v>3</v>
      </c>
      <c r="K41" t="s">
        <v>393</v>
      </c>
      <c r="L41">
        <v>1191</v>
      </c>
      <c r="N41">
        <v>1013</v>
      </c>
      <c r="O41" t="s">
        <v>394</v>
      </c>
      <c r="P41" t="s">
        <v>394</v>
      </c>
      <c r="Q41">
        <v>1</v>
      </c>
      <c r="X41">
        <v>9.3000000000000007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24</v>
      </c>
      <c r="AG41">
        <v>10.230000000000002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3">
      <c r="A42">
        <f>ROW(Source!A146)</f>
        <v>146</v>
      </c>
      <c r="B42">
        <v>58754057</v>
      </c>
      <c r="C42">
        <v>56506397</v>
      </c>
      <c r="D42">
        <v>57695385</v>
      </c>
      <c r="E42">
        <v>1</v>
      </c>
      <c r="F42">
        <v>1</v>
      </c>
      <c r="G42">
        <v>1080</v>
      </c>
      <c r="H42">
        <v>2</v>
      </c>
      <c r="I42" t="s">
        <v>406</v>
      </c>
      <c r="J42" t="s">
        <v>407</v>
      </c>
      <c r="K42" t="s">
        <v>408</v>
      </c>
      <c r="L42">
        <v>1368</v>
      </c>
      <c r="N42">
        <v>1011</v>
      </c>
      <c r="O42" t="s">
        <v>398</v>
      </c>
      <c r="P42" t="s">
        <v>398</v>
      </c>
      <c r="Q42">
        <v>1</v>
      </c>
      <c r="X42">
        <v>0.4</v>
      </c>
      <c r="Y42">
        <v>0</v>
      </c>
      <c r="Z42">
        <v>114.83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0.44000000000000006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>
        <f>ROW(Source!A146)</f>
        <v>146</v>
      </c>
      <c r="B43">
        <v>58754058</v>
      </c>
      <c r="C43">
        <v>56506397</v>
      </c>
      <c r="D43">
        <v>57664339</v>
      </c>
      <c r="E43">
        <v>1</v>
      </c>
      <c r="F43">
        <v>1</v>
      </c>
      <c r="G43">
        <v>1080</v>
      </c>
      <c r="H43">
        <v>3</v>
      </c>
      <c r="I43" t="s">
        <v>423</v>
      </c>
      <c r="J43" t="s">
        <v>424</v>
      </c>
      <c r="K43" t="s">
        <v>425</v>
      </c>
      <c r="L43">
        <v>1348</v>
      </c>
      <c r="N43">
        <v>1009</v>
      </c>
      <c r="O43" t="s">
        <v>165</v>
      </c>
      <c r="P43" t="s">
        <v>165</v>
      </c>
      <c r="Q43">
        <v>1000</v>
      </c>
      <c r="X43">
        <v>2.9999999999999997E-4</v>
      </c>
      <c r="Y43">
        <v>1219.68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</v>
      </c>
      <c r="AG43">
        <v>2.9999999999999997E-4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>
        <f>ROW(Source!A146)</f>
        <v>146</v>
      </c>
      <c r="B44">
        <v>58754059</v>
      </c>
      <c r="C44">
        <v>56506397</v>
      </c>
      <c r="D44">
        <v>57666309</v>
      </c>
      <c r="E44">
        <v>1</v>
      </c>
      <c r="F44">
        <v>1</v>
      </c>
      <c r="G44">
        <v>1080</v>
      </c>
      <c r="H44">
        <v>3</v>
      </c>
      <c r="I44" t="s">
        <v>426</v>
      </c>
      <c r="J44" t="s">
        <v>427</v>
      </c>
      <c r="K44" t="s">
        <v>428</v>
      </c>
      <c r="L44">
        <v>1346</v>
      </c>
      <c r="N44">
        <v>1009</v>
      </c>
      <c r="O44" t="s">
        <v>372</v>
      </c>
      <c r="P44" t="s">
        <v>372</v>
      </c>
      <c r="Q44">
        <v>1</v>
      </c>
      <c r="X44">
        <v>0.03</v>
      </c>
      <c r="Y44">
        <v>15.11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0.03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>
        <f>ROW(Source!A146)</f>
        <v>146</v>
      </c>
      <c r="B45">
        <v>58754060</v>
      </c>
      <c r="C45">
        <v>56506397</v>
      </c>
      <c r="D45">
        <v>57664478</v>
      </c>
      <c r="E45">
        <v>1</v>
      </c>
      <c r="F45">
        <v>1</v>
      </c>
      <c r="G45">
        <v>1080</v>
      </c>
      <c r="H45">
        <v>3</v>
      </c>
      <c r="I45" t="s">
        <v>429</v>
      </c>
      <c r="J45" t="s">
        <v>430</v>
      </c>
      <c r="K45" t="s">
        <v>431</v>
      </c>
      <c r="L45">
        <v>1346</v>
      </c>
      <c r="N45">
        <v>1009</v>
      </c>
      <c r="O45" t="s">
        <v>372</v>
      </c>
      <c r="P45" t="s">
        <v>372</v>
      </c>
      <c r="Q45">
        <v>1</v>
      </c>
      <c r="X45">
        <v>0.01</v>
      </c>
      <c r="Y45">
        <v>16.690000000000001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</v>
      </c>
      <c r="AG45">
        <v>0.01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>
        <f>ROW(Source!A146)</f>
        <v>146</v>
      </c>
      <c r="B46">
        <v>58754061</v>
      </c>
      <c r="C46">
        <v>56506397</v>
      </c>
      <c r="D46">
        <v>57664563</v>
      </c>
      <c r="E46">
        <v>1</v>
      </c>
      <c r="F46">
        <v>1</v>
      </c>
      <c r="G46">
        <v>1080</v>
      </c>
      <c r="H46">
        <v>3</v>
      </c>
      <c r="I46" t="s">
        <v>432</v>
      </c>
      <c r="J46" t="s">
        <v>433</v>
      </c>
      <c r="K46" t="s">
        <v>434</v>
      </c>
      <c r="L46">
        <v>1348</v>
      </c>
      <c r="N46">
        <v>1009</v>
      </c>
      <c r="O46" t="s">
        <v>165</v>
      </c>
      <c r="P46" t="s">
        <v>165</v>
      </c>
      <c r="Q46">
        <v>1000</v>
      </c>
      <c r="X46">
        <v>2.0000000000000002E-5</v>
      </c>
      <c r="Y46">
        <v>17722.25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2.0000000000000002E-5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>
        <f>ROW(Source!A146)</f>
        <v>146</v>
      </c>
      <c r="B47">
        <v>58754062</v>
      </c>
      <c r="C47">
        <v>56506397</v>
      </c>
      <c r="D47">
        <v>57671080</v>
      </c>
      <c r="E47">
        <v>1</v>
      </c>
      <c r="F47">
        <v>1</v>
      </c>
      <c r="G47">
        <v>1080</v>
      </c>
      <c r="H47">
        <v>3</v>
      </c>
      <c r="I47" t="s">
        <v>435</v>
      </c>
      <c r="J47" t="s">
        <v>436</v>
      </c>
      <c r="K47" t="s">
        <v>437</v>
      </c>
      <c r="L47">
        <v>1355</v>
      </c>
      <c r="N47">
        <v>1010</v>
      </c>
      <c r="O47" t="s">
        <v>223</v>
      </c>
      <c r="P47" t="s">
        <v>223</v>
      </c>
      <c r="Q47">
        <v>100</v>
      </c>
      <c r="X47">
        <v>0.1</v>
      </c>
      <c r="Y47">
        <v>120.19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0.1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>
        <f>ROW(Source!A146)</f>
        <v>146</v>
      </c>
      <c r="B48">
        <v>58754063</v>
      </c>
      <c r="C48">
        <v>56506397</v>
      </c>
      <c r="D48">
        <v>57664872</v>
      </c>
      <c r="E48">
        <v>1</v>
      </c>
      <c r="F48">
        <v>1</v>
      </c>
      <c r="G48">
        <v>1080</v>
      </c>
      <c r="H48">
        <v>3</v>
      </c>
      <c r="I48" t="s">
        <v>438</v>
      </c>
      <c r="J48" t="s">
        <v>439</v>
      </c>
      <c r="K48" t="s">
        <v>440</v>
      </c>
      <c r="L48">
        <v>1348</v>
      </c>
      <c r="N48">
        <v>1009</v>
      </c>
      <c r="O48" t="s">
        <v>165</v>
      </c>
      <c r="P48" t="s">
        <v>165</v>
      </c>
      <c r="Q48">
        <v>1000</v>
      </c>
      <c r="X48">
        <v>6.0000000000000002E-5</v>
      </c>
      <c r="Y48">
        <v>64123.05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6.0000000000000002E-5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>
        <f>ROW(Source!A146)</f>
        <v>146</v>
      </c>
      <c r="B49">
        <v>58754064</v>
      </c>
      <c r="C49">
        <v>56506397</v>
      </c>
      <c r="D49">
        <v>57664880</v>
      </c>
      <c r="E49">
        <v>1</v>
      </c>
      <c r="F49">
        <v>1</v>
      </c>
      <c r="G49">
        <v>1080</v>
      </c>
      <c r="H49">
        <v>3</v>
      </c>
      <c r="I49" t="s">
        <v>441</v>
      </c>
      <c r="J49" t="s">
        <v>442</v>
      </c>
      <c r="K49" t="s">
        <v>443</v>
      </c>
      <c r="L49">
        <v>1348</v>
      </c>
      <c r="N49">
        <v>1009</v>
      </c>
      <c r="O49" t="s">
        <v>165</v>
      </c>
      <c r="P49" t="s">
        <v>165</v>
      </c>
      <c r="Q49">
        <v>1000</v>
      </c>
      <c r="X49">
        <v>1E-4</v>
      </c>
      <c r="Y49">
        <v>81241.14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1E-4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>
        <f>ROW(Source!A146)</f>
        <v>146</v>
      </c>
      <c r="B50">
        <v>58754065</v>
      </c>
      <c r="C50">
        <v>56506397</v>
      </c>
      <c r="D50">
        <v>57688107</v>
      </c>
      <c r="E50">
        <v>1</v>
      </c>
      <c r="F50">
        <v>1</v>
      </c>
      <c r="G50">
        <v>1080</v>
      </c>
      <c r="H50">
        <v>3</v>
      </c>
      <c r="I50" t="s">
        <v>444</v>
      </c>
      <c r="J50" t="s">
        <v>445</v>
      </c>
      <c r="K50" t="s">
        <v>446</v>
      </c>
      <c r="L50">
        <v>1301</v>
      </c>
      <c r="N50">
        <v>1003</v>
      </c>
      <c r="O50" t="s">
        <v>286</v>
      </c>
      <c r="P50" t="s">
        <v>286</v>
      </c>
      <c r="Q50">
        <v>1</v>
      </c>
      <c r="X50">
        <v>5.91</v>
      </c>
      <c r="Y50">
        <v>0.69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5.91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>
        <f>ROW(Source!A146)</f>
        <v>146</v>
      </c>
      <c r="B51">
        <v>58754066</v>
      </c>
      <c r="C51">
        <v>56506397</v>
      </c>
      <c r="D51">
        <v>57688174</v>
      </c>
      <c r="E51">
        <v>1</v>
      </c>
      <c r="F51">
        <v>1</v>
      </c>
      <c r="G51">
        <v>1080</v>
      </c>
      <c r="H51">
        <v>3</v>
      </c>
      <c r="I51" t="s">
        <v>447</v>
      </c>
      <c r="J51" t="s">
        <v>448</v>
      </c>
      <c r="K51" t="s">
        <v>449</v>
      </c>
      <c r="L51">
        <v>1346</v>
      </c>
      <c r="N51">
        <v>1009</v>
      </c>
      <c r="O51" t="s">
        <v>372</v>
      </c>
      <c r="P51" t="s">
        <v>372</v>
      </c>
      <c r="Q51">
        <v>1</v>
      </c>
      <c r="X51">
        <v>0.02</v>
      </c>
      <c r="Y51">
        <v>493.08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0.02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>
        <f>ROW(Source!A146)</f>
        <v>146</v>
      </c>
      <c r="B52">
        <v>58754067</v>
      </c>
      <c r="C52">
        <v>56506397</v>
      </c>
      <c r="D52">
        <v>57687740</v>
      </c>
      <c r="E52">
        <v>1</v>
      </c>
      <c r="F52">
        <v>1</v>
      </c>
      <c r="G52">
        <v>1080</v>
      </c>
      <c r="H52">
        <v>3</v>
      </c>
      <c r="I52" t="s">
        <v>450</v>
      </c>
      <c r="J52" t="s">
        <v>451</v>
      </c>
      <c r="K52" t="s">
        <v>452</v>
      </c>
      <c r="L52">
        <v>1355</v>
      </c>
      <c r="N52">
        <v>1010</v>
      </c>
      <c r="O52" t="s">
        <v>223</v>
      </c>
      <c r="P52" t="s">
        <v>223</v>
      </c>
      <c r="Q52">
        <v>100</v>
      </c>
      <c r="X52">
        <v>0.04</v>
      </c>
      <c r="Y52">
        <v>413.16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0.04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">
      <c r="A53">
        <f>ROW(Source!A146)</f>
        <v>146</v>
      </c>
      <c r="B53">
        <v>58754068</v>
      </c>
      <c r="C53">
        <v>56506397</v>
      </c>
      <c r="D53">
        <v>57619133</v>
      </c>
      <c r="E53">
        <v>1080</v>
      </c>
      <c r="F53">
        <v>1</v>
      </c>
      <c r="G53">
        <v>1080</v>
      </c>
      <c r="H53">
        <v>3</v>
      </c>
      <c r="I53" t="s">
        <v>453</v>
      </c>
      <c r="J53" t="s">
        <v>3</v>
      </c>
      <c r="K53" t="s">
        <v>454</v>
      </c>
      <c r="L53">
        <v>1346</v>
      </c>
      <c r="N53">
        <v>1009</v>
      </c>
      <c r="O53" t="s">
        <v>372</v>
      </c>
      <c r="P53" t="s">
        <v>372</v>
      </c>
      <c r="Q53">
        <v>1</v>
      </c>
      <c r="X53">
        <v>0.3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</v>
      </c>
      <c r="AG53">
        <v>0.3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>
        <f>ROW(Source!A146)</f>
        <v>146</v>
      </c>
      <c r="B54">
        <v>58754069</v>
      </c>
      <c r="C54">
        <v>56506397</v>
      </c>
      <c r="D54">
        <v>57636239</v>
      </c>
      <c r="E54">
        <v>1080</v>
      </c>
      <c r="F54">
        <v>1</v>
      </c>
      <c r="G54">
        <v>1080</v>
      </c>
      <c r="H54">
        <v>3</v>
      </c>
      <c r="I54" t="s">
        <v>455</v>
      </c>
      <c r="J54" t="s">
        <v>3</v>
      </c>
      <c r="K54" t="s">
        <v>456</v>
      </c>
      <c r="L54">
        <v>1354</v>
      </c>
      <c r="N54">
        <v>1010</v>
      </c>
      <c r="O54" t="s">
        <v>32</v>
      </c>
      <c r="P54" t="s">
        <v>32</v>
      </c>
      <c r="Q54">
        <v>1</v>
      </c>
      <c r="X54">
        <v>10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</v>
      </c>
      <c r="AG54">
        <v>10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>
        <f>ROW(Source!A146)</f>
        <v>146</v>
      </c>
      <c r="B55">
        <v>58754070</v>
      </c>
      <c r="C55">
        <v>56506397</v>
      </c>
      <c r="D55">
        <v>57652550</v>
      </c>
      <c r="E55">
        <v>1080</v>
      </c>
      <c r="F55">
        <v>1</v>
      </c>
      <c r="G55">
        <v>1080</v>
      </c>
      <c r="H55">
        <v>3</v>
      </c>
      <c r="I55" t="s">
        <v>457</v>
      </c>
      <c r="J55" t="s">
        <v>3</v>
      </c>
      <c r="K55" t="s">
        <v>458</v>
      </c>
      <c r="L55">
        <v>1354</v>
      </c>
      <c r="N55">
        <v>1010</v>
      </c>
      <c r="O55" t="s">
        <v>32</v>
      </c>
      <c r="P55" t="s">
        <v>32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</v>
      </c>
      <c r="AG55">
        <v>1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>
        <f>ROW(Source!A146)</f>
        <v>146</v>
      </c>
      <c r="B56">
        <v>58754071</v>
      </c>
      <c r="C56">
        <v>56506397</v>
      </c>
      <c r="D56">
        <v>57626907</v>
      </c>
      <c r="E56">
        <v>1080</v>
      </c>
      <c r="F56">
        <v>1</v>
      </c>
      <c r="G56">
        <v>1080</v>
      </c>
      <c r="H56">
        <v>3</v>
      </c>
      <c r="I56" t="s">
        <v>459</v>
      </c>
      <c r="J56" t="s">
        <v>3</v>
      </c>
      <c r="K56" t="s">
        <v>460</v>
      </c>
      <c r="L56">
        <v>1348</v>
      </c>
      <c r="N56">
        <v>1009</v>
      </c>
      <c r="O56" t="s">
        <v>165</v>
      </c>
      <c r="P56" t="s">
        <v>165</v>
      </c>
      <c r="Q56">
        <v>1000</v>
      </c>
      <c r="X56">
        <v>1E-3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1E-3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>
        <f>ROW(Source!A147)</f>
        <v>147</v>
      </c>
      <c r="B57">
        <v>58754056</v>
      </c>
      <c r="C57">
        <v>56506397</v>
      </c>
      <c r="D57">
        <v>57621905</v>
      </c>
      <c r="E57">
        <v>1080</v>
      </c>
      <c r="F57">
        <v>1</v>
      </c>
      <c r="G57">
        <v>1080</v>
      </c>
      <c r="H57">
        <v>1</v>
      </c>
      <c r="I57" t="s">
        <v>392</v>
      </c>
      <c r="J57" t="s">
        <v>3</v>
      </c>
      <c r="K57" t="s">
        <v>393</v>
      </c>
      <c r="L57">
        <v>1191</v>
      </c>
      <c r="N57">
        <v>1013</v>
      </c>
      <c r="O57" t="s">
        <v>394</v>
      </c>
      <c r="P57" t="s">
        <v>394</v>
      </c>
      <c r="Q57">
        <v>1</v>
      </c>
      <c r="X57">
        <v>9.3000000000000007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24</v>
      </c>
      <c r="AG57">
        <v>10.230000000000002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>
        <f>ROW(Source!A147)</f>
        <v>147</v>
      </c>
      <c r="B58">
        <v>58754057</v>
      </c>
      <c r="C58">
        <v>56506397</v>
      </c>
      <c r="D58">
        <v>57695385</v>
      </c>
      <c r="E58">
        <v>1</v>
      </c>
      <c r="F58">
        <v>1</v>
      </c>
      <c r="G58">
        <v>1080</v>
      </c>
      <c r="H58">
        <v>2</v>
      </c>
      <c r="I58" t="s">
        <v>406</v>
      </c>
      <c r="J58" t="s">
        <v>407</v>
      </c>
      <c r="K58" t="s">
        <v>408</v>
      </c>
      <c r="L58">
        <v>1368</v>
      </c>
      <c r="N58">
        <v>1011</v>
      </c>
      <c r="O58" t="s">
        <v>398</v>
      </c>
      <c r="P58" t="s">
        <v>398</v>
      </c>
      <c r="Q58">
        <v>1</v>
      </c>
      <c r="X58">
        <v>0.4</v>
      </c>
      <c r="Y58">
        <v>0</v>
      </c>
      <c r="Z58">
        <v>114.83</v>
      </c>
      <c r="AA58">
        <v>12.62</v>
      </c>
      <c r="AB58">
        <v>0</v>
      </c>
      <c r="AC58">
        <v>0</v>
      </c>
      <c r="AD58">
        <v>1</v>
      </c>
      <c r="AE58">
        <v>0</v>
      </c>
      <c r="AF58" t="s">
        <v>24</v>
      </c>
      <c r="AG58">
        <v>0.44000000000000006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">
      <c r="A59">
        <f>ROW(Source!A147)</f>
        <v>147</v>
      </c>
      <c r="B59">
        <v>58754058</v>
      </c>
      <c r="C59">
        <v>56506397</v>
      </c>
      <c r="D59">
        <v>57664339</v>
      </c>
      <c r="E59">
        <v>1</v>
      </c>
      <c r="F59">
        <v>1</v>
      </c>
      <c r="G59">
        <v>1080</v>
      </c>
      <c r="H59">
        <v>3</v>
      </c>
      <c r="I59" t="s">
        <v>423</v>
      </c>
      <c r="J59" t="s">
        <v>424</v>
      </c>
      <c r="K59" t="s">
        <v>425</v>
      </c>
      <c r="L59">
        <v>1348</v>
      </c>
      <c r="N59">
        <v>1009</v>
      </c>
      <c r="O59" t="s">
        <v>165</v>
      </c>
      <c r="P59" t="s">
        <v>165</v>
      </c>
      <c r="Q59">
        <v>1000</v>
      </c>
      <c r="X59">
        <v>2.9999999999999997E-4</v>
      </c>
      <c r="Y59">
        <v>1219.68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</v>
      </c>
      <c r="AG59">
        <v>2.9999999999999997E-4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>
        <f>ROW(Source!A147)</f>
        <v>147</v>
      </c>
      <c r="B60">
        <v>58754059</v>
      </c>
      <c r="C60">
        <v>56506397</v>
      </c>
      <c r="D60">
        <v>57666309</v>
      </c>
      <c r="E60">
        <v>1</v>
      </c>
      <c r="F60">
        <v>1</v>
      </c>
      <c r="G60">
        <v>1080</v>
      </c>
      <c r="H60">
        <v>3</v>
      </c>
      <c r="I60" t="s">
        <v>426</v>
      </c>
      <c r="J60" t="s">
        <v>427</v>
      </c>
      <c r="K60" t="s">
        <v>428</v>
      </c>
      <c r="L60">
        <v>1346</v>
      </c>
      <c r="N60">
        <v>1009</v>
      </c>
      <c r="O60" t="s">
        <v>372</v>
      </c>
      <c r="P60" t="s">
        <v>372</v>
      </c>
      <c r="Q60">
        <v>1</v>
      </c>
      <c r="X60">
        <v>0.03</v>
      </c>
      <c r="Y60">
        <v>15.11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0.03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>
        <f>ROW(Source!A147)</f>
        <v>147</v>
      </c>
      <c r="B61">
        <v>58754060</v>
      </c>
      <c r="C61">
        <v>56506397</v>
      </c>
      <c r="D61">
        <v>57664478</v>
      </c>
      <c r="E61">
        <v>1</v>
      </c>
      <c r="F61">
        <v>1</v>
      </c>
      <c r="G61">
        <v>1080</v>
      </c>
      <c r="H61">
        <v>3</v>
      </c>
      <c r="I61" t="s">
        <v>429</v>
      </c>
      <c r="J61" t="s">
        <v>430</v>
      </c>
      <c r="K61" t="s">
        <v>431</v>
      </c>
      <c r="L61">
        <v>1346</v>
      </c>
      <c r="N61">
        <v>1009</v>
      </c>
      <c r="O61" t="s">
        <v>372</v>
      </c>
      <c r="P61" t="s">
        <v>372</v>
      </c>
      <c r="Q61">
        <v>1</v>
      </c>
      <c r="X61">
        <v>0.01</v>
      </c>
      <c r="Y61">
        <v>16.690000000000001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0.01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>
        <f>ROW(Source!A147)</f>
        <v>147</v>
      </c>
      <c r="B62">
        <v>58754061</v>
      </c>
      <c r="C62">
        <v>56506397</v>
      </c>
      <c r="D62">
        <v>57664563</v>
      </c>
      <c r="E62">
        <v>1</v>
      </c>
      <c r="F62">
        <v>1</v>
      </c>
      <c r="G62">
        <v>1080</v>
      </c>
      <c r="H62">
        <v>3</v>
      </c>
      <c r="I62" t="s">
        <v>432</v>
      </c>
      <c r="J62" t="s">
        <v>433</v>
      </c>
      <c r="K62" t="s">
        <v>434</v>
      </c>
      <c r="L62">
        <v>1348</v>
      </c>
      <c r="N62">
        <v>1009</v>
      </c>
      <c r="O62" t="s">
        <v>165</v>
      </c>
      <c r="P62" t="s">
        <v>165</v>
      </c>
      <c r="Q62">
        <v>1000</v>
      </c>
      <c r="X62">
        <v>2.0000000000000002E-5</v>
      </c>
      <c r="Y62">
        <v>17722.25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2.0000000000000002E-5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>
        <f>ROW(Source!A147)</f>
        <v>147</v>
      </c>
      <c r="B63">
        <v>58754062</v>
      </c>
      <c r="C63">
        <v>56506397</v>
      </c>
      <c r="D63">
        <v>57671080</v>
      </c>
      <c r="E63">
        <v>1</v>
      </c>
      <c r="F63">
        <v>1</v>
      </c>
      <c r="G63">
        <v>1080</v>
      </c>
      <c r="H63">
        <v>3</v>
      </c>
      <c r="I63" t="s">
        <v>435</v>
      </c>
      <c r="J63" t="s">
        <v>436</v>
      </c>
      <c r="K63" t="s">
        <v>437</v>
      </c>
      <c r="L63">
        <v>1355</v>
      </c>
      <c r="N63">
        <v>1010</v>
      </c>
      <c r="O63" t="s">
        <v>223</v>
      </c>
      <c r="P63" t="s">
        <v>223</v>
      </c>
      <c r="Q63">
        <v>100</v>
      </c>
      <c r="X63">
        <v>0.1</v>
      </c>
      <c r="Y63">
        <v>120.19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0.1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">
      <c r="A64">
        <f>ROW(Source!A147)</f>
        <v>147</v>
      </c>
      <c r="B64">
        <v>58754063</v>
      </c>
      <c r="C64">
        <v>56506397</v>
      </c>
      <c r="D64">
        <v>57664872</v>
      </c>
      <c r="E64">
        <v>1</v>
      </c>
      <c r="F64">
        <v>1</v>
      </c>
      <c r="G64">
        <v>1080</v>
      </c>
      <c r="H64">
        <v>3</v>
      </c>
      <c r="I64" t="s">
        <v>438</v>
      </c>
      <c r="J64" t="s">
        <v>439</v>
      </c>
      <c r="K64" t="s">
        <v>440</v>
      </c>
      <c r="L64">
        <v>1348</v>
      </c>
      <c r="N64">
        <v>1009</v>
      </c>
      <c r="O64" t="s">
        <v>165</v>
      </c>
      <c r="P64" t="s">
        <v>165</v>
      </c>
      <c r="Q64">
        <v>1000</v>
      </c>
      <c r="X64">
        <v>6.0000000000000002E-5</v>
      </c>
      <c r="Y64">
        <v>64123.05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6.0000000000000002E-5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>
        <f>ROW(Source!A147)</f>
        <v>147</v>
      </c>
      <c r="B65">
        <v>58754064</v>
      </c>
      <c r="C65">
        <v>56506397</v>
      </c>
      <c r="D65">
        <v>57664880</v>
      </c>
      <c r="E65">
        <v>1</v>
      </c>
      <c r="F65">
        <v>1</v>
      </c>
      <c r="G65">
        <v>1080</v>
      </c>
      <c r="H65">
        <v>3</v>
      </c>
      <c r="I65" t="s">
        <v>441</v>
      </c>
      <c r="J65" t="s">
        <v>442</v>
      </c>
      <c r="K65" t="s">
        <v>443</v>
      </c>
      <c r="L65">
        <v>1348</v>
      </c>
      <c r="N65">
        <v>1009</v>
      </c>
      <c r="O65" t="s">
        <v>165</v>
      </c>
      <c r="P65" t="s">
        <v>165</v>
      </c>
      <c r="Q65">
        <v>1000</v>
      </c>
      <c r="X65">
        <v>1E-4</v>
      </c>
      <c r="Y65">
        <v>81241.14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</v>
      </c>
      <c r="AG65">
        <v>1E-4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>
        <f>ROW(Source!A147)</f>
        <v>147</v>
      </c>
      <c r="B66">
        <v>58754065</v>
      </c>
      <c r="C66">
        <v>56506397</v>
      </c>
      <c r="D66">
        <v>57688107</v>
      </c>
      <c r="E66">
        <v>1</v>
      </c>
      <c r="F66">
        <v>1</v>
      </c>
      <c r="G66">
        <v>1080</v>
      </c>
      <c r="H66">
        <v>3</v>
      </c>
      <c r="I66" t="s">
        <v>444</v>
      </c>
      <c r="J66" t="s">
        <v>445</v>
      </c>
      <c r="K66" t="s">
        <v>446</v>
      </c>
      <c r="L66">
        <v>1301</v>
      </c>
      <c r="N66">
        <v>1003</v>
      </c>
      <c r="O66" t="s">
        <v>286</v>
      </c>
      <c r="P66" t="s">
        <v>286</v>
      </c>
      <c r="Q66">
        <v>1</v>
      </c>
      <c r="X66">
        <v>5.91</v>
      </c>
      <c r="Y66">
        <v>0.69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</v>
      </c>
      <c r="AG66">
        <v>5.91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>
        <f>ROW(Source!A147)</f>
        <v>147</v>
      </c>
      <c r="B67">
        <v>58754066</v>
      </c>
      <c r="C67">
        <v>56506397</v>
      </c>
      <c r="D67">
        <v>57688174</v>
      </c>
      <c r="E67">
        <v>1</v>
      </c>
      <c r="F67">
        <v>1</v>
      </c>
      <c r="G67">
        <v>1080</v>
      </c>
      <c r="H67">
        <v>3</v>
      </c>
      <c r="I67" t="s">
        <v>447</v>
      </c>
      <c r="J67" t="s">
        <v>448</v>
      </c>
      <c r="K67" t="s">
        <v>449</v>
      </c>
      <c r="L67">
        <v>1346</v>
      </c>
      <c r="N67">
        <v>1009</v>
      </c>
      <c r="O67" t="s">
        <v>372</v>
      </c>
      <c r="P67" t="s">
        <v>372</v>
      </c>
      <c r="Q67">
        <v>1</v>
      </c>
      <c r="X67">
        <v>0.02</v>
      </c>
      <c r="Y67">
        <v>493.08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0.02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>
        <f>ROW(Source!A147)</f>
        <v>147</v>
      </c>
      <c r="B68">
        <v>58754067</v>
      </c>
      <c r="C68">
        <v>56506397</v>
      </c>
      <c r="D68">
        <v>57687740</v>
      </c>
      <c r="E68">
        <v>1</v>
      </c>
      <c r="F68">
        <v>1</v>
      </c>
      <c r="G68">
        <v>1080</v>
      </c>
      <c r="H68">
        <v>3</v>
      </c>
      <c r="I68" t="s">
        <v>450</v>
      </c>
      <c r="J68" t="s">
        <v>451</v>
      </c>
      <c r="K68" t="s">
        <v>452</v>
      </c>
      <c r="L68">
        <v>1355</v>
      </c>
      <c r="N68">
        <v>1010</v>
      </c>
      <c r="O68" t="s">
        <v>223</v>
      </c>
      <c r="P68" t="s">
        <v>223</v>
      </c>
      <c r="Q68">
        <v>100</v>
      </c>
      <c r="X68">
        <v>0.04</v>
      </c>
      <c r="Y68">
        <v>413.16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0.04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>
        <f>ROW(Source!A147)</f>
        <v>147</v>
      </c>
      <c r="B69">
        <v>58754068</v>
      </c>
      <c r="C69">
        <v>56506397</v>
      </c>
      <c r="D69">
        <v>57619133</v>
      </c>
      <c r="E69">
        <v>1080</v>
      </c>
      <c r="F69">
        <v>1</v>
      </c>
      <c r="G69">
        <v>1080</v>
      </c>
      <c r="H69">
        <v>3</v>
      </c>
      <c r="I69" t="s">
        <v>453</v>
      </c>
      <c r="J69" t="s">
        <v>3</v>
      </c>
      <c r="K69" t="s">
        <v>454</v>
      </c>
      <c r="L69">
        <v>1346</v>
      </c>
      <c r="N69">
        <v>1009</v>
      </c>
      <c r="O69" t="s">
        <v>372</v>
      </c>
      <c r="P69" t="s">
        <v>372</v>
      </c>
      <c r="Q69">
        <v>1</v>
      </c>
      <c r="X69">
        <v>0.3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3</v>
      </c>
      <c r="AG69">
        <v>0.3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">
      <c r="A70">
        <f>ROW(Source!A147)</f>
        <v>147</v>
      </c>
      <c r="B70">
        <v>58754069</v>
      </c>
      <c r="C70">
        <v>56506397</v>
      </c>
      <c r="D70">
        <v>57636239</v>
      </c>
      <c r="E70">
        <v>1080</v>
      </c>
      <c r="F70">
        <v>1</v>
      </c>
      <c r="G70">
        <v>1080</v>
      </c>
      <c r="H70">
        <v>3</v>
      </c>
      <c r="I70" t="s">
        <v>455</v>
      </c>
      <c r="J70" t="s">
        <v>3</v>
      </c>
      <c r="K70" t="s">
        <v>456</v>
      </c>
      <c r="L70">
        <v>1354</v>
      </c>
      <c r="N70">
        <v>1010</v>
      </c>
      <c r="O70" t="s">
        <v>32</v>
      </c>
      <c r="P70" t="s">
        <v>32</v>
      </c>
      <c r="Q70">
        <v>1</v>
      </c>
      <c r="X70">
        <v>10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>
        <f>ROW(Source!A147)</f>
        <v>147</v>
      </c>
      <c r="B71">
        <v>58754070</v>
      </c>
      <c r="C71">
        <v>56506397</v>
      </c>
      <c r="D71">
        <v>57652550</v>
      </c>
      <c r="E71">
        <v>1080</v>
      </c>
      <c r="F71">
        <v>1</v>
      </c>
      <c r="G71">
        <v>1080</v>
      </c>
      <c r="H71">
        <v>3</v>
      </c>
      <c r="I71" t="s">
        <v>457</v>
      </c>
      <c r="J71" t="s">
        <v>3</v>
      </c>
      <c r="K71" t="s">
        <v>458</v>
      </c>
      <c r="L71">
        <v>1354</v>
      </c>
      <c r="N71">
        <v>1010</v>
      </c>
      <c r="O71" t="s">
        <v>32</v>
      </c>
      <c r="P71" t="s">
        <v>32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</v>
      </c>
      <c r="AG71">
        <v>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>
        <f>ROW(Source!A147)</f>
        <v>147</v>
      </c>
      <c r="B72">
        <v>58754071</v>
      </c>
      <c r="C72">
        <v>56506397</v>
      </c>
      <c r="D72">
        <v>57626907</v>
      </c>
      <c r="E72">
        <v>1080</v>
      </c>
      <c r="F72">
        <v>1</v>
      </c>
      <c r="G72">
        <v>1080</v>
      </c>
      <c r="H72">
        <v>3</v>
      </c>
      <c r="I72" t="s">
        <v>459</v>
      </c>
      <c r="J72" t="s">
        <v>3</v>
      </c>
      <c r="K72" t="s">
        <v>460</v>
      </c>
      <c r="L72">
        <v>1348</v>
      </c>
      <c r="N72">
        <v>1009</v>
      </c>
      <c r="O72" t="s">
        <v>165</v>
      </c>
      <c r="P72" t="s">
        <v>165</v>
      </c>
      <c r="Q72">
        <v>1000</v>
      </c>
      <c r="X72">
        <v>1E-3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</v>
      </c>
      <c r="AG72">
        <v>1E-3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>
        <f>ROW(Source!A156)</f>
        <v>156</v>
      </c>
      <c r="B73">
        <v>58754072</v>
      </c>
      <c r="C73">
        <v>56506452</v>
      </c>
      <c r="D73">
        <v>57621905</v>
      </c>
      <c r="E73">
        <v>1080</v>
      </c>
      <c r="F73">
        <v>1</v>
      </c>
      <c r="G73">
        <v>1080</v>
      </c>
      <c r="H73">
        <v>1</v>
      </c>
      <c r="I73" t="s">
        <v>392</v>
      </c>
      <c r="J73" t="s">
        <v>3</v>
      </c>
      <c r="K73" t="s">
        <v>393</v>
      </c>
      <c r="L73">
        <v>1191</v>
      </c>
      <c r="N73">
        <v>1013</v>
      </c>
      <c r="O73" t="s">
        <v>394</v>
      </c>
      <c r="P73" t="s">
        <v>394</v>
      </c>
      <c r="Q73">
        <v>1</v>
      </c>
      <c r="X73">
        <v>0.52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24</v>
      </c>
      <c r="AG73">
        <v>0.57200000000000006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>
        <f>ROW(Source!A156)</f>
        <v>156</v>
      </c>
      <c r="B74">
        <v>58754073</v>
      </c>
      <c r="C74">
        <v>56506452</v>
      </c>
      <c r="D74">
        <v>57619133</v>
      </c>
      <c r="E74">
        <v>1080</v>
      </c>
      <c r="F74">
        <v>1</v>
      </c>
      <c r="G74">
        <v>1080</v>
      </c>
      <c r="H74">
        <v>3</v>
      </c>
      <c r="I74" t="s">
        <v>453</v>
      </c>
      <c r="J74" t="s">
        <v>3</v>
      </c>
      <c r="K74" t="s">
        <v>454</v>
      </c>
      <c r="L74">
        <v>1346</v>
      </c>
      <c r="N74">
        <v>1009</v>
      </c>
      <c r="O74" t="s">
        <v>372</v>
      </c>
      <c r="P74" t="s">
        <v>372</v>
      </c>
      <c r="Q74">
        <v>1</v>
      </c>
      <c r="X74">
        <v>3.5000000000000003E-2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</v>
      </c>
      <c r="AG74">
        <v>3.5000000000000003E-2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">
      <c r="A75">
        <f>ROW(Source!A156)</f>
        <v>156</v>
      </c>
      <c r="B75">
        <v>58754074</v>
      </c>
      <c r="C75">
        <v>56506452</v>
      </c>
      <c r="D75">
        <v>57643778</v>
      </c>
      <c r="E75">
        <v>1080</v>
      </c>
      <c r="F75">
        <v>1</v>
      </c>
      <c r="G75">
        <v>1080</v>
      </c>
      <c r="H75">
        <v>3</v>
      </c>
      <c r="I75" t="s">
        <v>421</v>
      </c>
      <c r="J75" t="s">
        <v>3</v>
      </c>
      <c r="K75" t="s">
        <v>461</v>
      </c>
      <c r="L75">
        <v>1354</v>
      </c>
      <c r="N75">
        <v>1010</v>
      </c>
      <c r="O75" t="s">
        <v>32</v>
      </c>
      <c r="P75" t="s">
        <v>32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3</v>
      </c>
      <c r="AG75">
        <v>1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">
      <c r="A76">
        <f>ROW(Source!A157)</f>
        <v>157</v>
      </c>
      <c r="B76">
        <v>58754072</v>
      </c>
      <c r="C76">
        <v>56506452</v>
      </c>
      <c r="D76">
        <v>57621905</v>
      </c>
      <c r="E76">
        <v>1080</v>
      </c>
      <c r="F76">
        <v>1</v>
      </c>
      <c r="G76">
        <v>1080</v>
      </c>
      <c r="H76">
        <v>1</v>
      </c>
      <c r="I76" t="s">
        <v>392</v>
      </c>
      <c r="J76" t="s">
        <v>3</v>
      </c>
      <c r="K76" t="s">
        <v>393</v>
      </c>
      <c r="L76">
        <v>1191</v>
      </c>
      <c r="N76">
        <v>1013</v>
      </c>
      <c r="O76" t="s">
        <v>394</v>
      </c>
      <c r="P76" t="s">
        <v>394</v>
      </c>
      <c r="Q76">
        <v>1</v>
      </c>
      <c r="X76">
        <v>0.52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24</v>
      </c>
      <c r="AG76">
        <v>0.57200000000000006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>
        <f>ROW(Source!A157)</f>
        <v>157</v>
      </c>
      <c r="B77">
        <v>58754073</v>
      </c>
      <c r="C77">
        <v>56506452</v>
      </c>
      <c r="D77">
        <v>57619133</v>
      </c>
      <c r="E77">
        <v>1080</v>
      </c>
      <c r="F77">
        <v>1</v>
      </c>
      <c r="G77">
        <v>1080</v>
      </c>
      <c r="H77">
        <v>3</v>
      </c>
      <c r="I77" t="s">
        <v>453</v>
      </c>
      <c r="J77" t="s">
        <v>3</v>
      </c>
      <c r="K77" t="s">
        <v>454</v>
      </c>
      <c r="L77">
        <v>1346</v>
      </c>
      <c r="N77">
        <v>1009</v>
      </c>
      <c r="O77" t="s">
        <v>372</v>
      </c>
      <c r="P77" t="s">
        <v>372</v>
      </c>
      <c r="Q77">
        <v>1</v>
      </c>
      <c r="X77">
        <v>3.5000000000000003E-2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3</v>
      </c>
      <c r="AG77">
        <v>3.5000000000000003E-2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>
        <f>ROW(Source!A157)</f>
        <v>157</v>
      </c>
      <c r="B78">
        <v>58754074</v>
      </c>
      <c r="C78">
        <v>56506452</v>
      </c>
      <c r="D78">
        <v>57643778</v>
      </c>
      <c r="E78">
        <v>1080</v>
      </c>
      <c r="F78">
        <v>1</v>
      </c>
      <c r="G78">
        <v>1080</v>
      </c>
      <c r="H78">
        <v>3</v>
      </c>
      <c r="I78" t="s">
        <v>421</v>
      </c>
      <c r="J78" t="s">
        <v>3</v>
      </c>
      <c r="K78" t="s">
        <v>461</v>
      </c>
      <c r="L78">
        <v>1354</v>
      </c>
      <c r="N78">
        <v>1010</v>
      </c>
      <c r="O78" t="s">
        <v>32</v>
      </c>
      <c r="P78" t="s">
        <v>32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</v>
      </c>
      <c r="AG78">
        <v>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>
        <f>ROW(Source!A195)</f>
        <v>195</v>
      </c>
      <c r="B79">
        <v>58754075</v>
      </c>
      <c r="C79">
        <v>56506469</v>
      </c>
      <c r="D79">
        <v>57621905</v>
      </c>
      <c r="E79">
        <v>1080</v>
      </c>
      <c r="F79">
        <v>1</v>
      </c>
      <c r="G79">
        <v>1080</v>
      </c>
      <c r="H79">
        <v>1</v>
      </c>
      <c r="I79" t="s">
        <v>392</v>
      </c>
      <c r="J79" t="s">
        <v>3</v>
      </c>
      <c r="K79" t="s">
        <v>393</v>
      </c>
      <c r="L79">
        <v>1191</v>
      </c>
      <c r="N79">
        <v>1013</v>
      </c>
      <c r="O79" t="s">
        <v>394</v>
      </c>
      <c r="P79" t="s">
        <v>394</v>
      </c>
      <c r="Q79">
        <v>1</v>
      </c>
      <c r="X79">
        <v>2.1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24</v>
      </c>
      <c r="AG79">
        <v>2.3100000000000005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>
        <f>ROW(Source!A195)</f>
        <v>195</v>
      </c>
      <c r="B80">
        <v>58754076</v>
      </c>
      <c r="C80">
        <v>56506469</v>
      </c>
      <c r="D80">
        <v>57695385</v>
      </c>
      <c r="E80">
        <v>1</v>
      </c>
      <c r="F80">
        <v>1</v>
      </c>
      <c r="G80">
        <v>1080</v>
      </c>
      <c r="H80">
        <v>2</v>
      </c>
      <c r="I80" t="s">
        <v>406</v>
      </c>
      <c r="J80" t="s">
        <v>407</v>
      </c>
      <c r="K80" t="s">
        <v>408</v>
      </c>
      <c r="L80">
        <v>1368</v>
      </c>
      <c r="N80">
        <v>1011</v>
      </c>
      <c r="O80" t="s">
        <v>398</v>
      </c>
      <c r="P80" t="s">
        <v>398</v>
      </c>
      <c r="Q80">
        <v>1</v>
      </c>
      <c r="X80">
        <v>0.08</v>
      </c>
      <c r="Y80">
        <v>0</v>
      </c>
      <c r="Z80">
        <v>114.83</v>
      </c>
      <c r="AA80">
        <v>12.62</v>
      </c>
      <c r="AB80">
        <v>0</v>
      </c>
      <c r="AC80">
        <v>0</v>
      </c>
      <c r="AD80">
        <v>1</v>
      </c>
      <c r="AE80">
        <v>0</v>
      </c>
      <c r="AF80" t="s">
        <v>24</v>
      </c>
      <c r="AG80">
        <v>8.8000000000000009E-2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>
        <f>ROW(Source!A195)</f>
        <v>195</v>
      </c>
      <c r="B81">
        <v>58754077</v>
      </c>
      <c r="C81">
        <v>56506469</v>
      </c>
      <c r="D81">
        <v>57643653</v>
      </c>
      <c r="E81">
        <v>1080</v>
      </c>
      <c r="F81">
        <v>1</v>
      </c>
      <c r="G81">
        <v>1080</v>
      </c>
      <c r="H81">
        <v>3</v>
      </c>
      <c r="I81" t="s">
        <v>462</v>
      </c>
      <c r="J81" t="s">
        <v>3</v>
      </c>
      <c r="K81" t="s">
        <v>463</v>
      </c>
      <c r="L81">
        <v>1354</v>
      </c>
      <c r="N81">
        <v>1010</v>
      </c>
      <c r="O81" t="s">
        <v>32</v>
      </c>
      <c r="P81" t="s">
        <v>32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</v>
      </c>
      <c r="AG81">
        <v>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>
        <f>ROW(Source!A196)</f>
        <v>196</v>
      </c>
      <c r="B82">
        <v>58754075</v>
      </c>
      <c r="C82">
        <v>56506469</v>
      </c>
      <c r="D82">
        <v>57621905</v>
      </c>
      <c r="E82">
        <v>1080</v>
      </c>
      <c r="F82">
        <v>1</v>
      </c>
      <c r="G82">
        <v>1080</v>
      </c>
      <c r="H82">
        <v>1</v>
      </c>
      <c r="I82" t="s">
        <v>392</v>
      </c>
      <c r="J82" t="s">
        <v>3</v>
      </c>
      <c r="K82" t="s">
        <v>393</v>
      </c>
      <c r="L82">
        <v>1191</v>
      </c>
      <c r="N82">
        <v>1013</v>
      </c>
      <c r="O82" t="s">
        <v>394</v>
      </c>
      <c r="P82" t="s">
        <v>394</v>
      </c>
      <c r="Q82">
        <v>1</v>
      </c>
      <c r="X82">
        <v>2.1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24</v>
      </c>
      <c r="AG82">
        <v>2.3100000000000005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>
        <f>ROW(Source!A196)</f>
        <v>196</v>
      </c>
      <c r="B83">
        <v>58754076</v>
      </c>
      <c r="C83">
        <v>56506469</v>
      </c>
      <c r="D83">
        <v>57695385</v>
      </c>
      <c r="E83">
        <v>1</v>
      </c>
      <c r="F83">
        <v>1</v>
      </c>
      <c r="G83">
        <v>1080</v>
      </c>
      <c r="H83">
        <v>2</v>
      </c>
      <c r="I83" t="s">
        <v>406</v>
      </c>
      <c r="J83" t="s">
        <v>407</v>
      </c>
      <c r="K83" t="s">
        <v>408</v>
      </c>
      <c r="L83">
        <v>1368</v>
      </c>
      <c r="N83">
        <v>1011</v>
      </c>
      <c r="O83" t="s">
        <v>398</v>
      </c>
      <c r="P83" t="s">
        <v>398</v>
      </c>
      <c r="Q83">
        <v>1</v>
      </c>
      <c r="X83">
        <v>0.08</v>
      </c>
      <c r="Y83">
        <v>0</v>
      </c>
      <c r="Z83">
        <v>114.83</v>
      </c>
      <c r="AA83">
        <v>12.62</v>
      </c>
      <c r="AB83">
        <v>0</v>
      </c>
      <c r="AC83">
        <v>0</v>
      </c>
      <c r="AD83">
        <v>1</v>
      </c>
      <c r="AE83">
        <v>0</v>
      </c>
      <c r="AF83" t="s">
        <v>24</v>
      </c>
      <c r="AG83">
        <v>8.8000000000000009E-2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>
        <f>ROW(Source!A196)</f>
        <v>196</v>
      </c>
      <c r="B84">
        <v>58754077</v>
      </c>
      <c r="C84">
        <v>56506469</v>
      </c>
      <c r="D84">
        <v>57643653</v>
      </c>
      <c r="E84">
        <v>1080</v>
      </c>
      <c r="F84">
        <v>1</v>
      </c>
      <c r="G84">
        <v>1080</v>
      </c>
      <c r="H84">
        <v>3</v>
      </c>
      <c r="I84" t="s">
        <v>462</v>
      </c>
      <c r="J84" t="s">
        <v>3</v>
      </c>
      <c r="K84" t="s">
        <v>463</v>
      </c>
      <c r="L84">
        <v>1354</v>
      </c>
      <c r="N84">
        <v>1010</v>
      </c>
      <c r="O84" t="s">
        <v>32</v>
      </c>
      <c r="P84" t="s">
        <v>32</v>
      </c>
      <c r="Q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1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>
        <f>ROW(Source!A209)</f>
        <v>209</v>
      </c>
      <c r="B85">
        <v>58754078</v>
      </c>
      <c r="C85">
        <v>56506493</v>
      </c>
      <c r="D85">
        <v>57621905</v>
      </c>
      <c r="E85">
        <v>1080</v>
      </c>
      <c r="F85">
        <v>1</v>
      </c>
      <c r="G85">
        <v>1080</v>
      </c>
      <c r="H85">
        <v>1</v>
      </c>
      <c r="I85" t="s">
        <v>392</v>
      </c>
      <c r="J85" t="s">
        <v>3</v>
      </c>
      <c r="K85" t="s">
        <v>393</v>
      </c>
      <c r="L85">
        <v>1191</v>
      </c>
      <c r="N85">
        <v>1013</v>
      </c>
      <c r="O85" t="s">
        <v>394</v>
      </c>
      <c r="P85" t="s">
        <v>394</v>
      </c>
      <c r="Q85">
        <v>1</v>
      </c>
      <c r="X85">
        <v>1.03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24</v>
      </c>
      <c r="AG85">
        <v>1.1330000000000002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>
        <f>ROW(Source!A209)</f>
        <v>209</v>
      </c>
      <c r="B86">
        <v>58754079</v>
      </c>
      <c r="C86">
        <v>56506493</v>
      </c>
      <c r="D86">
        <v>57696079</v>
      </c>
      <c r="E86">
        <v>1</v>
      </c>
      <c r="F86">
        <v>1</v>
      </c>
      <c r="G86">
        <v>1080</v>
      </c>
      <c r="H86">
        <v>2</v>
      </c>
      <c r="I86" t="s">
        <v>395</v>
      </c>
      <c r="J86" t="s">
        <v>396</v>
      </c>
      <c r="K86" t="s">
        <v>397</v>
      </c>
      <c r="L86">
        <v>1368</v>
      </c>
      <c r="N86">
        <v>1011</v>
      </c>
      <c r="O86" t="s">
        <v>398</v>
      </c>
      <c r="P86" t="s">
        <v>398</v>
      </c>
      <c r="Q86">
        <v>1</v>
      </c>
      <c r="X86">
        <v>6.0000000000000001E-3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6.6000000000000008E-3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>
        <f>ROW(Source!A209)</f>
        <v>209</v>
      </c>
      <c r="B87">
        <v>58754080</v>
      </c>
      <c r="C87">
        <v>56506493</v>
      </c>
      <c r="D87">
        <v>57643782</v>
      </c>
      <c r="E87">
        <v>1080</v>
      </c>
      <c r="F87">
        <v>1</v>
      </c>
      <c r="G87">
        <v>1080</v>
      </c>
      <c r="H87">
        <v>3</v>
      </c>
      <c r="I87" t="s">
        <v>421</v>
      </c>
      <c r="J87" t="s">
        <v>3</v>
      </c>
      <c r="K87" t="s">
        <v>422</v>
      </c>
      <c r="L87">
        <v>1354</v>
      </c>
      <c r="N87">
        <v>1010</v>
      </c>
      <c r="O87" t="s">
        <v>32</v>
      </c>
      <c r="P87" t="s">
        <v>32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3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>
        <f>ROW(Source!A210)</f>
        <v>210</v>
      </c>
      <c r="B88">
        <v>58754078</v>
      </c>
      <c r="C88">
        <v>56506493</v>
      </c>
      <c r="D88">
        <v>57621905</v>
      </c>
      <c r="E88">
        <v>1080</v>
      </c>
      <c r="F88">
        <v>1</v>
      </c>
      <c r="G88">
        <v>1080</v>
      </c>
      <c r="H88">
        <v>1</v>
      </c>
      <c r="I88" t="s">
        <v>392</v>
      </c>
      <c r="J88" t="s">
        <v>3</v>
      </c>
      <c r="K88" t="s">
        <v>393</v>
      </c>
      <c r="L88">
        <v>1191</v>
      </c>
      <c r="N88">
        <v>1013</v>
      </c>
      <c r="O88" t="s">
        <v>394</v>
      </c>
      <c r="P88" t="s">
        <v>394</v>
      </c>
      <c r="Q88">
        <v>1</v>
      </c>
      <c r="X88">
        <v>1.03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24</v>
      </c>
      <c r="AG88">
        <v>1.1330000000000002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>
        <f>ROW(Source!A210)</f>
        <v>210</v>
      </c>
      <c r="B89">
        <v>58754079</v>
      </c>
      <c r="C89">
        <v>56506493</v>
      </c>
      <c r="D89">
        <v>57696079</v>
      </c>
      <c r="E89">
        <v>1</v>
      </c>
      <c r="F89">
        <v>1</v>
      </c>
      <c r="G89">
        <v>1080</v>
      </c>
      <c r="H89">
        <v>2</v>
      </c>
      <c r="I89" t="s">
        <v>395</v>
      </c>
      <c r="J89" t="s">
        <v>396</v>
      </c>
      <c r="K89" t="s">
        <v>397</v>
      </c>
      <c r="L89">
        <v>1368</v>
      </c>
      <c r="N89">
        <v>1011</v>
      </c>
      <c r="O89" t="s">
        <v>398</v>
      </c>
      <c r="P89" t="s">
        <v>398</v>
      </c>
      <c r="Q89">
        <v>1</v>
      </c>
      <c r="X89">
        <v>6.0000000000000001E-3</v>
      </c>
      <c r="Y89">
        <v>0</v>
      </c>
      <c r="Z89">
        <v>83.1</v>
      </c>
      <c r="AA89">
        <v>12.62</v>
      </c>
      <c r="AB89">
        <v>0</v>
      </c>
      <c r="AC89">
        <v>0</v>
      </c>
      <c r="AD89">
        <v>1</v>
      </c>
      <c r="AE89">
        <v>0</v>
      </c>
      <c r="AF89" t="s">
        <v>24</v>
      </c>
      <c r="AG89">
        <v>6.6000000000000008E-3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>
        <f>ROW(Source!A210)</f>
        <v>210</v>
      </c>
      <c r="B90">
        <v>58754080</v>
      </c>
      <c r="C90">
        <v>56506493</v>
      </c>
      <c r="D90">
        <v>57643782</v>
      </c>
      <c r="E90">
        <v>1080</v>
      </c>
      <c r="F90">
        <v>1</v>
      </c>
      <c r="G90">
        <v>1080</v>
      </c>
      <c r="H90">
        <v>3</v>
      </c>
      <c r="I90" t="s">
        <v>421</v>
      </c>
      <c r="J90" t="s">
        <v>3</v>
      </c>
      <c r="K90" t="s">
        <v>422</v>
      </c>
      <c r="L90">
        <v>1354</v>
      </c>
      <c r="N90">
        <v>1010</v>
      </c>
      <c r="O90" t="s">
        <v>32</v>
      </c>
      <c r="P90" t="s">
        <v>32</v>
      </c>
      <c r="Q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3</v>
      </c>
      <c r="AG90">
        <v>1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>
        <f>ROW(Source!A213)</f>
        <v>213</v>
      </c>
      <c r="B91">
        <v>58754200</v>
      </c>
      <c r="C91">
        <v>58754180</v>
      </c>
      <c r="D91">
        <v>57621905</v>
      </c>
      <c r="E91">
        <v>1080</v>
      </c>
      <c r="F91">
        <v>1</v>
      </c>
      <c r="G91">
        <v>1080</v>
      </c>
      <c r="H91">
        <v>1</v>
      </c>
      <c r="I91" t="s">
        <v>392</v>
      </c>
      <c r="J91" t="s">
        <v>3</v>
      </c>
      <c r="K91" t="s">
        <v>393</v>
      </c>
      <c r="L91">
        <v>1191</v>
      </c>
      <c r="N91">
        <v>1013</v>
      </c>
      <c r="O91" t="s">
        <v>394</v>
      </c>
      <c r="P91" t="s">
        <v>394</v>
      </c>
      <c r="Q91">
        <v>1</v>
      </c>
      <c r="X91">
        <v>67.37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24</v>
      </c>
      <c r="AG91">
        <v>74.107000000000014</v>
      </c>
      <c r="AH91">
        <v>2</v>
      </c>
      <c r="AI91">
        <v>58754200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>
        <f>ROW(Source!A213)</f>
        <v>213</v>
      </c>
      <c r="B92">
        <v>58754201</v>
      </c>
      <c r="C92">
        <v>58754180</v>
      </c>
      <c r="D92">
        <v>57696079</v>
      </c>
      <c r="E92">
        <v>1</v>
      </c>
      <c r="F92">
        <v>1</v>
      </c>
      <c r="G92">
        <v>1080</v>
      </c>
      <c r="H92">
        <v>2</v>
      </c>
      <c r="I92" t="s">
        <v>395</v>
      </c>
      <c r="J92" t="s">
        <v>396</v>
      </c>
      <c r="K92" t="s">
        <v>397</v>
      </c>
      <c r="L92">
        <v>1368</v>
      </c>
      <c r="N92">
        <v>1011</v>
      </c>
      <c r="O92" t="s">
        <v>398</v>
      </c>
      <c r="P92" t="s">
        <v>398</v>
      </c>
      <c r="Q92">
        <v>1</v>
      </c>
      <c r="X92">
        <v>0.11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0.12100000000000001</v>
      </c>
      <c r="AH92">
        <v>2</v>
      </c>
      <c r="AI92">
        <v>58754201</v>
      </c>
      <c r="AJ92">
        <v>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">
      <c r="A93">
        <f>ROW(Source!A213)</f>
        <v>213</v>
      </c>
      <c r="B93">
        <v>58754202</v>
      </c>
      <c r="C93">
        <v>58754180</v>
      </c>
      <c r="D93">
        <v>57664986</v>
      </c>
      <c r="E93">
        <v>1</v>
      </c>
      <c r="F93">
        <v>1</v>
      </c>
      <c r="G93">
        <v>1080</v>
      </c>
      <c r="H93">
        <v>3</v>
      </c>
      <c r="I93" t="s">
        <v>400</v>
      </c>
      <c r="J93" t="s">
        <v>401</v>
      </c>
      <c r="K93" t="s">
        <v>402</v>
      </c>
      <c r="L93">
        <v>1348</v>
      </c>
      <c r="N93">
        <v>1009</v>
      </c>
      <c r="O93" t="s">
        <v>165</v>
      </c>
      <c r="P93" t="s">
        <v>165</v>
      </c>
      <c r="Q93">
        <v>1000</v>
      </c>
      <c r="X93">
        <v>9.5999999999999992E-3</v>
      </c>
      <c r="Y93">
        <v>7246.05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9.5999999999999992E-3</v>
      </c>
      <c r="AH93">
        <v>2</v>
      </c>
      <c r="AI93">
        <v>58754202</v>
      </c>
      <c r="AJ93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>
        <f>ROW(Source!A213)</f>
        <v>213</v>
      </c>
      <c r="B94">
        <v>58754203</v>
      </c>
      <c r="C94">
        <v>58754180</v>
      </c>
      <c r="D94">
        <v>57664417</v>
      </c>
      <c r="E94">
        <v>1</v>
      </c>
      <c r="F94">
        <v>1</v>
      </c>
      <c r="G94">
        <v>1080</v>
      </c>
      <c r="H94">
        <v>3</v>
      </c>
      <c r="I94" t="s">
        <v>403</v>
      </c>
      <c r="J94" t="s">
        <v>404</v>
      </c>
      <c r="K94" t="s">
        <v>405</v>
      </c>
      <c r="L94">
        <v>1354</v>
      </c>
      <c r="N94">
        <v>1010</v>
      </c>
      <c r="O94" t="s">
        <v>32</v>
      </c>
      <c r="P94" t="s">
        <v>32</v>
      </c>
      <c r="Q94">
        <v>1</v>
      </c>
      <c r="X94">
        <v>204</v>
      </c>
      <c r="Y94">
        <v>3.86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204</v>
      </c>
      <c r="AH94">
        <v>2</v>
      </c>
      <c r="AI94">
        <v>58754203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>
        <f>ROW(Source!A213)</f>
        <v>213</v>
      </c>
      <c r="B95">
        <v>58754204</v>
      </c>
      <c r="C95">
        <v>58754180</v>
      </c>
      <c r="D95">
        <v>57636933</v>
      </c>
      <c r="E95">
        <v>1080</v>
      </c>
      <c r="F95">
        <v>1</v>
      </c>
      <c r="G95">
        <v>1080</v>
      </c>
      <c r="H95">
        <v>3</v>
      </c>
      <c r="I95" t="s">
        <v>464</v>
      </c>
      <c r="J95" t="s">
        <v>3</v>
      </c>
      <c r="K95" t="s">
        <v>465</v>
      </c>
      <c r="L95">
        <v>1354</v>
      </c>
      <c r="N95">
        <v>1010</v>
      </c>
      <c r="O95" t="s">
        <v>32</v>
      </c>
      <c r="P95" t="s">
        <v>32</v>
      </c>
      <c r="Q95">
        <v>1</v>
      </c>
      <c r="X95">
        <v>102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</v>
      </c>
      <c r="AG95">
        <v>102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>
        <f>ROW(Source!A214)</f>
        <v>214</v>
      </c>
      <c r="B96">
        <v>58754200</v>
      </c>
      <c r="C96">
        <v>58754180</v>
      </c>
      <c r="D96">
        <v>57621905</v>
      </c>
      <c r="E96">
        <v>1080</v>
      </c>
      <c r="F96">
        <v>1</v>
      </c>
      <c r="G96">
        <v>1080</v>
      </c>
      <c r="H96">
        <v>1</v>
      </c>
      <c r="I96" t="s">
        <v>392</v>
      </c>
      <c r="J96" t="s">
        <v>3</v>
      </c>
      <c r="K96" t="s">
        <v>393</v>
      </c>
      <c r="L96">
        <v>1191</v>
      </c>
      <c r="N96">
        <v>1013</v>
      </c>
      <c r="O96" t="s">
        <v>394</v>
      </c>
      <c r="P96" t="s">
        <v>394</v>
      </c>
      <c r="Q96">
        <v>1</v>
      </c>
      <c r="X96">
        <v>67.37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24</v>
      </c>
      <c r="AG96">
        <v>74.107000000000014</v>
      </c>
      <c r="AH96">
        <v>2</v>
      </c>
      <c r="AI96">
        <v>58754200</v>
      </c>
      <c r="AJ96">
        <v>12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">
      <c r="A97">
        <f>ROW(Source!A214)</f>
        <v>214</v>
      </c>
      <c r="B97">
        <v>58754201</v>
      </c>
      <c r="C97">
        <v>58754180</v>
      </c>
      <c r="D97">
        <v>57696079</v>
      </c>
      <c r="E97">
        <v>1</v>
      </c>
      <c r="F97">
        <v>1</v>
      </c>
      <c r="G97">
        <v>1080</v>
      </c>
      <c r="H97">
        <v>2</v>
      </c>
      <c r="I97" t="s">
        <v>395</v>
      </c>
      <c r="J97" t="s">
        <v>396</v>
      </c>
      <c r="K97" t="s">
        <v>397</v>
      </c>
      <c r="L97">
        <v>1368</v>
      </c>
      <c r="N97">
        <v>1011</v>
      </c>
      <c r="O97" t="s">
        <v>398</v>
      </c>
      <c r="P97" t="s">
        <v>398</v>
      </c>
      <c r="Q97">
        <v>1</v>
      </c>
      <c r="X97">
        <v>0.11</v>
      </c>
      <c r="Y97">
        <v>0</v>
      </c>
      <c r="Z97">
        <v>83.1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24</v>
      </c>
      <c r="AG97">
        <v>0.12100000000000001</v>
      </c>
      <c r="AH97">
        <v>2</v>
      </c>
      <c r="AI97">
        <v>58754201</v>
      </c>
      <c r="AJ97">
        <v>13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>
        <f>ROW(Source!A214)</f>
        <v>214</v>
      </c>
      <c r="B98">
        <v>58754202</v>
      </c>
      <c r="C98">
        <v>58754180</v>
      </c>
      <c r="D98">
        <v>57664986</v>
      </c>
      <c r="E98">
        <v>1</v>
      </c>
      <c r="F98">
        <v>1</v>
      </c>
      <c r="G98">
        <v>1080</v>
      </c>
      <c r="H98">
        <v>3</v>
      </c>
      <c r="I98" t="s">
        <v>400</v>
      </c>
      <c r="J98" t="s">
        <v>401</v>
      </c>
      <c r="K98" t="s">
        <v>402</v>
      </c>
      <c r="L98">
        <v>1348</v>
      </c>
      <c r="N98">
        <v>1009</v>
      </c>
      <c r="O98" t="s">
        <v>165</v>
      </c>
      <c r="P98" t="s">
        <v>165</v>
      </c>
      <c r="Q98">
        <v>1000</v>
      </c>
      <c r="X98">
        <v>9.5999999999999992E-3</v>
      </c>
      <c r="Y98">
        <v>7246.05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9.5999999999999992E-3</v>
      </c>
      <c r="AH98">
        <v>2</v>
      </c>
      <c r="AI98">
        <v>58754202</v>
      </c>
      <c r="AJ98">
        <v>14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>
        <f>ROW(Source!A214)</f>
        <v>214</v>
      </c>
      <c r="B99">
        <v>58754203</v>
      </c>
      <c r="C99">
        <v>58754180</v>
      </c>
      <c r="D99">
        <v>57664417</v>
      </c>
      <c r="E99">
        <v>1</v>
      </c>
      <c r="F99">
        <v>1</v>
      </c>
      <c r="G99">
        <v>1080</v>
      </c>
      <c r="H99">
        <v>3</v>
      </c>
      <c r="I99" t="s">
        <v>403</v>
      </c>
      <c r="J99" t="s">
        <v>404</v>
      </c>
      <c r="K99" t="s">
        <v>405</v>
      </c>
      <c r="L99">
        <v>1354</v>
      </c>
      <c r="N99">
        <v>1010</v>
      </c>
      <c r="O99" t="s">
        <v>32</v>
      </c>
      <c r="P99" t="s">
        <v>32</v>
      </c>
      <c r="Q99">
        <v>1</v>
      </c>
      <c r="X99">
        <v>204</v>
      </c>
      <c r="Y99">
        <v>3.86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</v>
      </c>
      <c r="AG99">
        <v>204</v>
      </c>
      <c r="AH99">
        <v>2</v>
      </c>
      <c r="AI99">
        <v>58754203</v>
      </c>
      <c r="AJ99">
        <v>15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>
        <f>ROW(Source!A214)</f>
        <v>214</v>
      </c>
      <c r="B100">
        <v>58754204</v>
      </c>
      <c r="C100">
        <v>58754180</v>
      </c>
      <c r="D100">
        <v>57636933</v>
      </c>
      <c r="E100">
        <v>1080</v>
      </c>
      <c r="F100">
        <v>1</v>
      </c>
      <c r="G100">
        <v>1080</v>
      </c>
      <c r="H100">
        <v>3</v>
      </c>
      <c r="I100" t="s">
        <v>464</v>
      </c>
      <c r="J100" t="s">
        <v>3</v>
      </c>
      <c r="K100" t="s">
        <v>465</v>
      </c>
      <c r="L100">
        <v>1354</v>
      </c>
      <c r="N100">
        <v>1010</v>
      </c>
      <c r="O100" t="s">
        <v>32</v>
      </c>
      <c r="P100" t="s">
        <v>32</v>
      </c>
      <c r="Q100">
        <v>1</v>
      </c>
      <c r="X100">
        <v>102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</v>
      </c>
      <c r="AG100">
        <v>102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>
        <f>ROW(Source!A229)</f>
        <v>229</v>
      </c>
      <c r="B101">
        <v>58754081</v>
      </c>
      <c r="C101">
        <v>56508425</v>
      </c>
      <c r="D101">
        <v>57621905</v>
      </c>
      <c r="E101">
        <v>1080</v>
      </c>
      <c r="F101">
        <v>1</v>
      </c>
      <c r="G101">
        <v>1080</v>
      </c>
      <c r="H101">
        <v>1</v>
      </c>
      <c r="I101" t="s">
        <v>392</v>
      </c>
      <c r="J101" t="s">
        <v>3</v>
      </c>
      <c r="K101" t="s">
        <v>393</v>
      </c>
      <c r="L101">
        <v>1191</v>
      </c>
      <c r="N101">
        <v>1013</v>
      </c>
      <c r="O101" t="s">
        <v>394</v>
      </c>
      <c r="P101" t="s">
        <v>394</v>
      </c>
      <c r="Q101">
        <v>1</v>
      </c>
      <c r="X101">
        <v>26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24</v>
      </c>
      <c r="AG101">
        <v>28.6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>
        <f>ROW(Source!A229)</f>
        <v>229</v>
      </c>
      <c r="B102">
        <v>58754082</v>
      </c>
      <c r="C102">
        <v>56508425</v>
      </c>
      <c r="D102">
        <v>57695385</v>
      </c>
      <c r="E102">
        <v>1</v>
      </c>
      <c r="F102">
        <v>1</v>
      </c>
      <c r="G102">
        <v>1080</v>
      </c>
      <c r="H102">
        <v>2</v>
      </c>
      <c r="I102" t="s">
        <v>406</v>
      </c>
      <c r="J102" t="s">
        <v>407</v>
      </c>
      <c r="K102" t="s">
        <v>408</v>
      </c>
      <c r="L102">
        <v>1368</v>
      </c>
      <c r="N102">
        <v>1011</v>
      </c>
      <c r="O102" t="s">
        <v>398</v>
      </c>
      <c r="P102" t="s">
        <v>398</v>
      </c>
      <c r="Q102">
        <v>1</v>
      </c>
      <c r="X102">
        <v>1</v>
      </c>
      <c r="Y102">
        <v>0</v>
      </c>
      <c r="Z102">
        <v>114.83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1.1000000000000001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>
        <f>ROW(Source!A229)</f>
        <v>229</v>
      </c>
      <c r="B103">
        <v>58754083</v>
      </c>
      <c r="C103">
        <v>56508425</v>
      </c>
      <c r="D103">
        <v>57695397</v>
      </c>
      <c r="E103">
        <v>1</v>
      </c>
      <c r="F103">
        <v>1</v>
      </c>
      <c r="G103">
        <v>1080</v>
      </c>
      <c r="H103">
        <v>2</v>
      </c>
      <c r="I103" t="s">
        <v>409</v>
      </c>
      <c r="J103" t="s">
        <v>410</v>
      </c>
      <c r="K103" t="s">
        <v>411</v>
      </c>
      <c r="L103">
        <v>1368</v>
      </c>
      <c r="N103">
        <v>1011</v>
      </c>
      <c r="O103" t="s">
        <v>398</v>
      </c>
      <c r="P103" t="s">
        <v>398</v>
      </c>
      <c r="Q103">
        <v>1</v>
      </c>
      <c r="X103">
        <v>0.9</v>
      </c>
      <c r="Y103">
        <v>0</v>
      </c>
      <c r="Z103">
        <v>0.77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24</v>
      </c>
      <c r="AG103">
        <v>0.9900000000000001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>
        <f>ROW(Source!A229)</f>
        <v>229</v>
      </c>
      <c r="B104">
        <v>58754084</v>
      </c>
      <c r="C104">
        <v>56508425</v>
      </c>
      <c r="D104">
        <v>57666799</v>
      </c>
      <c r="E104">
        <v>1</v>
      </c>
      <c r="F104">
        <v>1</v>
      </c>
      <c r="G104">
        <v>1080</v>
      </c>
      <c r="H104">
        <v>3</v>
      </c>
      <c r="I104" t="s">
        <v>466</v>
      </c>
      <c r="J104" t="s">
        <v>467</v>
      </c>
      <c r="K104" t="s">
        <v>468</v>
      </c>
      <c r="L104">
        <v>1348</v>
      </c>
      <c r="N104">
        <v>1009</v>
      </c>
      <c r="O104" t="s">
        <v>165</v>
      </c>
      <c r="P104" t="s">
        <v>165</v>
      </c>
      <c r="Q104">
        <v>1000</v>
      </c>
      <c r="X104">
        <v>4.0000000000000003E-5</v>
      </c>
      <c r="Y104">
        <v>10643.18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4.0000000000000003E-5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>
        <f>ROW(Source!A229)</f>
        <v>229</v>
      </c>
      <c r="B105">
        <v>58754085</v>
      </c>
      <c r="C105">
        <v>56508425</v>
      </c>
      <c r="D105">
        <v>57664872</v>
      </c>
      <c r="E105">
        <v>1</v>
      </c>
      <c r="F105">
        <v>1</v>
      </c>
      <c r="G105">
        <v>1080</v>
      </c>
      <c r="H105">
        <v>3</v>
      </c>
      <c r="I105" t="s">
        <v>438</v>
      </c>
      <c r="J105" t="s">
        <v>439</v>
      </c>
      <c r="K105" t="s">
        <v>440</v>
      </c>
      <c r="L105">
        <v>1348</v>
      </c>
      <c r="N105">
        <v>1009</v>
      </c>
      <c r="O105" t="s">
        <v>165</v>
      </c>
      <c r="P105" t="s">
        <v>165</v>
      </c>
      <c r="Q105">
        <v>1000</v>
      </c>
      <c r="X105">
        <v>1.0000000000000001E-5</v>
      </c>
      <c r="Y105">
        <v>64123.05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1.0000000000000001E-5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>
        <f>ROW(Source!A229)</f>
        <v>229</v>
      </c>
      <c r="B106">
        <v>58754086</v>
      </c>
      <c r="C106">
        <v>56508425</v>
      </c>
      <c r="D106">
        <v>57683655</v>
      </c>
      <c r="E106">
        <v>1</v>
      </c>
      <c r="F106">
        <v>1</v>
      </c>
      <c r="G106">
        <v>1080</v>
      </c>
      <c r="H106">
        <v>3</v>
      </c>
      <c r="I106" t="s">
        <v>469</v>
      </c>
      <c r="J106" t="s">
        <v>470</v>
      </c>
      <c r="K106" t="s">
        <v>471</v>
      </c>
      <c r="L106">
        <v>1302</v>
      </c>
      <c r="N106">
        <v>1003</v>
      </c>
      <c r="O106" t="s">
        <v>472</v>
      </c>
      <c r="P106" t="s">
        <v>472</v>
      </c>
      <c r="Q106">
        <v>10</v>
      </c>
      <c r="X106">
        <v>0.2</v>
      </c>
      <c r="Y106">
        <v>51.03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0.2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>
        <f>ROW(Source!A229)</f>
        <v>229</v>
      </c>
      <c r="B107">
        <v>58754087</v>
      </c>
      <c r="C107">
        <v>56508425</v>
      </c>
      <c r="D107">
        <v>57643929</v>
      </c>
      <c r="E107">
        <v>1080</v>
      </c>
      <c r="F107">
        <v>1</v>
      </c>
      <c r="G107">
        <v>1080</v>
      </c>
      <c r="H107">
        <v>3</v>
      </c>
      <c r="I107" t="s">
        <v>473</v>
      </c>
      <c r="J107" t="s">
        <v>3</v>
      </c>
      <c r="K107" t="s">
        <v>474</v>
      </c>
      <c r="L107">
        <v>1354</v>
      </c>
      <c r="N107">
        <v>1010</v>
      </c>
      <c r="O107" t="s">
        <v>32</v>
      </c>
      <c r="P107" t="s">
        <v>32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1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>
        <f>ROW(Source!A230)</f>
        <v>230</v>
      </c>
      <c r="B108">
        <v>58754081</v>
      </c>
      <c r="C108">
        <v>56508425</v>
      </c>
      <c r="D108">
        <v>57621905</v>
      </c>
      <c r="E108">
        <v>1080</v>
      </c>
      <c r="F108">
        <v>1</v>
      </c>
      <c r="G108">
        <v>1080</v>
      </c>
      <c r="H108">
        <v>1</v>
      </c>
      <c r="I108" t="s">
        <v>392</v>
      </c>
      <c r="J108" t="s">
        <v>3</v>
      </c>
      <c r="K108" t="s">
        <v>393</v>
      </c>
      <c r="L108">
        <v>1191</v>
      </c>
      <c r="N108">
        <v>1013</v>
      </c>
      <c r="O108" t="s">
        <v>394</v>
      </c>
      <c r="P108" t="s">
        <v>394</v>
      </c>
      <c r="Q108">
        <v>1</v>
      </c>
      <c r="X108">
        <v>26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24</v>
      </c>
      <c r="AG108">
        <v>28.6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>
        <f>ROW(Source!A230)</f>
        <v>230</v>
      </c>
      <c r="B109">
        <v>58754082</v>
      </c>
      <c r="C109">
        <v>56508425</v>
      </c>
      <c r="D109">
        <v>57695385</v>
      </c>
      <c r="E109">
        <v>1</v>
      </c>
      <c r="F109">
        <v>1</v>
      </c>
      <c r="G109">
        <v>1080</v>
      </c>
      <c r="H109">
        <v>2</v>
      </c>
      <c r="I109" t="s">
        <v>406</v>
      </c>
      <c r="J109" t="s">
        <v>407</v>
      </c>
      <c r="K109" t="s">
        <v>408</v>
      </c>
      <c r="L109">
        <v>1368</v>
      </c>
      <c r="N109">
        <v>1011</v>
      </c>
      <c r="O109" t="s">
        <v>398</v>
      </c>
      <c r="P109" t="s">
        <v>398</v>
      </c>
      <c r="Q109">
        <v>1</v>
      </c>
      <c r="X109">
        <v>1</v>
      </c>
      <c r="Y109">
        <v>0</v>
      </c>
      <c r="Z109">
        <v>114.83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24</v>
      </c>
      <c r="AG109">
        <v>1.1000000000000001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>
        <f>ROW(Source!A230)</f>
        <v>230</v>
      </c>
      <c r="B110">
        <v>58754083</v>
      </c>
      <c r="C110">
        <v>56508425</v>
      </c>
      <c r="D110">
        <v>57695397</v>
      </c>
      <c r="E110">
        <v>1</v>
      </c>
      <c r="F110">
        <v>1</v>
      </c>
      <c r="G110">
        <v>1080</v>
      </c>
      <c r="H110">
        <v>2</v>
      </c>
      <c r="I110" t="s">
        <v>409</v>
      </c>
      <c r="J110" t="s">
        <v>410</v>
      </c>
      <c r="K110" t="s">
        <v>411</v>
      </c>
      <c r="L110">
        <v>1368</v>
      </c>
      <c r="N110">
        <v>1011</v>
      </c>
      <c r="O110" t="s">
        <v>398</v>
      </c>
      <c r="P110" t="s">
        <v>398</v>
      </c>
      <c r="Q110">
        <v>1</v>
      </c>
      <c r="X110">
        <v>0.9</v>
      </c>
      <c r="Y110">
        <v>0</v>
      </c>
      <c r="Z110">
        <v>0.77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0.9900000000000001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>
        <f>ROW(Source!A230)</f>
        <v>230</v>
      </c>
      <c r="B111">
        <v>58754084</v>
      </c>
      <c r="C111">
        <v>56508425</v>
      </c>
      <c r="D111">
        <v>57666799</v>
      </c>
      <c r="E111">
        <v>1</v>
      </c>
      <c r="F111">
        <v>1</v>
      </c>
      <c r="G111">
        <v>1080</v>
      </c>
      <c r="H111">
        <v>3</v>
      </c>
      <c r="I111" t="s">
        <v>466</v>
      </c>
      <c r="J111" t="s">
        <v>467</v>
      </c>
      <c r="K111" t="s">
        <v>468</v>
      </c>
      <c r="L111">
        <v>1348</v>
      </c>
      <c r="N111">
        <v>1009</v>
      </c>
      <c r="O111" t="s">
        <v>165</v>
      </c>
      <c r="P111" t="s">
        <v>165</v>
      </c>
      <c r="Q111">
        <v>1000</v>
      </c>
      <c r="X111">
        <v>4.0000000000000003E-5</v>
      </c>
      <c r="Y111">
        <v>10643.18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4.0000000000000003E-5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>
        <f>ROW(Source!A230)</f>
        <v>230</v>
      </c>
      <c r="B112">
        <v>58754085</v>
      </c>
      <c r="C112">
        <v>56508425</v>
      </c>
      <c r="D112">
        <v>57664872</v>
      </c>
      <c r="E112">
        <v>1</v>
      </c>
      <c r="F112">
        <v>1</v>
      </c>
      <c r="G112">
        <v>1080</v>
      </c>
      <c r="H112">
        <v>3</v>
      </c>
      <c r="I112" t="s">
        <v>438</v>
      </c>
      <c r="J112" t="s">
        <v>439</v>
      </c>
      <c r="K112" t="s">
        <v>440</v>
      </c>
      <c r="L112">
        <v>1348</v>
      </c>
      <c r="N112">
        <v>1009</v>
      </c>
      <c r="O112" t="s">
        <v>165</v>
      </c>
      <c r="P112" t="s">
        <v>165</v>
      </c>
      <c r="Q112">
        <v>1000</v>
      </c>
      <c r="X112">
        <v>1.0000000000000001E-5</v>
      </c>
      <c r="Y112">
        <v>64123.05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1.0000000000000001E-5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>
        <f>ROW(Source!A230)</f>
        <v>230</v>
      </c>
      <c r="B113">
        <v>58754086</v>
      </c>
      <c r="C113">
        <v>56508425</v>
      </c>
      <c r="D113">
        <v>57683655</v>
      </c>
      <c r="E113">
        <v>1</v>
      </c>
      <c r="F113">
        <v>1</v>
      </c>
      <c r="G113">
        <v>1080</v>
      </c>
      <c r="H113">
        <v>3</v>
      </c>
      <c r="I113" t="s">
        <v>469</v>
      </c>
      <c r="J113" t="s">
        <v>470</v>
      </c>
      <c r="K113" t="s">
        <v>471</v>
      </c>
      <c r="L113">
        <v>1302</v>
      </c>
      <c r="N113">
        <v>1003</v>
      </c>
      <c r="O113" t="s">
        <v>472</v>
      </c>
      <c r="P113" t="s">
        <v>472</v>
      </c>
      <c r="Q113">
        <v>10</v>
      </c>
      <c r="X113">
        <v>0.2</v>
      </c>
      <c r="Y113">
        <v>51.03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0.2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>
        <f>ROW(Source!A230)</f>
        <v>230</v>
      </c>
      <c r="B114">
        <v>58754087</v>
      </c>
      <c r="C114">
        <v>56508425</v>
      </c>
      <c r="D114">
        <v>57643929</v>
      </c>
      <c r="E114">
        <v>1080</v>
      </c>
      <c r="F114">
        <v>1</v>
      </c>
      <c r="G114">
        <v>1080</v>
      </c>
      <c r="H114">
        <v>3</v>
      </c>
      <c r="I114" t="s">
        <v>473</v>
      </c>
      <c r="J114" t="s">
        <v>3</v>
      </c>
      <c r="K114" t="s">
        <v>474</v>
      </c>
      <c r="L114">
        <v>1354</v>
      </c>
      <c r="N114">
        <v>1010</v>
      </c>
      <c r="O114" t="s">
        <v>32</v>
      </c>
      <c r="P114" t="s">
        <v>32</v>
      </c>
      <c r="Q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</v>
      </c>
      <c r="AG114">
        <v>1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>
        <f>ROW(Source!A233)</f>
        <v>233</v>
      </c>
      <c r="B115">
        <v>58754088</v>
      </c>
      <c r="C115">
        <v>56508464</v>
      </c>
      <c r="D115">
        <v>57621905</v>
      </c>
      <c r="E115">
        <v>1080</v>
      </c>
      <c r="F115">
        <v>1</v>
      </c>
      <c r="G115">
        <v>1080</v>
      </c>
      <c r="H115">
        <v>1</v>
      </c>
      <c r="I115" t="s">
        <v>392</v>
      </c>
      <c r="J115" t="s">
        <v>3</v>
      </c>
      <c r="K115" t="s">
        <v>393</v>
      </c>
      <c r="L115">
        <v>1191</v>
      </c>
      <c r="N115">
        <v>1013</v>
      </c>
      <c r="O115" t="s">
        <v>394</v>
      </c>
      <c r="P115" t="s">
        <v>394</v>
      </c>
      <c r="Q115">
        <v>1</v>
      </c>
      <c r="X115">
        <v>44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24</v>
      </c>
      <c r="AG115">
        <v>48.400000000000006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>
        <f>ROW(Source!A234)</f>
        <v>234</v>
      </c>
      <c r="B116">
        <v>58754088</v>
      </c>
      <c r="C116">
        <v>56508464</v>
      </c>
      <c r="D116">
        <v>57621905</v>
      </c>
      <c r="E116">
        <v>1080</v>
      </c>
      <c r="F116">
        <v>1</v>
      </c>
      <c r="G116">
        <v>1080</v>
      </c>
      <c r="H116">
        <v>1</v>
      </c>
      <c r="I116" t="s">
        <v>392</v>
      </c>
      <c r="J116" t="s">
        <v>3</v>
      </c>
      <c r="K116" t="s">
        <v>393</v>
      </c>
      <c r="L116">
        <v>1191</v>
      </c>
      <c r="N116">
        <v>1013</v>
      </c>
      <c r="O116" t="s">
        <v>394</v>
      </c>
      <c r="P116" t="s">
        <v>394</v>
      </c>
      <c r="Q116">
        <v>1</v>
      </c>
      <c r="X116">
        <v>44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24</v>
      </c>
      <c r="AG116">
        <v>48.400000000000006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>
        <f>ROW(Source!A237)</f>
        <v>237</v>
      </c>
      <c r="B117">
        <v>58754089</v>
      </c>
      <c r="C117">
        <v>56508470</v>
      </c>
      <c r="D117">
        <v>57621905</v>
      </c>
      <c r="E117">
        <v>1080</v>
      </c>
      <c r="F117">
        <v>1</v>
      </c>
      <c r="G117">
        <v>1080</v>
      </c>
      <c r="H117">
        <v>1</v>
      </c>
      <c r="I117" t="s">
        <v>392</v>
      </c>
      <c r="J117" t="s">
        <v>3</v>
      </c>
      <c r="K117" t="s">
        <v>393</v>
      </c>
      <c r="L117">
        <v>1191</v>
      </c>
      <c r="N117">
        <v>1013</v>
      </c>
      <c r="O117" t="s">
        <v>394</v>
      </c>
      <c r="P117" t="s">
        <v>394</v>
      </c>
      <c r="Q117">
        <v>1</v>
      </c>
      <c r="X117">
        <v>0.72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24</v>
      </c>
      <c r="AG117">
        <v>0.79200000000000004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">
      <c r="A118">
        <f>ROW(Source!A237)</f>
        <v>237</v>
      </c>
      <c r="B118">
        <v>58754090</v>
      </c>
      <c r="C118">
        <v>56508470</v>
      </c>
      <c r="D118">
        <v>57665407</v>
      </c>
      <c r="E118">
        <v>1</v>
      </c>
      <c r="F118">
        <v>1</v>
      </c>
      <c r="G118">
        <v>1080</v>
      </c>
      <c r="H118">
        <v>3</v>
      </c>
      <c r="I118" t="s">
        <v>475</v>
      </c>
      <c r="J118" t="s">
        <v>476</v>
      </c>
      <c r="K118" t="s">
        <v>477</v>
      </c>
      <c r="L118">
        <v>1301</v>
      </c>
      <c r="N118">
        <v>1003</v>
      </c>
      <c r="O118" t="s">
        <v>286</v>
      </c>
      <c r="P118" t="s">
        <v>286</v>
      </c>
      <c r="Q118">
        <v>1</v>
      </c>
      <c r="X118">
        <v>5</v>
      </c>
      <c r="Y118">
        <v>0.39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3</v>
      </c>
      <c r="AG118">
        <v>5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>
        <f>ROW(Source!A237)</f>
        <v>237</v>
      </c>
      <c r="B119">
        <v>58754091</v>
      </c>
      <c r="C119">
        <v>56508470</v>
      </c>
      <c r="D119">
        <v>57664390</v>
      </c>
      <c r="E119">
        <v>1</v>
      </c>
      <c r="F119">
        <v>1</v>
      </c>
      <c r="G119">
        <v>1080</v>
      </c>
      <c r="H119">
        <v>3</v>
      </c>
      <c r="I119" t="s">
        <v>478</v>
      </c>
      <c r="J119" t="s">
        <v>479</v>
      </c>
      <c r="K119" t="s">
        <v>480</v>
      </c>
      <c r="L119">
        <v>1339</v>
      </c>
      <c r="N119">
        <v>1007</v>
      </c>
      <c r="O119" t="s">
        <v>481</v>
      </c>
      <c r="P119" t="s">
        <v>481</v>
      </c>
      <c r="Q119">
        <v>1</v>
      </c>
      <c r="X119">
        <v>1E-3</v>
      </c>
      <c r="Y119">
        <v>1176.3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3</v>
      </c>
      <c r="AG119">
        <v>1E-3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>
        <f>ROW(Source!A237)</f>
        <v>237</v>
      </c>
      <c r="B120">
        <v>58754092</v>
      </c>
      <c r="C120">
        <v>56508470</v>
      </c>
      <c r="D120">
        <v>57664478</v>
      </c>
      <c r="E120">
        <v>1</v>
      </c>
      <c r="F120">
        <v>1</v>
      </c>
      <c r="G120">
        <v>1080</v>
      </c>
      <c r="H120">
        <v>3</v>
      </c>
      <c r="I120" t="s">
        <v>429</v>
      </c>
      <c r="J120" t="s">
        <v>430</v>
      </c>
      <c r="K120" t="s">
        <v>431</v>
      </c>
      <c r="L120">
        <v>1346</v>
      </c>
      <c r="N120">
        <v>1009</v>
      </c>
      <c r="O120" t="s">
        <v>372</v>
      </c>
      <c r="P120" t="s">
        <v>372</v>
      </c>
      <c r="Q120">
        <v>1</v>
      </c>
      <c r="X120">
        <v>0.01</v>
      </c>
      <c r="Y120">
        <v>16.690000000000001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0.01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>
        <f>ROW(Source!A237)</f>
        <v>237</v>
      </c>
      <c r="B121">
        <v>58754093</v>
      </c>
      <c r="C121">
        <v>56508470</v>
      </c>
      <c r="D121">
        <v>57671080</v>
      </c>
      <c r="E121">
        <v>1</v>
      </c>
      <c r="F121">
        <v>1</v>
      </c>
      <c r="G121">
        <v>1080</v>
      </c>
      <c r="H121">
        <v>3</v>
      </c>
      <c r="I121" t="s">
        <v>435</v>
      </c>
      <c r="J121" t="s">
        <v>436</v>
      </c>
      <c r="K121" t="s">
        <v>437</v>
      </c>
      <c r="L121">
        <v>1355</v>
      </c>
      <c r="N121">
        <v>1010</v>
      </c>
      <c r="O121" t="s">
        <v>223</v>
      </c>
      <c r="P121" t="s">
        <v>223</v>
      </c>
      <c r="Q121">
        <v>100</v>
      </c>
      <c r="X121">
        <v>0.02</v>
      </c>
      <c r="Y121">
        <v>120.19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0.02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>
        <f>ROW(Source!A237)</f>
        <v>237</v>
      </c>
      <c r="B122">
        <v>58754094</v>
      </c>
      <c r="C122">
        <v>56508470</v>
      </c>
      <c r="D122">
        <v>57664872</v>
      </c>
      <c r="E122">
        <v>1</v>
      </c>
      <c r="F122">
        <v>1</v>
      </c>
      <c r="G122">
        <v>1080</v>
      </c>
      <c r="H122">
        <v>3</v>
      </c>
      <c r="I122" t="s">
        <v>438</v>
      </c>
      <c r="J122" t="s">
        <v>439</v>
      </c>
      <c r="K122" t="s">
        <v>440</v>
      </c>
      <c r="L122">
        <v>1348</v>
      </c>
      <c r="N122">
        <v>1009</v>
      </c>
      <c r="O122" t="s">
        <v>165</v>
      </c>
      <c r="P122" t="s">
        <v>165</v>
      </c>
      <c r="Q122">
        <v>1000</v>
      </c>
      <c r="X122">
        <v>1.0000000000000001E-5</v>
      </c>
      <c r="Y122">
        <v>64123.05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1.0000000000000001E-5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>
        <f>ROW(Source!A237)</f>
        <v>237</v>
      </c>
      <c r="B123">
        <v>58754095</v>
      </c>
      <c r="C123">
        <v>56508470</v>
      </c>
      <c r="D123">
        <v>57688386</v>
      </c>
      <c r="E123">
        <v>1</v>
      </c>
      <c r="F123">
        <v>1</v>
      </c>
      <c r="G123">
        <v>1080</v>
      </c>
      <c r="H123">
        <v>3</v>
      </c>
      <c r="I123" t="s">
        <v>482</v>
      </c>
      <c r="J123" t="s">
        <v>483</v>
      </c>
      <c r="K123" t="s">
        <v>484</v>
      </c>
      <c r="L123">
        <v>1356</v>
      </c>
      <c r="N123">
        <v>1010</v>
      </c>
      <c r="O123" t="s">
        <v>485</v>
      </c>
      <c r="P123" t="s">
        <v>485</v>
      </c>
      <c r="Q123">
        <v>1000</v>
      </c>
      <c r="X123">
        <v>2E-3</v>
      </c>
      <c r="Y123">
        <v>294.89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2E-3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">
      <c r="A124">
        <f>ROW(Source!A237)</f>
        <v>237</v>
      </c>
      <c r="B124">
        <v>58754096</v>
      </c>
      <c r="C124">
        <v>56508470</v>
      </c>
      <c r="D124">
        <v>57687459</v>
      </c>
      <c r="E124">
        <v>1</v>
      </c>
      <c r="F124">
        <v>1</v>
      </c>
      <c r="G124">
        <v>1080</v>
      </c>
      <c r="H124">
        <v>3</v>
      </c>
      <c r="I124" t="s">
        <v>241</v>
      </c>
      <c r="J124" t="s">
        <v>243</v>
      </c>
      <c r="K124" t="s">
        <v>242</v>
      </c>
      <c r="L124">
        <v>1354</v>
      </c>
      <c r="N124">
        <v>1010</v>
      </c>
      <c r="O124" t="s">
        <v>32</v>
      </c>
      <c r="P124" t="s">
        <v>32</v>
      </c>
      <c r="Q124">
        <v>1</v>
      </c>
      <c r="X124">
        <v>1</v>
      </c>
      <c r="Y124">
        <v>15.67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1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>
        <f>ROW(Source!A237)</f>
        <v>237</v>
      </c>
      <c r="B125">
        <v>58754097</v>
      </c>
      <c r="C125">
        <v>56508470</v>
      </c>
      <c r="D125">
        <v>57660070</v>
      </c>
      <c r="E125">
        <v>1080</v>
      </c>
      <c r="F125">
        <v>1</v>
      </c>
      <c r="G125">
        <v>1080</v>
      </c>
      <c r="H125">
        <v>3</v>
      </c>
      <c r="I125" t="s">
        <v>486</v>
      </c>
      <c r="J125" t="s">
        <v>3</v>
      </c>
      <c r="K125" t="s">
        <v>487</v>
      </c>
      <c r="L125">
        <v>1354</v>
      </c>
      <c r="N125">
        <v>1010</v>
      </c>
      <c r="O125" t="s">
        <v>32</v>
      </c>
      <c r="P125" t="s">
        <v>32</v>
      </c>
      <c r="Q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</v>
      </c>
      <c r="AG125">
        <v>1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>
        <f>ROW(Source!A237)</f>
        <v>237</v>
      </c>
      <c r="B126">
        <v>58754098</v>
      </c>
      <c r="C126">
        <v>56508470</v>
      </c>
      <c r="D126">
        <v>57626907</v>
      </c>
      <c r="E126">
        <v>1080</v>
      </c>
      <c r="F126">
        <v>1</v>
      </c>
      <c r="G126">
        <v>1080</v>
      </c>
      <c r="H126">
        <v>3</v>
      </c>
      <c r="I126" t="s">
        <v>459</v>
      </c>
      <c r="J126" t="s">
        <v>3</v>
      </c>
      <c r="K126" t="s">
        <v>460</v>
      </c>
      <c r="L126">
        <v>1348</v>
      </c>
      <c r="N126">
        <v>1009</v>
      </c>
      <c r="O126" t="s">
        <v>165</v>
      </c>
      <c r="P126" t="s">
        <v>165</v>
      </c>
      <c r="Q126">
        <v>1000</v>
      </c>
      <c r="X126">
        <v>1E-3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1E-3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">
      <c r="A127">
        <f>ROW(Source!A238)</f>
        <v>238</v>
      </c>
      <c r="B127">
        <v>58754089</v>
      </c>
      <c r="C127">
        <v>56508470</v>
      </c>
      <c r="D127">
        <v>57621905</v>
      </c>
      <c r="E127">
        <v>1080</v>
      </c>
      <c r="F127">
        <v>1</v>
      </c>
      <c r="G127">
        <v>1080</v>
      </c>
      <c r="H127">
        <v>1</v>
      </c>
      <c r="I127" t="s">
        <v>392</v>
      </c>
      <c r="J127" t="s">
        <v>3</v>
      </c>
      <c r="K127" t="s">
        <v>393</v>
      </c>
      <c r="L127">
        <v>1191</v>
      </c>
      <c r="N127">
        <v>1013</v>
      </c>
      <c r="O127" t="s">
        <v>394</v>
      </c>
      <c r="P127" t="s">
        <v>394</v>
      </c>
      <c r="Q127">
        <v>1</v>
      </c>
      <c r="X127">
        <v>0.72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24</v>
      </c>
      <c r="AG127">
        <v>0.79200000000000004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>
        <f>ROW(Source!A238)</f>
        <v>238</v>
      </c>
      <c r="B128">
        <v>58754090</v>
      </c>
      <c r="C128">
        <v>56508470</v>
      </c>
      <c r="D128">
        <v>57665407</v>
      </c>
      <c r="E128">
        <v>1</v>
      </c>
      <c r="F128">
        <v>1</v>
      </c>
      <c r="G128">
        <v>1080</v>
      </c>
      <c r="H128">
        <v>3</v>
      </c>
      <c r="I128" t="s">
        <v>475</v>
      </c>
      <c r="J128" t="s">
        <v>476</v>
      </c>
      <c r="K128" t="s">
        <v>477</v>
      </c>
      <c r="L128">
        <v>1301</v>
      </c>
      <c r="N128">
        <v>1003</v>
      </c>
      <c r="O128" t="s">
        <v>286</v>
      </c>
      <c r="P128" t="s">
        <v>286</v>
      </c>
      <c r="Q128">
        <v>1</v>
      </c>
      <c r="X128">
        <v>5</v>
      </c>
      <c r="Y128">
        <v>0.39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5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">
      <c r="A129">
        <f>ROW(Source!A238)</f>
        <v>238</v>
      </c>
      <c r="B129">
        <v>58754091</v>
      </c>
      <c r="C129">
        <v>56508470</v>
      </c>
      <c r="D129">
        <v>57664390</v>
      </c>
      <c r="E129">
        <v>1</v>
      </c>
      <c r="F129">
        <v>1</v>
      </c>
      <c r="G129">
        <v>1080</v>
      </c>
      <c r="H129">
        <v>3</v>
      </c>
      <c r="I129" t="s">
        <v>478</v>
      </c>
      <c r="J129" t="s">
        <v>479</v>
      </c>
      <c r="K129" t="s">
        <v>480</v>
      </c>
      <c r="L129">
        <v>1339</v>
      </c>
      <c r="N129">
        <v>1007</v>
      </c>
      <c r="O129" t="s">
        <v>481</v>
      </c>
      <c r="P129" t="s">
        <v>481</v>
      </c>
      <c r="Q129">
        <v>1</v>
      </c>
      <c r="X129">
        <v>1E-3</v>
      </c>
      <c r="Y129">
        <v>1176.3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1E-3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>
        <f>ROW(Source!A238)</f>
        <v>238</v>
      </c>
      <c r="B130">
        <v>58754092</v>
      </c>
      <c r="C130">
        <v>56508470</v>
      </c>
      <c r="D130">
        <v>57664478</v>
      </c>
      <c r="E130">
        <v>1</v>
      </c>
      <c r="F130">
        <v>1</v>
      </c>
      <c r="G130">
        <v>1080</v>
      </c>
      <c r="H130">
        <v>3</v>
      </c>
      <c r="I130" t="s">
        <v>429</v>
      </c>
      <c r="J130" t="s">
        <v>430</v>
      </c>
      <c r="K130" t="s">
        <v>431</v>
      </c>
      <c r="L130">
        <v>1346</v>
      </c>
      <c r="N130">
        <v>1009</v>
      </c>
      <c r="O130" t="s">
        <v>372</v>
      </c>
      <c r="P130" t="s">
        <v>372</v>
      </c>
      <c r="Q130">
        <v>1</v>
      </c>
      <c r="X130">
        <v>0.01</v>
      </c>
      <c r="Y130">
        <v>16.690000000000001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</v>
      </c>
      <c r="AG130">
        <v>0.01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>
        <f>ROW(Source!A238)</f>
        <v>238</v>
      </c>
      <c r="B131">
        <v>58754093</v>
      </c>
      <c r="C131">
        <v>56508470</v>
      </c>
      <c r="D131">
        <v>57671080</v>
      </c>
      <c r="E131">
        <v>1</v>
      </c>
      <c r="F131">
        <v>1</v>
      </c>
      <c r="G131">
        <v>1080</v>
      </c>
      <c r="H131">
        <v>3</v>
      </c>
      <c r="I131" t="s">
        <v>435</v>
      </c>
      <c r="J131" t="s">
        <v>436</v>
      </c>
      <c r="K131" t="s">
        <v>437</v>
      </c>
      <c r="L131">
        <v>1355</v>
      </c>
      <c r="N131">
        <v>1010</v>
      </c>
      <c r="O131" t="s">
        <v>223</v>
      </c>
      <c r="P131" t="s">
        <v>223</v>
      </c>
      <c r="Q131">
        <v>100</v>
      </c>
      <c r="X131">
        <v>0.02</v>
      </c>
      <c r="Y131">
        <v>120.19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0.02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>
        <f>ROW(Source!A238)</f>
        <v>238</v>
      </c>
      <c r="B132">
        <v>58754094</v>
      </c>
      <c r="C132">
        <v>56508470</v>
      </c>
      <c r="D132">
        <v>57664872</v>
      </c>
      <c r="E132">
        <v>1</v>
      </c>
      <c r="F132">
        <v>1</v>
      </c>
      <c r="G132">
        <v>1080</v>
      </c>
      <c r="H132">
        <v>3</v>
      </c>
      <c r="I132" t="s">
        <v>438</v>
      </c>
      <c r="J132" t="s">
        <v>439</v>
      </c>
      <c r="K132" t="s">
        <v>440</v>
      </c>
      <c r="L132">
        <v>1348</v>
      </c>
      <c r="N132">
        <v>1009</v>
      </c>
      <c r="O132" t="s">
        <v>165</v>
      </c>
      <c r="P132" t="s">
        <v>165</v>
      </c>
      <c r="Q132">
        <v>1000</v>
      </c>
      <c r="X132">
        <v>1.0000000000000001E-5</v>
      </c>
      <c r="Y132">
        <v>64123.05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1.0000000000000001E-5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>
        <f>ROW(Source!A238)</f>
        <v>238</v>
      </c>
      <c r="B133">
        <v>58754095</v>
      </c>
      <c r="C133">
        <v>56508470</v>
      </c>
      <c r="D133">
        <v>57688386</v>
      </c>
      <c r="E133">
        <v>1</v>
      </c>
      <c r="F133">
        <v>1</v>
      </c>
      <c r="G133">
        <v>1080</v>
      </c>
      <c r="H133">
        <v>3</v>
      </c>
      <c r="I133" t="s">
        <v>482</v>
      </c>
      <c r="J133" t="s">
        <v>483</v>
      </c>
      <c r="K133" t="s">
        <v>484</v>
      </c>
      <c r="L133">
        <v>1356</v>
      </c>
      <c r="N133">
        <v>1010</v>
      </c>
      <c r="O133" t="s">
        <v>485</v>
      </c>
      <c r="P133" t="s">
        <v>485</v>
      </c>
      <c r="Q133">
        <v>1000</v>
      </c>
      <c r="X133">
        <v>2E-3</v>
      </c>
      <c r="Y133">
        <v>294.89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2E-3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">
      <c r="A134">
        <f>ROW(Source!A238)</f>
        <v>238</v>
      </c>
      <c r="B134">
        <v>58754096</v>
      </c>
      <c r="C134">
        <v>56508470</v>
      </c>
      <c r="D134">
        <v>57687459</v>
      </c>
      <c r="E134">
        <v>1</v>
      </c>
      <c r="F134">
        <v>1</v>
      </c>
      <c r="G134">
        <v>1080</v>
      </c>
      <c r="H134">
        <v>3</v>
      </c>
      <c r="I134" t="s">
        <v>241</v>
      </c>
      <c r="J134" t="s">
        <v>243</v>
      </c>
      <c r="K134" t="s">
        <v>242</v>
      </c>
      <c r="L134">
        <v>1354</v>
      </c>
      <c r="N134">
        <v>1010</v>
      </c>
      <c r="O134" t="s">
        <v>32</v>
      </c>
      <c r="P134" t="s">
        <v>32</v>
      </c>
      <c r="Q134">
        <v>1</v>
      </c>
      <c r="X134">
        <v>1</v>
      </c>
      <c r="Y134">
        <v>15.67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1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">
      <c r="A135">
        <f>ROW(Source!A238)</f>
        <v>238</v>
      </c>
      <c r="B135">
        <v>58754097</v>
      </c>
      <c r="C135">
        <v>56508470</v>
      </c>
      <c r="D135">
        <v>57660070</v>
      </c>
      <c r="E135">
        <v>1080</v>
      </c>
      <c r="F135">
        <v>1</v>
      </c>
      <c r="G135">
        <v>1080</v>
      </c>
      <c r="H135">
        <v>3</v>
      </c>
      <c r="I135" t="s">
        <v>486</v>
      </c>
      <c r="J135" t="s">
        <v>3</v>
      </c>
      <c r="K135" t="s">
        <v>487</v>
      </c>
      <c r="L135">
        <v>1354</v>
      </c>
      <c r="N135">
        <v>1010</v>
      </c>
      <c r="O135" t="s">
        <v>32</v>
      </c>
      <c r="P135" t="s">
        <v>32</v>
      </c>
      <c r="Q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3</v>
      </c>
      <c r="AG135">
        <v>1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">
      <c r="A136">
        <f>ROW(Source!A238)</f>
        <v>238</v>
      </c>
      <c r="B136">
        <v>58754098</v>
      </c>
      <c r="C136">
        <v>56508470</v>
      </c>
      <c r="D136">
        <v>57626907</v>
      </c>
      <c r="E136">
        <v>1080</v>
      </c>
      <c r="F136">
        <v>1</v>
      </c>
      <c r="G136">
        <v>1080</v>
      </c>
      <c r="H136">
        <v>3</v>
      </c>
      <c r="I136" t="s">
        <v>459</v>
      </c>
      <c r="J136" t="s">
        <v>3</v>
      </c>
      <c r="K136" t="s">
        <v>460</v>
      </c>
      <c r="L136">
        <v>1348</v>
      </c>
      <c r="N136">
        <v>1009</v>
      </c>
      <c r="O136" t="s">
        <v>165</v>
      </c>
      <c r="P136" t="s">
        <v>165</v>
      </c>
      <c r="Q136">
        <v>1000</v>
      </c>
      <c r="X136">
        <v>1E-3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1E-3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>
        <f>ROW(Source!A276)</f>
        <v>276</v>
      </c>
      <c r="B137">
        <v>58754099</v>
      </c>
      <c r="C137">
        <v>58312340</v>
      </c>
      <c r="D137">
        <v>57621905</v>
      </c>
      <c r="E137">
        <v>1080</v>
      </c>
      <c r="F137">
        <v>1</v>
      </c>
      <c r="G137">
        <v>1080</v>
      </c>
      <c r="H137">
        <v>1</v>
      </c>
      <c r="I137" t="s">
        <v>392</v>
      </c>
      <c r="J137" t="s">
        <v>3</v>
      </c>
      <c r="K137" t="s">
        <v>393</v>
      </c>
      <c r="L137">
        <v>1191</v>
      </c>
      <c r="N137">
        <v>1013</v>
      </c>
      <c r="O137" t="s">
        <v>394</v>
      </c>
      <c r="P137" t="s">
        <v>394</v>
      </c>
      <c r="Q137">
        <v>1</v>
      </c>
      <c r="X137">
        <v>16.600000000000001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24</v>
      </c>
      <c r="AG137">
        <v>18.260000000000002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>
        <f>ROW(Source!A276)</f>
        <v>276</v>
      </c>
      <c r="B138">
        <v>58754100</v>
      </c>
      <c r="C138">
        <v>58312340</v>
      </c>
      <c r="D138">
        <v>57696131</v>
      </c>
      <c r="E138">
        <v>1</v>
      </c>
      <c r="F138">
        <v>1</v>
      </c>
      <c r="G138">
        <v>1080</v>
      </c>
      <c r="H138">
        <v>2</v>
      </c>
      <c r="I138" t="s">
        <v>488</v>
      </c>
      <c r="J138" t="s">
        <v>489</v>
      </c>
      <c r="K138" t="s">
        <v>490</v>
      </c>
      <c r="L138">
        <v>1368</v>
      </c>
      <c r="N138">
        <v>1011</v>
      </c>
      <c r="O138" t="s">
        <v>398</v>
      </c>
      <c r="P138" t="s">
        <v>398</v>
      </c>
      <c r="Q138">
        <v>1</v>
      </c>
      <c r="X138">
        <v>1.1499999999999999</v>
      </c>
      <c r="Y138">
        <v>0</v>
      </c>
      <c r="Z138">
        <v>0.77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24</v>
      </c>
      <c r="AG138">
        <v>1.2649999999999999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>
        <f>ROW(Source!A276)</f>
        <v>276</v>
      </c>
      <c r="B139">
        <v>58754101</v>
      </c>
      <c r="C139">
        <v>58312340</v>
      </c>
      <c r="D139">
        <v>57696164</v>
      </c>
      <c r="E139">
        <v>1</v>
      </c>
      <c r="F139">
        <v>1</v>
      </c>
      <c r="G139">
        <v>1080</v>
      </c>
      <c r="H139">
        <v>2</v>
      </c>
      <c r="I139" t="s">
        <v>491</v>
      </c>
      <c r="J139" t="s">
        <v>492</v>
      </c>
      <c r="K139" t="s">
        <v>493</v>
      </c>
      <c r="L139">
        <v>1368</v>
      </c>
      <c r="N139">
        <v>1011</v>
      </c>
      <c r="O139" t="s">
        <v>398</v>
      </c>
      <c r="P139" t="s">
        <v>398</v>
      </c>
      <c r="Q139">
        <v>1</v>
      </c>
      <c r="X139">
        <v>1.8</v>
      </c>
      <c r="Y139">
        <v>0</v>
      </c>
      <c r="Z139">
        <v>0.47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24</v>
      </c>
      <c r="AG139">
        <v>1.9800000000000002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">
      <c r="A140">
        <f>ROW(Source!A276)</f>
        <v>276</v>
      </c>
      <c r="B140">
        <v>58754102</v>
      </c>
      <c r="C140">
        <v>58312340</v>
      </c>
      <c r="D140">
        <v>57666039</v>
      </c>
      <c r="E140">
        <v>1</v>
      </c>
      <c r="F140">
        <v>1</v>
      </c>
      <c r="G140">
        <v>1080</v>
      </c>
      <c r="H140">
        <v>3</v>
      </c>
      <c r="I140" t="s">
        <v>494</v>
      </c>
      <c r="J140" t="s">
        <v>495</v>
      </c>
      <c r="K140" t="s">
        <v>496</v>
      </c>
      <c r="L140">
        <v>1348</v>
      </c>
      <c r="N140">
        <v>1009</v>
      </c>
      <c r="O140" t="s">
        <v>165</v>
      </c>
      <c r="P140" t="s">
        <v>165</v>
      </c>
      <c r="Q140">
        <v>1000</v>
      </c>
      <c r="X140">
        <v>1E-3</v>
      </c>
      <c r="Y140">
        <v>58463.58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1E-3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">
      <c r="A141">
        <f>ROW(Source!A276)</f>
        <v>276</v>
      </c>
      <c r="B141">
        <v>58754103</v>
      </c>
      <c r="C141">
        <v>58312340</v>
      </c>
      <c r="D141">
        <v>57666871</v>
      </c>
      <c r="E141">
        <v>1</v>
      </c>
      <c r="F141">
        <v>1</v>
      </c>
      <c r="G141">
        <v>1080</v>
      </c>
      <c r="H141">
        <v>3</v>
      </c>
      <c r="I141" t="s">
        <v>497</v>
      </c>
      <c r="J141" t="s">
        <v>498</v>
      </c>
      <c r="K141" t="s">
        <v>499</v>
      </c>
      <c r="L141">
        <v>1355</v>
      </c>
      <c r="N141">
        <v>1010</v>
      </c>
      <c r="O141" t="s">
        <v>223</v>
      </c>
      <c r="P141" t="s">
        <v>223</v>
      </c>
      <c r="Q141">
        <v>100</v>
      </c>
      <c r="X141">
        <v>2.1419999999999999</v>
      </c>
      <c r="Y141">
        <v>10.6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2.1419999999999999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">
      <c r="A142">
        <f>ROW(Source!A276)</f>
        <v>276</v>
      </c>
      <c r="B142">
        <v>58754104</v>
      </c>
      <c r="C142">
        <v>58312340</v>
      </c>
      <c r="D142">
        <v>57688144</v>
      </c>
      <c r="E142">
        <v>1</v>
      </c>
      <c r="F142">
        <v>1</v>
      </c>
      <c r="G142">
        <v>1080</v>
      </c>
      <c r="H142">
        <v>3</v>
      </c>
      <c r="I142" t="s">
        <v>500</v>
      </c>
      <c r="J142" t="s">
        <v>501</v>
      </c>
      <c r="K142" t="s">
        <v>502</v>
      </c>
      <c r="L142">
        <v>1356</v>
      </c>
      <c r="N142">
        <v>1010</v>
      </c>
      <c r="O142" t="s">
        <v>485</v>
      </c>
      <c r="P142" t="s">
        <v>485</v>
      </c>
      <c r="Q142">
        <v>1000</v>
      </c>
      <c r="X142">
        <v>1.7000000000000001E-2</v>
      </c>
      <c r="Y142">
        <v>226.66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1.7000000000000001E-2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>
        <f>ROW(Source!A276)</f>
        <v>276</v>
      </c>
      <c r="B143">
        <v>58754105</v>
      </c>
      <c r="C143">
        <v>58312340</v>
      </c>
      <c r="D143">
        <v>57687918</v>
      </c>
      <c r="E143">
        <v>1</v>
      </c>
      <c r="F143">
        <v>1</v>
      </c>
      <c r="G143">
        <v>1080</v>
      </c>
      <c r="H143">
        <v>3</v>
      </c>
      <c r="I143" t="s">
        <v>503</v>
      </c>
      <c r="J143" t="s">
        <v>504</v>
      </c>
      <c r="K143" t="s">
        <v>505</v>
      </c>
      <c r="L143">
        <v>1355</v>
      </c>
      <c r="N143">
        <v>1010</v>
      </c>
      <c r="O143" t="s">
        <v>223</v>
      </c>
      <c r="P143" t="s">
        <v>223</v>
      </c>
      <c r="Q143">
        <v>100</v>
      </c>
      <c r="X143">
        <v>0.17</v>
      </c>
      <c r="Y143">
        <v>26.71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0.17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>
        <f>ROW(Source!A276)</f>
        <v>276</v>
      </c>
      <c r="B144">
        <v>58754106</v>
      </c>
      <c r="C144">
        <v>58312340</v>
      </c>
      <c r="D144">
        <v>57674782</v>
      </c>
      <c r="E144">
        <v>1</v>
      </c>
      <c r="F144">
        <v>1</v>
      </c>
      <c r="G144">
        <v>1080</v>
      </c>
      <c r="H144">
        <v>3</v>
      </c>
      <c r="I144" t="s">
        <v>506</v>
      </c>
      <c r="J144" t="s">
        <v>507</v>
      </c>
      <c r="K144" t="s">
        <v>508</v>
      </c>
      <c r="L144">
        <v>1354</v>
      </c>
      <c r="N144">
        <v>1010</v>
      </c>
      <c r="O144" t="s">
        <v>32</v>
      </c>
      <c r="P144" t="s">
        <v>32</v>
      </c>
      <c r="Q144">
        <v>1</v>
      </c>
      <c r="X144">
        <v>0.161</v>
      </c>
      <c r="Y144">
        <v>14.56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0.161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>
        <f>ROW(Source!A276)</f>
        <v>276</v>
      </c>
      <c r="B145">
        <v>58754107</v>
      </c>
      <c r="C145">
        <v>58312340</v>
      </c>
      <c r="D145">
        <v>57631310</v>
      </c>
      <c r="E145">
        <v>1080</v>
      </c>
      <c r="F145">
        <v>1</v>
      </c>
      <c r="G145">
        <v>1080</v>
      </c>
      <c r="H145">
        <v>3</v>
      </c>
      <c r="I145" t="s">
        <v>509</v>
      </c>
      <c r="J145" t="s">
        <v>3</v>
      </c>
      <c r="K145" t="s">
        <v>510</v>
      </c>
      <c r="L145">
        <v>1301</v>
      </c>
      <c r="N145">
        <v>1003</v>
      </c>
      <c r="O145" t="s">
        <v>286</v>
      </c>
      <c r="P145" t="s">
        <v>286</v>
      </c>
      <c r="Q145">
        <v>1</v>
      </c>
      <c r="X145">
        <v>102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</v>
      </c>
      <c r="AG145">
        <v>102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">
      <c r="A146">
        <f>ROW(Source!A276)</f>
        <v>276</v>
      </c>
      <c r="B146">
        <v>58754108</v>
      </c>
      <c r="C146">
        <v>58312340</v>
      </c>
      <c r="D146">
        <v>57635045</v>
      </c>
      <c r="E146">
        <v>1080</v>
      </c>
      <c r="F146">
        <v>1</v>
      </c>
      <c r="G146">
        <v>1080</v>
      </c>
      <c r="H146">
        <v>3</v>
      </c>
      <c r="I146" t="s">
        <v>511</v>
      </c>
      <c r="J146" t="s">
        <v>3</v>
      </c>
      <c r="K146" t="s">
        <v>512</v>
      </c>
      <c r="L146">
        <v>1355</v>
      </c>
      <c r="N146">
        <v>1010</v>
      </c>
      <c r="O146" t="s">
        <v>223</v>
      </c>
      <c r="P146" t="s">
        <v>223</v>
      </c>
      <c r="Q146">
        <v>100</v>
      </c>
      <c r="X146">
        <v>2.1640000000000001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</v>
      </c>
      <c r="AG146">
        <v>2.1640000000000001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">
      <c r="A147">
        <f>ROW(Source!A276)</f>
        <v>276</v>
      </c>
      <c r="B147">
        <v>58754109</v>
      </c>
      <c r="C147">
        <v>58312340</v>
      </c>
      <c r="D147">
        <v>57641916</v>
      </c>
      <c r="E147">
        <v>1080</v>
      </c>
      <c r="F147">
        <v>1</v>
      </c>
      <c r="G147">
        <v>1080</v>
      </c>
      <c r="H147">
        <v>3</v>
      </c>
      <c r="I147" t="s">
        <v>513</v>
      </c>
      <c r="J147" t="s">
        <v>3</v>
      </c>
      <c r="K147" t="s">
        <v>514</v>
      </c>
      <c r="L147">
        <v>1303</v>
      </c>
      <c r="N147">
        <v>1003</v>
      </c>
      <c r="O147" t="s">
        <v>295</v>
      </c>
      <c r="P147" t="s">
        <v>295</v>
      </c>
      <c r="Q147">
        <v>1000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</v>
      </c>
      <c r="AG147">
        <v>0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">
      <c r="A148">
        <f>ROW(Source!A277)</f>
        <v>277</v>
      </c>
      <c r="B148">
        <v>58754099</v>
      </c>
      <c r="C148">
        <v>58312340</v>
      </c>
      <c r="D148">
        <v>57621905</v>
      </c>
      <c r="E148">
        <v>1080</v>
      </c>
      <c r="F148">
        <v>1</v>
      </c>
      <c r="G148">
        <v>1080</v>
      </c>
      <c r="H148">
        <v>1</v>
      </c>
      <c r="I148" t="s">
        <v>392</v>
      </c>
      <c r="J148" t="s">
        <v>3</v>
      </c>
      <c r="K148" t="s">
        <v>393</v>
      </c>
      <c r="L148">
        <v>1191</v>
      </c>
      <c r="N148">
        <v>1013</v>
      </c>
      <c r="O148" t="s">
        <v>394</v>
      </c>
      <c r="P148" t="s">
        <v>394</v>
      </c>
      <c r="Q148">
        <v>1</v>
      </c>
      <c r="X148">
        <v>16.600000000000001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 t="s">
        <v>24</v>
      </c>
      <c r="AG148">
        <v>18.260000000000002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>
        <f>ROW(Source!A277)</f>
        <v>277</v>
      </c>
      <c r="B149">
        <v>58754100</v>
      </c>
      <c r="C149">
        <v>58312340</v>
      </c>
      <c r="D149">
        <v>57696131</v>
      </c>
      <c r="E149">
        <v>1</v>
      </c>
      <c r="F149">
        <v>1</v>
      </c>
      <c r="G149">
        <v>1080</v>
      </c>
      <c r="H149">
        <v>2</v>
      </c>
      <c r="I149" t="s">
        <v>488</v>
      </c>
      <c r="J149" t="s">
        <v>489</v>
      </c>
      <c r="K149" t="s">
        <v>490</v>
      </c>
      <c r="L149">
        <v>1368</v>
      </c>
      <c r="N149">
        <v>1011</v>
      </c>
      <c r="O149" t="s">
        <v>398</v>
      </c>
      <c r="P149" t="s">
        <v>398</v>
      </c>
      <c r="Q149">
        <v>1</v>
      </c>
      <c r="X149">
        <v>1.1499999999999999</v>
      </c>
      <c r="Y149">
        <v>0</v>
      </c>
      <c r="Z149">
        <v>0.77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24</v>
      </c>
      <c r="AG149">
        <v>1.2649999999999999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>
        <f>ROW(Source!A277)</f>
        <v>277</v>
      </c>
      <c r="B150">
        <v>58754101</v>
      </c>
      <c r="C150">
        <v>58312340</v>
      </c>
      <c r="D150">
        <v>57696164</v>
      </c>
      <c r="E150">
        <v>1</v>
      </c>
      <c r="F150">
        <v>1</v>
      </c>
      <c r="G150">
        <v>1080</v>
      </c>
      <c r="H150">
        <v>2</v>
      </c>
      <c r="I150" t="s">
        <v>491</v>
      </c>
      <c r="J150" t="s">
        <v>492</v>
      </c>
      <c r="K150" t="s">
        <v>493</v>
      </c>
      <c r="L150">
        <v>1368</v>
      </c>
      <c r="N150">
        <v>1011</v>
      </c>
      <c r="O150" t="s">
        <v>398</v>
      </c>
      <c r="P150" t="s">
        <v>398</v>
      </c>
      <c r="Q150">
        <v>1</v>
      </c>
      <c r="X150">
        <v>1.8</v>
      </c>
      <c r="Y150">
        <v>0</v>
      </c>
      <c r="Z150">
        <v>0.47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24</v>
      </c>
      <c r="AG150">
        <v>1.9800000000000002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">
      <c r="A151">
        <f>ROW(Source!A277)</f>
        <v>277</v>
      </c>
      <c r="B151">
        <v>58754102</v>
      </c>
      <c r="C151">
        <v>58312340</v>
      </c>
      <c r="D151">
        <v>57666039</v>
      </c>
      <c r="E151">
        <v>1</v>
      </c>
      <c r="F151">
        <v>1</v>
      </c>
      <c r="G151">
        <v>1080</v>
      </c>
      <c r="H151">
        <v>3</v>
      </c>
      <c r="I151" t="s">
        <v>494</v>
      </c>
      <c r="J151" t="s">
        <v>495</v>
      </c>
      <c r="K151" t="s">
        <v>496</v>
      </c>
      <c r="L151">
        <v>1348</v>
      </c>
      <c r="N151">
        <v>1009</v>
      </c>
      <c r="O151" t="s">
        <v>165</v>
      </c>
      <c r="P151" t="s">
        <v>165</v>
      </c>
      <c r="Q151">
        <v>1000</v>
      </c>
      <c r="X151">
        <v>1E-3</v>
      </c>
      <c r="Y151">
        <v>58463.58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1E-3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>
        <f>ROW(Source!A277)</f>
        <v>277</v>
      </c>
      <c r="B152">
        <v>58754103</v>
      </c>
      <c r="C152">
        <v>58312340</v>
      </c>
      <c r="D152">
        <v>57666871</v>
      </c>
      <c r="E152">
        <v>1</v>
      </c>
      <c r="F152">
        <v>1</v>
      </c>
      <c r="G152">
        <v>1080</v>
      </c>
      <c r="H152">
        <v>3</v>
      </c>
      <c r="I152" t="s">
        <v>497</v>
      </c>
      <c r="J152" t="s">
        <v>498</v>
      </c>
      <c r="K152" t="s">
        <v>499</v>
      </c>
      <c r="L152">
        <v>1355</v>
      </c>
      <c r="N152">
        <v>1010</v>
      </c>
      <c r="O152" t="s">
        <v>223</v>
      </c>
      <c r="P152" t="s">
        <v>223</v>
      </c>
      <c r="Q152">
        <v>100</v>
      </c>
      <c r="X152">
        <v>2.1419999999999999</v>
      </c>
      <c r="Y152">
        <v>10.6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2.1419999999999999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>
        <f>ROW(Source!A277)</f>
        <v>277</v>
      </c>
      <c r="B153">
        <v>58754104</v>
      </c>
      <c r="C153">
        <v>58312340</v>
      </c>
      <c r="D153">
        <v>57688144</v>
      </c>
      <c r="E153">
        <v>1</v>
      </c>
      <c r="F153">
        <v>1</v>
      </c>
      <c r="G153">
        <v>1080</v>
      </c>
      <c r="H153">
        <v>3</v>
      </c>
      <c r="I153" t="s">
        <v>500</v>
      </c>
      <c r="J153" t="s">
        <v>501</v>
      </c>
      <c r="K153" t="s">
        <v>502</v>
      </c>
      <c r="L153">
        <v>1356</v>
      </c>
      <c r="N153">
        <v>1010</v>
      </c>
      <c r="O153" t="s">
        <v>485</v>
      </c>
      <c r="P153" t="s">
        <v>485</v>
      </c>
      <c r="Q153">
        <v>1000</v>
      </c>
      <c r="X153">
        <v>1.7000000000000001E-2</v>
      </c>
      <c r="Y153">
        <v>226.66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1.7000000000000001E-2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">
      <c r="A154">
        <f>ROW(Source!A277)</f>
        <v>277</v>
      </c>
      <c r="B154">
        <v>58754105</v>
      </c>
      <c r="C154">
        <v>58312340</v>
      </c>
      <c r="D154">
        <v>57687918</v>
      </c>
      <c r="E154">
        <v>1</v>
      </c>
      <c r="F154">
        <v>1</v>
      </c>
      <c r="G154">
        <v>1080</v>
      </c>
      <c r="H154">
        <v>3</v>
      </c>
      <c r="I154" t="s">
        <v>503</v>
      </c>
      <c r="J154" t="s">
        <v>504</v>
      </c>
      <c r="K154" t="s">
        <v>505</v>
      </c>
      <c r="L154">
        <v>1355</v>
      </c>
      <c r="N154">
        <v>1010</v>
      </c>
      <c r="O154" t="s">
        <v>223</v>
      </c>
      <c r="P154" t="s">
        <v>223</v>
      </c>
      <c r="Q154">
        <v>100</v>
      </c>
      <c r="X154">
        <v>0.17</v>
      </c>
      <c r="Y154">
        <v>26.71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0.17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>
        <f>ROW(Source!A277)</f>
        <v>277</v>
      </c>
      <c r="B155">
        <v>58754106</v>
      </c>
      <c r="C155">
        <v>58312340</v>
      </c>
      <c r="D155">
        <v>57674782</v>
      </c>
      <c r="E155">
        <v>1</v>
      </c>
      <c r="F155">
        <v>1</v>
      </c>
      <c r="G155">
        <v>1080</v>
      </c>
      <c r="H155">
        <v>3</v>
      </c>
      <c r="I155" t="s">
        <v>506</v>
      </c>
      <c r="J155" t="s">
        <v>507</v>
      </c>
      <c r="K155" t="s">
        <v>508</v>
      </c>
      <c r="L155">
        <v>1354</v>
      </c>
      <c r="N155">
        <v>1010</v>
      </c>
      <c r="O155" t="s">
        <v>32</v>
      </c>
      <c r="P155" t="s">
        <v>32</v>
      </c>
      <c r="Q155">
        <v>1</v>
      </c>
      <c r="X155">
        <v>0.161</v>
      </c>
      <c r="Y155">
        <v>14.56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0.161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">
      <c r="A156">
        <f>ROW(Source!A277)</f>
        <v>277</v>
      </c>
      <c r="B156">
        <v>58754107</v>
      </c>
      <c r="C156">
        <v>58312340</v>
      </c>
      <c r="D156">
        <v>57631310</v>
      </c>
      <c r="E156">
        <v>1080</v>
      </c>
      <c r="F156">
        <v>1</v>
      </c>
      <c r="G156">
        <v>1080</v>
      </c>
      <c r="H156">
        <v>3</v>
      </c>
      <c r="I156" t="s">
        <v>509</v>
      </c>
      <c r="J156" t="s">
        <v>3</v>
      </c>
      <c r="K156" t="s">
        <v>510</v>
      </c>
      <c r="L156">
        <v>1301</v>
      </c>
      <c r="N156">
        <v>1003</v>
      </c>
      <c r="O156" t="s">
        <v>286</v>
      </c>
      <c r="P156" t="s">
        <v>286</v>
      </c>
      <c r="Q156">
        <v>1</v>
      </c>
      <c r="X156">
        <v>102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</v>
      </c>
      <c r="AG156">
        <v>102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">
      <c r="A157">
        <f>ROW(Source!A277)</f>
        <v>277</v>
      </c>
      <c r="B157">
        <v>58754108</v>
      </c>
      <c r="C157">
        <v>58312340</v>
      </c>
      <c r="D157">
        <v>57635045</v>
      </c>
      <c r="E157">
        <v>1080</v>
      </c>
      <c r="F157">
        <v>1</v>
      </c>
      <c r="G157">
        <v>1080</v>
      </c>
      <c r="H157">
        <v>3</v>
      </c>
      <c r="I157" t="s">
        <v>511</v>
      </c>
      <c r="J157" t="s">
        <v>3</v>
      </c>
      <c r="K157" t="s">
        <v>512</v>
      </c>
      <c r="L157">
        <v>1355</v>
      </c>
      <c r="N157">
        <v>1010</v>
      </c>
      <c r="O157" t="s">
        <v>223</v>
      </c>
      <c r="P157" t="s">
        <v>223</v>
      </c>
      <c r="Q157">
        <v>100</v>
      </c>
      <c r="X157">
        <v>2.1640000000000001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</v>
      </c>
      <c r="AG157">
        <v>2.1640000000000001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">
      <c r="A158">
        <f>ROW(Source!A277)</f>
        <v>277</v>
      </c>
      <c r="B158">
        <v>58754109</v>
      </c>
      <c r="C158">
        <v>58312340</v>
      </c>
      <c r="D158">
        <v>57641916</v>
      </c>
      <c r="E158">
        <v>1080</v>
      </c>
      <c r="F158">
        <v>1</v>
      </c>
      <c r="G158">
        <v>1080</v>
      </c>
      <c r="H158">
        <v>3</v>
      </c>
      <c r="I158" t="s">
        <v>513</v>
      </c>
      <c r="J158" t="s">
        <v>3</v>
      </c>
      <c r="K158" t="s">
        <v>514</v>
      </c>
      <c r="L158">
        <v>1303</v>
      </c>
      <c r="N158">
        <v>1003</v>
      </c>
      <c r="O158" t="s">
        <v>295</v>
      </c>
      <c r="P158" t="s">
        <v>295</v>
      </c>
      <c r="Q158">
        <v>1000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0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3">
      <c r="A159">
        <f>ROW(Source!A284)</f>
        <v>284</v>
      </c>
      <c r="B159">
        <v>58754110</v>
      </c>
      <c r="C159">
        <v>56508485</v>
      </c>
      <c r="D159">
        <v>57621905</v>
      </c>
      <c r="E159">
        <v>1080</v>
      </c>
      <c r="F159">
        <v>1</v>
      </c>
      <c r="G159">
        <v>1080</v>
      </c>
      <c r="H159">
        <v>1</v>
      </c>
      <c r="I159" t="s">
        <v>392</v>
      </c>
      <c r="J159" t="s">
        <v>3</v>
      </c>
      <c r="K159" t="s">
        <v>393</v>
      </c>
      <c r="L159">
        <v>1191</v>
      </c>
      <c r="N159">
        <v>1013</v>
      </c>
      <c r="O159" t="s">
        <v>394</v>
      </c>
      <c r="P159" t="s">
        <v>394</v>
      </c>
      <c r="Q159">
        <v>1</v>
      </c>
      <c r="X159">
        <v>4.49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24</v>
      </c>
      <c r="AG159">
        <v>4.9390000000000009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>
        <f>ROW(Source!A284)</f>
        <v>284</v>
      </c>
      <c r="B160">
        <v>58754111</v>
      </c>
      <c r="C160">
        <v>56508485</v>
      </c>
      <c r="D160">
        <v>57696079</v>
      </c>
      <c r="E160">
        <v>1</v>
      </c>
      <c r="F160">
        <v>1</v>
      </c>
      <c r="G160">
        <v>1080</v>
      </c>
      <c r="H160">
        <v>2</v>
      </c>
      <c r="I160" t="s">
        <v>395</v>
      </c>
      <c r="J160" t="s">
        <v>396</v>
      </c>
      <c r="K160" t="s">
        <v>397</v>
      </c>
      <c r="L160">
        <v>1368</v>
      </c>
      <c r="N160">
        <v>1011</v>
      </c>
      <c r="O160" t="s">
        <v>398</v>
      </c>
      <c r="P160" t="s">
        <v>398</v>
      </c>
      <c r="Q160">
        <v>1</v>
      </c>
      <c r="X160">
        <v>0.01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24</v>
      </c>
      <c r="AG160">
        <v>1.1000000000000001E-2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>
        <f>ROW(Source!A284)</f>
        <v>284</v>
      </c>
      <c r="B161">
        <v>58754112</v>
      </c>
      <c r="C161">
        <v>56508485</v>
      </c>
      <c r="D161">
        <v>57695315</v>
      </c>
      <c r="E161">
        <v>1</v>
      </c>
      <c r="F161">
        <v>1</v>
      </c>
      <c r="G161">
        <v>1080</v>
      </c>
      <c r="H161">
        <v>2</v>
      </c>
      <c r="I161" t="s">
        <v>515</v>
      </c>
      <c r="J161" t="s">
        <v>516</v>
      </c>
      <c r="K161" t="s">
        <v>517</v>
      </c>
      <c r="L161">
        <v>1368</v>
      </c>
      <c r="N161">
        <v>1011</v>
      </c>
      <c r="O161" t="s">
        <v>398</v>
      </c>
      <c r="P161" t="s">
        <v>398</v>
      </c>
      <c r="Q161">
        <v>1</v>
      </c>
      <c r="X161">
        <v>0.01</v>
      </c>
      <c r="Y161">
        <v>0</v>
      </c>
      <c r="Z161">
        <v>179.17</v>
      </c>
      <c r="AA161">
        <v>16.93</v>
      </c>
      <c r="AB161">
        <v>0</v>
      </c>
      <c r="AC161">
        <v>0</v>
      </c>
      <c r="AD161">
        <v>1</v>
      </c>
      <c r="AE161">
        <v>0</v>
      </c>
      <c r="AF161" t="s">
        <v>24</v>
      </c>
      <c r="AG161">
        <v>1.1000000000000001E-2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">
      <c r="A162">
        <f>ROW(Source!A284)</f>
        <v>284</v>
      </c>
      <c r="B162">
        <v>58754113</v>
      </c>
      <c r="C162">
        <v>56508485</v>
      </c>
      <c r="D162">
        <v>57665112</v>
      </c>
      <c r="E162">
        <v>1</v>
      </c>
      <c r="F162">
        <v>1</v>
      </c>
      <c r="G162">
        <v>1080</v>
      </c>
      <c r="H162">
        <v>3</v>
      </c>
      <c r="I162" t="s">
        <v>518</v>
      </c>
      <c r="J162" t="s">
        <v>519</v>
      </c>
      <c r="K162" t="s">
        <v>520</v>
      </c>
      <c r="L162">
        <v>1346</v>
      </c>
      <c r="N162">
        <v>1009</v>
      </c>
      <c r="O162" t="s">
        <v>372</v>
      </c>
      <c r="P162" t="s">
        <v>372</v>
      </c>
      <c r="Q162">
        <v>1</v>
      </c>
      <c r="X162">
        <v>0.43</v>
      </c>
      <c r="Y162">
        <v>1.38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0.43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>
        <f>ROW(Source!A284)</f>
        <v>284</v>
      </c>
      <c r="B163">
        <v>58754114</v>
      </c>
      <c r="C163">
        <v>56508485</v>
      </c>
      <c r="D163">
        <v>57665503</v>
      </c>
      <c r="E163">
        <v>1</v>
      </c>
      <c r="F163">
        <v>1</v>
      </c>
      <c r="G163">
        <v>1080</v>
      </c>
      <c r="H163">
        <v>3</v>
      </c>
      <c r="I163" t="s">
        <v>521</v>
      </c>
      <c r="J163" t="s">
        <v>522</v>
      </c>
      <c r="K163" t="s">
        <v>523</v>
      </c>
      <c r="L163">
        <v>1346</v>
      </c>
      <c r="N163">
        <v>1009</v>
      </c>
      <c r="O163" t="s">
        <v>372</v>
      </c>
      <c r="P163" t="s">
        <v>372</v>
      </c>
      <c r="Q163">
        <v>1</v>
      </c>
      <c r="X163">
        <v>0.16</v>
      </c>
      <c r="Y163">
        <v>159.06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0.16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>
        <f>ROW(Source!A284)</f>
        <v>284</v>
      </c>
      <c r="B164">
        <v>58754115</v>
      </c>
      <c r="C164">
        <v>56508485</v>
      </c>
      <c r="D164">
        <v>57688446</v>
      </c>
      <c r="E164">
        <v>1</v>
      </c>
      <c r="F164">
        <v>1</v>
      </c>
      <c r="G164">
        <v>1080</v>
      </c>
      <c r="H164">
        <v>3</v>
      </c>
      <c r="I164" t="s">
        <v>524</v>
      </c>
      <c r="J164" t="s">
        <v>525</v>
      </c>
      <c r="K164" t="s">
        <v>526</v>
      </c>
      <c r="L164">
        <v>1355</v>
      </c>
      <c r="N164">
        <v>1010</v>
      </c>
      <c r="O164" t="s">
        <v>223</v>
      </c>
      <c r="P164" t="s">
        <v>223</v>
      </c>
      <c r="Q164">
        <v>100</v>
      </c>
      <c r="X164">
        <v>0.05</v>
      </c>
      <c r="Y164">
        <v>68.819999999999993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0.05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>
        <f>ROW(Source!A284)</f>
        <v>284</v>
      </c>
      <c r="B165">
        <v>58754116</v>
      </c>
      <c r="C165">
        <v>56508485</v>
      </c>
      <c r="D165">
        <v>57688457</v>
      </c>
      <c r="E165">
        <v>1</v>
      </c>
      <c r="F165">
        <v>1</v>
      </c>
      <c r="G165">
        <v>1080</v>
      </c>
      <c r="H165">
        <v>3</v>
      </c>
      <c r="I165" t="s">
        <v>527</v>
      </c>
      <c r="J165" t="s">
        <v>528</v>
      </c>
      <c r="K165" t="s">
        <v>529</v>
      </c>
      <c r="L165">
        <v>1356</v>
      </c>
      <c r="N165">
        <v>1010</v>
      </c>
      <c r="O165" t="s">
        <v>485</v>
      </c>
      <c r="P165" t="s">
        <v>485</v>
      </c>
      <c r="Q165">
        <v>1000</v>
      </c>
      <c r="X165">
        <v>1.2200000000000001E-2</v>
      </c>
      <c r="Y165">
        <v>183.4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</v>
      </c>
      <c r="AG165">
        <v>1.2200000000000001E-2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">
      <c r="A166">
        <f>ROW(Source!A284)</f>
        <v>284</v>
      </c>
      <c r="B166">
        <v>58754117</v>
      </c>
      <c r="C166">
        <v>56508485</v>
      </c>
      <c r="D166">
        <v>57687783</v>
      </c>
      <c r="E166">
        <v>1</v>
      </c>
      <c r="F166">
        <v>1</v>
      </c>
      <c r="G166">
        <v>1080</v>
      </c>
      <c r="H166">
        <v>3</v>
      </c>
      <c r="I166" t="s">
        <v>530</v>
      </c>
      <c r="J166" t="s">
        <v>531</v>
      </c>
      <c r="K166" t="s">
        <v>532</v>
      </c>
      <c r="L166">
        <v>1354</v>
      </c>
      <c r="N166">
        <v>1010</v>
      </c>
      <c r="O166" t="s">
        <v>32</v>
      </c>
      <c r="P166" t="s">
        <v>32</v>
      </c>
      <c r="Q166">
        <v>1</v>
      </c>
      <c r="X166">
        <v>3.1</v>
      </c>
      <c r="Y166">
        <v>6.94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3.1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>
        <f>ROW(Source!A284)</f>
        <v>284</v>
      </c>
      <c r="B167">
        <v>58754118</v>
      </c>
      <c r="C167">
        <v>56508485</v>
      </c>
      <c r="D167">
        <v>57687790</v>
      </c>
      <c r="E167">
        <v>1</v>
      </c>
      <c r="F167">
        <v>1</v>
      </c>
      <c r="G167">
        <v>1080</v>
      </c>
      <c r="H167">
        <v>3</v>
      </c>
      <c r="I167" t="s">
        <v>533</v>
      </c>
      <c r="J167" t="s">
        <v>534</v>
      </c>
      <c r="K167" t="s">
        <v>535</v>
      </c>
      <c r="L167">
        <v>1356</v>
      </c>
      <c r="N167">
        <v>1010</v>
      </c>
      <c r="O167" t="s">
        <v>485</v>
      </c>
      <c r="P167" t="s">
        <v>485</v>
      </c>
      <c r="Q167">
        <v>1000</v>
      </c>
      <c r="X167">
        <v>8.0000000000000002E-3</v>
      </c>
      <c r="Y167">
        <v>614.09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8.0000000000000002E-3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>
        <f>ROW(Source!A284)</f>
        <v>284</v>
      </c>
      <c r="B168">
        <v>58754119</v>
      </c>
      <c r="C168">
        <v>56508485</v>
      </c>
      <c r="D168">
        <v>57637375</v>
      </c>
      <c r="E168">
        <v>1080</v>
      </c>
      <c r="F168">
        <v>1</v>
      </c>
      <c r="G168">
        <v>1080</v>
      </c>
      <c r="H168">
        <v>3</v>
      </c>
      <c r="I168" t="s">
        <v>536</v>
      </c>
      <c r="J168" t="s">
        <v>3</v>
      </c>
      <c r="K168" t="s">
        <v>537</v>
      </c>
      <c r="L168">
        <v>1303</v>
      </c>
      <c r="N168">
        <v>1003</v>
      </c>
      <c r="O168" t="s">
        <v>295</v>
      </c>
      <c r="P168" t="s">
        <v>295</v>
      </c>
      <c r="Q168">
        <v>1000</v>
      </c>
      <c r="X168">
        <v>0.10299999999999999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</v>
      </c>
      <c r="AG168">
        <v>0.10299999999999999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">
      <c r="A169">
        <f>ROW(Source!A285)</f>
        <v>285</v>
      </c>
      <c r="B169">
        <v>58754110</v>
      </c>
      <c r="C169">
        <v>56508485</v>
      </c>
      <c r="D169">
        <v>57621905</v>
      </c>
      <c r="E169">
        <v>1080</v>
      </c>
      <c r="F169">
        <v>1</v>
      </c>
      <c r="G169">
        <v>1080</v>
      </c>
      <c r="H169">
        <v>1</v>
      </c>
      <c r="I169" t="s">
        <v>392</v>
      </c>
      <c r="J169" t="s">
        <v>3</v>
      </c>
      <c r="K169" t="s">
        <v>393</v>
      </c>
      <c r="L169">
        <v>1191</v>
      </c>
      <c r="N169">
        <v>1013</v>
      </c>
      <c r="O169" t="s">
        <v>394</v>
      </c>
      <c r="P169" t="s">
        <v>394</v>
      </c>
      <c r="Q169">
        <v>1</v>
      </c>
      <c r="X169">
        <v>4.49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24</v>
      </c>
      <c r="AG169">
        <v>4.9390000000000009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">
      <c r="A170">
        <f>ROW(Source!A285)</f>
        <v>285</v>
      </c>
      <c r="B170">
        <v>58754111</v>
      </c>
      <c r="C170">
        <v>56508485</v>
      </c>
      <c r="D170">
        <v>57696079</v>
      </c>
      <c r="E170">
        <v>1</v>
      </c>
      <c r="F170">
        <v>1</v>
      </c>
      <c r="G170">
        <v>1080</v>
      </c>
      <c r="H170">
        <v>2</v>
      </c>
      <c r="I170" t="s">
        <v>395</v>
      </c>
      <c r="J170" t="s">
        <v>396</v>
      </c>
      <c r="K170" t="s">
        <v>397</v>
      </c>
      <c r="L170">
        <v>1368</v>
      </c>
      <c r="N170">
        <v>1011</v>
      </c>
      <c r="O170" t="s">
        <v>398</v>
      </c>
      <c r="P170" t="s">
        <v>398</v>
      </c>
      <c r="Q170">
        <v>1</v>
      </c>
      <c r="X170">
        <v>0.01</v>
      </c>
      <c r="Y170">
        <v>0</v>
      </c>
      <c r="Z170">
        <v>83.1</v>
      </c>
      <c r="AA170">
        <v>12.62</v>
      </c>
      <c r="AB170">
        <v>0</v>
      </c>
      <c r="AC170">
        <v>0</v>
      </c>
      <c r="AD170">
        <v>1</v>
      </c>
      <c r="AE170">
        <v>0</v>
      </c>
      <c r="AF170" t="s">
        <v>24</v>
      </c>
      <c r="AG170">
        <v>1.1000000000000001E-2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>
        <f>ROW(Source!A285)</f>
        <v>285</v>
      </c>
      <c r="B171">
        <v>58754112</v>
      </c>
      <c r="C171">
        <v>56508485</v>
      </c>
      <c r="D171">
        <v>57695315</v>
      </c>
      <c r="E171">
        <v>1</v>
      </c>
      <c r="F171">
        <v>1</v>
      </c>
      <c r="G171">
        <v>1080</v>
      </c>
      <c r="H171">
        <v>2</v>
      </c>
      <c r="I171" t="s">
        <v>515</v>
      </c>
      <c r="J171" t="s">
        <v>516</v>
      </c>
      <c r="K171" t="s">
        <v>517</v>
      </c>
      <c r="L171">
        <v>1368</v>
      </c>
      <c r="N171">
        <v>1011</v>
      </c>
      <c r="O171" t="s">
        <v>398</v>
      </c>
      <c r="P171" t="s">
        <v>398</v>
      </c>
      <c r="Q171">
        <v>1</v>
      </c>
      <c r="X171">
        <v>0.01</v>
      </c>
      <c r="Y171">
        <v>0</v>
      </c>
      <c r="Z171">
        <v>179.17</v>
      </c>
      <c r="AA171">
        <v>16.93</v>
      </c>
      <c r="AB171">
        <v>0</v>
      </c>
      <c r="AC171">
        <v>0</v>
      </c>
      <c r="AD171">
        <v>1</v>
      </c>
      <c r="AE171">
        <v>0</v>
      </c>
      <c r="AF171" t="s">
        <v>24</v>
      </c>
      <c r="AG171">
        <v>1.1000000000000001E-2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>
        <f>ROW(Source!A285)</f>
        <v>285</v>
      </c>
      <c r="B172">
        <v>58754113</v>
      </c>
      <c r="C172">
        <v>56508485</v>
      </c>
      <c r="D172">
        <v>57665112</v>
      </c>
      <c r="E172">
        <v>1</v>
      </c>
      <c r="F172">
        <v>1</v>
      </c>
      <c r="G172">
        <v>1080</v>
      </c>
      <c r="H172">
        <v>3</v>
      </c>
      <c r="I172" t="s">
        <v>518</v>
      </c>
      <c r="J172" t="s">
        <v>519</v>
      </c>
      <c r="K172" t="s">
        <v>520</v>
      </c>
      <c r="L172">
        <v>1346</v>
      </c>
      <c r="N172">
        <v>1009</v>
      </c>
      <c r="O172" t="s">
        <v>372</v>
      </c>
      <c r="P172" t="s">
        <v>372</v>
      </c>
      <c r="Q172">
        <v>1</v>
      </c>
      <c r="X172">
        <v>0.43</v>
      </c>
      <c r="Y172">
        <v>1.38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0.43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">
      <c r="A173">
        <f>ROW(Source!A285)</f>
        <v>285</v>
      </c>
      <c r="B173">
        <v>58754114</v>
      </c>
      <c r="C173">
        <v>56508485</v>
      </c>
      <c r="D173">
        <v>57665503</v>
      </c>
      <c r="E173">
        <v>1</v>
      </c>
      <c r="F173">
        <v>1</v>
      </c>
      <c r="G173">
        <v>1080</v>
      </c>
      <c r="H173">
        <v>3</v>
      </c>
      <c r="I173" t="s">
        <v>521</v>
      </c>
      <c r="J173" t="s">
        <v>522</v>
      </c>
      <c r="K173" t="s">
        <v>523</v>
      </c>
      <c r="L173">
        <v>1346</v>
      </c>
      <c r="N173">
        <v>1009</v>
      </c>
      <c r="O173" t="s">
        <v>372</v>
      </c>
      <c r="P173" t="s">
        <v>372</v>
      </c>
      <c r="Q173">
        <v>1</v>
      </c>
      <c r="X173">
        <v>0.16</v>
      </c>
      <c r="Y173">
        <v>159.06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0.16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>
        <f>ROW(Source!A285)</f>
        <v>285</v>
      </c>
      <c r="B174">
        <v>58754115</v>
      </c>
      <c r="C174">
        <v>56508485</v>
      </c>
      <c r="D174">
        <v>57688446</v>
      </c>
      <c r="E174">
        <v>1</v>
      </c>
      <c r="F174">
        <v>1</v>
      </c>
      <c r="G174">
        <v>1080</v>
      </c>
      <c r="H174">
        <v>3</v>
      </c>
      <c r="I174" t="s">
        <v>524</v>
      </c>
      <c r="J174" t="s">
        <v>525</v>
      </c>
      <c r="K174" t="s">
        <v>526</v>
      </c>
      <c r="L174">
        <v>1355</v>
      </c>
      <c r="N174">
        <v>1010</v>
      </c>
      <c r="O174" t="s">
        <v>223</v>
      </c>
      <c r="P174" t="s">
        <v>223</v>
      </c>
      <c r="Q174">
        <v>100</v>
      </c>
      <c r="X174">
        <v>0.05</v>
      </c>
      <c r="Y174">
        <v>68.819999999999993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0.05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>
        <f>ROW(Source!A285)</f>
        <v>285</v>
      </c>
      <c r="B175">
        <v>58754116</v>
      </c>
      <c r="C175">
        <v>56508485</v>
      </c>
      <c r="D175">
        <v>57688457</v>
      </c>
      <c r="E175">
        <v>1</v>
      </c>
      <c r="F175">
        <v>1</v>
      </c>
      <c r="G175">
        <v>1080</v>
      </c>
      <c r="H175">
        <v>3</v>
      </c>
      <c r="I175" t="s">
        <v>527</v>
      </c>
      <c r="J175" t="s">
        <v>528</v>
      </c>
      <c r="K175" t="s">
        <v>529</v>
      </c>
      <c r="L175">
        <v>1356</v>
      </c>
      <c r="N175">
        <v>1010</v>
      </c>
      <c r="O175" t="s">
        <v>485</v>
      </c>
      <c r="P175" t="s">
        <v>485</v>
      </c>
      <c r="Q175">
        <v>1000</v>
      </c>
      <c r="X175">
        <v>1.2200000000000001E-2</v>
      </c>
      <c r="Y175">
        <v>183.4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1.2200000000000001E-2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>
        <f>ROW(Source!A285)</f>
        <v>285</v>
      </c>
      <c r="B176">
        <v>58754117</v>
      </c>
      <c r="C176">
        <v>56508485</v>
      </c>
      <c r="D176">
        <v>57687783</v>
      </c>
      <c r="E176">
        <v>1</v>
      </c>
      <c r="F176">
        <v>1</v>
      </c>
      <c r="G176">
        <v>1080</v>
      </c>
      <c r="H176">
        <v>3</v>
      </c>
      <c r="I176" t="s">
        <v>530</v>
      </c>
      <c r="J176" t="s">
        <v>531</v>
      </c>
      <c r="K176" t="s">
        <v>532</v>
      </c>
      <c r="L176">
        <v>1354</v>
      </c>
      <c r="N176">
        <v>1010</v>
      </c>
      <c r="O176" t="s">
        <v>32</v>
      </c>
      <c r="P176" t="s">
        <v>32</v>
      </c>
      <c r="Q176">
        <v>1</v>
      </c>
      <c r="X176">
        <v>3.1</v>
      </c>
      <c r="Y176">
        <v>6.94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</v>
      </c>
      <c r="AG176">
        <v>3.1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>
        <f>ROW(Source!A285)</f>
        <v>285</v>
      </c>
      <c r="B177">
        <v>58754118</v>
      </c>
      <c r="C177">
        <v>56508485</v>
      </c>
      <c r="D177">
        <v>57687790</v>
      </c>
      <c r="E177">
        <v>1</v>
      </c>
      <c r="F177">
        <v>1</v>
      </c>
      <c r="G177">
        <v>1080</v>
      </c>
      <c r="H177">
        <v>3</v>
      </c>
      <c r="I177" t="s">
        <v>533</v>
      </c>
      <c r="J177" t="s">
        <v>534</v>
      </c>
      <c r="K177" t="s">
        <v>535</v>
      </c>
      <c r="L177">
        <v>1356</v>
      </c>
      <c r="N177">
        <v>1010</v>
      </c>
      <c r="O177" t="s">
        <v>485</v>
      </c>
      <c r="P177" t="s">
        <v>485</v>
      </c>
      <c r="Q177">
        <v>1000</v>
      </c>
      <c r="X177">
        <v>8.0000000000000002E-3</v>
      </c>
      <c r="Y177">
        <v>614.09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8.0000000000000002E-3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>
        <f>ROW(Source!A285)</f>
        <v>285</v>
      </c>
      <c r="B178">
        <v>58754119</v>
      </c>
      <c r="C178">
        <v>56508485</v>
      </c>
      <c r="D178">
        <v>57637375</v>
      </c>
      <c r="E178">
        <v>1080</v>
      </c>
      <c r="F178">
        <v>1</v>
      </c>
      <c r="G178">
        <v>1080</v>
      </c>
      <c r="H178">
        <v>3</v>
      </c>
      <c r="I178" t="s">
        <v>536</v>
      </c>
      <c r="J178" t="s">
        <v>3</v>
      </c>
      <c r="K178" t="s">
        <v>537</v>
      </c>
      <c r="L178">
        <v>1303</v>
      </c>
      <c r="N178">
        <v>1003</v>
      </c>
      <c r="O178" t="s">
        <v>295</v>
      </c>
      <c r="P178" t="s">
        <v>295</v>
      </c>
      <c r="Q178">
        <v>1000</v>
      </c>
      <c r="X178">
        <v>0.10299999999999999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3</v>
      </c>
      <c r="AG178">
        <v>0.10299999999999999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>
        <f>ROW(Source!A286)</f>
        <v>286</v>
      </c>
      <c r="B179">
        <v>58754120</v>
      </c>
      <c r="C179">
        <v>56508499</v>
      </c>
      <c r="D179">
        <v>57621905</v>
      </c>
      <c r="E179">
        <v>1080</v>
      </c>
      <c r="F179">
        <v>1</v>
      </c>
      <c r="G179">
        <v>1080</v>
      </c>
      <c r="H179">
        <v>1</v>
      </c>
      <c r="I179" t="s">
        <v>392</v>
      </c>
      <c r="J179" t="s">
        <v>3</v>
      </c>
      <c r="K179" t="s">
        <v>393</v>
      </c>
      <c r="L179">
        <v>1191</v>
      </c>
      <c r="N179">
        <v>1013</v>
      </c>
      <c r="O179" t="s">
        <v>394</v>
      </c>
      <c r="P179" t="s">
        <v>394</v>
      </c>
      <c r="Q179">
        <v>1</v>
      </c>
      <c r="X179">
        <v>1.83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24</v>
      </c>
      <c r="AG179">
        <v>2.0130000000000003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">
      <c r="A180">
        <f>ROW(Source!A286)</f>
        <v>286</v>
      </c>
      <c r="B180">
        <v>58754121</v>
      </c>
      <c r="C180">
        <v>56508499</v>
      </c>
      <c r="D180">
        <v>57696079</v>
      </c>
      <c r="E180">
        <v>1</v>
      </c>
      <c r="F180">
        <v>1</v>
      </c>
      <c r="G180">
        <v>1080</v>
      </c>
      <c r="H180">
        <v>2</v>
      </c>
      <c r="I180" t="s">
        <v>395</v>
      </c>
      <c r="J180" t="s">
        <v>396</v>
      </c>
      <c r="K180" t="s">
        <v>397</v>
      </c>
      <c r="L180">
        <v>1368</v>
      </c>
      <c r="N180">
        <v>1011</v>
      </c>
      <c r="O180" t="s">
        <v>398</v>
      </c>
      <c r="P180" t="s">
        <v>398</v>
      </c>
      <c r="Q180">
        <v>1</v>
      </c>
      <c r="X180">
        <v>0.01</v>
      </c>
      <c r="Y180">
        <v>0</v>
      </c>
      <c r="Z180">
        <v>83.1</v>
      </c>
      <c r="AA180">
        <v>12.62</v>
      </c>
      <c r="AB180">
        <v>0</v>
      </c>
      <c r="AC180">
        <v>0</v>
      </c>
      <c r="AD180">
        <v>1</v>
      </c>
      <c r="AE180">
        <v>0</v>
      </c>
      <c r="AF180" t="s">
        <v>24</v>
      </c>
      <c r="AG180">
        <v>1.1000000000000001E-2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">
      <c r="A181">
        <f>ROW(Source!A286)</f>
        <v>286</v>
      </c>
      <c r="B181">
        <v>58754122</v>
      </c>
      <c r="C181">
        <v>56508499</v>
      </c>
      <c r="D181">
        <v>57695315</v>
      </c>
      <c r="E181">
        <v>1</v>
      </c>
      <c r="F181">
        <v>1</v>
      </c>
      <c r="G181">
        <v>1080</v>
      </c>
      <c r="H181">
        <v>2</v>
      </c>
      <c r="I181" t="s">
        <v>515</v>
      </c>
      <c r="J181" t="s">
        <v>516</v>
      </c>
      <c r="K181" t="s">
        <v>517</v>
      </c>
      <c r="L181">
        <v>1368</v>
      </c>
      <c r="N181">
        <v>1011</v>
      </c>
      <c r="O181" t="s">
        <v>398</v>
      </c>
      <c r="P181" t="s">
        <v>398</v>
      </c>
      <c r="Q181">
        <v>1</v>
      </c>
      <c r="X181">
        <v>0.01</v>
      </c>
      <c r="Y181">
        <v>0</v>
      </c>
      <c r="Z181">
        <v>179.17</v>
      </c>
      <c r="AA181">
        <v>16.93</v>
      </c>
      <c r="AB181">
        <v>0</v>
      </c>
      <c r="AC181">
        <v>0</v>
      </c>
      <c r="AD181">
        <v>1</v>
      </c>
      <c r="AE181">
        <v>0</v>
      </c>
      <c r="AF181" t="s">
        <v>24</v>
      </c>
      <c r="AG181">
        <v>1.1000000000000001E-2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">
      <c r="A182">
        <f>ROW(Source!A286)</f>
        <v>286</v>
      </c>
      <c r="B182">
        <v>58754123</v>
      </c>
      <c r="C182">
        <v>56508499</v>
      </c>
      <c r="D182">
        <v>57665112</v>
      </c>
      <c r="E182">
        <v>1</v>
      </c>
      <c r="F182">
        <v>1</v>
      </c>
      <c r="G182">
        <v>1080</v>
      </c>
      <c r="H182">
        <v>3</v>
      </c>
      <c r="I182" t="s">
        <v>518</v>
      </c>
      <c r="J182" t="s">
        <v>519</v>
      </c>
      <c r="K182" t="s">
        <v>520</v>
      </c>
      <c r="L182">
        <v>1346</v>
      </c>
      <c r="N182">
        <v>1009</v>
      </c>
      <c r="O182" t="s">
        <v>372</v>
      </c>
      <c r="P182" t="s">
        <v>372</v>
      </c>
      <c r="Q182">
        <v>1</v>
      </c>
      <c r="X182">
        <v>0.6</v>
      </c>
      <c r="Y182">
        <v>1.38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0.6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">
      <c r="A183">
        <f>ROW(Source!A286)</f>
        <v>286</v>
      </c>
      <c r="B183">
        <v>58754124</v>
      </c>
      <c r="C183">
        <v>56508499</v>
      </c>
      <c r="D183">
        <v>57665503</v>
      </c>
      <c r="E183">
        <v>1</v>
      </c>
      <c r="F183">
        <v>1</v>
      </c>
      <c r="G183">
        <v>1080</v>
      </c>
      <c r="H183">
        <v>3</v>
      </c>
      <c r="I183" t="s">
        <v>521</v>
      </c>
      <c r="J183" t="s">
        <v>522</v>
      </c>
      <c r="K183" t="s">
        <v>523</v>
      </c>
      <c r="L183">
        <v>1346</v>
      </c>
      <c r="N183">
        <v>1009</v>
      </c>
      <c r="O183" t="s">
        <v>372</v>
      </c>
      <c r="P183" t="s">
        <v>372</v>
      </c>
      <c r="Q183">
        <v>1</v>
      </c>
      <c r="X183">
        <v>0.16</v>
      </c>
      <c r="Y183">
        <v>159.06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0.16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">
      <c r="A184">
        <f>ROW(Source!A286)</f>
        <v>286</v>
      </c>
      <c r="B184">
        <v>58754125</v>
      </c>
      <c r="C184">
        <v>56508499</v>
      </c>
      <c r="D184">
        <v>57688458</v>
      </c>
      <c r="E184">
        <v>1</v>
      </c>
      <c r="F184">
        <v>1</v>
      </c>
      <c r="G184">
        <v>1080</v>
      </c>
      <c r="H184">
        <v>3</v>
      </c>
      <c r="I184" t="s">
        <v>538</v>
      </c>
      <c r="J184" t="s">
        <v>539</v>
      </c>
      <c r="K184" t="s">
        <v>540</v>
      </c>
      <c r="L184">
        <v>1356</v>
      </c>
      <c r="N184">
        <v>1010</v>
      </c>
      <c r="O184" t="s">
        <v>485</v>
      </c>
      <c r="P184" t="s">
        <v>485</v>
      </c>
      <c r="Q184">
        <v>1000</v>
      </c>
      <c r="X184">
        <v>1.2200000000000001E-2</v>
      </c>
      <c r="Y184">
        <v>226.86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1.2200000000000001E-2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>
        <f>ROW(Source!A286)</f>
        <v>286</v>
      </c>
      <c r="B185">
        <v>58754126</v>
      </c>
      <c r="C185">
        <v>56508499</v>
      </c>
      <c r="D185">
        <v>57687783</v>
      </c>
      <c r="E185">
        <v>1</v>
      </c>
      <c r="F185">
        <v>1</v>
      </c>
      <c r="G185">
        <v>1080</v>
      </c>
      <c r="H185">
        <v>3</v>
      </c>
      <c r="I185" t="s">
        <v>530</v>
      </c>
      <c r="J185" t="s">
        <v>531</v>
      </c>
      <c r="K185" t="s">
        <v>532</v>
      </c>
      <c r="L185">
        <v>1354</v>
      </c>
      <c r="N185">
        <v>1010</v>
      </c>
      <c r="O185" t="s">
        <v>32</v>
      </c>
      <c r="P185" t="s">
        <v>32</v>
      </c>
      <c r="Q185">
        <v>1</v>
      </c>
      <c r="X185">
        <v>3.1</v>
      </c>
      <c r="Y185">
        <v>6.94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3.1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>
        <f>ROW(Source!A286)</f>
        <v>286</v>
      </c>
      <c r="B186">
        <v>58754127</v>
      </c>
      <c r="C186">
        <v>56508499</v>
      </c>
      <c r="D186">
        <v>57687791</v>
      </c>
      <c r="E186">
        <v>1</v>
      </c>
      <c r="F186">
        <v>1</v>
      </c>
      <c r="G186">
        <v>1080</v>
      </c>
      <c r="H186">
        <v>3</v>
      </c>
      <c r="I186" t="s">
        <v>541</v>
      </c>
      <c r="J186" t="s">
        <v>542</v>
      </c>
      <c r="K186" t="s">
        <v>543</v>
      </c>
      <c r="L186">
        <v>1356</v>
      </c>
      <c r="N186">
        <v>1010</v>
      </c>
      <c r="O186" t="s">
        <v>485</v>
      </c>
      <c r="P186" t="s">
        <v>485</v>
      </c>
      <c r="Q186">
        <v>1000</v>
      </c>
      <c r="X186">
        <v>8.0000000000000002E-3</v>
      </c>
      <c r="Y186">
        <v>614.09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8.0000000000000002E-3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">
      <c r="A187">
        <f>ROW(Source!A286)</f>
        <v>286</v>
      </c>
      <c r="B187">
        <v>58754128</v>
      </c>
      <c r="C187">
        <v>56508499</v>
      </c>
      <c r="D187">
        <v>57637375</v>
      </c>
      <c r="E187">
        <v>1080</v>
      </c>
      <c r="F187">
        <v>1</v>
      </c>
      <c r="G187">
        <v>1080</v>
      </c>
      <c r="H187">
        <v>3</v>
      </c>
      <c r="I187" t="s">
        <v>536</v>
      </c>
      <c r="J187" t="s">
        <v>3</v>
      </c>
      <c r="K187" t="s">
        <v>537</v>
      </c>
      <c r="L187">
        <v>1303</v>
      </c>
      <c r="N187">
        <v>1003</v>
      </c>
      <c r="O187" t="s">
        <v>295</v>
      </c>
      <c r="P187" t="s">
        <v>295</v>
      </c>
      <c r="Q187">
        <v>1000</v>
      </c>
      <c r="X187">
        <v>0.10299999999999999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3</v>
      </c>
      <c r="AG187">
        <v>0.10299999999999999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">
      <c r="A188">
        <f>ROW(Source!A287)</f>
        <v>287</v>
      </c>
      <c r="B188">
        <v>58754120</v>
      </c>
      <c r="C188">
        <v>56508499</v>
      </c>
      <c r="D188">
        <v>57621905</v>
      </c>
      <c r="E188">
        <v>1080</v>
      </c>
      <c r="F188">
        <v>1</v>
      </c>
      <c r="G188">
        <v>1080</v>
      </c>
      <c r="H188">
        <v>1</v>
      </c>
      <c r="I188" t="s">
        <v>392</v>
      </c>
      <c r="J188" t="s">
        <v>3</v>
      </c>
      <c r="K188" t="s">
        <v>393</v>
      </c>
      <c r="L188">
        <v>1191</v>
      </c>
      <c r="N188">
        <v>1013</v>
      </c>
      <c r="O188" t="s">
        <v>394</v>
      </c>
      <c r="P188" t="s">
        <v>394</v>
      </c>
      <c r="Q188">
        <v>1</v>
      </c>
      <c r="X188">
        <v>1.83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24</v>
      </c>
      <c r="AG188">
        <v>2.0130000000000003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">
      <c r="A189">
        <f>ROW(Source!A287)</f>
        <v>287</v>
      </c>
      <c r="B189">
        <v>58754121</v>
      </c>
      <c r="C189">
        <v>56508499</v>
      </c>
      <c r="D189">
        <v>57696079</v>
      </c>
      <c r="E189">
        <v>1</v>
      </c>
      <c r="F189">
        <v>1</v>
      </c>
      <c r="G189">
        <v>1080</v>
      </c>
      <c r="H189">
        <v>2</v>
      </c>
      <c r="I189" t="s">
        <v>395</v>
      </c>
      <c r="J189" t="s">
        <v>396</v>
      </c>
      <c r="K189" t="s">
        <v>397</v>
      </c>
      <c r="L189">
        <v>1368</v>
      </c>
      <c r="N189">
        <v>1011</v>
      </c>
      <c r="O189" t="s">
        <v>398</v>
      </c>
      <c r="P189" t="s">
        <v>398</v>
      </c>
      <c r="Q189">
        <v>1</v>
      </c>
      <c r="X189">
        <v>0.01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24</v>
      </c>
      <c r="AG189">
        <v>1.1000000000000001E-2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">
      <c r="A190">
        <f>ROW(Source!A287)</f>
        <v>287</v>
      </c>
      <c r="B190">
        <v>58754122</v>
      </c>
      <c r="C190">
        <v>56508499</v>
      </c>
      <c r="D190">
        <v>57695315</v>
      </c>
      <c r="E190">
        <v>1</v>
      </c>
      <c r="F190">
        <v>1</v>
      </c>
      <c r="G190">
        <v>1080</v>
      </c>
      <c r="H190">
        <v>2</v>
      </c>
      <c r="I190" t="s">
        <v>515</v>
      </c>
      <c r="J190" t="s">
        <v>516</v>
      </c>
      <c r="K190" t="s">
        <v>517</v>
      </c>
      <c r="L190">
        <v>1368</v>
      </c>
      <c r="N190">
        <v>1011</v>
      </c>
      <c r="O190" t="s">
        <v>398</v>
      </c>
      <c r="P190" t="s">
        <v>398</v>
      </c>
      <c r="Q190">
        <v>1</v>
      </c>
      <c r="X190">
        <v>0.01</v>
      </c>
      <c r="Y190">
        <v>0</v>
      </c>
      <c r="Z190">
        <v>179.17</v>
      </c>
      <c r="AA190">
        <v>16.93</v>
      </c>
      <c r="AB190">
        <v>0</v>
      </c>
      <c r="AC190">
        <v>0</v>
      </c>
      <c r="AD190">
        <v>1</v>
      </c>
      <c r="AE190">
        <v>0</v>
      </c>
      <c r="AF190" t="s">
        <v>24</v>
      </c>
      <c r="AG190">
        <v>1.1000000000000001E-2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">
      <c r="A191">
        <f>ROW(Source!A287)</f>
        <v>287</v>
      </c>
      <c r="B191">
        <v>58754123</v>
      </c>
      <c r="C191">
        <v>56508499</v>
      </c>
      <c r="D191">
        <v>57665112</v>
      </c>
      <c r="E191">
        <v>1</v>
      </c>
      <c r="F191">
        <v>1</v>
      </c>
      <c r="G191">
        <v>1080</v>
      </c>
      <c r="H191">
        <v>3</v>
      </c>
      <c r="I191" t="s">
        <v>518</v>
      </c>
      <c r="J191" t="s">
        <v>519</v>
      </c>
      <c r="K191" t="s">
        <v>520</v>
      </c>
      <c r="L191">
        <v>1346</v>
      </c>
      <c r="N191">
        <v>1009</v>
      </c>
      <c r="O191" t="s">
        <v>372</v>
      </c>
      <c r="P191" t="s">
        <v>372</v>
      </c>
      <c r="Q191">
        <v>1</v>
      </c>
      <c r="X191">
        <v>0.6</v>
      </c>
      <c r="Y191">
        <v>1.38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0.6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">
      <c r="A192">
        <f>ROW(Source!A287)</f>
        <v>287</v>
      </c>
      <c r="B192">
        <v>58754124</v>
      </c>
      <c r="C192">
        <v>56508499</v>
      </c>
      <c r="D192">
        <v>57665503</v>
      </c>
      <c r="E192">
        <v>1</v>
      </c>
      <c r="F192">
        <v>1</v>
      </c>
      <c r="G192">
        <v>1080</v>
      </c>
      <c r="H192">
        <v>3</v>
      </c>
      <c r="I192" t="s">
        <v>521</v>
      </c>
      <c r="J192" t="s">
        <v>522</v>
      </c>
      <c r="K192" t="s">
        <v>523</v>
      </c>
      <c r="L192">
        <v>1346</v>
      </c>
      <c r="N192">
        <v>1009</v>
      </c>
      <c r="O192" t="s">
        <v>372</v>
      </c>
      <c r="P192" t="s">
        <v>372</v>
      </c>
      <c r="Q192">
        <v>1</v>
      </c>
      <c r="X192">
        <v>0.16</v>
      </c>
      <c r="Y192">
        <v>159.06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0.16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">
      <c r="A193">
        <f>ROW(Source!A287)</f>
        <v>287</v>
      </c>
      <c r="B193">
        <v>58754125</v>
      </c>
      <c r="C193">
        <v>56508499</v>
      </c>
      <c r="D193">
        <v>57688458</v>
      </c>
      <c r="E193">
        <v>1</v>
      </c>
      <c r="F193">
        <v>1</v>
      </c>
      <c r="G193">
        <v>1080</v>
      </c>
      <c r="H193">
        <v>3</v>
      </c>
      <c r="I193" t="s">
        <v>538</v>
      </c>
      <c r="J193" t="s">
        <v>539</v>
      </c>
      <c r="K193" t="s">
        <v>540</v>
      </c>
      <c r="L193">
        <v>1356</v>
      </c>
      <c r="N193">
        <v>1010</v>
      </c>
      <c r="O193" t="s">
        <v>485</v>
      </c>
      <c r="P193" t="s">
        <v>485</v>
      </c>
      <c r="Q193">
        <v>1000</v>
      </c>
      <c r="X193">
        <v>1.2200000000000001E-2</v>
      </c>
      <c r="Y193">
        <v>226.86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1.2200000000000001E-2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">
      <c r="A194">
        <f>ROW(Source!A287)</f>
        <v>287</v>
      </c>
      <c r="B194">
        <v>58754126</v>
      </c>
      <c r="C194">
        <v>56508499</v>
      </c>
      <c r="D194">
        <v>57687783</v>
      </c>
      <c r="E194">
        <v>1</v>
      </c>
      <c r="F194">
        <v>1</v>
      </c>
      <c r="G194">
        <v>1080</v>
      </c>
      <c r="H194">
        <v>3</v>
      </c>
      <c r="I194" t="s">
        <v>530</v>
      </c>
      <c r="J194" t="s">
        <v>531</v>
      </c>
      <c r="K194" t="s">
        <v>532</v>
      </c>
      <c r="L194">
        <v>1354</v>
      </c>
      <c r="N194">
        <v>1010</v>
      </c>
      <c r="O194" t="s">
        <v>32</v>
      </c>
      <c r="P194" t="s">
        <v>32</v>
      </c>
      <c r="Q194">
        <v>1</v>
      </c>
      <c r="X194">
        <v>3.1</v>
      </c>
      <c r="Y194">
        <v>6.94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3.1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">
      <c r="A195">
        <f>ROW(Source!A287)</f>
        <v>287</v>
      </c>
      <c r="B195">
        <v>58754127</v>
      </c>
      <c r="C195">
        <v>56508499</v>
      </c>
      <c r="D195">
        <v>57687791</v>
      </c>
      <c r="E195">
        <v>1</v>
      </c>
      <c r="F195">
        <v>1</v>
      </c>
      <c r="G195">
        <v>1080</v>
      </c>
      <c r="H195">
        <v>3</v>
      </c>
      <c r="I195" t="s">
        <v>541</v>
      </c>
      <c r="J195" t="s">
        <v>542</v>
      </c>
      <c r="K195" t="s">
        <v>543</v>
      </c>
      <c r="L195">
        <v>1356</v>
      </c>
      <c r="N195">
        <v>1010</v>
      </c>
      <c r="O195" t="s">
        <v>485</v>
      </c>
      <c r="P195" t="s">
        <v>485</v>
      </c>
      <c r="Q195">
        <v>1000</v>
      </c>
      <c r="X195">
        <v>8.0000000000000002E-3</v>
      </c>
      <c r="Y195">
        <v>614.09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8.0000000000000002E-3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">
      <c r="A196">
        <f>ROW(Source!A287)</f>
        <v>287</v>
      </c>
      <c r="B196">
        <v>58754128</v>
      </c>
      <c r="C196">
        <v>56508499</v>
      </c>
      <c r="D196">
        <v>57637375</v>
      </c>
      <c r="E196">
        <v>1080</v>
      </c>
      <c r="F196">
        <v>1</v>
      </c>
      <c r="G196">
        <v>1080</v>
      </c>
      <c r="H196">
        <v>3</v>
      </c>
      <c r="I196" t="s">
        <v>536</v>
      </c>
      <c r="J196" t="s">
        <v>3</v>
      </c>
      <c r="K196" t="s">
        <v>537</v>
      </c>
      <c r="L196">
        <v>1303</v>
      </c>
      <c r="N196">
        <v>1003</v>
      </c>
      <c r="O196" t="s">
        <v>295</v>
      </c>
      <c r="P196" t="s">
        <v>295</v>
      </c>
      <c r="Q196">
        <v>1000</v>
      </c>
      <c r="X196">
        <v>0.10299999999999999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3</v>
      </c>
      <c r="AG196">
        <v>0.10299999999999999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">
      <c r="A197">
        <f>ROW(Source!A288)</f>
        <v>288</v>
      </c>
      <c r="B197">
        <v>58754129</v>
      </c>
      <c r="C197">
        <v>58312361</v>
      </c>
      <c r="D197">
        <v>57621905</v>
      </c>
      <c r="E197">
        <v>1080</v>
      </c>
      <c r="F197">
        <v>1</v>
      </c>
      <c r="G197">
        <v>1080</v>
      </c>
      <c r="H197">
        <v>1</v>
      </c>
      <c r="I197" t="s">
        <v>392</v>
      </c>
      <c r="J197" t="s">
        <v>3</v>
      </c>
      <c r="K197" t="s">
        <v>393</v>
      </c>
      <c r="L197">
        <v>1191</v>
      </c>
      <c r="N197">
        <v>1013</v>
      </c>
      <c r="O197" t="s">
        <v>394</v>
      </c>
      <c r="P197" t="s">
        <v>394</v>
      </c>
      <c r="Q197">
        <v>1</v>
      </c>
      <c r="X197">
        <v>20.7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24</v>
      </c>
      <c r="AG197">
        <v>22.77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">
      <c r="A198">
        <f>ROW(Source!A288)</f>
        <v>288</v>
      </c>
      <c r="B198">
        <v>58754130</v>
      </c>
      <c r="C198">
        <v>58312361</v>
      </c>
      <c r="D198">
        <v>57695780</v>
      </c>
      <c r="E198">
        <v>1</v>
      </c>
      <c r="F198">
        <v>1</v>
      </c>
      <c r="G198">
        <v>1080</v>
      </c>
      <c r="H198">
        <v>2</v>
      </c>
      <c r="I198" t="s">
        <v>544</v>
      </c>
      <c r="J198" t="s">
        <v>545</v>
      </c>
      <c r="K198" t="s">
        <v>546</v>
      </c>
      <c r="L198">
        <v>1368</v>
      </c>
      <c r="N198">
        <v>1011</v>
      </c>
      <c r="O198" t="s">
        <v>398</v>
      </c>
      <c r="P198" t="s">
        <v>398</v>
      </c>
      <c r="Q198">
        <v>1</v>
      </c>
      <c r="X198">
        <v>2.33</v>
      </c>
      <c r="Y198">
        <v>0</v>
      </c>
      <c r="Z198">
        <v>7.11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24</v>
      </c>
      <c r="AG198">
        <v>2.5630000000000002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">
      <c r="A199">
        <f>ROW(Source!A288)</f>
        <v>288</v>
      </c>
      <c r="B199">
        <v>58754131</v>
      </c>
      <c r="C199">
        <v>58312361</v>
      </c>
      <c r="D199">
        <v>57696079</v>
      </c>
      <c r="E199">
        <v>1</v>
      </c>
      <c r="F199">
        <v>1</v>
      </c>
      <c r="G199">
        <v>1080</v>
      </c>
      <c r="H199">
        <v>2</v>
      </c>
      <c r="I199" t="s">
        <v>395</v>
      </c>
      <c r="J199" t="s">
        <v>396</v>
      </c>
      <c r="K199" t="s">
        <v>397</v>
      </c>
      <c r="L199">
        <v>1368</v>
      </c>
      <c r="N199">
        <v>1011</v>
      </c>
      <c r="O199" t="s">
        <v>398</v>
      </c>
      <c r="P199" t="s">
        <v>398</v>
      </c>
      <c r="Q199">
        <v>1</v>
      </c>
      <c r="X199">
        <v>0.1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24</v>
      </c>
      <c r="AG199">
        <v>0.11000000000000001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">
      <c r="A200">
        <f>ROW(Source!A288)</f>
        <v>288</v>
      </c>
      <c r="B200">
        <v>58754132</v>
      </c>
      <c r="C200">
        <v>58312361</v>
      </c>
      <c r="D200">
        <v>57696131</v>
      </c>
      <c r="E200">
        <v>1</v>
      </c>
      <c r="F200">
        <v>1</v>
      </c>
      <c r="G200">
        <v>1080</v>
      </c>
      <c r="H200">
        <v>2</v>
      </c>
      <c r="I200" t="s">
        <v>488</v>
      </c>
      <c r="J200" t="s">
        <v>489</v>
      </c>
      <c r="K200" t="s">
        <v>490</v>
      </c>
      <c r="L200">
        <v>1368</v>
      </c>
      <c r="N200">
        <v>1011</v>
      </c>
      <c r="O200" t="s">
        <v>398</v>
      </c>
      <c r="P200" t="s">
        <v>398</v>
      </c>
      <c r="Q200">
        <v>1</v>
      </c>
      <c r="X200">
        <v>4.17</v>
      </c>
      <c r="Y200">
        <v>0</v>
      </c>
      <c r="Z200">
        <v>0.77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24</v>
      </c>
      <c r="AG200">
        <v>4.5870000000000006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>
        <f>ROW(Source!A288)</f>
        <v>288</v>
      </c>
      <c r="B201">
        <v>58754133</v>
      </c>
      <c r="C201">
        <v>58312361</v>
      </c>
      <c r="D201">
        <v>57665459</v>
      </c>
      <c r="E201">
        <v>1</v>
      </c>
      <c r="F201">
        <v>1</v>
      </c>
      <c r="G201">
        <v>1080</v>
      </c>
      <c r="H201">
        <v>3</v>
      </c>
      <c r="I201" t="s">
        <v>547</v>
      </c>
      <c r="J201" t="s">
        <v>548</v>
      </c>
      <c r="K201" t="s">
        <v>549</v>
      </c>
      <c r="L201">
        <v>1348</v>
      </c>
      <c r="N201">
        <v>1009</v>
      </c>
      <c r="O201" t="s">
        <v>165</v>
      </c>
      <c r="P201" t="s">
        <v>165</v>
      </c>
      <c r="Q201">
        <v>1000</v>
      </c>
      <c r="X201">
        <v>9.6000000000000002E-4</v>
      </c>
      <c r="Y201">
        <v>8590.86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9.6000000000000002E-4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">
      <c r="A202">
        <f>ROW(Source!A288)</f>
        <v>288</v>
      </c>
      <c r="B202">
        <v>58754134</v>
      </c>
      <c r="C202">
        <v>58312361</v>
      </c>
      <c r="D202">
        <v>57664417</v>
      </c>
      <c r="E202">
        <v>1</v>
      </c>
      <c r="F202">
        <v>1</v>
      </c>
      <c r="G202">
        <v>1080</v>
      </c>
      <c r="H202">
        <v>3</v>
      </c>
      <c r="I202" t="s">
        <v>403</v>
      </c>
      <c r="J202" t="s">
        <v>404</v>
      </c>
      <c r="K202" t="s">
        <v>405</v>
      </c>
      <c r="L202">
        <v>1354</v>
      </c>
      <c r="N202">
        <v>1010</v>
      </c>
      <c r="O202" t="s">
        <v>32</v>
      </c>
      <c r="P202" t="s">
        <v>32</v>
      </c>
      <c r="Q202">
        <v>1</v>
      </c>
      <c r="X202">
        <v>220</v>
      </c>
      <c r="Y202">
        <v>3.86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220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">
      <c r="A203">
        <f>ROW(Source!A288)</f>
        <v>288</v>
      </c>
      <c r="B203">
        <v>58754135</v>
      </c>
      <c r="C203">
        <v>58312361</v>
      </c>
      <c r="D203">
        <v>57666737</v>
      </c>
      <c r="E203">
        <v>1</v>
      </c>
      <c r="F203">
        <v>1</v>
      </c>
      <c r="G203">
        <v>1080</v>
      </c>
      <c r="H203">
        <v>3</v>
      </c>
      <c r="I203" t="s">
        <v>550</v>
      </c>
      <c r="J203" t="s">
        <v>551</v>
      </c>
      <c r="K203" t="s">
        <v>552</v>
      </c>
      <c r="L203">
        <v>1296</v>
      </c>
      <c r="N203">
        <v>1002</v>
      </c>
      <c r="O203" t="s">
        <v>553</v>
      </c>
      <c r="P203" t="s">
        <v>553</v>
      </c>
      <c r="Q203">
        <v>1</v>
      </c>
      <c r="X203">
        <v>0.157</v>
      </c>
      <c r="Y203">
        <v>35.4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0.157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">
      <c r="A204">
        <f>ROW(Source!A288)</f>
        <v>288</v>
      </c>
      <c r="B204">
        <v>58754136</v>
      </c>
      <c r="C204">
        <v>58312361</v>
      </c>
      <c r="D204">
        <v>57664894</v>
      </c>
      <c r="E204">
        <v>1</v>
      </c>
      <c r="F204">
        <v>1</v>
      </c>
      <c r="G204">
        <v>1080</v>
      </c>
      <c r="H204">
        <v>3</v>
      </c>
      <c r="I204" t="s">
        <v>554</v>
      </c>
      <c r="J204" t="s">
        <v>555</v>
      </c>
      <c r="K204" t="s">
        <v>556</v>
      </c>
      <c r="L204">
        <v>1348</v>
      </c>
      <c r="N204">
        <v>1009</v>
      </c>
      <c r="O204" t="s">
        <v>165</v>
      </c>
      <c r="P204" t="s">
        <v>165</v>
      </c>
      <c r="Q204">
        <v>1000</v>
      </c>
      <c r="X204">
        <v>2.0999999999999999E-3</v>
      </c>
      <c r="Y204">
        <v>7973.67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2.0999999999999999E-3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">
      <c r="A205">
        <f>ROW(Source!A288)</f>
        <v>288</v>
      </c>
      <c r="B205">
        <v>58754137</v>
      </c>
      <c r="C205">
        <v>58312361</v>
      </c>
      <c r="D205">
        <v>57688464</v>
      </c>
      <c r="E205">
        <v>1</v>
      </c>
      <c r="F205">
        <v>1</v>
      </c>
      <c r="G205">
        <v>1080</v>
      </c>
      <c r="H205">
        <v>3</v>
      </c>
      <c r="I205" t="s">
        <v>557</v>
      </c>
      <c r="J205" t="s">
        <v>558</v>
      </c>
      <c r="K205" t="s">
        <v>559</v>
      </c>
      <c r="L205">
        <v>1358</v>
      </c>
      <c r="N205">
        <v>1010</v>
      </c>
      <c r="O205" t="s">
        <v>560</v>
      </c>
      <c r="P205" t="s">
        <v>560</v>
      </c>
      <c r="Q205">
        <v>10</v>
      </c>
      <c r="X205">
        <v>0.01</v>
      </c>
      <c r="Y205">
        <v>5.46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0.01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">
      <c r="A206">
        <f>ROW(Source!A288)</f>
        <v>288</v>
      </c>
      <c r="B206">
        <v>58754138</v>
      </c>
      <c r="C206">
        <v>58312361</v>
      </c>
      <c r="D206">
        <v>57687873</v>
      </c>
      <c r="E206">
        <v>1</v>
      </c>
      <c r="F206">
        <v>1</v>
      </c>
      <c r="G206">
        <v>1080</v>
      </c>
      <c r="H206">
        <v>3</v>
      </c>
      <c r="I206" t="s">
        <v>561</v>
      </c>
      <c r="J206" t="s">
        <v>562</v>
      </c>
      <c r="K206" t="s">
        <v>563</v>
      </c>
      <c r="L206">
        <v>1356</v>
      </c>
      <c r="N206">
        <v>1010</v>
      </c>
      <c r="O206" t="s">
        <v>485</v>
      </c>
      <c r="P206" t="s">
        <v>485</v>
      </c>
      <c r="Q206">
        <v>1000</v>
      </c>
      <c r="X206">
        <v>0.11</v>
      </c>
      <c r="Y206">
        <v>919.92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0.11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">
      <c r="A207">
        <f>ROW(Source!A288)</f>
        <v>288</v>
      </c>
      <c r="B207">
        <v>58754139</v>
      </c>
      <c r="C207">
        <v>58312361</v>
      </c>
      <c r="D207">
        <v>57631403</v>
      </c>
      <c r="E207">
        <v>1080</v>
      </c>
      <c r="F207">
        <v>1</v>
      </c>
      <c r="G207">
        <v>1080</v>
      </c>
      <c r="H207">
        <v>3</v>
      </c>
      <c r="I207" t="s">
        <v>564</v>
      </c>
      <c r="J207" t="s">
        <v>3</v>
      </c>
      <c r="K207" t="s">
        <v>565</v>
      </c>
      <c r="L207">
        <v>1301</v>
      </c>
      <c r="N207">
        <v>1003</v>
      </c>
      <c r="O207" t="s">
        <v>286</v>
      </c>
      <c r="P207" t="s">
        <v>286</v>
      </c>
      <c r="Q207">
        <v>1</v>
      </c>
      <c r="X207">
        <v>102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</v>
      </c>
      <c r="AG207">
        <v>102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>
        <f>ROW(Source!A288)</f>
        <v>288</v>
      </c>
      <c r="B208">
        <v>58754140</v>
      </c>
      <c r="C208">
        <v>58312361</v>
      </c>
      <c r="D208">
        <v>57635042</v>
      </c>
      <c r="E208">
        <v>1080</v>
      </c>
      <c r="F208">
        <v>1</v>
      </c>
      <c r="G208">
        <v>1080</v>
      </c>
      <c r="H208">
        <v>3</v>
      </c>
      <c r="I208" t="s">
        <v>566</v>
      </c>
      <c r="J208" t="s">
        <v>3</v>
      </c>
      <c r="K208" t="s">
        <v>567</v>
      </c>
      <c r="L208">
        <v>1354</v>
      </c>
      <c r="N208">
        <v>1010</v>
      </c>
      <c r="O208" t="s">
        <v>32</v>
      </c>
      <c r="P208" t="s">
        <v>32</v>
      </c>
      <c r="Q208">
        <v>1</v>
      </c>
      <c r="X208">
        <v>18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</v>
      </c>
      <c r="AG208">
        <v>18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">
      <c r="A209">
        <f>ROW(Source!A288)</f>
        <v>288</v>
      </c>
      <c r="B209">
        <v>58754141</v>
      </c>
      <c r="C209">
        <v>58312361</v>
      </c>
      <c r="D209">
        <v>57635054</v>
      </c>
      <c r="E209">
        <v>1080</v>
      </c>
      <c r="F209">
        <v>1</v>
      </c>
      <c r="G209">
        <v>1080</v>
      </c>
      <c r="H209">
        <v>3</v>
      </c>
      <c r="I209" t="s">
        <v>568</v>
      </c>
      <c r="J209" t="s">
        <v>3</v>
      </c>
      <c r="K209" t="s">
        <v>569</v>
      </c>
      <c r="L209">
        <v>1356</v>
      </c>
      <c r="N209">
        <v>1010</v>
      </c>
      <c r="O209" t="s">
        <v>485</v>
      </c>
      <c r="P209" t="s">
        <v>485</v>
      </c>
      <c r="Q209">
        <v>1000</v>
      </c>
      <c r="X209">
        <v>1.7999999999999999E-2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</v>
      </c>
      <c r="AG209">
        <v>1.7999999999999999E-2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">
      <c r="A210">
        <f>ROW(Source!A288)</f>
        <v>288</v>
      </c>
      <c r="B210">
        <v>58754142</v>
      </c>
      <c r="C210">
        <v>58312361</v>
      </c>
      <c r="D210">
        <v>57637110</v>
      </c>
      <c r="E210">
        <v>1080</v>
      </c>
      <c r="F210">
        <v>1</v>
      </c>
      <c r="G210">
        <v>1080</v>
      </c>
      <c r="H210">
        <v>3</v>
      </c>
      <c r="I210" t="s">
        <v>570</v>
      </c>
      <c r="J210" t="s">
        <v>3</v>
      </c>
      <c r="K210" t="s">
        <v>571</v>
      </c>
      <c r="L210">
        <v>1354</v>
      </c>
      <c r="N210">
        <v>1010</v>
      </c>
      <c r="O210" t="s">
        <v>32</v>
      </c>
      <c r="P210" t="s">
        <v>32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">
      <c r="A211">
        <f>ROW(Source!A289)</f>
        <v>289</v>
      </c>
      <c r="B211">
        <v>58754129</v>
      </c>
      <c r="C211">
        <v>58312361</v>
      </c>
      <c r="D211">
        <v>57621905</v>
      </c>
      <c r="E211">
        <v>1080</v>
      </c>
      <c r="F211">
        <v>1</v>
      </c>
      <c r="G211">
        <v>1080</v>
      </c>
      <c r="H211">
        <v>1</v>
      </c>
      <c r="I211" t="s">
        <v>392</v>
      </c>
      <c r="J211" t="s">
        <v>3</v>
      </c>
      <c r="K211" t="s">
        <v>393</v>
      </c>
      <c r="L211">
        <v>1191</v>
      </c>
      <c r="N211">
        <v>1013</v>
      </c>
      <c r="O211" t="s">
        <v>394</v>
      </c>
      <c r="P211" t="s">
        <v>394</v>
      </c>
      <c r="Q211">
        <v>1</v>
      </c>
      <c r="X211">
        <v>20.7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24</v>
      </c>
      <c r="AG211">
        <v>22.77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3">
      <c r="A212">
        <f>ROW(Source!A289)</f>
        <v>289</v>
      </c>
      <c r="B212">
        <v>58754130</v>
      </c>
      <c r="C212">
        <v>58312361</v>
      </c>
      <c r="D212">
        <v>57695780</v>
      </c>
      <c r="E212">
        <v>1</v>
      </c>
      <c r="F212">
        <v>1</v>
      </c>
      <c r="G212">
        <v>1080</v>
      </c>
      <c r="H212">
        <v>2</v>
      </c>
      <c r="I212" t="s">
        <v>544</v>
      </c>
      <c r="J212" t="s">
        <v>545</v>
      </c>
      <c r="K212" t="s">
        <v>546</v>
      </c>
      <c r="L212">
        <v>1368</v>
      </c>
      <c r="N212">
        <v>1011</v>
      </c>
      <c r="O212" t="s">
        <v>398</v>
      </c>
      <c r="P212" t="s">
        <v>398</v>
      </c>
      <c r="Q212">
        <v>1</v>
      </c>
      <c r="X212">
        <v>2.33</v>
      </c>
      <c r="Y212">
        <v>0</v>
      </c>
      <c r="Z212">
        <v>7.11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24</v>
      </c>
      <c r="AG212">
        <v>2.5630000000000002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">
      <c r="A213">
        <f>ROW(Source!A289)</f>
        <v>289</v>
      </c>
      <c r="B213">
        <v>58754131</v>
      </c>
      <c r="C213">
        <v>58312361</v>
      </c>
      <c r="D213">
        <v>57696079</v>
      </c>
      <c r="E213">
        <v>1</v>
      </c>
      <c r="F213">
        <v>1</v>
      </c>
      <c r="G213">
        <v>1080</v>
      </c>
      <c r="H213">
        <v>2</v>
      </c>
      <c r="I213" t="s">
        <v>395</v>
      </c>
      <c r="J213" t="s">
        <v>396</v>
      </c>
      <c r="K213" t="s">
        <v>397</v>
      </c>
      <c r="L213">
        <v>1368</v>
      </c>
      <c r="N213">
        <v>1011</v>
      </c>
      <c r="O213" t="s">
        <v>398</v>
      </c>
      <c r="P213" t="s">
        <v>398</v>
      </c>
      <c r="Q213">
        <v>1</v>
      </c>
      <c r="X213">
        <v>0.1</v>
      </c>
      <c r="Y213">
        <v>0</v>
      </c>
      <c r="Z213">
        <v>83.1</v>
      </c>
      <c r="AA213">
        <v>12.62</v>
      </c>
      <c r="AB213">
        <v>0</v>
      </c>
      <c r="AC213">
        <v>0</v>
      </c>
      <c r="AD213">
        <v>1</v>
      </c>
      <c r="AE213">
        <v>0</v>
      </c>
      <c r="AF213" t="s">
        <v>24</v>
      </c>
      <c r="AG213">
        <v>0.11000000000000001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">
      <c r="A214">
        <f>ROW(Source!A289)</f>
        <v>289</v>
      </c>
      <c r="B214">
        <v>58754132</v>
      </c>
      <c r="C214">
        <v>58312361</v>
      </c>
      <c r="D214">
        <v>57696131</v>
      </c>
      <c r="E214">
        <v>1</v>
      </c>
      <c r="F214">
        <v>1</v>
      </c>
      <c r="G214">
        <v>1080</v>
      </c>
      <c r="H214">
        <v>2</v>
      </c>
      <c r="I214" t="s">
        <v>488</v>
      </c>
      <c r="J214" t="s">
        <v>489</v>
      </c>
      <c r="K214" t="s">
        <v>490</v>
      </c>
      <c r="L214">
        <v>1368</v>
      </c>
      <c r="N214">
        <v>1011</v>
      </c>
      <c r="O214" t="s">
        <v>398</v>
      </c>
      <c r="P214" t="s">
        <v>398</v>
      </c>
      <c r="Q214">
        <v>1</v>
      </c>
      <c r="X214">
        <v>4.17</v>
      </c>
      <c r="Y214">
        <v>0</v>
      </c>
      <c r="Z214">
        <v>0.77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24</v>
      </c>
      <c r="AG214">
        <v>4.5870000000000006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">
      <c r="A215">
        <f>ROW(Source!A289)</f>
        <v>289</v>
      </c>
      <c r="B215">
        <v>58754133</v>
      </c>
      <c r="C215">
        <v>58312361</v>
      </c>
      <c r="D215">
        <v>57665459</v>
      </c>
      <c r="E215">
        <v>1</v>
      </c>
      <c r="F215">
        <v>1</v>
      </c>
      <c r="G215">
        <v>1080</v>
      </c>
      <c r="H215">
        <v>3</v>
      </c>
      <c r="I215" t="s">
        <v>547</v>
      </c>
      <c r="J215" t="s">
        <v>548</v>
      </c>
      <c r="K215" t="s">
        <v>549</v>
      </c>
      <c r="L215">
        <v>1348</v>
      </c>
      <c r="N215">
        <v>1009</v>
      </c>
      <c r="O215" t="s">
        <v>165</v>
      </c>
      <c r="P215" t="s">
        <v>165</v>
      </c>
      <c r="Q215">
        <v>1000</v>
      </c>
      <c r="X215">
        <v>9.6000000000000002E-4</v>
      </c>
      <c r="Y215">
        <v>8590.86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9.6000000000000002E-4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">
      <c r="A216">
        <f>ROW(Source!A289)</f>
        <v>289</v>
      </c>
      <c r="B216">
        <v>58754134</v>
      </c>
      <c r="C216">
        <v>58312361</v>
      </c>
      <c r="D216">
        <v>57664417</v>
      </c>
      <c r="E216">
        <v>1</v>
      </c>
      <c r="F216">
        <v>1</v>
      </c>
      <c r="G216">
        <v>1080</v>
      </c>
      <c r="H216">
        <v>3</v>
      </c>
      <c r="I216" t="s">
        <v>403</v>
      </c>
      <c r="J216" t="s">
        <v>404</v>
      </c>
      <c r="K216" t="s">
        <v>405</v>
      </c>
      <c r="L216">
        <v>1354</v>
      </c>
      <c r="N216">
        <v>1010</v>
      </c>
      <c r="O216" t="s">
        <v>32</v>
      </c>
      <c r="P216" t="s">
        <v>32</v>
      </c>
      <c r="Q216">
        <v>1</v>
      </c>
      <c r="X216">
        <v>220</v>
      </c>
      <c r="Y216">
        <v>3.86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220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">
      <c r="A217">
        <f>ROW(Source!A289)</f>
        <v>289</v>
      </c>
      <c r="B217">
        <v>58754135</v>
      </c>
      <c r="C217">
        <v>58312361</v>
      </c>
      <c r="D217">
        <v>57666737</v>
      </c>
      <c r="E217">
        <v>1</v>
      </c>
      <c r="F217">
        <v>1</v>
      </c>
      <c r="G217">
        <v>1080</v>
      </c>
      <c r="H217">
        <v>3</v>
      </c>
      <c r="I217" t="s">
        <v>550</v>
      </c>
      <c r="J217" t="s">
        <v>551</v>
      </c>
      <c r="K217" t="s">
        <v>552</v>
      </c>
      <c r="L217">
        <v>1296</v>
      </c>
      <c r="N217">
        <v>1002</v>
      </c>
      <c r="O217" t="s">
        <v>553</v>
      </c>
      <c r="P217" t="s">
        <v>553</v>
      </c>
      <c r="Q217">
        <v>1</v>
      </c>
      <c r="X217">
        <v>0.157</v>
      </c>
      <c r="Y217">
        <v>35.4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0.157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">
      <c r="A218">
        <f>ROW(Source!A289)</f>
        <v>289</v>
      </c>
      <c r="B218">
        <v>58754136</v>
      </c>
      <c r="C218">
        <v>58312361</v>
      </c>
      <c r="D218">
        <v>57664894</v>
      </c>
      <c r="E218">
        <v>1</v>
      </c>
      <c r="F218">
        <v>1</v>
      </c>
      <c r="G218">
        <v>1080</v>
      </c>
      <c r="H218">
        <v>3</v>
      </c>
      <c r="I218" t="s">
        <v>554</v>
      </c>
      <c r="J218" t="s">
        <v>555</v>
      </c>
      <c r="K218" t="s">
        <v>556</v>
      </c>
      <c r="L218">
        <v>1348</v>
      </c>
      <c r="N218">
        <v>1009</v>
      </c>
      <c r="O218" t="s">
        <v>165</v>
      </c>
      <c r="P218" t="s">
        <v>165</v>
      </c>
      <c r="Q218">
        <v>1000</v>
      </c>
      <c r="X218">
        <v>2.0999999999999999E-3</v>
      </c>
      <c r="Y218">
        <v>7973.67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2.0999999999999999E-3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">
      <c r="A219">
        <f>ROW(Source!A289)</f>
        <v>289</v>
      </c>
      <c r="B219">
        <v>58754137</v>
      </c>
      <c r="C219">
        <v>58312361</v>
      </c>
      <c r="D219">
        <v>57688464</v>
      </c>
      <c r="E219">
        <v>1</v>
      </c>
      <c r="F219">
        <v>1</v>
      </c>
      <c r="G219">
        <v>1080</v>
      </c>
      <c r="H219">
        <v>3</v>
      </c>
      <c r="I219" t="s">
        <v>557</v>
      </c>
      <c r="J219" t="s">
        <v>558</v>
      </c>
      <c r="K219" t="s">
        <v>559</v>
      </c>
      <c r="L219">
        <v>1358</v>
      </c>
      <c r="N219">
        <v>1010</v>
      </c>
      <c r="O219" t="s">
        <v>560</v>
      </c>
      <c r="P219" t="s">
        <v>560</v>
      </c>
      <c r="Q219">
        <v>10</v>
      </c>
      <c r="X219">
        <v>0.01</v>
      </c>
      <c r="Y219">
        <v>5.46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0.01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">
      <c r="A220">
        <f>ROW(Source!A289)</f>
        <v>289</v>
      </c>
      <c r="B220">
        <v>58754138</v>
      </c>
      <c r="C220">
        <v>58312361</v>
      </c>
      <c r="D220">
        <v>57687873</v>
      </c>
      <c r="E220">
        <v>1</v>
      </c>
      <c r="F220">
        <v>1</v>
      </c>
      <c r="G220">
        <v>1080</v>
      </c>
      <c r="H220">
        <v>3</v>
      </c>
      <c r="I220" t="s">
        <v>561</v>
      </c>
      <c r="J220" t="s">
        <v>562</v>
      </c>
      <c r="K220" t="s">
        <v>563</v>
      </c>
      <c r="L220">
        <v>1356</v>
      </c>
      <c r="N220">
        <v>1010</v>
      </c>
      <c r="O220" t="s">
        <v>485</v>
      </c>
      <c r="P220" t="s">
        <v>485</v>
      </c>
      <c r="Q220">
        <v>1000</v>
      </c>
      <c r="X220">
        <v>0.11</v>
      </c>
      <c r="Y220">
        <v>919.92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0.11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">
      <c r="A221">
        <f>ROW(Source!A289)</f>
        <v>289</v>
      </c>
      <c r="B221">
        <v>58754139</v>
      </c>
      <c r="C221">
        <v>58312361</v>
      </c>
      <c r="D221">
        <v>57631403</v>
      </c>
      <c r="E221">
        <v>1080</v>
      </c>
      <c r="F221">
        <v>1</v>
      </c>
      <c r="G221">
        <v>1080</v>
      </c>
      <c r="H221">
        <v>3</v>
      </c>
      <c r="I221" t="s">
        <v>564</v>
      </c>
      <c r="J221" t="s">
        <v>3</v>
      </c>
      <c r="K221" t="s">
        <v>565</v>
      </c>
      <c r="L221">
        <v>1301</v>
      </c>
      <c r="N221">
        <v>1003</v>
      </c>
      <c r="O221" t="s">
        <v>286</v>
      </c>
      <c r="P221" t="s">
        <v>286</v>
      </c>
      <c r="Q221">
        <v>1</v>
      </c>
      <c r="X221">
        <v>102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</v>
      </c>
      <c r="AG221">
        <v>102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">
      <c r="A222">
        <f>ROW(Source!A289)</f>
        <v>289</v>
      </c>
      <c r="B222">
        <v>58754140</v>
      </c>
      <c r="C222">
        <v>58312361</v>
      </c>
      <c r="D222">
        <v>57635042</v>
      </c>
      <c r="E222">
        <v>1080</v>
      </c>
      <c r="F222">
        <v>1</v>
      </c>
      <c r="G222">
        <v>1080</v>
      </c>
      <c r="H222">
        <v>3</v>
      </c>
      <c r="I222" t="s">
        <v>566</v>
      </c>
      <c r="J222" t="s">
        <v>3</v>
      </c>
      <c r="K222" t="s">
        <v>567</v>
      </c>
      <c r="L222">
        <v>1354</v>
      </c>
      <c r="N222">
        <v>1010</v>
      </c>
      <c r="O222" t="s">
        <v>32</v>
      </c>
      <c r="P222" t="s">
        <v>32</v>
      </c>
      <c r="Q222">
        <v>1</v>
      </c>
      <c r="X222">
        <v>18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3</v>
      </c>
      <c r="AG222">
        <v>18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">
      <c r="A223">
        <f>ROW(Source!A289)</f>
        <v>289</v>
      </c>
      <c r="B223">
        <v>58754141</v>
      </c>
      <c r="C223">
        <v>58312361</v>
      </c>
      <c r="D223">
        <v>57635054</v>
      </c>
      <c r="E223">
        <v>1080</v>
      </c>
      <c r="F223">
        <v>1</v>
      </c>
      <c r="G223">
        <v>1080</v>
      </c>
      <c r="H223">
        <v>3</v>
      </c>
      <c r="I223" t="s">
        <v>568</v>
      </c>
      <c r="J223" t="s">
        <v>3</v>
      </c>
      <c r="K223" t="s">
        <v>569</v>
      </c>
      <c r="L223">
        <v>1356</v>
      </c>
      <c r="N223">
        <v>1010</v>
      </c>
      <c r="O223" t="s">
        <v>485</v>
      </c>
      <c r="P223" t="s">
        <v>485</v>
      </c>
      <c r="Q223">
        <v>1000</v>
      </c>
      <c r="X223">
        <v>1.7999999999999999E-2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3</v>
      </c>
      <c r="AG223">
        <v>1.7999999999999999E-2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3">
      <c r="A224">
        <f>ROW(Source!A289)</f>
        <v>289</v>
      </c>
      <c r="B224">
        <v>58754142</v>
      </c>
      <c r="C224">
        <v>58312361</v>
      </c>
      <c r="D224">
        <v>57637110</v>
      </c>
      <c r="E224">
        <v>1080</v>
      </c>
      <c r="F224">
        <v>1</v>
      </c>
      <c r="G224">
        <v>1080</v>
      </c>
      <c r="H224">
        <v>3</v>
      </c>
      <c r="I224" t="s">
        <v>570</v>
      </c>
      <c r="J224" t="s">
        <v>3</v>
      </c>
      <c r="K224" t="s">
        <v>571</v>
      </c>
      <c r="L224">
        <v>1354</v>
      </c>
      <c r="N224">
        <v>1010</v>
      </c>
      <c r="O224" t="s">
        <v>32</v>
      </c>
      <c r="P224" t="s">
        <v>32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3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">
      <c r="A225">
        <f>ROW(Source!A292)</f>
        <v>292</v>
      </c>
      <c r="B225">
        <v>58754143</v>
      </c>
      <c r="C225">
        <v>58312388</v>
      </c>
      <c r="D225">
        <v>57621905</v>
      </c>
      <c r="E225">
        <v>1080</v>
      </c>
      <c r="F225">
        <v>1</v>
      </c>
      <c r="G225">
        <v>1080</v>
      </c>
      <c r="H225">
        <v>1</v>
      </c>
      <c r="I225" t="s">
        <v>392</v>
      </c>
      <c r="J225" t="s">
        <v>3</v>
      </c>
      <c r="K225" t="s">
        <v>393</v>
      </c>
      <c r="L225">
        <v>1191</v>
      </c>
      <c r="N225">
        <v>1013</v>
      </c>
      <c r="O225" t="s">
        <v>394</v>
      </c>
      <c r="P225" t="s">
        <v>394</v>
      </c>
      <c r="Q225">
        <v>1</v>
      </c>
      <c r="X225">
        <v>4.55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 t="s">
        <v>24</v>
      </c>
      <c r="AG225">
        <v>5.0049999999999999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">
      <c r="A226">
        <f>ROW(Source!A292)</f>
        <v>292</v>
      </c>
      <c r="B226">
        <v>58754144</v>
      </c>
      <c r="C226">
        <v>58312388</v>
      </c>
      <c r="D226">
        <v>57688144</v>
      </c>
      <c r="E226">
        <v>1</v>
      </c>
      <c r="F226">
        <v>1</v>
      </c>
      <c r="G226">
        <v>1080</v>
      </c>
      <c r="H226">
        <v>3</v>
      </c>
      <c r="I226" t="s">
        <v>500</v>
      </c>
      <c r="J226" t="s">
        <v>501</v>
      </c>
      <c r="K226" t="s">
        <v>502</v>
      </c>
      <c r="L226">
        <v>1356</v>
      </c>
      <c r="N226">
        <v>1010</v>
      </c>
      <c r="O226" t="s">
        <v>485</v>
      </c>
      <c r="P226" t="s">
        <v>485</v>
      </c>
      <c r="Q226">
        <v>1000</v>
      </c>
      <c r="X226">
        <v>1.7000000000000001E-2</v>
      </c>
      <c r="Y226">
        <v>226.66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1.7000000000000001E-2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">
      <c r="A227">
        <f>ROW(Source!A292)</f>
        <v>292</v>
      </c>
      <c r="B227">
        <v>58754145</v>
      </c>
      <c r="C227">
        <v>58312388</v>
      </c>
      <c r="D227">
        <v>57687918</v>
      </c>
      <c r="E227">
        <v>1</v>
      </c>
      <c r="F227">
        <v>1</v>
      </c>
      <c r="G227">
        <v>1080</v>
      </c>
      <c r="H227">
        <v>3</v>
      </c>
      <c r="I227" t="s">
        <v>503</v>
      </c>
      <c r="J227" t="s">
        <v>504</v>
      </c>
      <c r="K227" t="s">
        <v>505</v>
      </c>
      <c r="L227">
        <v>1355</v>
      </c>
      <c r="N227">
        <v>1010</v>
      </c>
      <c r="O227" t="s">
        <v>223</v>
      </c>
      <c r="P227" t="s">
        <v>223</v>
      </c>
      <c r="Q227">
        <v>100</v>
      </c>
      <c r="X227">
        <v>0.38600000000000001</v>
      </c>
      <c r="Y227">
        <v>26.71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0.38600000000000001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">
      <c r="A228">
        <f>ROW(Source!A292)</f>
        <v>292</v>
      </c>
      <c r="B228">
        <v>58754146</v>
      </c>
      <c r="C228">
        <v>58312388</v>
      </c>
      <c r="D228">
        <v>57641916</v>
      </c>
      <c r="E228">
        <v>1080</v>
      </c>
      <c r="F228">
        <v>1</v>
      </c>
      <c r="G228">
        <v>1080</v>
      </c>
      <c r="H228">
        <v>3</v>
      </c>
      <c r="I228" t="s">
        <v>513</v>
      </c>
      <c r="J228" t="s">
        <v>3</v>
      </c>
      <c r="K228" t="s">
        <v>514</v>
      </c>
      <c r="L228">
        <v>1303</v>
      </c>
      <c r="N228">
        <v>1003</v>
      </c>
      <c r="O228" t="s">
        <v>295</v>
      </c>
      <c r="P228" t="s">
        <v>295</v>
      </c>
      <c r="Q228">
        <v>1000</v>
      </c>
      <c r="X228">
        <v>0.10199999999999999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0.10199999999999999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">
      <c r="A229">
        <f>ROW(Source!A293)</f>
        <v>293</v>
      </c>
      <c r="B229">
        <v>58754143</v>
      </c>
      <c r="C229">
        <v>58312388</v>
      </c>
      <c r="D229">
        <v>57621905</v>
      </c>
      <c r="E229">
        <v>1080</v>
      </c>
      <c r="F229">
        <v>1</v>
      </c>
      <c r="G229">
        <v>1080</v>
      </c>
      <c r="H229">
        <v>1</v>
      </c>
      <c r="I229" t="s">
        <v>392</v>
      </c>
      <c r="J229" t="s">
        <v>3</v>
      </c>
      <c r="K229" t="s">
        <v>393</v>
      </c>
      <c r="L229">
        <v>1191</v>
      </c>
      <c r="N229">
        <v>1013</v>
      </c>
      <c r="O229" t="s">
        <v>394</v>
      </c>
      <c r="P229" t="s">
        <v>394</v>
      </c>
      <c r="Q229">
        <v>1</v>
      </c>
      <c r="X229">
        <v>4.55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24</v>
      </c>
      <c r="AG229">
        <v>5.0049999999999999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">
      <c r="A230">
        <f>ROW(Source!A293)</f>
        <v>293</v>
      </c>
      <c r="B230">
        <v>58754144</v>
      </c>
      <c r="C230">
        <v>58312388</v>
      </c>
      <c r="D230">
        <v>57688144</v>
      </c>
      <c r="E230">
        <v>1</v>
      </c>
      <c r="F230">
        <v>1</v>
      </c>
      <c r="G230">
        <v>1080</v>
      </c>
      <c r="H230">
        <v>3</v>
      </c>
      <c r="I230" t="s">
        <v>500</v>
      </c>
      <c r="J230" t="s">
        <v>501</v>
      </c>
      <c r="K230" t="s">
        <v>502</v>
      </c>
      <c r="L230">
        <v>1356</v>
      </c>
      <c r="N230">
        <v>1010</v>
      </c>
      <c r="O230" t="s">
        <v>485</v>
      </c>
      <c r="P230" t="s">
        <v>485</v>
      </c>
      <c r="Q230">
        <v>1000</v>
      </c>
      <c r="X230">
        <v>1.7000000000000001E-2</v>
      </c>
      <c r="Y230">
        <v>226.66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1.7000000000000001E-2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">
      <c r="A231">
        <f>ROW(Source!A293)</f>
        <v>293</v>
      </c>
      <c r="B231">
        <v>58754145</v>
      </c>
      <c r="C231">
        <v>58312388</v>
      </c>
      <c r="D231">
        <v>57687918</v>
      </c>
      <c r="E231">
        <v>1</v>
      </c>
      <c r="F231">
        <v>1</v>
      </c>
      <c r="G231">
        <v>1080</v>
      </c>
      <c r="H231">
        <v>3</v>
      </c>
      <c r="I231" t="s">
        <v>503</v>
      </c>
      <c r="J231" t="s">
        <v>504</v>
      </c>
      <c r="K231" t="s">
        <v>505</v>
      </c>
      <c r="L231">
        <v>1355</v>
      </c>
      <c r="N231">
        <v>1010</v>
      </c>
      <c r="O231" t="s">
        <v>223</v>
      </c>
      <c r="P231" t="s">
        <v>223</v>
      </c>
      <c r="Q231">
        <v>100</v>
      </c>
      <c r="X231">
        <v>0.38600000000000001</v>
      </c>
      <c r="Y231">
        <v>26.71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</v>
      </c>
      <c r="AG231">
        <v>0.38600000000000001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">
      <c r="A232">
        <f>ROW(Source!A293)</f>
        <v>293</v>
      </c>
      <c r="B232">
        <v>58754146</v>
      </c>
      <c r="C232">
        <v>58312388</v>
      </c>
      <c r="D232">
        <v>57641916</v>
      </c>
      <c r="E232">
        <v>1080</v>
      </c>
      <c r="F232">
        <v>1</v>
      </c>
      <c r="G232">
        <v>1080</v>
      </c>
      <c r="H232">
        <v>3</v>
      </c>
      <c r="I232" t="s">
        <v>513</v>
      </c>
      <c r="J232" t="s">
        <v>3</v>
      </c>
      <c r="K232" t="s">
        <v>514</v>
      </c>
      <c r="L232">
        <v>1303</v>
      </c>
      <c r="N232">
        <v>1003</v>
      </c>
      <c r="O232" t="s">
        <v>295</v>
      </c>
      <c r="P232" t="s">
        <v>295</v>
      </c>
      <c r="Q232">
        <v>1000</v>
      </c>
      <c r="X232">
        <v>0.10199999999999999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</v>
      </c>
      <c r="AG232">
        <v>0.10199999999999999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">
      <c r="A233">
        <f>ROW(Source!A306)</f>
        <v>306</v>
      </c>
      <c r="B233">
        <v>58754147</v>
      </c>
      <c r="C233">
        <v>56508510</v>
      </c>
      <c r="D233">
        <v>57621905</v>
      </c>
      <c r="E233">
        <v>1080</v>
      </c>
      <c r="F233">
        <v>1</v>
      </c>
      <c r="G233">
        <v>1080</v>
      </c>
      <c r="H233">
        <v>1</v>
      </c>
      <c r="I233" t="s">
        <v>392</v>
      </c>
      <c r="J233" t="s">
        <v>3</v>
      </c>
      <c r="K233" t="s">
        <v>393</v>
      </c>
      <c r="L233">
        <v>1191</v>
      </c>
      <c r="N233">
        <v>1013</v>
      </c>
      <c r="O233" t="s">
        <v>394</v>
      </c>
      <c r="P233" t="s">
        <v>394</v>
      </c>
      <c r="Q233">
        <v>1</v>
      </c>
      <c r="X233">
        <v>5.29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24</v>
      </c>
      <c r="AG233">
        <v>5.8190000000000008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">
      <c r="A234">
        <f>ROW(Source!A306)</f>
        <v>306</v>
      </c>
      <c r="B234">
        <v>58754148</v>
      </c>
      <c r="C234">
        <v>56508510</v>
      </c>
      <c r="D234">
        <v>57696079</v>
      </c>
      <c r="E234">
        <v>1</v>
      </c>
      <c r="F234">
        <v>1</v>
      </c>
      <c r="G234">
        <v>1080</v>
      </c>
      <c r="H234">
        <v>2</v>
      </c>
      <c r="I234" t="s">
        <v>395</v>
      </c>
      <c r="J234" t="s">
        <v>396</v>
      </c>
      <c r="K234" t="s">
        <v>397</v>
      </c>
      <c r="L234">
        <v>1368</v>
      </c>
      <c r="N234">
        <v>1011</v>
      </c>
      <c r="O234" t="s">
        <v>398</v>
      </c>
      <c r="P234" t="s">
        <v>398</v>
      </c>
      <c r="Q234">
        <v>1</v>
      </c>
      <c r="X234">
        <v>0.01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24</v>
      </c>
      <c r="AG234">
        <v>1.1000000000000001E-2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">
      <c r="A235">
        <f>ROW(Source!A306)</f>
        <v>306</v>
      </c>
      <c r="B235">
        <v>58754149</v>
      </c>
      <c r="C235">
        <v>56508510</v>
      </c>
      <c r="D235">
        <v>57695315</v>
      </c>
      <c r="E235">
        <v>1</v>
      </c>
      <c r="F235">
        <v>1</v>
      </c>
      <c r="G235">
        <v>1080</v>
      </c>
      <c r="H235">
        <v>2</v>
      </c>
      <c r="I235" t="s">
        <v>515</v>
      </c>
      <c r="J235" t="s">
        <v>516</v>
      </c>
      <c r="K235" t="s">
        <v>517</v>
      </c>
      <c r="L235">
        <v>1368</v>
      </c>
      <c r="N235">
        <v>1011</v>
      </c>
      <c r="O235" t="s">
        <v>398</v>
      </c>
      <c r="P235" t="s">
        <v>398</v>
      </c>
      <c r="Q235">
        <v>1</v>
      </c>
      <c r="X235">
        <v>0.01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24</v>
      </c>
      <c r="AG235">
        <v>1.1000000000000001E-2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">
      <c r="A236">
        <f>ROW(Source!A306)</f>
        <v>306</v>
      </c>
      <c r="B236">
        <v>58754150</v>
      </c>
      <c r="C236">
        <v>56508510</v>
      </c>
      <c r="D236">
        <v>57688100</v>
      </c>
      <c r="E236">
        <v>1</v>
      </c>
      <c r="F236">
        <v>1</v>
      </c>
      <c r="G236">
        <v>1080</v>
      </c>
      <c r="H236">
        <v>3</v>
      </c>
      <c r="I236" t="s">
        <v>572</v>
      </c>
      <c r="J236" t="s">
        <v>573</v>
      </c>
      <c r="K236" t="s">
        <v>574</v>
      </c>
      <c r="L236">
        <v>1355</v>
      </c>
      <c r="N236">
        <v>1010</v>
      </c>
      <c r="O236" t="s">
        <v>223</v>
      </c>
      <c r="P236" t="s">
        <v>223</v>
      </c>
      <c r="Q236">
        <v>100</v>
      </c>
      <c r="X236">
        <v>2.1093999999999999</v>
      </c>
      <c r="Y236">
        <v>59.47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2.1093999999999999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">
      <c r="A237">
        <f>ROW(Source!A306)</f>
        <v>306</v>
      </c>
      <c r="B237">
        <v>58754151</v>
      </c>
      <c r="C237">
        <v>56508510</v>
      </c>
      <c r="D237">
        <v>57688145</v>
      </c>
      <c r="E237">
        <v>1</v>
      </c>
      <c r="F237">
        <v>1</v>
      </c>
      <c r="G237">
        <v>1080</v>
      </c>
      <c r="H237">
        <v>3</v>
      </c>
      <c r="I237" t="s">
        <v>575</v>
      </c>
      <c r="J237" t="s">
        <v>576</v>
      </c>
      <c r="K237" t="s">
        <v>577</v>
      </c>
      <c r="L237">
        <v>1356</v>
      </c>
      <c r="N237">
        <v>1010</v>
      </c>
      <c r="O237" t="s">
        <v>485</v>
      </c>
      <c r="P237" t="s">
        <v>485</v>
      </c>
      <c r="Q237">
        <v>1000</v>
      </c>
      <c r="X237">
        <v>6.8999999999999999E-3</v>
      </c>
      <c r="Y237">
        <v>56.16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6.8999999999999999E-3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">
      <c r="A238">
        <f>ROW(Source!A306)</f>
        <v>306</v>
      </c>
      <c r="B238">
        <v>58754152</v>
      </c>
      <c r="C238">
        <v>56508510</v>
      </c>
      <c r="D238">
        <v>57637372</v>
      </c>
      <c r="E238">
        <v>1080</v>
      </c>
      <c r="F238">
        <v>1</v>
      </c>
      <c r="G238">
        <v>1080</v>
      </c>
      <c r="H238">
        <v>3</v>
      </c>
      <c r="I238" t="s">
        <v>536</v>
      </c>
      <c r="J238" t="s">
        <v>3</v>
      </c>
      <c r="K238" t="s">
        <v>578</v>
      </c>
      <c r="L238">
        <v>1303</v>
      </c>
      <c r="N238">
        <v>1003</v>
      </c>
      <c r="O238" t="s">
        <v>295</v>
      </c>
      <c r="P238" t="s">
        <v>295</v>
      </c>
      <c r="Q238">
        <v>1000</v>
      </c>
      <c r="X238">
        <v>0.10199999999999999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</v>
      </c>
      <c r="AG238">
        <v>0.10199999999999999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">
      <c r="A239">
        <f>ROW(Source!A307)</f>
        <v>307</v>
      </c>
      <c r="B239">
        <v>58754147</v>
      </c>
      <c r="C239">
        <v>56508510</v>
      </c>
      <c r="D239">
        <v>57621905</v>
      </c>
      <c r="E239">
        <v>1080</v>
      </c>
      <c r="F239">
        <v>1</v>
      </c>
      <c r="G239">
        <v>1080</v>
      </c>
      <c r="H239">
        <v>1</v>
      </c>
      <c r="I239" t="s">
        <v>392</v>
      </c>
      <c r="J239" t="s">
        <v>3</v>
      </c>
      <c r="K239" t="s">
        <v>393</v>
      </c>
      <c r="L239">
        <v>1191</v>
      </c>
      <c r="N239">
        <v>1013</v>
      </c>
      <c r="O239" t="s">
        <v>394</v>
      </c>
      <c r="P239" t="s">
        <v>394</v>
      </c>
      <c r="Q239">
        <v>1</v>
      </c>
      <c r="X239">
        <v>5.29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 t="s">
        <v>24</v>
      </c>
      <c r="AG239">
        <v>5.8190000000000008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">
      <c r="A240">
        <f>ROW(Source!A307)</f>
        <v>307</v>
      </c>
      <c r="B240">
        <v>58754148</v>
      </c>
      <c r="C240">
        <v>56508510</v>
      </c>
      <c r="D240">
        <v>57696079</v>
      </c>
      <c r="E240">
        <v>1</v>
      </c>
      <c r="F240">
        <v>1</v>
      </c>
      <c r="G240">
        <v>1080</v>
      </c>
      <c r="H240">
        <v>2</v>
      </c>
      <c r="I240" t="s">
        <v>395</v>
      </c>
      <c r="J240" t="s">
        <v>396</v>
      </c>
      <c r="K240" t="s">
        <v>397</v>
      </c>
      <c r="L240">
        <v>1368</v>
      </c>
      <c r="N240">
        <v>1011</v>
      </c>
      <c r="O240" t="s">
        <v>398</v>
      </c>
      <c r="P240" t="s">
        <v>398</v>
      </c>
      <c r="Q240">
        <v>1</v>
      </c>
      <c r="X240">
        <v>0.01</v>
      </c>
      <c r="Y240">
        <v>0</v>
      </c>
      <c r="Z240">
        <v>83.1</v>
      </c>
      <c r="AA240">
        <v>12.62</v>
      </c>
      <c r="AB240">
        <v>0</v>
      </c>
      <c r="AC240">
        <v>0</v>
      </c>
      <c r="AD240">
        <v>1</v>
      </c>
      <c r="AE240">
        <v>0</v>
      </c>
      <c r="AF240" t="s">
        <v>24</v>
      </c>
      <c r="AG240">
        <v>1.1000000000000001E-2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3">
      <c r="A241">
        <f>ROW(Source!A307)</f>
        <v>307</v>
      </c>
      <c r="B241">
        <v>58754149</v>
      </c>
      <c r="C241">
        <v>56508510</v>
      </c>
      <c r="D241">
        <v>57695315</v>
      </c>
      <c r="E241">
        <v>1</v>
      </c>
      <c r="F241">
        <v>1</v>
      </c>
      <c r="G241">
        <v>1080</v>
      </c>
      <c r="H241">
        <v>2</v>
      </c>
      <c r="I241" t="s">
        <v>515</v>
      </c>
      <c r="J241" t="s">
        <v>516</v>
      </c>
      <c r="K241" t="s">
        <v>517</v>
      </c>
      <c r="L241">
        <v>1368</v>
      </c>
      <c r="N241">
        <v>1011</v>
      </c>
      <c r="O241" t="s">
        <v>398</v>
      </c>
      <c r="P241" t="s">
        <v>398</v>
      </c>
      <c r="Q241">
        <v>1</v>
      </c>
      <c r="X241">
        <v>0.01</v>
      </c>
      <c r="Y241">
        <v>0</v>
      </c>
      <c r="Z241">
        <v>179.17</v>
      </c>
      <c r="AA241">
        <v>16.93</v>
      </c>
      <c r="AB241">
        <v>0</v>
      </c>
      <c r="AC241">
        <v>0</v>
      </c>
      <c r="AD241">
        <v>1</v>
      </c>
      <c r="AE241">
        <v>0</v>
      </c>
      <c r="AF241" t="s">
        <v>24</v>
      </c>
      <c r="AG241">
        <v>1.1000000000000001E-2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3">
      <c r="A242">
        <f>ROW(Source!A307)</f>
        <v>307</v>
      </c>
      <c r="B242">
        <v>58754150</v>
      </c>
      <c r="C242">
        <v>56508510</v>
      </c>
      <c r="D242">
        <v>57688100</v>
      </c>
      <c r="E242">
        <v>1</v>
      </c>
      <c r="F242">
        <v>1</v>
      </c>
      <c r="G242">
        <v>1080</v>
      </c>
      <c r="H242">
        <v>3</v>
      </c>
      <c r="I242" t="s">
        <v>572</v>
      </c>
      <c r="J242" t="s">
        <v>573</v>
      </c>
      <c r="K242" t="s">
        <v>574</v>
      </c>
      <c r="L242">
        <v>1355</v>
      </c>
      <c r="N242">
        <v>1010</v>
      </c>
      <c r="O242" t="s">
        <v>223</v>
      </c>
      <c r="P242" t="s">
        <v>223</v>
      </c>
      <c r="Q242">
        <v>100</v>
      </c>
      <c r="X242">
        <v>2.1093999999999999</v>
      </c>
      <c r="Y242">
        <v>59.47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2.1093999999999999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3">
      <c r="A243">
        <f>ROW(Source!A307)</f>
        <v>307</v>
      </c>
      <c r="B243">
        <v>58754151</v>
      </c>
      <c r="C243">
        <v>56508510</v>
      </c>
      <c r="D243">
        <v>57688145</v>
      </c>
      <c r="E243">
        <v>1</v>
      </c>
      <c r="F243">
        <v>1</v>
      </c>
      <c r="G243">
        <v>1080</v>
      </c>
      <c r="H243">
        <v>3</v>
      </c>
      <c r="I243" t="s">
        <v>575</v>
      </c>
      <c r="J243" t="s">
        <v>576</v>
      </c>
      <c r="K243" t="s">
        <v>577</v>
      </c>
      <c r="L243">
        <v>1356</v>
      </c>
      <c r="N243">
        <v>1010</v>
      </c>
      <c r="O243" t="s">
        <v>485</v>
      </c>
      <c r="P243" t="s">
        <v>485</v>
      </c>
      <c r="Q243">
        <v>1000</v>
      </c>
      <c r="X243">
        <v>6.8999999999999999E-3</v>
      </c>
      <c r="Y243">
        <v>56.16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6.8999999999999999E-3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3">
      <c r="A244">
        <f>ROW(Source!A307)</f>
        <v>307</v>
      </c>
      <c r="B244">
        <v>58754152</v>
      </c>
      <c r="C244">
        <v>56508510</v>
      </c>
      <c r="D244">
        <v>57637372</v>
      </c>
      <c r="E244">
        <v>1080</v>
      </c>
      <c r="F244">
        <v>1</v>
      </c>
      <c r="G244">
        <v>1080</v>
      </c>
      <c r="H244">
        <v>3</v>
      </c>
      <c r="I244" t="s">
        <v>536</v>
      </c>
      <c r="J244" t="s">
        <v>3</v>
      </c>
      <c r="K244" t="s">
        <v>578</v>
      </c>
      <c r="L244">
        <v>1303</v>
      </c>
      <c r="N244">
        <v>1003</v>
      </c>
      <c r="O244" t="s">
        <v>295</v>
      </c>
      <c r="P244" t="s">
        <v>295</v>
      </c>
      <c r="Q244">
        <v>1000</v>
      </c>
      <c r="X244">
        <v>0.10199999999999999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</v>
      </c>
      <c r="AG244">
        <v>0.10199999999999999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3">
      <c r="A245">
        <f>ROW(Source!A320)</f>
        <v>320</v>
      </c>
      <c r="B245">
        <v>58754153</v>
      </c>
      <c r="C245">
        <v>56509639</v>
      </c>
      <c r="D245">
        <v>57621905</v>
      </c>
      <c r="E245">
        <v>1080</v>
      </c>
      <c r="F245">
        <v>1</v>
      </c>
      <c r="G245">
        <v>1080</v>
      </c>
      <c r="H245">
        <v>1</v>
      </c>
      <c r="I245" t="s">
        <v>392</v>
      </c>
      <c r="J245" t="s">
        <v>3</v>
      </c>
      <c r="K245" t="s">
        <v>393</v>
      </c>
      <c r="L245">
        <v>1191</v>
      </c>
      <c r="N245">
        <v>1013</v>
      </c>
      <c r="O245" t="s">
        <v>394</v>
      </c>
      <c r="P245" t="s">
        <v>394</v>
      </c>
      <c r="Q245">
        <v>1</v>
      </c>
      <c r="X245">
        <v>17.64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24</v>
      </c>
      <c r="AG245">
        <v>19.404000000000003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3">
      <c r="A246">
        <f>ROW(Source!A320)</f>
        <v>320</v>
      </c>
      <c r="B246">
        <v>58754154</v>
      </c>
      <c r="C246">
        <v>56509639</v>
      </c>
      <c r="D246">
        <v>57696079</v>
      </c>
      <c r="E246">
        <v>1</v>
      </c>
      <c r="F246">
        <v>1</v>
      </c>
      <c r="G246">
        <v>1080</v>
      </c>
      <c r="H246">
        <v>2</v>
      </c>
      <c r="I246" t="s">
        <v>395</v>
      </c>
      <c r="J246" t="s">
        <v>396</v>
      </c>
      <c r="K246" t="s">
        <v>397</v>
      </c>
      <c r="L246">
        <v>1368</v>
      </c>
      <c r="N246">
        <v>1011</v>
      </c>
      <c r="O246" t="s">
        <v>398</v>
      </c>
      <c r="P246" t="s">
        <v>398</v>
      </c>
      <c r="Q246">
        <v>1</v>
      </c>
      <c r="X246">
        <v>0.03</v>
      </c>
      <c r="Y246">
        <v>0</v>
      </c>
      <c r="Z246">
        <v>83.1</v>
      </c>
      <c r="AA246">
        <v>12.62</v>
      </c>
      <c r="AB246">
        <v>0</v>
      </c>
      <c r="AC246">
        <v>0</v>
      </c>
      <c r="AD246">
        <v>1</v>
      </c>
      <c r="AE246">
        <v>0</v>
      </c>
      <c r="AF246" t="s">
        <v>24</v>
      </c>
      <c r="AG246">
        <v>3.3000000000000002E-2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3">
      <c r="A247">
        <f>ROW(Source!A320)</f>
        <v>320</v>
      </c>
      <c r="B247">
        <v>58754155</v>
      </c>
      <c r="C247">
        <v>56509639</v>
      </c>
      <c r="D247">
        <v>57696138</v>
      </c>
      <c r="E247">
        <v>1</v>
      </c>
      <c r="F247">
        <v>1</v>
      </c>
      <c r="G247">
        <v>1080</v>
      </c>
      <c r="H247">
        <v>2</v>
      </c>
      <c r="I247" t="s">
        <v>579</v>
      </c>
      <c r="J247" t="s">
        <v>580</v>
      </c>
      <c r="K247" t="s">
        <v>581</v>
      </c>
      <c r="L247">
        <v>1368</v>
      </c>
      <c r="N247">
        <v>1011</v>
      </c>
      <c r="O247" t="s">
        <v>398</v>
      </c>
      <c r="P247" t="s">
        <v>398</v>
      </c>
      <c r="Q247">
        <v>1</v>
      </c>
      <c r="X247">
        <v>0.15</v>
      </c>
      <c r="Y247">
        <v>0</v>
      </c>
      <c r="Z247">
        <v>0.42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24</v>
      </c>
      <c r="AG247">
        <v>0.16500000000000001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3">
      <c r="A248">
        <f>ROW(Source!A320)</f>
        <v>320</v>
      </c>
      <c r="B248">
        <v>58754156</v>
      </c>
      <c r="C248">
        <v>56509639</v>
      </c>
      <c r="D248">
        <v>57695382</v>
      </c>
      <c r="E248">
        <v>1</v>
      </c>
      <c r="F248">
        <v>1</v>
      </c>
      <c r="G248">
        <v>1080</v>
      </c>
      <c r="H248">
        <v>2</v>
      </c>
      <c r="I248" t="s">
        <v>582</v>
      </c>
      <c r="J248" t="s">
        <v>583</v>
      </c>
      <c r="K248" t="s">
        <v>584</v>
      </c>
      <c r="L248">
        <v>1368</v>
      </c>
      <c r="N248">
        <v>1011</v>
      </c>
      <c r="O248" t="s">
        <v>398</v>
      </c>
      <c r="P248" t="s">
        <v>398</v>
      </c>
      <c r="Q248">
        <v>1</v>
      </c>
      <c r="X248">
        <v>2.1999999999999999E-2</v>
      </c>
      <c r="Y248">
        <v>0</v>
      </c>
      <c r="Z248">
        <v>53.9</v>
      </c>
      <c r="AA248">
        <v>12.62</v>
      </c>
      <c r="AB248">
        <v>0</v>
      </c>
      <c r="AC248">
        <v>0</v>
      </c>
      <c r="AD248">
        <v>1</v>
      </c>
      <c r="AE248">
        <v>0</v>
      </c>
      <c r="AF248" t="s">
        <v>24</v>
      </c>
      <c r="AG248">
        <v>2.4199999999999999E-2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3">
      <c r="A249">
        <f>ROW(Source!A320)</f>
        <v>320</v>
      </c>
      <c r="B249">
        <v>58754157</v>
      </c>
      <c r="C249">
        <v>56509639</v>
      </c>
      <c r="D249">
        <v>57664312</v>
      </c>
      <c r="E249">
        <v>1</v>
      </c>
      <c r="F249">
        <v>1</v>
      </c>
      <c r="G249">
        <v>1080</v>
      </c>
      <c r="H249">
        <v>3</v>
      </c>
      <c r="I249" t="s">
        <v>585</v>
      </c>
      <c r="J249" t="s">
        <v>586</v>
      </c>
      <c r="K249" t="s">
        <v>587</v>
      </c>
      <c r="L249">
        <v>1346</v>
      </c>
      <c r="N249">
        <v>1009</v>
      </c>
      <c r="O249" t="s">
        <v>372</v>
      </c>
      <c r="P249" t="s">
        <v>372</v>
      </c>
      <c r="Q249">
        <v>1</v>
      </c>
      <c r="X249">
        <v>2E-3</v>
      </c>
      <c r="Y249">
        <v>1.61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2E-3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3">
      <c r="A250">
        <f>ROW(Source!A320)</f>
        <v>320</v>
      </c>
      <c r="B250">
        <v>58754158</v>
      </c>
      <c r="C250">
        <v>56509639</v>
      </c>
      <c r="D250">
        <v>57671238</v>
      </c>
      <c r="E250">
        <v>1</v>
      </c>
      <c r="F250">
        <v>1</v>
      </c>
      <c r="G250">
        <v>1080</v>
      </c>
      <c r="H250">
        <v>3</v>
      </c>
      <c r="I250" t="s">
        <v>588</v>
      </c>
      <c r="J250" t="s">
        <v>589</v>
      </c>
      <c r="K250" t="s">
        <v>590</v>
      </c>
      <c r="L250">
        <v>1354</v>
      </c>
      <c r="N250">
        <v>1010</v>
      </c>
      <c r="O250" t="s">
        <v>32</v>
      </c>
      <c r="P250" t="s">
        <v>32</v>
      </c>
      <c r="Q250">
        <v>1</v>
      </c>
      <c r="X250">
        <v>0.1</v>
      </c>
      <c r="Y250">
        <v>48.47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0.1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3">
      <c r="A251">
        <f>ROW(Source!A320)</f>
        <v>320</v>
      </c>
      <c r="B251">
        <v>58754159</v>
      </c>
      <c r="C251">
        <v>56509639</v>
      </c>
      <c r="D251">
        <v>57664914</v>
      </c>
      <c r="E251">
        <v>1</v>
      </c>
      <c r="F251">
        <v>1</v>
      </c>
      <c r="G251">
        <v>1080</v>
      </c>
      <c r="H251">
        <v>3</v>
      </c>
      <c r="I251" t="s">
        <v>591</v>
      </c>
      <c r="J251" t="s">
        <v>592</v>
      </c>
      <c r="K251" t="s">
        <v>593</v>
      </c>
      <c r="L251">
        <v>1348</v>
      </c>
      <c r="N251">
        <v>1009</v>
      </c>
      <c r="O251" t="s">
        <v>165</v>
      </c>
      <c r="P251" t="s">
        <v>165</v>
      </c>
      <c r="Q251">
        <v>1000</v>
      </c>
      <c r="X251">
        <v>6.0000000000000002E-6</v>
      </c>
      <c r="Y251">
        <v>12521.99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6.0000000000000002E-6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3">
      <c r="A252">
        <f>ROW(Source!A320)</f>
        <v>320</v>
      </c>
      <c r="B252">
        <v>58754160</v>
      </c>
      <c r="C252">
        <v>56509639</v>
      </c>
      <c r="D252">
        <v>57674733</v>
      </c>
      <c r="E252">
        <v>1</v>
      </c>
      <c r="F252">
        <v>1</v>
      </c>
      <c r="G252">
        <v>1080</v>
      </c>
      <c r="H252">
        <v>3</v>
      </c>
      <c r="I252" t="s">
        <v>594</v>
      </c>
      <c r="J252" t="s">
        <v>595</v>
      </c>
      <c r="K252" t="s">
        <v>596</v>
      </c>
      <c r="L252">
        <v>1354</v>
      </c>
      <c r="N252">
        <v>1010</v>
      </c>
      <c r="O252" t="s">
        <v>32</v>
      </c>
      <c r="P252" t="s">
        <v>32</v>
      </c>
      <c r="Q252">
        <v>1</v>
      </c>
      <c r="X252">
        <v>0.71</v>
      </c>
      <c r="Y252">
        <v>4.3600000000000003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0.71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3">
      <c r="A253">
        <f>ROW(Source!A320)</f>
        <v>320</v>
      </c>
      <c r="B253">
        <v>58754161</v>
      </c>
      <c r="C253">
        <v>56509639</v>
      </c>
      <c r="D253">
        <v>57634753</v>
      </c>
      <c r="E253">
        <v>1080</v>
      </c>
      <c r="F253">
        <v>1</v>
      </c>
      <c r="G253">
        <v>1080</v>
      </c>
      <c r="H253">
        <v>3</v>
      </c>
      <c r="I253" t="s">
        <v>597</v>
      </c>
      <c r="J253" t="s">
        <v>3</v>
      </c>
      <c r="K253" t="s">
        <v>598</v>
      </c>
      <c r="L253">
        <v>1301</v>
      </c>
      <c r="N253">
        <v>1003</v>
      </c>
      <c r="O253" t="s">
        <v>286</v>
      </c>
      <c r="P253" t="s">
        <v>286</v>
      </c>
      <c r="Q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</v>
      </c>
      <c r="AG253">
        <v>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3">
      <c r="A254">
        <f>ROW(Source!A320)</f>
        <v>320</v>
      </c>
      <c r="B254">
        <v>58754162</v>
      </c>
      <c r="C254">
        <v>56509639</v>
      </c>
      <c r="D254">
        <v>57634759</v>
      </c>
      <c r="E254">
        <v>1080</v>
      </c>
      <c r="F254">
        <v>1</v>
      </c>
      <c r="G254">
        <v>1080</v>
      </c>
      <c r="H254">
        <v>3</v>
      </c>
      <c r="I254" t="s">
        <v>597</v>
      </c>
      <c r="J254" t="s">
        <v>3</v>
      </c>
      <c r="K254" t="s">
        <v>599</v>
      </c>
      <c r="L254">
        <v>1354</v>
      </c>
      <c r="N254">
        <v>1010</v>
      </c>
      <c r="O254" t="s">
        <v>32</v>
      </c>
      <c r="P254" t="s">
        <v>32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3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3">
      <c r="A255">
        <f>ROW(Source!A320)</f>
        <v>320</v>
      </c>
      <c r="B255">
        <v>58754163</v>
      </c>
      <c r="C255">
        <v>56509639</v>
      </c>
      <c r="D255">
        <v>57635969</v>
      </c>
      <c r="E255">
        <v>1080</v>
      </c>
      <c r="F255">
        <v>1</v>
      </c>
      <c r="G255">
        <v>1080</v>
      </c>
      <c r="H255">
        <v>3</v>
      </c>
      <c r="I255" t="s">
        <v>600</v>
      </c>
      <c r="J255" t="s">
        <v>3</v>
      </c>
      <c r="K255" t="s">
        <v>601</v>
      </c>
      <c r="L255">
        <v>1354</v>
      </c>
      <c r="N255">
        <v>1010</v>
      </c>
      <c r="O255" t="s">
        <v>32</v>
      </c>
      <c r="P255" t="s">
        <v>32</v>
      </c>
      <c r="Q255">
        <v>1</v>
      </c>
      <c r="X255">
        <v>23.65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</v>
      </c>
      <c r="AG255">
        <v>23.65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3">
      <c r="A256">
        <f>ROW(Source!A320)</f>
        <v>320</v>
      </c>
      <c r="B256">
        <v>58754164</v>
      </c>
      <c r="C256">
        <v>56509639</v>
      </c>
      <c r="D256">
        <v>57636414</v>
      </c>
      <c r="E256">
        <v>1080</v>
      </c>
      <c r="F256">
        <v>1</v>
      </c>
      <c r="G256">
        <v>1080</v>
      </c>
      <c r="H256">
        <v>3</v>
      </c>
      <c r="I256" t="s">
        <v>602</v>
      </c>
      <c r="J256" t="s">
        <v>3</v>
      </c>
      <c r="K256" t="s">
        <v>603</v>
      </c>
      <c r="L256">
        <v>1354</v>
      </c>
      <c r="N256">
        <v>1010</v>
      </c>
      <c r="O256" t="s">
        <v>32</v>
      </c>
      <c r="P256" t="s">
        <v>32</v>
      </c>
      <c r="Q256">
        <v>1</v>
      </c>
      <c r="X256">
        <v>13.34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</v>
      </c>
      <c r="AG256">
        <v>13.34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3">
      <c r="A257">
        <f>ROW(Source!A320)</f>
        <v>320</v>
      </c>
      <c r="B257">
        <v>58754165</v>
      </c>
      <c r="C257">
        <v>56509639</v>
      </c>
      <c r="D257">
        <v>57643982</v>
      </c>
      <c r="E257">
        <v>1080</v>
      </c>
      <c r="F257">
        <v>1</v>
      </c>
      <c r="G257">
        <v>1080</v>
      </c>
      <c r="H257">
        <v>3</v>
      </c>
      <c r="I257" t="s">
        <v>604</v>
      </c>
      <c r="J257" t="s">
        <v>3</v>
      </c>
      <c r="K257" t="s">
        <v>605</v>
      </c>
      <c r="L257">
        <v>1346</v>
      </c>
      <c r="N257">
        <v>1009</v>
      </c>
      <c r="O257" t="s">
        <v>372</v>
      </c>
      <c r="P257" t="s">
        <v>372</v>
      </c>
      <c r="Q257">
        <v>1</v>
      </c>
      <c r="X257">
        <v>8.73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3</v>
      </c>
      <c r="AG257">
        <v>8.73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3">
      <c r="A258">
        <f>ROW(Source!A321)</f>
        <v>321</v>
      </c>
      <c r="B258">
        <v>58754153</v>
      </c>
      <c r="C258">
        <v>56509639</v>
      </c>
      <c r="D258">
        <v>57621905</v>
      </c>
      <c r="E258">
        <v>1080</v>
      </c>
      <c r="F258">
        <v>1</v>
      </c>
      <c r="G258">
        <v>1080</v>
      </c>
      <c r="H258">
        <v>1</v>
      </c>
      <c r="I258" t="s">
        <v>392</v>
      </c>
      <c r="J258" t="s">
        <v>3</v>
      </c>
      <c r="K258" t="s">
        <v>393</v>
      </c>
      <c r="L258">
        <v>1191</v>
      </c>
      <c r="N258">
        <v>1013</v>
      </c>
      <c r="O258" t="s">
        <v>394</v>
      </c>
      <c r="P258" t="s">
        <v>394</v>
      </c>
      <c r="Q258">
        <v>1</v>
      </c>
      <c r="X258">
        <v>17.64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 t="s">
        <v>24</v>
      </c>
      <c r="AG258">
        <v>19.404000000000003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3">
      <c r="A259">
        <f>ROW(Source!A321)</f>
        <v>321</v>
      </c>
      <c r="B259">
        <v>58754154</v>
      </c>
      <c r="C259">
        <v>56509639</v>
      </c>
      <c r="D259">
        <v>57696079</v>
      </c>
      <c r="E259">
        <v>1</v>
      </c>
      <c r="F259">
        <v>1</v>
      </c>
      <c r="G259">
        <v>1080</v>
      </c>
      <c r="H259">
        <v>2</v>
      </c>
      <c r="I259" t="s">
        <v>395</v>
      </c>
      <c r="J259" t="s">
        <v>396</v>
      </c>
      <c r="K259" t="s">
        <v>397</v>
      </c>
      <c r="L259">
        <v>1368</v>
      </c>
      <c r="N259">
        <v>1011</v>
      </c>
      <c r="O259" t="s">
        <v>398</v>
      </c>
      <c r="P259" t="s">
        <v>398</v>
      </c>
      <c r="Q259">
        <v>1</v>
      </c>
      <c r="X259">
        <v>0.03</v>
      </c>
      <c r="Y259">
        <v>0</v>
      </c>
      <c r="Z259">
        <v>83.1</v>
      </c>
      <c r="AA259">
        <v>12.62</v>
      </c>
      <c r="AB259">
        <v>0</v>
      </c>
      <c r="AC259">
        <v>0</v>
      </c>
      <c r="AD259">
        <v>1</v>
      </c>
      <c r="AE259">
        <v>0</v>
      </c>
      <c r="AF259" t="s">
        <v>24</v>
      </c>
      <c r="AG259">
        <v>3.3000000000000002E-2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3">
      <c r="A260">
        <f>ROW(Source!A321)</f>
        <v>321</v>
      </c>
      <c r="B260">
        <v>58754155</v>
      </c>
      <c r="C260">
        <v>56509639</v>
      </c>
      <c r="D260">
        <v>57696138</v>
      </c>
      <c r="E260">
        <v>1</v>
      </c>
      <c r="F260">
        <v>1</v>
      </c>
      <c r="G260">
        <v>1080</v>
      </c>
      <c r="H260">
        <v>2</v>
      </c>
      <c r="I260" t="s">
        <v>579</v>
      </c>
      <c r="J260" t="s">
        <v>580</v>
      </c>
      <c r="K260" t="s">
        <v>581</v>
      </c>
      <c r="L260">
        <v>1368</v>
      </c>
      <c r="N260">
        <v>1011</v>
      </c>
      <c r="O260" t="s">
        <v>398</v>
      </c>
      <c r="P260" t="s">
        <v>398</v>
      </c>
      <c r="Q260">
        <v>1</v>
      </c>
      <c r="X260">
        <v>0.15</v>
      </c>
      <c r="Y260">
        <v>0</v>
      </c>
      <c r="Z260">
        <v>0.42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24</v>
      </c>
      <c r="AG260">
        <v>0.16500000000000001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3">
      <c r="A261">
        <f>ROW(Source!A321)</f>
        <v>321</v>
      </c>
      <c r="B261">
        <v>58754156</v>
      </c>
      <c r="C261">
        <v>56509639</v>
      </c>
      <c r="D261">
        <v>57695382</v>
      </c>
      <c r="E261">
        <v>1</v>
      </c>
      <c r="F261">
        <v>1</v>
      </c>
      <c r="G261">
        <v>1080</v>
      </c>
      <c r="H261">
        <v>2</v>
      </c>
      <c r="I261" t="s">
        <v>582</v>
      </c>
      <c r="J261" t="s">
        <v>583</v>
      </c>
      <c r="K261" t="s">
        <v>584</v>
      </c>
      <c r="L261">
        <v>1368</v>
      </c>
      <c r="N261">
        <v>1011</v>
      </c>
      <c r="O261" t="s">
        <v>398</v>
      </c>
      <c r="P261" t="s">
        <v>398</v>
      </c>
      <c r="Q261">
        <v>1</v>
      </c>
      <c r="X261">
        <v>2.1999999999999999E-2</v>
      </c>
      <c r="Y261">
        <v>0</v>
      </c>
      <c r="Z261">
        <v>53.9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24</v>
      </c>
      <c r="AG261">
        <v>2.4199999999999999E-2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3">
      <c r="A262">
        <f>ROW(Source!A321)</f>
        <v>321</v>
      </c>
      <c r="B262">
        <v>58754157</v>
      </c>
      <c r="C262">
        <v>56509639</v>
      </c>
      <c r="D262">
        <v>57664312</v>
      </c>
      <c r="E262">
        <v>1</v>
      </c>
      <c r="F262">
        <v>1</v>
      </c>
      <c r="G262">
        <v>1080</v>
      </c>
      <c r="H262">
        <v>3</v>
      </c>
      <c r="I262" t="s">
        <v>585</v>
      </c>
      <c r="J262" t="s">
        <v>586</v>
      </c>
      <c r="K262" t="s">
        <v>587</v>
      </c>
      <c r="L262">
        <v>1346</v>
      </c>
      <c r="N262">
        <v>1009</v>
      </c>
      <c r="O262" t="s">
        <v>372</v>
      </c>
      <c r="P262" t="s">
        <v>372</v>
      </c>
      <c r="Q262">
        <v>1</v>
      </c>
      <c r="X262">
        <v>2E-3</v>
      </c>
      <c r="Y262">
        <v>1.61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2E-3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3">
      <c r="A263">
        <f>ROW(Source!A321)</f>
        <v>321</v>
      </c>
      <c r="B263">
        <v>58754158</v>
      </c>
      <c r="C263">
        <v>56509639</v>
      </c>
      <c r="D263">
        <v>57671238</v>
      </c>
      <c r="E263">
        <v>1</v>
      </c>
      <c r="F263">
        <v>1</v>
      </c>
      <c r="G263">
        <v>1080</v>
      </c>
      <c r="H263">
        <v>3</v>
      </c>
      <c r="I263" t="s">
        <v>588</v>
      </c>
      <c r="J263" t="s">
        <v>589</v>
      </c>
      <c r="K263" t="s">
        <v>590</v>
      </c>
      <c r="L263">
        <v>1354</v>
      </c>
      <c r="N263">
        <v>1010</v>
      </c>
      <c r="O263" t="s">
        <v>32</v>
      </c>
      <c r="P263" t="s">
        <v>32</v>
      </c>
      <c r="Q263">
        <v>1</v>
      </c>
      <c r="X263">
        <v>0.1</v>
      </c>
      <c r="Y263">
        <v>48.47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</v>
      </c>
      <c r="AG263">
        <v>0.1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3">
      <c r="A264">
        <f>ROW(Source!A321)</f>
        <v>321</v>
      </c>
      <c r="B264">
        <v>58754159</v>
      </c>
      <c r="C264">
        <v>56509639</v>
      </c>
      <c r="D264">
        <v>57664914</v>
      </c>
      <c r="E264">
        <v>1</v>
      </c>
      <c r="F264">
        <v>1</v>
      </c>
      <c r="G264">
        <v>1080</v>
      </c>
      <c r="H264">
        <v>3</v>
      </c>
      <c r="I264" t="s">
        <v>591</v>
      </c>
      <c r="J264" t="s">
        <v>592</v>
      </c>
      <c r="K264" t="s">
        <v>593</v>
      </c>
      <c r="L264">
        <v>1348</v>
      </c>
      <c r="N264">
        <v>1009</v>
      </c>
      <c r="O264" t="s">
        <v>165</v>
      </c>
      <c r="P264" t="s">
        <v>165</v>
      </c>
      <c r="Q264">
        <v>1000</v>
      </c>
      <c r="X264">
        <v>6.0000000000000002E-6</v>
      </c>
      <c r="Y264">
        <v>12521.99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6.0000000000000002E-6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3">
      <c r="A265">
        <f>ROW(Source!A321)</f>
        <v>321</v>
      </c>
      <c r="B265">
        <v>58754160</v>
      </c>
      <c r="C265">
        <v>56509639</v>
      </c>
      <c r="D265">
        <v>57674733</v>
      </c>
      <c r="E265">
        <v>1</v>
      </c>
      <c r="F265">
        <v>1</v>
      </c>
      <c r="G265">
        <v>1080</v>
      </c>
      <c r="H265">
        <v>3</v>
      </c>
      <c r="I265" t="s">
        <v>594</v>
      </c>
      <c r="J265" t="s">
        <v>595</v>
      </c>
      <c r="K265" t="s">
        <v>596</v>
      </c>
      <c r="L265">
        <v>1354</v>
      </c>
      <c r="N265">
        <v>1010</v>
      </c>
      <c r="O265" t="s">
        <v>32</v>
      </c>
      <c r="P265" t="s">
        <v>32</v>
      </c>
      <c r="Q265">
        <v>1</v>
      </c>
      <c r="X265">
        <v>0.71</v>
      </c>
      <c r="Y265">
        <v>4.3600000000000003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0.71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3">
      <c r="A266">
        <f>ROW(Source!A321)</f>
        <v>321</v>
      </c>
      <c r="B266">
        <v>58754161</v>
      </c>
      <c r="C266">
        <v>56509639</v>
      </c>
      <c r="D266">
        <v>57634753</v>
      </c>
      <c r="E266">
        <v>1080</v>
      </c>
      <c r="F266">
        <v>1</v>
      </c>
      <c r="G266">
        <v>1080</v>
      </c>
      <c r="H266">
        <v>3</v>
      </c>
      <c r="I266" t="s">
        <v>597</v>
      </c>
      <c r="J266" t="s">
        <v>3</v>
      </c>
      <c r="K266" t="s">
        <v>598</v>
      </c>
      <c r="L266">
        <v>1301</v>
      </c>
      <c r="N266">
        <v>1003</v>
      </c>
      <c r="O266" t="s">
        <v>286</v>
      </c>
      <c r="P266" t="s">
        <v>286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>
        <f>ROW(Source!A321)</f>
        <v>321</v>
      </c>
      <c r="B267">
        <v>58754162</v>
      </c>
      <c r="C267">
        <v>56509639</v>
      </c>
      <c r="D267">
        <v>57634759</v>
      </c>
      <c r="E267">
        <v>1080</v>
      </c>
      <c r="F267">
        <v>1</v>
      </c>
      <c r="G267">
        <v>1080</v>
      </c>
      <c r="H267">
        <v>3</v>
      </c>
      <c r="I267" t="s">
        <v>597</v>
      </c>
      <c r="J267" t="s">
        <v>3</v>
      </c>
      <c r="K267" t="s">
        <v>599</v>
      </c>
      <c r="L267">
        <v>1354</v>
      </c>
      <c r="N267">
        <v>1010</v>
      </c>
      <c r="O267" t="s">
        <v>32</v>
      </c>
      <c r="P267" t="s">
        <v>32</v>
      </c>
      <c r="Q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>
        <f>ROW(Source!A321)</f>
        <v>321</v>
      </c>
      <c r="B268">
        <v>58754163</v>
      </c>
      <c r="C268">
        <v>56509639</v>
      </c>
      <c r="D268">
        <v>57635969</v>
      </c>
      <c r="E268">
        <v>1080</v>
      </c>
      <c r="F268">
        <v>1</v>
      </c>
      <c r="G268">
        <v>1080</v>
      </c>
      <c r="H268">
        <v>3</v>
      </c>
      <c r="I268" t="s">
        <v>600</v>
      </c>
      <c r="J268" t="s">
        <v>3</v>
      </c>
      <c r="K268" t="s">
        <v>601</v>
      </c>
      <c r="L268">
        <v>1354</v>
      </c>
      <c r="N268">
        <v>1010</v>
      </c>
      <c r="O268" t="s">
        <v>32</v>
      </c>
      <c r="P268" t="s">
        <v>32</v>
      </c>
      <c r="Q268">
        <v>1</v>
      </c>
      <c r="X268">
        <v>23.65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</v>
      </c>
      <c r="AG268">
        <v>23.65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3">
      <c r="A269">
        <f>ROW(Source!A321)</f>
        <v>321</v>
      </c>
      <c r="B269">
        <v>58754164</v>
      </c>
      <c r="C269">
        <v>56509639</v>
      </c>
      <c r="D269">
        <v>57636414</v>
      </c>
      <c r="E269">
        <v>1080</v>
      </c>
      <c r="F269">
        <v>1</v>
      </c>
      <c r="G269">
        <v>1080</v>
      </c>
      <c r="H269">
        <v>3</v>
      </c>
      <c r="I269" t="s">
        <v>602</v>
      </c>
      <c r="J269" t="s">
        <v>3</v>
      </c>
      <c r="K269" t="s">
        <v>603</v>
      </c>
      <c r="L269">
        <v>1354</v>
      </c>
      <c r="N269">
        <v>1010</v>
      </c>
      <c r="O269" t="s">
        <v>32</v>
      </c>
      <c r="P269" t="s">
        <v>32</v>
      </c>
      <c r="Q269">
        <v>1</v>
      </c>
      <c r="X269">
        <v>13.34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13.34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3">
      <c r="A270">
        <f>ROW(Source!A321)</f>
        <v>321</v>
      </c>
      <c r="B270">
        <v>58754165</v>
      </c>
      <c r="C270">
        <v>56509639</v>
      </c>
      <c r="D270">
        <v>57643982</v>
      </c>
      <c r="E270">
        <v>1080</v>
      </c>
      <c r="F270">
        <v>1</v>
      </c>
      <c r="G270">
        <v>1080</v>
      </c>
      <c r="H270">
        <v>3</v>
      </c>
      <c r="I270" t="s">
        <v>604</v>
      </c>
      <c r="J270" t="s">
        <v>3</v>
      </c>
      <c r="K270" t="s">
        <v>605</v>
      </c>
      <c r="L270">
        <v>1346</v>
      </c>
      <c r="N270">
        <v>1009</v>
      </c>
      <c r="O270" t="s">
        <v>372</v>
      </c>
      <c r="P270" t="s">
        <v>372</v>
      </c>
      <c r="Q270">
        <v>1</v>
      </c>
      <c r="X270">
        <v>8.73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8.73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3">
      <c r="A271">
        <f>ROW(Source!A332)</f>
        <v>332</v>
      </c>
      <c r="B271">
        <v>58754166</v>
      </c>
      <c r="C271">
        <v>56509610</v>
      </c>
      <c r="D271">
        <v>57621905</v>
      </c>
      <c r="E271">
        <v>1080</v>
      </c>
      <c r="F271">
        <v>1</v>
      </c>
      <c r="G271">
        <v>1080</v>
      </c>
      <c r="H271">
        <v>1</v>
      </c>
      <c r="I271" t="s">
        <v>392</v>
      </c>
      <c r="J271" t="s">
        <v>3</v>
      </c>
      <c r="K271" t="s">
        <v>393</v>
      </c>
      <c r="L271">
        <v>1191</v>
      </c>
      <c r="N271">
        <v>1013</v>
      </c>
      <c r="O271" t="s">
        <v>394</v>
      </c>
      <c r="P271" t="s">
        <v>394</v>
      </c>
      <c r="Q271">
        <v>1</v>
      </c>
      <c r="X271">
        <v>29.9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24</v>
      </c>
      <c r="AG271">
        <v>32.89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3">
      <c r="A272">
        <f>ROW(Source!A332)</f>
        <v>332</v>
      </c>
      <c r="B272">
        <v>58754167</v>
      </c>
      <c r="C272">
        <v>56509610</v>
      </c>
      <c r="D272">
        <v>57695780</v>
      </c>
      <c r="E272">
        <v>1</v>
      </c>
      <c r="F272">
        <v>1</v>
      </c>
      <c r="G272">
        <v>1080</v>
      </c>
      <c r="H272">
        <v>2</v>
      </c>
      <c r="I272" t="s">
        <v>544</v>
      </c>
      <c r="J272" t="s">
        <v>545</v>
      </c>
      <c r="K272" t="s">
        <v>546</v>
      </c>
      <c r="L272">
        <v>1368</v>
      </c>
      <c r="N272">
        <v>1011</v>
      </c>
      <c r="O272" t="s">
        <v>398</v>
      </c>
      <c r="P272" t="s">
        <v>398</v>
      </c>
      <c r="Q272">
        <v>1</v>
      </c>
      <c r="X272">
        <v>2.33</v>
      </c>
      <c r="Y272">
        <v>0</v>
      </c>
      <c r="Z272">
        <v>7.11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24</v>
      </c>
      <c r="AG272">
        <v>2.5630000000000002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3">
      <c r="A273">
        <f>ROW(Source!A332)</f>
        <v>332</v>
      </c>
      <c r="B273">
        <v>58754168</v>
      </c>
      <c r="C273">
        <v>56509610</v>
      </c>
      <c r="D273">
        <v>57696079</v>
      </c>
      <c r="E273">
        <v>1</v>
      </c>
      <c r="F273">
        <v>1</v>
      </c>
      <c r="G273">
        <v>1080</v>
      </c>
      <c r="H273">
        <v>2</v>
      </c>
      <c r="I273" t="s">
        <v>395</v>
      </c>
      <c r="J273" t="s">
        <v>396</v>
      </c>
      <c r="K273" t="s">
        <v>397</v>
      </c>
      <c r="L273">
        <v>1368</v>
      </c>
      <c r="N273">
        <v>1011</v>
      </c>
      <c r="O273" t="s">
        <v>398</v>
      </c>
      <c r="P273" t="s">
        <v>398</v>
      </c>
      <c r="Q273">
        <v>1</v>
      </c>
      <c r="X273">
        <v>0.3</v>
      </c>
      <c r="Y273">
        <v>0</v>
      </c>
      <c r="Z273">
        <v>83.1</v>
      </c>
      <c r="AA273">
        <v>12.62</v>
      </c>
      <c r="AB273">
        <v>0</v>
      </c>
      <c r="AC273">
        <v>0</v>
      </c>
      <c r="AD273">
        <v>1</v>
      </c>
      <c r="AE273">
        <v>0</v>
      </c>
      <c r="AF273" t="s">
        <v>24</v>
      </c>
      <c r="AG273">
        <v>0.33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3">
      <c r="A274">
        <f>ROW(Source!A332)</f>
        <v>332</v>
      </c>
      <c r="B274">
        <v>58754169</v>
      </c>
      <c r="C274">
        <v>56509610</v>
      </c>
      <c r="D274">
        <v>57696131</v>
      </c>
      <c r="E274">
        <v>1</v>
      </c>
      <c r="F274">
        <v>1</v>
      </c>
      <c r="G274">
        <v>1080</v>
      </c>
      <c r="H274">
        <v>2</v>
      </c>
      <c r="I274" t="s">
        <v>488</v>
      </c>
      <c r="J274" t="s">
        <v>489</v>
      </c>
      <c r="K274" t="s">
        <v>490</v>
      </c>
      <c r="L274">
        <v>1368</v>
      </c>
      <c r="N274">
        <v>1011</v>
      </c>
      <c r="O274" t="s">
        <v>398</v>
      </c>
      <c r="P274" t="s">
        <v>398</v>
      </c>
      <c r="Q274">
        <v>1</v>
      </c>
      <c r="X274">
        <v>6</v>
      </c>
      <c r="Y274">
        <v>0</v>
      </c>
      <c r="Z274">
        <v>0.77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24</v>
      </c>
      <c r="AG274">
        <v>6.6000000000000005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3">
      <c r="A275">
        <f>ROW(Source!A332)</f>
        <v>332</v>
      </c>
      <c r="B275">
        <v>58754170</v>
      </c>
      <c r="C275">
        <v>56509610</v>
      </c>
      <c r="D275">
        <v>57665459</v>
      </c>
      <c r="E275">
        <v>1</v>
      </c>
      <c r="F275">
        <v>1</v>
      </c>
      <c r="G275">
        <v>1080</v>
      </c>
      <c r="H275">
        <v>3</v>
      </c>
      <c r="I275" t="s">
        <v>547</v>
      </c>
      <c r="J275" t="s">
        <v>548</v>
      </c>
      <c r="K275" t="s">
        <v>549</v>
      </c>
      <c r="L275">
        <v>1348</v>
      </c>
      <c r="N275">
        <v>1009</v>
      </c>
      <c r="O275" t="s">
        <v>165</v>
      </c>
      <c r="P275" t="s">
        <v>165</v>
      </c>
      <c r="Q275">
        <v>1000</v>
      </c>
      <c r="X275">
        <v>9.6000000000000002E-4</v>
      </c>
      <c r="Y275">
        <v>8590.86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9.6000000000000002E-4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3">
      <c r="A276">
        <f>ROW(Source!A332)</f>
        <v>332</v>
      </c>
      <c r="B276">
        <v>58754171</v>
      </c>
      <c r="C276">
        <v>56509610</v>
      </c>
      <c r="D276">
        <v>57664417</v>
      </c>
      <c r="E276">
        <v>1</v>
      </c>
      <c r="F276">
        <v>1</v>
      </c>
      <c r="G276">
        <v>1080</v>
      </c>
      <c r="H276">
        <v>3</v>
      </c>
      <c r="I276" t="s">
        <v>403</v>
      </c>
      <c r="J276" t="s">
        <v>404</v>
      </c>
      <c r="K276" t="s">
        <v>405</v>
      </c>
      <c r="L276">
        <v>1354</v>
      </c>
      <c r="N276">
        <v>1010</v>
      </c>
      <c r="O276" t="s">
        <v>32</v>
      </c>
      <c r="P276" t="s">
        <v>32</v>
      </c>
      <c r="Q276">
        <v>1</v>
      </c>
      <c r="X276">
        <v>134</v>
      </c>
      <c r="Y276">
        <v>3.86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134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3">
      <c r="A277">
        <f>ROW(Source!A332)</f>
        <v>332</v>
      </c>
      <c r="B277">
        <v>58754172</v>
      </c>
      <c r="C277">
        <v>56509610</v>
      </c>
      <c r="D277">
        <v>57666737</v>
      </c>
      <c r="E277">
        <v>1</v>
      </c>
      <c r="F277">
        <v>1</v>
      </c>
      <c r="G277">
        <v>1080</v>
      </c>
      <c r="H277">
        <v>3</v>
      </c>
      <c r="I277" t="s">
        <v>550</v>
      </c>
      <c r="J277" t="s">
        <v>551</v>
      </c>
      <c r="K277" t="s">
        <v>552</v>
      </c>
      <c r="L277">
        <v>1296</v>
      </c>
      <c r="N277">
        <v>1002</v>
      </c>
      <c r="O277" t="s">
        <v>553</v>
      </c>
      <c r="P277" t="s">
        <v>553</v>
      </c>
      <c r="Q277">
        <v>1</v>
      </c>
      <c r="X277">
        <v>0.315</v>
      </c>
      <c r="Y277">
        <v>35.4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</v>
      </c>
      <c r="AG277">
        <v>0.315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3">
      <c r="A278">
        <f>ROW(Source!A332)</f>
        <v>332</v>
      </c>
      <c r="B278">
        <v>58754173</v>
      </c>
      <c r="C278">
        <v>56509610</v>
      </c>
      <c r="D278">
        <v>57664894</v>
      </c>
      <c r="E278">
        <v>1</v>
      </c>
      <c r="F278">
        <v>1</v>
      </c>
      <c r="G278">
        <v>1080</v>
      </c>
      <c r="H278">
        <v>3</v>
      </c>
      <c r="I278" t="s">
        <v>554</v>
      </c>
      <c r="J278" t="s">
        <v>555</v>
      </c>
      <c r="K278" t="s">
        <v>556</v>
      </c>
      <c r="L278">
        <v>1348</v>
      </c>
      <c r="N278">
        <v>1009</v>
      </c>
      <c r="O278" t="s">
        <v>165</v>
      </c>
      <c r="P278" t="s">
        <v>165</v>
      </c>
      <c r="Q278">
        <v>1000</v>
      </c>
      <c r="X278">
        <v>2.0999999999999999E-3</v>
      </c>
      <c r="Y278">
        <v>7973.67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2.0999999999999999E-3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3">
      <c r="A279">
        <f>ROW(Source!A332)</f>
        <v>332</v>
      </c>
      <c r="B279">
        <v>58754174</v>
      </c>
      <c r="C279">
        <v>56509610</v>
      </c>
      <c r="D279">
        <v>57688464</v>
      </c>
      <c r="E279">
        <v>1</v>
      </c>
      <c r="F279">
        <v>1</v>
      </c>
      <c r="G279">
        <v>1080</v>
      </c>
      <c r="H279">
        <v>3</v>
      </c>
      <c r="I279" t="s">
        <v>557</v>
      </c>
      <c r="J279" t="s">
        <v>558</v>
      </c>
      <c r="K279" t="s">
        <v>559</v>
      </c>
      <c r="L279">
        <v>1358</v>
      </c>
      <c r="N279">
        <v>1010</v>
      </c>
      <c r="O279" t="s">
        <v>560</v>
      </c>
      <c r="P279" t="s">
        <v>560</v>
      </c>
      <c r="Q279">
        <v>10</v>
      </c>
      <c r="X279">
        <v>0.01</v>
      </c>
      <c r="Y279">
        <v>5.46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</v>
      </c>
      <c r="AG279">
        <v>0.01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3">
      <c r="A280">
        <f>ROW(Source!A332)</f>
        <v>332</v>
      </c>
      <c r="B280">
        <v>58754175</v>
      </c>
      <c r="C280">
        <v>56509610</v>
      </c>
      <c r="D280">
        <v>57687874</v>
      </c>
      <c r="E280">
        <v>1</v>
      </c>
      <c r="F280">
        <v>1</v>
      </c>
      <c r="G280">
        <v>1080</v>
      </c>
      <c r="H280">
        <v>3</v>
      </c>
      <c r="I280" t="s">
        <v>606</v>
      </c>
      <c r="J280" t="s">
        <v>607</v>
      </c>
      <c r="K280" t="s">
        <v>608</v>
      </c>
      <c r="L280">
        <v>1356</v>
      </c>
      <c r="N280">
        <v>1010</v>
      </c>
      <c r="O280" t="s">
        <v>485</v>
      </c>
      <c r="P280" t="s">
        <v>485</v>
      </c>
      <c r="Q280">
        <v>1000</v>
      </c>
      <c r="X280">
        <v>6.7000000000000004E-2</v>
      </c>
      <c r="Y280">
        <v>1639.86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6.7000000000000004E-2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3">
      <c r="A281">
        <f>ROW(Source!A332)</f>
        <v>332</v>
      </c>
      <c r="B281">
        <v>58754176</v>
      </c>
      <c r="C281">
        <v>56509610</v>
      </c>
      <c r="D281">
        <v>57631403</v>
      </c>
      <c r="E281">
        <v>1080</v>
      </c>
      <c r="F281">
        <v>1</v>
      </c>
      <c r="G281">
        <v>1080</v>
      </c>
      <c r="H281">
        <v>3</v>
      </c>
      <c r="I281" t="s">
        <v>564</v>
      </c>
      <c r="J281" t="s">
        <v>3</v>
      </c>
      <c r="K281" t="s">
        <v>565</v>
      </c>
      <c r="L281">
        <v>1301</v>
      </c>
      <c r="N281">
        <v>1003</v>
      </c>
      <c r="O281" t="s">
        <v>286</v>
      </c>
      <c r="P281" t="s">
        <v>286</v>
      </c>
      <c r="Q281">
        <v>1</v>
      </c>
      <c r="X281">
        <v>102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</v>
      </c>
      <c r="AG281">
        <v>102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3">
      <c r="A282">
        <f>ROW(Source!A332)</f>
        <v>332</v>
      </c>
      <c r="B282">
        <v>58754177</v>
      </c>
      <c r="C282">
        <v>56509610</v>
      </c>
      <c r="D282">
        <v>57635042</v>
      </c>
      <c r="E282">
        <v>1080</v>
      </c>
      <c r="F282">
        <v>1</v>
      </c>
      <c r="G282">
        <v>1080</v>
      </c>
      <c r="H282">
        <v>3</v>
      </c>
      <c r="I282" t="s">
        <v>566</v>
      </c>
      <c r="J282" t="s">
        <v>3</v>
      </c>
      <c r="K282" t="s">
        <v>567</v>
      </c>
      <c r="L282">
        <v>1354</v>
      </c>
      <c r="N282">
        <v>1010</v>
      </c>
      <c r="O282" t="s">
        <v>32</v>
      </c>
      <c r="P282" t="s">
        <v>32</v>
      </c>
      <c r="Q282">
        <v>1</v>
      </c>
      <c r="X282">
        <v>18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18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3">
      <c r="A283">
        <f>ROW(Source!A332)</f>
        <v>332</v>
      </c>
      <c r="B283">
        <v>58754178</v>
      </c>
      <c r="C283">
        <v>56509610</v>
      </c>
      <c r="D283">
        <v>57635054</v>
      </c>
      <c r="E283">
        <v>1080</v>
      </c>
      <c r="F283">
        <v>1</v>
      </c>
      <c r="G283">
        <v>1080</v>
      </c>
      <c r="H283">
        <v>3</v>
      </c>
      <c r="I283" t="s">
        <v>568</v>
      </c>
      <c r="J283" t="s">
        <v>3</v>
      </c>
      <c r="K283" t="s">
        <v>569</v>
      </c>
      <c r="L283">
        <v>1356</v>
      </c>
      <c r="N283">
        <v>1010</v>
      </c>
      <c r="O283" t="s">
        <v>485</v>
      </c>
      <c r="P283" t="s">
        <v>485</v>
      </c>
      <c r="Q283">
        <v>1000</v>
      </c>
      <c r="X283">
        <v>1.7999999999999999E-2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3</v>
      </c>
      <c r="AG283">
        <v>1.7999999999999999E-2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3">
      <c r="A284">
        <f>ROW(Source!A332)</f>
        <v>332</v>
      </c>
      <c r="B284">
        <v>58754179</v>
      </c>
      <c r="C284">
        <v>56509610</v>
      </c>
      <c r="D284">
        <v>57637110</v>
      </c>
      <c r="E284">
        <v>1080</v>
      </c>
      <c r="F284">
        <v>1</v>
      </c>
      <c r="G284">
        <v>1080</v>
      </c>
      <c r="H284">
        <v>3</v>
      </c>
      <c r="I284" t="s">
        <v>570</v>
      </c>
      <c r="J284" t="s">
        <v>3</v>
      </c>
      <c r="K284" t="s">
        <v>571</v>
      </c>
      <c r="L284">
        <v>1354</v>
      </c>
      <c r="N284">
        <v>1010</v>
      </c>
      <c r="O284" t="s">
        <v>32</v>
      </c>
      <c r="P284" t="s">
        <v>32</v>
      </c>
      <c r="Q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0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3">
      <c r="A285">
        <f>ROW(Source!A333)</f>
        <v>333</v>
      </c>
      <c r="B285">
        <v>58754166</v>
      </c>
      <c r="C285">
        <v>56509610</v>
      </c>
      <c r="D285">
        <v>57621905</v>
      </c>
      <c r="E285">
        <v>1080</v>
      </c>
      <c r="F285">
        <v>1</v>
      </c>
      <c r="G285">
        <v>1080</v>
      </c>
      <c r="H285">
        <v>1</v>
      </c>
      <c r="I285" t="s">
        <v>392</v>
      </c>
      <c r="J285" t="s">
        <v>3</v>
      </c>
      <c r="K285" t="s">
        <v>393</v>
      </c>
      <c r="L285">
        <v>1191</v>
      </c>
      <c r="N285">
        <v>1013</v>
      </c>
      <c r="O285" t="s">
        <v>394</v>
      </c>
      <c r="P285" t="s">
        <v>394</v>
      </c>
      <c r="Q285">
        <v>1</v>
      </c>
      <c r="X285">
        <v>29.9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24</v>
      </c>
      <c r="AG285">
        <v>32.89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3">
      <c r="A286">
        <f>ROW(Source!A333)</f>
        <v>333</v>
      </c>
      <c r="B286">
        <v>58754167</v>
      </c>
      <c r="C286">
        <v>56509610</v>
      </c>
      <c r="D286">
        <v>57695780</v>
      </c>
      <c r="E286">
        <v>1</v>
      </c>
      <c r="F286">
        <v>1</v>
      </c>
      <c r="G286">
        <v>1080</v>
      </c>
      <c r="H286">
        <v>2</v>
      </c>
      <c r="I286" t="s">
        <v>544</v>
      </c>
      <c r="J286" t="s">
        <v>545</v>
      </c>
      <c r="K286" t="s">
        <v>546</v>
      </c>
      <c r="L286">
        <v>1368</v>
      </c>
      <c r="N286">
        <v>1011</v>
      </c>
      <c r="O286" t="s">
        <v>398</v>
      </c>
      <c r="P286" t="s">
        <v>398</v>
      </c>
      <c r="Q286">
        <v>1</v>
      </c>
      <c r="X286">
        <v>2.33</v>
      </c>
      <c r="Y286">
        <v>0</v>
      </c>
      <c r="Z286">
        <v>7.11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24</v>
      </c>
      <c r="AG286">
        <v>2.5630000000000002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3">
      <c r="A287">
        <f>ROW(Source!A333)</f>
        <v>333</v>
      </c>
      <c r="B287">
        <v>58754168</v>
      </c>
      <c r="C287">
        <v>56509610</v>
      </c>
      <c r="D287">
        <v>57696079</v>
      </c>
      <c r="E287">
        <v>1</v>
      </c>
      <c r="F287">
        <v>1</v>
      </c>
      <c r="G287">
        <v>1080</v>
      </c>
      <c r="H287">
        <v>2</v>
      </c>
      <c r="I287" t="s">
        <v>395</v>
      </c>
      <c r="J287" t="s">
        <v>396</v>
      </c>
      <c r="K287" t="s">
        <v>397</v>
      </c>
      <c r="L287">
        <v>1368</v>
      </c>
      <c r="N287">
        <v>1011</v>
      </c>
      <c r="O287" t="s">
        <v>398</v>
      </c>
      <c r="P287" t="s">
        <v>398</v>
      </c>
      <c r="Q287">
        <v>1</v>
      </c>
      <c r="X287">
        <v>0.3</v>
      </c>
      <c r="Y287">
        <v>0</v>
      </c>
      <c r="Z287">
        <v>83.1</v>
      </c>
      <c r="AA287">
        <v>12.62</v>
      </c>
      <c r="AB287">
        <v>0</v>
      </c>
      <c r="AC287">
        <v>0</v>
      </c>
      <c r="AD287">
        <v>1</v>
      </c>
      <c r="AE287">
        <v>0</v>
      </c>
      <c r="AF287" t="s">
        <v>24</v>
      </c>
      <c r="AG287">
        <v>0.33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3">
      <c r="A288">
        <f>ROW(Source!A333)</f>
        <v>333</v>
      </c>
      <c r="B288">
        <v>58754169</v>
      </c>
      <c r="C288">
        <v>56509610</v>
      </c>
      <c r="D288">
        <v>57696131</v>
      </c>
      <c r="E288">
        <v>1</v>
      </c>
      <c r="F288">
        <v>1</v>
      </c>
      <c r="G288">
        <v>1080</v>
      </c>
      <c r="H288">
        <v>2</v>
      </c>
      <c r="I288" t="s">
        <v>488</v>
      </c>
      <c r="J288" t="s">
        <v>489</v>
      </c>
      <c r="K288" t="s">
        <v>490</v>
      </c>
      <c r="L288">
        <v>1368</v>
      </c>
      <c r="N288">
        <v>1011</v>
      </c>
      <c r="O288" t="s">
        <v>398</v>
      </c>
      <c r="P288" t="s">
        <v>398</v>
      </c>
      <c r="Q288">
        <v>1</v>
      </c>
      <c r="X288">
        <v>6</v>
      </c>
      <c r="Y288">
        <v>0</v>
      </c>
      <c r="Z288">
        <v>0.77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24</v>
      </c>
      <c r="AG288">
        <v>6.6000000000000005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3">
      <c r="A289">
        <f>ROW(Source!A333)</f>
        <v>333</v>
      </c>
      <c r="B289">
        <v>58754170</v>
      </c>
      <c r="C289">
        <v>56509610</v>
      </c>
      <c r="D289">
        <v>57665459</v>
      </c>
      <c r="E289">
        <v>1</v>
      </c>
      <c r="F289">
        <v>1</v>
      </c>
      <c r="G289">
        <v>1080</v>
      </c>
      <c r="H289">
        <v>3</v>
      </c>
      <c r="I289" t="s">
        <v>547</v>
      </c>
      <c r="J289" t="s">
        <v>548</v>
      </c>
      <c r="K289" t="s">
        <v>549</v>
      </c>
      <c r="L289">
        <v>1348</v>
      </c>
      <c r="N289">
        <v>1009</v>
      </c>
      <c r="O289" t="s">
        <v>165</v>
      </c>
      <c r="P289" t="s">
        <v>165</v>
      </c>
      <c r="Q289">
        <v>1000</v>
      </c>
      <c r="X289">
        <v>9.6000000000000002E-4</v>
      </c>
      <c r="Y289">
        <v>8590.86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9.6000000000000002E-4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3">
      <c r="A290">
        <f>ROW(Source!A333)</f>
        <v>333</v>
      </c>
      <c r="B290">
        <v>58754171</v>
      </c>
      <c r="C290">
        <v>56509610</v>
      </c>
      <c r="D290">
        <v>57664417</v>
      </c>
      <c r="E290">
        <v>1</v>
      </c>
      <c r="F290">
        <v>1</v>
      </c>
      <c r="G290">
        <v>1080</v>
      </c>
      <c r="H290">
        <v>3</v>
      </c>
      <c r="I290" t="s">
        <v>403</v>
      </c>
      <c r="J290" t="s">
        <v>404</v>
      </c>
      <c r="K290" t="s">
        <v>405</v>
      </c>
      <c r="L290">
        <v>1354</v>
      </c>
      <c r="N290">
        <v>1010</v>
      </c>
      <c r="O290" t="s">
        <v>32</v>
      </c>
      <c r="P290" t="s">
        <v>32</v>
      </c>
      <c r="Q290">
        <v>1</v>
      </c>
      <c r="X290">
        <v>134</v>
      </c>
      <c r="Y290">
        <v>3.86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134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3">
      <c r="A291">
        <f>ROW(Source!A333)</f>
        <v>333</v>
      </c>
      <c r="B291">
        <v>58754172</v>
      </c>
      <c r="C291">
        <v>56509610</v>
      </c>
      <c r="D291">
        <v>57666737</v>
      </c>
      <c r="E291">
        <v>1</v>
      </c>
      <c r="F291">
        <v>1</v>
      </c>
      <c r="G291">
        <v>1080</v>
      </c>
      <c r="H291">
        <v>3</v>
      </c>
      <c r="I291" t="s">
        <v>550</v>
      </c>
      <c r="J291" t="s">
        <v>551</v>
      </c>
      <c r="K291" t="s">
        <v>552</v>
      </c>
      <c r="L291">
        <v>1296</v>
      </c>
      <c r="N291">
        <v>1002</v>
      </c>
      <c r="O291" t="s">
        <v>553</v>
      </c>
      <c r="P291" t="s">
        <v>553</v>
      </c>
      <c r="Q291">
        <v>1</v>
      </c>
      <c r="X291">
        <v>0.315</v>
      </c>
      <c r="Y291">
        <v>35.4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0.315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3">
      <c r="A292">
        <f>ROW(Source!A333)</f>
        <v>333</v>
      </c>
      <c r="B292">
        <v>58754173</v>
      </c>
      <c r="C292">
        <v>56509610</v>
      </c>
      <c r="D292">
        <v>57664894</v>
      </c>
      <c r="E292">
        <v>1</v>
      </c>
      <c r="F292">
        <v>1</v>
      </c>
      <c r="G292">
        <v>1080</v>
      </c>
      <c r="H292">
        <v>3</v>
      </c>
      <c r="I292" t="s">
        <v>554</v>
      </c>
      <c r="J292" t="s">
        <v>555</v>
      </c>
      <c r="K292" t="s">
        <v>556</v>
      </c>
      <c r="L292">
        <v>1348</v>
      </c>
      <c r="N292">
        <v>1009</v>
      </c>
      <c r="O292" t="s">
        <v>165</v>
      </c>
      <c r="P292" t="s">
        <v>165</v>
      </c>
      <c r="Q292">
        <v>1000</v>
      </c>
      <c r="X292">
        <v>2.0999999999999999E-3</v>
      </c>
      <c r="Y292">
        <v>7973.67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2.0999999999999999E-3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3">
      <c r="A293">
        <f>ROW(Source!A333)</f>
        <v>333</v>
      </c>
      <c r="B293">
        <v>58754174</v>
      </c>
      <c r="C293">
        <v>56509610</v>
      </c>
      <c r="D293">
        <v>57688464</v>
      </c>
      <c r="E293">
        <v>1</v>
      </c>
      <c r="F293">
        <v>1</v>
      </c>
      <c r="G293">
        <v>1080</v>
      </c>
      <c r="H293">
        <v>3</v>
      </c>
      <c r="I293" t="s">
        <v>557</v>
      </c>
      <c r="J293" t="s">
        <v>558</v>
      </c>
      <c r="K293" t="s">
        <v>559</v>
      </c>
      <c r="L293">
        <v>1358</v>
      </c>
      <c r="N293">
        <v>1010</v>
      </c>
      <c r="O293" t="s">
        <v>560</v>
      </c>
      <c r="P293" t="s">
        <v>560</v>
      </c>
      <c r="Q293">
        <v>10</v>
      </c>
      <c r="X293">
        <v>0.01</v>
      </c>
      <c r="Y293">
        <v>5.46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0.01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3">
      <c r="A294">
        <f>ROW(Source!A333)</f>
        <v>333</v>
      </c>
      <c r="B294">
        <v>58754175</v>
      </c>
      <c r="C294">
        <v>56509610</v>
      </c>
      <c r="D294">
        <v>57687874</v>
      </c>
      <c r="E294">
        <v>1</v>
      </c>
      <c r="F294">
        <v>1</v>
      </c>
      <c r="G294">
        <v>1080</v>
      </c>
      <c r="H294">
        <v>3</v>
      </c>
      <c r="I294" t="s">
        <v>606</v>
      </c>
      <c r="J294" t="s">
        <v>607</v>
      </c>
      <c r="K294" t="s">
        <v>608</v>
      </c>
      <c r="L294">
        <v>1356</v>
      </c>
      <c r="N294">
        <v>1010</v>
      </c>
      <c r="O294" t="s">
        <v>485</v>
      </c>
      <c r="P294" t="s">
        <v>485</v>
      </c>
      <c r="Q294">
        <v>1000</v>
      </c>
      <c r="X294">
        <v>6.7000000000000004E-2</v>
      </c>
      <c r="Y294">
        <v>1639.86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6.7000000000000004E-2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3">
      <c r="A295">
        <f>ROW(Source!A333)</f>
        <v>333</v>
      </c>
      <c r="B295">
        <v>58754176</v>
      </c>
      <c r="C295">
        <v>56509610</v>
      </c>
      <c r="D295">
        <v>57631403</v>
      </c>
      <c r="E295">
        <v>1080</v>
      </c>
      <c r="F295">
        <v>1</v>
      </c>
      <c r="G295">
        <v>1080</v>
      </c>
      <c r="H295">
        <v>3</v>
      </c>
      <c r="I295" t="s">
        <v>564</v>
      </c>
      <c r="J295" t="s">
        <v>3</v>
      </c>
      <c r="K295" t="s">
        <v>565</v>
      </c>
      <c r="L295">
        <v>1301</v>
      </c>
      <c r="N295">
        <v>1003</v>
      </c>
      <c r="O295" t="s">
        <v>286</v>
      </c>
      <c r="P295" t="s">
        <v>286</v>
      </c>
      <c r="Q295">
        <v>1</v>
      </c>
      <c r="X295">
        <v>102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</v>
      </c>
      <c r="AG295">
        <v>102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3">
      <c r="A296">
        <f>ROW(Source!A333)</f>
        <v>333</v>
      </c>
      <c r="B296">
        <v>58754177</v>
      </c>
      <c r="C296">
        <v>56509610</v>
      </c>
      <c r="D296">
        <v>57635042</v>
      </c>
      <c r="E296">
        <v>1080</v>
      </c>
      <c r="F296">
        <v>1</v>
      </c>
      <c r="G296">
        <v>1080</v>
      </c>
      <c r="H296">
        <v>3</v>
      </c>
      <c r="I296" t="s">
        <v>566</v>
      </c>
      <c r="J296" t="s">
        <v>3</v>
      </c>
      <c r="K296" t="s">
        <v>567</v>
      </c>
      <c r="L296">
        <v>1354</v>
      </c>
      <c r="N296">
        <v>1010</v>
      </c>
      <c r="O296" t="s">
        <v>32</v>
      </c>
      <c r="P296" t="s">
        <v>32</v>
      </c>
      <c r="Q296">
        <v>1</v>
      </c>
      <c r="X296">
        <v>18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</v>
      </c>
      <c r="AG296">
        <v>18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3">
      <c r="A297">
        <f>ROW(Source!A333)</f>
        <v>333</v>
      </c>
      <c r="B297">
        <v>58754178</v>
      </c>
      <c r="C297">
        <v>56509610</v>
      </c>
      <c r="D297">
        <v>57635054</v>
      </c>
      <c r="E297">
        <v>1080</v>
      </c>
      <c r="F297">
        <v>1</v>
      </c>
      <c r="G297">
        <v>1080</v>
      </c>
      <c r="H297">
        <v>3</v>
      </c>
      <c r="I297" t="s">
        <v>568</v>
      </c>
      <c r="J297" t="s">
        <v>3</v>
      </c>
      <c r="K297" t="s">
        <v>569</v>
      </c>
      <c r="L297">
        <v>1356</v>
      </c>
      <c r="N297">
        <v>1010</v>
      </c>
      <c r="O297" t="s">
        <v>485</v>
      </c>
      <c r="P297" t="s">
        <v>485</v>
      </c>
      <c r="Q297">
        <v>1000</v>
      </c>
      <c r="X297">
        <v>1.7999999999999999E-2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</v>
      </c>
      <c r="AG297">
        <v>1.7999999999999999E-2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3">
      <c r="A298">
        <f>ROW(Source!A333)</f>
        <v>333</v>
      </c>
      <c r="B298">
        <v>58754179</v>
      </c>
      <c r="C298">
        <v>56509610</v>
      </c>
      <c r="D298">
        <v>57637110</v>
      </c>
      <c r="E298">
        <v>1080</v>
      </c>
      <c r="F298">
        <v>1</v>
      </c>
      <c r="G298">
        <v>1080</v>
      </c>
      <c r="H298">
        <v>3</v>
      </c>
      <c r="I298" t="s">
        <v>570</v>
      </c>
      <c r="J298" t="s">
        <v>3</v>
      </c>
      <c r="K298" t="s">
        <v>571</v>
      </c>
      <c r="L298">
        <v>1354</v>
      </c>
      <c r="N298">
        <v>1010</v>
      </c>
      <c r="O298" t="s">
        <v>32</v>
      </c>
      <c r="P298" t="s">
        <v>32</v>
      </c>
      <c r="Q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</v>
      </c>
      <c r="AG298">
        <v>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0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3">
      <c r="F12" t="str">
        <f>Source!F12</f>
        <v>02-01-12</v>
      </c>
      <c r="G12" t="str">
        <f>Source!G12</f>
        <v>02-01-12 СКС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02-01-12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'02-01-12'!Заголовки_для_печати</vt:lpstr>
      <vt:lpstr>'Ведомость объемов работ'!Заголовки_для_печати</vt:lpstr>
      <vt:lpstr>'02-01-12'!Область_печати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Лукьянова Анна Леонидовна</cp:lastModifiedBy>
  <dcterms:created xsi:type="dcterms:W3CDTF">2026-04-28T15:26:35Z</dcterms:created>
  <dcterms:modified xsi:type="dcterms:W3CDTF">2026-04-28T15:28:00Z</dcterms:modified>
</cp:coreProperties>
</file>