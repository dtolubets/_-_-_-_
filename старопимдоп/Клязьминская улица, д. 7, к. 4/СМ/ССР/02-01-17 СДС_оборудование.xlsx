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ПРОЕКТНЫЙ ОТДЕЛ\СМЕТЫ 2025 год\ШКОЛЫ\Клязьминская ул., д.7, к. 4\Сметы\"/>
    </mc:Choice>
  </mc:AlternateContent>
  <bookViews>
    <workbookView xWindow="0" yWindow="0" windowWidth="28800" windowHeight="12197"/>
  </bookViews>
  <sheets>
    <sheet name="02-01-17" sheetId="7" r:id="rId1"/>
    <sheet name="Ведомость объемов работ" sheetId="8" r:id="rId2"/>
    <sheet name="Source" sheetId="1" r:id="rId3"/>
    <sheet name="SourceObSm" sheetId="2" r:id="rId4"/>
    <sheet name="SmtRes" sheetId="3" r:id="rId5"/>
    <sheet name="EtalonRes" sheetId="4" r:id="rId6"/>
    <sheet name="SrcPoprs" sheetId="5" r:id="rId7"/>
    <sheet name="SrcKA" sheetId="6" r:id="rId8"/>
  </sheets>
  <definedNames>
    <definedName name="_xlnm.Print_Titles" localSheetId="0">'02-01-17'!$27:$27</definedName>
    <definedName name="_xlnm.Print_Titles" localSheetId="1">'Ведомость объемов работ'!$17:$17</definedName>
    <definedName name="_xlnm.Print_Area" localSheetId="0">'02-01-17'!$A$1:$K$172</definedName>
    <definedName name="_xlnm.Print_Area" localSheetId="1">'Ведомость объемов работ'!$A$1:$H$53</definedName>
  </definedNames>
  <calcPr calcId="162913" iterate="1"/>
</workbook>
</file>

<file path=xl/calcChain.xml><?xml version="1.0" encoding="utf-8"?>
<calcChain xmlns="http://schemas.openxmlformats.org/spreadsheetml/2006/main">
  <c r="D51" i="8" l="1"/>
  <c r="D49" i="8"/>
  <c r="F46" i="8"/>
  <c r="E46" i="8"/>
  <c r="C46" i="8"/>
  <c r="B46" i="8"/>
  <c r="F45" i="8"/>
  <c r="E45" i="8"/>
  <c r="C45" i="8"/>
  <c r="B45" i="8"/>
  <c r="F44" i="8"/>
  <c r="E44" i="8"/>
  <c r="C44" i="8"/>
  <c r="B44" i="8"/>
  <c r="F43" i="8"/>
  <c r="E43" i="8"/>
  <c r="C43" i="8"/>
  <c r="B43" i="8"/>
  <c r="F42" i="8"/>
  <c r="E42" i="8"/>
  <c r="C42" i="8"/>
  <c r="B42" i="8"/>
  <c r="F41" i="8"/>
  <c r="E41" i="8"/>
  <c r="C41" i="8"/>
  <c r="B41" i="8"/>
  <c r="F40" i="8"/>
  <c r="E40" i="8"/>
  <c r="C40" i="8"/>
  <c r="B40" i="8"/>
  <c r="F39" i="8"/>
  <c r="E39" i="8"/>
  <c r="C39" i="8"/>
  <c r="B39" i="8"/>
  <c r="G38" i="8"/>
  <c r="F38" i="8"/>
  <c r="E38" i="8"/>
  <c r="C38" i="8"/>
  <c r="B38" i="8"/>
  <c r="A37" i="8"/>
  <c r="F36" i="8"/>
  <c r="E36" i="8"/>
  <c r="C36" i="8"/>
  <c r="B36" i="8"/>
  <c r="G35" i="8"/>
  <c r="F35" i="8"/>
  <c r="E35" i="8"/>
  <c r="C35" i="8"/>
  <c r="B35" i="8"/>
  <c r="F34" i="8"/>
  <c r="E34" i="8"/>
  <c r="C34" i="8"/>
  <c r="B34" i="8"/>
  <c r="G33" i="8"/>
  <c r="F33" i="8"/>
  <c r="E33" i="8"/>
  <c r="C33" i="8"/>
  <c r="B33" i="8"/>
  <c r="F32" i="8"/>
  <c r="E32" i="8"/>
  <c r="C32" i="8"/>
  <c r="B32" i="8"/>
  <c r="G31" i="8"/>
  <c r="F31" i="8"/>
  <c r="E31" i="8"/>
  <c r="C31" i="8"/>
  <c r="B31" i="8"/>
  <c r="F30" i="8"/>
  <c r="E30" i="8"/>
  <c r="C30" i="8"/>
  <c r="B30" i="8"/>
  <c r="G29" i="8"/>
  <c r="F29" i="8"/>
  <c r="E29" i="8"/>
  <c r="C29" i="8"/>
  <c r="B29" i="8"/>
  <c r="F28" i="8"/>
  <c r="E28" i="8"/>
  <c r="C28" i="8"/>
  <c r="B28" i="8"/>
  <c r="F27" i="8"/>
  <c r="E27" i="8"/>
  <c r="C27" i="8"/>
  <c r="B27" i="8"/>
  <c r="G26" i="8"/>
  <c r="F26" i="8"/>
  <c r="E26" i="8"/>
  <c r="C26" i="8"/>
  <c r="B26" i="8"/>
  <c r="F25" i="8"/>
  <c r="E25" i="8"/>
  <c r="C25" i="8"/>
  <c r="B25" i="8"/>
  <c r="G24" i="8"/>
  <c r="F24" i="8"/>
  <c r="E24" i="8"/>
  <c r="C24" i="8"/>
  <c r="B24" i="8"/>
  <c r="F23" i="8"/>
  <c r="E23" i="8"/>
  <c r="C23" i="8"/>
  <c r="B23" i="8"/>
  <c r="G22" i="8"/>
  <c r="F22" i="8"/>
  <c r="E22" i="8"/>
  <c r="C22" i="8"/>
  <c r="B22" i="8"/>
  <c r="F21" i="8"/>
  <c r="E21" i="8"/>
  <c r="C21" i="8"/>
  <c r="B21" i="8"/>
  <c r="G20" i="8"/>
  <c r="F20" i="8"/>
  <c r="E20" i="8"/>
  <c r="C20" i="8"/>
  <c r="B20" i="8"/>
  <c r="A19" i="8"/>
  <c r="A18" i="8"/>
  <c r="B13" i="8"/>
  <c r="B12" i="8"/>
  <c r="A1" i="8"/>
  <c r="H170" i="7"/>
  <c r="H167" i="7"/>
  <c r="C170" i="7"/>
  <c r="C167" i="7"/>
  <c r="J22" i="7"/>
  <c r="J19" i="7"/>
  <c r="J18" i="7"/>
  <c r="J17" i="7"/>
  <c r="J16" i="7"/>
  <c r="J15" i="7"/>
  <c r="J14" i="7"/>
  <c r="I22" i="7"/>
  <c r="I20" i="7"/>
  <c r="I19" i="7"/>
  <c r="I18" i="7"/>
  <c r="I17" i="7"/>
  <c r="I14" i="7" s="1"/>
  <c r="I16" i="7"/>
  <c r="I15" i="7"/>
  <c r="I164" i="7"/>
  <c r="J164" i="7"/>
  <c r="I163" i="7"/>
  <c r="J163" i="7"/>
  <c r="A162" i="7"/>
  <c r="I160" i="7"/>
  <c r="J160" i="7"/>
  <c r="I159" i="7"/>
  <c r="J159" i="7"/>
  <c r="A158" i="7"/>
  <c r="H154" i="7"/>
  <c r="J154" i="7"/>
  <c r="I152" i="7"/>
  <c r="H152" i="7"/>
  <c r="G152" i="7"/>
  <c r="E152" i="7"/>
  <c r="J151" i="7"/>
  <c r="I151" i="7"/>
  <c r="E151" i="7"/>
  <c r="J150" i="7"/>
  <c r="E150" i="7"/>
  <c r="K149" i="7"/>
  <c r="J149" i="7"/>
  <c r="H149" i="7"/>
  <c r="I149" i="7"/>
  <c r="F149" i="7"/>
  <c r="V149" i="7"/>
  <c r="T149" i="7"/>
  <c r="R149" i="7"/>
  <c r="U149" i="7"/>
  <c r="S149" i="7"/>
  <c r="Q149" i="7"/>
  <c r="E149" i="7"/>
  <c r="D149" i="7"/>
  <c r="B149" i="7"/>
  <c r="K148" i="7"/>
  <c r="J148" i="7"/>
  <c r="H148" i="7"/>
  <c r="I148" i="7"/>
  <c r="F148" i="7"/>
  <c r="V148" i="7"/>
  <c r="T148" i="7"/>
  <c r="R148" i="7"/>
  <c r="U148" i="7"/>
  <c r="S148" i="7"/>
  <c r="Q148" i="7"/>
  <c r="E148" i="7"/>
  <c r="D148" i="7"/>
  <c r="B148" i="7"/>
  <c r="K147" i="7"/>
  <c r="J147" i="7"/>
  <c r="H147" i="7"/>
  <c r="I147" i="7"/>
  <c r="F147" i="7"/>
  <c r="V147" i="7"/>
  <c r="T147" i="7"/>
  <c r="R147" i="7"/>
  <c r="U147" i="7"/>
  <c r="S147" i="7"/>
  <c r="Q147" i="7"/>
  <c r="E147" i="7"/>
  <c r="D147" i="7"/>
  <c r="B147" i="7"/>
  <c r="K146" i="7"/>
  <c r="J146" i="7"/>
  <c r="H146" i="7"/>
  <c r="I146" i="7"/>
  <c r="F146" i="7"/>
  <c r="V146" i="7"/>
  <c r="T146" i="7"/>
  <c r="R146" i="7"/>
  <c r="U146" i="7"/>
  <c r="S146" i="7"/>
  <c r="Q146" i="7"/>
  <c r="E146" i="7"/>
  <c r="D146" i="7"/>
  <c r="B146" i="7"/>
  <c r="K145" i="7"/>
  <c r="J145" i="7"/>
  <c r="H145" i="7"/>
  <c r="I145" i="7"/>
  <c r="F145" i="7"/>
  <c r="V145" i="7"/>
  <c r="T145" i="7"/>
  <c r="R145" i="7"/>
  <c r="U145" i="7"/>
  <c r="S145" i="7"/>
  <c r="Q145" i="7"/>
  <c r="E145" i="7"/>
  <c r="D145" i="7"/>
  <c r="B145" i="7"/>
  <c r="K144" i="7"/>
  <c r="J144" i="7"/>
  <c r="H144" i="7"/>
  <c r="I144" i="7"/>
  <c r="F144" i="7"/>
  <c r="V144" i="7"/>
  <c r="T144" i="7"/>
  <c r="R144" i="7"/>
  <c r="K150" i="7" s="1"/>
  <c r="U144" i="7"/>
  <c r="S144" i="7"/>
  <c r="Q144" i="7"/>
  <c r="E144" i="7"/>
  <c r="D144" i="7"/>
  <c r="B144" i="7"/>
  <c r="K143" i="7"/>
  <c r="J143" i="7"/>
  <c r="H143" i="7"/>
  <c r="I143" i="7"/>
  <c r="F143" i="7"/>
  <c r="V143" i="7"/>
  <c r="T143" i="7"/>
  <c r="R143" i="7"/>
  <c r="U143" i="7"/>
  <c r="S143" i="7"/>
  <c r="Q143" i="7"/>
  <c r="I150" i="7" s="1"/>
  <c r="E143" i="7"/>
  <c r="D143" i="7"/>
  <c r="B143" i="7"/>
  <c r="K142" i="7"/>
  <c r="J142" i="7"/>
  <c r="H142" i="7"/>
  <c r="I142" i="7"/>
  <c r="F142" i="7"/>
  <c r="V142" i="7"/>
  <c r="T142" i="7"/>
  <c r="R142" i="7"/>
  <c r="U142" i="7"/>
  <c r="S142" i="7"/>
  <c r="Q142" i="7"/>
  <c r="E142" i="7"/>
  <c r="D142" i="7"/>
  <c r="B142" i="7"/>
  <c r="K141" i="7"/>
  <c r="J141" i="7"/>
  <c r="I141" i="7"/>
  <c r="H141" i="7"/>
  <c r="G141" i="7"/>
  <c r="F141" i="7"/>
  <c r="K140" i="7"/>
  <c r="J140" i="7"/>
  <c r="I140" i="7"/>
  <c r="H140" i="7"/>
  <c r="G140" i="7"/>
  <c r="F140" i="7"/>
  <c r="K139" i="7"/>
  <c r="J139" i="7"/>
  <c r="I139" i="7"/>
  <c r="H153" i="7" s="1"/>
  <c r="H139" i="7"/>
  <c r="G139" i="7"/>
  <c r="F139" i="7"/>
  <c r="C138" i="7"/>
  <c r="V137" i="7"/>
  <c r="T137" i="7"/>
  <c r="K151" i="7" s="1"/>
  <c r="R137" i="7"/>
  <c r="U137" i="7"/>
  <c r="S137" i="7"/>
  <c r="Q137" i="7"/>
  <c r="E137" i="7"/>
  <c r="D137" i="7"/>
  <c r="A136" i="7"/>
  <c r="I134" i="7"/>
  <c r="J134" i="7"/>
  <c r="I133" i="7"/>
  <c r="J133" i="7"/>
  <c r="A132" i="7"/>
  <c r="H128" i="7"/>
  <c r="J128" i="7"/>
  <c r="I126" i="7"/>
  <c r="H126" i="7"/>
  <c r="G126" i="7"/>
  <c r="E126" i="7"/>
  <c r="J125" i="7"/>
  <c r="E125" i="7"/>
  <c r="J124" i="7"/>
  <c r="E124" i="7"/>
  <c r="K123" i="7"/>
  <c r="J123" i="7"/>
  <c r="H123" i="7"/>
  <c r="I123" i="7"/>
  <c r="F123" i="7"/>
  <c r="V123" i="7"/>
  <c r="T123" i="7"/>
  <c r="R123" i="7"/>
  <c r="K124" i="7" s="1"/>
  <c r="U123" i="7"/>
  <c r="S123" i="7"/>
  <c r="Q123" i="7"/>
  <c r="E123" i="7"/>
  <c r="D123" i="7"/>
  <c r="B123" i="7"/>
  <c r="K122" i="7"/>
  <c r="J122" i="7"/>
  <c r="I122" i="7"/>
  <c r="H122" i="7"/>
  <c r="G122" i="7"/>
  <c r="F122" i="7"/>
  <c r="K121" i="7"/>
  <c r="P129" i="7" s="1"/>
  <c r="J121" i="7"/>
  <c r="I121" i="7"/>
  <c r="O129" i="7" s="1"/>
  <c r="H121" i="7"/>
  <c r="G121" i="7"/>
  <c r="F121" i="7"/>
  <c r="V120" i="7"/>
  <c r="T120" i="7"/>
  <c r="K125" i="7" s="1"/>
  <c r="R120" i="7"/>
  <c r="U120" i="7"/>
  <c r="S120" i="7"/>
  <c r="I125" i="7" s="1"/>
  <c r="Q120" i="7"/>
  <c r="I124" i="7" s="1"/>
  <c r="H127" i="7" s="1"/>
  <c r="E120" i="7"/>
  <c r="D120" i="7"/>
  <c r="I115" i="7"/>
  <c r="H115" i="7"/>
  <c r="G115" i="7"/>
  <c r="E115" i="7"/>
  <c r="J114" i="7"/>
  <c r="E114" i="7"/>
  <c r="J113" i="7"/>
  <c r="E113" i="7"/>
  <c r="K112" i="7"/>
  <c r="J117" i="7" s="1"/>
  <c r="J112" i="7"/>
  <c r="H112" i="7"/>
  <c r="I112" i="7"/>
  <c r="H117" i="7" s="1"/>
  <c r="F112" i="7"/>
  <c r="V112" i="7"/>
  <c r="T112" i="7"/>
  <c r="R112" i="7"/>
  <c r="U112" i="7"/>
  <c r="S112" i="7"/>
  <c r="Q112" i="7"/>
  <c r="E112" i="7"/>
  <c r="D112" i="7"/>
  <c r="B112" i="7"/>
  <c r="K111" i="7"/>
  <c r="J111" i="7"/>
  <c r="I111" i="7"/>
  <c r="H111" i="7"/>
  <c r="G111" i="7"/>
  <c r="F111" i="7"/>
  <c r="K110" i="7"/>
  <c r="J110" i="7"/>
  <c r="I110" i="7"/>
  <c r="H110" i="7"/>
  <c r="G110" i="7"/>
  <c r="F110" i="7"/>
  <c r="K109" i="7"/>
  <c r="P118" i="7" s="1"/>
  <c r="J109" i="7"/>
  <c r="I109" i="7"/>
  <c r="O118" i="7" s="1"/>
  <c r="H109" i="7"/>
  <c r="G109" i="7"/>
  <c r="F109" i="7"/>
  <c r="V108" i="7"/>
  <c r="T108" i="7"/>
  <c r="K114" i="7" s="1"/>
  <c r="R108" i="7"/>
  <c r="K113" i="7" s="1"/>
  <c r="J118" i="7" s="1"/>
  <c r="U108" i="7"/>
  <c r="S108" i="7"/>
  <c r="I114" i="7" s="1"/>
  <c r="Q108" i="7"/>
  <c r="I113" i="7" s="1"/>
  <c r="H118" i="7" s="1"/>
  <c r="E108" i="7"/>
  <c r="D108" i="7"/>
  <c r="I103" i="7"/>
  <c r="H103" i="7"/>
  <c r="G103" i="7"/>
  <c r="E103" i="7"/>
  <c r="J102" i="7"/>
  <c r="E102" i="7"/>
  <c r="J101" i="7"/>
  <c r="E101" i="7"/>
  <c r="K100" i="7"/>
  <c r="J105" i="7" s="1"/>
  <c r="J100" i="7"/>
  <c r="H100" i="7"/>
  <c r="I100" i="7"/>
  <c r="H105" i="7" s="1"/>
  <c r="F100" i="7"/>
  <c r="V100" i="7"/>
  <c r="T100" i="7"/>
  <c r="R100" i="7"/>
  <c r="U100" i="7"/>
  <c r="S100" i="7"/>
  <c r="Q100" i="7"/>
  <c r="E100" i="7"/>
  <c r="D100" i="7"/>
  <c r="B100" i="7"/>
  <c r="K99" i="7"/>
  <c r="J99" i="7"/>
  <c r="I99" i="7"/>
  <c r="H99" i="7"/>
  <c r="G99" i="7"/>
  <c r="F99" i="7"/>
  <c r="K98" i="7"/>
  <c r="J98" i="7"/>
  <c r="I98" i="7"/>
  <c r="H98" i="7"/>
  <c r="G98" i="7"/>
  <c r="F98" i="7"/>
  <c r="K97" i="7"/>
  <c r="J97" i="7"/>
  <c r="I97" i="7"/>
  <c r="H97" i="7"/>
  <c r="G97" i="7"/>
  <c r="F97" i="7"/>
  <c r="K96" i="7"/>
  <c r="J96" i="7"/>
  <c r="I96" i="7"/>
  <c r="O106" i="7" s="1"/>
  <c r="H96" i="7"/>
  <c r="G96" i="7"/>
  <c r="F96" i="7"/>
  <c r="C95" i="7"/>
  <c r="V94" i="7"/>
  <c r="T94" i="7"/>
  <c r="K102" i="7" s="1"/>
  <c r="R94" i="7"/>
  <c r="K101" i="7" s="1"/>
  <c r="U94" i="7"/>
  <c r="S94" i="7"/>
  <c r="I102" i="7" s="1"/>
  <c r="Q94" i="7"/>
  <c r="I101" i="7" s="1"/>
  <c r="E94" i="7"/>
  <c r="D94" i="7"/>
  <c r="H91" i="7"/>
  <c r="J91" i="7"/>
  <c r="I89" i="7"/>
  <c r="H89" i="7"/>
  <c r="G89" i="7"/>
  <c r="E89" i="7"/>
  <c r="J88" i="7"/>
  <c r="I88" i="7"/>
  <c r="E88" i="7"/>
  <c r="K87" i="7"/>
  <c r="J87" i="7"/>
  <c r="E87" i="7"/>
  <c r="K86" i="7"/>
  <c r="J86" i="7"/>
  <c r="H86" i="7"/>
  <c r="I86" i="7"/>
  <c r="F86" i="7"/>
  <c r="V86" i="7"/>
  <c r="T86" i="7"/>
  <c r="R86" i="7"/>
  <c r="U86" i="7"/>
  <c r="S86" i="7"/>
  <c r="Q86" i="7"/>
  <c r="I87" i="7" s="1"/>
  <c r="H92" i="7" s="1"/>
  <c r="E86" i="7"/>
  <c r="D86" i="7"/>
  <c r="B86" i="7"/>
  <c r="K85" i="7"/>
  <c r="J85" i="7"/>
  <c r="I85" i="7"/>
  <c r="H85" i="7"/>
  <c r="G85" i="7"/>
  <c r="F85" i="7"/>
  <c r="K84" i="7"/>
  <c r="J84" i="7"/>
  <c r="I84" i="7"/>
  <c r="H84" i="7"/>
  <c r="G84" i="7"/>
  <c r="F84" i="7"/>
  <c r="K83" i="7"/>
  <c r="P92" i="7" s="1"/>
  <c r="J83" i="7"/>
  <c r="I83" i="7"/>
  <c r="O92" i="7" s="1"/>
  <c r="H83" i="7"/>
  <c r="G83" i="7"/>
  <c r="F83" i="7"/>
  <c r="V82" i="7"/>
  <c r="T82" i="7"/>
  <c r="K88" i="7" s="1"/>
  <c r="R82" i="7"/>
  <c r="U82" i="7"/>
  <c r="S82" i="7"/>
  <c r="Q82" i="7"/>
  <c r="E82" i="7"/>
  <c r="D82" i="7"/>
  <c r="H79" i="7"/>
  <c r="I77" i="7"/>
  <c r="H77" i="7"/>
  <c r="G77" i="7"/>
  <c r="E77" i="7"/>
  <c r="J76" i="7"/>
  <c r="I76" i="7"/>
  <c r="E76" i="7"/>
  <c r="J75" i="7"/>
  <c r="E75" i="7"/>
  <c r="K74" i="7"/>
  <c r="J74" i="7"/>
  <c r="H74" i="7"/>
  <c r="I74" i="7"/>
  <c r="F74" i="7"/>
  <c r="V74" i="7"/>
  <c r="T74" i="7"/>
  <c r="R74" i="7"/>
  <c r="U74" i="7"/>
  <c r="S74" i="7"/>
  <c r="Q74" i="7"/>
  <c r="I75" i="7" s="1"/>
  <c r="E74" i="7"/>
  <c r="D74" i="7"/>
  <c r="B74" i="7"/>
  <c r="K73" i="7"/>
  <c r="J79" i="7" s="1"/>
  <c r="J73" i="7"/>
  <c r="H73" i="7"/>
  <c r="I73" i="7"/>
  <c r="F73" i="7"/>
  <c r="V73" i="7"/>
  <c r="T73" i="7"/>
  <c r="R73" i="7"/>
  <c r="U73" i="7"/>
  <c r="S73" i="7"/>
  <c r="Q73" i="7"/>
  <c r="E73" i="7"/>
  <c r="D73" i="7"/>
  <c r="B73" i="7"/>
  <c r="K72" i="7"/>
  <c r="J72" i="7"/>
  <c r="I72" i="7"/>
  <c r="H72" i="7"/>
  <c r="G72" i="7"/>
  <c r="F72" i="7"/>
  <c r="K71" i="7"/>
  <c r="J80" i="7" s="1"/>
  <c r="J71" i="7"/>
  <c r="I71" i="7"/>
  <c r="O80" i="7" s="1"/>
  <c r="H71" i="7"/>
  <c r="G71" i="7"/>
  <c r="F71" i="7"/>
  <c r="V70" i="7"/>
  <c r="T70" i="7"/>
  <c r="K76" i="7" s="1"/>
  <c r="R70" i="7"/>
  <c r="K75" i="7" s="1"/>
  <c r="P80" i="7" s="1"/>
  <c r="U70" i="7"/>
  <c r="S70" i="7"/>
  <c r="Q70" i="7"/>
  <c r="E70" i="7"/>
  <c r="D70" i="7"/>
  <c r="H67" i="7"/>
  <c r="J67" i="7"/>
  <c r="I65" i="7"/>
  <c r="H65" i="7"/>
  <c r="G65" i="7"/>
  <c r="E65" i="7"/>
  <c r="J64" i="7"/>
  <c r="E64" i="7"/>
  <c r="J63" i="7"/>
  <c r="I63" i="7"/>
  <c r="E63" i="7"/>
  <c r="K62" i="7"/>
  <c r="J62" i="7"/>
  <c r="H62" i="7"/>
  <c r="I62" i="7"/>
  <c r="F62" i="7"/>
  <c r="V62" i="7"/>
  <c r="T62" i="7"/>
  <c r="R62" i="7"/>
  <c r="U62" i="7"/>
  <c r="S62" i="7"/>
  <c r="Q62" i="7"/>
  <c r="E62" i="7"/>
  <c r="D62" i="7"/>
  <c r="B62" i="7"/>
  <c r="K61" i="7"/>
  <c r="J61" i="7"/>
  <c r="I61" i="7"/>
  <c r="H61" i="7"/>
  <c r="G61" i="7"/>
  <c r="F61" i="7"/>
  <c r="K60" i="7"/>
  <c r="J60" i="7"/>
  <c r="I60" i="7"/>
  <c r="H60" i="7"/>
  <c r="G60" i="7"/>
  <c r="F60" i="7"/>
  <c r="K59" i="7"/>
  <c r="J59" i="7"/>
  <c r="I59" i="7"/>
  <c r="H59" i="7"/>
  <c r="G59" i="7"/>
  <c r="F59" i="7"/>
  <c r="K58" i="7"/>
  <c r="J58" i="7"/>
  <c r="I58" i="7"/>
  <c r="O68" i="7" s="1"/>
  <c r="H58" i="7"/>
  <c r="G58" i="7"/>
  <c r="F58" i="7"/>
  <c r="V57" i="7"/>
  <c r="T57" i="7"/>
  <c r="K64" i="7" s="1"/>
  <c r="R57" i="7"/>
  <c r="K63" i="7" s="1"/>
  <c r="J68" i="7" s="1"/>
  <c r="U57" i="7"/>
  <c r="S57" i="7"/>
  <c r="I64" i="7" s="1"/>
  <c r="Q57" i="7"/>
  <c r="E57" i="7"/>
  <c r="D57" i="7"/>
  <c r="I52" i="7"/>
  <c r="H52" i="7"/>
  <c r="G52" i="7"/>
  <c r="E52" i="7"/>
  <c r="J51" i="7"/>
  <c r="I51" i="7"/>
  <c r="E51" i="7"/>
  <c r="K50" i="7"/>
  <c r="J50" i="7"/>
  <c r="E50" i="7"/>
  <c r="K49" i="7"/>
  <c r="J54" i="7" s="1"/>
  <c r="J49" i="7"/>
  <c r="H49" i="7"/>
  <c r="I49" i="7"/>
  <c r="H54" i="7" s="1"/>
  <c r="F49" i="7"/>
  <c r="V49" i="7"/>
  <c r="T49" i="7"/>
  <c r="R49" i="7"/>
  <c r="U49" i="7"/>
  <c r="S49" i="7"/>
  <c r="Q49" i="7"/>
  <c r="E49" i="7"/>
  <c r="D49" i="7"/>
  <c r="B49" i="7"/>
  <c r="K48" i="7"/>
  <c r="J48" i="7"/>
  <c r="I48" i="7"/>
  <c r="H48" i="7"/>
  <c r="G48" i="7"/>
  <c r="F48" i="7"/>
  <c r="K47" i="7"/>
  <c r="J47" i="7"/>
  <c r="I47" i="7"/>
  <c r="H47" i="7"/>
  <c r="G47" i="7"/>
  <c r="F47" i="7"/>
  <c r="K46" i="7"/>
  <c r="J46" i="7"/>
  <c r="I46" i="7"/>
  <c r="H46" i="7"/>
  <c r="G46" i="7"/>
  <c r="F46" i="7"/>
  <c r="K45" i="7"/>
  <c r="P55" i="7" s="1"/>
  <c r="J45" i="7"/>
  <c r="I45" i="7"/>
  <c r="H45" i="7"/>
  <c r="G45" i="7"/>
  <c r="F45" i="7"/>
  <c r="C44" i="7"/>
  <c r="V43" i="7"/>
  <c r="T43" i="7"/>
  <c r="K51" i="7" s="1"/>
  <c r="R43" i="7"/>
  <c r="U43" i="7"/>
  <c r="S43" i="7"/>
  <c r="Q43" i="7"/>
  <c r="I50" i="7" s="1"/>
  <c r="E43" i="7"/>
  <c r="D43" i="7"/>
  <c r="J40" i="7"/>
  <c r="I38" i="7"/>
  <c r="H38" i="7"/>
  <c r="G38" i="7"/>
  <c r="E38" i="7"/>
  <c r="J37" i="7"/>
  <c r="E37" i="7"/>
  <c r="K36" i="7"/>
  <c r="J36" i="7"/>
  <c r="E36" i="7"/>
  <c r="K35" i="7"/>
  <c r="J35" i="7"/>
  <c r="H35" i="7"/>
  <c r="I35" i="7"/>
  <c r="H40" i="7" s="1"/>
  <c r="F35" i="7"/>
  <c r="V35" i="7"/>
  <c r="T35" i="7"/>
  <c r="R35" i="7"/>
  <c r="U35" i="7"/>
  <c r="S35" i="7"/>
  <c r="Q35" i="7"/>
  <c r="I36" i="7" s="1"/>
  <c r="H41" i="7" s="1"/>
  <c r="E35" i="7"/>
  <c r="D35" i="7"/>
  <c r="B35" i="7"/>
  <c r="K34" i="7"/>
  <c r="J34" i="7"/>
  <c r="I34" i="7"/>
  <c r="H34" i="7"/>
  <c r="G34" i="7"/>
  <c r="F34" i="7"/>
  <c r="K33" i="7"/>
  <c r="J33" i="7"/>
  <c r="I33" i="7"/>
  <c r="H33" i="7"/>
  <c r="G33" i="7"/>
  <c r="F33" i="7"/>
  <c r="K32" i="7"/>
  <c r="J32" i="7"/>
  <c r="I32" i="7"/>
  <c r="H32" i="7"/>
  <c r="G32" i="7"/>
  <c r="F32" i="7"/>
  <c r="K31" i="7"/>
  <c r="J39" i="7" s="1"/>
  <c r="J31" i="7"/>
  <c r="I31" i="7"/>
  <c r="H31" i="7"/>
  <c r="G31" i="7"/>
  <c r="F31" i="7"/>
  <c r="V30" i="7"/>
  <c r="T30" i="7"/>
  <c r="K37" i="7" s="1"/>
  <c r="R30" i="7"/>
  <c r="U30" i="7"/>
  <c r="S30" i="7"/>
  <c r="I37" i="7" s="1"/>
  <c r="Q30" i="7"/>
  <c r="E30" i="7"/>
  <c r="D30" i="7"/>
  <c r="A29" i="7"/>
  <c r="A11" i="7"/>
  <c r="A8" i="7"/>
  <c r="A6" i="7"/>
  <c r="A1" i="7"/>
  <c r="O55" i="7" l="1"/>
  <c r="J155" i="7"/>
  <c r="J129" i="7"/>
  <c r="J127" i="7"/>
  <c r="P68" i="7"/>
  <c r="H106" i="7"/>
  <c r="P106" i="7"/>
  <c r="O41" i="7"/>
  <c r="H90" i="7"/>
  <c r="J66" i="7"/>
  <c r="J41" i="7"/>
  <c r="P41" i="7"/>
  <c r="H55" i="7"/>
  <c r="H78" i="7"/>
  <c r="J106" i="7"/>
  <c r="P155" i="7"/>
  <c r="J158" i="7" s="1"/>
  <c r="H155" i="7"/>
  <c r="H39" i="7"/>
  <c r="J104" i="7"/>
  <c r="J116" i="7"/>
  <c r="H129" i="7"/>
  <c r="O155" i="7"/>
  <c r="H158" i="7" s="1"/>
  <c r="H66" i="7"/>
  <c r="J53" i="7"/>
  <c r="H68" i="7"/>
  <c r="H104" i="7"/>
  <c r="H116" i="7"/>
  <c r="J55" i="7"/>
  <c r="J78" i="7"/>
  <c r="J90" i="7"/>
  <c r="J153" i="7"/>
  <c r="H80" i="7"/>
  <c r="H53" i="7"/>
  <c r="J92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D28" i="1"/>
  <c r="V28" i="1"/>
  <c r="W28" i="1"/>
  <c r="AC28" i="1"/>
  <c r="AE28" i="1"/>
  <c r="AF28" i="1"/>
  <c r="S28" i="1" s="1"/>
  <c r="AG28" i="1"/>
  <c r="AH28" i="1"/>
  <c r="AI28" i="1"/>
  <c r="AJ28" i="1"/>
  <c r="CX28" i="1" s="1"/>
  <c r="CT28" i="1"/>
  <c r="CU28" i="1"/>
  <c r="T28" i="1" s="1"/>
  <c r="CV28" i="1"/>
  <c r="U28" i="1" s="1"/>
  <c r="CW28" i="1"/>
  <c r="GL28" i="1"/>
  <c r="GN28" i="1"/>
  <c r="GP28" i="1"/>
  <c r="GV28" i="1"/>
  <c r="HC28" i="1" s="1"/>
  <c r="GX28" i="1" s="1"/>
  <c r="D29" i="1"/>
  <c r="P29" i="1"/>
  <c r="R29" i="1"/>
  <c r="W29" i="1"/>
  <c r="AC29" i="1"/>
  <c r="AD29" i="1"/>
  <c r="AE29" i="1"/>
  <c r="Q29" i="1" s="1"/>
  <c r="AF29" i="1"/>
  <c r="CT29" i="1" s="1"/>
  <c r="AG29" i="1"/>
  <c r="CU29" i="1" s="1"/>
  <c r="T29" i="1" s="1"/>
  <c r="AH29" i="1"/>
  <c r="CV29" i="1" s="1"/>
  <c r="U29" i="1" s="1"/>
  <c r="AI29" i="1"/>
  <c r="AJ29" i="1"/>
  <c r="CQ29" i="1"/>
  <c r="CR29" i="1"/>
  <c r="CS29" i="1"/>
  <c r="CW29" i="1"/>
  <c r="V29" i="1" s="1"/>
  <c r="CX29" i="1"/>
  <c r="GL29" i="1"/>
  <c r="GN29" i="1"/>
  <c r="GP29" i="1"/>
  <c r="GV29" i="1"/>
  <c r="GX29" i="1"/>
  <c r="HC29" i="1"/>
  <c r="I30" i="1"/>
  <c r="S30" i="1" s="1"/>
  <c r="AB30" i="1"/>
  <c r="AC30" i="1"/>
  <c r="AD30" i="1"/>
  <c r="AE30" i="1"/>
  <c r="AF30" i="1"/>
  <c r="AG30" i="1"/>
  <c r="CU30" i="1" s="1"/>
  <c r="AH30" i="1"/>
  <c r="CV30" i="1" s="1"/>
  <c r="U30" i="1" s="1"/>
  <c r="AI30" i="1"/>
  <c r="CW30" i="1" s="1"/>
  <c r="V30" i="1" s="1"/>
  <c r="AJ30" i="1"/>
  <c r="CR30" i="1"/>
  <c r="CS30" i="1"/>
  <c r="CT30" i="1"/>
  <c r="CX30" i="1"/>
  <c r="W30" i="1" s="1"/>
  <c r="GL30" i="1"/>
  <c r="GN30" i="1"/>
  <c r="GO30" i="1"/>
  <c r="GP30" i="1"/>
  <c r="GV30" i="1"/>
  <c r="HC30" i="1"/>
  <c r="I31" i="1"/>
  <c r="P31" i="1" s="1"/>
  <c r="Q31" i="1"/>
  <c r="U31" i="1"/>
  <c r="V31" i="1"/>
  <c r="AC31" i="1"/>
  <c r="CQ31" i="1" s="1"/>
  <c r="AE31" i="1"/>
  <c r="AF31" i="1"/>
  <c r="S31" i="1" s="1"/>
  <c r="AG31" i="1"/>
  <c r="AH31" i="1"/>
  <c r="AI31" i="1"/>
  <c r="CW31" i="1" s="1"/>
  <c r="AJ31" i="1"/>
  <c r="CX31" i="1" s="1"/>
  <c r="CS31" i="1"/>
  <c r="CT31" i="1"/>
  <c r="CU31" i="1"/>
  <c r="T31" i="1" s="1"/>
  <c r="CV31" i="1"/>
  <c r="GL31" i="1"/>
  <c r="GN31" i="1"/>
  <c r="GO31" i="1"/>
  <c r="GP31" i="1"/>
  <c r="GV31" i="1"/>
  <c r="HC31" i="1" s="1"/>
  <c r="GX31" i="1" s="1"/>
  <c r="D32" i="1"/>
  <c r="I32" i="1"/>
  <c r="Q32" i="1" s="1"/>
  <c r="K32" i="1"/>
  <c r="R32" i="1"/>
  <c r="S32" i="1"/>
  <c r="CY32" i="1" s="1"/>
  <c r="X32" i="1" s="1"/>
  <c r="V32" i="1"/>
  <c r="AB32" i="1"/>
  <c r="AC32" i="1"/>
  <c r="AD32" i="1"/>
  <c r="AE32" i="1"/>
  <c r="AF32" i="1"/>
  <c r="AG32" i="1"/>
  <c r="CU32" i="1" s="1"/>
  <c r="T32" i="1" s="1"/>
  <c r="AH32" i="1"/>
  <c r="CV32" i="1" s="1"/>
  <c r="U32" i="1" s="1"/>
  <c r="AI32" i="1"/>
  <c r="CW32" i="1" s="1"/>
  <c r="AJ32" i="1"/>
  <c r="CX32" i="1" s="1"/>
  <c r="W32" i="1" s="1"/>
  <c r="CR32" i="1"/>
  <c r="CS32" i="1"/>
  <c r="CT32" i="1"/>
  <c r="CZ32" i="1"/>
  <c r="Y32" i="1" s="1"/>
  <c r="GL32" i="1"/>
  <c r="GN32" i="1"/>
  <c r="GP32" i="1"/>
  <c r="GV32" i="1"/>
  <c r="HC32" i="1" s="1"/>
  <c r="GX32" i="1" s="1"/>
  <c r="D33" i="1"/>
  <c r="I33" i="1"/>
  <c r="K33" i="1"/>
  <c r="P33" i="1"/>
  <c r="T33" i="1"/>
  <c r="U33" i="1"/>
  <c r="AC33" i="1"/>
  <c r="AD33" i="1"/>
  <c r="AE33" i="1"/>
  <c r="R33" i="1" s="1"/>
  <c r="AF33" i="1"/>
  <c r="AG33" i="1"/>
  <c r="AH33" i="1"/>
  <c r="CV33" i="1" s="1"/>
  <c r="AI33" i="1"/>
  <c r="CW33" i="1" s="1"/>
  <c r="V33" i="1" s="1"/>
  <c r="AJ33" i="1"/>
  <c r="CR33" i="1"/>
  <c r="CS33" i="1"/>
  <c r="CT33" i="1"/>
  <c r="CU33" i="1"/>
  <c r="CX33" i="1"/>
  <c r="W33" i="1" s="1"/>
  <c r="GL33" i="1"/>
  <c r="GN33" i="1"/>
  <c r="GP33" i="1"/>
  <c r="GV33" i="1"/>
  <c r="HC33" i="1" s="1"/>
  <c r="GX33" i="1"/>
  <c r="I34" i="1"/>
  <c r="P34" i="1"/>
  <c r="FR34" i="1" s="1"/>
  <c r="Q34" i="1"/>
  <c r="AC34" i="1"/>
  <c r="AB34" i="1" s="1"/>
  <c r="AD34" i="1"/>
  <c r="AE34" i="1"/>
  <c r="AF34" i="1"/>
  <c r="S34" i="1" s="1"/>
  <c r="AG34" i="1"/>
  <c r="AH34" i="1"/>
  <c r="AI34" i="1"/>
  <c r="CW34" i="1" s="1"/>
  <c r="V34" i="1" s="1"/>
  <c r="AJ34" i="1"/>
  <c r="CX34" i="1" s="1"/>
  <c r="W34" i="1" s="1"/>
  <c r="CQ34" i="1"/>
  <c r="CT34" i="1"/>
  <c r="CU34" i="1"/>
  <c r="T34" i="1" s="1"/>
  <c r="CV34" i="1"/>
  <c r="U34" i="1" s="1"/>
  <c r="GL34" i="1"/>
  <c r="GN34" i="1"/>
  <c r="GO34" i="1"/>
  <c r="GP34" i="1"/>
  <c r="GV34" i="1"/>
  <c r="HC34" i="1" s="1"/>
  <c r="GX34" i="1" s="1"/>
  <c r="AC35" i="1"/>
  <c r="AD35" i="1"/>
  <c r="AE35" i="1"/>
  <c r="CS35" i="1" s="1"/>
  <c r="AF35" i="1"/>
  <c r="CT35" i="1" s="1"/>
  <c r="AG35" i="1"/>
  <c r="AH35" i="1"/>
  <c r="AI35" i="1"/>
  <c r="AJ35" i="1"/>
  <c r="CQ35" i="1"/>
  <c r="CU35" i="1"/>
  <c r="CV35" i="1"/>
  <c r="CW35" i="1"/>
  <c r="CX35" i="1"/>
  <c r="GL35" i="1"/>
  <c r="GN35" i="1"/>
  <c r="GO35" i="1"/>
  <c r="GP35" i="1"/>
  <c r="GV35" i="1"/>
  <c r="HC35" i="1" s="1"/>
  <c r="D36" i="1"/>
  <c r="R36" i="1"/>
  <c r="S36" i="1"/>
  <c r="AC36" i="1"/>
  <c r="P36" i="1" s="1"/>
  <c r="AE36" i="1"/>
  <c r="AD36" i="1" s="1"/>
  <c r="AB36" i="1" s="1"/>
  <c r="AF36" i="1"/>
  <c r="CT36" i="1" s="1"/>
  <c r="AG36" i="1"/>
  <c r="CU36" i="1" s="1"/>
  <c r="T36" i="1" s="1"/>
  <c r="AH36" i="1"/>
  <c r="AI36" i="1"/>
  <c r="AJ36" i="1"/>
  <c r="CQ36" i="1"/>
  <c r="CR36" i="1"/>
  <c r="CS36" i="1"/>
  <c r="CV36" i="1"/>
  <c r="U36" i="1" s="1"/>
  <c r="CW36" i="1"/>
  <c r="V36" i="1" s="1"/>
  <c r="CX36" i="1"/>
  <c r="W36" i="1" s="1"/>
  <c r="GL36" i="1"/>
  <c r="GN36" i="1"/>
  <c r="GP36" i="1"/>
  <c r="GV36" i="1"/>
  <c r="HC36" i="1"/>
  <c r="GX36" i="1" s="1"/>
  <c r="D37" i="1"/>
  <c r="R37" i="1"/>
  <c r="S37" i="1"/>
  <c r="CY37" i="1" s="1"/>
  <c r="X37" i="1" s="1"/>
  <c r="U37" i="1"/>
  <c r="AB37" i="1"/>
  <c r="AC37" i="1"/>
  <c r="AD37" i="1"/>
  <c r="AE37" i="1"/>
  <c r="Q37" i="1" s="1"/>
  <c r="AF37" i="1"/>
  <c r="AG37" i="1"/>
  <c r="CU37" i="1" s="1"/>
  <c r="T37" i="1" s="1"/>
  <c r="AH37" i="1"/>
  <c r="CV37" i="1" s="1"/>
  <c r="AI37" i="1"/>
  <c r="CW37" i="1" s="1"/>
  <c r="V37" i="1" s="1"/>
  <c r="AJ37" i="1"/>
  <c r="CR37" i="1"/>
  <c r="CS37" i="1"/>
  <c r="CT37" i="1"/>
  <c r="CX37" i="1"/>
  <c r="W37" i="1" s="1"/>
  <c r="GL37" i="1"/>
  <c r="GN37" i="1"/>
  <c r="GP37" i="1"/>
  <c r="GV37" i="1"/>
  <c r="HC37" i="1" s="1"/>
  <c r="GX37" i="1" s="1"/>
  <c r="I38" i="1"/>
  <c r="Q38" i="1"/>
  <c r="R38" i="1"/>
  <c r="V38" i="1"/>
  <c r="AC38" i="1"/>
  <c r="AE38" i="1"/>
  <c r="AF38" i="1"/>
  <c r="S38" i="1" s="1"/>
  <c r="AG38" i="1"/>
  <c r="AH38" i="1"/>
  <c r="AI38" i="1"/>
  <c r="AJ38" i="1"/>
  <c r="CX38" i="1" s="1"/>
  <c r="W38" i="1" s="1"/>
  <c r="CS38" i="1"/>
  <c r="CT38" i="1"/>
  <c r="CU38" i="1"/>
  <c r="T38" i="1" s="1"/>
  <c r="CV38" i="1"/>
  <c r="U38" i="1" s="1"/>
  <c r="CW38" i="1"/>
  <c r="GL38" i="1"/>
  <c r="GN38" i="1"/>
  <c r="GP38" i="1"/>
  <c r="GV38" i="1"/>
  <c r="HC38" i="1"/>
  <c r="GX38" i="1" s="1"/>
  <c r="I39" i="1"/>
  <c r="Q39" i="1" s="1"/>
  <c r="R39" i="1"/>
  <c r="S39" i="1"/>
  <c r="AC39" i="1"/>
  <c r="P39" i="1" s="1"/>
  <c r="AE39" i="1"/>
  <c r="AD39" i="1" s="1"/>
  <c r="AB39" i="1" s="1"/>
  <c r="AF39" i="1"/>
  <c r="CT39" i="1" s="1"/>
  <c r="AG39" i="1"/>
  <c r="CU39" i="1" s="1"/>
  <c r="T39" i="1" s="1"/>
  <c r="AH39" i="1"/>
  <c r="AI39" i="1"/>
  <c r="AJ39" i="1"/>
  <c r="CP39" i="1"/>
  <c r="O39" i="1" s="1"/>
  <c r="CQ39" i="1"/>
  <c r="CR39" i="1"/>
  <c r="CS39" i="1"/>
  <c r="CV39" i="1"/>
  <c r="CW39" i="1"/>
  <c r="V39" i="1" s="1"/>
  <c r="CX39" i="1"/>
  <c r="W39" i="1" s="1"/>
  <c r="GL39" i="1"/>
  <c r="GN39" i="1"/>
  <c r="GP39" i="1"/>
  <c r="GV39" i="1"/>
  <c r="HC39" i="1"/>
  <c r="GX39" i="1" s="1"/>
  <c r="D40" i="1"/>
  <c r="R40" i="1"/>
  <c r="U40" i="1"/>
  <c r="V40" i="1"/>
  <c r="AC40" i="1"/>
  <c r="AD40" i="1"/>
  <c r="AE40" i="1"/>
  <c r="Q40" i="1" s="1"/>
  <c r="AF40" i="1"/>
  <c r="S40" i="1" s="1"/>
  <c r="AG40" i="1"/>
  <c r="CU40" i="1" s="1"/>
  <c r="T40" i="1" s="1"/>
  <c r="AH40" i="1"/>
  <c r="CV40" i="1" s="1"/>
  <c r="AI40" i="1"/>
  <c r="AJ40" i="1"/>
  <c r="CR40" i="1"/>
  <c r="CS40" i="1"/>
  <c r="CW40" i="1"/>
  <c r="CX40" i="1"/>
  <c r="W40" i="1" s="1"/>
  <c r="GL40" i="1"/>
  <c r="GN40" i="1"/>
  <c r="GP40" i="1"/>
  <c r="GV40" i="1"/>
  <c r="HC40" i="1" s="1"/>
  <c r="GX40" i="1" s="1"/>
  <c r="D41" i="1"/>
  <c r="Q41" i="1"/>
  <c r="R41" i="1"/>
  <c r="V41" i="1"/>
  <c r="W41" i="1"/>
  <c r="AC41" i="1"/>
  <c r="AE41" i="1"/>
  <c r="AF41" i="1"/>
  <c r="S41" i="1" s="1"/>
  <c r="AG41" i="1"/>
  <c r="AH41" i="1"/>
  <c r="AI41" i="1"/>
  <c r="AJ41" i="1"/>
  <c r="CX41" i="1" s="1"/>
  <c r="CS41" i="1"/>
  <c r="CU41" i="1"/>
  <c r="T41" i="1" s="1"/>
  <c r="CV41" i="1"/>
  <c r="U41" i="1" s="1"/>
  <c r="CW41" i="1"/>
  <c r="GL41" i="1"/>
  <c r="GN41" i="1"/>
  <c r="GP41" i="1"/>
  <c r="GV41" i="1"/>
  <c r="HC41" i="1" s="1"/>
  <c r="GX41" i="1" s="1"/>
  <c r="I42" i="1"/>
  <c r="Q42" i="1" s="1"/>
  <c r="R42" i="1"/>
  <c r="S42" i="1"/>
  <c r="AC42" i="1"/>
  <c r="P42" i="1" s="1"/>
  <c r="CP42" i="1" s="1"/>
  <c r="O42" i="1" s="1"/>
  <c r="AE42" i="1"/>
  <c r="AD42" i="1" s="1"/>
  <c r="AB42" i="1" s="1"/>
  <c r="AF42" i="1"/>
  <c r="CT42" i="1" s="1"/>
  <c r="AG42" i="1"/>
  <c r="CU42" i="1" s="1"/>
  <c r="AH42" i="1"/>
  <c r="AI42" i="1"/>
  <c r="AJ42" i="1"/>
  <c r="CX42" i="1" s="1"/>
  <c r="W42" i="1" s="1"/>
  <c r="CQ42" i="1"/>
  <c r="CR42" i="1"/>
  <c r="CS42" i="1"/>
  <c r="CV42" i="1"/>
  <c r="CW42" i="1"/>
  <c r="V42" i="1" s="1"/>
  <c r="GL42" i="1"/>
  <c r="GN42" i="1"/>
  <c r="GO42" i="1"/>
  <c r="GP42" i="1"/>
  <c r="GV42" i="1"/>
  <c r="GX42" i="1"/>
  <c r="HC42" i="1"/>
  <c r="I43" i="1"/>
  <c r="S43" i="1" s="1"/>
  <c r="Q43" i="1"/>
  <c r="AC43" i="1"/>
  <c r="AE43" i="1"/>
  <c r="AD43" i="1" s="1"/>
  <c r="AB43" i="1" s="1"/>
  <c r="AF43" i="1"/>
  <c r="CT43" i="1" s="1"/>
  <c r="AG43" i="1"/>
  <c r="CU43" i="1" s="1"/>
  <c r="T43" i="1" s="1"/>
  <c r="AH43" i="1"/>
  <c r="CV43" i="1" s="1"/>
  <c r="U43" i="1" s="1"/>
  <c r="AI43" i="1"/>
  <c r="AJ43" i="1"/>
  <c r="CQ43" i="1"/>
  <c r="CW43" i="1"/>
  <c r="V43" i="1" s="1"/>
  <c r="CX43" i="1"/>
  <c r="GL43" i="1"/>
  <c r="GN43" i="1"/>
  <c r="GO43" i="1"/>
  <c r="GP43" i="1"/>
  <c r="GV43" i="1"/>
  <c r="HC43" i="1"/>
  <c r="GX43" i="1" s="1"/>
  <c r="I44" i="1"/>
  <c r="Q44" i="1" s="1"/>
  <c r="P44" i="1"/>
  <c r="U44" i="1"/>
  <c r="AC44" i="1"/>
  <c r="AD44" i="1"/>
  <c r="AB44" i="1" s="1"/>
  <c r="AE44" i="1"/>
  <c r="R44" i="1" s="1"/>
  <c r="AF44" i="1"/>
  <c r="AG44" i="1"/>
  <c r="CU44" i="1" s="1"/>
  <c r="T44" i="1" s="1"/>
  <c r="AH44" i="1"/>
  <c r="CV44" i="1" s="1"/>
  <c r="AI44" i="1"/>
  <c r="CW44" i="1" s="1"/>
  <c r="AJ44" i="1"/>
  <c r="CQ44" i="1"/>
  <c r="CR44" i="1"/>
  <c r="CS44" i="1"/>
  <c r="CT44" i="1"/>
  <c r="CX44" i="1"/>
  <c r="GL44" i="1"/>
  <c r="GN44" i="1"/>
  <c r="GO44" i="1"/>
  <c r="GP44" i="1"/>
  <c r="GV44" i="1"/>
  <c r="HC44" i="1" s="1"/>
  <c r="I45" i="1"/>
  <c r="Q45" i="1" s="1"/>
  <c r="S45" i="1"/>
  <c r="CZ45" i="1" s="1"/>
  <c r="Y45" i="1" s="1"/>
  <c r="U45" i="1"/>
  <c r="AC45" i="1"/>
  <c r="CQ45" i="1" s="1"/>
  <c r="AD45" i="1"/>
  <c r="AE45" i="1"/>
  <c r="R45" i="1" s="1"/>
  <c r="AF45" i="1"/>
  <c r="AG45" i="1"/>
  <c r="CU45" i="1" s="1"/>
  <c r="T45" i="1" s="1"/>
  <c r="AH45" i="1"/>
  <c r="CV45" i="1" s="1"/>
  <c r="AI45" i="1"/>
  <c r="CW45" i="1" s="1"/>
  <c r="V45" i="1" s="1"/>
  <c r="AJ45" i="1"/>
  <c r="CX45" i="1" s="1"/>
  <c r="W45" i="1" s="1"/>
  <c r="CS45" i="1"/>
  <c r="CT45" i="1"/>
  <c r="CY45" i="1"/>
  <c r="X45" i="1" s="1"/>
  <c r="GL45" i="1"/>
  <c r="GN45" i="1"/>
  <c r="GO45" i="1"/>
  <c r="GP45" i="1"/>
  <c r="GV45" i="1"/>
  <c r="HC45" i="1" s="1"/>
  <c r="GX45" i="1" s="1"/>
  <c r="D46" i="1"/>
  <c r="R46" i="1"/>
  <c r="CZ46" i="1" s="1"/>
  <c r="Y46" i="1" s="1"/>
  <c r="AC46" i="1"/>
  <c r="CQ46" i="1" s="1"/>
  <c r="AE46" i="1"/>
  <c r="CR46" i="1" s="1"/>
  <c r="AF46" i="1"/>
  <c r="S46" i="1" s="1"/>
  <c r="AG46" i="1"/>
  <c r="AH46" i="1"/>
  <c r="AI46" i="1"/>
  <c r="AJ46" i="1"/>
  <c r="CX46" i="1" s="1"/>
  <c r="W46" i="1" s="1"/>
  <c r="CT46" i="1"/>
  <c r="CU46" i="1"/>
  <c r="T46" i="1" s="1"/>
  <c r="CV46" i="1"/>
  <c r="U46" i="1" s="1"/>
  <c r="CW46" i="1"/>
  <c r="V46" i="1" s="1"/>
  <c r="GL46" i="1"/>
  <c r="GN46" i="1"/>
  <c r="GP46" i="1"/>
  <c r="GV46" i="1"/>
  <c r="HC46" i="1" s="1"/>
  <c r="GX46" i="1" s="1"/>
  <c r="D47" i="1"/>
  <c r="P47" i="1"/>
  <c r="Q47" i="1"/>
  <c r="CP47" i="1" s="1"/>
  <c r="O47" i="1" s="1"/>
  <c r="R47" i="1"/>
  <c r="S47" i="1"/>
  <c r="AB47" i="1"/>
  <c r="AC47" i="1"/>
  <c r="AE47" i="1"/>
  <c r="AD47" i="1" s="1"/>
  <c r="AF47" i="1"/>
  <c r="CT47" i="1" s="1"/>
  <c r="AG47" i="1"/>
  <c r="CU47" i="1" s="1"/>
  <c r="T47" i="1" s="1"/>
  <c r="AH47" i="1"/>
  <c r="AI47" i="1"/>
  <c r="AJ47" i="1"/>
  <c r="CX47" i="1" s="1"/>
  <c r="W47" i="1" s="1"/>
  <c r="CQ47" i="1"/>
  <c r="CS47" i="1"/>
  <c r="CV47" i="1"/>
  <c r="U47" i="1" s="1"/>
  <c r="CW47" i="1"/>
  <c r="V47" i="1" s="1"/>
  <c r="GL47" i="1"/>
  <c r="GN47" i="1"/>
  <c r="GP47" i="1"/>
  <c r="GV47" i="1"/>
  <c r="HC47" i="1"/>
  <c r="GX47" i="1" s="1"/>
  <c r="I48" i="1"/>
  <c r="Q48" i="1" s="1"/>
  <c r="R48" i="1"/>
  <c r="CZ48" i="1" s="1"/>
  <c r="Y48" i="1" s="1"/>
  <c r="S48" i="1"/>
  <c r="CY48" i="1" s="1"/>
  <c r="X48" i="1" s="1"/>
  <c r="AC48" i="1"/>
  <c r="AD48" i="1"/>
  <c r="AE48" i="1"/>
  <c r="AF48" i="1"/>
  <c r="AG48" i="1"/>
  <c r="CU48" i="1" s="1"/>
  <c r="T48" i="1" s="1"/>
  <c r="AH48" i="1"/>
  <c r="CV48" i="1" s="1"/>
  <c r="U48" i="1" s="1"/>
  <c r="AI48" i="1"/>
  <c r="AJ48" i="1"/>
  <c r="CR48" i="1"/>
  <c r="CS48" i="1"/>
  <c r="CT48" i="1"/>
  <c r="CW48" i="1"/>
  <c r="V48" i="1" s="1"/>
  <c r="CX48" i="1"/>
  <c r="W48" i="1" s="1"/>
  <c r="GL48" i="1"/>
  <c r="GN48" i="1"/>
  <c r="GO48" i="1"/>
  <c r="GP48" i="1"/>
  <c r="GV48" i="1"/>
  <c r="HC48" i="1"/>
  <c r="I49" i="1"/>
  <c r="S49" i="1" s="1"/>
  <c r="P49" i="1"/>
  <c r="T49" i="1"/>
  <c r="AB49" i="1"/>
  <c r="AC49" i="1"/>
  <c r="CQ49" i="1" s="1"/>
  <c r="AD49" i="1"/>
  <c r="AE49" i="1"/>
  <c r="AF49" i="1"/>
  <c r="AG49" i="1"/>
  <c r="AH49" i="1"/>
  <c r="CV49" i="1" s="1"/>
  <c r="U49" i="1" s="1"/>
  <c r="AI49" i="1"/>
  <c r="CW49" i="1" s="1"/>
  <c r="AJ49" i="1"/>
  <c r="CX49" i="1" s="1"/>
  <c r="W49" i="1" s="1"/>
  <c r="CR49" i="1"/>
  <c r="CS49" i="1"/>
  <c r="CT49" i="1"/>
  <c r="CU49" i="1"/>
  <c r="GL49" i="1"/>
  <c r="GN49" i="1"/>
  <c r="GO49" i="1"/>
  <c r="GP49" i="1"/>
  <c r="GV49" i="1"/>
  <c r="HC49" i="1" s="1"/>
  <c r="D50" i="1"/>
  <c r="I50" i="1"/>
  <c r="K50" i="1"/>
  <c r="S50" i="1"/>
  <c r="T50" i="1"/>
  <c r="U50" i="1"/>
  <c r="AC50" i="1"/>
  <c r="AD50" i="1"/>
  <c r="AE50" i="1"/>
  <c r="AF50" i="1"/>
  <c r="AG50" i="1"/>
  <c r="CU50" i="1" s="1"/>
  <c r="AH50" i="1"/>
  <c r="CV50" i="1" s="1"/>
  <c r="AI50" i="1"/>
  <c r="CW50" i="1" s="1"/>
  <c r="V50" i="1" s="1"/>
  <c r="AJ50" i="1"/>
  <c r="CX50" i="1" s="1"/>
  <c r="W50" i="1" s="1"/>
  <c r="CR50" i="1"/>
  <c r="CS50" i="1"/>
  <c r="CT50" i="1"/>
  <c r="GL50" i="1"/>
  <c r="GN50" i="1"/>
  <c r="GP50" i="1"/>
  <c r="GV50" i="1"/>
  <c r="HC50" i="1" s="1"/>
  <c r="GX50" i="1" s="1"/>
  <c r="D51" i="1"/>
  <c r="I51" i="1"/>
  <c r="K51" i="1"/>
  <c r="S51" i="1"/>
  <c r="U51" i="1"/>
  <c r="AC51" i="1"/>
  <c r="AB51" i="1" s="1"/>
  <c r="AD51" i="1"/>
  <c r="AE51" i="1"/>
  <c r="AF51" i="1"/>
  <c r="AG51" i="1"/>
  <c r="AH51" i="1"/>
  <c r="CV51" i="1" s="1"/>
  <c r="AI51" i="1"/>
  <c r="CW51" i="1" s="1"/>
  <c r="V51" i="1" s="1"/>
  <c r="AJ51" i="1"/>
  <c r="CR51" i="1"/>
  <c r="CS51" i="1"/>
  <c r="CT51" i="1"/>
  <c r="CU51" i="1"/>
  <c r="T51" i="1" s="1"/>
  <c r="CX51" i="1"/>
  <c r="W51" i="1" s="1"/>
  <c r="GL51" i="1"/>
  <c r="GN51" i="1"/>
  <c r="GP51" i="1"/>
  <c r="GV51" i="1"/>
  <c r="HC51" i="1" s="1"/>
  <c r="GX51" i="1" s="1"/>
  <c r="AB52" i="1"/>
  <c r="AC52" i="1"/>
  <c r="CQ52" i="1" s="1"/>
  <c r="AD52" i="1"/>
  <c r="AE52" i="1"/>
  <c r="AF52" i="1"/>
  <c r="AG52" i="1"/>
  <c r="AH52" i="1"/>
  <c r="CV52" i="1" s="1"/>
  <c r="AI52" i="1"/>
  <c r="CW52" i="1" s="1"/>
  <c r="AJ52" i="1"/>
  <c r="CX52" i="1" s="1"/>
  <c r="CS52" i="1"/>
  <c r="CT52" i="1"/>
  <c r="CU52" i="1"/>
  <c r="GL52" i="1"/>
  <c r="GN52" i="1"/>
  <c r="GO52" i="1"/>
  <c r="GP52" i="1"/>
  <c r="GV52" i="1"/>
  <c r="HC52" i="1" s="1"/>
  <c r="AC53" i="1"/>
  <c r="AB53" i="1" s="1"/>
  <c r="AD53" i="1"/>
  <c r="AE53" i="1"/>
  <c r="AF53" i="1"/>
  <c r="AG53" i="1"/>
  <c r="CU53" i="1" s="1"/>
  <c r="AH53" i="1"/>
  <c r="AI53" i="1"/>
  <c r="CW53" i="1" s="1"/>
  <c r="AJ53" i="1"/>
  <c r="CR53" i="1"/>
  <c r="CS53" i="1"/>
  <c r="CT53" i="1"/>
  <c r="CV53" i="1"/>
  <c r="CX53" i="1"/>
  <c r="GL53" i="1"/>
  <c r="GN53" i="1"/>
  <c r="GO53" i="1"/>
  <c r="GP53" i="1"/>
  <c r="GV53" i="1"/>
  <c r="HC53" i="1" s="1"/>
  <c r="D54" i="1"/>
  <c r="P54" i="1"/>
  <c r="R54" i="1"/>
  <c r="AC54" i="1"/>
  <c r="AB54" i="1" s="1"/>
  <c r="AD54" i="1"/>
  <c r="AE54" i="1"/>
  <c r="CR54" i="1" s="1"/>
  <c r="AF54" i="1"/>
  <c r="CT54" i="1" s="1"/>
  <c r="AG54" i="1"/>
  <c r="AH54" i="1"/>
  <c r="CV54" i="1" s="1"/>
  <c r="U54" i="1" s="1"/>
  <c r="AI54" i="1"/>
  <c r="CW54" i="1" s="1"/>
  <c r="V54" i="1" s="1"/>
  <c r="AJ54" i="1"/>
  <c r="CX54" i="1" s="1"/>
  <c r="W54" i="1" s="1"/>
  <c r="CS54" i="1"/>
  <c r="CU54" i="1"/>
  <c r="T54" i="1" s="1"/>
  <c r="GL54" i="1"/>
  <c r="GN54" i="1"/>
  <c r="GP54" i="1"/>
  <c r="GV54" i="1"/>
  <c r="HC54" i="1" s="1"/>
  <c r="GX54" i="1" s="1"/>
  <c r="D55" i="1"/>
  <c r="P55" i="1"/>
  <c r="V55" i="1"/>
  <c r="AC55" i="1"/>
  <c r="AE55" i="1"/>
  <c r="CR55" i="1" s="1"/>
  <c r="AF55" i="1"/>
  <c r="CT55" i="1" s="1"/>
  <c r="AG55" i="1"/>
  <c r="AH55" i="1"/>
  <c r="AI55" i="1"/>
  <c r="AJ55" i="1"/>
  <c r="CX55" i="1" s="1"/>
  <c r="W55" i="1" s="1"/>
  <c r="CQ55" i="1"/>
  <c r="CU55" i="1"/>
  <c r="T55" i="1" s="1"/>
  <c r="CV55" i="1"/>
  <c r="U55" i="1" s="1"/>
  <c r="CW55" i="1"/>
  <c r="GL55" i="1"/>
  <c r="GN55" i="1"/>
  <c r="FT63" i="1" s="1"/>
  <c r="FT26" i="1" s="1"/>
  <c r="GP55" i="1"/>
  <c r="GV55" i="1"/>
  <c r="HC55" i="1"/>
  <c r="GX55" i="1" s="1"/>
  <c r="I56" i="1"/>
  <c r="Q56" i="1" s="1"/>
  <c r="R56" i="1"/>
  <c r="S56" i="1"/>
  <c r="CZ56" i="1" s="1"/>
  <c r="Y56" i="1" s="1"/>
  <c r="V56" i="1"/>
  <c r="AC56" i="1"/>
  <c r="P56" i="1" s="1"/>
  <c r="AD56" i="1"/>
  <c r="AE56" i="1"/>
  <c r="AF56" i="1"/>
  <c r="AB56" i="1" s="1"/>
  <c r="AG56" i="1"/>
  <c r="CU56" i="1" s="1"/>
  <c r="T56" i="1" s="1"/>
  <c r="AH56" i="1"/>
  <c r="CV56" i="1" s="1"/>
  <c r="U56" i="1" s="1"/>
  <c r="AI56" i="1"/>
  <c r="AJ56" i="1"/>
  <c r="CX56" i="1" s="1"/>
  <c r="W56" i="1" s="1"/>
  <c r="CQ56" i="1"/>
  <c r="CR56" i="1"/>
  <c r="CS56" i="1"/>
  <c r="CW56" i="1"/>
  <c r="CY56" i="1"/>
  <c r="X56" i="1" s="1"/>
  <c r="GL56" i="1"/>
  <c r="GN56" i="1"/>
  <c r="GO56" i="1"/>
  <c r="GP56" i="1"/>
  <c r="GV56" i="1"/>
  <c r="HC56" i="1"/>
  <c r="GX56" i="1" s="1"/>
  <c r="I57" i="1"/>
  <c r="S57" i="1" s="1"/>
  <c r="AC57" i="1"/>
  <c r="CQ57" i="1" s="1"/>
  <c r="AE57" i="1"/>
  <c r="CR57" i="1" s="1"/>
  <c r="AF57" i="1"/>
  <c r="AG57" i="1"/>
  <c r="CU57" i="1" s="1"/>
  <c r="T57" i="1" s="1"/>
  <c r="AH57" i="1"/>
  <c r="CV57" i="1" s="1"/>
  <c r="U57" i="1" s="1"/>
  <c r="AI57" i="1"/>
  <c r="CW57" i="1" s="1"/>
  <c r="V57" i="1" s="1"/>
  <c r="AJ57" i="1"/>
  <c r="CT57" i="1"/>
  <c r="CX57" i="1"/>
  <c r="W57" i="1" s="1"/>
  <c r="GL57" i="1"/>
  <c r="GN57" i="1"/>
  <c r="GO57" i="1"/>
  <c r="GP57" i="1"/>
  <c r="GV57" i="1"/>
  <c r="HC57" i="1" s="1"/>
  <c r="GX57" i="1" s="1"/>
  <c r="D58" i="1"/>
  <c r="T58" i="1"/>
  <c r="AC58" i="1"/>
  <c r="CQ58" i="1" s="1"/>
  <c r="AD58" i="1"/>
  <c r="AE58" i="1"/>
  <c r="CR58" i="1" s="1"/>
  <c r="AF58" i="1"/>
  <c r="S58" i="1" s="1"/>
  <c r="AG58" i="1"/>
  <c r="AH58" i="1"/>
  <c r="CV58" i="1" s="1"/>
  <c r="U58" i="1" s="1"/>
  <c r="AI58" i="1"/>
  <c r="CW58" i="1" s="1"/>
  <c r="V58" i="1" s="1"/>
  <c r="AJ58" i="1"/>
  <c r="CX58" i="1" s="1"/>
  <c r="W58" i="1" s="1"/>
  <c r="CS58" i="1"/>
  <c r="CT58" i="1"/>
  <c r="CU58" i="1"/>
  <c r="GL58" i="1"/>
  <c r="BZ63" i="1" s="1"/>
  <c r="GN58" i="1"/>
  <c r="GP58" i="1"/>
  <c r="GV58" i="1"/>
  <c r="HC58" i="1" s="1"/>
  <c r="GX58" i="1" s="1"/>
  <c r="D59" i="1"/>
  <c r="P59" i="1"/>
  <c r="R59" i="1"/>
  <c r="T59" i="1"/>
  <c r="AC59" i="1"/>
  <c r="AE59" i="1"/>
  <c r="AD59" i="1" s="1"/>
  <c r="AB59" i="1" s="1"/>
  <c r="AF59" i="1"/>
  <c r="CT59" i="1" s="1"/>
  <c r="AG59" i="1"/>
  <c r="AH59" i="1"/>
  <c r="CV59" i="1" s="1"/>
  <c r="U59" i="1" s="1"/>
  <c r="AI59" i="1"/>
  <c r="AJ59" i="1"/>
  <c r="CX59" i="1" s="1"/>
  <c r="W59" i="1" s="1"/>
  <c r="CQ59" i="1"/>
  <c r="CU59" i="1"/>
  <c r="CW59" i="1"/>
  <c r="V59" i="1" s="1"/>
  <c r="GL59" i="1"/>
  <c r="GN59" i="1"/>
  <c r="GP59" i="1"/>
  <c r="GV59" i="1"/>
  <c r="HC59" i="1"/>
  <c r="GX59" i="1" s="1"/>
  <c r="I60" i="1"/>
  <c r="P60" i="1" s="1"/>
  <c r="AB60" i="1"/>
  <c r="AC60" i="1"/>
  <c r="AD60" i="1"/>
  <c r="AE60" i="1"/>
  <c r="AF60" i="1"/>
  <c r="CT60" i="1" s="1"/>
  <c r="AG60" i="1"/>
  <c r="CU60" i="1" s="1"/>
  <c r="T60" i="1" s="1"/>
  <c r="AH60" i="1"/>
  <c r="CV60" i="1" s="1"/>
  <c r="U60" i="1" s="1"/>
  <c r="AI60" i="1"/>
  <c r="AJ60" i="1"/>
  <c r="CQ60" i="1"/>
  <c r="CR60" i="1"/>
  <c r="CS60" i="1"/>
  <c r="CW60" i="1"/>
  <c r="V60" i="1" s="1"/>
  <c r="CX60" i="1"/>
  <c r="W60" i="1" s="1"/>
  <c r="GL60" i="1"/>
  <c r="GN60" i="1"/>
  <c r="GO60" i="1"/>
  <c r="GP60" i="1"/>
  <c r="GV60" i="1"/>
  <c r="HC60" i="1" s="1"/>
  <c r="GX60" i="1" s="1"/>
  <c r="I61" i="1"/>
  <c r="S61" i="1" s="1"/>
  <c r="AB61" i="1"/>
  <c r="AC61" i="1"/>
  <c r="CQ61" i="1" s="1"/>
  <c r="AD61" i="1"/>
  <c r="AE61" i="1"/>
  <c r="R61" i="1" s="1"/>
  <c r="AF61" i="1"/>
  <c r="AG61" i="1"/>
  <c r="CU61" i="1" s="1"/>
  <c r="T61" i="1" s="1"/>
  <c r="AH61" i="1"/>
  <c r="CV61" i="1" s="1"/>
  <c r="U61" i="1" s="1"/>
  <c r="AI61" i="1"/>
  <c r="CW61" i="1" s="1"/>
  <c r="V61" i="1" s="1"/>
  <c r="AJ61" i="1"/>
  <c r="CR61" i="1"/>
  <c r="CS61" i="1"/>
  <c r="CT61" i="1"/>
  <c r="CX61" i="1"/>
  <c r="GL61" i="1"/>
  <c r="GN61" i="1"/>
  <c r="GO61" i="1"/>
  <c r="GP61" i="1"/>
  <c r="GV61" i="1"/>
  <c r="HC61" i="1" s="1"/>
  <c r="GX61" i="1" s="1"/>
  <c r="B63" i="1"/>
  <c r="B26" i="1" s="1"/>
  <c r="C63" i="1"/>
  <c r="C26" i="1" s="1"/>
  <c r="D63" i="1"/>
  <c r="D26" i="1" s="1"/>
  <c r="F63" i="1"/>
  <c r="F26" i="1" s="1"/>
  <c r="G63" i="1"/>
  <c r="G26" i="1" s="1"/>
  <c r="AS63" i="1"/>
  <c r="AS26" i="1" s="1"/>
  <c r="BB63" i="1"/>
  <c r="BX63" i="1"/>
  <c r="AO63" i="1" s="1"/>
  <c r="CB63" i="1"/>
  <c r="CB26" i="1" s="1"/>
  <c r="CD63" i="1"/>
  <c r="CD26" i="1" s="1"/>
  <c r="CK63" i="1"/>
  <c r="CK26" i="1" s="1"/>
  <c r="CL63" i="1"/>
  <c r="CL26" i="1" s="1"/>
  <c r="CM63" i="1"/>
  <c r="CM26" i="1" s="1"/>
  <c r="EI63" i="1"/>
  <c r="EI26" i="1" s="1"/>
  <c r="FP63" i="1"/>
  <c r="FR63" i="1"/>
  <c r="FR26" i="1" s="1"/>
  <c r="FV63" i="1"/>
  <c r="GC63" i="1"/>
  <c r="GD63" i="1"/>
  <c r="EU63" i="1" s="1"/>
  <c r="GE63" i="1"/>
  <c r="P73" i="1"/>
  <c r="D93" i="1"/>
  <c r="C95" i="1"/>
  <c r="E95" i="1"/>
  <c r="Z95" i="1"/>
  <c r="AA95" i="1"/>
  <c r="AM95" i="1"/>
  <c r="AN95" i="1"/>
  <c r="BE95" i="1"/>
  <c r="BF95" i="1"/>
  <c r="BG95" i="1"/>
  <c r="BH95" i="1"/>
  <c r="BI95" i="1"/>
  <c r="BJ95" i="1"/>
  <c r="BK95" i="1"/>
  <c r="BL95" i="1"/>
  <c r="BM95" i="1"/>
  <c r="BN95" i="1"/>
  <c r="BO95" i="1"/>
  <c r="BP95" i="1"/>
  <c r="BQ95" i="1"/>
  <c r="BR95" i="1"/>
  <c r="BS95" i="1"/>
  <c r="BT95" i="1"/>
  <c r="BU95" i="1"/>
  <c r="BV95" i="1"/>
  <c r="BW95" i="1"/>
  <c r="BX95" i="1"/>
  <c r="CM95" i="1"/>
  <c r="CN95" i="1"/>
  <c r="CO95" i="1"/>
  <c r="CP95" i="1"/>
  <c r="CQ95" i="1"/>
  <c r="CR95" i="1"/>
  <c r="CS95" i="1"/>
  <c r="CT95" i="1"/>
  <c r="CU95" i="1"/>
  <c r="CV95" i="1"/>
  <c r="CW95" i="1"/>
  <c r="CX95" i="1"/>
  <c r="CY95" i="1"/>
  <c r="CZ95" i="1"/>
  <c r="DA95" i="1"/>
  <c r="DB95" i="1"/>
  <c r="DC95" i="1"/>
  <c r="DD95" i="1"/>
  <c r="DE95" i="1"/>
  <c r="DF95" i="1"/>
  <c r="DR95" i="1"/>
  <c r="DS95" i="1"/>
  <c r="EE95" i="1"/>
  <c r="EF95" i="1"/>
  <c r="EU95" i="1"/>
  <c r="EW95" i="1"/>
  <c r="EX95" i="1"/>
  <c r="EY95" i="1"/>
  <c r="EZ95" i="1"/>
  <c r="FA95" i="1"/>
  <c r="FB95" i="1"/>
  <c r="FC95" i="1"/>
  <c r="FD95" i="1"/>
  <c r="FE95" i="1"/>
  <c r="FF95" i="1"/>
  <c r="FG95" i="1"/>
  <c r="FH95" i="1"/>
  <c r="FI95" i="1"/>
  <c r="FJ95" i="1"/>
  <c r="FK95" i="1"/>
  <c r="FL95" i="1"/>
  <c r="FM95" i="1"/>
  <c r="FN95" i="1"/>
  <c r="FO95" i="1"/>
  <c r="FP95" i="1"/>
  <c r="GF95" i="1"/>
  <c r="GG95" i="1"/>
  <c r="GH95" i="1"/>
  <c r="GI95" i="1"/>
  <c r="GJ95" i="1"/>
  <c r="GK95" i="1"/>
  <c r="GL95" i="1"/>
  <c r="GM95" i="1"/>
  <c r="GN95" i="1"/>
  <c r="GO95" i="1"/>
  <c r="GP95" i="1"/>
  <c r="GQ95" i="1"/>
  <c r="GR95" i="1"/>
  <c r="GS95" i="1"/>
  <c r="GT95" i="1"/>
  <c r="GU95" i="1"/>
  <c r="GV95" i="1"/>
  <c r="GW95" i="1"/>
  <c r="GX95" i="1"/>
  <c r="D97" i="1"/>
  <c r="I97" i="1"/>
  <c r="K97" i="1"/>
  <c r="AC97" i="1"/>
  <c r="CQ97" i="1" s="1"/>
  <c r="AD97" i="1"/>
  <c r="AB97" i="1" s="1"/>
  <c r="AE97" i="1"/>
  <c r="AF97" i="1"/>
  <c r="AG97" i="1"/>
  <c r="AH97" i="1"/>
  <c r="AI97" i="1"/>
  <c r="CW97" i="1" s="1"/>
  <c r="V97" i="1" s="1"/>
  <c r="AJ97" i="1"/>
  <c r="CX97" i="1" s="1"/>
  <c r="W97" i="1" s="1"/>
  <c r="CR97" i="1"/>
  <c r="CS97" i="1"/>
  <c r="CT97" i="1"/>
  <c r="CU97" i="1"/>
  <c r="T97" i="1" s="1"/>
  <c r="CV97" i="1"/>
  <c r="U97" i="1" s="1"/>
  <c r="GL97" i="1"/>
  <c r="GN97" i="1"/>
  <c r="GP97" i="1"/>
  <c r="GV97" i="1"/>
  <c r="HC97" i="1"/>
  <c r="D98" i="1"/>
  <c r="I98" i="1"/>
  <c r="T98" i="1" s="1"/>
  <c r="K98" i="1"/>
  <c r="AC98" i="1"/>
  <c r="AD98" i="1"/>
  <c r="AE98" i="1"/>
  <c r="AF98" i="1"/>
  <c r="AG98" i="1"/>
  <c r="AH98" i="1"/>
  <c r="CV98" i="1" s="1"/>
  <c r="AI98" i="1"/>
  <c r="CW98" i="1" s="1"/>
  <c r="V98" i="1" s="1"/>
  <c r="AJ98" i="1"/>
  <c r="CR98" i="1"/>
  <c r="CS98" i="1"/>
  <c r="CT98" i="1"/>
  <c r="CU98" i="1"/>
  <c r="CX98" i="1"/>
  <c r="W98" i="1" s="1"/>
  <c r="GL98" i="1"/>
  <c r="GN98" i="1"/>
  <c r="GP98" i="1"/>
  <c r="GV98" i="1"/>
  <c r="HC98" i="1" s="1"/>
  <c r="AC99" i="1"/>
  <c r="AD99" i="1"/>
  <c r="AE99" i="1"/>
  <c r="AF99" i="1"/>
  <c r="AG99" i="1"/>
  <c r="CU99" i="1" s="1"/>
  <c r="AH99" i="1"/>
  <c r="AI99" i="1"/>
  <c r="CW99" i="1" s="1"/>
  <c r="AJ99" i="1"/>
  <c r="CX99" i="1" s="1"/>
  <c r="CT99" i="1"/>
  <c r="CV99" i="1"/>
  <c r="GL99" i="1"/>
  <c r="GN99" i="1"/>
  <c r="GP99" i="1"/>
  <c r="GV99" i="1"/>
  <c r="HC99" i="1"/>
  <c r="AB100" i="1"/>
  <c r="AC100" i="1"/>
  <c r="AE100" i="1"/>
  <c r="AD100" i="1" s="1"/>
  <c r="AF100" i="1"/>
  <c r="AG100" i="1"/>
  <c r="CU100" i="1" s="1"/>
  <c r="AH100" i="1"/>
  <c r="AI100" i="1"/>
  <c r="AJ100" i="1"/>
  <c r="CV100" i="1"/>
  <c r="CW100" i="1"/>
  <c r="CX100" i="1"/>
  <c r="GL100" i="1"/>
  <c r="GN100" i="1"/>
  <c r="GP100" i="1"/>
  <c r="GV100" i="1"/>
  <c r="HC100" i="1"/>
  <c r="AC101" i="1"/>
  <c r="AE101" i="1"/>
  <c r="AF101" i="1"/>
  <c r="AG101" i="1"/>
  <c r="AH101" i="1"/>
  <c r="AI101" i="1"/>
  <c r="AJ101" i="1"/>
  <c r="CX101" i="1" s="1"/>
  <c r="CR101" i="1"/>
  <c r="CU101" i="1"/>
  <c r="CV101" i="1"/>
  <c r="CW101" i="1"/>
  <c r="GL101" i="1"/>
  <c r="GN101" i="1"/>
  <c r="CB142" i="1" s="1"/>
  <c r="GP101" i="1"/>
  <c r="GV101" i="1"/>
  <c r="HC101" i="1"/>
  <c r="AB102" i="1"/>
  <c r="AC102" i="1"/>
  <c r="AD102" i="1"/>
  <c r="AE102" i="1"/>
  <c r="AF102" i="1"/>
  <c r="AG102" i="1"/>
  <c r="CU102" i="1" s="1"/>
  <c r="AH102" i="1"/>
  <c r="CV102" i="1" s="1"/>
  <c r="AI102" i="1"/>
  <c r="CW102" i="1" s="1"/>
  <c r="AJ102" i="1"/>
  <c r="CQ102" i="1"/>
  <c r="CR102" i="1"/>
  <c r="CS102" i="1"/>
  <c r="CT102" i="1"/>
  <c r="CX102" i="1"/>
  <c r="GL102" i="1"/>
  <c r="GN102" i="1"/>
  <c r="GP102" i="1"/>
  <c r="GV102" i="1"/>
  <c r="HC102" i="1" s="1"/>
  <c r="AC103" i="1"/>
  <c r="AE103" i="1"/>
  <c r="AF103" i="1"/>
  <c r="AG103" i="1"/>
  <c r="AH103" i="1"/>
  <c r="AI103" i="1"/>
  <c r="CW103" i="1" s="1"/>
  <c r="AJ103" i="1"/>
  <c r="CX103" i="1" s="1"/>
  <c r="CT103" i="1"/>
  <c r="CU103" i="1"/>
  <c r="CV103" i="1"/>
  <c r="GL103" i="1"/>
  <c r="GN103" i="1"/>
  <c r="GP103" i="1"/>
  <c r="GV103" i="1"/>
  <c r="HC103" i="1" s="1"/>
  <c r="AC104" i="1"/>
  <c r="AE104" i="1"/>
  <c r="AF104" i="1"/>
  <c r="CT104" i="1" s="1"/>
  <c r="AG104" i="1"/>
  <c r="CU104" i="1" s="1"/>
  <c r="AH104" i="1"/>
  <c r="AI104" i="1"/>
  <c r="AJ104" i="1"/>
  <c r="CQ104" i="1"/>
  <c r="CR104" i="1"/>
  <c r="CV104" i="1"/>
  <c r="CW104" i="1"/>
  <c r="CX104" i="1"/>
  <c r="GL104" i="1"/>
  <c r="GN104" i="1"/>
  <c r="GP104" i="1"/>
  <c r="GV104" i="1"/>
  <c r="HC104" i="1"/>
  <c r="AB105" i="1"/>
  <c r="AC105" i="1"/>
  <c r="AD105" i="1"/>
  <c r="AE105" i="1"/>
  <c r="AF105" i="1"/>
  <c r="AG105" i="1"/>
  <c r="CU105" i="1" s="1"/>
  <c r="AH105" i="1"/>
  <c r="CV105" i="1" s="1"/>
  <c r="AI105" i="1"/>
  <c r="CW105" i="1" s="1"/>
  <c r="AJ105" i="1"/>
  <c r="CQ105" i="1"/>
  <c r="CR105" i="1"/>
  <c r="CS105" i="1"/>
  <c r="CT105" i="1"/>
  <c r="CX105" i="1"/>
  <c r="GL105" i="1"/>
  <c r="GN105" i="1"/>
  <c r="GP105" i="1"/>
  <c r="GV105" i="1"/>
  <c r="HC105" i="1" s="1"/>
  <c r="AC106" i="1"/>
  <c r="AE106" i="1"/>
  <c r="AF106" i="1"/>
  <c r="AG106" i="1"/>
  <c r="AH106" i="1"/>
  <c r="CV106" i="1" s="1"/>
  <c r="AI106" i="1"/>
  <c r="CW106" i="1" s="1"/>
  <c r="AJ106" i="1"/>
  <c r="CX106" i="1" s="1"/>
  <c r="CT106" i="1"/>
  <c r="CU106" i="1"/>
  <c r="GL106" i="1"/>
  <c r="GN106" i="1"/>
  <c r="GP106" i="1"/>
  <c r="GV106" i="1"/>
  <c r="HC106" i="1" s="1"/>
  <c r="AC107" i="1"/>
  <c r="AE107" i="1"/>
  <c r="AF107" i="1"/>
  <c r="CT107" i="1" s="1"/>
  <c r="AG107" i="1"/>
  <c r="AH107" i="1"/>
  <c r="AI107" i="1"/>
  <c r="AJ107" i="1"/>
  <c r="CX107" i="1" s="1"/>
  <c r="CQ107" i="1"/>
  <c r="CU107" i="1"/>
  <c r="CV107" i="1"/>
  <c r="CW107" i="1"/>
  <c r="GL107" i="1"/>
  <c r="GN107" i="1"/>
  <c r="GP107" i="1"/>
  <c r="GV107" i="1"/>
  <c r="HC107" i="1"/>
  <c r="AC108" i="1"/>
  <c r="AD108" i="1"/>
  <c r="AE108" i="1"/>
  <c r="AF108" i="1"/>
  <c r="AG108" i="1"/>
  <c r="CU108" i="1" s="1"/>
  <c r="AH108" i="1"/>
  <c r="CV108" i="1" s="1"/>
  <c r="AI108" i="1"/>
  <c r="CW108" i="1" s="1"/>
  <c r="AJ108" i="1"/>
  <c r="CR108" i="1"/>
  <c r="CS108" i="1"/>
  <c r="CT108" i="1"/>
  <c r="CX108" i="1"/>
  <c r="GL108" i="1"/>
  <c r="GN108" i="1"/>
  <c r="GP108" i="1"/>
  <c r="GV108" i="1"/>
  <c r="HC108" i="1" s="1"/>
  <c r="AC109" i="1"/>
  <c r="AD109" i="1"/>
  <c r="AE109" i="1"/>
  <c r="AF109" i="1"/>
  <c r="AG109" i="1"/>
  <c r="AH109" i="1"/>
  <c r="CV109" i="1" s="1"/>
  <c r="AI109" i="1"/>
  <c r="CW109" i="1" s="1"/>
  <c r="AJ109" i="1"/>
  <c r="CX109" i="1" s="1"/>
  <c r="CS109" i="1"/>
  <c r="CT109" i="1"/>
  <c r="CU109" i="1"/>
  <c r="GL109" i="1"/>
  <c r="GN109" i="1"/>
  <c r="GP109" i="1"/>
  <c r="GV109" i="1"/>
  <c r="HC109" i="1"/>
  <c r="AC110" i="1"/>
  <c r="AD110" i="1"/>
  <c r="AE110" i="1"/>
  <c r="CS110" i="1" s="1"/>
  <c r="AF110" i="1"/>
  <c r="AG110" i="1"/>
  <c r="AH110" i="1"/>
  <c r="AI110" i="1"/>
  <c r="AJ110" i="1"/>
  <c r="CX110" i="1" s="1"/>
  <c r="CQ110" i="1"/>
  <c r="CR110" i="1"/>
  <c r="CU110" i="1"/>
  <c r="CV110" i="1"/>
  <c r="CW110" i="1"/>
  <c r="GL110" i="1"/>
  <c r="GN110" i="1"/>
  <c r="GP110" i="1"/>
  <c r="GV110" i="1"/>
  <c r="HC110" i="1"/>
  <c r="I111" i="1"/>
  <c r="U111" i="1" s="1"/>
  <c r="AC111" i="1"/>
  <c r="AD111" i="1"/>
  <c r="AE111" i="1"/>
  <c r="AF111" i="1"/>
  <c r="AG111" i="1"/>
  <c r="CU111" i="1" s="1"/>
  <c r="T111" i="1" s="1"/>
  <c r="AH111" i="1"/>
  <c r="CV111" i="1" s="1"/>
  <c r="AI111" i="1"/>
  <c r="AJ111" i="1"/>
  <c r="CQ111" i="1"/>
  <c r="CR111" i="1"/>
  <c r="CS111" i="1"/>
  <c r="CW111" i="1"/>
  <c r="CX111" i="1"/>
  <c r="GL111" i="1"/>
  <c r="GN111" i="1"/>
  <c r="GP111" i="1"/>
  <c r="GV111" i="1"/>
  <c r="HC111" i="1" s="1"/>
  <c r="AC112" i="1"/>
  <c r="CQ112" i="1" s="1"/>
  <c r="AE112" i="1"/>
  <c r="AF112" i="1"/>
  <c r="AG112" i="1"/>
  <c r="AH112" i="1"/>
  <c r="CV112" i="1" s="1"/>
  <c r="AI112" i="1"/>
  <c r="CW112" i="1" s="1"/>
  <c r="AJ112" i="1"/>
  <c r="CX112" i="1" s="1"/>
  <c r="CT112" i="1"/>
  <c r="CU112" i="1"/>
  <c r="GL112" i="1"/>
  <c r="GN112" i="1"/>
  <c r="GP112" i="1"/>
  <c r="GV112" i="1"/>
  <c r="HC112" i="1"/>
  <c r="AC113" i="1"/>
  <c r="AE113" i="1"/>
  <c r="AF113" i="1"/>
  <c r="CT113" i="1" s="1"/>
  <c r="AG113" i="1"/>
  <c r="CU113" i="1" s="1"/>
  <c r="AH113" i="1"/>
  <c r="AI113" i="1"/>
  <c r="AJ113" i="1"/>
  <c r="CX113" i="1" s="1"/>
  <c r="CQ113" i="1"/>
  <c r="CV113" i="1"/>
  <c r="CW113" i="1"/>
  <c r="GL113" i="1"/>
  <c r="GN113" i="1"/>
  <c r="GP113" i="1"/>
  <c r="GV113" i="1"/>
  <c r="HC113" i="1"/>
  <c r="AB114" i="1"/>
  <c r="AC114" i="1"/>
  <c r="AD114" i="1"/>
  <c r="AE114" i="1"/>
  <c r="AF114" i="1"/>
  <c r="AG114" i="1"/>
  <c r="CU114" i="1" s="1"/>
  <c r="AH114" i="1"/>
  <c r="CV114" i="1" s="1"/>
  <c r="AI114" i="1"/>
  <c r="AJ114" i="1"/>
  <c r="CQ114" i="1"/>
  <c r="CR114" i="1"/>
  <c r="CS114" i="1"/>
  <c r="CT114" i="1"/>
  <c r="CW114" i="1"/>
  <c r="CX114" i="1"/>
  <c r="GL114" i="1"/>
  <c r="GN114" i="1"/>
  <c r="GP114" i="1"/>
  <c r="GV114" i="1"/>
  <c r="HC114" i="1" s="1"/>
  <c r="D115" i="1"/>
  <c r="I115" i="1"/>
  <c r="Q115" i="1" s="1"/>
  <c r="K115" i="1"/>
  <c r="R115" i="1"/>
  <c r="AC115" i="1"/>
  <c r="AD115" i="1"/>
  <c r="AE115" i="1"/>
  <c r="AF115" i="1"/>
  <c r="S115" i="1" s="1"/>
  <c r="AG115" i="1"/>
  <c r="CU115" i="1" s="1"/>
  <c r="T115" i="1" s="1"/>
  <c r="AH115" i="1"/>
  <c r="CV115" i="1" s="1"/>
  <c r="U115" i="1" s="1"/>
  <c r="AI115" i="1"/>
  <c r="AJ115" i="1"/>
  <c r="CR115" i="1"/>
  <c r="CS115" i="1"/>
  <c r="CT115" i="1"/>
  <c r="CW115" i="1"/>
  <c r="V115" i="1" s="1"/>
  <c r="CX115" i="1"/>
  <c r="W115" i="1" s="1"/>
  <c r="GL115" i="1"/>
  <c r="GN115" i="1"/>
  <c r="GP115" i="1"/>
  <c r="GV115" i="1"/>
  <c r="HC115" i="1" s="1"/>
  <c r="GX115" i="1" s="1"/>
  <c r="D116" i="1"/>
  <c r="I116" i="1"/>
  <c r="T116" i="1" s="1"/>
  <c r="K116" i="1"/>
  <c r="AC116" i="1"/>
  <c r="AD116" i="1"/>
  <c r="AE116" i="1"/>
  <c r="AF116" i="1"/>
  <c r="AG116" i="1"/>
  <c r="CU116" i="1" s="1"/>
  <c r="AH116" i="1"/>
  <c r="CV116" i="1" s="1"/>
  <c r="AI116" i="1"/>
  <c r="CW116" i="1" s="1"/>
  <c r="V116" i="1" s="1"/>
  <c r="AJ116" i="1"/>
  <c r="CQ116" i="1"/>
  <c r="CR116" i="1"/>
  <c r="CS116" i="1"/>
  <c r="CX116" i="1"/>
  <c r="GL116" i="1"/>
  <c r="GN116" i="1"/>
  <c r="GP116" i="1"/>
  <c r="GV116" i="1"/>
  <c r="HC116" i="1" s="1"/>
  <c r="GX116" i="1" s="1"/>
  <c r="I117" i="1"/>
  <c r="U117" i="1"/>
  <c r="V117" i="1"/>
  <c r="W117" i="1"/>
  <c r="AC117" i="1"/>
  <c r="CQ117" i="1" s="1"/>
  <c r="AE117" i="1"/>
  <c r="AF117" i="1"/>
  <c r="S117" i="1" s="1"/>
  <c r="AG117" i="1"/>
  <c r="AH117" i="1"/>
  <c r="CV117" i="1" s="1"/>
  <c r="AI117" i="1"/>
  <c r="CW117" i="1" s="1"/>
  <c r="AJ117" i="1"/>
  <c r="CX117" i="1" s="1"/>
  <c r="CS117" i="1"/>
  <c r="CT117" i="1"/>
  <c r="CU117" i="1"/>
  <c r="GL117" i="1"/>
  <c r="GN117" i="1"/>
  <c r="GP117" i="1"/>
  <c r="GV117" i="1"/>
  <c r="GX117" i="1"/>
  <c r="HC117" i="1"/>
  <c r="AC118" i="1"/>
  <c r="AE118" i="1"/>
  <c r="CR118" i="1" s="1"/>
  <c r="AF118" i="1"/>
  <c r="CT118" i="1" s="1"/>
  <c r="AG118" i="1"/>
  <c r="CU118" i="1" s="1"/>
  <c r="AH118" i="1"/>
  <c r="AI118" i="1"/>
  <c r="AJ118" i="1"/>
  <c r="CX118" i="1" s="1"/>
  <c r="CQ118" i="1"/>
  <c r="CV118" i="1"/>
  <c r="CW118" i="1"/>
  <c r="GL118" i="1"/>
  <c r="GN118" i="1"/>
  <c r="GP118" i="1"/>
  <c r="GV118" i="1"/>
  <c r="HC118" i="1"/>
  <c r="D119" i="1"/>
  <c r="I119" i="1"/>
  <c r="I123" i="1" s="1"/>
  <c r="K119" i="1"/>
  <c r="P119" i="1"/>
  <c r="Q119" i="1"/>
  <c r="R119" i="1"/>
  <c r="W119" i="1"/>
  <c r="AC119" i="1"/>
  <c r="AD119" i="1"/>
  <c r="AE119" i="1"/>
  <c r="CS119" i="1" s="1"/>
  <c r="AF119" i="1"/>
  <c r="CT119" i="1" s="1"/>
  <c r="AG119" i="1"/>
  <c r="CU119" i="1" s="1"/>
  <c r="T119" i="1" s="1"/>
  <c r="AH119" i="1"/>
  <c r="AI119" i="1"/>
  <c r="AJ119" i="1"/>
  <c r="CX119" i="1" s="1"/>
  <c r="CQ119" i="1"/>
  <c r="CR119" i="1"/>
  <c r="CV119" i="1"/>
  <c r="U119" i="1" s="1"/>
  <c r="CW119" i="1"/>
  <c r="V119" i="1" s="1"/>
  <c r="GL119" i="1"/>
  <c r="GN119" i="1"/>
  <c r="GP119" i="1"/>
  <c r="GV119" i="1"/>
  <c r="GX119" i="1"/>
  <c r="HC119" i="1"/>
  <c r="D120" i="1"/>
  <c r="I120" i="1"/>
  <c r="S120" i="1" s="1"/>
  <c r="K120" i="1"/>
  <c r="R120" i="1"/>
  <c r="AC120" i="1"/>
  <c r="AE120" i="1"/>
  <c r="AF120" i="1"/>
  <c r="CT120" i="1" s="1"/>
  <c r="AG120" i="1"/>
  <c r="AH120" i="1"/>
  <c r="AI120" i="1"/>
  <c r="AJ120" i="1"/>
  <c r="CQ120" i="1"/>
  <c r="CU120" i="1"/>
  <c r="CV120" i="1"/>
  <c r="CW120" i="1"/>
  <c r="CX120" i="1"/>
  <c r="W120" i="1" s="1"/>
  <c r="GL120" i="1"/>
  <c r="GN120" i="1"/>
  <c r="GP120" i="1"/>
  <c r="GV120" i="1"/>
  <c r="HC120" i="1"/>
  <c r="I121" i="1"/>
  <c r="AB121" i="1"/>
  <c r="AC121" i="1"/>
  <c r="AD121" i="1"/>
  <c r="AE121" i="1"/>
  <c r="AF121" i="1"/>
  <c r="S121" i="1" s="1"/>
  <c r="AG121" i="1"/>
  <c r="CU121" i="1" s="1"/>
  <c r="AH121" i="1"/>
  <c r="CV121" i="1" s="1"/>
  <c r="AI121" i="1"/>
  <c r="AJ121" i="1"/>
  <c r="CR121" i="1"/>
  <c r="CS121" i="1"/>
  <c r="CW121" i="1"/>
  <c r="V121" i="1" s="1"/>
  <c r="CX121" i="1"/>
  <c r="GL121" i="1"/>
  <c r="GN121" i="1"/>
  <c r="GP121" i="1"/>
  <c r="GV121" i="1"/>
  <c r="HC121" i="1" s="1"/>
  <c r="AC122" i="1"/>
  <c r="AD122" i="1"/>
  <c r="AE122" i="1"/>
  <c r="AF122" i="1"/>
  <c r="AG122" i="1"/>
  <c r="AH122" i="1"/>
  <c r="AI122" i="1"/>
  <c r="CW122" i="1" s="1"/>
  <c r="AJ122" i="1"/>
  <c r="CX122" i="1" s="1"/>
  <c r="CS122" i="1"/>
  <c r="CT122" i="1"/>
  <c r="CU122" i="1"/>
  <c r="CV122" i="1"/>
  <c r="GL122" i="1"/>
  <c r="GN122" i="1"/>
  <c r="GP122" i="1"/>
  <c r="GV122" i="1"/>
  <c r="HC122" i="1"/>
  <c r="P123" i="1"/>
  <c r="Q123" i="1"/>
  <c r="R123" i="1"/>
  <c r="AC123" i="1"/>
  <c r="AD123" i="1"/>
  <c r="AE123" i="1"/>
  <c r="CS123" i="1" s="1"/>
  <c r="AF123" i="1"/>
  <c r="AG123" i="1"/>
  <c r="AH123" i="1"/>
  <c r="AI123" i="1"/>
  <c r="AJ123" i="1"/>
  <c r="CX123" i="1" s="1"/>
  <c r="W123" i="1" s="1"/>
  <c r="CQ123" i="1"/>
  <c r="CR123" i="1"/>
  <c r="CU123" i="1"/>
  <c r="T123" i="1" s="1"/>
  <c r="CV123" i="1"/>
  <c r="U123" i="1" s="1"/>
  <c r="CW123" i="1"/>
  <c r="V123" i="1" s="1"/>
  <c r="GL123" i="1"/>
  <c r="GN123" i="1"/>
  <c r="GP123" i="1"/>
  <c r="GV123" i="1"/>
  <c r="HC123" i="1"/>
  <c r="GX123" i="1" s="1"/>
  <c r="I124" i="1"/>
  <c r="T124" i="1" s="1"/>
  <c r="AC124" i="1"/>
  <c r="AD124" i="1"/>
  <c r="AE124" i="1"/>
  <c r="AF124" i="1"/>
  <c r="AG124" i="1"/>
  <c r="CU124" i="1" s="1"/>
  <c r="AH124" i="1"/>
  <c r="CV124" i="1" s="1"/>
  <c r="AI124" i="1"/>
  <c r="AJ124" i="1"/>
  <c r="CQ124" i="1"/>
  <c r="CR124" i="1"/>
  <c r="CS124" i="1"/>
  <c r="CW124" i="1"/>
  <c r="CX124" i="1"/>
  <c r="GL124" i="1"/>
  <c r="GN124" i="1"/>
  <c r="GP124" i="1"/>
  <c r="GV124" i="1"/>
  <c r="HC124" i="1" s="1"/>
  <c r="D125" i="1"/>
  <c r="I125" i="1"/>
  <c r="T125" i="1" s="1"/>
  <c r="K125" i="1"/>
  <c r="AC125" i="1"/>
  <c r="AD125" i="1"/>
  <c r="AE125" i="1"/>
  <c r="AF125" i="1"/>
  <c r="AG125" i="1"/>
  <c r="CU125" i="1" s="1"/>
  <c r="AH125" i="1"/>
  <c r="CV125" i="1" s="1"/>
  <c r="AI125" i="1"/>
  <c r="CW125" i="1" s="1"/>
  <c r="V125" i="1" s="1"/>
  <c r="AJ125" i="1"/>
  <c r="CR125" i="1"/>
  <c r="CS125" i="1"/>
  <c r="CT125" i="1"/>
  <c r="CX125" i="1"/>
  <c r="GL125" i="1"/>
  <c r="GN125" i="1"/>
  <c r="GP125" i="1"/>
  <c r="GV125" i="1"/>
  <c r="HC125" i="1" s="1"/>
  <c r="D126" i="1"/>
  <c r="I126" i="1"/>
  <c r="Q126" i="1" s="1"/>
  <c r="K126" i="1"/>
  <c r="R126" i="1"/>
  <c r="S126" i="1"/>
  <c r="AC126" i="1"/>
  <c r="AB126" i="1" s="1"/>
  <c r="AD126" i="1"/>
  <c r="AE126" i="1"/>
  <c r="AF126" i="1"/>
  <c r="AG126" i="1"/>
  <c r="CU126" i="1" s="1"/>
  <c r="T126" i="1" s="1"/>
  <c r="AH126" i="1"/>
  <c r="CV126" i="1" s="1"/>
  <c r="U126" i="1" s="1"/>
  <c r="AI126" i="1"/>
  <c r="AJ126" i="1"/>
  <c r="CR126" i="1"/>
  <c r="CS126" i="1"/>
  <c r="CT126" i="1"/>
  <c r="CW126" i="1"/>
  <c r="V126" i="1" s="1"/>
  <c r="CX126" i="1"/>
  <c r="W126" i="1" s="1"/>
  <c r="CZ126" i="1"/>
  <c r="Y126" i="1" s="1"/>
  <c r="GL126" i="1"/>
  <c r="GN126" i="1"/>
  <c r="GP126" i="1"/>
  <c r="GV126" i="1"/>
  <c r="HC126" i="1" s="1"/>
  <c r="D127" i="1"/>
  <c r="I127" i="1"/>
  <c r="K127" i="1"/>
  <c r="U127" i="1"/>
  <c r="AC127" i="1"/>
  <c r="AD127" i="1"/>
  <c r="AE127" i="1"/>
  <c r="AF127" i="1"/>
  <c r="AG127" i="1"/>
  <c r="CU127" i="1" s="1"/>
  <c r="T127" i="1" s="1"/>
  <c r="AH127" i="1"/>
  <c r="CV127" i="1" s="1"/>
  <c r="AI127" i="1"/>
  <c r="CW127" i="1" s="1"/>
  <c r="AJ127" i="1"/>
  <c r="CQ127" i="1"/>
  <c r="CR127" i="1"/>
  <c r="CS127" i="1"/>
  <c r="CX127" i="1"/>
  <c r="GL127" i="1"/>
  <c r="GN127" i="1"/>
  <c r="GP127" i="1"/>
  <c r="GV127" i="1"/>
  <c r="HC127" i="1" s="1"/>
  <c r="GX127" i="1" s="1"/>
  <c r="D128" i="1"/>
  <c r="I128" i="1"/>
  <c r="T128" i="1" s="1"/>
  <c r="K128" i="1"/>
  <c r="R128" i="1"/>
  <c r="S128" i="1"/>
  <c r="CZ128" i="1" s="1"/>
  <c r="Y128" i="1" s="1"/>
  <c r="AB128" i="1"/>
  <c r="AC128" i="1"/>
  <c r="P128" i="1" s="1"/>
  <c r="AD128" i="1"/>
  <c r="AE128" i="1"/>
  <c r="AF128" i="1"/>
  <c r="AG128" i="1"/>
  <c r="CU128" i="1" s="1"/>
  <c r="AH128" i="1"/>
  <c r="CV128" i="1" s="1"/>
  <c r="U128" i="1" s="1"/>
  <c r="AI128" i="1"/>
  <c r="AJ128" i="1"/>
  <c r="CQ128" i="1"/>
  <c r="CR128" i="1"/>
  <c r="CS128" i="1"/>
  <c r="CT128" i="1"/>
  <c r="CW128" i="1"/>
  <c r="V128" i="1" s="1"/>
  <c r="CX128" i="1"/>
  <c r="W128" i="1" s="1"/>
  <c r="GL128" i="1"/>
  <c r="GN128" i="1"/>
  <c r="GP128" i="1"/>
  <c r="GV128" i="1"/>
  <c r="HC128" i="1" s="1"/>
  <c r="GX128" i="1" s="1"/>
  <c r="AC129" i="1"/>
  <c r="CQ129" i="1" s="1"/>
  <c r="AD129" i="1"/>
  <c r="AB129" i="1" s="1"/>
  <c r="AE129" i="1"/>
  <c r="AF129" i="1"/>
  <c r="AG129" i="1"/>
  <c r="AH129" i="1"/>
  <c r="AI129" i="1"/>
  <c r="CW129" i="1" s="1"/>
  <c r="AJ129" i="1"/>
  <c r="CX129" i="1" s="1"/>
  <c r="CT129" i="1"/>
  <c r="CU129" i="1"/>
  <c r="CV129" i="1"/>
  <c r="GL129" i="1"/>
  <c r="GN129" i="1"/>
  <c r="GP129" i="1"/>
  <c r="GV129" i="1"/>
  <c r="HC129" i="1" s="1"/>
  <c r="AC130" i="1"/>
  <c r="AD130" i="1"/>
  <c r="AB130" i="1" s="1"/>
  <c r="AE130" i="1"/>
  <c r="AF130" i="1"/>
  <c r="CT130" i="1" s="1"/>
  <c r="AG130" i="1"/>
  <c r="AH130" i="1"/>
  <c r="AI130" i="1"/>
  <c r="AJ130" i="1"/>
  <c r="CX130" i="1" s="1"/>
  <c r="CQ130" i="1"/>
  <c r="CU130" i="1"/>
  <c r="CV130" i="1"/>
  <c r="CW130" i="1"/>
  <c r="GL130" i="1"/>
  <c r="GN130" i="1"/>
  <c r="GP130" i="1"/>
  <c r="GV130" i="1"/>
  <c r="HC130" i="1"/>
  <c r="I131" i="1"/>
  <c r="Q131" i="1" s="1"/>
  <c r="R131" i="1"/>
  <c r="AC131" i="1"/>
  <c r="AD131" i="1"/>
  <c r="AE131" i="1"/>
  <c r="AF131" i="1"/>
  <c r="S131" i="1" s="1"/>
  <c r="AG131" i="1"/>
  <c r="CU131" i="1" s="1"/>
  <c r="T131" i="1" s="1"/>
  <c r="AH131" i="1"/>
  <c r="CV131" i="1" s="1"/>
  <c r="U131" i="1" s="1"/>
  <c r="AI131" i="1"/>
  <c r="AJ131" i="1"/>
  <c r="CR131" i="1"/>
  <c r="CS131" i="1"/>
  <c r="CT131" i="1"/>
  <c r="CW131" i="1"/>
  <c r="V131" i="1" s="1"/>
  <c r="CX131" i="1"/>
  <c r="GL131" i="1"/>
  <c r="GN131" i="1"/>
  <c r="GP131" i="1"/>
  <c r="GV131" i="1"/>
  <c r="HC131" i="1" s="1"/>
  <c r="I132" i="1"/>
  <c r="T132" i="1" s="1"/>
  <c r="AC132" i="1"/>
  <c r="AE132" i="1"/>
  <c r="Q132" i="1" s="1"/>
  <c r="AF132" i="1"/>
  <c r="AG132" i="1"/>
  <c r="AH132" i="1"/>
  <c r="CV132" i="1" s="1"/>
  <c r="U132" i="1" s="1"/>
  <c r="AI132" i="1"/>
  <c r="CW132" i="1" s="1"/>
  <c r="AJ132" i="1"/>
  <c r="CX132" i="1" s="1"/>
  <c r="CQ132" i="1"/>
  <c r="CT132" i="1"/>
  <c r="CU132" i="1"/>
  <c r="GL132" i="1"/>
  <c r="GN132" i="1"/>
  <c r="GP132" i="1"/>
  <c r="GV132" i="1"/>
  <c r="HC132" i="1" s="1"/>
  <c r="GX132" i="1" s="1"/>
  <c r="AC133" i="1"/>
  <c r="AE133" i="1"/>
  <c r="AD133" i="1" s="1"/>
  <c r="AB133" i="1" s="1"/>
  <c r="AF133" i="1"/>
  <c r="CT133" i="1" s="1"/>
  <c r="AG133" i="1"/>
  <c r="CU133" i="1" s="1"/>
  <c r="AH133" i="1"/>
  <c r="AI133" i="1"/>
  <c r="AJ133" i="1"/>
  <c r="CQ133" i="1"/>
  <c r="CV133" i="1"/>
  <c r="CW133" i="1"/>
  <c r="CX133" i="1"/>
  <c r="GL133" i="1"/>
  <c r="GN133" i="1"/>
  <c r="GP133" i="1"/>
  <c r="GV133" i="1"/>
  <c r="HC133" i="1"/>
  <c r="I134" i="1"/>
  <c r="Q134" i="1" s="1"/>
  <c r="P134" i="1"/>
  <c r="R134" i="1"/>
  <c r="AC134" i="1"/>
  <c r="AD134" i="1"/>
  <c r="AB134" i="1" s="1"/>
  <c r="AE134" i="1"/>
  <c r="AF134" i="1"/>
  <c r="AG134" i="1"/>
  <c r="CU134" i="1" s="1"/>
  <c r="T134" i="1" s="1"/>
  <c r="AH134" i="1"/>
  <c r="CV134" i="1" s="1"/>
  <c r="AI134" i="1"/>
  <c r="AJ134" i="1"/>
  <c r="CX134" i="1" s="1"/>
  <c r="W134" i="1" s="1"/>
  <c r="CQ134" i="1"/>
  <c r="CR134" i="1"/>
  <c r="CS134" i="1"/>
  <c r="CW134" i="1"/>
  <c r="V134" i="1" s="1"/>
  <c r="GL134" i="1"/>
  <c r="GN134" i="1"/>
  <c r="GP134" i="1"/>
  <c r="GV134" i="1"/>
  <c r="HC134" i="1" s="1"/>
  <c r="GX134" i="1" s="1"/>
  <c r="D135" i="1"/>
  <c r="I135" i="1"/>
  <c r="Q135" i="1" s="1"/>
  <c r="K135" i="1"/>
  <c r="P135" i="1"/>
  <c r="R135" i="1"/>
  <c r="U135" i="1"/>
  <c r="AC135" i="1"/>
  <c r="AD135" i="1"/>
  <c r="AE135" i="1"/>
  <c r="AF135" i="1"/>
  <c r="AG135" i="1"/>
  <c r="CU135" i="1" s="1"/>
  <c r="T135" i="1" s="1"/>
  <c r="AH135" i="1"/>
  <c r="CV135" i="1" s="1"/>
  <c r="AI135" i="1"/>
  <c r="AJ135" i="1"/>
  <c r="CQ135" i="1"/>
  <c r="CR135" i="1"/>
  <c r="CS135" i="1"/>
  <c r="CW135" i="1"/>
  <c r="V135" i="1" s="1"/>
  <c r="CX135" i="1"/>
  <c r="W135" i="1" s="1"/>
  <c r="GL135" i="1"/>
  <c r="GN135" i="1"/>
  <c r="GP135" i="1"/>
  <c r="GV135" i="1"/>
  <c r="HC135" i="1" s="1"/>
  <c r="GX135" i="1" s="1"/>
  <c r="D136" i="1"/>
  <c r="I136" i="1"/>
  <c r="Q136" i="1" s="1"/>
  <c r="K136" i="1"/>
  <c r="P136" i="1"/>
  <c r="R136" i="1"/>
  <c r="U136" i="1"/>
  <c r="AC136" i="1"/>
  <c r="AD136" i="1"/>
  <c r="AE136" i="1"/>
  <c r="AF136" i="1"/>
  <c r="AG136" i="1"/>
  <c r="CU136" i="1" s="1"/>
  <c r="T136" i="1" s="1"/>
  <c r="AH136" i="1"/>
  <c r="CV136" i="1" s="1"/>
  <c r="AI136" i="1"/>
  <c r="AJ136" i="1"/>
  <c r="CQ136" i="1"/>
  <c r="CR136" i="1"/>
  <c r="CS136" i="1"/>
  <c r="CW136" i="1"/>
  <c r="V136" i="1" s="1"/>
  <c r="CX136" i="1"/>
  <c r="W136" i="1" s="1"/>
  <c r="GL136" i="1"/>
  <c r="GN136" i="1"/>
  <c r="GP136" i="1"/>
  <c r="GV136" i="1"/>
  <c r="HC136" i="1" s="1"/>
  <c r="GX136" i="1"/>
  <c r="I137" i="1"/>
  <c r="Q137" i="1"/>
  <c r="R137" i="1"/>
  <c r="W137" i="1"/>
  <c r="AC137" i="1"/>
  <c r="CQ137" i="1" s="1"/>
  <c r="AD137" i="1"/>
  <c r="AE137" i="1"/>
  <c r="CR137" i="1" s="1"/>
  <c r="AF137" i="1"/>
  <c r="S137" i="1" s="1"/>
  <c r="CZ137" i="1" s="1"/>
  <c r="Y137" i="1" s="1"/>
  <c r="AG137" i="1"/>
  <c r="AH137" i="1"/>
  <c r="CV137" i="1" s="1"/>
  <c r="U137" i="1" s="1"/>
  <c r="AI137" i="1"/>
  <c r="CW137" i="1" s="1"/>
  <c r="V137" i="1" s="1"/>
  <c r="AJ137" i="1"/>
  <c r="CX137" i="1" s="1"/>
  <c r="CS137" i="1"/>
  <c r="CU137" i="1"/>
  <c r="T137" i="1" s="1"/>
  <c r="CY137" i="1"/>
  <c r="X137" i="1" s="1"/>
  <c r="GL137" i="1"/>
  <c r="GN137" i="1"/>
  <c r="GP137" i="1"/>
  <c r="GV137" i="1"/>
  <c r="HC137" i="1" s="1"/>
  <c r="GX137" i="1" s="1"/>
  <c r="I138" i="1"/>
  <c r="V138" i="1" s="1"/>
  <c r="R138" i="1"/>
  <c r="S138" i="1"/>
  <c r="CZ138" i="1" s="1"/>
  <c r="Y138" i="1" s="1"/>
  <c r="T138" i="1"/>
  <c r="AB138" i="1"/>
  <c r="AC138" i="1"/>
  <c r="AD138" i="1"/>
  <c r="AE138" i="1"/>
  <c r="AF138" i="1"/>
  <c r="CT138" i="1" s="1"/>
  <c r="AG138" i="1"/>
  <c r="AH138" i="1"/>
  <c r="AI138" i="1"/>
  <c r="AJ138" i="1"/>
  <c r="CX138" i="1" s="1"/>
  <c r="W138" i="1" s="1"/>
  <c r="CQ138" i="1"/>
  <c r="CR138" i="1"/>
  <c r="CS138" i="1"/>
  <c r="CU138" i="1"/>
  <c r="CV138" i="1"/>
  <c r="U138" i="1" s="1"/>
  <c r="CW138" i="1"/>
  <c r="CY138" i="1"/>
  <c r="X138" i="1" s="1"/>
  <c r="GL138" i="1"/>
  <c r="GN138" i="1"/>
  <c r="GP138" i="1"/>
  <c r="GV138" i="1"/>
  <c r="GX138" i="1"/>
  <c r="HC138" i="1"/>
  <c r="I139" i="1"/>
  <c r="Q139" i="1" s="1"/>
  <c r="R139" i="1"/>
  <c r="S139" i="1"/>
  <c r="U139" i="1"/>
  <c r="AC139" i="1"/>
  <c r="AD139" i="1"/>
  <c r="AE139" i="1"/>
  <c r="AF139" i="1"/>
  <c r="AG139" i="1"/>
  <c r="CU139" i="1" s="1"/>
  <c r="T139" i="1" s="1"/>
  <c r="AH139" i="1"/>
  <c r="CV139" i="1" s="1"/>
  <c r="AI139" i="1"/>
  <c r="CW139" i="1" s="1"/>
  <c r="V139" i="1" s="1"/>
  <c r="AJ139" i="1"/>
  <c r="CX139" i="1" s="1"/>
  <c r="W139" i="1" s="1"/>
  <c r="CR139" i="1"/>
  <c r="CS139" i="1"/>
  <c r="CT139" i="1"/>
  <c r="GL139" i="1"/>
  <c r="GN139" i="1"/>
  <c r="GP139" i="1"/>
  <c r="GV139" i="1"/>
  <c r="HC139" i="1" s="1"/>
  <c r="GX139" i="1"/>
  <c r="I140" i="1"/>
  <c r="Q140" i="1" s="1"/>
  <c r="W140" i="1"/>
  <c r="AC140" i="1"/>
  <c r="AB140" i="1" s="1"/>
  <c r="AD140" i="1"/>
  <c r="AE140" i="1"/>
  <c r="AF140" i="1"/>
  <c r="AG140" i="1"/>
  <c r="AH140" i="1"/>
  <c r="AI140" i="1"/>
  <c r="AJ140" i="1"/>
  <c r="CX140" i="1" s="1"/>
  <c r="CU140" i="1"/>
  <c r="T140" i="1" s="1"/>
  <c r="CV140" i="1"/>
  <c r="U140" i="1" s="1"/>
  <c r="CW140" i="1"/>
  <c r="V140" i="1" s="1"/>
  <c r="GL140" i="1"/>
  <c r="GN140" i="1"/>
  <c r="GP140" i="1"/>
  <c r="GV140" i="1"/>
  <c r="HC140" i="1" s="1"/>
  <c r="GX140" i="1" s="1"/>
  <c r="B142" i="1"/>
  <c r="B95" i="1" s="1"/>
  <c r="C142" i="1"/>
  <c r="D142" i="1"/>
  <c r="D95" i="1" s="1"/>
  <c r="F142" i="1"/>
  <c r="F95" i="1" s="1"/>
  <c r="G142" i="1"/>
  <c r="G95" i="1" s="1"/>
  <c r="AO142" i="1"/>
  <c r="AO95" i="1" s="1"/>
  <c r="BD142" i="1"/>
  <c r="BD95" i="1" s="1"/>
  <c r="BX142" i="1"/>
  <c r="BY142" i="1"/>
  <c r="AP142" i="1" s="1"/>
  <c r="BZ142" i="1"/>
  <c r="BZ95" i="1" s="1"/>
  <c r="CK142" i="1"/>
  <c r="CL142" i="1"/>
  <c r="CM142" i="1"/>
  <c r="EG142" i="1"/>
  <c r="EG95" i="1" s="1"/>
  <c r="EH142" i="1"/>
  <c r="ET142" i="1"/>
  <c r="ET95" i="1" s="1"/>
  <c r="EU142" i="1"/>
  <c r="EU172" i="1" s="1"/>
  <c r="FP142" i="1"/>
  <c r="FQ142" i="1"/>
  <c r="FQ95" i="1" s="1"/>
  <c r="FR142" i="1"/>
  <c r="FR95" i="1" s="1"/>
  <c r="FT142" i="1"/>
  <c r="GA142" i="1"/>
  <c r="GC142" i="1"/>
  <c r="GC95" i="1" s="1"/>
  <c r="GD142" i="1"/>
  <c r="GD95" i="1" s="1"/>
  <c r="GE142" i="1"/>
  <c r="EV142" i="1" s="1"/>
  <c r="F146" i="1"/>
  <c r="P146" i="1"/>
  <c r="F167" i="1"/>
  <c r="B172" i="1"/>
  <c r="B22" i="1" s="1"/>
  <c r="C172" i="1"/>
  <c r="C22" i="1" s="1"/>
  <c r="D172" i="1"/>
  <c r="D22" i="1" s="1"/>
  <c r="F172" i="1"/>
  <c r="F22" i="1" s="1"/>
  <c r="G172" i="1"/>
  <c r="G22" i="1" s="1"/>
  <c r="AO172" i="1"/>
  <c r="P188" i="1"/>
  <c r="B202" i="1"/>
  <c r="B18" i="1" s="1"/>
  <c r="C202" i="1"/>
  <c r="C18" i="1" s="1"/>
  <c r="D202" i="1"/>
  <c r="D18" i="1" s="1"/>
  <c r="F202" i="1"/>
  <c r="F18" i="1" s="1"/>
  <c r="G202" i="1"/>
  <c r="G18" i="1" s="1"/>
  <c r="F12" i="6"/>
  <c r="G12" i="6"/>
  <c r="J162" i="7" l="1"/>
  <c r="J132" i="7"/>
  <c r="H162" i="7"/>
  <c r="H132" i="7"/>
  <c r="GX112" i="1"/>
  <c r="V105" i="1"/>
  <c r="U101" i="1"/>
  <c r="GX106" i="1"/>
  <c r="EV95" i="1"/>
  <c r="P167" i="1"/>
  <c r="CY115" i="1"/>
  <c r="X115" i="1" s="1"/>
  <c r="CZ115" i="1"/>
  <c r="Y115" i="1" s="1"/>
  <c r="CY131" i="1"/>
  <c r="X131" i="1" s="1"/>
  <c r="CZ131" i="1"/>
  <c r="Y131" i="1" s="1"/>
  <c r="W118" i="1"/>
  <c r="CY121" i="1"/>
  <c r="X121" i="1" s="1"/>
  <c r="CZ121" i="1"/>
  <c r="Y121" i="1" s="1"/>
  <c r="U106" i="1"/>
  <c r="CZ120" i="1"/>
  <c r="Y120" i="1" s="1"/>
  <c r="CY120" i="1"/>
  <c r="X120" i="1" s="1"/>
  <c r="AP95" i="1"/>
  <c r="F151" i="1"/>
  <c r="V109" i="1"/>
  <c r="AB137" i="1"/>
  <c r="AO22" i="1"/>
  <c r="AO202" i="1"/>
  <c r="F176" i="1"/>
  <c r="EH95" i="1"/>
  <c r="P151" i="1"/>
  <c r="CT136" i="1"/>
  <c r="S136" i="1"/>
  <c r="EU22" i="1"/>
  <c r="EU202" i="1"/>
  <c r="CL95" i="1"/>
  <c r="BC142" i="1"/>
  <c r="P140" i="1"/>
  <c r="V132" i="1"/>
  <c r="AB131" i="1"/>
  <c r="CS130" i="1"/>
  <c r="CR130" i="1"/>
  <c r="CR129" i="1"/>
  <c r="CS129" i="1"/>
  <c r="I133" i="1"/>
  <c r="Q127" i="1"/>
  <c r="R127" i="1"/>
  <c r="I129" i="1"/>
  <c r="CY126" i="1"/>
  <c r="X126" i="1" s="1"/>
  <c r="W125" i="1"/>
  <c r="S124" i="1"/>
  <c r="AB124" i="1"/>
  <c r="CT124" i="1"/>
  <c r="S118" i="1"/>
  <c r="AB115" i="1"/>
  <c r="CT110" i="1"/>
  <c r="CS107" i="1"/>
  <c r="CR107" i="1"/>
  <c r="AD107" i="1"/>
  <c r="AB107" i="1" s="1"/>
  <c r="CQ106" i="1"/>
  <c r="AB106" i="1"/>
  <c r="U99" i="1"/>
  <c r="GX98" i="1"/>
  <c r="P125" i="1"/>
  <c r="CS113" i="1"/>
  <c r="AD113" i="1"/>
  <c r="AB113" i="1" s="1"/>
  <c r="CR112" i="1"/>
  <c r="CQ109" i="1"/>
  <c r="AB109" i="1"/>
  <c r="CQ108" i="1"/>
  <c r="FV142" i="1"/>
  <c r="CY128" i="1"/>
  <c r="X128" i="1" s="1"/>
  <c r="CT123" i="1"/>
  <c r="S123" i="1"/>
  <c r="P158" i="1"/>
  <c r="P137" i="1"/>
  <c r="CP137" i="1" s="1"/>
  <c r="O137" i="1" s="1"/>
  <c r="GM137" i="1" s="1"/>
  <c r="GO137" i="1" s="1"/>
  <c r="P132" i="1"/>
  <c r="S127" i="1"/>
  <c r="AB127" i="1"/>
  <c r="CT127" i="1"/>
  <c r="AB125" i="1"/>
  <c r="CS120" i="1"/>
  <c r="CR120" i="1"/>
  <c r="AD120" i="1"/>
  <c r="AB120" i="1" s="1"/>
  <c r="AD112" i="1"/>
  <c r="AB112" i="1" s="1"/>
  <c r="AB108" i="1"/>
  <c r="V103" i="1"/>
  <c r="FY142" i="1"/>
  <c r="CG142" i="1"/>
  <c r="CY139" i="1"/>
  <c r="X139" i="1" s="1"/>
  <c r="U125" i="1"/>
  <c r="CQ122" i="1"/>
  <c r="AB122" i="1"/>
  <c r="P121" i="1"/>
  <c r="CQ121" i="1"/>
  <c r="GX118" i="1"/>
  <c r="Q117" i="1"/>
  <c r="Q116" i="1"/>
  <c r="I118" i="1"/>
  <c r="R116" i="1"/>
  <c r="P114" i="1"/>
  <c r="V110" i="1"/>
  <c r="U107" i="1"/>
  <c r="GE95" i="1"/>
  <c r="CK95" i="1"/>
  <c r="BB142" i="1"/>
  <c r="CB95" i="1"/>
  <c r="AS142" i="1"/>
  <c r="T107" i="1"/>
  <c r="GX105" i="1"/>
  <c r="CT101" i="1"/>
  <c r="AQ142" i="1"/>
  <c r="CR140" i="1"/>
  <c r="R140" i="1"/>
  <c r="CS140" i="1"/>
  <c r="CQ125" i="1"/>
  <c r="S125" i="1"/>
  <c r="U124" i="1"/>
  <c r="CT121" i="1"/>
  <c r="U120" i="1"/>
  <c r="V120" i="1"/>
  <c r="CR113" i="1"/>
  <c r="T110" i="1"/>
  <c r="P109" i="1"/>
  <c r="R107" i="1"/>
  <c r="GA95" i="1"/>
  <c r="ER142" i="1"/>
  <c r="S140" i="1"/>
  <c r="CT140" i="1"/>
  <c r="CT135" i="1"/>
  <c r="S135" i="1"/>
  <c r="CS133" i="1"/>
  <c r="R133" i="1"/>
  <c r="CR133" i="1"/>
  <c r="P155" i="1"/>
  <c r="FT95" i="1"/>
  <c r="EK142" i="1"/>
  <c r="CP136" i="1"/>
  <c r="O136" i="1" s="1"/>
  <c r="AB135" i="1"/>
  <c r="U134" i="1"/>
  <c r="S132" i="1"/>
  <c r="W127" i="1"/>
  <c r="GX125" i="1"/>
  <c r="T120" i="1"/>
  <c r="T118" i="1"/>
  <c r="S116" i="1"/>
  <c r="AB116" i="1"/>
  <c r="CT116" i="1"/>
  <c r="CS112" i="1"/>
  <c r="I108" i="1"/>
  <c r="U108" i="1" s="1"/>
  <c r="CR103" i="1"/>
  <c r="CS103" i="1"/>
  <c r="R103" i="1"/>
  <c r="AD103" i="1"/>
  <c r="AB103" i="1" s="1"/>
  <c r="Q97" i="1"/>
  <c r="I99" i="1"/>
  <c r="T99" i="1" s="1"/>
  <c r="I103" i="1"/>
  <c r="P103" i="1" s="1"/>
  <c r="I107" i="1"/>
  <c r="W107" i="1" s="1"/>
  <c r="I113" i="1"/>
  <c r="S113" i="1" s="1"/>
  <c r="P97" i="1"/>
  <c r="I109" i="1"/>
  <c r="I101" i="1"/>
  <c r="S97" i="1"/>
  <c r="I105" i="1"/>
  <c r="Q125" i="1"/>
  <c r="R125" i="1"/>
  <c r="Q111" i="1"/>
  <c r="R111" i="1"/>
  <c r="T104" i="1"/>
  <c r="CQ103" i="1"/>
  <c r="AQ63" i="1"/>
  <c r="BZ26" i="1"/>
  <c r="CG63" i="1"/>
  <c r="CS118" i="1"/>
  <c r="AD118" i="1"/>
  <c r="AB118" i="1" s="1"/>
  <c r="R118" i="1"/>
  <c r="GX114" i="1"/>
  <c r="GX111" i="1"/>
  <c r="GX110" i="1"/>
  <c r="GX109" i="1"/>
  <c r="Q98" i="1"/>
  <c r="I104" i="1"/>
  <c r="I110" i="1"/>
  <c r="S110" i="1" s="1"/>
  <c r="I100" i="1"/>
  <c r="P100" i="1" s="1"/>
  <c r="I106" i="1"/>
  <c r="S98" i="1"/>
  <c r="I102" i="1"/>
  <c r="I112" i="1"/>
  <c r="I114" i="1"/>
  <c r="V114" i="1" s="1"/>
  <c r="Q124" i="1"/>
  <c r="R124" i="1"/>
  <c r="CR117" i="1"/>
  <c r="R117" i="1"/>
  <c r="CT137" i="1"/>
  <c r="AD117" i="1"/>
  <c r="AB117" i="1" s="1"/>
  <c r="T108" i="1"/>
  <c r="CS104" i="1"/>
  <c r="AD104" i="1"/>
  <c r="AB104" i="1" s="1"/>
  <c r="AB99" i="1"/>
  <c r="P99" i="1"/>
  <c r="CQ99" i="1"/>
  <c r="BY95" i="1"/>
  <c r="CI142" i="1"/>
  <c r="U133" i="1"/>
  <c r="Q121" i="1"/>
  <c r="R121" i="1"/>
  <c r="CZ139" i="1"/>
  <c r="Y139" i="1" s="1"/>
  <c r="GX124" i="1"/>
  <c r="P120" i="1"/>
  <c r="CP120" i="1" s="1"/>
  <c r="O120" i="1" s="1"/>
  <c r="Q120" i="1"/>
  <c r="I122" i="1"/>
  <c r="T122" i="1" s="1"/>
  <c r="GX120" i="1"/>
  <c r="CQ140" i="1"/>
  <c r="P139" i="1"/>
  <c r="CP139" i="1" s="1"/>
  <c r="O139" i="1" s="1"/>
  <c r="GM139" i="1" s="1"/>
  <c r="GO139" i="1" s="1"/>
  <c r="CQ139" i="1"/>
  <c r="P138" i="1"/>
  <c r="Q138" i="1"/>
  <c r="S133" i="1"/>
  <c r="Q128" i="1"/>
  <c r="CP128" i="1" s="1"/>
  <c r="O128" i="1" s="1"/>
  <c r="GM128" i="1" s="1"/>
  <c r="GO128" i="1" s="1"/>
  <c r="I130" i="1"/>
  <c r="R130" i="1" s="1"/>
  <c r="U121" i="1"/>
  <c r="CR106" i="1"/>
  <c r="CS106" i="1"/>
  <c r="W104" i="1"/>
  <c r="GX97" i="1"/>
  <c r="FV26" i="1"/>
  <c r="EM63" i="1"/>
  <c r="CR132" i="1"/>
  <c r="R132" i="1"/>
  <c r="AD132" i="1"/>
  <c r="AB132" i="1" s="1"/>
  <c r="EI142" i="1"/>
  <c r="V129" i="1"/>
  <c r="P126" i="1"/>
  <c r="CP126" i="1" s="1"/>
  <c r="O126" i="1" s="1"/>
  <c r="GM126" i="1" s="1"/>
  <c r="GO126" i="1" s="1"/>
  <c r="CQ126" i="1"/>
  <c r="CP123" i="1"/>
  <c r="O123" i="1" s="1"/>
  <c r="AB139" i="1"/>
  <c r="AB136" i="1"/>
  <c r="CT134" i="1"/>
  <c r="S134" i="1"/>
  <c r="CS132" i="1"/>
  <c r="W132" i="1"/>
  <c r="P131" i="1"/>
  <c r="CP131" i="1" s="1"/>
  <c r="O131" i="1" s="1"/>
  <c r="CQ131" i="1"/>
  <c r="V127" i="1"/>
  <c r="T121" i="1"/>
  <c r="CP119" i="1"/>
  <c r="O119" i="1" s="1"/>
  <c r="U116" i="1"/>
  <c r="P115" i="1"/>
  <c r="CP115" i="1" s="1"/>
  <c r="O115" i="1" s="1"/>
  <c r="CQ115" i="1"/>
  <c r="S111" i="1"/>
  <c r="AB111" i="1"/>
  <c r="CT111" i="1"/>
  <c r="AD106" i="1"/>
  <c r="P105" i="1"/>
  <c r="U98" i="1"/>
  <c r="AB119" i="1"/>
  <c r="P117" i="1"/>
  <c r="CQ101" i="1"/>
  <c r="S100" i="1"/>
  <c r="R98" i="1"/>
  <c r="EU26" i="1"/>
  <c r="P79" i="1"/>
  <c r="W114" i="1"/>
  <c r="W105" i="1"/>
  <c r="T101" i="1"/>
  <c r="CQ98" i="1"/>
  <c r="AB98" i="1"/>
  <c r="P98" i="1"/>
  <c r="CY58" i="1"/>
  <c r="X58" i="1" s="1"/>
  <c r="CZ58" i="1"/>
  <c r="Y58" i="1" s="1"/>
  <c r="CY51" i="1"/>
  <c r="X51" i="1" s="1"/>
  <c r="CT100" i="1"/>
  <c r="W131" i="1"/>
  <c r="S129" i="1"/>
  <c r="AB123" i="1"/>
  <c r="W121" i="1"/>
  <c r="S119" i="1"/>
  <c r="AB110" i="1"/>
  <c r="W108" i="1"/>
  <c r="S106" i="1"/>
  <c r="CQ100" i="1"/>
  <c r="FP26" i="1"/>
  <c r="EG63" i="1"/>
  <c r="FY63" i="1"/>
  <c r="CY40" i="1"/>
  <c r="X40" i="1" s="1"/>
  <c r="CZ40" i="1"/>
  <c r="Y40" i="1" s="1"/>
  <c r="FR60" i="1"/>
  <c r="W124" i="1"/>
  <c r="T117" i="1"/>
  <c r="W116" i="1"/>
  <c r="W111" i="1"/>
  <c r="S109" i="1"/>
  <c r="V104" i="1"/>
  <c r="R101" i="1"/>
  <c r="CS101" i="1"/>
  <c r="S99" i="1"/>
  <c r="F76" i="1"/>
  <c r="BB26" i="1"/>
  <c r="GX131" i="1"/>
  <c r="P127" i="1"/>
  <c r="GX126" i="1"/>
  <c r="V124" i="1"/>
  <c r="P124" i="1"/>
  <c r="CP124" i="1" s="1"/>
  <c r="O124" i="1" s="1"/>
  <c r="CR122" i="1"/>
  <c r="R122" i="1"/>
  <c r="GX121" i="1"/>
  <c r="U118" i="1"/>
  <c r="P116" i="1"/>
  <c r="CP116" i="1" s="1"/>
  <c r="O116" i="1" s="1"/>
  <c r="V111" i="1"/>
  <c r="P111" i="1"/>
  <c r="CP111" i="1" s="1"/>
  <c r="O111" i="1" s="1"/>
  <c r="CR109" i="1"/>
  <c r="GX108" i="1"/>
  <c r="U104" i="1"/>
  <c r="AD101" i="1"/>
  <c r="AB101" i="1" s="1"/>
  <c r="CD142" i="1"/>
  <c r="EV63" i="1"/>
  <c r="GE26" i="1"/>
  <c r="EK63" i="1"/>
  <c r="CY61" i="1"/>
  <c r="X61" i="1" s="1"/>
  <c r="CZ61" i="1"/>
  <c r="Y61" i="1" s="1"/>
  <c r="T53" i="1"/>
  <c r="CP31" i="1"/>
  <c r="O31" i="1" s="1"/>
  <c r="FR31" i="1"/>
  <c r="GC26" i="1"/>
  <c r="ET63" i="1"/>
  <c r="CS100" i="1"/>
  <c r="GX52" i="1"/>
  <c r="CR100" i="1"/>
  <c r="R97" i="1"/>
  <c r="AO26" i="1"/>
  <c r="F67" i="1"/>
  <c r="FR56" i="1"/>
  <c r="CP56" i="1"/>
  <c r="O56" i="1" s="1"/>
  <c r="GM56" i="1" s="1"/>
  <c r="R100" i="1"/>
  <c r="CR99" i="1"/>
  <c r="CS99" i="1"/>
  <c r="Q61" i="1"/>
  <c r="CS59" i="1"/>
  <c r="R58" i="1"/>
  <c r="CQ54" i="1"/>
  <c r="CR52" i="1"/>
  <c r="T42" i="1"/>
  <c r="P38" i="1"/>
  <c r="CP38" i="1" s="1"/>
  <c r="O38" i="1" s="1"/>
  <c r="CQ38" i="1"/>
  <c r="CZ37" i="1"/>
  <c r="Y37" i="1" s="1"/>
  <c r="CQ37" i="1"/>
  <c r="P37" i="1"/>
  <c r="CP37" i="1" s="1"/>
  <c r="O37" i="1" s="1"/>
  <c r="GM37" i="1" s="1"/>
  <c r="GO37" i="1" s="1"/>
  <c r="CQ33" i="1"/>
  <c r="AB33" i="1"/>
  <c r="CR28" i="1"/>
  <c r="CS28" i="1"/>
  <c r="AD28" i="1"/>
  <c r="AU63" i="1"/>
  <c r="P61" i="1"/>
  <c r="CR59" i="1"/>
  <c r="Q58" i="1"/>
  <c r="CT56" i="1"/>
  <c r="S55" i="1"/>
  <c r="CQ51" i="1"/>
  <c r="CS46" i="1"/>
  <c r="FR42" i="1"/>
  <c r="CP34" i="1"/>
  <c r="O34" i="1" s="1"/>
  <c r="CQ32" i="1"/>
  <c r="P32" i="1"/>
  <c r="CP32" i="1" s="1"/>
  <c r="O32" i="1" s="1"/>
  <c r="GM32" i="1" s="1"/>
  <c r="GO32" i="1" s="1"/>
  <c r="GX30" i="1"/>
  <c r="CJ63" i="1" s="1"/>
  <c r="AB29" i="1"/>
  <c r="AB28" i="1"/>
  <c r="P28" i="1"/>
  <c r="CQ28" i="1"/>
  <c r="P58" i="1"/>
  <c r="CP58" i="1" s="1"/>
  <c r="O58" i="1" s="1"/>
  <c r="R55" i="1"/>
  <c r="Q50" i="1"/>
  <c r="I52" i="1"/>
  <c r="V52" i="1" s="1"/>
  <c r="GX44" i="1"/>
  <c r="R43" i="1"/>
  <c r="CY43" i="1" s="1"/>
  <c r="X43" i="1" s="1"/>
  <c r="Q30" i="1"/>
  <c r="R30" i="1"/>
  <c r="CZ30" i="1" s="1"/>
  <c r="Y30" i="1" s="1"/>
  <c r="S60" i="1"/>
  <c r="Q55" i="1"/>
  <c r="CP55" i="1" s="1"/>
  <c r="O55" i="1" s="1"/>
  <c r="CY41" i="1"/>
  <c r="X41" i="1" s="1"/>
  <c r="CZ41" i="1"/>
  <c r="Y41" i="1" s="1"/>
  <c r="CZ39" i="1"/>
  <c r="Y39" i="1" s="1"/>
  <c r="CY39" i="1"/>
  <c r="X39" i="1" s="1"/>
  <c r="GM39" i="1" s="1"/>
  <c r="GO39" i="1" s="1"/>
  <c r="CY31" i="1"/>
  <c r="X31" i="1" s="1"/>
  <c r="BD63" i="1"/>
  <c r="R60" i="1"/>
  <c r="AB58" i="1"/>
  <c r="AD55" i="1"/>
  <c r="AB55" i="1" s="1"/>
  <c r="P51" i="1"/>
  <c r="CP51" i="1" s="1"/>
  <c r="O51" i="1" s="1"/>
  <c r="CQ50" i="1"/>
  <c r="P50" i="1"/>
  <c r="GX49" i="1"/>
  <c r="V49" i="1"/>
  <c r="Q46" i="1"/>
  <c r="U42" i="1"/>
  <c r="CR41" i="1"/>
  <c r="AD41" i="1"/>
  <c r="AB41" i="1" s="1"/>
  <c r="CR31" i="1"/>
  <c r="R31" i="1"/>
  <c r="T30" i="1"/>
  <c r="S29" i="1"/>
  <c r="CP29" i="1" s="1"/>
  <c r="O29" i="1" s="1"/>
  <c r="R28" i="1"/>
  <c r="GD26" i="1"/>
  <c r="BC63" i="1"/>
  <c r="Q60" i="1"/>
  <c r="R57" i="1"/>
  <c r="CY57" i="1" s="1"/>
  <c r="X57" i="1" s="1"/>
  <c r="S54" i="1"/>
  <c r="CQ53" i="1"/>
  <c r="AB50" i="1"/>
  <c r="CR47" i="1"/>
  <c r="P46" i="1"/>
  <c r="CP46" i="1" s="1"/>
  <c r="O46" i="1" s="1"/>
  <c r="AB45" i="1"/>
  <c r="V44" i="1"/>
  <c r="AI63" i="1" s="1"/>
  <c r="S44" i="1"/>
  <c r="P41" i="1"/>
  <c r="CP41" i="1" s="1"/>
  <c r="O41" i="1" s="1"/>
  <c r="CQ41" i="1"/>
  <c r="AD31" i="1"/>
  <c r="AB31" i="1" s="1"/>
  <c r="Q28" i="1"/>
  <c r="BX26" i="1"/>
  <c r="W61" i="1"/>
  <c r="Q57" i="1"/>
  <c r="CS55" i="1"/>
  <c r="CP44" i="1"/>
  <c r="O44" i="1" s="1"/>
  <c r="FR44" i="1"/>
  <c r="CQ40" i="1"/>
  <c r="P40" i="1"/>
  <c r="CP40" i="1" s="1"/>
  <c r="O40" i="1" s="1"/>
  <c r="CY34" i="1"/>
  <c r="X34" i="1" s="1"/>
  <c r="S59" i="1"/>
  <c r="AD57" i="1"/>
  <c r="P57" i="1"/>
  <c r="Q54" i="1"/>
  <c r="I53" i="1"/>
  <c r="V53" i="1" s="1"/>
  <c r="Q51" i="1"/>
  <c r="R51" i="1"/>
  <c r="CZ51" i="1" s="1"/>
  <c r="Y51" i="1" s="1"/>
  <c r="Q49" i="1"/>
  <c r="CY46" i="1"/>
  <c r="X46" i="1" s="1"/>
  <c r="W43" i="1"/>
  <c r="P43" i="1"/>
  <c r="AB40" i="1"/>
  <c r="AB35" i="1"/>
  <c r="CR34" i="1"/>
  <c r="CS34" i="1"/>
  <c r="R34" i="1"/>
  <c r="I35" i="1"/>
  <c r="GX35" i="1" s="1"/>
  <c r="Q33" i="1"/>
  <c r="S33" i="1"/>
  <c r="CP49" i="1"/>
  <c r="O49" i="1" s="1"/>
  <c r="CQ48" i="1"/>
  <c r="P48" i="1"/>
  <c r="CZ47" i="1"/>
  <c r="Y47" i="1" s="1"/>
  <c r="CY47" i="1"/>
  <c r="X47" i="1" s="1"/>
  <c r="GM47" i="1" s="1"/>
  <c r="GO47" i="1" s="1"/>
  <c r="CZ42" i="1"/>
  <c r="Y42" i="1" s="1"/>
  <c r="CY42" i="1"/>
  <c r="X42" i="1" s="1"/>
  <c r="GM42" i="1" s="1"/>
  <c r="CT41" i="1"/>
  <c r="CT40" i="1"/>
  <c r="CZ36" i="1"/>
  <c r="Y36" i="1" s="1"/>
  <c r="CY36" i="1"/>
  <c r="X36" i="1" s="1"/>
  <c r="U35" i="1"/>
  <c r="CZ34" i="1"/>
  <c r="Y34" i="1" s="1"/>
  <c r="CQ30" i="1"/>
  <c r="P30" i="1"/>
  <c r="Q59" i="1"/>
  <c r="CP59" i="1" s="1"/>
  <c r="O59" i="1" s="1"/>
  <c r="CS57" i="1"/>
  <c r="AB57" i="1"/>
  <c r="AB48" i="1"/>
  <c r="AD46" i="1"/>
  <c r="AB46" i="1" s="1"/>
  <c r="FR49" i="1"/>
  <c r="W44" i="1"/>
  <c r="CS43" i="1"/>
  <c r="CY38" i="1"/>
  <c r="X38" i="1" s="1"/>
  <c r="CZ38" i="1"/>
  <c r="Y38" i="1" s="1"/>
  <c r="F80" i="1"/>
  <c r="P53" i="1"/>
  <c r="R50" i="1"/>
  <c r="CY50" i="1" s="1"/>
  <c r="X50" i="1" s="1"/>
  <c r="R49" i="1"/>
  <c r="CY49" i="1" s="1"/>
  <c r="X49" i="1" s="1"/>
  <c r="GX48" i="1"/>
  <c r="P45" i="1"/>
  <c r="CR43" i="1"/>
  <c r="U39" i="1"/>
  <c r="CR38" i="1"/>
  <c r="AD38" i="1"/>
  <c r="AB38" i="1" s="1"/>
  <c r="W31" i="1"/>
  <c r="CY28" i="1"/>
  <c r="X28" i="1" s="1"/>
  <c r="CR35" i="1"/>
  <c r="Q36" i="1"/>
  <c r="CP36" i="1" s="1"/>
  <c r="O36" i="1" s="1"/>
  <c r="GM36" i="1" s="1"/>
  <c r="GO36" i="1" s="1"/>
  <c r="CR45" i="1"/>
  <c r="CZ113" i="1" l="1"/>
  <c r="Y113" i="1" s="1"/>
  <c r="CY113" i="1"/>
  <c r="X113" i="1" s="1"/>
  <c r="GB63" i="1"/>
  <c r="AG142" i="1"/>
  <c r="AI26" i="1"/>
  <c r="V63" i="1"/>
  <c r="BA63" i="1"/>
  <c r="CJ26" i="1"/>
  <c r="AH63" i="1"/>
  <c r="CY54" i="1"/>
  <c r="X54" i="1" s="1"/>
  <c r="CZ54" i="1"/>
  <c r="Y54" i="1" s="1"/>
  <c r="CZ49" i="1"/>
  <c r="Y49" i="1" s="1"/>
  <c r="AD63" i="1"/>
  <c r="BC26" i="1"/>
  <c r="F79" i="1"/>
  <c r="BC172" i="1"/>
  <c r="CY44" i="1"/>
  <c r="X44" i="1" s="1"/>
  <c r="CZ44" i="1"/>
  <c r="Y44" i="1" s="1"/>
  <c r="GM44" i="1" s="1"/>
  <c r="CP50" i="1"/>
  <c r="O50" i="1" s="1"/>
  <c r="GM50" i="1" s="1"/>
  <c r="GO50" i="1" s="1"/>
  <c r="GM38" i="1"/>
  <c r="GO38" i="1" s="1"/>
  <c r="CP127" i="1"/>
  <c r="O127" i="1" s="1"/>
  <c r="S122" i="1"/>
  <c r="FY26" i="1"/>
  <c r="EP63" i="1"/>
  <c r="CY129" i="1"/>
  <c r="X129" i="1" s="1"/>
  <c r="GX122" i="1"/>
  <c r="GM120" i="1"/>
  <c r="GO120" i="1" s="1"/>
  <c r="Q112" i="1"/>
  <c r="T112" i="1"/>
  <c r="P112" i="1"/>
  <c r="U112" i="1"/>
  <c r="W112" i="1"/>
  <c r="V112" i="1"/>
  <c r="GX113" i="1"/>
  <c r="AS95" i="1"/>
  <c r="AS172" i="1"/>
  <c r="F159" i="1"/>
  <c r="FY95" i="1"/>
  <c r="EP142" i="1"/>
  <c r="CP132" i="1"/>
  <c r="O132" i="1" s="1"/>
  <c r="GM132" i="1" s="1"/>
  <c r="GO132" i="1" s="1"/>
  <c r="R112" i="1"/>
  <c r="GX129" i="1"/>
  <c r="P129" i="1"/>
  <c r="CP129" i="1" s="1"/>
  <c r="O129" i="1" s="1"/>
  <c r="Q129" i="1"/>
  <c r="U129" i="1"/>
  <c r="BC95" i="1"/>
  <c r="F158" i="1"/>
  <c r="W129" i="1"/>
  <c r="GX103" i="1"/>
  <c r="CZ100" i="1"/>
  <c r="Y100" i="1" s="1"/>
  <c r="CY100" i="1"/>
  <c r="X100" i="1" s="1"/>
  <c r="Q102" i="1"/>
  <c r="R102" i="1"/>
  <c r="DW142" i="1" s="1"/>
  <c r="S102" i="1"/>
  <c r="T102" i="1"/>
  <c r="GM49" i="1"/>
  <c r="CZ98" i="1"/>
  <c r="Y98" i="1" s="1"/>
  <c r="CY98" i="1"/>
  <c r="X98" i="1" s="1"/>
  <c r="FR61" i="1"/>
  <c r="CP61" i="1"/>
  <c r="O61" i="1" s="1"/>
  <c r="GM61" i="1" s="1"/>
  <c r="DZ63" i="1"/>
  <c r="F82" i="1"/>
  <c r="AU26" i="1"/>
  <c r="CP54" i="1"/>
  <c r="O54" i="1" s="1"/>
  <c r="CY111" i="1"/>
  <c r="X111" i="1" s="1"/>
  <c r="GM111" i="1" s="1"/>
  <c r="GO111" i="1" s="1"/>
  <c r="CZ111" i="1"/>
  <c r="Y111" i="1" s="1"/>
  <c r="CY134" i="1"/>
  <c r="X134" i="1" s="1"/>
  <c r="CZ134" i="1"/>
  <c r="Y134" i="1" s="1"/>
  <c r="BB95" i="1"/>
  <c r="F155" i="1"/>
  <c r="BB172" i="1"/>
  <c r="R113" i="1"/>
  <c r="EU18" i="1"/>
  <c r="P218" i="1"/>
  <c r="W113" i="1"/>
  <c r="DV63" i="1"/>
  <c r="GM46" i="1"/>
  <c r="GO46" i="1" s="1"/>
  <c r="CZ31" i="1"/>
  <c r="Y31" i="1" s="1"/>
  <c r="R52" i="1"/>
  <c r="AE63" i="1" s="1"/>
  <c r="EK26" i="1"/>
  <c r="P80" i="1"/>
  <c r="EK172" i="1"/>
  <c r="U113" i="1"/>
  <c r="S112" i="1"/>
  <c r="T113" i="1"/>
  <c r="EM26" i="1"/>
  <c r="P82" i="1"/>
  <c r="CZ133" i="1"/>
  <c r="Y133" i="1" s="1"/>
  <c r="CY133" i="1"/>
  <c r="X133" i="1" s="1"/>
  <c r="T106" i="1"/>
  <c r="P106" i="1"/>
  <c r="Q106" i="1"/>
  <c r="Q105" i="1"/>
  <c r="R105" i="1"/>
  <c r="S105" i="1"/>
  <c r="T105" i="1"/>
  <c r="U105" i="1"/>
  <c r="CY135" i="1"/>
  <c r="X135" i="1" s="1"/>
  <c r="CZ135" i="1"/>
  <c r="Y135" i="1" s="1"/>
  <c r="AQ95" i="1"/>
  <c r="F152" i="1"/>
  <c r="CZ123" i="1"/>
  <c r="Y123" i="1" s="1"/>
  <c r="CY123" i="1"/>
  <c r="X123" i="1" s="1"/>
  <c r="GM123" i="1" s="1"/>
  <c r="GO123" i="1" s="1"/>
  <c r="GX133" i="1"/>
  <c r="Q133" i="1"/>
  <c r="P133" i="1"/>
  <c r="W133" i="1"/>
  <c r="T133" i="1"/>
  <c r="T129" i="1"/>
  <c r="W103" i="1"/>
  <c r="V133" i="1"/>
  <c r="EG26" i="1"/>
  <c r="P67" i="1"/>
  <c r="EG172" i="1"/>
  <c r="CY33" i="1"/>
  <c r="X33" i="1" s="1"/>
  <c r="CZ33" i="1"/>
  <c r="Y33" i="1" s="1"/>
  <c r="P130" i="1"/>
  <c r="GX130" i="1"/>
  <c r="Q130" i="1"/>
  <c r="S130" i="1"/>
  <c r="V130" i="1"/>
  <c r="AG63" i="1"/>
  <c r="CP45" i="1"/>
  <c r="O45" i="1" s="1"/>
  <c r="GM45" i="1" s="1"/>
  <c r="FR45" i="1"/>
  <c r="Q35" i="1"/>
  <c r="R35" i="1"/>
  <c r="DW63" i="1" s="1"/>
  <c r="S35" i="1"/>
  <c r="W35" i="1"/>
  <c r="EB63" i="1" s="1"/>
  <c r="P35" i="1"/>
  <c r="V102" i="1"/>
  <c r="Q100" i="1"/>
  <c r="CP100" i="1" s="1"/>
  <c r="O100" i="1" s="1"/>
  <c r="GM100" i="1" s="1"/>
  <c r="GO100" i="1" s="1"/>
  <c r="T100" i="1"/>
  <c r="DY142" i="1" s="1"/>
  <c r="W100" i="1"/>
  <c r="EB142" i="1" s="1"/>
  <c r="CY97" i="1"/>
  <c r="X97" i="1" s="1"/>
  <c r="CZ97" i="1"/>
  <c r="Y97" i="1" s="1"/>
  <c r="CY132" i="1"/>
  <c r="X132" i="1" s="1"/>
  <c r="CZ132" i="1"/>
  <c r="Y132" i="1" s="1"/>
  <c r="CP121" i="1"/>
  <c r="O121" i="1" s="1"/>
  <c r="GM121" i="1" s="1"/>
  <c r="GO121" i="1" s="1"/>
  <c r="CY136" i="1"/>
  <c r="X136" i="1" s="1"/>
  <c r="CZ136" i="1"/>
  <c r="Y136" i="1" s="1"/>
  <c r="T35" i="1"/>
  <c r="DY63" i="1" s="1"/>
  <c r="Q53" i="1"/>
  <c r="R53" i="1"/>
  <c r="S53" i="1"/>
  <c r="CP33" i="1"/>
  <c r="O33" i="1" s="1"/>
  <c r="GM34" i="1"/>
  <c r="EV26" i="1"/>
  <c r="EV172" i="1"/>
  <c r="P88" i="1"/>
  <c r="CY30" i="1"/>
  <c r="X30" i="1" s="1"/>
  <c r="W102" i="1"/>
  <c r="W53" i="1"/>
  <c r="S103" i="1"/>
  <c r="GM115" i="1"/>
  <c r="GO115" i="1" s="1"/>
  <c r="CP138" i="1"/>
  <c r="O138" i="1" s="1"/>
  <c r="GM138" i="1" s="1"/>
  <c r="GO138" i="1" s="1"/>
  <c r="Q110" i="1"/>
  <c r="P110" i="1"/>
  <c r="R110" i="1"/>
  <c r="CZ110" i="1" s="1"/>
  <c r="Y110" i="1" s="1"/>
  <c r="CG26" i="1"/>
  <c r="AX63" i="1"/>
  <c r="Q101" i="1"/>
  <c r="V101" i="1"/>
  <c r="P101" i="1"/>
  <c r="W101" i="1"/>
  <c r="GX101" i="1"/>
  <c r="V106" i="1"/>
  <c r="S101" i="1"/>
  <c r="CP125" i="1"/>
  <c r="O125" i="1" s="1"/>
  <c r="R129" i="1"/>
  <c r="CZ129" i="1" s="1"/>
  <c r="Y129" i="1" s="1"/>
  <c r="CZ29" i="1"/>
  <c r="Y29" i="1" s="1"/>
  <c r="GM29" i="1" s="1"/>
  <c r="CY29" i="1"/>
  <c r="X29" i="1" s="1"/>
  <c r="CY60" i="1"/>
  <c r="X60" i="1" s="1"/>
  <c r="CZ60" i="1"/>
  <c r="Y60" i="1" s="1"/>
  <c r="GM51" i="1"/>
  <c r="GO51" i="1" s="1"/>
  <c r="ET26" i="1"/>
  <c r="P76" i="1"/>
  <c r="ET172" i="1"/>
  <c r="CY99" i="1"/>
  <c r="X99" i="1" s="1"/>
  <c r="P102" i="1"/>
  <c r="BD26" i="1"/>
  <c r="F88" i="1"/>
  <c r="BD172" i="1"/>
  <c r="P52" i="1"/>
  <c r="AC63" i="1" s="1"/>
  <c r="Q52" i="1"/>
  <c r="T52" i="1"/>
  <c r="CD95" i="1"/>
  <c r="AU142" i="1"/>
  <c r="CZ106" i="1"/>
  <c r="Y106" i="1" s="1"/>
  <c r="CY106" i="1"/>
  <c r="X106" i="1" s="1"/>
  <c r="U52" i="1"/>
  <c r="CP117" i="1"/>
  <c r="O117" i="1" s="1"/>
  <c r="GX100" i="1"/>
  <c r="CI95" i="1"/>
  <c r="AZ142" i="1"/>
  <c r="CY117" i="1"/>
  <c r="X117" i="1" s="1"/>
  <c r="CZ117" i="1"/>
  <c r="Y117" i="1" s="1"/>
  <c r="P104" i="1"/>
  <c r="DU142" i="1" s="1"/>
  <c r="Q104" i="1"/>
  <c r="DV142" i="1" s="1"/>
  <c r="R104" i="1"/>
  <c r="Q109" i="1"/>
  <c r="AD142" i="1" s="1"/>
  <c r="W109" i="1"/>
  <c r="Q108" i="1"/>
  <c r="R108" i="1"/>
  <c r="S108" i="1"/>
  <c r="CZ140" i="1"/>
  <c r="Y140" i="1" s="1"/>
  <c r="CY140" i="1"/>
  <c r="X140" i="1" s="1"/>
  <c r="GX104" i="1"/>
  <c r="T109" i="1"/>
  <c r="FV95" i="1"/>
  <c r="EM142" i="1"/>
  <c r="EM172" i="1" s="1"/>
  <c r="CP135" i="1"/>
  <c r="O135" i="1" s="1"/>
  <c r="CZ118" i="1"/>
  <c r="Y118" i="1" s="1"/>
  <c r="CY118" i="1"/>
  <c r="X118" i="1" s="1"/>
  <c r="V108" i="1"/>
  <c r="AQ26" i="1"/>
  <c r="F73" i="1"/>
  <c r="AQ172" i="1"/>
  <c r="CP97" i="1"/>
  <c r="O97" i="1" s="1"/>
  <c r="AC142" i="1"/>
  <c r="GM136" i="1"/>
  <c r="GO136" i="1" s="1"/>
  <c r="ER95" i="1"/>
  <c r="P153" i="1"/>
  <c r="U102" i="1"/>
  <c r="FR57" i="1"/>
  <c r="CP57" i="1"/>
  <c r="O57" i="1" s="1"/>
  <c r="CP60" i="1"/>
  <c r="O60" i="1" s="1"/>
  <c r="AE142" i="1"/>
  <c r="Q113" i="1"/>
  <c r="P113" i="1"/>
  <c r="V113" i="1"/>
  <c r="EK95" i="1"/>
  <c r="P159" i="1"/>
  <c r="GX102" i="1"/>
  <c r="GB142" i="1" s="1"/>
  <c r="CZ50" i="1"/>
  <c r="Y50" i="1" s="1"/>
  <c r="CZ28" i="1"/>
  <c r="Y28" i="1" s="1"/>
  <c r="S52" i="1"/>
  <c r="AF63" i="1" s="1"/>
  <c r="V35" i="1"/>
  <c r="EA63" i="1" s="1"/>
  <c r="CY59" i="1"/>
  <c r="X59" i="1" s="1"/>
  <c r="CZ59" i="1"/>
  <c r="Y59" i="1" s="1"/>
  <c r="GM58" i="1"/>
  <c r="GO58" i="1" s="1"/>
  <c r="CZ55" i="1"/>
  <c r="Y55" i="1" s="1"/>
  <c r="GM55" i="1" s="1"/>
  <c r="GO55" i="1" s="1"/>
  <c r="CY55" i="1"/>
  <c r="X55" i="1" s="1"/>
  <c r="GX53" i="1"/>
  <c r="GM31" i="1"/>
  <c r="CY119" i="1"/>
  <c r="X119" i="1" s="1"/>
  <c r="GM119" i="1" s="1"/>
  <c r="GO119" i="1" s="1"/>
  <c r="CZ119" i="1"/>
  <c r="Y119" i="1" s="1"/>
  <c r="CP98" i="1"/>
  <c r="O98" i="1" s="1"/>
  <c r="W52" i="1"/>
  <c r="AJ63" i="1" s="1"/>
  <c r="R106" i="1"/>
  <c r="CP99" i="1"/>
  <c r="O99" i="1" s="1"/>
  <c r="W110" i="1"/>
  <c r="P107" i="1"/>
  <c r="CP107" i="1" s="1"/>
  <c r="O107" i="1" s="1"/>
  <c r="Q107" i="1"/>
  <c r="GX107" i="1"/>
  <c r="S107" i="1"/>
  <c r="V107" i="1"/>
  <c r="U110" i="1"/>
  <c r="U130" i="1"/>
  <c r="P108" i="1"/>
  <c r="CP108" i="1" s="1"/>
  <c r="O108" i="1" s="1"/>
  <c r="S104" i="1"/>
  <c r="CY124" i="1"/>
  <c r="X124" i="1" s="1"/>
  <c r="GM124" i="1" s="1"/>
  <c r="GO124" i="1" s="1"/>
  <c r="CZ124" i="1"/>
  <c r="Y124" i="1" s="1"/>
  <c r="AO18" i="1"/>
  <c r="F206" i="1"/>
  <c r="U109" i="1"/>
  <c r="FR53" i="1"/>
  <c r="CP105" i="1"/>
  <c r="O105" i="1" s="1"/>
  <c r="CP134" i="1"/>
  <c r="O134" i="1" s="1"/>
  <c r="GM134" i="1" s="1"/>
  <c r="GO134" i="1" s="1"/>
  <c r="P122" i="1"/>
  <c r="CP122" i="1" s="1"/>
  <c r="O122" i="1" s="1"/>
  <c r="Q122" i="1"/>
  <c r="W122" i="1"/>
  <c r="GM59" i="1"/>
  <c r="GO59" i="1" s="1"/>
  <c r="CZ57" i="1"/>
  <c r="Y57" i="1" s="1"/>
  <c r="CZ43" i="1"/>
  <c r="Y43" i="1" s="1"/>
  <c r="Q103" i="1"/>
  <c r="CP103" i="1" s="1"/>
  <c r="O103" i="1" s="1"/>
  <c r="T103" i="1"/>
  <c r="CY116" i="1"/>
  <c r="X116" i="1" s="1"/>
  <c r="GM116" i="1" s="1"/>
  <c r="GO116" i="1" s="1"/>
  <c r="CZ116" i="1"/>
  <c r="Y116" i="1" s="1"/>
  <c r="U100" i="1"/>
  <c r="DZ142" i="1" s="1"/>
  <c r="CZ125" i="1"/>
  <c r="Y125" i="1" s="1"/>
  <c r="CY125" i="1"/>
  <c r="X125" i="1" s="1"/>
  <c r="U122" i="1"/>
  <c r="CP30" i="1"/>
  <c r="O30" i="1" s="1"/>
  <c r="GM30" i="1" s="1"/>
  <c r="FR30" i="1"/>
  <c r="CP48" i="1"/>
  <c r="O48" i="1" s="1"/>
  <c r="GM48" i="1" s="1"/>
  <c r="FR48" i="1"/>
  <c r="FR43" i="1"/>
  <c r="CP43" i="1"/>
  <c r="O43" i="1" s="1"/>
  <c r="GM40" i="1"/>
  <c r="GO40" i="1" s="1"/>
  <c r="GM41" i="1"/>
  <c r="GO41" i="1" s="1"/>
  <c r="CP28" i="1"/>
  <c r="O28" i="1" s="1"/>
  <c r="U53" i="1"/>
  <c r="R109" i="1"/>
  <c r="CY109" i="1" s="1"/>
  <c r="X109" i="1" s="1"/>
  <c r="GM131" i="1"/>
  <c r="GO131" i="1" s="1"/>
  <c r="EI172" i="1"/>
  <c r="P152" i="1"/>
  <c r="EI95" i="1"/>
  <c r="U103" i="1"/>
  <c r="AH142" i="1" s="1"/>
  <c r="Q114" i="1"/>
  <c r="R114" i="1"/>
  <c r="S114" i="1"/>
  <c r="CP114" i="1" s="1"/>
  <c r="O114" i="1" s="1"/>
  <c r="T114" i="1"/>
  <c r="U114" i="1"/>
  <c r="Q99" i="1"/>
  <c r="W99" i="1"/>
  <c r="R99" i="1"/>
  <c r="CZ99" i="1" s="1"/>
  <c r="Y99" i="1" s="1"/>
  <c r="GX99" i="1"/>
  <c r="CJ142" i="1" s="1"/>
  <c r="T130" i="1"/>
  <c r="W106" i="1"/>
  <c r="V100" i="1"/>
  <c r="Q118" i="1"/>
  <c r="V118" i="1"/>
  <c r="P118" i="1"/>
  <c r="CP118" i="1" s="1"/>
  <c r="O118" i="1" s="1"/>
  <c r="GM118" i="1" s="1"/>
  <c r="GO118" i="1" s="1"/>
  <c r="CG95" i="1"/>
  <c r="AX142" i="1"/>
  <c r="CY127" i="1"/>
  <c r="X127" i="1" s="1"/>
  <c r="CZ127" i="1"/>
  <c r="Y127" i="1" s="1"/>
  <c r="CP140" i="1"/>
  <c r="O140" i="1" s="1"/>
  <c r="GM140" i="1" s="1"/>
  <c r="GO140" i="1" s="1"/>
  <c r="W130" i="1"/>
  <c r="V99" i="1"/>
  <c r="V122" i="1"/>
  <c r="GB95" i="1" l="1"/>
  <c r="ES142" i="1"/>
  <c r="AH95" i="1"/>
  <c r="U142" i="1"/>
  <c r="AD95" i="1"/>
  <c r="Q142" i="1"/>
  <c r="EB26" i="1"/>
  <c r="DO63" i="1"/>
  <c r="CJ95" i="1"/>
  <c r="BA142" i="1"/>
  <c r="R63" i="1"/>
  <c r="AE26" i="1"/>
  <c r="EM22" i="1"/>
  <c r="P191" i="1"/>
  <c r="EM202" i="1"/>
  <c r="DV95" i="1"/>
  <c r="DI142" i="1"/>
  <c r="DW26" i="1"/>
  <c r="DJ63" i="1"/>
  <c r="DU95" i="1"/>
  <c r="FW142" i="1"/>
  <c r="DH142" i="1"/>
  <c r="FX142" i="1"/>
  <c r="FZ142" i="1"/>
  <c r="DZ95" i="1"/>
  <c r="DM142" i="1"/>
  <c r="AC26" i="1"/>
  <c r="P63" i="1"/>
  <c r="CE63" i="1"/>
  <c r="AF26" i="1"/>
  <c r="S63" i="1"/>
  <c r="DW95" i="1"/>
  <c r="DJ142" i="1"/>
  <c r="GO29" i="1"/>
  <c r="FU63" i="1" s="1"/>
  <c r="AE95" i="1"/>
  <c r="R142" i="1"/>
  <c r="AZ95" i="1"/>
  <c r="F153" i="1"/>
  <c r="EA142" i="1"/>
  <c r="AI142" i="1"/>
  <c r="CZ109" i="1"/>
  <c r="Y109" i="1" s="1"/>
  <c r="GM125" i="1"/>
  <c r="GO125" i="1" s="1"/>
  <c r="GM33" i="1"/>
  <c r="GO33" i="1" s="1"/>
  <c r="BC22" i="1"/>
  <c r="F188" i="1"/>
  <c r="BC202" i="1"/>
  <c r="EB95" i="1"/>
  <c r="DO142" i="1"/>
  <c r="AG95" i="1"/>
  <c r="T142" i="1"/>
  <c r="DV26" i="1"/>
  <c r="DI63" i="1"/>
  <c r="EI22" i="1"/>
  <c r="EI202" i="1"/>
  <c r="P182" i="1"/>
  <c r="CY53" i="1"/>
  <c r="X53" i="1" s="1"/>
  <c r="CZ53" i="1"/>
  <c r="Y53" i="1" s="1"/>
  <c r="DY95" i="1"/>
  <c r="DL142" i="1"/>
  <c r="GM54" i="1"/>
  <c r="GO54" i="1" s="1"/>
  <c r="EP26" i="1"/>
  <c r="EP172" i="1"/>
  <c r="P70" i="1"/>
  <c r="GB26" i="1"/>
  <c r="ES63" i="1"/>
  <c r="AJ142" i="1"/>
  <c r="EM95" i="1"/>
  <c r="P161" i="1"/>
  <c r="AU95" i="1"/>
  <c r="F161" i="1"/>
  <c r="CZ130" i="1"/>
  <c r="Y130" i="1" s="1"/>
  <c r="CY130" i="1"/>
  <c r="X130" i="1" s="1"/>
  <c r="AU172" i="1"/>
  <c r="CP109" i="1"/>
  <c r="O109" i="1" s="1"/>
  <c r="GM109" i="1" s="1"/>
  <c r="GO109" i="1" s="1"/>
  <c r="AC95" i="1"/>
  <c r="CH142" i="1"/>
  <c r="P142" i="1"/>
  <c r="CF142" i="1"/>
  <c r="CE142" i="1"/>
  <c r="CZ103" i="1"/>
  <c r="Y103" i="1" s="1"/>
  <c r="CY103" i="1"/>
  <c r="X103" i="1" s="1"/>
  <c r="GM103" i="1" s="1"/>
  <c r="GO103" i="1" s="1"/>
  <c r="CZ105" i="1"/>
  <c r="Y105" i="1" s="1"/>
  <c r="CY105" i="1"/>
  <c r="X105" i="1" s="1"/>
  <c r="AK142" i="1" s="1"/>
  <c r="CY112" i="1"/>
  <c r="X112" i="1" s="1"/>
  <c r="CZ112" i="1"/>
  <c r="Y112" i="1" s="1"/>
  <c r="CY102" i="1"/>
  <c r="X102" i="1" s="1"/>
  <c r="CZ102" i="1"/>
  <c r="Y102" i="1" s="1"/>
  <c r="GM129" i="1"/>
  <c r="GO129" i="1" s="1"/>
  <c r="CZ122" i="1"/>
  <c r="Y122" i="1" s="1"/>
  <c r="CY122" i="1"/>
  <c r="X122" i="1" s="1"/>
  <c r="GM122" i="1" s="1"/>
  <c r="GO122" i="1" s="1"/>
  <c r="Q63" i="1"/>
  <c r="AD26" i="1"/>
  <c r="AG26" i="1"/>
  <c r="T63" i="1"/>
  <c r="GM99" i="1"/>
  <c r="GO99" i="1" s="1"/>
  <c r="AJ26" i="1"/>
  <c r="W63" i="1"/>
  <c r="DY26" i="1"/>
  <c r="DL63" i="1"/>
  <c r="EA26" i="1"/>
  <c r="DN63" i="1"/>
  <c r="CP113" i="1"/>
  <c r="O113" i="1" s="1"/>
  <c r="GM113" i="1" s="1"/>
  <c r="GO113" i="1" s="1"/>
  <c r="GM97" i="1"/>
  <c r="AB142" i="1"/>
  <c r="CP101" i="1"/>
  <c r="O101" i="1" s="1"/>
  <c r="CP133" i="1"/>
  <c r="O133" i="1" s="1"/>
  <c r="GM133" i="1" s="1"/>
  <c r="GO133" i="1" s="1"/>
  <c r="GM127" i="1"/>
  <c r="GO127" i="1" s="1"/>
  <c r="BY63" i="1"/>
  <c r="GM135" i="1"/>
  <c r="GO135" i="1" s="1"/>
  <c r="ET22" i="1"/>
  <c r="P185" i="1"/>
  <c r="ET202" i="1"/>
  <c r="CZ104" i="1"/>
  <c r="Y104" i="1" s="1"/>
  <c r="ED142" i="1" s="1"/>
  <c r="CY104" i="1"/>
  <c r="X104" i="1" s="1"/>
  <c r="CP104" i="1"/>
  <c r="O104" i="1" s="1"/>
  <c r="AX95" i="1"/>
  <c r="F149" i="1"/>
  <c r="AB63" i="1"/>
  <c r="GM28" i="1"/>
  <c r="GM98" i="1"/>
  <c r="CY52" i="1"/>
  <c r="X52" i="1" s="1"/>
  <c r="AK63" i="1" s="1"/>
  <c r="CZ52" i="1"/>
  <c r="Y52" i="1" s="1"/>
  <c r="AL63" i="1" s="1"/>
  <c r="AQ22" i="1"/>
  <c r="F182" i="1"/>
  <c r="AQ202" i="1"/>
  <c r="FR35" i="1"/>
  <c r="FQ63" i="1" s="1"/>
  <c r="CP35" i="1"/>
  <c r="O35" i="1" s="1"/>
  <c r="DU63" i="1"/>
  <c r="CP130" i="1"/>
  <c r="O130" i="1" s="1"/>
  <c r="GM130" i="1" s="1"/>
  <c r="GO130" i="1" s="1"/>
  <c r="CP112" i="1"/>
  <c r="O112" i="1" s="1"/>
  <c r="CZ114" i="1"/>
  <c r="Y114" i="1" s="1"/>
  <c r="CY114" i="1"/>
  <c r="X114" i="1" s="1"/>
  <c r="GM114" i="1" s="1"/>
  <c r="GO114" i="1" s="1"/>
  <c r="FR52" i="1"/>
  <c r="CP52" i="1"/>
  <c r="O52" i="1" s="1"/>
  <c r="GM52" i="1" s="1"/>
  <c r="EK22" i="1"/>
  <c r="P189" i="1"/>
  <c r="E16" i="2" s="1"/>
  <c r="EK202" i="1"/>
  <c r="CP106" i="1"/>
  <c r="O106" i="1" s="1"/>
  <c r="GM106" i="1" s="1"/>
  <c r="GO106" i="1" s="1"/>
  <c r="AH26" i="1"/>
  <c r="U63" i="1"/>
  <c r="GM43" i="1"/>
  <c r="CP53" i="1"/>
  <c r="O53" i="1" s="1"/>
  <c r="GM53" i="1" s="1"/>
  <c r="CZ107" i="1"/>
  <c r="Y107" i="1" s="1"/>
  <c r="CY107" i="1"/>
  <c r="X107" i="1" s="1"/>
  <c r="GM107" i="1" s="1"/>
  <c r="GO107" i="1" s="1"/>
  <c r="GM57" i="1"/>
  <c r="CY108" i="1"/>
  <c r="X108" i="1" s="1"/>
  <c r="GM108" i="1" s="1"/>
  <c r="GO108" i="1" s="1"/>
  <c r="CZ108" i="1"/>
  <c r="Y108" i="1" s="1"/>
  <c r="EV22" i="1"/>
  <c r="EV202" i="1"/>
  <c r="P197" i="1"/>
  <c r="EG22" i="1"/>
  <c r="P176" i="1"/>
  <c r="EG202" i="1"/>
  <c r="CY110" i="1"/>
  <c r="X110" i="1" s="1"/>
  <c r="CZ101" i="1"/>
  <c r="Y101" i="1" s="1"/>
  <c r="AL142" i="1" s="1"/>
  <c r="CY101" i="1"/>
  <c r="X101" i="1" s="1"/>
  <c r="BB22" i="1"/>
  <c r="F185" i="1"/>
  <c r="BB202" i="1"/>
  <c r="DX63" i="1"/>
  <c r="ED63" i="1"/>
  <c r="BA26" i="1"/>
  <c r="F83" i="1"/>
  <c r="BA172" i="1"/>
  <c r="DZ26" i="1"/>
  <c r="DM63" i="1"/>
  <c r="GM60" i="1"/>
  <c r="BD22" i="1"/>
  <c r="F197" i="1"/>
  <c r="BD202" i="1"/>
  <c r="AX26" i="1"/>
  <c r="F70" i="1"/>
  <c r="AX172" i="1"/>
  <c r="CY35" i="1"/>
  <c r="X35" i="1" s="1"/>
  <c r="EC63" i="1" s="1"/>
  <c r="CZ35" i="1"/>
  <c r="Y35" i="1" s="1"/>
  <c r="EP95" i="1"/>
  <c r="P149" i="1"/>
  <c r="AF142" i="1"/>
  <c r="GM117" i="1"/>
  <c r="GO117" i="1" s="1"/>
  <c r="CP102" i="1"/>
  <c r="O102" i="1" s="1"/>
  <c r="GM102" i="1" s="1"/>
  <c r="GO102" i="1" s="1"/>
  <c r="CP110" i="1"/>
  <c r="O110" i="1" s="1"/>
  <c r="GM110" i="1" s="1"/>
  <c r="GO110" i="1" s="1"/>
  <c r="DX142" i="1"/>
  <c r="AS22" i="1"/>
  <c r="F189" i="1"/>
  <c r="T16" i="2" s="1"/>
  <c r="AS202" i="1"/>
  <c r="V26" i="1"/>
  <c r="F86" i="1"/>
  <c r="AL95" i="1" l="1"/>
  <c r="Y142" i="1"/>
  <c r="AK95" i="1"/>
  <c r="X142" i="1"/>
  <c r="EC26" i="1"/>
  <c r="DP63" i="1"/>
  <c r="ED95" i="1"/>
  <c r="DQ142" i="1"/>
  <c r="AL26" i="1"/>
  <c r="Y63" i="1"/>
  <c r="AK26" i="1"/>
  <c r="X63" i="1"/>
  <c r="R26" i="1"/>
  <c r="F77" i="1"/>
  <c r="R172" i="1"/>
  <c r="ET18" i="1"/>
  <c r="P215" i="1"/>
  <c r="P95" i="1"/>
  <c r="F145" i="1"/>
  <c r="BA22" i="1"/>
  <c r="BA202" i="1"/>
  <c r="F192" i="1"/>
  <c r="EG18" i="1"/>
  <c r="P206" i="1"/>
  <c r="GM112" i="1"/>
  <c r="GO112" i="1" s="1"/>
  <c r="BY26" i="1"/>
  <c r="CI63" i="1"/>
  <c r="AP63" i="1"/>
  <c r="W26" i="1"/>
  <c r="F87" i="1"/>
  <c r="EP22" i="1"/>
  <c r="EP202" i="1"/>
  <c r="P179" i="1"/>
  <c r="T95" i="1"/>
  <c r="F163" i="1"/>
  <c r="DH95" i="1"/>
  <c r="P145" i="1"/>
  <c r="AU22" i="1"/>
  <c r="F191" i="1"/>
  <c r="W16" i="2" s="1"/>
  <c r="AU202" i="1"/>
  <c r="O63" i="1"/>
  <c r="AB26" i="1"/>
  <c r="P166" i="1"/>
  <c r="DO95" i="1"/>
  <c r="EA95" i="1"/>
  <c r="DN142" i="1"/>
  <c r="BA95" i="1"/>
  <c r="F162" i="1"/>
  <c r="EC142" i="1"/>
  <c r="GM35" i="1"/>
  <c r="GM101" i="1"/>
  <c r="GO101" i="1" s="1"/>
  <c r="T26" i="1"/>
  <c r="F84" i="1"/>
  <c r="T172" i="1"/>
  <c r="DL95" i="1"/>
  <c r="P163" i="1"/>
  <c r="GM105" i="1"/>
  <c r="GO105" i="1" s="1"/>
  <c r="CE26" i="1"/>
  <c r="AV63" i="1"/>
  <c r="P77" i="1"/>
  <c r="DJ26" i="1"/>
  <c r="DJ172" i="1"/>
  <c r="V142" i="1"/>
  <c r="AI95" i="1"/>
  <c r="DU26" i="1"/>
  <c r="FZ63" i="1"/>
  <c r="DH63" i="1"/>
  <c r="FW63" i="1"/>
  <c r="FX63" i="1"/>
  <c r="ED26" i="1"/>
  <c r="DQ63" i="1"/>
  <c r="EV18" i="1"/>
  <c r="P227" i="1"/>
  <c r="AB95" i="1"/>
  <c r="O142" i="1"/>
  <c r="BC18" i="1"/>
  <c r="F218" i="1"/>
  <c r="P26" i="1"/>
  <c r="F66" i="1"/>
  <c r="P172" i="1"/>
  <c r="DO26" i="1"/>
  <c r="P87" i="1"/>
  <c r="DO172" i="1"/>
  <c r="BD18" i="1"/>
  <c r="F227" i="1"/>
  <c r="DX26" i="1"/>
  <c r="DK63" i="1"/>
  <c r="EK18" i="1"/>
  <c r="P219" i="1"/>
  <c r="AQ18" i="1"/>
  <c r="F212" i="1"/>
  <c r="GM104" i="1"/>
  <c r="GO104" i="1" s="1"/>
  <c r="GO97" i="1"/>
  <c r="CC142" i="1" s="1"/>
  <c r="CA142" i="1"/>
  <c r="CH63" i="1"/>
  <c r="S26" i="1"/>
  <c r="F78" i="1"/>
  <c r="U26" i="1"/>
  <c r="F85" i="1"/>
  <c r="U172" i="1"/>
  <c r="DX95" i="1"/>
  <c r="DK142" i="1"/>
  <c r="FQ26" i="1"/>
  <c r="GA63" i="1"/>
  <c r="EH63" i="1"/>
  <c r="BB18" i="1"/>
  <c r="F215" i="1"/>
  <c r="Q26" i="1"/>
  <c r="F75" i="1"/>
  <c r="Q172" i="1"/>
  <c r="CE95" i="1"/>
  <c r="AV142" i="1"/>
  <c r="R95" i="1"/>
  <c r="F156" i="1"/>
  <c r="CF63" i="1"/>
  <c r="DI95" i="1"/>
  <c r="P154" i="1"/>
  <c r="Q95" i="1"/>
  <c r="F154" i="1"/>
  <c r="AS18" i="1"/>
  <c r="F219" i="1"/>
  <c r="AJ95" i="1"/>
  <c r="W142" i="1"/>
  <c r="EI18" i="1"/>
  <c r="P212" i="1"/>
  <c r="DM95" i="1"/>
  <c r="P164" i="1"/>
  <c r="EM18" i="1"/>
  <c r="P221" i="1"/>
  <c r="U95" i="1"/>
  <c r="F164" i="1"/>
  <c r="AF95" i="1"/>
  <c r="S142" i="1"/>
  <c r="DM26" i="1"/>
  <c r="P85" i="1"/>
  <c r="DM172" i="1"/>
  <c r="CH95" i="1"/>
  <c r="AY142" i="1"/>
  <c r="ES26" i="1"/>
  <c r="P83" i="1"/>
  <c r="ES172" i="1"/>
  <c r="FS63" i="1"/>
  <c r="GO28" i="1"/>
  <c r="CC63" i="1" s="1"/>
  <c r="CA63" i="1"/>
  <c r="FW95" i="1"/>
  <c r="EN142" i="1"/>
  <c r="AX22" i="1"/>
  <c r="F179" i="1"/>
  <c r="AX202" i="1"/>
  <c r="DN26" i="1"/>
  <c r="P86" i="1"/>
  <c r="CF95" i="1"/>
  <c r="AW142" i="1"/>
  <c r="DT142" i="1"/>
  <c r="DL26" i="1"/>
  <c r="P84" i="1"/>
  <c r="DL172" i="1"/>
  <c r="DI26" i="1"/>
  <c r="P75" i="1"/>
  <c r="DI172" i="1"/>
  <c r="FU26" i="1"/>
  <c r="EL63" i="1"/>
  <c r="FZ95" i="1"/>
  <c r="EQ142" i="1"/>
  <c r="ES95" i="1"/>
  <c r="P162" i="1"/>
  <c r="GO98" i="1"/>
  <c r="FU142" i="1" s="1"/>
  <c r="FS142" i="1"/>
  <c r="DT63" i="1"/>
  <c r="DJ95" i="1"/>
  <c r="P156" i="1"/>
  <c r="FX95" i="1"/>
  <c r="EO142" i="1"/>
  <c r="DG142" i="1" l="1"/>
  <c r="DT95" i="1"/>
  <c r="EQ95" i="1"/>
  <c r="P150" i="1"/>
  <c r="EL26" i="1"/>
  <c r="P81" i="1"/>
  <c r="P72" i="1"/>
  <c r="EH26" i="1"/>
  <c r="EH172" i="1"/>
  <c r="CH26" i="1"/>
  <c r="AY63" i="1"/>
  <c r="DO22" i="1"/>
  <c r="DO202" i="1"/>
  <c r="P196" i="1"/>
  <c r="DQ26" i="1"/>
  <c r="P90" i="1"/>
  <c r="DQ172" i="1"/>
  <c r="F68" i="1"/>
  <c r="AV26" i="1"/>
  <c r="AV172" i="1"/>
  <c r="X26" i="1"/>
  <c r="F89" i="1"/>
  <c r="X172" i="1"/>
  <c r="CC95" i="1"/>
  <c r="AT142" i="1"/>
  <c r="FX26" i="1"/>
  <c r="EO63" i="1"/>
  <c r="Y26" i="1"/>
  <c r="F90" i="1"/>
  <c r="Y172" i="1"/>
  <c r="CA95" i="1"/>
  <c r="AR142" i="1"/>
  <c r="DN95" i="1"/>
  <c r="P165" i="1"/>
  <c r="DI22" i="1"/>
  <c r="DI202" i="1"/>
  <c r="P184" i="1"/>
  <c r="AX18" i="1"/>
  <c r="F209" i="1"/>
  <c r="AY95" i="1"/>
  <c r="F150" i="1"/>
  <c r="DK95" i="1"/>
  <c r="P157" i="1"/>
  <c r="P22" i="1"/>
  <c r="P202" i="1"/>
  <c r="F175" i="1"/>
  <c r="FW26" i="1"/>
  <c r="EN63" i="1"/>
  <c r="EP18" i="1"/>
  <c r="P209" i="1"/>
  <c r="BA18" i="1"/>
  <c r="F222" i="1"/>
  <c r="AW63" i="1"/>
  <c r="CF26" i="1"/>
  <c r="AV95" i="1"/>
  <c r="F147" i="1"/>
  <c r="DH26" i="1"/>
  <c r="P66" i="1"/>
  <c r="DH172" i="1"/>
  <c r="P169" i="1"/>
  <c r="DQ95" i="1"/>
  <c r="DG63" i="1"/>
  <c r="DT26" i="1"/>
  <c r="DL22" i="1"/>
  <c r="P193" i="1"/>
  <c r="DL202" i="1"/>
  <c r="EN95" i="1"/>
  <c r="P147" i="1"/>
  <c r="W95" i="1"/>
  <c r="F166" i="1"/>
  <c r="U22" i="1"/>
  <c r="F194" i="1"/>
  <c r="U202" i="1"/>
  <c r="FZ26" i="1"/>
  <c r="EQ63" i="1"/>
  <c r="T22" i="1"/>
  <c r="T202" i="1"/>
  <c r="F193" i="1"/>
  <c r="DM22" i="1"/>
  <c r="P194" i="1"/>
  <c r="DM202" i="1"/>
  <c r="EJ142" i="1"/>
  <c r="FS95" i="1"/>
  <c r="Q22" i="1"/>
  <c r="F184" i="1"/>
  <c r="Q202" i="1"/>
  <c r="O26" i="1"/>
  <c r="F65" i="1"/>
  <c r="O172" i="1"/>
  <c r="W172" i="1"/>
  <c r="DP26" i="1"/>
  <c r="P89" i="1"/>
  <c r="DP172" i="1"/>
  <c r="EO95" i="1"/>
  <c r="P148" i="1"/>
  <c r="GA26" i="1"/>
  <c r="ER63" i="1"/>
  <c r="FU95" i="1"/>
  <c r="EL142" i="1"/>
  <c r="EL172" i="1" s="1"/>
  <c r="AR63" i="1"/>
  <c r="CA26" i="1"/>
  <c r="S95" i="1"/>
  <c r="F157" i="1"/>
  <c r="AU18" i="1"/>
  <c r="F221" i="1"/>
  <c r="CC26" i="1"/>
  <c r="AT63" i="1"/>
  <c r="P78" i="1"/>
  <c r="DK26" i="1"/>
  <c r="DK172" i="1"/>
  <c r="O95" i="1"/>
  <c r="F144" i="1"/>
  <c r="V95" i="1"/>
  <c r="F165" i="1"/>
  <c r="V172" i="1"/>
  <c r="AP26" i="1"/>
  <c r="F72" i="1"/>
  <c r="AP172" i="1"/>
  <c r="X95" i="1"/>
  <c r="F168" i="1"/>
  <c r="AW95" i="1"/>
  <c r="F148" i="1"/>
  <c r="S172" i="1"/>
  <c r="DJ22" i="1"/>
  <c r="P186" i="1"/>
  <c r="DJ202" i="1"/>
  <c r="CI26" i="1"/>
  <c r="AZ63" i="1"/>
  <c r="R22" i="1"/>
  <c r="R202" i="1"/>
  <c r="F186" i="1"/>
  <c r="EJ63" i="1"/>
  <c r="FS26" i="1"/>
  <c r="EC95" i="1"/>
  <c r="DP142" i="1"/>
  <c r="F169" i="1"/>
  <c r="Y95" i="1"/>
  <c r="DN172" i="1"/>
  <c r="ES22" i="1"/>
  <c r="ES202" i="1"/>
  <c r="P192" i="1"/>
  <c r="H16" i="2" s="1"/>
  <c r="EL22" i="1" l="1"/>
  <c r="P190" i="1"/>
  <c r="F16" i="2" s="1"/>
  <c r="EL202" i="1"/>
  <c r="AT26" i="1"/>
  <c r="AT172" i="1"/>
  <c r="F81" i="1"/>
  <c r="X22" i="1"/>
  <c r="X202" i="1"/>
  <c r="F198" i="1"/>
  <c r="AY26" i="1"/>
  <c r="F71" i="1"/>
  <c r="AY172" i="1"/>
  <c r="R18" i="1"/>
  <c r="F216" i="1"/>
  <c r="EH22" i="1"/>
  <c r="P181" i="1"/>
  <c r="G16" i="2" s="1"/>
  <c r="EH202" i="1"/>
  <c r="EJ95" i="1"/>
  <c r="P170" i="1"/>
  <c r="AV22" i="1"/>
  <c r="AV202" i="1"/>
  <c r="F177" i="1"/>
  <c r="P18" i="1"/>
  <c r="F205" i="1"/>
  <c r="DH22" i="1"/>
  <c r="P175" i="1"/>
  <c r="DH202" i="1"/>
  <c r="DJ18" i="1"/>
  <c r="P216" i="1"/>
  <c r="DL18" i="1"/>
  <c r="P223" i="1"/>
  <c r="Y22" i="1"/>
  <c r="Y202" i="1"/>
  <c r="F199" i="1"/>
  <c r="F74" i="1"/>
  <c r="AZ26" i="1"/>
  <c r="AZ172" i="1"/>
  <c r="AP22" i="1"/>
  <c r="F181" i="1"/>
  <c r="V16" i="2" s="1"/>
  <c r="AP202" i="1"/>
  <c r="AW26" i="1"/>
  <c r="F69" i="1"/>
  <c r="AW172" i="1"/>
  <c r="AR26" i="1"/>
  <c r="F91" i="1"/>
  <c r="AR172" i="1"/>
  <c r="W22" i="1"/>
  <c r="F196" i="1"/>
  <c r="W202" i="1"/>
  <c r="O22" i="1"/>
  <c r="O202" i="1"/>
  <c r="F174" i="1"/>
  <c r="T18" i="1"/>
  <c r="F223" i="1"/>
  <c r="DP95" i="1"/>
  <c r="P168" i="1"/>
  <c r="EL95" i="1"/>
  <c r="P160" i="1"/>
  <c r="EQ26" i="1"/>
  <c r="P71" i="1"/>
  <c r="EQ172" i="1"/>
  <c r="EO26" i="1"/>
  <c r="P69" i="1"/>
  <c r="EO172" i="1"/>
  <c r="AR95" i="1"/>
  <c r="F170" i="1"/>
  <c r="S22" i="1"/>
  <c r="S202" i="1"/>
  <c r="F187" i="1"/>
  <c r="Y16" i="2" s="1"/>
  <c r="DK22" i="1"/>
  <c r="P187" i="1"/>
  <c r="J16" i="2" s="1"/>
  <c r="DK202" i="1"/>
  <c r="Q18" i="1"/>
  <c r="F214" i="1"/>
  <c r="DG26" i="1"/>
  <c r="P65" i="1"/>
  <c r="DG172" i="1"/>
  <c r="DP22" i="1"/>
  <c r="DP202" i="1"/>
  <c r="P198" i="1"/>
  <c r="ES18" i="1"/>
  <c r="P222" i="1"/>
  <c r="DN22" i="1"/>
  <c r="DN202" i="1"/>
  <c r="P195" i="1"/>
  <c r="P74" i="1"/>
  <c r="ER26" i="1"/>
  <c r="ER172" i="1"/>
  <c r="U18" i="1"/>
  <c r="F224" i="1"/>
  <c r="AT95" i="1"/>
  <c r="F160" i="1"/>
  <c r="DO18" i="1"/>
  <c r="P226" i="1"/>
  <c r="DM18" i="1"/>
  <c r="P224" i="1"/>
  <c r="V22" i="1"/>
  <c r="V202" i="1"/>
  <c r="F195" i="1"/>
  <c r="DQ22" i="1"/>
  <c r="P199" i="1"/>
  <c r="DQ202" i="1"/>
  <c r="EJ26" i="1"/>
  <c r="P91" i="1"/>
  <c r="EJ172" i="1"/>
  <c r="P68" i="1"/>
  <c r="EN26" i="1"/>
  <c r="EN172" i="1"/>
  <c r="DI18" i="1"/>
  <c r="P214" i="1"/>
  <c r="DG95" i="1"/>
  <c r="P144" i="1"/>
  <c r="AY22" i="1" l="1"/>
  <c r="F180" i="1"/>
  <c r="AY202" i="1"/>
  <c r="AR22" i="1"/>
  <c r="F200" i="1"/>
  <c r="AR202" i="1"/>
  <c r="S18" i="1"/>
  <c r="F217" i="1"/>
  <c r="X18" i="1"/>
  <c r="F228" i="1"/>
  <c r="DN18" i="1"/>
  <c r="P225" i="1"/>
  <c r="Y18" i="1"/>
  <c r="F229" i="1"/>
  <c r="DG22" i="1"/>
  <c r="DG202" i="1"/>
  <c r="P174" i="1"/>
  <c r="EH18" i="1"/>
  <c r="P211" i="1"/>
  <c r="AT22" i="1"/>
  <c r="AT202" i="1"/>
  <c r="F190" i="1"/>
  <c r="U16" i="2" s="1"/>
  <c r="X16" i="2" s="1"/>
  <c r="AC16" i="2" s="1"/>
  <c r="DK18" i="1"/>
  <c r="P217" i="1"/>
  <c r="DP18" i="1"/>
  <c r="P228" i="1"/>
  <c r="EO22" i="1"/>
  <c r="P178" i="1"/>
  <c r="EO202" i="1"/>
  <c r="AP18" i="1"/>
  <c r="F211" i="1"/>
  <c r="O18" i="1"/>
  <c r="F204" i="1"/>
  <c r="DH18" i="1"/>
  <c r="P205" i="1"/>
  <c r="EL18" i="1"/>
  <c r="P220" i="1"/>
  <c r="AV18" i="1"/>
  <c r="F207" i="1"/>
  <c r="AW22" i="1"/>
  <c r="F178" i="1"/>
  <c r="AW202" i="1"/>
  <c r="V18" i="1"/>
  <c r="F225" i="1"/>
  <c r="I16" i="2"/>
  <c r="N16" i="2" s="1"/>
  <c r="EN22" i="1"/>
  <c r="P177" i="1"/>
  <c r="EN202" i="1"/>
  <c r="EJ22" i="1"/>
  <c r="EJ202" i="1"/>
  <c r="P200" i="1"/>
  <c r="DQ18" i="1"/>
  <c r="P229" i="1"/>
  <c r="ER22" i="1"/>
  <c r="P183" i="1"/>
  <c r="ER202" i="1"/>
  <c r="EQ22" i="1"/>
  <c r="P180" i="1"/>
  <c r="EQ202" i="1"/>
  <c r="W18" i="1"/>
  <c r="F226" i="1"/>
  <c r="AZ22" i="1"/>
  <c r="AZ202" i="1"/>
  <c r="F183" i="1"/>
  <c r="EN18" i="1" l="1"/>
  <c r="P207" i="1"/>
  <c r="ER18" i="1"/>
  <c r="P213" i="1"/>
  <c r="EQ18" i="1"/>
  <c r="P210" i="1"/>
  <c r="AR18" i="1"/>
  <c r="F230" i="1"/>
  <c r="DG18" i="1"/>
  <c r="P204" i="1"/>
  <c r="AT18" i="1"/>
  <c r="F220" i="1"/>
  <c r="AW18" i="1"/>
  <c r="F208" i="1"/>
  <c r="AY18" i="1"/>
  <c r="F210" i="1"/>
  <c r="AZ18" i="1"/>
  <c r="F213" i="1"/>
  <c r="EJ18" i="1"/>
  <c r="P230" i="1"/>
  <c r="EO18" i="1"/>
  <c r="P208" i="1"/>
</calcChain>
</file>

<file path=xl/sharedStrings.xml><?xml version="1.0" encoding="utf-8"?>
<sst xmlns="http://schemas.openxmlformats.org/spreadsheetml/2006/main" count="6053" uniqueCount="466">
  <si>
    <t>Smeta.RU  (495) 974-1589</t>
  </si>
  <si>
    <t>_PS_</t>
  </si>
  <si>
    <t>Smeta.RU</t>
  </si>
  <si>
    <t/>
  </si>
  <si>
    <t>Капитальный ремонт здания Государственного бюджетного общеобразовательного учреждения города Москвы «Школа № 236» по адресу: г. Москва, ул. Клязьминская, д. 7, к. 4. I этап</t>
  </si>
  <si>
    <t>02-01-17</t>
  </si>
  <si>
    <t>02-01-17 СДС</t>
  </si>
  <si>
    <t>2024-00272-01-0-ИОС5.10</t>
  </si>
  <si>
    <t>Лукьянова А.Л.</t>
  </si>
  <si>
    <t>Сметные нормы списания</t>
  </si>
  <si>
    <t>Коды ОКП для ТСН-2001 МГЭ Дополнение 80</t>
  </si>
  <si>
    <t>ТСН-2001 (МГЭ) Доп 80 - Новое строительство</t>
  </si>
  <si>
    <t>Типовой расчет для ТСН-2001 МГЭ, Дополнение 80, строительство</t>
  </si>
  <si>
    <t>Территориальные сметные нормативы для Москвы ТСН-2001 (МГЭ), дополнение 80</t>
  </si>
  <si>
    <t>Поправки для ТСН-2001 от 03.02.2026 г. доп.80</t>
  </si>
  <si>
    <t>Территориальные сметные нормативы для Москвы (ТСН-2001)</t>
  </si>
  <si>
    <t>ТЕР</t>
  </si>
  <si>
    <t>Система двусторонней связи</t>
  </si>
  <si>
    <t>Оборудование</t>
  </si>
  <si>
    <t>1</t>
  </si>
  <si>
    <t>4.10-175-1</t>
  </si>
  <si>
    <t>Монтаж домового регистратора</t>
  </si>
  <si>
    <t>1  ШТ.</t>
  </si>
  <si>
    <t>ТСН-2001.4 Доп. 80, Сб. 10, т. 175, поз. 1</t>
  </si>
  <si>
    <t>*1,1</t>
  </si>
  <si>
    <t>Монтаж оборудования</t>
  </si>
  <si>
    <t>ТСН-2001.4-10. Прокладка и монтаж сетей связи</t>
  </si>
  <si>
    <t>ТСН-2001.4-10-1</t>
  </si>
  <si>
    <t>Поправка: Гл.12.Прил.8.п.8. 5_12.00.01.11.003</t>
  </si>
  <si>
    <t>1,1</t>
  </si>
  <si>
    <t>КА 1</t>
  </si>
  <si>
    <t>Монитор видеодомофона Модус-Н Vizit-M406</t>
  </si>
  <si>
    <t>шт.</t>
  </si>
  <si>
    <t>Сметная стоимость оборудования</t>
  </si>
  <si>
    <t>ТСН-2001.13. Сметная стоимость оборудования</t>
  </si>
  <si>
    <t>ТСН-2001.13</t>
  </si>
  <si>
    <t>[9 370 / 1,2 /  7,66] +  3% Трансп +  1,2% Заг.скл</t>
  </si>
  <si>
    <t>3</t>
  </si>
  <si>
    <t>1,2</t>
  </si>
  <si>
    <t>2</t>
  </si>
  <si>
    <t>4.10-177-1</t>
  </si>
  <si>
    <t>Монтаж устройства связи с согласующим устройством (вызывная панель)</t>
  </si>
  <si>
    <t>10 шт.</t>
  </si>
  <si>
    <t>ТСН-2001.4 Доп. 80, Сб. 10, т. 177, поз. 1</t>
  </si>
  <si>
    <t>2,1</t>
  </si>
  <si>
    <t>КА 2</t>
  </si>
  <si>
    <t>Вызывная панель Activision AVC-305</t>
  </si>
  <si>
    <t>[3 880 / 1,2 /  7,66] +  3% Трансп +  1,2% Заг.скл</t>
  </si>
  <si>
    <t>4.11-1-4</t>
  </si>
  <si>
    <t>Монтаж конструкции для установки приборов и средств автоматизации массой до 5 кг</t>
  </si>
  <si>
    <t>ТСН-2001.4 Доп. 79, Сб. 11, т. 1, поз. 4</t>
  </si>
  <si>
    <t>ТСН-2001.4-11. Приборы и средства автоматизации и вычислительной техники</t>
  </si>
  <si>
    <t>ТСН-2001.4-11-1</t>
  </si>
  <si>
    <t>3,1</t>
  </si>
  <si>
    <t>КА 3</t>
  </si>
  <si>
    <t>Стойка для вызывной панели AR-GO STS-03</t>
  </si>
  <si>
    <t>[6 350 / 1,2 /  9,88] +  2% Заг.скл</t>
  </si>
  <si>
    <t>0</t>
  </si>
  <si>
    <t>4</t>
  </si>
  <si>
    <t>4.10-152-5</t>
  </si>
  <si>
    <t>Сигнализация дистанционная, блок оконечный</t>
  </si>
  <si>
    <t>ТСН-2001.4. Доп. 1-42. Сб. 10, т. 152, поз. 5</t>
  </si>
  <si>
    <t>4,1</t>
  </si>
  <si>
    <t>КА 5</t>
  </si>
  <si>
    <t>Локальный блок связи Тромбон ЛБС</t>
  </si>
  <si>
    <t>[106 042,16 / 1,2 /  7,66] +  3% Трансп +  1,2% Заг.скл</t>
  </si>
  <si>
    <t>4,2</t>
  </si>
  <si>
    <t>13.1-1-20</t>
  </si>
  <si>
    <t>Батарея аккумуляторная, емкость 7 А·ч, напряжение 12 В</t>
  </si>
  <si>
    <t>5</t>
  </si>
  <si>
    <t>4.10-151-2</t>
  </si>
  <si>
    <t>Установка пульта или табло вызывной сигнализации с количеством сигналов до 10</t>
  </si>
  <si>
    <t>ТСН-2001.4 Доп. 67, Сб. 10, т. 151, поз. 2</t>
  </si>
  <si>
    <t>5,1</t>
  </si>
  <si>
    <t>КА 6</t>
  </si>
  <si>
    <t>Пульт диспетчера Тромбон ПД</t>
  </si>
  <si>
    <t>[80 599,79 / 1,2 /  7,66] +  3% Трансп +  1,2% Заг.скл</t>
  </si>
  <si>
    <t>6</t>
  </si>
  <si>
    <t>6,1</t>
  </si>
  <si>
    <t>КА 7</t>
  </si>
  <si>
    <t>Абонентское вызывное устройство Тромбон АВУ</t>
  </si>
  <si>
    <t>[29 461 / 1,2 /  7,66] +  3% Трансп +  1,2% Заг.скл</t>
  </si>
  <si>
    <t>7</t>
  </si>
  <si>
    <t>4.10-151-1</t>
  </si>
  <si>
    <t>Установка пульта или табло вызывной сигнализации с количеством сигналов до 5</t>
  </si>
  <si>
    <t>ТСН-2001.4 Доп. 67, Сб. 10, т. 151, поз. 1</t>
  </si>
  <si>
    <t>7,1</t>
  </si>
  <si>
    <t>КА 8</t>
  </si>
  <si>
    <t>Светозвуковое табло Тромбон ИСТ</t>
  </si>
  <si>
    <t>[11 232 / 1,2 /  7,66] +  3% Трансп +  1,2% Заг.скл</t>
  </si>
  <si>
    <t>8</t>
  </si>
  <si>
    <t>4.10-76-10</t>
  </si>
  <si>
    <t>Монтаж ключа или кнопки на панели</t>
  </si>
  <si>
    <t>ТСН-2001.4 Доп. 79, Сб. 10, т. 76, поз. 10</t>
  </si>
  <si>
    <t>ТСН-2001.4-10. Монтаж радиотелевизионного и электронного оборудования</t>
  </si>
  <si>
    <t>ТСН-2001.4-10-2</t>
  </si>
  <si>
    <t>8,1</t>
  </si>
  <si>
    <t>КА 9</t>
  </si>
  <si>
    <t>Устройство вызов/сброс Тромбон-ВС-С</t>
  </si>
  <si>
    <t>[8 520 / 1,2 /  7,66] +  3% Трансп +  1,2% Заг.скл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</si>
  <si>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</si>
  <si>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</si>
  <si>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</si>
  <si>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</si>
  <si>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</si>
  <si>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</si>
  <si>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</si>
  <si>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</si>
  <si>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</si>
  <si>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</si>
  <si>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</si>
  <si>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</si>
  <si>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</si>
  <si>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</si>
  <si>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</si>
  <si>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</si>
  <si>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</si>
  <si>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</si>
  <si>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</si>
  <si>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</si>
  <si>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</si>
  <si>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</si>
  <si>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</si>
  <si>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</si>
  <si>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</si>
  <si>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</si>
  <si>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</si>
  <si>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</si>
  <si>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</si>
  <si>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</si>
  <si>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</si>
  <si>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</si>
  <si>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</si>
  <si>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</si>
  <si>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</si>
  <si>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</si>
  <si>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</si>
  <si>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</si>
  <si>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</si>
  <si>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</si>
  <si>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</si>
  <si>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</si>
  <si>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</si>
  <si>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</si>
  <si>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</si>
  <si>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</si>
  <si>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</si>
  <si>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</si>
  <si>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</si>
  <si>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</si>
  <si>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</si>
  <si>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</si>
  <si>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</si>
  <si>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</si>
  <si>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Кабельные изделия и материалы</t>
  </si>
  <si>
    <t>9</t>
  </si>
  <si>
    <t>4.10-186-5</t>
  </si>
  <si>
    <t>Прокладка кабеля связи симметричного для цифровых систем передачи в трубах гофрированных: по бетонным и кирпичным поверхностям стен и потолка</t>
  </si>
  <si>
    <t>100 м</t>
  </si>
  <si>
    <t>ТСН-2001.4 Доп. 79, Сб. 10, т. 186, поз. 5</t>
  </si>
  <si>
    <t>9,1</t>
  </si>
  <si>
    <t>1.12-5-42</t>
  </si>
  <si>
    <t>Трубы из непластифицированного вторичного ПВХ, гладкие, самозатухающие, усиленного типа, наружный диаметр 20 мм, толщина стенки 1,5 мм, для электропроводок</t>
  </si>
  <si>
    <t>м</t>
  </si>
  <si>
    <t>ТСН-2001.1 Доп. 67, Р. 12, о. 5, поз. 42</t>
  </si>
  <si>
    <t>9,2</t>
  </si>
  <si>
    <t>1.12-5-43</t>
  </si>
  <si>
    <t>Трубы из непластифицированного вторичного ПВХ, гладкие, самозатухающие, усиленного типа, наружный диаметр 25 мм, толщина стенки 1,5 мм, для электропроводок</t>
  </si>
  <si>
    <t>ТСН-2001.1 Доп. 67, Р. 12, о. 5, поз. 43</t>
  </si>
  <si>
    <t>9,3</t>
  </si>
  <si>
    <t>1.21-5-1136</t>
  </si>
  <si>
    <t>Держатель пластиковый с защелкой для крепления труб, рукавов и гибких вводов диаметром 20 мм</t>
  </si>
  <si>
    <t>100 шт.</t>
  </si>
  <si>
    <t>ТСН-2001.1 Доп. 73, Р. 21, о. 5, поз. 1136</t>
  </si>
  <si>
    <t>9,4</t>
  </si>
  <si>
    <t>1.21-5-1137</t>
  </si>
  <si>
    <t>Держатель пластиковый с защелкой для крепления труб, рукавов и гибких вводов диаметром 25 мм</t>
  </si>
  <si>
    <t>ТСН-2001.1 Доп. 79, Р. 21, о. 5, поз. 1137</t>
  </si>
  <si>
    <t>9,5</t>
  </si>
  <si>
    <t>КА 4</t>
  </si>
  <si>
    <t>Кабель U/UTP Cat5e PVCLSнг(А)-LSLTx 2х2х0,52 мм</t>
  </si>
  <si>
    <t>км</t>
  </si>
  <si>
    <t>[55 000 / 1,2 /  9,88] +  2% Заг.скл</t>
  </si>
  <si>
    <t>9,6</t>
  </si>
  <si>
    <t>КА 10</t>
  </si>
  <si>
    <t>Кабель КИС-РВнг(А)-LSLTx 4х2х0,64 мм</t>
  </si>
  <si>
    <t>[608 570 / 1,2 /  9,88] +  2% Заг.скл</t>
  </si>
  <si>
    <t>9,7</t>
  </si>
  <si>
    <t>КА 11</t>
  </si>
  <si>
    <t>Кабель КИС-РВнг(А)-LSLTx 2х2х0,64 мм</t>
  </si>
  <si>
    <t>[310 000 / 1,2 /  9,88] +  2% Заг.скл</t>
  </si>
  <si>
    <t>9,8</t>
  </si>
  <si>
    <t>КА 12</t>
  </si>
  <si>
    <t>Кабель КСПЭнг(А)-LSLTx 2х2х0,5 мм</t>
  </si>
  <si>
    <t>[45 270 / 1,2 /  9,88] +  2% Заг.скл</t>
  </si>
  <si>
    <t>4.8-175-1</t>
  </si>
  <si>
    <t>Затягивание провода в проложенные трубы и металлические рукава, первого одножильного или многожильного в общей оплетке, суммарное сечение до 2,5 мм2</t>
  </si>
  <si>
    <t>ТСН-2001.4 Доп. 71, Сб. 8, т. 175, поз. 1</t>
  </si>
  <si>
    <t>ТСН-2001.4-8. Электротехнические установки</t>
  </si>
  <si>
    <t>ТСН-2001.4-8-1</t>
  </si>
  <si>
    <t>4.8-172-1</t>
  </si>
  <si>
    <t>Прокладка по установленным конструкциям, по стенам и колоннам с креплением скобами винипластовой трубы диаметром до 25 мм</t>
  </si>
  <si>
    <t>ТСН-2001.4 Доп. 80, Сб. 8, т. 172, поз. 1</t>
  </si>
  <si>
    <t>4.8-175-9</t>
  </si>
  <si>
    <t>Добавлять на затягивание провода в проложенные трубы и металлические рукава каждого последующего одножильного или многожильного в общей оплетке, суммарное сечение до 6 мм2 (к нормам и расценкам 8-175-1 и 8-175-2)</t>
  </si>
  <si>
    <t>ТСН-2001.4 Доп. 80, Сб. 8, т. 175, поз. 9</t>
  </si>
  <si>
    <t>4.8-172-2</t>
  </si>
  <si>
    <t>Прокладка по установленным конструкциям, по стенам и колоннам с креплением скобами винипластовой трубы диаметром до 50 мм</t>
  </si>
  <si>
    <t>ТСН-2001.4 Доп. 80, Сб. 8, т. 172, поз. 2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</si>
  <si>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</si>
  <si>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</si>
  <si>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</si>
  <si>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</si>
  <si>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</si>
  <si>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3.27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</si>
  <si>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</si>
  <si>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3.29 Отдел 1.5; табл. 3.29-1905...1906</t>
  </si>
  <si>
    <t>4.10_МЕЖГ</t>
  </si>
  <si>
    <t>{вкл} - Прокладка и монтаж междугородных линий связи  {выкл} - Прокладка и монтаж сетей связи  4.10 Раздел 1.7.3...1.7.5</t>
  </si>
  <si>
    <t>Текущий уровень цен</t>
  </si>
  <si>
    <t>Сборник индексов</t>
  </si>
  <si>
    <t>Коэффициенты к ТСН-2001 МГЭ Дополнение 80, строительство</t>
  </si>
  <si>
    <t>217/80</t>
  </si>
  <si>
    <t>Коэффициенты к ТСН-2001.13-2 Дополнение 46</t>
  </si>
  <si>
    <t>62/46</t>
  </si>
  <si>
    <t>Базовый уровень цен</t>
  </si>
  <si>
    <t>_OBSM_</t>
  </si>
  <si>
    <t>9999990008</t>
  </si>
  <si>
    <t>Трудозатраты рабочих</t>
  </si>
  <si>
    <t>чел.-ч.</t>
  </si>
  <si>
    <t>2.1-18-7</t>
  </si>
  <si>
    <t>ТСН-2001.2. Доп. 68. п.1-18-7 (183001)</t>
  </si>
  <si>
    <t>Автомобили грузовые бортовые, грузоподъемность до 5 т</t>
  </si>
  <si>
    <t>маш.-ч</t>
  </si>
  <si>
    <t>2.1-30-56</t>
  </si>
  <si>
    <t>ТСН-2001.2. Доп. 68. п.1-30-56 (309101)</t>
  </si>
  <si>
    <t>Шуруповерты</t>
  </si>
  <si>
    <t>1.1-1-2381</t>
  </si>
  <si>
    <t>ТСН-2001.1 Доп. 79, Р. 1, о. 1, поз. 2381</t>
  </si>
  <si>
    <t>Винты с полукруглой головкой, М6х10</t>
  </si>
  <si>
    <t>т</t>
  </si>
  <si>
    <t>1.1-1-946</t>
  </si>
  <si>
    <t>ТСН-2001.1 Доп. 79, Р. 1, о. 1, поз. 946</t>
  </si>
  <si>
    <t>Припой оловянно-свинцовый, в прутках, диаметр 8 мм, типа ПОС-61</t>
  </si>
  <si>
    <t>4442400000</t>
  </si>
  <si>
    <t>Домовые регистраторы</t>
  </si>
  <si>
    <t>2.1-30-102</t>
  </si>
  <si>
    <t>ТСН-2001.2. Доп. 68. п.1-30-102 (303704)</t>
  </si>
  <si>
    <t>Дрели, мощность до 800 Вт</t>
  </si>
  <si>
    <t>4372900000</t>
  </si>
  <si>
    <t>Устройства связи с согласующими устройствами (вызывные панели)</t>
  </si>
  <si>
    <t>2.1-13-14</t>
  </si>
  <si>
    <t>ТСН-2001.2. Доп. 68. п.1-13-14 (136001)</t>
  </si>
  <si>
    <t>Аппараты сварочные постоянного тока (выпрямители) для ручной дуговой сварки, сварочный ток до 500 А</t>
  </si>
  <si>
    <t>2.1-14-12</t>
  </si>
  <si>
    <t>ТСН-2001.2. Доп. 62. п.1-14-12 (148201)</t>
  </si>
  <si>
    <t>Краскопульты электрические</t>
  </si>
  <si>
    <t>2.1-30-37</t>
  </si>
  <si>
    <t>ТСН-2001.2. Доп. 68. п.1-30-37 (307101)</t>
  </si>
  <si>
    <t>Станки вертикально-сверлильные</t>
  </si>
  <si>
    <t>2.1-30-63</t>
  </si>
  <si>
    <t>ТСН-2001.2. Доп. 68. п.1-30-63 (330901)</t>
  </si>
  <si>
    <t>Ножницы листовые кривошипные (гильотинные)</t>
  </si>
  <si>
    <t>2.1-30-68</t>
  </si>
  <si>
    <t>ТСН-2001.2. Доп. 68. п.1-30-68 (340301)</t>
  </si>
  <si>
    <t>Прессы кривошипные простого действия, номинальное усилие до 25 кН</t>
  </si>
  <si>
    <t>2.1-30-69</t>
  </si>
  <si>
    <t>ТСН-2001.2. Доп. 68. п.1-30-69 (340320)</t>
  </si>
  <si>
    <t>Прессы листогибочные, номинальное усилие до 1000 кН</t>
  </si>
  <si>
    <t>1.1-1-1103</t>
  </si>
  <si>
    <t>ТСН-2001.1 Доп. 79, Р. 1, о. 1, поз. 1103</t>
  </si>
  <si>
    <t>Прокат листовой, из стали углеродистой обыкновенного качества, полуспокойной, толщина более 4 мм</t>
  </si>
  <si>
    <t>1.1-1-1566</t>
  </si>
  <si>
    <t>ТСН-2001.1 Доп. 79, Р. 1, о. 1, поз. 1566</t>
  </si>
  <si>
    <t>Электроды, типа Э-42, Э-46, Э-50, диаметр от 4 до 6 мм</t>
  </si>
  <si>
    <t>1.1-1-165</t>
  </si>
  <si>
    <t>ТСН-2001.1 Доп. 79, Р. 1, о. 1, поз. 165</t>
  </si>
  <si>
    <t>Грунтовка глифталевая, типа ГФ-021</t>
  </si>
  <si>
    <t>1.1-1-238</t>
  </si>
  <si>
    <t>ТСН-2001.1 Доп. 80, Р. 1, о. 1, поз. 238</t>
  </si>
  <si>
    <t>Дюбель пластмассовый</t>
  </si>
  <si>
    <t>1.1-1-3599</t>
  </si>
  <si>
    <t>ТСН-2001.1 Доп. 79, Р. 1, о. 1, поз. 3599</t>
  </si>
  <si>
    <t>Эмаль перхлорвиниловая, цветная, типа ХВ-1100</t>
  </si>
  <si>
    <t>кг</t>
  </si>
  <si>
    <t>1.1-1-995</t>
  </si>
  <si>
    <t>ТСН-2001.1 Доп. 79, Р. 1, о. 1, поз. 995</t>
  </si>
  <si>
    <t>Растворитель типа Р-4</t>
  </si>
  <si>
    <t>1.1-1-999</t>
  </si>
  <si>
    <t>ТСН-2001.1 Доп. 79, Р. 1, о. 1, поз. 999</t>
  </si>
  <si>
    <t>Растворитель "Уайт-спирит"</t>
  </si>
  <si>
    <t>1.21-5-753</t>
  </si>
  <si>
    <t>ТСН-2001.1 Доп. 79, Р. 21, о. 5, поз. 753</t>
  </si>
  <si>
    <t>Швеллер перфорированный, окрашенный, типа К-240 У2, размеры 60х32х2000 мм, толщина стенки 2,5 мм</t>
  </si>
  <si>
    <t>1297020000</t>
  </si>
  <si>
    <t>Болты строительные с гайками и шайбами (1297030000, 1610000000, 1620000000, 1680000000)</t>
  </si>
  <si>
    <t>6652000000</t>
  </si>
  <si>
    <t>Пульты или табло вызывной сигнализации</t>
  </si>
  <si>
    <t>1.1-1-945</t>
  </si>
  <si>
    <t>ТСН-2001.1 Доп. 79, Р. 1, о. 1, поз. 945</t>
  </si>
  <si>
    <t>Припой оловянно-свинцовый, в прутках, диаметр 8 мм, типа ПОС-40</t>
  </si>
  <si>
    <t>1.23-11-3</t>
  </si>
  <si>
    <t>ТСН-2001.1 Доп. 79, Р. 23, о. 11, поз. 3</t>
  </si>
  <si>
    <t>Провод монтажный с гибкой жилой из медной луженой проволоки с комбинированной волокнистой и поливинилхлоридной изоляцией, марка МГШВ, напряжение 1000 В, число жил и сечение 1х0,35 мм2</t>
  </si>
  <si>
    <t>3428400000</t>
  </si>
  <si>
    <t>Ключи или кнопки пусковые</t>
  </si>
  <si>
    <t>2.1-30-10</t>
  </si>
  <si>
    <t>ТСН-2001.2. Доп. 68. п.1-30-10 (304101)</t>
  </si>
  <si>
    <t>Перфораторы, мощность до 800 Вт</t>
  </si>
  <si>
    <t>1.1-1-2494</t>
  </si>
  <si>
    <t>ТСН-2001.1 Доп. 79, Р. 1, о. 1, поз. 2494</t>
  </si>
  <si>
    <t>Шурупы-саморезы, диаметр 3,5 мм, длина 45 мм</t>
  </si>
  <si>
    <t>1.1-1-3693</t>
  </si>
  <si>
    <t>ТСН-2001.1 Доп. 80, Р. 1, о. 1, поз. 3693</t>
  </si>
  <si>
    <t>Дюбель распорный пластмассовый, диаметр 6 мм, длина 40 мм</t>
  </si>
  <si>
    <t>1.21-5-1180</t>
  </si>
  <si>
    <t>ТСН-2001.1 Доп. 79, Р. 21, о. 5, поз. 1180</t>
  </si>
  <si>
    <t>Бирка маркировочная для кабелей и проводов, типа У134 У3,5</t>
  </si>
  <si>
    <t>1000 шт.</t>
  </si>
  <si>
    <t>1.21-5-926</t>
  </si>
  <si>
    <t>ТСН-2001.1 Доп. 67, Р. 21, о. 5, поз. 926</t>
  </si>
  <si>
    <t>Хомут (стяжка) кабельный из полиамида, размеры 3,6х200 мм</t>
  </si>
  <si>
    <t>1.7-3-130</t>
  </si>
  <si>
    <t>ТСН-2001.1 Доп. 65, Р. 7, о. 3, поз. 130</t>
  </si>
  <si>
    <t>Бур с наконечником из твердого сплава, с хвостовиком SDS-plus, диаметр 6 мм, длина 210 мм</t>
  </si>
  <si>
    <t>2248200000</t>
  </si>
  <si>
    <t>Трубы электротехнические гофрированные (2248100000)</t>
  </si>
  <si>
    <t>3449651000</t>
  </si>
  <si>
    <t>Держатели пластиковые для крепления труб</t>
  </si>
  <si>
    <t>3574100000</t>
  </si>
  <si>
    <t>Кабели связи симметричные (3573110000)</t>
  </si>
  <si>
    <t>2.1-3-38</t>
  </si>
  <si>
    <t>ТСН-2001.2. Доп. 68. п.1-3-38 (032009)</t>
  </si>
  <si>
    <t>Краны на автомобильном ходу, грузоподъемность до 16 т</t>
  </si>
  <si>
    <t>1.1-1-1257</t>
  </si>
  <si>
    <t>ТСН-2001.1 Доп. 79, Р. 1, о. 1, поз. 1257</t>
  </si>
  <si>
    <t>Тальк молотый</t>
  </si>
  <si>
    <t>1.1-1-1723</t>
  </si>
  <si>
    <t>ТСН-2001.1 Доп. 79, Р. 1, о. 1, поз. 1723</t>
  </si>
  <si>
    <t>Лента изоляционная, прорезиненная, односторонняя</t>
  </si>
  <si>
    <t>1.21-5-1543</t>
  </si>
  <si>
    <t>ТСН-2001.1 Доп. 65, Р. 21, о. 5, поз. 1543</t>
  </si>
  <si>
    <t>Гильзы кабельные медные типа ГМ 2,5</t>
  </si>
  <si>
    <t>1.21-5-1554</t>
  </si>
  <si>
    <t>ТСН-2001.1 Доп. 65, Р. 21, о. 5, поз. 1554</t>
  </si>
  <si>
    <t>Втулка трубная, полипропиленовая, диаметр 17 мм</t>
  </si>
  <si>
    <t>1.21-5-750</t>
  </si>
  <si>
    <t>ТСН-2001.1 Доп. 73, Р. 21, о. 5, поз. 750</t>
  </si>
  <si>
    <t>Сжим, типа У 739М для проводников магистральных сечением от 4 до 10 мм2 и ответвительных сечением от 1,5 до 2,5 мм2</t>
  </si>
  <si>
    <t>1.21-5-757</t>
  </si>
  <si>
    <t>ТСН-2001.1 Доп. 73, Р. 21, о. 5, поз. 757</t>
  </si>
  <si>
    <t>Зажим соединительно-изолирующий, типа СИЗ-2</t>
  </si>
  <si>
    <t>3500000000</t>
  </si>
  <si>
    <t>Провода (марка и сечение по проекту)</t>
  </si>
  <si>
    <t>1.1-1-1669</t>
  </si>
  <si>
    <t>ТСН-2001.1 Доп. 79, Р. 1, о. 1, поз. 1669</t>
  </si>
  <si>
    <t>Электроды, типа Э-42А, диаметр от 4 до 6 мм</t>
  </si>
  <si>
    <t>1.1-1-237</t>
  </si>
  <si>
    <t>ТСН-2001.1 Доп. 67, Р. 1, о. 1, поз. 237</t>
  </si>
  <si>
    <t>Дюбель с патроном</t>
  </si>
  <si>
    <t>1.1-1-3510</t>
  </si>
  <si>
    <t>ТСН-2001.1 Доп. 79, Р. 1, о. 1, поз. 3510</t>
  </si>
  <si>
    <t>Клей полимерный, универсальный, водостойкий</t>
  </si>
  <si>
    <t>л</t>
  </si>
  <si>
    <t>1.1-1-967</t>
  </si>
  <si>
    <t>ТСН-2001.1 Доп. 79, Р. 1, о. 1, поз. 967</t>
  </si>
  <si>
    <t>Проволока стальная низкоуглеродистая общего назначения оцинкованная, диаметр от 1,6 до 3,0 мм</t>
  </si>
  <si>
    <t>1.21-5-1561</t>
  </si>
  <si>
    <t>ТСН-2001.1 Доп. 65, Р. 21, о. 5, поз. 1561</t>
  </si>
  <si>
    <t>Заглушка трубная полиэтиленовая У469</t>
  </si>
  <si>
    <t>1.21-5-872</t>
  </si>
  <si>
    <t>ТСН-2001.1 Доп. 79, Р. 21, о. 5, поз. 872</t>
  </si>
  <si>
    <t>Скоба двухлапковая стальная оцинкованная, для кабелей диаметром от 25 до 26</t>
  </si>
  <si>
    <t>2248210000</t>
  </si>
  <si>
    <t>Трубы винипластовые</t>
  </si>
  <si>
    <t>3449650000</t>
  </si>
  <si>
    <t>Патрубки (2248208000)</t>
  </si>
  <si>
    <t>3449652000</t>
  </si>
  <si>
    <t>Втулки изолирующие</t>
  </si>
  <si>
    <t>3464740000</t>
  </si>
  <si>
    <t>Коробки для соединения проводов (3434200000)</t>
  </si>
  <si>
    <t>1.21-5-1555</t>
  </si>
  <si>
    <t>ТСН-2001.1 Доп. 79, Р. 21, о. 5, поз. 1555</t>
  </si>
  <si>
    <t>Втулка трубная, полипропиленовая, диаметр 22 мм</t>
  </si>
  <si>
    <t>1.21-5-758</t>
  </si>
  <si>
    <t>ТСН-2001.1 Доп. 79, Р. 21, о. 5, поз. 758</t>
  </si>
  <si>
    <t>Зажим соединительно-изолирующий, типа СИЗ-3</t>
  </si>
  <si>
    <t>1.21-5-873</t>
  </si>
  <si>
    <t>ТСН-2001.1 Доп. 79, Р. 21, о. 5, поз. 873</t>
  </si>
  <si>
    <t>Скоба двухлапковая стальная оцинкованная, для кабелей диаметром от 48 до 50 мм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</si>
  <si>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</si>
  <si>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</si>
  <si>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</si>
  <si>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</si>
  <si>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</si>
  <si>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Строительные работы</t>
  </si>
  <si>
    <t>Работы по монтажу оборудования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</si>
  <si>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</si>
  <si>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</si>
  <si>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</si>
  <si>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</si>
  <si>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</si>
  <si>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</si>
  <si>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</si>
  <si>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</si>
  <si>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</si>
  <si>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</si>
  <si>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</si>
  <si>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</si>
  <si>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</si>
  <si>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</si>
  <si>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Форма № 4б</t>
  </si>
  <si>
    <t>Капитальный ремонт здания Государственного бюджетного общеобразовательного учреждения города Москвы «Школа № 236» по адресу: г. Москва, ул. Клязьминская, д. 7, к. 4. I этап. 02-01-17 СДС</t>
  </si>
  <si>
    <t>Составлен(а) по ТСН-2001 с учетом Дополнения №: 80</t>
  </si>
  <si>
    <t>№ и период сборника коэффициентов (индексов) пересчета: Коэффициенты к ТСН-2001 МГЭ Дополнение 80, строительство №217/80 III квартал 2025 года и Коэффициенты к ТСН-2001.13-2 Дополнение 46 №62/46 III квартал 2025 года</t>
  </si>
  <si>
    <t>Всего в
ценах на
январь 2000 года,
руб.</t>
  </si>
  <si>
    <r>
      <t>4.10-175-1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</si>
  <si>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t>ЗП</t>
  </si>
  <si>
    <t>ЭМ</t>
  </si>
  <si>
    <t>в т.ч. ЗПМ</t>
  </si>
  <si>
    <t>МР</t>
  </si>
  <si>
    <r>
      <t>ОБОРУДОВАНИЕ:_x000D_
Монитор видеодомофона Модус-Н Vizit-M406</t>
    </r>
    <r>
      <rPr>
        <i/>
        <sz val="10"/>
        <color rgb="FF821E82"/>
        <rFont val="Arial"/>
        <family val="2"/>
        <charset val="204"/>
      </rPr>
      <t xml:space="preserve">
1 062,54 = [9 370 / 1,2 /  7,66] +  3% Трансп +  1,2% Заг.скл</t>
    </r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</si>
  <si>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</si>
  <si>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</si>
  <si>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</si>
  <si>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</si>
  <si>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</si>
  <si>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</si>
  <si>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</si>
  <si>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</si>
  <si>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r>
      <t>4.10-177-1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</si>
  <si>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ОБОРУДОВАНИЕ:_x000D_
Вызывная панель Activision AVC-305</t>
    </r>
    <r>
      <rPr>
        <i/>
        <sz val="10"/>
        <color rgb="FF821E82"/>
        <rFont val="Arial"/>
        <family val="2"/>
        <charset val="204"/>
      </rPr>
      <t xml:space="preserve">
439,99 = [3 880 / 1,2 /  7,66] +  3% Трансп +  1,2% Заг.скл</t>
    </r>
  </si>
  <si>
    <r>
      <t>4.11-1-4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</si>
  <si>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Стойка для вызывной панели AR-GO STS-03</t>
    </r>
    <r>
      <rPr>
        <i/>
        <sz val="10"/>
        <rFont val="Arial"/>
        <family val="2"/>
        <charset val="204"/>
      </rPr>
      <t xml:space="preserve">
546,30 = [6 350 / 1,2 /  9,88] +  2% Заг.скл</t>
    </r>
  </si>
  <si>
    <r>
      <t>4.10-152-5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</si>
  <si>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ОБОРУДОВАНИЕ:_x000D_
Локальный блок связи Тромбон ЛБС</t>
    </r>
    <r>
      <rPr>
        <i/>
        <sz val="10"/>
        <color rgb="FF821E82"/>
        <rFont val="Arial"/>
        <family val="2"/>
        <charset val="204"/>
      </rPr>
      <t xml:space="preserve">
12 025,03 = [106 042,16 / 1,2 /  7,66] +  3% Трансп +  1,2% Заг.скл</t>
    </r>
  </si>
  <si>
    <t>ОБОРУДОВАНИЕ:_x000D_
Батарея аккумуляторная, емкость 7 А·ч, напряжение 12 В</t>
  </si>
  <si>
    <r>
      <t>4.10-151-2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</si>
  <si>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ОБОРУДОВАНИЕ:_x000D_
Пульт диспетчера Тромбон ПД</t>
    </r>
    <r>
      <rPr>
        <i/>
        <sz val="10"/>
        <color rgb="FF821E82"/>
        <rFont val="Arial"/>
        <family val="2"/>
        <charset val="204"/>
      </rPr>
      <t xml:space="preserve">
9 139,90 = [80 599,79 / 1,2 /  7,66] +  3% Трансп +  1,2% Заг.скл</t>
    </r>
  </si>
  <si>
    <r>
      <t>ОБОРУДОВАНИЕ:_x000D_
Абонентское вызывное устройство Тромбон АВУ</t>
    </r>
    <r>
      <rPr>
        <i/>
        <sz val="10"/>
        <color rgb="FF821E82"/>
        <rFont val="Arial"/>
        <family val="2"/>
        <charset val="204"/>
      </rPr>
      <t xml:space="preserve">
3 340,83 = [29 461 / 1,2 /  7,66] +  3% Трансп +  1,2% Заг.скл</t>
    </r>
  </si>
  <si>
    <r>
      <t>4.10-151-1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</si>
  <si>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ОБОРУДОВАНИЕ:_x000D_
Светозвуковое табло Тромбон ИСТ</t>
    </r>
    <r>
      <rPr>
        <i/>
        <sz val="10"/>
        <color rgb="FF821E82"/>
        <rFont val="Arial"/>
        <family val="2"/>
        <charset val="204"/>
      </rPr>
      <t xml:space="preserve">
1 273,69 = [11 232 / 1,2 /  7,66] +  3% Трансп +  1,2% Заг.скл</t>
    </r>
  </si>
  <si>
    <r>
      <t>4.10-76-10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</si>
  <si>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ОБОРУДОВАНИЕ:_x000D_
Устройство вызов/сброс Тромбон-ВС-С</t>
    </r>
    <r>
      <rPr>
        <i/>
        <sz val="10"/>
        <color rgb="FF821E82"/>
        <rFont val="Arial"/>
        <family val="2"/>
        <charset val="204"/>
      </rPr>
      <t xml:space="preserve">
966,16 = [8 520 / 1,2 /  7,66] +  3% Трансп +  1,2% Заг.скл</t>
    </r>
  </si>
  <si>
    <t xml:space="preserve">   Итого по ТСН-2001.16</t>
  </si>
  <si>
    <t xml:space="preserve">   Итого возвратных сумм</t>
  </si>
  <si>
    <r>
      <t>4.10-186-5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</si>
  <si>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Кабель U/UTP Cat5e PVCLSнг(А)-LSLTx 2х2х0,52 мм</t>
    </r>
    <r>
      <rPr>
        <i/>
        <sz val="10"/>
        <rFont val="Arial"/>
        <family val="2"/>
        <charset val="204"/>
      </rPr>
      <t xml:space="preserve">
4 731,78 = [55 000 / 1,2 /  9,88] +  2% Заг.скл</t>
    </r>
  </si>
  <si>
    <r>
      <t>Кабель КИС-РВнг(А)-LSLTx 4х2х0,64 мм</t>
    </r>
    <r>
      <rPr>
        <i/>
        <sz val="10"/>
        <rFont val="Arial"/>
        <family val="2"/>
        <charset val="204"/>
      </rPr>
      <t xml:space="preserve">
52 356,73 = [608 570 / 1,2 /  9,88] +  2% Заг.скл</t>
    </r>
  </si>
  <si>
    <r>
      <t>Кабель КИС-РВнг(А)-LSLTx 2х2х0,64 мм</t>
    </r>
    <r>
      <rPr>
        <i/>
        <sz val="10"/>
        <rFont val="Arial"/>
        <family val="2"/>
        <charset val="204"/>
      </rPr>
      <t xml:space="preserve">
26 670,04 = [310 000 / 1,2 /  9,88] +  2% Заг.скл</t>
    </r>
  </si>
  <si>
    <r>
      <t>Кабель КСПЭнг(А)-LSLTx 2х2х0,5 мм</t>
    </r>
    <r>
      <rPr>
        <i/>
        <sz val="10"/>
        <rFont val="Arial"/>
        <family val="2"/>
        <charset val="204"/>
      </rPr>
      <t xml:space="preserve">
3 894,69 = [45 270 / 1,2 /  9,88] +  2% Заг.скл</t>
    </r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</si>
  <si>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</si>
  <si>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</si>
  <si>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</si>
  <si>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</si>
  <si>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>"УТВЕРЖДАЮ"</t>
  </si>
  <si>
    <t>___________________________</t>
  </si>
  <si>
    <t>" ___ " ___________ 20 ___ г.</t>
  </si>
  <si>
    <t>№ в ЛСР</t>
  </si>
  <si>
    <t>Единица измерения</t>
  </si>
  <si>
    <t>Количество</t>
  </si>
  <si>
    <t>Ссылка на чертежи, спецификации</t>
  </si>
  <si>
    <t>Формула расчета, расчет объемов работ и расхода материалов</t>
  </si>
  <si>
    <t>Примечание</t>
  </si>
  <si>
    <t>Главный инженер проекта _________________</t>
  </si>
  <si>
    <t>Составил 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</si>
</sst>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\-\ #,##0.00"/>
  </numFmts>
  <fonts count="23" x14ac:knownFonts="1">
    <font>
      <sz val="10"/>
      <name val="Arial"/>
      <charset val="204"/>
    </font>
    <font>
      <b/>
      <sz val="10"/>
      <color indexed="12"/>
      <name val="Arial"/>
      <charset val="204"/>
    </font>
    <font>
      <sz val="10"/>
      <color indexed="18"/>
      <name val="Arial"/>
      <charset val="204"/>
    </font>
    <font>
      <b/>
      <sz val="10"/>
      <color indexed="16"/>
      <name val="Arial"/>
      <charset val="204"/>
    </font>
    <font>
      <b/>
      <sz val="10"/>
      <color indexed="20"/>
      <name val="Arial"/>
      <charset val="204"/>
    </font>
    <font>
      <b/>
      <sz val="10"/>
      <color indexed="17"/>
      <name val="Arial"/>
      <charset val="204"/>
    </font>
    <font>
      <sz val="10"/>
      <color indexed="17"/>
      <name val="Arial"/>
      <charset val="204"/>
    </font>
    <font>
      <sz val="10"/>
      <color indexed="12"/>
      <name val="Arial"/>
      <charset val="204"/>
    </font>
    <font>
      <sz val="10"/>
      <color indexed="14"/>
      <name val="Arial"/>
      <charset val="204"/>
    </font>
    <font>
      <sz val="10"/>
      <color indexed="16"/>
      <name val="Arial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b/>
      <sz val="13"/>
      <name val="Arial"/>
      <family val="2"/>
      <charset val="204"/>
    </font>
    <font>
      <i/>
      <sz val="11"/>
      <name val="Arial"/>
      <family val="2"/>
      <charset val="204"/>
    </font>
    <font>
      <i/>
      <sz val="10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  <font>
      <i/>
      <sz val="10"/>
      <color rgb="FF821E8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7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14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 applyAlignment="1"/>
    <xf numFmtId="0" fontId="12" fillId="0" borderId="1" xfId="0" applyFont="1" applyBorder="1" applyAlignment="1">
      <alignment horizontal="left" wrapText="1"/>
    </xf>
    <xf numFmtId="0" fontId="12" fillId="0" borderId="0" xfId="0" applyFont="1" applyBorder="1" applyAlignment="1">
      <alignment horizontal="left" wrapText="1"/>
    </xf>
    <xf numFmtId="0" fontId="12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/>
    </xf>
    <xf numFmtId="164" fontId="16" fillId="0" borderId="0" xfId="0" applyNumberFormat="1" applyFont="1"/>
    <xf numFmtId="0" fontId="16" fillId="0" borderId="0" xfId="0" applyFont="1"/>
    <xf numFmtId="0" fontId="12" fillId="0" borderId="0" xfId="0" applyFont="1" applyAlignment="1">
      <alignment horizontal="left"/>
    </xf>
    <xf numFmtId="164" fontId="12" fillId="0" borderId="0" xfId="0" applyNumberFormat="1" applyFont="1"/>
    <xf numFmtId="0" fontId="12" fillId="0" borderId="0" xfId="0" applyFont="1" applyFill="1" applyAlignment="1">
      <alignment horizontal="left"/>
    </xf>
    <xf numFmtId="0" fontId="12" fillId="0" borderId="0" xfId="1" applyFont="1" applyFill="1" applyAlignment="1">
      <alignment horizontal="left"/>
    </xf>
    <xf numFmtId="0" fontId="12" fillId="0" borderId="0" xfId="0" applyFont="1" applyAlignment="1">
      <alignment horizontal="left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3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7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/>
    </xf>
    <xf numFmtId="164" fontId="18" fillId="0" borderId="0" xfId="0" applyNumberFormat="1" applyFont="1" applyAlignment="1">
      <alignment horizontal="right" vertical="top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horizontal="right" vertical="top" wrapText="1"/>
    </xf>
    <xf numFmtId="0" fontId="20" fillId="0" borderId="0" xfId="0" applyFont="1" applyAlignment="1">
      <alignment horizontal="right" vertical="top"/>
    </xf>
    <xf numFmtId="164" fontId="20" fillId="0" borderId="0" xfId="0" applyNumberFormat="1" applyFont="1" applyAlignment="1">
      <alignment horizontal="right" vertical="top"/>
    </xf>
    <xf numFmtId="0" fontId="20" fillId="0" borderId="0" xfId="0" quotePrefix="1" applyFont="1" applyAlignment="1">
      <alignment horizontal="right" vertical="top" wrapText="1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top"/>
    </xf>
    <xf numFmtId="164" fontId="12" fillId="0" borderId="1" xfId="0" applyNumberFormat="1" applyFont="1" applyBorder="1" applyAlignment="1">
      <alignment horizontal="right" vertical="top"/>
    </xf>
    <xf numFmtId="0" fontId="12" fillId="0" borderId="1" xfId="0" applyFont="1" applyBorder="1" applyAlignment="1">
      <alignment horizontal="right" vertical="top" wrapText="1"/>
    </xf>
    <xf numFmtId="0" fontId="16" fillId="0" borderId="0" xfId="0" applyFont="1" applyAlignment="1">
      <alignment vertical="top"/>
    </xf>
    <xf numFmtId="164" fontId="16" fillId="0" borderId="2" xfId="0" applyNumberFormat="1" applyFont="1" applyBorder="1" applyAlignment="1">
      <alignment horizontal="right" vertical="top"/>
    </xf>
    <xf numFmtId="0" fontId="16" fillId="0" borderId="0" xfId="0" applyFont="1" applyAlignment="1">
      <alignment horizontal="right" vertical="top"/>
    </xf>
    <xf numFmtId="164" fontId="16" fillId="0" borderId="0" xfId="0" applyNumberFormat="1" applyFont="1" applyAlignment="1">
      <alignment horizontal="right" vertical="top"/>
    </xf>
    <xf numFmtId="164" fontId="0" fillId="0" borderId="0" xfId="0" applyNumberFormat="1"/>
    <xf numFmtId="0" fontId="10" fillId="0" borderId="0" xfId="0" applyFont="1" applyAlignment="1">
      <alignment vertical="top" wrapText="1"/>
    </xf>
    <xf numFmtId="0" fontId="12" fillId="0" borderId="0" xfId="0" quotePrefix="1" applyFont="1" applyAlignment="1">
      <alignment horizontal="right" vertical="top" wrapText="1"/>
    </xf>
    <xf numFmtId="0" fontId="16" fillId="0" borderId="0" xfId="0" applyFont="1" applyAlignment="1">
      <alignment horizontal="right"/>
    </xf>
    <xf numFmtId="0" fontId="16" fillId="0" borderId="0" xfId="0" applyFont="1" applyAlignment="1">
      <alignment horizontal="left" wrapText="1"/>
    </xf>
    <xf numFmtId="0" fontId="12" fillId="0" borderId="0" xfId="0" applyFont="1" applyAlignment="1">
      <alignment horizontal="right" vertical="center"/>
    </xf>
    <xf numFmtId="0" fontId="12" fillId="0" borderId="1" xfId="0" applyFont="1" applyBorder="1"/>
    <xf numFmtId="0" fontId="16" fillId="0" borderId="0" xfId="0" applyFont="1" applyBorder="1" applyAlignment="1">
      <alignment horizontal="right"/>
    </xf>
    <xf numFmtId="0" fontId="16" fillId="0" borderId="0" xfId="0" applyFont="1" applyBorder="1" applyAlignment="1">
      <alignment horizontal="right"/>
    </xf>
    <xf numFmtId="0" fontId="13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4" xfId="0" applyFont="1" applyBorder="1" applyAlignment="1">
      <alignment horizont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16" fillId="0" borderId="0" xfId="0" applyFont="1" applyBorder="1"/>
    <xf numFmtId="0" fontId="16" fillId="0" borderId="0" xfId="0" applyFont="1" applyBorder="1" applyAlignment="1">
      <alignment horizontal="left"/>
    </xf>
  </cellXfs>
  <cellStyles count="2">
    <cellStyle name="Обычный" xfId="0" builtinId="0"/>
    <cellStyle name="Обычный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171"/>
  <sheetViews>
    <sheetView tabSelected="1" zoomScaleNormal="100" workbookViewId="0">
      <selection activeCell="A6" sqref="A6:K6"/>
    </sheetView>
  </sheetViews>
  <sheetFormatPr defaultRowHeight="12.45" x14ac:dyDescent="0.3"/>
  <cols>
    <col min="1" max="1" width="5.69140625" customWidth="1"/>
    <col min="2" max="2" width="11.69140625" customWidth="1"/>
    <col min="3" max="3" width="40.69140625" customWidth="1"/>
    <col min="4" max="4" width="11.69140625" customWidth="1"/>
    <col min="5" max="5" width="7.61328125" bestFit="1" customWidth="1"/>
    <col min="6" max="11" width="11.69140625" customWidth="1"/>
    <col min="15" max="41" width="0" hidden="1" customWidth="1"/>
    <col min="42" max="42" width="130.4609375" hidden="1" customWidth="1"/>
    <col min="43" max="47" width="0" hidden="1" customWidth="1"/>
  </cols>
  <sheetData>
    <row r="1" spans="1:42" x14ac:dyDescent="0.3">
      <c r="A1" s="10" t="str">
        <f>Source!B1</f>
        <v>Smeta.RU  (495) 974-1589</v>
      </c>
    </row>
    <row r="2" spans="1:42" ht="14.15" x14ac:dyDescent="0.35">
      <c r="A2" s="11"/>
      <c r="B2" s="11"/>
      <c r="C2" s="11"/>
      <c r="D2" s="11"/>
      <c r="E2" s="11"/>
      <c r="F2" s="11"/>
      <c r="G2" s="11"/>
      <c r="H2" s="11"/>
      <c r="I2" s="11"/>
      <c r="J2" s="31" t="s">
        <v>411</v>
      </c>
      <c r="K2" s="31"/>
    </row>
    <row r="3" spans="1:42" ht="30.9" x14ac:dyDescent="0.4">
      <c r="A3" s="12" t="s">
        <v>4</v>
      </c>
      <c r="B3" s="12"/>
      <c r="C3" s="12"/>
      <c r="D3" s="12"/>
      <c r="E3" s="12"/>
      <c r="F3" s="12"/>
      <c r="G3" s="12"/>
      <c r="H3" s="12"/>
      <c r="I3" s="12"/>
      <c r="J3" s="12"/>
      <c r="K3" s="12"/>
      <c r="AP3" s="32" t="s">
        <v>412</v>
      </c>
    </row>
    <row r="4" spans="1:42" x14ac:dyDescent="0.3">
      <c r="A4" s="13" t="s">
        <v>390</v>
      </c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42" ht="14.15" x14ac:dyDescent="0.3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42" ht="15.45" x14ac:dyDescent="0.4">
      <c r="A6" s="12" t="str">
        <f>CONCATENATE( "ЛОКАЛЬНАЯ СМЕТА № ",IF(Source!F20&lt;&gt;"Новая локальная смета", Source!F20, ""))</f>
        <v>ЛОКАЛЬНАЯ СМЕТА № 02-01-17</v>
      </c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42" ht="14.15" x14ac:dyDescent="0.3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42" ht="17.600000000000001" x14ac:dyDescent="0.4">
      <c r="A8" s="15" t="str">
        <f>IF(Source!G20&lt;&gt;"Новая локальная смета", Source!G20, "")</f>
        <v>Система двусторонней связи</v>
      </c>
      <c r="B8" s="15"/>
      <c r="C8" s="15"/>
      <c r="D8" s="15"/>
      <c r="E8" s="15"/>
      <c r="F8" s="15"/>
      <c r="G8" s="15"/>
      <c r="H8" s="15"/>
      <c r="I8" s="15"/>
      <c r="J8" s="15"/>
      <c r="K8" s="15"/>
    </row>
    <row r="9" spans="1:42" x14ac:dyDescent="0.3">
      <c r="A9" s="16" t="s">
        <v>391</v>
      </c>
      <c r="B9" s="17"/>
      <c r="C9" s="17"/>
      <c r="D9" s="17"/>
      <c r="E9" s="17"/>
      <c r="F9" s="17"/>
      <c r="G9" s="17"/>
      <c r="H9" s="17"/>
      <c r="I9" s="17"/>
      <c r="J9" s="17"/>
      <c r="K9" s="17"/>
    </row>
    <row r="10" spans="1:42" ht="14.15" x14ac:dyDescent="0.3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42" ht="14.15" x14ac:dyDescent="0.35">
      <c r="A11" s="18" t="str">
        <f>CONCATENATE( "Основание: чертежи № ", Source!J20)</f>
        <v>Основание: чертежи № 2024-00272-01-0-ИОС5.10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</row>
    <row r="12" spans="1:42" ht="14.15" x14ac:dyDescent="0.3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</row>
    <row r="13" spans="1:42" ht="70.75" x14ac:dyDescent="0.35">
      <c r="A13" s="11"/>
      <c r="B13" s="11"/>
      <c r="C13" s="11"/>
      <c r="D13" s="11"/>
      <c r="E13" s="11"/>
      <c r="F13" s="11"/>
      <c r="G13" s="11"/>
      <c r="H13" s="11"/>
      <c r="I13" s="20" t="s">
        <v>392</v>
      </c>
      <c r="J13" s="20" t="s">
        <v>393</v>
      </c>
      <c r="K13" s="11"/>
    </row>
    <row r="14" spans="1:42" ht="14.15" x14ac:dyDescent="0.35">
      <c r="A14" s="11"/>
      <c r="B14" s="11"/>
      <c r="C14" s="11"/>
      <c r="D14" s="11"/>
      <c r="E14" s="21" t="s">
        <v>394</v>
      </c>
      <c r="F14" s="21"/>
      <c r="G14" s="21"/>
      <c r="H14" s="21"/>
      <c r="I14" s="22">
        <f>I15+I16+I17+I18</f>
        <v>115.84</v>
      </c>
      <c r="J14" s="22">
        <f>J15+J16+J17+J18</f>
        <v>1137.8800000000001</v>
      </c>
      <c r="K14" s="23" t="s">
        <v>451</v>
      </c>
    </row>
    <row r="15" spans="1:42" ht="14.15" x14ac:dyDescent="0.35">
      <c r="A15" s="11"/>
      <c r="B15" s="11"/>
      <c r="C15" s="11"/>
      <c r="D15" s="11"/>
      <c r="E15" s="24" t="s">
        <v>395</v>
      </c>
      <c r="F15" s="24"/>
      <c r="G15" s="24"/>
      <c r="H15" s="24"/>
      <c r="I15" s="25">
        <f>ROUND((Source!F189)/1000, 2)</f>
        <v>0</v>
      </c>
      <c r="J15" s="25">
        <f>ROUND((Source!P189)/1000, 2)</f>
        <v>0</v>
      </c>
      <c r="K15" s="11" t="s">
        <v>451</v>
      </c>
    </row>
    <row r="16" spans="1:42" ht="14.15" x14ac:dyDescent="0.35">
      <c r="A16" s="11"/>
      <c r="B16" s="11"/>
      <c r="C16" s="11"/>
      <c r="D16" s="11"/>
      <c r="E16" s="24" t="s">
        <v>396</v>
      </c>
      <c r="F16" s="24"/>
      <c r="G16" s="24"/>
      <c r="H16" s="24"/>
      <c r="I16" s="25">
        <f>ROUND((Source!F190)/1000, 2)</f>
        <v>33.96</v>
      </c>
      <c r="J16" s="25">
        <f>ROUND((Source!P190)/1000, 2)</f>
        <v>510.48</v>
      </c>
      <c r="K16" s="11" t="s">
        <v>451</v>
      </c>
    </row>
    <row r="17" spans="1:42" ht="14.15" x14ac:dyDescent="0.35">
      <c r="A17" s="11"/>
      <c r="B17" s="11"/>
      <c r="C17" s="11"/>
      <c r="D17" s="11"/>
      <c r="E17" s="24" t="s">
        <v>18</v>
      </c>
      <c r="F17" s="24"/>
      <c r="G17" s="24"/>
      <c r="H17" s="24"/>
      <c r="I17" s="25">
        <f>ROUND((Source!F181)/1000, 2)</f>
        <v>81.88</v>
      </c>
      <c r="J17" s="25">
        <f>ROUND((Source!P181)/1000, 2)</f>
        <v>627.4</v>
      </c>
      <c r="K17" s="11" t="s">
        <v>451</v>
      </c>
    </row>
    <row r="18" spans="1:42" ht="14.15" x14ac:dyDescent="0.35">
      <c r="A18" s="11"/>
      <c r="B18" s="11"/>
      <c r="C18" s="11"/>
      <c r="D18" s="11"/>
      <c r="E18" s="24" t="s">
        <v>397</v>
      </c>
      <c r="F18" s="24"/>
      <c r="G18" s="24"/>
      <c r="H18" s="24"/>
      <c r="I18" s="25">
        <f>ROUND((Source!F191+Source!F192)/1000, 2)</f>
        <v>0</v>
      </c>
      <c r="J18" s="25">
        <f>ROUND((Source!P191+Source!P192)/1000, 2)</f>
        <v>0</v>
      </c>
      <c r="K18" s="11" t="s">
        <v>451</v>
      </c>
    </row>
    <row r="19" spans="1:42" ht="14.15" x14ac:dyDescent="0.35">
      <c r="A19" s="11"/>
      <c r="B19" s="11"/>
      <c r="C19" s="11"/>
      <c r="D19" s="11"/>
      <c r="E19" s="24" t="s">
        <v>398</v>
      </c>
      <c r="F19" s="24"/>
      <c r="G19" s="24"/>
      <c r="H19" s="24"/>
      <c r="I19" s="25">
        <f>(Source!F187+ Source!F186)/1000</f>
        <v>1.7654400000000001</v>
      </c>
      <c r="J19" s="25">
        <f>((Source!P187 + Source!P186)/1000)</f>
        <v>97.081550000000007</v>
      </c>
      <c r="K19" s="11" t="s">
        <v>451</v>
      </c>
    </row>
    <row r="20" spans="1:42" ht="14.15" x14ac:dyDescent="0.35">
      <c r="A20" s="11"/>
      <c r="B20" s="11"/>
      <c r="C20" s="11"/>
      <c r="D20" s="11"/>
      <c r="E20" s="24" t="s">
        <v>399</v>
      </c>
      <c r="F20" s="24"/>
      <c r="G20" s="24"/>
      <c r="H20" s="24"/>
      <c r="I20" s="25">
        <f>Source!F194</f>
        <v>136.2944814</v>
      </c>
      <c r="J20" s="25"/>
      <c r="K20" s="11" t="s">
        <v>229</v>
      </c>
    </row>
    <row r="21" spans="1:42" ht="14.15" hidden="1" x14ac:dyDescent="0.35">
      <c r="A21" s="11"/>
      <c r="B21" s="11"/>
      <c r="C21" s="11"/>
      <c r="D21" s="11"/>
      <c r="E21" s="26" t="s">
        <v>400</v>
      </c>
      <c r="F21" s="26"/>
      <c r="G21" s="26"/>
      <c r="H21" s="26"/>
      <c r="I21" s="25"/>
      <c r="J21" s="25"/>
      <c r="K21" s="11"/>
    </row>
    <row r="22" spans="1:42" ht="14.15" hidden="1" x14ac:dyDescent="0.35">
      <c r="A22" s="11"/>
      <c r="B22" s="11"/>
      <c r="C22" s="11"/>
      <c r="D22" s="11"/>
      <c r="E22" s="27" t="s">
        <v>139</v>
      </c>
      <c r="F22" s="27"/>
      <c r="G22" s="27"/>
      <c r="H22" s="27"/>
      <c r="I22" s="25">
        <f>SUM(Y28:Y164)/1000</f>
        <v>0</v>
      </c>
      <c r="J22" s="25">
        <f>SUM(Z28:Z164)/1000</f>
        <v>0</v>
      </c>
      <c r="K22" s="11" t="s">
        <v>451</v>
      </c>
    </row>
    <row r="23" spans="1:42" ht="14.15" x14ac:dyDescent="0.35">
      <c r="A23" s="11"/>
      <c r="B23" s="11"/>
      <c r="C23" s="11"/>
      <c r="D23" s="11"/>
      <c r="E23" s="11"/>
      <c r="F23" s="28"/>
      <c r="G23" s="28"/>
      <c r="H23" s="28"/>
      <c r="I23" s="25"/>
      <c r="J23" s="25"/>
      <c r="K23" s="11"/>
    </row>
    <row r="24" spans="1:42" ht="14.15" x14ac:dyDescent="0.35">
      <c r="A24" s="11" t="s">
        <v>413</v>
      </c>
      <c r="B24" s="11"/>
      <c r="C24" s="11"/>
      <c r="D24" s="11"/>
      <c r="E24" s="11"/>
      <c r="F24" s="28"/>
      <c r="G24" s="28"/>
      <c r="H24" s="28"/>
      <c r="I24" s="25"/>
      <c r="J24" s="25"/>
      <c r="K24" s="11"/>
    </row>
    <row r="25" spans="1:42" ht="28.3" x14ac:dyDescent="0.35">
      <c r="A25" s="18" t="s">
        <v>414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AP25" s="33" t="s">
        <v>414</v>
      </c>
    </row>
    <row r="26" spans="1:42" ht="99" x14ac:dyDescent="0.3">
      <c r="A26" s="29" t="s">
        <v>401</v>
      </c>
      <c r="B26" s="29" t="s">
        <v>402</v>
      </c>
      <c r="C26" s="29" t="s">
        <v>403</v>
      </c>
      <c r="D26" s="29" t="s">
        <v>404</v>
      </c>
      <c r="E26" s="29" t="s">
        <v>405</v>
      </c>
      <c r="F26" s="29" t="s">
        <v>406</v>
      </c>
      <c r="G26" s="30" t="s">
        <v>407</v>
      </c>
      <c r="H26" s="30" t="s">
        <v>408</v>
      </c>
      <c r="I26" s="29" t="s">
        <v>415</v>
      </c>
      <c r="J26" s="29" t="s">
        <v>409</v>
      </c>
      <c r="K26" s="29" t="s">
        <v>410</v>
      </c>
    </row>
    <row r="27" spans="1:42" ht="14.15" x14ac:dyDescent="0.3">
      <c r="A27" s="29">
        <v>1</v>
      </c>
      <c r="B27" s="29">
        <v>2</v>
      </c>
      <c r="C27" s="29">
        <v>3</v>
      </c>
      <c r="D27" s="29">
        <v>4</v>
      </c>
      <c r="E27" s="29">
        <v>5</v>
      </c>
      <c r="F27" s="29">
        <v>6</v>
      </c>
      <c r="G27" s="29">
        <v>7</v>
      </c>
      <c r="H27" s="29">
        <v>8</v>
      </c>
      <c r="I27" s="29">
        <v>9</v>
      </c>
      <c r="J27" s="29">
        <v>10</v>
      </c>
      <c r="K27" s="29">
        <v>11</v>
      </c>
    </row>
    <row r="29" spans="1:42" ht="16.3" x14ac:dyDescent="0.3">
      <c r="A29" s="34" t="str">
        <f>CONCATENATE("Раздел: ",IF(Source!G24&lt;&gt;"Новый раздел", Source!G24, ""))</f>
        <v>Раздел: Оборудование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</row>
    <row r="30" spans="1:42" ht="78.45" x14ac:dyDescent="0.3">
      <c r="A30" s="35">
        <v>1</v>
      </c>
      <c r="B30" s="35" t="s">
        <v>416</v>
      </c>
      <c r="C30" s="35" t="s">
        <v>21</v>
      </c>
      <c r="D30" s="37" t="str">
        <f>Source!H28</f>
        <v>1  ШТ.</v>
      </c>
      <c r="E30" s="36">
        <f>Source!I28</f>
        <v>1</v>
      </c>
      <c r="F30" s="39"/>
      <c r="G30" s="38"/>
      <c r="H30" s="36"/>
      <c r="I30" s="39"/>
      <c r="J30" s="36"/>
      <c r="K30" s="39"/>
      <c r="Q30">
        <f>Source!X28</f>
        <v>21.52</v>
      </c>
      <c r="R30">
        <f>Source!X29</f>
        <v>1183.33</v>
      </c>
      <c r="S30">
        <f>Source!Y28</f>
        <v>11</v>
      </c>
      <c r="T30">
        <f>Source!Y29</f>
        <v>604.80999999999995</v>
      </c>
      <c r="U30">
        <f>ROUND((175/100)*ROUND(Source!R28, 2), 2)</f>
        <v>0.26</v>
      </c>
      <c r="V30">
        <f>ROUND((0/100)*ROUND(Source!R29, 2), 2)</f>
        <v>0</v>
      </c>
      <c r="AC30">
        <v>0</v>
      </c>
    </row>
    <row r="31" spans="1:42" ht="14.15" x14ac:dyDescent="0.3">
      <c r="A31" s="35"/>
      <c r="B31" s="35"/>
      <c r="C31" s="35" t="s">
        <v>417</v>
      </c>
      <c r="D31" s="37"/>
      <c r="E31" s="36"/>
      <c r="F31" s="39">
        <f>Source!AO28</f>
        <v>20.63</v>
      </c>
      <c r="G31" s="38" t="str">
        <f>Source!DG28</f>
        <v>*1,1</v>
      </c>
      <c r="H31" s="36">
        <f>Source!AV29</f>
        <v>1.0469999999999999</v>
      </c>
      <c r="I31" s="39">
        <f>Source!S28</f>
        <v>23.76</v>
      </c>
      <c r="J31" s="36">
        <f>IF(Source!BA29&lt;&gt; 0, Source!BA29, 1)</f>
        <v>54.99</v>
      </c>
      <c r="K31" s="39">
        <f>Source!S29</f>
        <v>1306.56</v>
      </c>
    </row>
    <row r="32" spans="1:42" ht="14.15" x14ac:dyDescent="0.3">
      <c r="A32" s="35"/>
      <c r="B32" s="35"/>
      <c r="C32" s="35" t="s">
        <v>418</v>
      </c>
      <c r="D32" s="37"/>
      <c r="E32" s="36"/>
      <c r="F32" s="39">
        <f>Source!AM28</f>
        <v>0.91</v>
      </c>
      <c r="G32" s="38" t="str">
        <f>Source!DE28</f>
        <v>*1,1</v>
      </c>
      <c r="H32" s="36">
        <f>Source!AV29</f>
        <v>1.0469999999999999</v>
      </c>
      <c r="I32" s="39">
        <f>Source!Q28</f>
        <v>1.05</v>
      </c>
      <c r="J32" s="36">
        <f>IF(Source!BB29&lt;&gt; 0, Source!BB29, 1)</f>
        <v>15.65</v>
      </c>
      <c r="K32" s="39">
        <f>Source!Q29</f>
        <v>16.43</v>
      </c>
    </row>
    <row r="33" spans="1:29" ht="14.15" x14ac:dyDescent="0.3">
      <c r="A33" s="35"/>
      <c r="B33" s="35"/>
      <c r="C33" s="35" t="s">
        <v>419</v>
      </c>
      <c r="D33" s="37"/>
      <c r="E33" s="36"/>
      <c r="F33" s="39">
        <f>Source!AN28</f>
        <v>0.13</v>
      </c>
      <c r="G33" s="38" t="str">
        <f>Source!DF28</f>
        <v>*1,1</v>
      </c>
      <c r="H33" s="36">
        <f>Source!AV29</f>
        <v>1.0469999999999999</v>
      </c>
      <c r="I33" s="40">
        <f>Source!R28</f>
        <v>0.15</v>
      </c>
      <c r="J33" s="36">
        <f>IF(Source!BS29&lt;&gt; 0, Source!BS29, 1)</f>
        <v>54.99</v>
      </c>
      <c r="K33" s="40">
        <f>Source!R29</f>
        <v>8.25</v>
      </c>
    </row>
    <row r="34" spans="1:29" ht="14.15" x14ac:dyDescent="0.3">
      <c r="A34" s="35"/>
      <c r="B34" s="35"/>
      <c r="C34" s="35" t="s">
        <v>420</v>
      </c>
      <c r="D34" s="37"/>
      <c r="E34" s="36"/>
      <c r="F34" s="39">
        <f>Source!AL28</f>
        <v>1.22</v>
      </c>
      <c r="G34" s="38" t="str">
        <f>Source!DD28</f>
        <v/>
      </c>
      <c r="H34" s="36">
        <f>Source!AW29</f>
        <v>1</v>
      </c>
      <c r="I34" s="39">
        <f>Source!P28</f>
        <v>1.22</v>
      </c>
      <c r="J34" s="36">
        <f>IF(Source!BC29&lt;&gt; 0, Source!BC29, 1)</f>
        <v>25.52</v>
      </c>
      <c r="K34" s="39">
        <f>Source!P29</f>
        <v>31.13</v>
      </c>
    </row>
    <row r="35" spans="1:29" ht="68.150000000000006" x14ac:dyDescent="0.3">
      <c r="A35" s="41" t="s">
        <v>29</v>
      </c>
      <c r="B35" s="41" t="str">
        <f>Source!F30</f>
        <v>КА 1</v>
      </c>
      <c r="C35" s="41" t="s">
        <v>421</v>
      </c>
      <c r="D35" s="42" t="str">
        <f>Source!H30</f>
        <v>шт.</v>
      </c>
      <c r="E35" s="43">
        <f>Source!I30</f>
        <v>1</v>
      </c>
      <c r="F35" s="44">
        <f>Source!AK30</f>
        <v>1062.54</v>
      </c>
      <c r="G35" s="45" t="s">
        <v>3</v>
      </c>
      <c r="H35" s="43">
        <f>Source!AW31</f>
        <v>1</v>
      </c>
      <c r="I35" s="44">
        <f>Source!O30</f>
        <v>1062.54</v>
      </c>
      <c r="J35" s="43">
        <f>IF(Source!BC31&lt;&gt; 0, Source!BC31, 1)</f>
        <v>7.66</v>
      </c>
      <c r="K35" s="44">
        <f>Source!O31</f>
        <v>8139.06</v>
      </c>
      <c r="Q35">
        <f>Source!X30</f>
        <v>0</v>
      </c>
      <c r="R35">
        <f>Source!X31</f>
        <v>0</v>
      </c>
      <c r="S35">
        <f>Source!Y30</f>
        <v>0</v>
      </c>
      <c r="T35">
        <f>Source!Y31</f>
        <v>0</v>
      </c>
      <c r="U35">
        <f>ROUND((175/100)*ROUND(Source!R30, 2), 2)</f>
        <v>0</v>
      </c>
      <c r="V35">
        <f>ROUND((0/100)*ROUND(Source!R31, 2), 2)</f>
        <v>0</v>
      </c>
      <c r="AC35">
        <v>5</v>
      </c>
    </row>
    <row r="36" spans="1:29" ht="14.15" x14ac:dyDescent="0.3">
      <c r="A36" s="35"/>
      <c r="B36" s="35"/>
      <c r="C36" s="35" t="s">
        <v>422</v>
      </c>
      <c r="D36" s="37" t="s">
        <v>423</v>
      </c>
      <c r="E36" s="36">
        <f>Source!BZ29</f>
        <v>90</v>
      </c>
      <c r="F36" s="39"/>
      <c r="G36" s="38"/>
      <c r="H36" s="36"/>
      <c r="I36" s="39">
        <f>SUM(Q30:Q35)</f>
        <v>21.52</v>
      </c>
      <c r="J36" s="36">
        <f>Source!AT29</f>
        <v>90</v>
      </c>
      <c r="K36" s="39">
        <f>SUM(R30:R35)</f>
        <v>1183.33</v>
      </c>
    </row>
    <row r="37" spans="1:29" ht="14.15" x14ac:dyDescent="0.3">
      <c r="A37" s="35"/>
      <c r="B37" s="35"/>
      <c r="C37" s="35" t="s">
        <v>424</v>
      </c>
      <c r="D37" s="37" t="s">
        <v>423</v>
      </c>
      <c r="E37" s="36">
        <f>Source!CA29</f>
        <v>46</v>
      </c>
      <c r="F37" s="39"/>
      <c r="G37" s="38"/>
      <c r="H37" s="36"/>
      <c r="I37" s="39">
        <f>SUM(S30:S36)</f>
        <v>11</v>
      </c>
      <c r="J37" s="36">
        <f>Source!AU29</f>
        <v>46</v>
      </c>
      <c r="K37" s="39">
        <f>SUM(T30:T36)</f>
        <v>604.80999999999995</v>
      </c>
    </row>
    <row r="38" spans="1:29" ht="14.15" x14ac:dyDescent="0.3">
      <c r="A38" s="46"/>
      <c r="B38" s="46"/>
      <c r="C38" s="46" t="s">
        <v>425</v>
      </c>
      <c r="D38" s="47" t="s">
        <v>426</v>
      </c>
      <c r="E38" s="48">
        <f>Source!AQ28</f>
        <v>1.35</v>
      </c>
      <c r="F38" s="49"/>
      <c r="G38" s="50" t="str">
        <f>Source!DI28</f>
        <v>*1,1</v>
      </c>
      <c r="H38" s="48">
        <f>Source!AV29</f>
        <v>1.0469999999999999</v>
      </c>
      <c r="I38" s="49">
        <f>Source!U28</f>
        <v>1.5547950000000001</v>
      </c>
      <c r="J38" s="48"/>
      <c r="K38" s="49"/>
    </row>
    <row r="39" spans="1:29" ht="14.15" x14ac:dyDescent="0.3">
      <c r="C39" s="51" t="s">
        <v>427</v>
      </c>
      <c r="H39" s="52">
        <f>I31+I32+I34+I36+I37+SUM(I35:I35)-SUMIF(AC35:AC35, 5, I35:I35)-SUMIF(AC35:AC35, 6, I35:I35)</f>
        <v>58.549999999999955</v>
      </c>
      <c r="I39" s="52"/>
      <c r="J39" s="52">
        <f>K31+K32+K34+K36+K37+SUM(K35:K35)-SUMIF(AC35:AC35, 5, K35:K35)-SUMIF(AC35:AC35, 6, K35:K35)</f>
        <v>3142.2599999999993</v>
      </c>
      <c r="K39" s="52"/>
    </row>
    <row r="40" spans="1:29" ht="14.15" x14ac:dyDescent="0.3">
      <c r="C40" s="51" t="s">
        <v>428</v>
      </c>
      <c r="H40" s="54">
        <f>SUMIF(AC35:AC35, 5, I35:I35)+SUMIF(AC35:AC35, 6, I35:I35)</f>
        <v>1062.54</v>
      </c>
      <c r="I40" s="54"/>
      <c r="J40" s="54">
        <f>SUMIF(AC35:AC35, 5, K35:K35)+SUMIF(AC35:AC35, 6, K35:K35)</f>
        <v>8139.06</v>
      </c>
      <c r="K40" s="54"/>
    </row>
    <row r="41" spans="1:29" ht="14.15" x14ac:dyDescent="0.3">
      <c r="C41" s="51" t="s">
        <v>429</v>
      </c>
      <c r="H41" s="54">
        <f>I31+I32+I34+I36+I37+SUM(I35:I35)</f>
        <v>1121.0899999999999</v>
      </c>
      <c r="I41" s="54"/>
      <c r="J41" s="54">
        <f>K31+K32+K34+K36+K37+SUM(K35:K35)</f>
        <v>11281.32</v>
      </c>
      <c r="K41" s="54"/>
      <c r="O41" s="55">
        <f>I31+I32+I34+I36+I37+SUM(I35:I35)</f>
        <v>1121.0899999999999</v>
      </c>
      <c r="P41" s="55">
        <f>K31+K32+K34+K36+K37+SUM(K35:K35)</f>
        <v>11281.32</v>
      </c>
    </row>
    <row r="43" spans="1:29" ht="78.45" x14ac:dyDescent="0.3">
      <c r="A43" s="35">
        <v>2</v>
      </c>
      <c r="B43" s="35" t="s">
        <v>430</v>
      </c>
      <c r="C43" s="35" t="s">
        <v>41</v>
      </c>
      <c r="D43" s="37" t="str">
        <f>Source!H32</f>
        <v>10 шт.</v>
      </c>
      <c r="E43" s="36">
        <f>Source!I32</f>
        <v>0.1</v>
      </c>
      <c r="F43" s="39"/>
      <c r="G43" s="38"/>
      <c r="H43" s="36"/>
      <c r="I43" s="39"/>
      <c r="J43" s="36"/>
      <c r="K43" s="39"/>
      <c r="Q43">
        <f>Source!X32</f>
        <v>23.65</v>
      </c>
      <c r="R43">
        <f>Source!X33</f>
        <v>1300.6300000000001</v>
      </c>
      <c r="S43">
        <f>Source!Y32</f>
        <v>12.09</v>
      </c>
      <c r="T43">
        <f>Source!Y33</f>
        <v>664.76</v>
      </c>
      <c r="U43">
        <f>ROUND((175/100)*ROUND(Source!R32, 2), 2)</f>
        <v>0.16</v>
      </c>
      <c r="V43">
        <f>ROUND((0/100)*ROUND(Source!R33, 2), 2)</f>
        <v>0</v>
      </c>
      <c r="AC43">
        <v>0</v>
      </c>
    </row>
    <row r="44" spans="1:29" x14ac:dyDescent="0.3">
      <c r="C44" s="56" t="str">
        <f>"Объем: "&amp;Source!I32&amp;"=1/"&amp;"10"</f>
        <v>Объем: 0,1=1/10</v>
      </c>
    </row>
    <row r="45" spans="1:29" ht="14.15" x14ac:dyDescent="0.3">
      <c r="A45" s="35"/>
      <c r="B45" s="35"/>
      <c r="C45" s="35" t="s">
        <v>417</v>
      </c>
      <c r="D45" s="37"/>
      <c r="E45" s="36"/>
      <c r="F45" s="39">
        <f>Source!AO32</f>
        <v>227.44</v>
      </c>
      <c r="G45" s="38" t="str">
        <f>Source!DG32</f>
        <v>*1,1</v>
      </c>
      <c r="H45" s="36">
        <f>Source!AV33</f>
        <v>1.0469999999999999</v>
      </c>
      <c r="I45" s="39">
        <f>Source!S32</f>
        <v>26.19</v>
      </c>
      <c r="J45" s="36">
        <f>IF(Source!BA33&lt;&gt; 0, Source!BA33, 1)</f>
        <v>54.99</v>
      </c>
      <c r="K45" s="39">
        <f>Source!S33</f>
        <v>1440.19</v>
      </c>
    </row>
    <row r="46" spans="1:29" ht="14.15" x14ac:dyDescent="0.3">
      <c r="A46" s="35"/>
      <c r="B46" s="35"/>
      <c r="C46" s="35" t="s">
        <v>418</v>
      </c>
      <c r="D46" s="37"/>
      <c r="E46" s="36"/>
      <c r="F46" s="39">
        <f>Source!AM32</f>
        <v>6.07</v>
      </c>
      <c r="G46" s="38" t="str">
        <f>Source!DE32</f>
        <v>*1,1</v>
      </c>
      <c r="H46" s="36">
        <f>Source!AV33</f>
        <v>1.0469999999999999</v>
      </c>
      <c r="I46" s="39">
        <f>Source!Q32</f>
        <v>0.7</v>
      </c>
      <c r="J46" s="36">
        <f>IF(Source!BB33&lt;&gt; 0, Source!BB33, 1)</f>
        <v>14.94</v>
      </c>
      <c r="K46" s="39">
        <f>Source!Q33</f>
        <v>10.46</v>
      </c>
    </row>
    <row r="47" spans="1:29" ht="14.15" x14ac:dyDescent="0.3">
      <c r="A47" s="35"/>
      <c r="B47" s="35"/>
      <c r="C47" s="35" t="s">
        <v>419</v>
      </c>
      <c r="D47" s="37"/>
      <c r="E47" s="36"/>
      <c r="F47" s="39">
        <f>Source!AN32</f>
        <v>0.76</v>
      </c>
      <c r="G47" s="38" t="str">
        <f>Source!DF32</f>
        <v>*1,1</v>
      </c>
      <c r="H47" s="36">
        <f>Source!AV33</f>
        <v>1.0469999999999999</v>
      </c>
      <c r="I47" s="40">
        <f>Source!R32</f>
        <v>0.09</v>
      </c>
      <c r="J47" s="36">
        <f>IF(Source!BS33&lt;&gt; 0, Source!BS33, 1)</f>
        <v>54.99</v>
      </c>
      <c r="K47" s="40">
        <f>Source!R33</f>
        <v>4.95</v>
      </c>
    </row>
    <row r="48" spans="1:29" ht="14.15" x14ac:dyDescent="0.3">
      <c r="A48" s="35"/>
      <c r="B48" s="35"/>
      <c r="C48" s="35" t="s">
        <v>420</v>
      </c>
      <c r="D48" s="37"/>
      <c r="E48" s="36"/>
      <c r="F48" s="39">
        <f>Source!AL32</f>
        <v>2.44</v>
      </c>
      <c r="G48" s="38" t="str">
        <f>Source!DD32</f>
        <v/>
      </c>
      <c r="H48" s="36">
        <f>Source!AW33</f>
        <v>1</v>
      </c>
      <c r="I48" s="39">
        <f>Source!P32</f>
        <v>0.24</v>
      </c>
      <c r="J48" s="36">
        <f>IF(Source!BC33&lt;&gt; 0, Source!BC33, 1)</f>
        <v>7.23</v>
      </c>
      <c r="K48" s="39">
        <f>Source!P33</f>
        <v>1.74</v>
      </c>
    </row>
    <row r="49" spans="1:29" ht="54" x14ac:dyDescent="0.3">
      <c r="A49" s="41" t="s">
        <v>44</v>
      </c>
      <c r="B49" s="41" t="str">
        <f>Source!F34</f>
        <v>КА 2</v>
      </c>
      <c r="C49" s="41" t="s">
        <v>431</v>
      </c>
      <c r="D49" s="42" t="str">
        <f>Source!H34</f>
        <v>шт.</v>
      </c>
      <c r="E49" s="43">
        <f>Source!I34</f>
        <v>1</v>
      </c>
      <c r="F49" s="44">
        <f>Source!AK34</f>
        <v>439.99000000000007</v>
      </c>
      <c r="G49" s="45" t="s">
        <v>3</v>
      </c>
      <c r="H49" s="43">
        <f>Source!AW35</f>
        <v>1</v>
      </c>
      <c r="I49" s="44">
        <f>Source!O34</f>
        <v>439.99</v>
      </c>
      <c r="J49" s="43">
        <f>IF(Source!BC35&lt;&gt; 0, Source!BC35, 1)</f>
        <v>7.66</v>
      </c>
      <c r="K49" s="44">
        <f>Source!O35</f>
        <v>3370.32</v>
      </c>
      <c r="Q49">
        <f>Source!X34</f>
        <v>0</v>
      </c>
      <c r="R49">
        <f>Source!X35</f>
        <v>0</v>
      </c>
      <c r="S49">
        <f>Source!Y34</f>
        <v>0</v>
      </c>
      <c r="T49">
        <f>Source!Y35</f>
        <v>0</v>
      </c>
      <c r="U49">
        <f>ROUND((175/100)*ROUND(Source!R34, 2), 2)</f>
        <v>0</v>
      </c>
      <c r="V49">
        <f>ROUND((0/100)*ROUND(Source!R35, 2), 2)</f>
        <v>0</v>
      </c>
      <c r="AC49">
        <v>5</v>
      </c>
    </row>
    <row r="50" spans="1:29" ht="14.15" x14ac:dyDescent="0.3">
      <c r="A50" s="35"/>
      <c r="B50" s="35"/>
      <c r="C50" s="35" t="s">
        <v>422</v>
      </c>
      <c r="D50" s="37" t="s">
        <v>423</v>
      </c>
      <c r="E50" s="36">
        <f>Source!BZ33</f>
        <v>90</v>
      </c>
      <c r="F50" s="39"/>
      <c r="G50" s="38"/>
      <c r="H50" s="36"/>
      <c r="I50" s="39">
        <f>SUM(Q43:Q49)</f>
        <v>23.65</v>
      </c>
      <c r="J50" s="36">
        <f>Source!AT33</f>
        <v>90</v>
      </c>
      <c r="K50" s="39">
        <f>SUM(R43:R49)</f>
        <v>1300.6300000000001</v>
      </c>
    </row>
    <row r="51" spans="1:29" ht="14.15" x14ac:dyDescent="0.3">
      <c r="A51" s="35"/>
      <c r="B51" s="35"/>
      <c r="C51" s="35" t="s">
        <v>424</v>
      </c>
      <c r="D51" s="37" t="s">
        <v>423</v>
      </c>
      <c r="E51" s="36">
        <f>Source!CA33</f>
        <v>46</v>
      </c>
      <c r="F51" s="39"/>
      <c r="G51" s="38"/>
      <c r="H51" s="36"/>
      <c r="I51" s="39">
        <f>SUM(S43:S50)</f>
        <v>12.09</v>
      </c>
      <c r="J51" s="36">
        <f>Source!AU33</f>
        <v>46</v>
      </c>
      <c r="K51" s="39">
        <f>SUM(T43:T50)</f>
        <v>664.76</v>
      </c>
    </row>
    <row r="52" spans="1:29" ht="14.15" x14ac:dyDescent="0.3">
      <c r="A52" s="46"/>
      <c r="B52" s="46"/>
      <c r="C52" s="46" t="s">
        <v>425</v>
      </c>
      <c r="D52" s="47" t="s">
        <v>426</v>
      </c>
      <c r="E52" s="48">
        <f>Source!AQ32</f>
        <v>14.64</v>
      </c>
      <c r="F52" s="49"/>
      <c r="G52" s="50" t="str">
        <f>Source!DI32</f>
        <v>*1,1</v>
      </c>
      <c r="H52" s="48">
        <f>Source!AV33</f>
        <v>1.0469999999999999</v>
      </c>
      <c r="I52" s="49">
        <f>Source!U32</f>
        <v>1.6860888000000003</v>
      </c>
      <c r="J52" s="48"/>
      <c r="K52" s="49"/>
    </row>
    <row r="53" spans="1:29" ht="14.15" x14ac:dyDescent="0.3">
      <c r="C53" s="51" t="s">
        <v>427</v>
      </c>
      <c r="H53" s="52">
        <f>I45+I46+I48+I50+I51+SUM(I49:I49)-SUMIF(AC49:AC49, 5, I49:I49)-SUMIF(AC49:AC49, 6, I49:I49)</f>
        <v>62.870000000000005</v>
      </c>
      <c r="I53" s="52"/>
      <c r="J53" s="52">
        <f>K45+K46+K48+K50+K51+SUM(K49:K49)-SUMIF(AC49:AC49, 5, K49:K49)-SUMIF(AC49:AC49, 6, K49:K49)</f>
        <v>3417.78</v>
      </c>
      <c r="K53" s="52"/>
    </row>
    <row r="54" spans="1:29" ht="14.15" x14ac:dyDescent="0.3">
      <c r="C54" s="51" t="s">
        <v>428</v>
      </c>
      <c r="H54" s="54">
        <f>SUMIF(AC49:AC49, 5, I49:I49)+SUMIF(AC49:AC49, 6, I49:I49)</f>
        <v>439.99</v>
      </c>
      <c r="I54" s="54"/>
      <c r="J54" s="54">
        <f>SUMIF(AC49:AC49, 5, K49:K49)+SUMIF(AC49:AC49, 6, K49:K49)</f>
        <v>3370.32</v>
      </c>
      <c r="K54" s="54"/>
    </row>
    <row r="55" spans="1:29" ht="14.15" x14ac:dyDescent="0.3">
      <c r="C55" s="51" t="s">
        <v>429</v>
      </c>
      <c r="H55" s="54">
        <f>I45+I46+I48+I50+I51+SUM(I49:I49)</f>
        <v>502.86</v>
      </c>
      <c r="I55" s="54"/>
      <c r="J55" s="54">
        <f>K45+K46+K48+K50+K51+SUM(K49:K49)</f>
        <v>6788.1</v>
      </c>
      <c r="K55" s="54"/>
      <c r="O55" s="55">
        <f>I45+I46+I48+I50+I51+SUM(I49:I49)</f>
        <v>502.86</v>
      </c>
      <c r="P55" s="55">
        <f>K45+K46+K48+K50+K51+SUM(K49:K49)</f>
        <v>6788.1</v>
      </c>
    </row>
    <row r="57" spans="1:29" ht="78.45" x14ac:dyDescent="0.3">
      <c r="A57" s="35">
        <v>3</v>
      </c>
      <c r="B57" s="35" t="s">
        <v>432</v>
      </c>
      <c r="C57" s="35" t="s">
        <v>49</v>
      </c>
      <c r="D57" s="37" t="str">
        <f>Source!H36</f>
        <v>1  ШТ.</v>
      </c>
      <c r="E57" s="36">
        <f>Source!I36</f>
        <v>1</v>
      </c>
      <c r="F57" s="39"/>
      <c r="G57" s="38"/>
      <c r="H57" s="36"/>
      <c r="I57" s="39"/>
      <c r="J57" s="36"/>
      <c r="K57" s="39"/>
      <c r="Q57">
        <f>Source!X36</f>
        <v>13.5</v>
      </c>
      <c r="R57">
        <f>Source!X37</f>
        <v>742.37</v>
      </c>
      <c r="S57">
        <f>Source!Y36</f>
        <v>6.9</v>
      </c>
      <c r="T57">
        <f>Source!Y37</f>
        <v>379.43</v>
      </c>
      <c r="U57">
        <f>ROUND((175/100)*ROUND(Source!R36, 2), 2)</f>
        <v>2.4900000000000002</v>
      </c>
      <c r="V57">
        <f>ROUND((0/100)*ROUND(Source!R37, 2), 2)</f>
        <v>0</v>
      </c>
      <c r="AC57">
        <v>0</v>
      </c>
    </row>
    <row r="58" spans="1:29" ht="14.15" x14ac:dyDescent="0.3">
      <c r="A58" s="35"/>
      <c r="B58" s="35"/>
      <c r="C58" s="35" t="s">
        <v>417</v>
      </c>
      <c r="D58" s="37"/>
      <c r="E58" s="36"/>
      <c r="F58" s="39">
        <f>Source!AO36</f>
        <v>11.79</v>
      </c>
      <c r="G58" s="38" t="str">
        <f>Source!DG36</f>
        <v>*1,1</v>
      </c>
      <c r="H58" s="36">
        <f>Source!AV37</f>
        <v>1.0469999999999999</v>
      </c>
      <c r="I58" s="39">
        <f>Source!S36</f>
        <v>13.58</v>
      </c>
      <c r="J58" s="36">
        <f>IF(Source!BA37&lt;&gt; 0, Source!BA37, 1)</f>
        <v>54.99</v>
      </c>
      <c r="K58" s="39">
        <f>Source!S37</f>
        <v>746.76</v>
      </c>
    </row>
    <row r="59" spans="1:29" ht="14.15" x14ac:dyDescent="0.3">
      <c r="A59" s="35"/>
      <c r="B59" s="35"/>
      <c r="C59" s="35" t="s">
        <v>418</v>
      </c>
      <c r="D59" s="37"/>
      <c r="E59" s="36"/>
      <c r="F59" s="39">
        <f>Source!AM36</f>
        <v>5.37</v>
      </c>
      <c r="G59" s="38" t="str">
        <f>Source!DE36</f>
        <v>*1,1</v>
      </c>
      <c r="H59" s="36">
        <f>Source!AV37</f>
        <v>1.0469999999999999</v>
      </c>
      <c r="I59" s="39">
        <f>Source!Q36</f>
        <v>6.18</v>
      </c>
      <c r="J59" s="36">
        <f>IF(Source!BB37&lt;&gt; 0, Source!BB37, 1)</f>
        <v>21.37</v>
      </c>
      <c r="K59" s="39">
        <f>Source!Q37</f>
        <v>132.07</v>
      </c>
    </row>
    <row r="60" spans="1:29" ht="14.15" x14ac:dyDescent="0.3">
      <c r="A60" s="35"/>
      <c r="B60" s="35"/>
      <c r="C60" s="35" t="s">
        <v>419</v>
      </c>
      <c r="D60" s="37"/>
      <c r="E60" s="36"/>
      <c r="F60" s="39">
        <f>Source!AN36</f>
        <v>1.23</v>
      </c>
      <c r="G60" s="38" t="str">
        <f>Source!DF36</f>
        <v>*1,1</v>
      </c>
      <c r="H60" s="36">
        <f>Source!AV37</f>
        <v>1.0469999999999999</v>
      </c>
      <c r="I60" s="40">
        <f>Source!R36</f>
        <v>1.42</v>
      </c>
      <c r="J60" s="36">
        <f>IF(Source!BS37&lt;&gt; 0, Source!BS37, 1)</f>
        <v>54.99</v>
      </c>
      <c r="K60" s="40">
        <f>Source!R37</f>
        <v>78.09</v>
      </c>
    </row>
    <row r="61" spans="1:29" ht="14.15" x14ac:dyDescent="0.3">
      <c r="A61" s="35"/>
      <c r="B61" s="35"/>
      <c r="C61" s="35" t="s">
        <v>420</v>
      </c>
      <c r="D61" s="37"/>
      <c r="E61" s="36"/>
      <c r="F61" s="39">
        <f>Source!AL36</f>
        <v>51.03</v>
      </c>
      <c r="G61" s="38" t="str">
        <f>Source!DD36</f>
        <v/>
      </c>
      <c r="H61" s="36">
        <f>Source!AW37</f>
        <v>1</v>
      </c>
      <c r="I61" s="39">
        <f>Source!P36</f>
        <v>51.03</v>
      </c>
      <c r="J61" s="36">
        <f>IF(Source!BC37&lt;&gt; 0, Source!BC37, 1)</f>
        <v>9.98</v>
      </c>
      <c r="K61" s="39">
        <f>Source!P37</f>
        <v>509.28</v>
      </c>
    </row>
    <row r="62" spans="1:29" ht="41.15" x14ac:dyDescent="0.3">
      <c r="A62" s="35" t="s">
        <v>53</v>
      </c>
      <c r="B62" s="35" t="str">
        <f>Source!F38</f>
        <v>КА 3</v>
      </c>
      <c r="C62" s="35" t="s">
        <v>433</v>
      </c>
      <c r="D62" s="37" t="str">
        <f>Source!H38</f>
        <v>шт.</v>
      </c>
      <c r="E62" s="36">
        <f>Source!I38</f>
        <v>1</v>
      </c>
      <c r="F62" s="39">
        <f>Source!AK38</f>
        <v>546.30000000000007</v>
      </c>
      <c r="G62" s="57" t="s">
        <v>3</v>
      </c>
      <c r="H62" s="36">
        <f>Source!AW39</f>
        <v>1</v>
      </c>
      <c r="I62" s="39">
        <f>Source!O38</f>
        <v>546.29999999999995</v>
      </c>
      <c r="J62" s="36">
        <f>IF(Source!BC39&lt;&gt; 0, Source!BC39, 1)</f>
        <v>9.8800000000000008</v>
      </c>
      <c r="K62" s="39">
        <f>Source!O39</f>
        <v>5397.44</v>
      </c>
      <c r="Q62">
        <f>Source!X38</f>
        <v>0</v>
      </c>
      <c r="R62">
        <f>Source!X39</f>
        <v>0</v>
      </c>
      <c r="S62">
        <f>Source!Y38</f>
        <v>0</v>
      </c>
      <c r="T62">
        <f>Source!Y39</f>
        <v>0</v>
      </c>
      <c r="U62">
        <f>ROUND((175/100)*ROUND(Source!R38, 2), 2)</f>
        <v>0</v>
      </c>
      <c r="V62">
        <f>ROUND((0/100)*ROUND(Source!R39, 2), 2)</f>
        <v>0</v>
      </c>
      <c r="AC62">
        <v>3</v>
      </c>
    </row>
    <row r="63" spans="1:29" ht="14.15" x14ac:dyDescent="0.3">
      <c r="A63" s="35"/>
      <c r="B63" s="35"/>
      <c r="C63" s="35" t="s">
        <v>422</v>
      </c>
      <c r="D63" s="37" t="s">
        <v>423</v>
      </c>
      <c r="E63" s="36">
        <f>Source!BZ37</f>
        <v>90</v>
      </c>
      <c r="F63" s="39"/>
      <c r="G63" s="38"/>
      <c r="H63" s="36"/>
      <c r="I63" s="39">
        <f>SUM(Q57:Q62)</f>
        <v>13.5</v>
      </c>
      <c r="J63" s="36">
        <f>Source!AT37</f>
        <v>90</v>
      </c>
      <c r="K63" s="39">
        <f>SUM(R57:R62)</f>
        <v>742.37</v>
      </c>
    </row>
    <row r="64" spans="1:29" ht="14.15" x14ac:dyDescent="0.3">
      <c r="A64" s="35"/>
      <c r="B64" s="35"/>
      <c r="C64" s="35" t="s">
        <v>424</v>
      </c>
      <c r="D64" s="37" t="s">
        <v>423</v>
      </c>
      <c r="E64" s="36">
        <f>Source!CA37</f>
        <v>46</v>
      </c>
      <c r="F64" s="39"/>
      <c r="G64" s="38"/>
      <c r="H64" s="36"/>
      <c r="I64" s="39">
        <f>SUM(S57:S63)</f>
        <v>6.9</v>
      </c>
      <c r="J64" s="36">
        <f>Source!AU37</f>
        <v>46</v>
      </c>
      <c r="K64" s="39">
        <f>SUM(T57:T63)</f>
        <v>379.43</v>
      </c>
    </row>
    <row r="65" spans="1:29" ht="14.15" x14ac:dyDescent="0.3">
      <c r="A65" s="46"/>
      <c r="B65" s="46"/>
      <c r="C65" s="46" t="s">
        <v>425</v>
      </c>
      <c r="D65" s="47" t="s">
        <v>426</v>
      </c>
      <c r="E65" s="48">
        <f>Source!AQ36</f>
        <v>1.03</v>
      </c>
      <c r="F65" s="49"/>
      <c r="G65" s="50" t="str">
        <f>Source!DI36</f>
        <v>*1,1</v>
      </c>
      <c r="H65" s="48">
        <f>Source!AV37</f>
        <v>1.0469999999999999</v>
      </c>
      <c r="I65" s="49">
        <f>Source!U36</f>
        <v>1.1862510000000002</v>
      </c>
      <c r="J65" s="48"/>
      <c r="K65" s="49"/>
    </row>
    <row r="66" spans="1:29" ht="14.15" x14ac:dyDescent="0.3">
      <c r="C66" s="51" t="s">
        <v>427</v>
      </c>
      <c r="H66" s="52">
        <f>I58+I59+I61+I63+I64+SUM(I62:I62)-SUMIF(AC62:AC62, 5, I62:I62)-SUMIF(AC62:AC62, 6, I62:I62)</f>
        <v>637.49</v>
      </c>
      <c r="I66" s="52"/>
      <c r="J66" s="52">
        <f>K58+K59+K61+K63+K64+SUM(K62:K62)-SUMIF(AC62:AC62, 5, K62:K62)-SUMIF(AC62:AC62, 6, K62:K62)</f>
        <v>7907.3499999999995</v>
      </c>
      <c r="K66" s="52"/>
    </row>
    <row r="67" spans="1:29" ht="14.15" hidden="1" x14ac:dyDescent="0.3">
      <c r="C67" s="51" t="s">
        <v>428</v>
      </c>
      <c r="H67" s="54">
        <f>SUMIF(AC62:AC62, 5, I62:I62)+SUMIF(AC62:AC62, 6, I62:I62)</f>
        <v>0</v>
      </c>
      <c r="I67" s="54"/>
      <c r="J67" s="54">
        <f>SUMIF(AC62:AC62, 5, K62:K62)+SUMIF(AC62:AC62, 6, K62:K62)</f>
        <v>0</v>
      </c>
      <c r="K67" s="54"/>
    </row>
    <row r="68" spans="1:29" ht="14.15" x14ac:dyDescent="0.3">
      <c r="C68" s="51" t="s">
        <v>429</v>
      </c>
      <c r="H68" s="54">
        <f>I58+I59+I61+I63+I64+SUM(I62:I62)</f>
        <v>637.49</v>
      </c>
      <c r="I68" s="54"/>
      <c r="J68" s="54">
        <f>K58+K59+K61+K63+K64+SUM(K62:K62)</f>
        <v>7907.3499999999995</v>
      </c>
      <c r="K68" s="54"/>
      <c r="O68" s="55">
        <f>I58+I59+I61+I63+I64+SUM(I62:I62)</f>
        <v>637.49</v>
      </c>
      <c r="P68" s="55">
        <f>K58+K59+K61+K63+K64+SUM(K62:K62)</f>
        <v>7907.3499999999995</v>
      </c>
    </row>
    <row r="70" spans="1:29" ht="78.45" x14ac:dyDescent="0.3">
      <c r="A70" s="35">
        <v>4</v>
      </c>
      <c r="B70" s="35" t="s">
        <v>434</v>
      </c>
      <c r="C70" s="35" t="s">
        <v>60</v>
      </c>
      <c r="D70" s="37" t="str">
        <f>Source!H40</f>
        <v>1  ШТ.</v>
      </c>
      <c r="E70" s="36">
        <f>Source!I40</f>
        <v>1</v>
      </c>
      <c r="F70" s="39"/>
      <c r="G70" s="38"/>
      <c r="H70" s="36"/>
      <c r="I70" s="39"/>
      <c r="J70" s="36"/>
      <c r="K70" s="39"/>
      <c r="Q70">
        <f>Source!X40</f>
        <v>313.95</v>
      </c>
      <c r="R70">
        <f>Source!X41</f>
        <v>17263.939999999999</v>
      </c>
      <c r="S70">
        <f>Source!Y40</f>
        <v>160.46</v>
      </c>
      <c r="T70">
        <f>Source!Y41</f>
        <v>8823.7900000000009</v>
      </c>
      <c r="U70">
        <f>ROUND((175/100)*ROUND(Source!R40, 2), 2)</f>
        <v>0</v>
      </c>
      <c r="V70">
        <f>ROUND((0/100)*ROUND(Source!R41, 2), 2)</f>
        <v>0</v>
      </c>
      <c r="AC70">
        <v>0</v>
      </c>
    </row>
    <row r="71" spans="1:29" ht="14.15" x14ac:dyDescent="0.3">
      <c r="A71" s="35"/>
      <c r="B71" s="35"/>
      <c r="C71" s="35" t="s">
        <v>417</v>
      </c>
      <c r="D71" s="37"/>
      <c r="E71" s="36"/>
      <c r="F71" s="39">
        <f>Source!AO40</f>
        <v>302.88</v>
      </c>
      <c r="G71" s="38" t="str">
        <f>Source!DG40</f>
        <v>*1,1</v>
      </c>
      <c r="H71" s="36">
        <f>Source!AV41</f>
        <v>1.0469999999999999</v>
      </c>
      <c r="I71" s="39">
        <f>Source!S40</f>
        <v>348.83</v>
      </c>
      <c r="J71" s="36">
        <f>IF(Source!BA41&lt;&gt; 0, Source!BA41, 1)</f>
        <v>54.99</v>
      </c>
      <c r="K71" s="39">
        <f>Source!S41</f>
        <v>19182.16</v>
      </c>
    </row>
    <row r="72" spans="1:29" ht="14.15" x14ac:dyDescent="0.3">
      <c r="A72" s="35"/>
      <c r="B72" s="35"/>
      <c r="C72" s="35" t="s">
        <v>420</v>
      </c>
      <c r="D72" s="37"/>
      <c r="E72" s="36"/>
      <c r="F72" s="39">
        <f>Source!AL40</f>
        <v>17</v>
      </c>
      <c r="G72" s="38" t="str">
        <f>Source!DD40</f>
        <v/>
      </c>
      <c r="H72" s="36">
        <f>Source!AW41</f>
        <v>1</v>
      </c>
      <c r="I72" s="39">
        <f>Source!P40</f>
        <v>17</v>
      </c>
      <c r="J72" s="36">
        <f>IF(Source!BC41&lt;&gt; 0, Source!BC41, 1)</f>
        <v>9.89</v>
      </c>
      <c r="K72" s="39">
        <f>Source!P41</f>
        <v>168.13</v>
      </c>
    </row>
    <row r="73" spans="1:29" ht="54" x14ac:dyDescent="0.3">
      <c r="A73" s="41" t="s">
        <v>62</v>
      </c>
      <c r="B73" s="41" t="str">
        <f>Source!F42</f>
        <v>КА 5</v>
      </c>
      <c r="C73" s="41" t="s">
        <v>435</v>
      </c>
      <c r="D73" s="42" t="str">
        <f>Source!H42</f>
        <v>шт.</v>
      </c>
      <c r="E73" s="43">
        <f>Source!I42</f>
        <v>1</v>
      </c>
      <c r="F73" s="44">
        <f>Source!AK42</f>
        <v>12025.03</v>
      </c>
      <c r="G73" s="45" t="s">
        <v>3</v>
      </c>
      <c r="H73" s="43">
        <f>Source!AW43</f>
        <v>1</v>
      </c>
      <c r="I73" s="44">
        <f>Source!O42</f>
        <v>12025.03</v>
      </c>
      <c r="J73" s="43">
        <f>IF(Source!BC43&lt;&gt; 0, Source!BC43, 1)</f>
        <v>7.66</v>
      </c>
      <c r="K73" s="44">
        <f>Source!O43</f>
        <v>92111.73</v>
      </c>
      <c r="Q73">
        <f>Source!X42</f>
        <v>0</v>
      </c>
      <c r="R73">
        <f>Source!X43</f>
        <v>0</v>
      </c>
      <c r="S73">
        <f>Source!Y42</f>
        <v>0</v>
      </c>
      <c r="T73">
        <f>Source!Y43</f>
        <v>0</v>
      </c>
      <c r="U73">
        <f>ROUND((175/100)*ROUND(Source!R42, 2), 2)</f>
        <v>0</v>
      </c>
      <c r="V73">
        <f>ROUND((0/100)*ROUND(Source!R43, 2), 2)</f>
        <v>0</v>
      </c>
      <c r="AC73">
        <v>5</v>
      </c>
    </row>
    <row r="74" spans="1:29" ht="42.45" x14ac:dyDescent="0.3">
      <c r="A74" s="41" t="s">
        <v>66</v>
      </c>
      <c r="B74" s="41" t="str">
        <f>Source!F44</f>
        <v>13.1-1-20</v>
      </c>
      <c r="C74" s="41" t="s">
        <v>436</v>
      </c>
      <c r="D74" s="42" t="str">
        <f>Source!H44</f>
        <v>шт.</v>
      </c>
      <c r="E74" s="43">
        <f>Source!I44</f>
        <v>2</v>
      </c>
      <c r="F74" s="44">
        <f>Source!AK44</f>
        <v>89.39</v>
      </c>
      <c r="G74" s="45" t="s">
        <v>3</v>
      </c>
      <c r="H74" s="43">
        <f>Source!AW45</f>
        <v>1</v>
      </c>
      <c r="I74" s="44">
        <f>Source!O44</f>
        <v>178.78</v>
      </c>
      <c r="J74" s="43">
        <f>IF(Source!BC45&lt;&gt; 0, Source!BC45, 1)</f>
        <v>8.75</v>
      </c>
      <c r="K74" s="44">
        <f>Source!O45</f>
        <v>1564.33</v>
      </c>
      <c r="Q74">
        <f>Source!X44</f>
        <v>0</v>
      </c>
      <c r="R74">
        <f>Source!X45</f>
        <v>0</v>
      </c>
      <c r="S74">
        <f>Source!Y44</f>
        <v>0</v>
      </c>
      <c r="T74">
        <f>Source!Y45</f>
        <v>0</v>
      </c>
      <c r="U74">
        <f>ROUND((175/100)*ROUND(Source!R44, 2), 2)</f>
        <v>0</v>
      </c>
      <c r="V74">
        <f>ROUND((0/100)*ROUND(Source!R45, 2), 2)</f>
        <v>0</v>
      </c>
      <c r="AC74">
        <v>5</v>
      </c>
    </row>
    <row r="75" spans="1:29" ht="14.15" x14ac:dyDescent="0.3">
      <c r="A75" s="35"/>
      <c r="B75" s="35"/>
      <c r="C75" s="35" t="s">
        <v>422</v>
      </c>
      <c r="D75" s="37" t="s">
        <v>423</v>
      </c>
      <c r="E75" s="36">
        <f>Source!BZ41</f>
        <v>90</v>
      </c>
      <c r="F75" s="39"/>
      <c r="G75" s="38"/>
      <c r="H75" s="36"/>
      <c r="I75" s="39">
        <f>SUM(Q70:Q74)</f>
        <v>313.95</v>
      </c>
      <c r="J75" s="36">
        <f>Source!AT41</f>
        <v>90</v>
      </c>
      <c r="K75" s="39">
        <f>SUM(R70:R74)</f>
        <v>17263.939999999999</v>
      </c>
    </row>
    <row r="76" spans="1:29" ht="14.15" x14ac:dyDescent="0.3">
      <c r="A76" s="35"/>
      <c r="B76" s="35"/>
      <c r="C76" s="35" t="s">
        <v>424</v>
      </c>
      <c r="D76" s="37" t="s">
        <v>423</v>
      </c>
      <c r="E76" s="36">
        <f>Source!CA41</f>
        <v>46</v>
      </c>
      <c r="F76" s="39"/>
      <c r="G76" s="38"/>
      <c r="H76" s="36"/>
      <c r="I76" s="39">
        <f>SUM(S70:S75)</f>
        <v>160.46</v>
      </c>
      <c r="J76" s="36">
        <f>Source!AU41</f>
        <v>46</v>
      </c>
      <c r="K76" s="39">
        <f>SUM(T70:T75)</f>
        <v>8823.7900000000009</v>
      </c>
    </row>
    <row r="77" spans="1:29" ht="14.15" x14ac:dyDescent="0.3">
      <c r="A77" s="46"/>
      <c r="B77" s="46"/>
      <c r="C77" s="46" t="s">
        <v>425</v>
      </c>
      <c r="D77" s="47" t="s">
        <v>426</v>
      </c>
      <c r="E77" s="48">
        <f>Source!AQ40</f>
        <v>24</v>
      </c>
      <c r="F77" s="49"/>
      <c r="G77" s="50" t="str">
        <f>Source!DI40</f>
        <v>*1,1</v>
      </c>
      <c r="H77" s="48">
        <f>Source!AV41</f>
        <v>1.0469999999999999</v>
      </c>
      <c r="I77" s="49">
        <f>Source!U40</f>
        <v>27.640799999999999</v>
      </c>
      <c r="J77" s="48"/>
      <c r="K77" s="49"/>
    </row>
    <row r="78" spans="1:29" ht="14.15" x14ac:dyDescent="0.3">
      <c r="C78" s="51" t="s">
        <v>427</v>
      </c>
      <c r="H78" s="52">
        <f>I71+I72+I75+I76+SUM(I73:I74)-SUMIF(AC73:AC74, 5, I73:I74)-SUMIF(AC73:AC74, 6, I73:I74)</f>
        <v>840.23999999999978</v>
      </c>
      <c r="I78" s="52"/>
      <c r="J78" s="52">
        <f>K71+K72+K75+K76+SUM(K73:K74)-SUMIF(AC73:AC74, 5, K73:K74)-SUMIF(AC73:AC74, 6, K73:K74)</f>
        <v>45438.01999999999</v>
      </c>
      <c r="K78" s="52"/>
    </row>
    <row r="79" spans="1:29" ht="14.15" x14ac:dyDescent="0.3">
      <c r="C79" s="51" t="s">
        <v>428</v>
      </c>
      <c r="H79" s="54">
        <f>SUMIF(AC73:AC74, 5, I73:I74)+SUMIF(AC73:AC74, 6, I73:I74)</f>
        <v>12203.810000000001</v>
      </c>
      <c r="I79" s="54"/>
      <c r="J79" s="54">
        <f>SUMIF(AC73:AC74, 5, K73:K74)+SUMIF(AC73:AC74, 6, K73:K74)</f>
        <v>93676.06</v>
      </c>
      <c r="K79" s="54"/>
    </row>
    <row r="80" spans="1:29" ht="14.15" x14ac:dyDescent="0.3">
      <c r="C80" s="51" t="s">
        <v>429</v>
      </c>
      <c r="H80" s="54">
        <f>I71+I72+I75+I76+SUM(I73:I74)</f>
        <v>13044.050000000001</v>
      </c>
      <c r="I80" s="54"/>
      <c r="J80" s="54">
        <f>K71+K72+K75+K76+SUM(K73:K74)</f>
        <v>139114.07999999999</v>
      </c>
      <c r="K80" s="54"/>
      <c r="O80" s="55">
        <f>I71+I72+I75+I76+SUM(I73:I74)</f>
        <v>13044.050000000001</v>
      </c>
      <c r="P80" s="55">
        <f>K71+K72+K75+K76+SUM(K73:K74)</f>
        <v>139114.07999999999</v>
      </c>
    </row>
    <row r="82" spans="1:29" ht="78.45" x14ac:dyDescent="0.3">
      <c r="A82" s="35">
        <v>5</v>
      </c>
      <c r="B82" s="35" t="s">
        <v>437</v>
      </c>
      <c r="C82" s="35" t="s">
        <v>71</v>
      </c>
      <c r="D82" s="37" t="str">
        <f>Source!H46</f>
        <v>1  ШТ.</v>
      </c>
      <c r="E82" s="36">
        <f>Source!I46</f>
        <v>1</v>
      </c>
      <c r="F82" s="39"/>
      <c r="G82" s="38"/>
      <c r="H82" s="36"/>
      <c r="I82" s="39"/>
      <c r="J82" s="36"/>
      <c r="K82" s="39"/>
      <c r="Q82">
        <f>Source!X46</f>
        <v>69.349999999999994</v>
      </c>
      <c r="R82">
        <f>Source!X47</f>
        <v>3813.28</v>
      </c>
      <c r="S82">
        <f>Source!Y46</f>
        <v>35.44</v>
      </c>
      <c r="T82">
        <f>Source!Y47</f>
        <v>1949.01</v>
      </c>
      <c r="U82">
        <f>ROUND((175/100)*ROUND(Source!R46, 2), 2)</f>
        <v>0</v>
      </c>
      <c r="V82">
        <f>ROUND((0/100)*ROUND(Source!R47, 2), 2)</f>
        <v>0</v>
      </c>
      <c r="AC82">
        <v>0</v>
      </c>
    </row>
    <row r="83" spans="1:29" ht="14.15" x14ac:dyDescent="0.3">
      <c r="A83" s="35"/>
      <c r="B83" s="35"/>
      <c r="C83" s="35" t="s">
        <v>417</v>
      </c>
      <c r="D83" s="37"/>
      <c r="E83" s="36"/>
      <c r="F83" s="39">
        <f>Source!AO46</f>
        <v>66.900000000000006</v>
      </c>
      <c r="G83" s="38" t="str">
        <f>Source!DG46</f>
        <v>*1,1</v>
      </c>
      <c r="H83" s="36">
        <f>Source!AV47</f>
        <v>1.0469999999999999</v>
      </c>
      <c r="I83" s="39">
        <f>Source!S46</f>
        <v>77.05</v>
      </c>
      <c r="J83" s="36">
        <f>IF(Source!BA47&lt;&gt; 0, Source!BA47, 1)</f>
        <v>54.99</v>
      </c>
      <c r="K83" s="39">
        <f>Source!S47</f>
        <v>4236.9799999999996</v>
      </c>
    </row>
    <row r="84" spans="1:29" ht="14.15" x14ac:dyDescent="0.3">
      <c r="A84" s="35"/>
      <c r="B84" s="35"/>
      <c r="C84" s="35" t="s">
        <v>418</v>
      </c>
      <c r="D84" s="37"/>
      <c r="E84" s="36"/>
      <c r="F84" s="39">
        <f>Source!AM46</f>
        <v>0.1</v>
      </c>
      <c r="G84" s="38" t="str">
        <f>Source!DE46</f>
        <v>*1,1</v>
      </c>
      <c r="H84" s="36">
        <f>Source!AV47</f>
        <v>1.0469999999999999</v>
      </c>
      <c r="I84" s="39">
        <f>Source!Q46</f>
        <v>0.12</v>
      </c>
      <c r="J84" s="36">
        <f>IF(Source!BB47&lt;&gt; 0, Source!BB47, 1)</f>
        <v>8.9</v>
      </c>
      <c r="K84" s="39">
        <f>Source!Q47</f>
        <v>1.07</v>
      </c>
    </row>
    <row r="85" spans="1:29" ht="14.15" x14ac:dyDescent="0.3">
      <c r="A85" s="35"/>
      <c r="B85" s="35"/>
      <c r="C85" s="35" t="s">
        <v>420</v>
      </c>
      <c r="D85" s="37"/>
      <c r="E85" s="36"/>
      <c r="F85" s="39">
        <f>Source!AL46</f>
        <v>2.67</v>
      </c>
      <c r="G85" s="38" t="str">
        <f>Source!DD46</f>
        <v/>
      </c>
      <c r="H85" s="36">
        <f>Source!AW47</f>
        <v>1</v>
      </c>
      <c r="I85" s="39">
        <f>Source!P46</f>
        <v>2.67</v>
      </c>
      <c r="J85" s="36">
        <f>IF(Source!BC47&lt;&gt; 0, Source!BC47, 1)</f>
        <v>0.9</v>
      </c>
      <c r="K85" s="39">
        <f>Source!P47</f>
        <v>2.4</v>
      </c>
    </row>
    <row r="86" spans="1:29" ht="54" x14ac:dyDescent="0.3">
      <c r="A86" s="41" t="s">
        <v>73</v>
      </c>
      <c r="B86" s="41" t="str">
        <f>Source!F48</f>
        <v>КА 6</v>
      </c>
      <c r="C86" s="41" t="s">
        <v>438</v>
      </c>
      <c r="D86" s="42" t="str">
        <f>Source!H48</f>
        <v>шт.</v>
      </c>
      <c r="E86" s="43">
        <f>Source!I48</f>
        <v>1</v>
      </c>
      <c r="F86" s="44">
        <f>Source!AK48</f>
        <v>9139.8999999999978</v>
      </c>
      <c r="G86" s="45" t="s">
        <v>3</v>
      </c>
      <c r="H86" s="43">
        <f>Source!AW49</f>
        <v>1</v>
      </c>
      <c r="I86" s="44">
        <f>Source!O48</f>
        <v>9139.9</v>
      </c>
      <c r="J86" s="43">
        <f>IF(Source!BC49&lt;&gt; 0, Source!BC49, 1)</f>
        <v>7.66</v>
      </c>
      <c r="K86" s="44">
        <f>Source!O49</f>
        <v>70011.63</v>
      </c>
      <c r="Q86">
        <f>Source!X48</f>
        <v>0</v>
      </c>
      <c r="R86">
        <f>Source!X49</f>
        <v>0</v>
      </c>
      <c r="S86">
        <f>Source!Y48</f>
        <v>0</v>
      </c>
      <c r="T86">
        <f>Source!Y49</f>
        <v>0</v>
      </c>
      <c r="U86">
        <f>ROUND((175/100)*ROUND(Source!R48, 2), 2)</f>
        <v>0</v>
      </c>
      <c r="V86">
        <f>ROUND((0/100)*ROUND(Source!R49, 2), 2)</f>
        <v>0</v>
      </c>
      <c r="AC86">
        <v>5</v>
      </c>
    </row>
    <row r="87" spans="1:29" ht="14.15" x14ac:dyDescent="0.3">
      <c r="A87" s="35"/>
      <c r="B87" s="35"/>
      <c r="C87" s="35" t="s">
        <v>422</v>
      </c>
      <c r="D87" s="37" t="s">
        <v>423</v>
      </c>
      <c r="E87" s="36">
        <f>Source!BZ47</f>
        <v>90</v>
      </c>
      <c r="F87" s="39"/>
      <c r="G87" s="38"/>
      <c r="H87" s="36"/>
      <c r="I87" s="39">
        <f>SUM(Q82:Q86)</f>
        <v>69.349999999999994</v>
      </c>
      <c r="J87" s="36">
        <f>Source!AT47</f>
        <v>90</v>
      </c>
      <c r="K87" s="39">
        <f>SUM(R82:R86)</f>
        <v>3813.28</v>
      </c>
    </row>
    <row r="88" spans="1:29" ht="14.15" x14ac:dyDescent="0.3">
      <c r="A88" s="35"/>
      <c r="B88" s="35"/>
      <c r="C88" s="35" t="s">
        <v>424</v>
      </c>
      <c r="D88" s="37" t="s">
        <v>423</v>
      </c>
      <c r="E88" s="36">
        <f>Source!CA47</f>
        <v>46</v>
      </c>
      <c r="F88" s="39"/>
      <c r="G88" s="38"/>
      <c r="H88" s="36"/>
      <c r="I88" s="39">
        <f>SUM(S82:S87)</f>
        <v>35.44</v>
      </c>
      <c r="J88" s="36">
        <f>Source!AU47</f>
        <v>46</v>
      </c>
      <c r="K88" s="39">
        <f>SUM(T82:T87)</f>
        <v>1949.01</v>
      </c>
    </row>
    <row r="89" spans="1:29" ht="14.15" x14ac:dyDescent="0.3">
      <c r="A89" s="46"/>
      <c r="B89" s="46"/>
      <c r="C89" s="46" t="s">
        <v>425</v>
      </c>
      <c r="D89" s="47" t="s">
        <v>426</v>
      </c>
      <c r="E89" s="48">
        <f>Source!AQ46</f>
        <v>5</v>
      </c>
      <c r="F89" s="49"/>
      <c r="G89" s="50" t="str">
        <f>Source!DI46</f>
        <v>*1,1</v>
      </c>
      <c r="H89" s="48">
        <f>Source!AV47</f>
        <v>1.0469999999999999</v>
      </c>
      <c r="I89" s="49">
        <f>Source!U46</f>
        <v>5.7584999999999997</v>
      </c>
      <c r="J89" s="48"/>
      <c r="K89" s="49"/>
    </row>
    <row r="90" spans="1:29" ht="14.15" x14ac:dyDescent="0.3">
      <c r="C90" s="51" t="s">
        <v>427</v>
      </c>
      <c r="H90" s="52">
        <f>I83+I84+I85+I87+I88+SUM(I86:I86)-SUMIF(AC86:AC86, 5, I86:I86)-SUMIF(AC86:AC86, 6, I86:I86)</f>
        <v>184.6299999999992</v>
      </c>
      <c r="I90" s="52"/>
      <c r="J90" s="52">
        <f>K83+K84+K85+K87+K88+SUM(K86:K86)-SUMIF(AC86:AC86, 5, K86:K86)-SUMIF(AC86:AC86, 6, K86:K86)</f>
        <v>10002.740000000005</v>
      </c>
      <c r="K90" s="52"/>
    </row>
    <row r="91" spans="1:29" ht="14.15" x14ac:dyDescent="0.3">
      <c r="C91" s="51" t="s">
        <v>428</v>
      </c>
      <c r="H91" s="54">
        <f>SUMIF(AC86:AC86, 5, I86:I86)+SUMIF(AC86:AC86, 6, I86:I86)</f>
        <v>9139.9</v>
      </c>
      <c r="I91" s="54"/>
      <c r="J91" s="54">
        <f>SUMIF(AC86:AC86, 5, K86:K86)+SUMIF(AC86:AC86, 6, K86:K86)</f>
        <v>70011.63</v>
      </c>
      <c r="K91" s="54"/>
    </row>
    <row r="92" spans="1:29" ht="14.15" x14ac:dyDescent="0.3">
      <c r="C92" s="51" t="s">
        <v>429</v>
      </c>
      <c r="H92" s="54">
        <f>I83+I84+I85+I87+I88+SUM(I86:I86)</f>
        <v>9324.5299999999988</v>
      </c>
      <c r="I92" s="54"/>
      <c r="J92" s="54">
        <f>K83+K84+K85+K87+K88+SUM(K86:K86)</f>
        <v>80014.37000000001</v>
      </c>
      <c r="K92" s="54"/>
      <c r="O92" s="55">
        <f>I83+I84+I85+I87+I88+SUM(I86:I86)</f>
        <v>9324.5299999999988</v>
      </c>
      <c r="P92" s="55">
        <f>K83+K84+K85+K87+K88+SUM(K86:K86)</f>
        <v>80014.37000000001</v>
      </c>
    </row>
    <row r="94" spans="1:29" ht="78.45" x14ac:dyDescent="0.3">
      <c r="A94" s="35">
        <v>6</v>
      </c>
      <c r="B94" s="35" t="s">
        <v>430</v>
      </c>
      <c r="C94" s="35" t="s">
        <v>41</v>
      </c>
      <c r="D94" s="37" t="str">
        <f>Source!H50</f>
        <v>10 шт.</v>
      </c>
      <c r="E94" s="36">
        <f>Source!I50</f>
        <v>1.7</v>
      </c>
      <c r="F94" s="39"/>
      <c r="G94" s="38"/>
      <c r="H94" s="36"/>
      <c r="I94" s="39"/>
      <c r="J94" s="36"/>
      <c r="K94" s="39"/>
      <c r="Q94">
        <f>Source!X50</f>
        <v>402.11</v>
      </c>
      <c r="R94">
        <f>Source!X51</f>
        <v>22112.09</v>
      </c>
      <c r="S94">
        <f>Source!Y50</f>
        <v>205.52</v>
      </c>
      <c r="T94">
        <f>Source!Y51</f>
        <v>11301.74</v>
      </c>
      <c r="U94">
        <f>ROUND((175/100)*ROUND(Source!R50, 2), 2)</f>
        <v>2.61</v>
      </c>
      <c r="V94">
        <f>ROUND((0/100)*ROUND(Source!R51, 2), 2)</f>
        <v>0</v>
      </c>
      <c r="AC94">
        <v>0</v>
      </c>
    </row>
    <row r="95" spans="1:29" x14ac:dyDescent="0.3">
      <c r="C95" s="56" t="str">
        <f>"Объем: "&amp;Source!I50&amp;"=17/"&amp;"10"</f>
        <v>Объем: 1,7=17/10</v>
      </c>
    </row>
    <row r="96" spans="1:29" ht="14.15" x14ac:dyDescent="0.3">
      <c r="A96" s="35"/>
      <c r="B96" s="35"/>
      <c r="C96" s="35" t="s">
        <v>417</v>
      </c>
      <c r="D96" s="37"/>
      <c r="E96" s="36"/>
      <c r="F96" s="39">
        <f>Source!AO50</f>
        <v>227.44</v>
      </c>
      <c r="G96" s="38" t="str">
        <f>Source!DG50</f>
        <v>*1,1</v>
      </c>
      <c r="H96" s="36">
        <f>Source!AV51</f>
        <v>1.0469999999999999</v>
      </c>
      <c r="I96" s="39">
        <f>Source!S50</f>
        <v>445.3</v>
      </c>
      <c r="J96" s="36">
        <f>IF(Source!BA51&lt;&gt; 0, Source!BA51, 1)</f>
        <v>54.99</v>
      </c>
      <c r="K96" s="39">
        <f>Source!S51</f>
        <v>24487.05</v>
      </c>
    </row>
    <row r="97" spans="1:29" ht="14.15" x14ac:dyDescent="0.3">
      <c r="A97" s="35"/>
      <c r="B97" s="35"/>
      <c r="C97" s="35" t="s">
        <v>418</v>
      </c>
      <c r="D97" s="37"/>
      <c r="E97" s="36"/>
      <c r="F97" s="39">
        <f>Source!AM50</f>
        <v>6.07</v>
      </c>
      <c r="G97" s="38" t="str">
        <f>Source!DE50</f>
        <v>*1,1</v>
      </c>
      <c r="H97" s="36">
        <f>Source!AV51</f>
        <v>1.0469999999999999</v>
      </c>
      <c r="I97" s="39">
        <f>Source!Q50</f>
        <v>11.88</v>
      </c>
      <c r="J97" s="36">
        <f>IF(Source!BB51&lt;&gt; 0, Source!BB51, 1)</f>
        <v>14.94</v>
      </c>
      <c r="K97" s="39">
        <f>Source!Q51</f>
        <v>177.49</v>
      </c>
    </row>
    <row r="98" spans="1:29" ht="14.15" x14ac:dyDescent="0.3">
      <c r="A98" s="35"/>
      <c r="B98" s="35"/>
      <c r="C98" s="35" t="s">
        <v>419</v>
      </c>
      <c r="D98" s="37"/>
      <c r="E98" s="36"/>
      <c r="F98" s="39">
        <f>Source!AN50</f>
        <v>0.76</v>
      </c>
      <c r="G98" s="38" t="str">
        <f>Source!DF50</f>
        <v>*1,1</v>
      </c>
      <c r="H98" s="36">
        <f>Source!AV51</f>
        <v>1.0469999999999999</v>
      </c>
      <c r="I98" s="40">
        <f>Source!R50</f>
        <v>1.49</v>
      </c>
      <c r="J98" s="36">
        <f>IF(Source!BS51&lt;&gt; 0, Source!BS51, 1)</f>
        <v>54.99</v>
      </c>
      <c r="K98" s="40">
        <f>Source!R51</f>
        <v>81.94</v>
      </c>
    </row>
    <row r="99" spans="1:29" ht="14.15" x14ac:dyDescent="0.3">
      <c r="A99" s="35"/>
      <c r="B99" s="35"/>
      <c r="C99" s="35" t="s">
        <v>420</v>
      </c>
      <c r="D99" s="37"/>
      <c r="E99" s="36"/>
      <c r="F99" s="39">
        <f>Source!AL50</f>
        <v>2.44</v>
      </c>
      <c r="G99" s="38" t="str">
        <f>Source!DD50</f>
        <v/>
      </c>
      <c r="H99" s="36">
        <f>Source!AW51</f>
        <v>1</v>
      </c>
      <c r="I99" s="39">
        <f>Source!P50</f>
        <v>4.1500000000000004</v>
      </c>
      <c r="J99" s="36">
        <f>IF(Source!BC51&lt;&gt; 0, Source!BC51, 1)</f>
        <v>7.23</v>
      </c>
      <c r="K99" s="39">
        <f>Source!P51</f>
        <v>30</v>
      </c>
    </row>
    <row r="100" spans="1:29" ht="68.150000000000006" x14ac:dyDescent="0.3">
      <c r="A100" s="41" t="s">
        <v>78</v>
      </c>
      <c r="B100" s="41" t="str">
        <f>Source!F52</f>
        <v>КА 7</v>
      </c>
      <c r="C100" s="41" t="s">
        <v>439</v>
      </c>
      <c r="D100" s="42" t="str">
        <f>Source!H52</f>
        <v>шт.</v>
      </c>
      <c r="E100" s="43">
        <f>Source!I52</f>
        <v>17</v>
      </c>
      <c r="F100" s="44">
        <f>Source!AK52</f>
        <v>3340.8300000000004</v>
      </c>
      <c r="G100" s="45" t="s">
        <v>3</v>
      </c>
      <c r="H100" s="43">
        <f>Source!AW53</f>
        <v>1</v>
      </c>
      <c r="I100" s="44">
        <f>Source!O52</f>
        <v>56794.11</v>
      </c>
      <c r="J100" s="43">
        <f>IF(Source!BC53&lt;&gt; 0, Source!BC53, 1)</f>
        <v>7.66</v>
      </c>
      <c r="K100" s="44">
        <f>Source!O53</f>
        <v>435042.88</v>
      </c>
      <c r="Q100">
        <f>Source!X52</f>
        <v>0</v>
      </c>
      <c r="R100">
        <f>Source!X53</f>
        <v>0</v>
      </c>
      <c r="S100">
        <f>Source!Y52</f>
        <v>0</v>
      </c>
      <c r="T100">
        <f>Source!Y53</f>
        <v>0</v>
      </c>
      <c r="U100">
        <f>ROUND((175/100)*ROUND(Source!R52, 2), 2)</f>
        <v>0</v>
      </c>
      <c r="V100">
        <f>ROUND((0/100)*ROUND(Source!R53, 2), 2)</f>
        <v>0</v>
      </c>
      <c r="AC100">
        <v>5</v>
      </c>
    </row>
    <row r="101" spans="1:29" ht="14.15" x14ac:dyDescent="0.3">
      <c r="A101" s="35"/>
      <c r="B101" s="35"/>
      <c r="C101" s="35" t="s">
        <v>422</v>
      </c>
      <c r="D101" s="37" t="s">
        <v>423</v>
      </c>
      <c r="E101" s="36">
        <f>Source!BZ51</f>
        <v>90</v>
      </c>
      <c r="F101" s="39"/>
      <c r="G101" s="38"/>
      <c r="H101" s="36"/>
      <c r="I101" s="39">
        <f>SUM(Q94:Q100)</f>
        <v>402.11</v>
      </c>
      <c r="J101" s="36">
        <f>Source!AT51</f>
        <v>90</v>
      </c>
      <c r="K101" s="39">
        <f>SUM(R94:R100)</f>
        <v>22112.09</v>
      </c>
    </row>
    <row r="102" spans="1:29" ht="14.15" x14ac:dyDescent="0.3">
      <c r="A102" s="35"/>
      <c r="B102" s="35"/>
      <c r="C102" s="35" t="s">
        <v>424</v>
      </c>
      <c r="D102" s="37" t="s">
        <v>423</v>
      </c>
      <c r="E102" s="36">
        <f>Source!CA51</f>
        <v>46</v>
      </c>
      <c r="F102" s="39"/>
      <c r="G102" s="38"/>
      <c r="H102" s="36"/>
      <c r="I102" s="39">
        <f>SUM(S94:S101)</f>
        <v>205.52</v>
      </c>
      <c r="J102" s="36">
        <f>Source!AU51</f>
        <v>46</v>
      </c>
      <c r="K102" s="39">
        <f>SUM(T94:T101)</f>
        <v>11301.74</v>
      </c>
    </row>
    <row r="103" spans="1:29" ht="14.15" x14ac:dyDescent="0.3">
      <c r="A103" s="46"/>
      <c r="B103" s="46"/>
      <c r="C103" s="46" t="s">
        <v>425</v>
      </c>
      <c r="D103" s="47" t="s">
        <v>426</v>
      </c>
      <c r="E103" s="48">
        <f>Source!AQ50</f>
        <v>14.64</v>
      </c>
      <c r="F103" s="49"/>
      <c r="G103" s="50" t="str">
        <f>Source!DI50</f>
        <v>*1,1</v>
      </c>
      <c r="H103" s="48">
        <f>Source!AV51</f>
        <v>1.0469999999999999</v>
      </c>
      <c r="I103" s="49">
        <f>Source!U50</f>
        <v>28.663509600000005</v>
      </c>
      <c r="J103" s="48"/>
      <c r="K103" s="49"/>
    </row>
    <row r="104" spans="1:29" ht="14.15" x14ac:dyDescent="0.3">
      <c r="C104" s="51" t="s">
        <v>427</v>
      </c>
      <c r="H104" s="52">
        <f>I96+I97+I99+I101+I102+SUM(I100:I100)-SUMIF(AC100:AC100, 5, I100:I100)-SUMIF(AC100:AC100, 6, I100:I100)</f>
        <v>1068.9599999999991</v>
      </c>
      <c r="I104" s="52"/>
      <c r="J104" s="52">
        <f>K96+K97+K99+K101+K102+SUM(K100:K100)-SUMIF(AC100:AC100, 5, K100:K100)-SUMIF(AC100:AC100, 6, K100:K100)</f>
        <v>58108.369999999995</v>
      </c>
      <c r="K104" s="52"/>
    </row>
    <row r="105" spans="1:29" ht="14.15" x14ac:dyDescent="0.3">
      <c r="C105" s="51" t="s">
        <v>428</v>
      </c>
      <c r="H105" s="54">
        <f>SUMIF(AC100:AC100, 5, I100:I100)+SUMIF(AC100:AC100, 6, I100:I100)</f>
        <v>56794.11</v>
      </c>
      <c r="I105" s="54"/>
      <c r="J105" s="54">
        <f>SUMIF(AC100:AC100, 5, K100:K100)+SUMIF(AC100:AC100, 6, K100:K100)</f>
        <v>435042.88</v>
      </c>
      <c r="K105" s="54"/>
    </row>
    <row r="106" spans="1:29" ht="14.15" x14ac:dyDescent="0.3">
      <c r="C106" s="51" t="s">
        <v>429</v>
      </c>
      <c r="H106" s="54">
        <f>I96+I97+I99+I101+I102+SUM(I100:I100)</f>
        <v>57863.07</v>
      </c>
      <c r="I106" s="54"/>
      <c r="J106" s="54">
        <f>K96+K97+K99+K101+K102+SUM(K100:K100)</f>
        <v>493151.25</v>
      </c>
      <c r="K106" s="54"/>
      <c r="O106" s="55">
        <f>I96+I97+I99+I101+I102+SUM(I100:I100)</f>
        <v>57863.07</v>
      </c>
      <c r="P106" s="55">
        <f>K96+K97+K99+K101+K102+SUM(K100:K100)</f>
        <v>493151.25</v>
      </c>
    </row>
    <row r="108" spans="1:29" ht="78.45" x14ac:dyDescent="0.3">
      <c r="A108" s="35">
        <v>7</v>
      </c>
      <c r="B108" s="35" t="s">
        <v>440</v>
      </c>
      <c r="C108" s="35" t="s">
        <v>84</v>
      </c>
      <c r="D108" s="37" t="str">
        <f>Source!H54</f>
        <v>1  ШТ.</v>
      </c>
      <c r="E108" s="36">
        <f>Source!I54</f>
        <v>1</v>
      </c>
      <c r="F108" s="39"/>
      <c r="G108" s="38"/>
      <c r="H108" s="36"/>
      <c r="I108" s="39"/>
      <c r="J108" s="36"/>
      <c r="K108" s="39"/>
      <c r="Q108">
        <f>Source!X54</f>
        <v>47.48</v>
      </c>
      <c r="R108">
        <f>Source!X55</f>
        <v>2610.65</v>
      </c>
      <c r="S108">
        <f>Source!Y54</f>
        <v>24.27</v>
      </c>
      <c r="T108">
        <f>Source!Y55</f>
        <v>1334.33</v>
      </c>
      <c r="U108">
        <f>ROUND((175/100)*ROUND(Source!R54, 2), 2)</f>
        <v>0</v>
      </c>
      <c r="V108">
        <f>ROUND((0/100)*ROUND(Source!R55, 2), 2)</f>
        <v>0</v>
      </c>
      <c r="AC108">
        <v>0</v>
      </c>
    </row>
    <row r="109" spans="1:29" ht="14.15" x14ac:dyDescent="0.3">
      <c r="A109" s="35"/>
      <c r="B109" s="35"/>
      <c r="C109" s="35" t="s">
        <v>417</v>
      </c>
      <c r="D109" s="37"/>
      <c r="E109" s="36"/>
      <c r="F109" s="39">
        <f>Source!AO54</f>
        <v>45.8</v>
      </c>
      <c r="G109" s="38" t="str">
        <f>Source!DG54</f>
        <v>*1,1</v>
      </c>
      <c r="H109" s="36">
        <f>Source!AV55</f>
        <v>1.0469999999999999</v>
      </c>
      <c r="I109" s="39">
        <f>Source!S54</f>
        <v>52.75</v>
      </c>
      <c r="J109" s="36">
        <f>IF(Source!BA55&lt;&gt; 0, Source!BA55, 1)</f>
        <v>54.99</v>
      </c>
      <c r="K109" s="39">
        <f>Source!S55</f>
        <v>2900.72</v>
      </c>
    </row>
    <row r="110" spans="1:29" ht="14.15" x14ac:dyDescent="0.3">
      <c r="A110" s="35"/>
      <c r="B110" s="35"/>
      <c r="C110" s="35" t="s">
        <v>418</v>
      </c>
      <c r="D110" s="37"/>
      <c r="E110" s="36"/>
      <c r="F110" s="39">
        <f>Source!AM54</f>
        <v>0.08</v>
      </c>
      <c r="G110" s="38" t="str">
        <f>Source!DE54</f>
        <v>*1,1</v>
      </c>
      <c r="H110" s="36">
        <f>Source!AV55</f>
        <v>1.0469999999999999</v>
      </c>
      <c r="I110" s="39">
        <f>Source!Q54</f>
        <v>0.09</v>
      </c>
      <c r="J110" s="36">
        <f>IF(Source!BB55&lt;&gt; 0, Source!BB55, 1)</f>
        <v>8.6300000000000008</v>
      </c>
      <c r="K110" s="39">
        <f>Source!Q55</f>
        <v>0.78</v>
      </c>
    </row>
    <row r="111" spans="1:29" ht="14.15" x14ac:dyDescent="0.3">
      <c r="A111" s="35"/>
      <c r="B111" s="35"/>
      <c r="C111" s="35" t="s">
        <v>420</v>
      </c>
      <c r="D111" s="37"/>
      <c r="E111" s="36"/>
      <c r="F111" s="39">
        <f>Source!AL54</f>
        <v>1.78</v>
      </c>
      <c r="G111" s="38" t="str">
        <f>Source!DD54</f>
        <v/>
      </c>
      <c r="H111" s="36">
        <f>Source!AW55</f>
        <v>1</v>
      </c>
      <c r="I111" s="39">
        <f>Source!P54</f>
        <v>1.78</v>
      </c>
      <c r="J111" s="36">
        <f>IF(Source!BC55&lt;&gt; 0, Source!BC55, 1)</f>
        <v>0.9</v>
      </c>
      <c r="K111" s="39">
        <f>Source!P55</f>
        <v>1.6</v>
      </c>
    </row>
    <row r="112" spans="1:29" ht="54" x14ac:dyDescent="0.3">
      <c r="A112" s="41" t="s">
        <v>86</v>
      </c>
      <c r="B112" s="41" t="str">
        <f>Source!F56</f>
        <v>КА 8</v>
      </c>
      <c r="C112" s="41" t="s">
        <v>441</v>
      </c>
      <c r="D112" s="42" t="str">
        <f>Source!H56</f>
        <v>шт.</v>
      </c>
      <c r="E112" s="43">
        <f>Source!I56</f>
        <v>1</v>
      </c>
      <c r="F112" s="44">
        <f>Source!AK56</f>
        <v>1273.69</v>
      </c>
      <c r="G112" s="45" t="s">
        <v>3</v>
      </c>
      <c r="H112" s="43">
        <f>Source!AW57</f>
        <v>1</v>
      </c>
      <c r="I112" s="44">
        <f>Source!O56</f>
        <v>1273.69</v>
      </c>
      <c r="J112" s="43">
        <f>IF(Source!BC57&lt;&gt; 0, Source!BC57, 1)</f>
        <v>7.66</v>
      </c>
      <c r="K112" s="44">
        <f>Source!O57</f>
        <v>9756.4699999999993</v>
      </c>
      <c r="Q112">
        <f>Source!X56</f>
        <v>0</v>
      </c>
      <c r="R112">
        <f>Source!X57</f>
        <v>0</v>
      </c>
      <c r="S112">
        <f>Source!Y56</f>
        <v>0</v>
      </c>
      <c r="T112">
        <f>Source!Y57</f>
        <v>0</v>
      </c>
      <c r="U112">
        <f>ROUND((175/100)*ROUND(Source!R56, 2), 2)</f>
        <v>0</v>
      </c>
      <c r="V112">
        <f>ROUND((0/100)*ROUND(Source!R57, 2), 2)</f>
        <v>0</v>
      </c>
      <c r="AC112">
        <v>5</v>
      </c>
    </row>
    <row r="113" spans="1:29" ht="14.15" x14ac:dyDescent="0.3">
      <c r="A113" s="35"/>
      <c r="B113" s="35"/>
      <c r="C113" s="35" t="s">
        <v>422</v>
      </c>
      <c r="D113" s="37" t="s">
        <v>423</v>
      </c>
      <c r="E113" s="36">
        <f>Source!BZ55</f>
        <v>90</v>
      </c>
      <c r="F113" s="39"/>
      <c r="G113" s="38"/>
      <c r="H113" s="36"/>
      <c r="I113" s="39">
        <f>SUM(Q108:Q112)</f>
        <v>47.48</v>
      </c>
      <c r="J113" s="36">
        <f>Source!AT55</f>
        <v>90</v>
      </c>
      <c r="K113" s="39">
        <f>SUM(R108:R112)</f>
        <v>2610.65</v>
      </c>
    </row>
    <row r="114" spans="1:29" ht="14.15" x14ac:dyDescent="0.3">
      <c r="A114" s="35"/>
      <c r="B114" s="35"/>
      <c r="C114" s="35" t="s">
        <v>424</v>
      </c>
      <c r="D114" s="37" t="s">
        <v>423</v>
      </c>
      <c r="E114" s="36">
        <f>Source!CA55</f>
        <v>46</v>
      </c>
      <c r="F114" s="39"/>
      <c r="G114" s="38"/>
      <c r="H114" s="36"/>
      <c r="I114" s="39">
        <f>SUM(S108:S113)</f>
        <v>24.27</v>
      </c>
      <c r="J114" s="36">
        <f>Source!AU55</f>
        <v>46</v>
      </c>
      <c r="K114" s="39">
        <f>SUM(T108:T113)</f>
        <v>1334.33</v>
      </c>
    </row>
    <row r="115" spans="1:29" ht="14.15" x14ac:dyDescent="0.3">
      <c r="A115" s="46"/>
      <c r="B115" s="46"/>
      <c r="C115" s="46" t="s">
        <v>425</v>
      </c>
      <c r="D115" s="47" t="s">
        <v>426</v>
      </c>
      <c r="E115" s="48">
        <f>Source!AQ54</f>
        <v>4</v>
      </c>
      <c r="F115" s="49"/>
      <c r="G115" s="50" t="str">
        <f>Source!DI54</f>
        <v>*1,1</v>
      </c>
      <c r="H115" s="48">
        <f>Source!AV55</f>
        <v>1.0469999999999999</v>
      </c>
      <c r="I115" s="49">
        <f>Source!U54</f>
        <v>4.6067999999999998</v>
      </c>
      <c r="J115" s="48"/>
      <c r="K115" s="49"/>
    </row>
    <row r="116" spans="1:29" ht="14.15" x14ac:dyDescent="0.3">
      <c r="C116" s="51" t="s">
        <v>427</v>
      </c>
      <c r="H116" s="52">
        <f>I109+I110+I111+I113+I114+SUM(I112:I112)-SUMIF(AC112:AC112, 5, I112:I112)-SUMIF(AC112:AC112, 6, I112:I112)</f>
        <v>126.36999999999989</v>
      </c>
      <c r="I116" s="52"/>
      <c r="J116" s="52">
        <f>K109+K110+K111+K113+K114+SUM(K112:K112)-SUMIF(AC112:AC112, 5, K112:K112)-SUMIF(AC112:AC112, 6, K112:K112)</f>
        <v>6848.08</v>
      </c>
      <c r="K116" s="52"/>
    </row>
    <row r="117" spans="1:29" ht="14.15" x14ac:dyDescent="0.3">
      <c r="C117" s="51" t="s">
        <v>428</v>
      </c>
      <c r="H117" s="54">
        <f>SUMIF(AC112:AC112, 5, I112:I112)+SUMIF(AC112:AC112, 6, I112:I112)</f>
        <v>1273.69</v>
      </c>
      <c r="I117" s="54"/>
      <c r="J117" s="54">
        <f>SUMIF(AC112:AC112, 5, K112:K112)+SUMIF(AC112:AC112, 6, K112:K112)</f>
        <v>9756.4699999999993</v>
      </c>
      <c r="K117" s="54"/>
    </row>
    <row r="118" spans="1:29" ht="14.15" x14ac:dyDescent="0.3">
      <c r="C118" s="51" t="s">
        <v>429</v>
      </c>
      <c r="H118" s="54">
        <f>I109+I110+I111+I113+I114+SUM(I112:I112)</f>
        <v>1400.06</v>
      </c>
      <c r="I118" s="54"/>
      <c r="J118" s="54">
        <f>K109+K110+K111+K113+K114+SUM(K112:K112)</f>
        <v>16604.55</v>
      </c>
      <c r="K118" s="54"/>
      <c r="O118" s="55">
        <f>I109+I110+I111+I113+I114+SUM(I112:I112)</f>
        <v>1400.06</v>
      </c>
      <c r="P118" s="55">
        <f>K109+K110+K111+K113+K114+SUM(K112:K112)</f>
        <v>16604.55</v>
      </c>
    </row>
    <row r="120" spans="1:29" ht="78.45" x14ac:dyDescent="0.3">
      <c r="A120" s="35">
        <v>8</v>
      </c>
      <c r="B120" s="35" t="s">
        <v>442</v>
      </c>
      <c r="C120" s="35" t="s">
        <v>92</v>
      </c>
      <c r="D120" s="37" t="str">
        <f>Source!H58</f>
        <v>1  ШТ.</v>
      </c>
      <c r="E120" s="36">
        <f>Source!I58</f>
        <v>1</v>
      </c>
      <c r="F120" s="39"/>
      <c r="G120" s="38"/>
      <c r="H120" s="36"/>
      <c r="I120" s="39"/>
      <c r="J120" s="36"/>
      <c r="K120" s="39"/>
      <c r="Q120">
        <f>Source!X58</f>
        <v>13.01</v>
      </c>
      <c r="R120">
        <f>Source!X59</f>
        <v>715.17</v>
      </c>
      <c r="S120">
        <f>Source!Y58</f>
        <v>7.26</v>
      </c>
      <c r="T120">
        <f>Source!Y59</f>
        <v>398.99</v>
      </c>
      <c r="U120">
        <f>ROUND((175/100)*ROUND(Source!R58, 2), 2)</f>
        <v>0</v>
      </c>
      <c r="V120">
        <f>ROUND((0/100)*ROUND(Source!R59, 2), 2)</f>
        <v>0</v>
      </c>
      <c r="AC120">
        <v>0</v>
      </c>
    </row>
    <row r="121" spans="1:29" ht="14.15" x14ac:dyDescent="0.3">
      <c r="A121" s="35"/>
      <c r="B121" s="35"/>
      <c r="C121" s="35" t="s">
        <v>417</v>
      </c>
      <c r="D121" s="37"/>
      <c r="E121" s="36"/>
      <c r="F121" s="39">
        <f>Source!AO58</f>
        <v>11.89</v>
      </c>
      <c r="G121" s="38" t="str">
        <f>Source!DG58</f>
        <v>*1,1</v>
      </c>
      <c r="H121" s="36">
        <f>Source!AV59</f>
        <v>1.0469999999999999</v>
      </c>
      <c r="I121" s="39">
        <f>Source!S58</f>
        <v>13.69</v>
      </c>
      <c r="J121" s="36">
        <f>IF(Source!BA59&lt;&gt; 0, Source!BA59, 1)</f>
        <v>54.99</v>
      </c>
      <c r="K121" s="39">
        <f>Source!S59</f>
        <v>752.81</v>
      </c>
    </row>
    <row r="122" spans="1:29" ht="14.15" x14ac:dyDescent="0.3">
      <c r="A122" s="35"/>
      <c r="B122" s="35"/>
      <c r="C122" s="35" t="s">
        <v>420</v>
      </c>
      <c r="D122" s="37"/>
      <c r="E122" s="36"/>
      <c r="F122" s="39">
        <f>Source!AL58</f>
        <v>1.67</v>
      </c>
      <c r="G122" s="38" t="str">
        <f>Source!DD58</f>
        <v/>
      </c>
      <c r="H122" s="36">
        <f>Source!AW59</f>
        <v>1</v>
      </c>
      <c r="I122" s="39">
        <f>Source!P58</f>
        <v>1.67</v>
      </c>
      <c r="J122" s="36">
        <f>IF(Source!BC59&lt;&gt; 0, Source!BC59, 1)</f>
        <v>18.61</v>
      </c>
      <c r="K122" s="39">
        <f>Source!P59</f>
        <v>31.08</v>
      </c>
    </row>
    <row r="123" spans="1:29" ht="54" x14ac:dyDescent="0.3">
      <c r="A123" s="41" t="s">
        <v>96</v>
      </c>
      <c r="B123" s="41" t="str">
        <f>Source!F60</f>
        <v>КА 9</v>
      </c>
      <c r="C123" s="41" t="s">
        <v>443</v>
      </c>
      <c r="D123" s="42" t="str">
        <f>Source!H60</f>
        <v>шт.</v>
      </c>
      <c r="E123" s="43">
        <f>Source!I60</f>
        <v>1</v>
      </c>
      <c r="F123" s="44">
        <f>Source!AK60</f>
        <v>966.16</v>
      </c>
      <c r="G123" s="45" t="s">
        <v>3</v>
      </c>
      <c r="H123" s="43">
        <f>Source!AW61</f>
        <v>1</v>
      </c>
      <c r="I123" s="44">
        <f>Source!O60</f>
        <v>966.16</v>
      </c>
      <c r="J123" s="43">
        <f>IF(Source!BC61&lt;&gt; 0, Source!BC61, 1)</f>
        <v>7.66</v>
      </c>
      <c r="K123" s="44">
        <f>Source!O61</f>
        <v>7400.79</v>
      </c>
      <c r="Q123">
        <f>Source!X60</f>
        <v>0</v>
      </c>
      <c r="R123">
        <f>Source!X61</f>
        <v>0</v>
      </c>
      <c r="S123">
        <f>Source!Y60</f>
        <v>0</v>
      </c>
      <c r="T123">
        <f>Source!Y61</f>
        <v>0</v>
      </c>
      <c r="U123">
        <f>ROUND((175/100)*ROUND(Source!R60, 2), 2)</f>
        <v>0</v>
      </c>
      <c r="V123">
        <f>ROUND((0/100)*ROUND(Source!R61, 2), 2)</f>
        <v>0</v>
      </c>
      <c r="AC123">
        <v>5</v>
      </c>
    </row>
    <row r="124" spans="1:29" ht="14.15" x14ac:dyDescent="0.3">
      <c r="A124" s="35"/>
      <c r="B124" s="35"/>
      <c r="C124" s="35" t="s">
        <v>422</v>
      </c>
      <c r="D124" s="37" t="s">
        <v>423</v>
      </c>
      <c r="E124" s="36">
        <f>Source!BZ59</f>
        <v>95</v>
      </c>
      <c r="F124" s="39"/>
      <c r="G124" s="38"/>
      <c r="H124" s="36"/>
      <c r="I124" s="39">
        <f>SUM(Q120:Q123)</f>
        <v>13.01</v>
      </c>
      <c r="J124" s="36">
        <f>Source!AT59</f>
        <v>95</v>
      </c>
      <c r="K124" s="39">
        <f>SUM(R120:R123)</f>
        <v>715.17</v>
      </c>
    </row>
    <row r="125" spans="1:29" ht="14.15" x14ac:dyDescent="0.3">
      <c r="A125" s="35"/>
      <c r="B125" s="35"/>
      <c r="C125" s="35" t="s">
        <v>424</v>
      </c>
      <c r="D125" s="37" t="s">
        <v>423</v>
      </c>
      <c r="E125" s="36">
        <f>Source!CA59</f>
        <v>53</v>
      </c>
      <c r="F125" s="39"/>
      <c r="G125" s="38"/>
      <c r="H125" s="36"/>
      <c r="I125" s="39">
        <f>SUM(S120:S124)</f>
        <v>7.26</v>
      </c>
      <c r="J125" s="36">
        <f>Source!AU59</f>
        <v>53</v>
      </c>
      <c r="K125" s="39">
        <f>SUM(T120:T124)</f>
        <v>398.99</v>
      </c>
    </row>
    <row r="126" spans="1:29" ht="14.15" x14ac:dyDescent="0.3">
      <c r="A126" s="46"/>
      <c r="B126" s="46"/>
      <c r="C126" s="46" t="s">
        <v>425</v>
      </c>
      <c r="D126" s="47" t="s">
        <v>426</v>
      </c>
      <c r="E126" s="48">
        <f>Source!AQ58</f>
        <v>1</v>
      </c>
      <c r="F126" s="49"/>
      <c r="G126" s="50" t="str">
        <f>Source!DI58</f>
        <v>*1,1</v>
      </c>
      <c r="H126" s="48">
        <f>Source!AV59</f>
        <v>1.0469999999999999</v>
      </c>
      <c r="I126" s="49">
        <f>Source!U58</f>
        <v>1.1516999999999999</v>
      </c>
      <c r="J126" s="48"/>
      <c r="K126" s="49"/>
    </row>
    <row r="127" spans="1:29" ht="14.15" x14ac:dyDescent="0.3">
      <c r="C127" s="51" t="s">
        <v>427</v>
      </c>
      <c r="H127" s="52">
        <f>I121+I122+I124+I125+SUM(I123:I123)-SUMIF(AC123:AC123, 5, I123:I123)-SUMIF(AC123:AC123, 6, I123:I123)</f>
        <v>35.629999999999995</v>
      </c>
      <c r="I127" s="52"/>
      <c r="J127" s="52">
        <f>K121+K122+K124+K125+SUM(K123:K123)-SUMIF(AC123:AC123, 5, K123:K123)-SUMIF(AC123:AC123, 6, K123:K123)</f>
        <v>1898.0500000000002</v>
      </c>
      <c r="K127" s="52"/>
    </row>
    <row r="128" spans="1:29" ht="14.15" x14ac:dyDescent="0.3">
      <c r="C128" s="51" t="s">
        <v>428</v>
      </c>
      <c r="H128" s="54">
        <f>SUMIF(AC123:AC123, 5, I123:I123)+SUMIF(AC123:AC123, 6, I123:I123)</f>
        <v>966.16</v>
      </c>
      <c r="I128" s="54"/>
      <c r="J128" s="54">
        <f>SUMIF(AC123:AC123, 5, K123:K123)+SUMIF(AC123:AC123, 6, K123:K123)</f>
        <v>7400.79</v>
      </c>
      <c r="K128" s="54"/>
    </row>
    <row r="129" spans="1:29" ht="14.15" x14ac:dyDescent="0.3">
      <c r="C129" s="51" t="s">
        <v>429</v>
      </c>
      <c r="H129" s="54">
        <f>I121+I122+I124+I125+SUM(I123:I123)</f>
        <v>1001.79</v>
      </c>
      <c r="I129" s="54"/>
      <c r="J129" s="54">
        <f>K121+K122+K124+K125+SUM(K123:K123)</f>
        <v>9298.84</v>
      </c>
      <c r="K129" s="54"/>
      <c r="O129" s="55">
        <f>I121+I122+I124+I125+SUM(I123:I123)</f>
        <v>1001.79</v>
      </c>
      <c r="P129" s="55">
        <f>K121+K122+K124+K125+SUM(K123:K123)</f>
        <v>9298.84</v>
      </c>
    </row>
    <row r="132" spans="1:29" ht="14.15" x14ac:dyDescent="0.35">
      <c r="A132" s="59" t="str">
        <f>CONCATENATE("Итого по разделу: ",IF(Source!G63&lt;&gt;"Новый раздел", Source!G63, ""))</f>
        <v>Итого по разделу: Оборудование</v>
      </c>
      <c r="B132" s="59"/>
      <c r="C132" s="59"/>
      <c r="D132" s="59"/>
      <c r="E132" s="59"/>
      <c r="F132" s="59"/>
      <c r="G132" s="59"/>
      <c r="H132" s="54">
        <f>SUM(O29:O131)</f>
        <v>84894.939999999988</v>
      </c>
      <c r="I132" s="53"/>
      <c r="J132" s="54">
        <f>SUM(P29:P131)</f>
        <v>764159.86</v>
      </c>
      <c r="K132" s="53"/>
    </row>
    <row r="133" spans="1:29" hidden="1" x14ac:dyDescent="0.3">
      <c r="A133" t="s">
        <v>444</v>
      </c>
      <c r="I133">
        <f>SUM(W29:W132)</f>
        <v>0</v>
      </c>
      <c r="J133">
        <f>SUM(X29:X132)</f>
        <v>0</v>
      </c>
    </row>
    <row r="134" spans="1:29" hidden="1" x14ac:dyDescent="0.3">
      <c r="A134" t="s">
        <v>445</v>
      </c>
      <c r="I134">
        <f>SUM(Y29:Y133)</f>
        <v>0</v>
      </c>
      <c r="J134">
        <f>SUM(Z29:Z133)</f>
        <v>0</v>
      </c>
    </row>
    <row r="136" spans="1:29" ht="16.3" x14ac:dyDescent="0.3">
      <c r="A136" s="34" t="str">
        <f>CONCATENATE("Раздел: ",IF(Source!G93&lt;&gt;"Новый раздел", Source!G93, ""))</f>
        <v>Раздел: Кабельные изделия и материалы</v>
      </c>
      <c r="B136" s="34"/>
      <c r="C136" s="34"/>
      <c r="D136" s="34"/>
      <c r="E136" s="34"/>
      <c r="F136" s="34"/>
      <c r="G136" s="34"/>
      <c r="H136" s="34"/>
      <c r="I136" s="34"/>
      <c r="J136" s="34"/>
      <c r="K136" s="34"/>
    </row>
    <row r="137" spans="1:29" ht="78.45" x14ac:dyDescent="0.3">
      <c r="A137" s="35">
        <v>9</v>
      </c>
      <c r="B137" s="35" t="s">
        <v>446</v>
      </c>
      <c r="C137" s="35" t="s">
        <v>157</v>
      </c>
      <c r="D137" s="37" t="str">
        <f>Source!H97</f>
        <v>100 м</v>
      </c>
      <c r="E137" s="36">
        <f>Source!I97</f>
        <v>3.35</v>
      </c>
      <c r="F137" s="39"/>
      <c r="G137" s="38"/>
      <c r="H137" s="36"/>
      <c r="I137" s="39"/>
      <c r="J137" s="36"/>
      <c r="K137" s="39"/>
      <c r="Q137">
        <f>Source!X97</f>
        <v>685.03</v>
      </c>
      <c r="R137">
        <f>Source!X98</f>
        <v>37669.58</v>
      </c>
      <c r="S137">
        <f>Source!Y97</f>
        <v>350.12</v>
      </c>
      <c r="T137">
        <f>Source!Y98</f>
        <v>19253.34</v>
      </c>
      <c r="U137">
        <f>ROUND((175/100)*ROUND(Source!R97, 2), 2)</f>
        <v>0</v>
      </c>
      <c r="V137">
        <f>ROUND((0/100)*ROUND(Source!R98, 2), 2)</f>
        <v>0</v>
      </c>
      <c r="AC137">
        <v>0</v>
      </c>
    </row>
    <row r="138" spans="1:29" x14ac:dyDescent="0.3">
      <c r="C138" s="56" t="str">
        <f>"Объем: "&amp;Source!I97&amp;"=(35+"&amp;"300)/"&amp;"100"</f>
        <v>Объем: 3,35=(35+300)/100</v>
      </c>
    </row>
    <row r="139" spans="1:29" ht="14.15" x14ac:dyDescent="0.3">
      <c r="A139" s="35"/>
      <c r="B139" s="35"/>
      <c r="C139" s="35" t="s">
        <v>417</v>
      </c>
      <c r="D139" s="37"/>
      <c r="E139" s="36"/>
      <c r="F139" s="39">
        <f>Source!AO97</f>
        <v>197.28</v>
      </c>
      <c r="G139" s="38" t="str">
        <f>Source!DG97</f>
        <v>*1,1</v>
      </c>
      <c r="H139" s="36">
        <f>Source!AV98</f>
        <v>1.0469999999999999</v>
      </c>
      <c r="I139" s="39">
        <f>Source!S97</f>
        <v>761.14</v>
      </c>
      <c r="J139" s="36">
        <f>IF(Source!BA98&lt;&gt; 0, Source!BA98, 1)</f>
        <v>54.99</v>
      </c>
      <c r="K139" s="39">
        <f>Source!S98</f>
        <v>41855.089999999997</v>
      </c>
    </row>
    <row r="140" spans="1:29" ht="14.15" x14ac:dyDescent="0.3">
      <c r="A140" s="35"/>
      <c r="B140" s="35"/>
      <c r="C140" s="35" t="s">
        <v>418</v>
      </c>
      <c r="D140" s="37"/>
      <c r="E140" s="36"/>
      <c r="F140" s="39">
        <f>Source!AM97</f>
        <v>1.73</v>
      </c>
      <c r="G140" s="38" t="str">
        <f>Source!DE97</f>
        <v>*1,1</v>
      </c>
      <c r="H140" s="36">
        <f>Source!AV98</f>
        <v>1.0469999999999999</v>
      </c>
      <c r="I140" s="39">
        <f>Source!Q97</f>
        <v>6.67</v>
      </c>
      <c r="J140" s="36">
        <f>IF(Source!BB98&lt;&gt; 0, Source!BB98, 1)</f>
        <v>8.7100000000000009</v>
      </c>
      <c r="K140" s="39">
        <f>Source!Q98</f>
        <v>58.1</v>
      </c>
    </row>
    <row r="141" spans="1:29" ht="14.15" x14ac:dyDescent="0.3">
      <c r="A141" s="35"/>
      <c r="B141" s="35"/>
      <c r="C141" s="35" t="s">
        <v>420</v>
      </c>
      <c r="D141" s="37"/>
      <c r="E141" s="36"/>
      <c r="F141" s="39">
        <f>Source!AL97</f>
        <v>91.91</v>
      </c>
      <c r="G141" s="38" t="str">
        <f>Source!DD97</f>
        <v/>
      </c>
      <c r="H141" s="36">
        <f>Source!AW98</f>
        <v>1</v>
      </c>
      <c r="I141" s="39">
        <f>Source!P97</f>
        <v>307.89999999999998</v>
      </c>
      <c r="J141" s="36">
        <f>IF(Source!BC98&lt;&gt; 0, Source!BC98, 1)</f>
        <v>2.76</v>
      </c>
      <c r="K141" s="39">
        <f>Source!P98</f>
        <v>849.8</v>
      </c>
    </row>
    <row r="142" spans="1:29" ht="70.75" x14ac:dyDescent="0.3">
      <c r="A142" s="35" t="s">
        <v>160</v>
      </c>
      <c r="B142" s="35" t="str">
        <f>Source!F99</f>
        <v>1.12-5-42</v>
      </c>
      <c r="C142" s="35" t="s">
        <v>162</v>
      </c>
      <c r="D142" s="37" t="str">
        <f>Source!H99</f>
        <v>м</v>
      </c>
      <c r="E142" s="36">
        <f>Source!I99</f>
        <v>35.700000000000003</v>
      </c>
      <c r="F142" s="39">
        <f>Source!AK99</f>
        <v>4.59</v>
      </c>
      <c r="G142" s="57" t="s">
        <v>3</v>
      </c>
      <c r="H142" s="36">
        <f>Source!AW100</f>
        <v>1</v>
      </c>
      <c r="I142" s="39">
        <f>Source!O99</f>
        <v>163.86</v>
      </c>
      <c r="J142" s="36">
        <f>IF(Source!BC100&lt;&gt; 0, Source!BC100, 1)</f>
        <v>5.87</v>
      </c>
      <c r="K142" s="39">
        <f>Source!O100</f>
        <v>961.86</v>
      </c>
      <c r="Q142">
        <f>Source!X99</f>
        <v>0</v>
      </c>
      <c r="R142">
        <f>Source!X100</f>
        <v>0</v>
      </c>
      <c r="S142">
        <f>Source!Y99</f>
        <v>0</v>
      </c>
      <c r="T142">
        <f>Source!Y100</f>
        <v>0</v>
      </c>
      <c r="U142">
        <f>ROUND((175/100)*ROUND(Source!R99, 2), 2)</f>
        <v>0</v>
      </c>
      <c r="V142">
        <f>ROUND((0/100)*ROUND(Source!R100, 2), 2)</f>
        <v>0</v>
      </c>
      <c r="AC142">
        <v>3</v>
      </c>
    </row>
    <row r="143" spans="1:29" ht="70.75" x14ac:dyDescent="0.3">
      <c r="A143" s="35" t="s">
        <v>165</v>
      </c>
      <c r="B143" s="35" t="str">
        <f>Source!F101</f>
        <v>1.12-5-43</v>
      </c>
      <c r="C143" s="35" t="s">
        <v>167</v>
      </c>
      <c r="D143" s="37" t="str">
        <f>Source!H101</f>
        <v>м</v>
      </c>
      <c r="E143" s="36">
        <f>Source!I101</f>
        <v>306</v>
      </c>
      <c r="F143" s="39">
        <f>Source!AK101</f>
        <v>5.78</v>
      </c>
      <c r="G143" s="57" t="s">
        <v>3</v>
      </c>
      <c r="H143" s="36">
        <f>Source!AW102</f>
        <v>1</v>
      </c>
      <c r="I143" s="39">
        <f>Source!O101</f>
        <v>1768.68</v>
      </c>
      <c r="J143" s="36">
        <f>IF(Source!BC102&lt;&gt; 0, Source!BC102, 1)</f>
        <v>6.14</v>
      </c>
      <c r="K143" s="39">
        <f>Source!O102</f>
        <v>10859.7</v>
      </c>
      <c r="Q143">
        <f>Source!X101</f>
        <v>0</v>
      </c>
      <c r="R143">
        <f>Source!X102</f>
        <v>0</v>
      </c>
      <c r="S143">
        <f>Source!Y101</f>
        <v>0</v>
      </c>
      <c r="T143">
        <f>Source!Y102</f>
        <v>0</v>
      </c>
      <c r="U143">
        <f>ROUND((175/100)*ROUND(Source!R101, 2), 2)</f>
        <v>0</v>
      </c>
      <c r="V143">
        <f>ROUND((0/100)*ROUND(Source!R102, 2), 2)</f>
        <v>0</v>
      </c>
      <c r="AC143">
        <v>3</v>
      </c>
    </row>
    <row r="144" spans="1:29" ht="42.45" x14ac:dyDescent="0.3">
      <c r="A144" s="35" t="s">
        <v>169</v>
      </c>
      <c r="B144" s="35" t="str">
        <f>Source!F103</f>
        <v>1.21-5-1136</v>
      </c>
      <c r="C144" s="35" t="s">
        <v>171</v>
      </c>
      <c r="D144" s="37" t="str">
        <f>Source!H103</f>
        <v>100 шт.</v>
      </c>
      <c r="E144" s="36">
        <f>Source!I103</f>
        <v>0.99999999999999989</v>
      </c>
      <c r="F144" s="39">
        <f>Source!AK103</f>
        <v>146.88999999999999</v>
      </c>
      <c r="G144" s="57" t="s">
        <v>3</v>
      </c>
      <c r="H144" s="36">
        <f>Source!AW104</f>
        <v>1</v>
      </c>
      <c r="I144" s="39">
        <f>Source!O103</f>
        <v>146.88999999999999</v>
      </c>
      <c r="J144" s="36">
        <f>IF(Source!BC104&lt;&gt; 0, Source!BC104, 1)</f>
        <v>2.0299999999999998</v>
      </c>
      <c r="K144" s="39">
        <f>Source!O104</f>
        <v>298.19</v>
      </c>
      <c r="Q144">
        <f>Source!X103</f>
        <v>0</v>
      </c>
      <c r="R144">
        <f>Source!X104</f>
        <v>0</v>
      </c>
      <c r="S144">
        <f>Source!Y103</f>
        <v>0</v>
      </c>
      <c r="T144">
        <f>Source!Y104</f>
        <v>0</v>
      </c>
      <c r="U144">
        <f>ROUND((175/100)*ROUND(Source!R103, 2), 2)</f>
        <v>0</v>
      </c>
      <c r="V144">
        <f>ROUND((0/100)*ROUND(Source!R104, 2), 2)</f>
        <v>0</v>
      </c>
      <c r="AC144">
        <v>3</v>
      </c>
    </row>
    <row r="145" spans="1:29" ht="42.45" x14ac:dyDescent="0.3">
      <c r="A145" s="35" t="s">
        <v>174</v>
      </c>
      <c r="B145" s="35" t="str">
        <f>Source!F105</f>
        <v>1.21-5-1137</v>
      </c>
      <c r="C145" s="35" t="s">
        <v>176</v>
      </c>
      <c r="D145" s="37" t="str">
        <f>Source!H105</f>
        <v>100 шт.</v>
      </c>
      <c r="E145" s="36">
        <f>Source!I105</f>
        <v>1.9999999999999998</v>
      </c>
      <c r="F145" s="39">
        <f>Source!AK105</f>
        <v>154.36000000000001</v>
      </c>
      <c r="G145" s="57" t="s">
        <v>3</v>
      </c>
      <c r="H145" s="36">
        <f>Source!AW106</f>
        <v>1</v>
      </c>
      <c r="I145" s="39">
        <f>Source!O105</f>
        <v>308.72000000000003</v>
      </c>
      <c r="J145" s="36">
        <f>IF(Source!BC106&lt;&gt; 0, Source!BC106, 1)</f>
        <v>2.06</v>
      </c>
      <c r="K145" s="39">
        <f>Source!O106</f>
        <v>635.96</v>
      </c>
      <c r="Q145">
        <f>Source!X105</f>
        <v>0</v>
      </c>
      <c r="R145">
        <f>Source!X106</f>
        <v>0</v>
      </c>
      <c r="S145">
        <f>Source!Y105</f>
        <v>0</v>
      </c>
      <c r="T145">
        <f>Source!Y106</f>
        <v>0</v>
      </c>
      <c r="U145">
        <f>ROUND((175/100)*ROUND(Source!R105, 2), 2)</f>
        <v>0</v>
      </c>
      <c r="V145">
        <f>ROUND((0/100)*ROUND(Source!R106, 2), 2)</f>
        <v>0</v>
      </c>
      <c r="AC145">
        <v>3</v>
      </c>
    </row>
    <row r="146" spans="1:29" ht="41.15" x14ac:dyDescent="0.3">
      <c r="A146" s="35" t="s">
        <v>178</v>
      </c>
      <c r="B146" s="35" t="str">
        <f>Source!F107</f>
        <v>КА 4</v>
      </c>
      <c r="C146" s="35" t="s">
        <v>447</v>
      </c>
      <c r="D146" s="37" t="str">
        <f>Source!H107</f>
        <v>км</v>
      </c>
      <c r="E146" s="36">
        <f>Source!I107</f>
        <v>3.5700000000000003E-2</v>
      </c>
      <c r="F146" s="39">
        <f>Source!AK107</f>
        <v>4731.78</v>
      </c>
      <c r="G146" s="57" t="s">
        <v>3</v>
      </c>
      <c r="H146" s="36">
        <f>Source!AW108</f>
        <v>1</v>
      </c>
      <c r="I146" s="39">
        <f>Source!O107</f>
        <v>168.92</v>
      </c>
      <c r="J146" s="36">
        <f>IF(Source!BC108&lt;&gt; 0, Source!BC108, 1)</f>
        <v>9.8800000000000008</v>
      </c>
      <c r="K146" s="39">
        <f>Source!O108</f>
        <v>1668.93</v>
      </c>
      <c r="Q146">
        <f>Source!X107</f>
        <v>0</v>
      </c>
      <c r="R146">
        <f>Source!X108</f>
        <v>0</v>
      </c>
      <c r="S146">
        <f>Source!Y107</f>
        <v>0</v>
      </c>
      <c r="T146">
        <f>Source!Y108</f>
        <v>0</v>
      </c>
      <c r="U146">
        <f>ROUND((175/100)*ROUND(Source!R107, 2), 2)</f>
        <v>0</v>
      </c>
      <c r="V146">
        <f>ROUND((0/100)*ROUND(Source!R108, 2), 2)</f>
        <v>0</v>
      </c>
      <c r="AC146">
        <v>3</v>
      </c>
    </row>
    <row r="147" spans="1:29" ht="27" x14ac:dyDescent="0.3">
      <c r="A147" s="35" t="s">
        <v>183</v>
      </c>
      <c r="B147" s="35" t="str">
        <f>Source!F109</f>
        <v>КА 10</v>
      </c>
      <c r="C147" s="35" t="s">
        <v>448</v>
      </c>
      <c r="D147" s="37" t="str">
        <f>Source!H109</f>
        <v>км</v>
      </c>
      <c r="E147" s="36">
        <f>Source!I109</f>
        <v>3.5700000000000003E-2</v>
      </c>
      <c r="F147" s="39">
        <f>Source!AK109</f>
        <v>52356.729999999996</v>
      </c>
      <c r="G147" s="57" t="s">
        <v>3</v>
      </c>
      <c r="H147" s="36">
        <f>Source!AW110</f>
        <v>1</v>
      </c>
      <c r="I147" s="39">
        <f>Source!O109</f>
        <v>1869.14</v>
      </c>
      <c r="J147" s="36">
        <f>IF(Source!BC110&lt;&gt; 0, Source!BC110, 1)</f>
        <v>9.8800000000000008</v>
      </c>
      <c r="K147" s="39">
        <f>Source!O110</f>
        <v>18467.099999999999</v>
      </c>
      <c r="Q147">
        <f>Source!X109</f>
        <v>0</v>
      </c>
      <c r="R147">
        <f>Source!X110</f>
        <v>0</v>
      </c>
      <c r="S147">
        <f>Source!Y109</f>
        <v>0</v>
      </c>
      <c r="T147">
        <f>Source!Y110</f>
        <v>0</v>
      </c>
      <c r="U147">
        <f>ROUND((175/100)*ROUND(Source!R109, 2), 2)</f>
        <v>0</v>
      </c>
      <c r="V147">
        <f>ROUND((0/100)*ROUND(Source!R110, 2), 2)</f>
        <v>0</v>
      </c>
      <c r="AC147">
        <v>3</v>
      </c>
    </row>
    <row r="148" spans="1:29" ht="27" x14ac:dyDescent="0.3">
      <c r="A148" s="35" t="s">
        <v>187</v>
      </c>
      <c r="B148" s="35" t="str">
        <f>Source!F111</f>
        <v>КА 11</v>
      </c>
      <c r="C148" s="35" t="s">
        <v>449</v>
      </c>
      <c r="D148" s="37" t="str">
        <f>Source!H111</f>
        <v>км</v>
      </c>
      <c r="E148" s="36">
        <f>Source!I111</f>
        <v>0.91290000000000004</v>
      </c>
      <c r="F148" s="39">
        <f>Source!AK111</f>
        <v>26670.039999999997</v>
      </c>
      <c r="G148" s="57" t="s">
        <v>3</v>
      </c>
      <c r="H148" s="36">
        <f>Source!AW112</f>
        <v>1</v>
      </c>
      <c r="I148" s="39">
        <f>Source!O111</f>
        <v>24347.08</v>
      </c>
      <c r="J148" s="36">
        <f>IF(Source!BC112&lt;&gt; 0, Source!BC112, 1)</f>
        <v>9.8800000000000008</v>
      </c>
      <c r="K148" s="39">
        <f>Source!O112</f>
        <v>240549.15</v>
      </c>
      <c r="Q148">
        <f>Source!X111</f>
        <v>0</v>
      </c>
      <c r="R148">
        <f>Source!X112</f>
        <v>0</v>
      </c>
      <c r="S148">
        <f>Source!Y111</f>
        <v>0</v>
      </c>
      <c r="T148">
        <f>Source!Y112</f>
        <v>0</v>
      </c>
      <c r="U148">
        <f>ROUND((175/100)*ROUND(Source!R111, 2), 2)</f>
        <v>0</v>
      </c>
      <c r="V148">
        <f>ROUND((0/100)*ROUND(Source!R112, 2), 2)</f>
        <v>0</v>
      </c>
      <c r="AC148">
        <v>3</v>
      </c>
    </row>
    <row r="149" spans="1:29" ht="27" x14ac:dyDescent="0.3">
      <c r="A149" s="35" t="s">
        <v>191</v>
      </c>
      <c r="B149" s="35" t="str">
        <f>Source!F113</f>
        <v>КА 12</v>
      </c>
      <c r="C149" s="35" t="s">
        <v>450</v>
      </c>
      <c r="D149" s="37" t="str">
        <f>Source!H113</f>
        <v>км</v>
      </c>
      <c r="E149" s="36">
        <f>Source!I113</f>
        <v>1.5299999999999999E-2</v>
      </c>
      <c r="F149" s="39">
        <f>Source!AK113</f>
        <v>3894.69</v>
      </c>
      <c r="G149" s="57" t="s">
        <v>3</v>
      </c>
      <c r="H149" s="36">
        <f>Source!AW114</f>
        <v>1</v>
      </c>
      <c r="I149" s="39">
        <f>Source!O113</f>
        <v>59.59</v>
      </c>
      <c r="J149" s="36">
        <f>IF(Source!BC114&lt;&gt; 0, Source!BC114, 1)</f>
        <v>9.8800000000000008</v>
      </c>
      <c r="K149" s="39">
        <f>Source!O114</f>
        <v>588.75</v>
      </c>
      <c r="Q149">
        <f>Source!X113</f>
        <v>0</v>
      </c>
      <c r="R149">
        <f>Source!X114</f>
        <v>0</v>
      </c>
      <c r="S149">
        <f>Source!Y113</f>
        <v>0</v>
      </c>
      <c r="T149">
        <f>Source!Y114</f>
        <v>0</v>
      </c>
      <c r="U149">
        <f>ROUND((175/100)*ROUND(Source!R113, 2), 2)</f>
        <v>0</v>
      </c>
      <c r="V149">
        <f>ROUND((0/100)*ROUND(Source!R114, 2), 2)</f>
        <v>0</v>
      </c>
      <c r="AC149">
        <v>3</v>
      </c>
    </row>
    <row r="150" spans="1:29" ht="14.15" x14ac:dyDescent="0.3">
      <c r="A150" s="35"/>
      <c r="B150" s="35"/>
      <c r="C150" s="35" t="s">
        <v>422</v>
      </c>
      <c r="D150" s="37" t="s">
        <v>423</v>
      </c>
      <c r="E150" s="36">
        <f>Source!BZ98</f>
        <v>90</v>
      </c>
      <c r="F150" s="39"/>
      <c r="G150" s="38"/>
      <c r="H150" s="36"/>
      <c r="I150" s="39">
        <f>SUM(Q137:Q149)</f>
        <v>685.03</v>
      </c>
      <c r="J150" s="36">
        <f>Source!AT98</f>
        <v>90</v>
      </c>
      <c r="K150" s="39">
        <f>SUM(R137:R149)</f>
        <v>37669.58</v>
      </c>
    </row>
    <row r="151" spans="1:29" ht="14.15" x14ac:dyDescent="0.3">
      <c r="A151" s="35"/>
      <c r="B151" s="35"/>
      <c r="C151" s="35" t="s">
        <v>424</v>
      </c>
      <c r="D151" s="37" t="s">
        <v>423</v>
      </c>
      <c r="E151" s="36">
        <f>Source!CA98</f>
        <v>46</v>
      </c>
      <c r="F151" s="39"/>
      <c r="G151" s="38"/>
      <c r="H151" s="36"/>
      <c r="I151" s="39">
        <f>SUM(S137:S150)</f>
        <v>350.12</v>
      </c>
      <c r="J151" s="36">
        <f>Source!AU98</f>
        <v>46</v>
      </c>
      <c r="K151" s="39">
        <f>SUM(T137:T150)</f>
        <v>19253.34</v>
      </c>
    </row>
    <row r="152" spans="1:29" ht="14.15" x14ac:dyDescent="0.3">
      <c r="A152" s="46"/>
      <c r="B152" s="46"/>
      <c r="C152" s="46" t="s">
        <v>425</v>
      </c>
      <c r="D152" s="47" t="s">
        <v>426</v>
      </c>
      <c r="E152" s="48">
        <f>Source!AQ97</f>
        <v>16.600000000000001</v>
      </c>
      <c r="F152" s="49"/>
      <c r="G152" s="50" t="str">
        <f>Source!DI97</f>
        <v>*1,1</v>
      </c>
      <c r="H152" s="48">
        <f>Source!AV98</f>
        <v>1.0469999999999999</v>
      </c>
      <c r="I152" s="49">
        <f>Source!U97</f>
        <v>64.046036999999998</v>
      </c>
      <c r="J152" s="48"/>
      <c r="K152" s="49"/>
    </row>
    <row r="153" spans="1:29" ht="14.15" x14ac:dyDescent="0.3">
      <c r="C153" s="51" t="s">
        <v>427</v>
      </c>
      <c r="H153" s="52">
        <f>I139+I140+I141+I150+I151+SUM(I142:I149)-SUMIF(AC142:AC149, 5, I142:I149)-SUMIF(AC142:AC149, 6, I142:I149)</f>
        <v>30943.74</v>
      </c>
      <c r="I153" s="52"/>
      <c r="J153" s="52">
        <f>K139+K140+K141+K150+K151+SUM(K142:K149)-SUMIF(AC142:AC149, 5, K142:K149)-SUMIF(AC142:AC149, 6, K142:K149)</f>
        <v>373715.55000000005</v>
      </c>
      <c r="K153" s="52"/>
    </row>
    <row r="154" spans="1:29" ht="14.15" hidden="1" x14ac:dyDescent="0.3">
      <c r="C154" s="51" t="s">
        <v>428</v>
      </c>
      <c r="H154" s="54">
        <f>SUMIF(AC142:AC149, 5, I142:I149)+SUMIF(AC142:AC149, 6, I142:I149)</f>
        <v>0</v>
      </c>
      <c r="I154" s="54"/>
      <c r="J154" s="54">
        <f>SUMIF(AC142:AC149, 5, K142:K149)+SUMIF(AC142:AC149, 6, K142:K149)</f>
        <v>0</v>
      </c>
      <c r="K154" s="54"/>
    </row>
    <row r="155" spans="1:29" ht="14.15" x14ac:dyDescent="0.3">
      <c r="C155" s="51" t="s">
        <v>429</v>
      </c>
      <c r="H155" s="54">
        <f>I139+I140+I141+I150+I151+SUM(I142:I149)</f>
        <v>30943.74</v>
      </c>
      <c r="I155" s="54"/>
      <c r="J155" s="54">
        <f>K139+K140+K141+K150+K151+SUM(K142:K149)</f>
        <v>373715.55000000005</v>
      </c>
      <c r="K155" s="54"/>
      <c r="O155" s="55">
        <f>I139+I140+I141+I150+I151+SUM(I142:I149)</f>
        <v>30943.74</v>
      </c>
      <c r="P155" s="55">
        <f>K139+K140+K141+K150+K151+SUM(K142:K149)</f>
        <v>373715.55000000005</v>
      </c>
    </row>
    <row r="158" spans="1:29" ht="14.15" x14ac:dyDescent="0.35">
      <c r="A158" s="59" t="str">
        <f>CONCATENATE("Итого по разделу: ",IF(Source!G142&lt;&gt;"Новый раздел", Source!G142, ""))</f>
        <v>Итого по разделу: Кабельные изделия и материалы</v>
      </c>
      <c r="B158" s="59"/>
      <c r="C158" s="59"/>
      <c r="D158" s="59"/>
      <c r="E158" s="59"/>
      <c r="F158" s="59"/>
      <c r="G158" s="59"/>
      <c r="H158" s="54">
        <f>SUM(O136:O157)</f>
        <v>30943.74</v>
      </c>
      <c r="I158" s="53"/>
      <c r="J158" s="54">
        <f>SUM(P136:P157)</f>
        <v>373715.55000000005</v>
      </c>
      <c r="K158" s="53"/>
    </row>
    <row r="159" spans="1:29" hidden="1" x14ac:dyDescent="0.3">
      <c r="A159" t="s">
        <v>444</v>
      </c>
      <c r="I159">
        <f>SUM(W136:W158)</f>
        <v>0</v>
      </c>
      <c r="J159">
        <f>SUM(X136:X158)</f>
        <v>0</v>
      </c>
    </row>
    <row r="160" spans="1:29" hidden="1" x14ac:dyDescent="0.3">
      <c r="A160" t="s">
        <v>445</v>
      </c>
      <c r="I160">
        <f>SUM(Y136:Y159)</f>
        <v>0</v>
      </c>
      <c r="J160">
        <f>SUM(Z136:Z159)</f>
        <v>0</v>
      </c>
    </row>
    <row r="162" spans="1:11" ht="14.15" x14ac:dyDescent="0.35">
      <c r="A162" s="59" t="str">
        <f>CONCATENATE("Итого по локальной смете: ",IF(Source!G172&lt;&gt;"Новая локальная смета", Source!G172, ""))</f>
        <v>Итого по локальной смете: Система двусторонней связи</v>
      </c>
      <c r="B162" s="59"/>
      <c r="C162" s="59"/>
      <c r="D162" s="59"/>
      <c r="E162" s="59"/>
      <c r="F162" s="59"/>
      <c r="G162" s="59"/>
      <c r="H162" s="54">
        <f>SUM(O28:O161)</f>
        <v>115838.68</v>
      </c>
      <c r="I162" s="53"/>
      <c r="J162" s="54">
        <f>SUM(P28:P161)</f>
        <v>1137875.4100000001</v>
      </c>
      <c r="K162" s="53"/>
    </row>
    <row r="163" spans="1:11" hidden="1" x14ac:dyDescent="0.3">
      <c r="A163" t="s">
        <v>444</v>
      </c>
      <c r="I163">
        <f>SUM(W28:W162)</f>
        <v>0</v>
      </c>
      <c r="J163">
        <f>SUM(X28:X162)</f>
        <v>0</v>
      </c>
    </row>
    <row r="164" spans="1:11" hidden="1" x14ac:dyDescent="0.3">
      <c r="A164" t="s">
        <v>445</v>
      </c>
      <c r="I164">
        <f>SUM(Y28:Y163)</f>
        <v>0</v>
      </c>
      <c r="J164">
        <f>SUM(Z28:Z163)</f>
        <v>0</v>
      </c>
    </row>
    <row r="167" spans="1:11" ht="14.15" x14ac:dyDescent="0.35">
      <c r="A167" s="60" t="s">
        <v>452</v>
      </c>
      <c r="B167" s="60"/>
      <c r="C167" s="61" t="str">
        <f>IF(Source!AC12&lt;&gt;"", Source!AC12," ")</f>
        <v xml:space="preserve"> </v>
      </c>
      <c r="D167" s="61"/>
      <c r="E167" s="61"/>
      <c r="F167" s="61"/>
      <c r="G167" s="61"/>
      <c r="H167" s="24" t="str">
        <f>IF(Source!AB12&lt;&gt;"", Source!AB12," ")</f>
        <v>Лукьянова А.Л.</v>
      </c>
      <c r="I167" s="24"/>
      <c r="J167" s="24"/>
      <c r="K167" s="24"/>
    </row>
    <row r="168" spans="1:11" ht="14.15" x14ac:dyDescent="0.35">
      <c r="A168" s="11"/>
      <c r="B168" s="11"/>
      <c r="C168" s="13" t="s">
        <v>453</v>
      </c>
      <c r="D168" s="13"/>
      <c r="E168" s="13"/>
      <c r="F168" s="13"/>
      <c r="G168" s="13"/>
      <c r="H168" s="11"/>
      <c r="I168" s="11"/>
      <c r="J168" s="11"/>
      <c r="K168" s="11"/>
    </row>
    <row r="169" spans="1:11" ht="14.15" x14ac:dyDescent="0.3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</row>
    <row r="170" spans="1:11" ht="14.15" x14ac:dyDescent="0.35">
      <c r="A170" s="60" t="s">
        <v>454</v>
      </c>
      <c r="B170" s="60"/>
      <c r="C170" s="61" t="str">
        <f>IF(Source!AE12&lt;&gt;"", Source!AE12," ")</f>
        <v xml:space="preserve"> </v>
      </c>
      <c r="D170" s="61"/>
      <c r="E170" s="61"/>
      <c r="F170" s="61"/>
      <c r="G170" s="61"/>
      <c r="H170" s="24" t="str">
        <f>IF(Source!AD12&lt;&gt;"", Source!AD12," ")</f>
        <v xml:space="preserve"> </v>
      </c>
      <c r="I170" s="24"/>
      <c r="J170" s="24"/>
      <c r="K170" s="24"/>
    </row>
    <row r="171" spans="1:11" ht="14.15" x14ac:dyDescent="0.35">
      <c r="A171" s="11"/>
      <c r="B171" s="11"/>
      <c r="C171" s="13" t="s">
        <v>453</v>
      </c>
      <c r="D171" s="13"/>
      <c r="E171" s="13"/>
      <c r="F171" s="13"/>
      <c r="G171" s="13"/>
      <c r="H171" s="11"/>
      <c r="I171" s="11"/>
      <c r="J171" s="11"/>
      <c r="K171" s="11"/>
    </row>
  </sheetData>
  <mergeCells count="88">
    <mergeCell ref="C168:G168"/>
    <mergeCell ref="A170:B170"/>
    <mergeCell ref="H170:K170"/>
    <mergeCell ref="C171:G171"/>
    <mergeCell ref="A158:G158"/>
    <mergeCell ref="J162:K162"/>
    <mergeCell ref="H162:I162"/>
    <mergeCell ref="A162:G162"/>
    <mergeCell ref="A167:B167"/>
    <mergeCell ref="H167:K167"/>
    <mergeCell ref="H154:I154"/>
    <mergeCell ref="J154:K154"/>
    <mergeCell ref="H155:I155"/>
    <mergeCell ref="J155:K155"/>
    <mergeCell ref="J158:K158"/>
    <mergeCell ref="H158:I158"/>
    <mergeCell ref="J132:K132"/>
    <mergeCell ref="H132:I132"/>
    <mergeCell ref="A132:G132"/>
    <mergeCell ref="A136:K136"/>
    <mergeCell ref="H153:I153"/>
    <mergeCell ref="J153:K153"/>
    <mergeCell ref="H127:I127"/>
    <mergeCell ref="J127:K127"/>
    <mergeCell ref="H128:I128"/>
    <mergeCell ref="J128:K128"/>
    <mergeCell ref="H129:I129"/>
    <mergeCell ref="J129:K129"/>
    <mergeCell ref="H116:I116"/>
    <mergeCell ref="J116:K116"/>
    <mergeCell ref="H117:I117"/>
    <mergeCell ref="J117:K117"/>
    <mergeCell ref="H118:I118"/>
    <mergeCell ref="J118:K118"/>
    <mergeCell ref="H104:I104"/>
    <mergeCell ref="J104:K104"/>
    <mergeCell ref="H105:I105"/>
    <mergeCell ref="J105:K105"/>
    <mergeCell ref="H106:I106"/>
    <mergeCell ref="J106:K106"/>
    <mergeCell ref="H90:I90"/>
    <mergeCell ref="J90:K90"/>
    <mergeCell ref="H91:I91"/>
    <mergeCell ref="J91:K91"/>
    <mergeCell ref="H92:I92"/>
    <mergeCell ref="J92:K92"/>
    <mergeCell ref="H78:I78"/>
    <mergeCell ref="J78:K78"/>
    <mergeCell ref="H79:I79"/>
    <mergeCell ref="J79:K79"/>
    <mergeCell ref="H80:I80"/>
    <mergeCell ref="J80:K80"/>
    <mergeCell ref="H66:I66"/>
    <mergeCell ref="J66:K66"/>
    <mergeCell ref="H67:I67"/>
    <mergeCell ref="J67:K67"/>
    <mergeCell ref="H68:I68"/>
    <mergeCell ref="J68:K68"/>
    <mergeCell ref="H53:I53"/>
    <mergeCell ref="J53:K53"/>
    <mergeCell ref="H54:I54"/>
    <mergeCell ref="J54:K54"/>
    <mergeCell ref="H55:I55"/>
    <mergeCell ref="J55:K55"/>
    <mergeCell ref="H39:I39"/>
    <mergeCell ref="J39:K39"/>
    <mergeCell ref="H40:I40"/>
    <mergeCell ref="J40:K40"/>
    <mergeCell ref="H41:I41"/>
    <mergeCell ref="J41:K41"/>
    <mergeCell ref="E20:H20"/>
    <mergeCell ref="E21:H21"/>
    <mergeCell ref="E22:H22"/>
    <mergeCell ref="A25:K25"/>
    <mergeCell ref="J2:K2"/>
    <mergeCell ref="A29:K29"/>
    <mergeCell ref="E14:H14"/>
    <mergeCell ref="E15:H15"/>
    <mergeCell ref="E16:H16"/>
    <mergeCell ref="E17:H17"/>
    <mergeCell ref="E18:H18"/>
    <mergeCell ref="E19:H19"/>
    <mergeCell ref="A3:K3"/>
    <mergeCell ref="A4:K4"/>
    <mergeCell ref="A6:K6"/>
    <mergeCell ref="A8:K8"/>
    <mergeCell ref="A9:K9"/>
    <mergeCell ref="A11:K11"/>
  </mergeCells>
  <pageMargins left="0.4" right="0.2" top="0.2" bottom="0.4" header="0.2" footer="0.2"/>
  <pageSetup paperSize="9" scale="67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1"/>
  <sheetViews>
    <sheetView zoomScaleNormal="100" workbookViewId="0"/>
  </sheetViews>
  <sheetFormatPr defaultRowHeight="12.45" x14ac:dyDescent="0.3"/>
  <cols>
    <col min="1" max="2" width="6.69140625" customWidth="1"/>
    <col min="3" max="3" width="75.69140625" customWidth="1"/>
    <col min="4" max="8" width="15.69140625" customWidth="1"/>
    <col min="30" max="32" width="0" hidden="1" customWidth="1"/>
  </cols>
  <sheetData>
    <row r="1" spans="1:8" x14ac:dyDescent="0.3">
      <c r="A1" s="10" t="str">
        <f>Source!B1</f>
        <v>Smeta.RU  (495) 974-1589</v>
      </c>
    </row>
    <row r="2" spans="1:8" ht="14.15" x14ac:dyDescent="0.35">
      <c r="D2" s="11"/>
      <c r="E2" s="11"/>
    </row>
    <row r="3" spans="1:8" ht="14.15" x14ac:dyDescent="0.35">
      <c r="D3" s="11"/>
      <c r="E3" s="58" t="s">
        <v>455</v>
      </c>
    </row>
    <row r="4" spans="1:8" ht="14.15" x14ac:dyDescent="0.35">
      <c r="D4" s="58"/>
      <c r="E4" s="58"/>
    </row>
    <row r="5" spans="1:8" ht="14.15" x14ac:dyDescent="0.35">
      <c r="D5" s="62" t="s">
        <v>456</v>
      </c>
      <c r="E5" s="62"/>
    </row>
    <row r="6" spans="1:8" ht="14.15" x14ac:dyDescent="0.35">
      <c r="D6" s="63"/>
      <c r="E6" s="63"/>
    </row>
    <row r="7" spans="1:8" ht="14.15" x14ac:dyDescent="0.35">
      <c r="D7" s="62" t="s">
        <v>456</v>
      </c>
      <c r="E7" s="62"/>
    </row>
    <row r="8" spans="1:8" ht="14.15" x14ac:dyDescent="0.35">
      <c r="D8" s="63"/>
      <c r="E8" s="63"/>
    </row>
    <row r="9" spans="1:8" ht="14.15" x14ac:dyDescent="0.35">
      <c r="D9" s="58" t="s">
        <v>457</v>
      </c>
      <c r="E9" s="11"/>
    </row>
    <row r="10" spans="1:8" ht="14.15" x14ac:dyDescent="0.35">
      <c r="D10" s="11"/>
      <c r="E10" s="11"/>
    </row>
    <row r="12" spans="1:8" ht="15.45" x14ac:dyDescent="0.3">
      <c r="B12" s="64" t="str">
        <f>CONCATENATE("Ведомость объемов работ ", IF(Source!AN15&lt;&gt;"", Source!AN15," "))</f>
        <v xml:space="preserve">Ведомость объемов работ  </v>
      </c>
      <c r="C12" s="64"/>
      <c r="D12" s="64"/>
      <c r="E12" s="64"/>
    </row>
    <row r="13" spans="1:8" ht="14.15" x14ac:dyDescent="0.3">
      <c r="B13" s="65" t="str">
        <f>CONCATENATE(Source!F12, " ", Source!G12)</f>
        <v>02-01-17 02-01-17 СДС</v>
      </c>
      <c r="C13" s="65"/>
      <c r="D13" s="65"/>
      <c r="E13" s="65"/>
    </row>
    <row r="14" spans="1:8" hidden="1" x14ac:dyDescent="0.3"/>
    <row r="16" spans="1:8" ht="70.75" x14ac:dyDescent="0.3">
      <c r="A16" s="30" t="s">
        <v>401</v>
      </c>
      <c r="B16" s="30" t="s">
        <v>458</v>
      </c>
      <c r="C16" s="30" t="s">
        <v>403</v>
      </c>
      <c r="D16" s="30" t="s">
        <v>459</v>
      </c>
      <c r="E16" s="30" t="s">
        <v>460</v>
      </c>
      <c r="F16" s="30" t="s">
        <v>461</v>
      </c>
      <c r="G16" s="30" t="s">
        <v>462</v>
      </c>
      <c r="H16" s="30" t="s">
        <v>463</v>
      </c>
    </row>
    <row r="17" spans="1:8" ht="14.15" x14ac:dyDescent="0.3">
      <c r="A17" s="30">
        <v>1</v>
      </c>
      <c r="B17" s="30">
        <v>2</v>
      </c>
      <c r="C17" s="30">
        <v>3</v>
      </c>
      <c r="D17" s="30">
        <v>4</v>
      </c>
      <c r="E17" s="30">
        <v>5</v>
      </c>
      <c r="F17" s="30">
        <v>6</v>
      </c>
      <c r="G17" s="30">
        <v>7</v>
      </c>
      <c r="H17" s="30">
        <v>8</v>
      </c>
    </row>
    <row r="18" spans="1:8" ht="16.3" x14ac:dyDescent="0.4">
      <c r="A18" s="66" t="str">
        <f>CONCATENATE("Локальная смета: ", Source!G20)</f>
        <v>Локальная смета: Система двусторонней связи</v>
      </c>
      <c r="B18" s="66"/>
      <c r="C18" s="66"/>
      <c r="D18" s="66"/>
      <c r="E18" s="66"/>
      <c r="F18" s="66"/>
      <c r="G18" s="66"/>
      <c r="H18" s="66"/>
    </row>
    <row r="19" spans="1:8" ht="16.3" x14ac:dyDescent="0.4">
      <c r="A19" s="66" t="str">
        <f>CONCATENATE("Раздел: ", Source!G24)</f>
        <v>Раздел: Оборудование</v>
      </c>
      <c r="B19" s="66"/>
      <c r="C19" s="66"/>
      <c r="D19" s="66"/>
      <c r="E19" s="66"/>
      <c r="F19" s="66"/>
      <c r="G19" s="66"/>
      <c r="H19" s="66"/>
    </row>
    <row r="20" spans="1:8" ht="14.15" x14ac:dyDescent="0.3">
      <c r="A20" s="30">
        <v>1</v>
      </c>
      <c r="B20" s="30" t="str">
        <f>Source!E28</f>
        <v>1</v>
      </c>
      <c r="C20" s="69" t="str">
        <f>Source!G28</f>
        <v>Монтаж домового регистратора</v>
      </c>
      <c r="D20" s="30" t="s">
        <v>22</v>
      </c>
      <c r="E20" s="70">
        <f>Source!I28</f>
        <v>1</v>
      </c>
      <c r="F20" s="30" t="str">
        <f>Source!U24</f>
        <v/>
      </c>
      <c r="G20" s="30">
        <f>Source!I28</f>
        <v>1</v>
      </c>
      <c r="H20" s="69"/>
    </row>
    <row r="21" spans="1:8" ht="14.15" x14ac:dyDescent="0.3">
      <c r="A21" s="30">
        <v>1.1000000000000001</v>
      </c>
      <c r="B21" s="30" t="str">
        <f>Source!E30</f>
        <v>1,1</v>
      </c>
      <c r="C21" s="69" t="str">
        <f>Source!G30</f>
        <v>Монитор видеодомофона Модус-Н Vizit-M406</v>
      </c>
      <c r="D21" s="30" t="s">
        <v>32</v>
      </c>
      <c r="E21" s="70">
        <f>Source!I30</f>
        <v>1</v>
      </c>
      <c r="F21" s="30" t="str">
        <f>Source!U24</f>
        <v/>
      </c>
      <c r="G21" s="30"/>
      <c r="H21" s="69"/>
    </row>
    <row r="22" spans="1:8" ht="14.15" x14ac:dyDescent="0.3">
      <c r="A22" s="30">
        <v>2</v>
      </c>
      <c r="B22" s="30" t="str">
        <f>Source!E32</f>
        <v>2</v>
      </c>
      <c r="C22" s="69" t="str">
        <f>Source!G32</f>
        <v>Монтаж устройства связи с согласующим устройством (вызывная панель)</v>
      </c>
      <c r="D22" s="30" t="s">
        <v>42</v>
      </c>
      <c r="E22" s="70">
        <f>Source!I32</f>
        <v>0.1</v>
      </c>
      <c r="F22" s="30" t="str">
        <f>Source!U24</f>
        <v/>
      </c>
      <c r="G22" s="30" t="str">
        <f>"=1/"&amp;"10"</f>
        <v>=1/10</v>
      </c>
      <c r="H22" s="69"/>
    </row>
    <row r="23" spans="1:8" ht="14.15" x14ac:dyDescent="0.3">
      <c r="A23" s="30">
        <v>2.1</v>
      </c>
      <c r="B23" s="30" t="str">
        <f>Source!E34</f>
        <v>2,1</v>
      </c>
      <c r="C23" s="69" t="str">
        <f>Source!G34</f>
        <v>Вызывная панель Activision AVC-305</v>
      </c>
      <c r="D23" s="30" t="s">
        <v>32</v>
      </c>
      <c r="E23" s="70">
        <f>Source!I34</f>
        <v>1</v>
      </c>
      <c r="F23" s="30" t="str">
        <f>Source!U24</f>
        <v/>
      </c>
      <c r="G23" s="30"/>
      <c r="H23" s="69"/>
    </row>
    <row r="24" spans="1:8" ht="28.3" x14ac:dyDescent="0.3">
      <c r="A24" s="30">
        <v>3</v>
      </c>
      <c r="B24" s="30" t="str">
        <f>Source!E36</f>
        <v>3</v>
      </c>
      <c r="C24" s="69" t="str">
        <f>Source!G36</f>
        <v>Монтаж конструкции для установки приборов и средств автоматизации массой до 5 кг</v>
      </c>
      <c r="D24" s="30" t="s">
        <v>22</v>
      </c>
      <c r="E24" s="70">
        <f>Source!I36</f>
        <v>1</v>
      </c>
      <c r="F24" s="30" t="str">
        <f>Source!U24</f>
        <v/>
      </c>
      <c r="G24" s="30">
        <f>Source!I36</f>
        <v>1</v>
      </c>
      <c r="H24" s="69"/>
    </row>
    <row r="25" spans="1:8" ht="14.15" x14ac:dyDescent="0.3">
      <c r="A25" s="30">
        <v>3.1</v>
      </c>
      <c r="B25" s="30" t="str">
        <f>Source!E38</f>
        <v>3,1</v>
      </c>
      <c r="C25" s="69" t="str">
        <f>Source!G38</f>
        <v>Стойка для вызывной панели AR-GO STS-03</v>
      </c>
      <c r="D25" s="30" t="s">
        <v>32</v>
      </c>
      <c r="E25" s="70">
        <f>Source!I38</f>
        <v>1</v>
      </c>
      <c r="F25" s="30" t="str">
        <f>Source!U24</f>
        <v/>
      </c>
      <c r="G25" s="30"/>
      <c r="H25" s="69"/>
    </row>
    <row r="26" spans="1:8" ht="14.15" x14ac:dyDescent="0.3">
      <c r="A26" s="30">
        <v>4</v>
      </c>
      <c r="B26" s="30" t="str">
        <f>Source!E40</f>
        <v>4</v>
      </c>
      <c r="C26" s="69" t="str">
        <f>Source!G40</f>
        <v>Сигнализация дистанционная, блок оконечный</v>
      </c>
      <c r="D26" s="30" t="s">
        <v>22</v>
      </c>
      <c r="E26" s="70">
        <f>Source!I40</f>
        <v>1</v>
      </c>
      <c r="F26" s="30" t="str">
        <f>Source!U24</f>
        <v/>
      </c>
      <c r="G26" s="30">
        <f>Source!I40</f>
        <v>1</v>
      </c>
      <c r="H26" s="69"/>
    </row>
    <row r="27" spans="1:8" ht="14.15" x14ac:dyDescent="0.3">
      <c r="A27" s="30">
        <v>4.0999999999999996</v>
      </c>
      <c r="B27" s="30" t="str">
        <f>Source!E42</f>
        <v>4,1</v>
      </c>
      <c r="C27" s="69" t="str">
        <f>Source!G42</f>
        <v>Локальный блок связи Тромбон ЛБС</v>
      </c>
      <c r="D27" s="30" t="s">
        <v>32</v>
      </c>
      <c r="E27" s="70">
        <f>Source!I42</f>
        <v>1</v>
      </c>
      <c r="F27" s="30" t="str">
        <f>Source!U24</f>
        <v/>
      </c>
      <c r="G27" s="30"/>
      <c r="H27" s="69"/>
    </row>
    <row r="28" spans="1:8" ht="14.15" x14ac:dyDescent="0.3">
      <c r="A28" s="30">
        <v>4.2</v>
      </c>
      <c r="B28" s="30" t="str">
        <f>Source!E44</f>
        <v>4,2</v>
      </c>
      <c r="C28" s="69" t="str">
        <f>Source!G44</f>
        <v>Батарея аккумуляторная, емкость 7 А·ч, напряжение 12 В</v>
      </c>
      <c r="D28" s="30" t="s">
        <v>32</v>
      </c>
      <c r="E28" s="70">
        <f>Source!I44</f>
        <v>2</v>
      </c>
      <c r="F28" s="30" t="str">
        <f>Source!U24</f>
        <v/>
      </c>
      <c r="G28" s="30"/>
      <c r="H28" s="69"/>
    </row>
    <row r="29" spans="1:8" ht="28.3" x14ac:dyDescent="0.3">
      <c r="A29" s="30">
        <v>5</v>
      </c>
      <c r="B29" s="30" t="str">
        <f>Source!E46</f>
        <v>5</v>
      </c>
      <c r="C29" s="69" t="str">
        <f>Source!G46</f>
        <v>Установка пульта или табло вызывной сигнализации с количеством сигналов до 10</v>
      </c>
      <c r="D29" s="30" t="s">
        <v>22</v>
      </c>
      <c r="E29" s="70">
        <f>Source!I46</f>
        <v>1</v>
      </c>
      <c r="F29" s="30" t="str">
        <f>Source!U24</f>
        <v/>
      </c>
      <c r="G29" s="30">
        <f>Source!I46</f>
        <v>1</v>
      </c>
      <c r="H29" s="69"/>
    </row>
    <row r="30" spans="1:8" ht="14.15" x14ac:dyDescent="0.3">
      <c r="A30" s="30">
        <v>5.0999999999999996</v>
      </c>
      <c r="B30" s="30" t="str">
        <f>Source!E48</f>
        <v>5,1</v>
      </c>
      <c r="C30" s="69" t="str">
        <f>Source!G48</f>
        <v>Пульт диспетчера Тромбон ПД</v>
      </c>
      <c r="D30" s="30" t="s">
        <v>32</v>
      </c>
      <c r="E30" s="70">
        <f>Source!I48</f>
        <v>1</v>
      </c>
      <c r="F30" s="30" t="str">
        <f>Source!U24</f>
        <v/>
      </c>
      <c r="G30" s="30"/>
      <c r="H30" s="69"/>
    </row>
    <row r="31" spans="1:8" ht="14.15" x14ac:dyDescent="0.3">
      <c r="A31" s="30">
        <v>6</v>
      </c>
      <c r="B31" s="30" t="str">
        <f>Source!E50</f>
        <v>6</v>
      </c>
      <c r="C31" s="69" t="str">
        <f>Source!G50</f>
        <v>Монтаж устройства связи с согласующим устройством (вызывная панель)</v>
      </c>
      <c r="D31" s="30" t="s">
        <v>42</v>
      </c>
      <c r="E31" s="70">
        <f>Source!I50</f>
        <v>1.7</v>
      </c>
      <c r="F31" s="30" t="str">
        <f>Source!U24</f>
        <v/>
      </c>
      <c r="G31" s="30" t="str">
        <f>"=17/"&amp;"10"</f>
        <v>=17/10</v>
      </c>
      <c r="H31" s="69"/>
    </row>
    <row r="32" spans="1:8" ht="14.15" x14ac:dyDescent="0.3">
      <c r="A32" s="30">
        <v>6.1</v>
      </c>
      <c r="B32" s="30" t="str">
        <f>Source!E52</f>
        <v>6,1</v>
      </c>
      <c r="C32" s="69" t="str">
        <f>Source!G52</f>
        <v>Абонентское вызывное устройство Тромбон АВУ</v>
      </c>
      <c r="D32" s="30" t="s">
        <v>32</v>
      </c>
      <c r="E32" s="70">
        <f>Source!I52</f>
        <v>17</v>
      </c>
      <c r="F32" s="30" t="str">
        <f>Source!U24</f>
        <v/>
      </c>
      <c r="G32" s="30"/>
      <c r="H32" s="69"/>
    </row>
    <row r="33" spans="1:8" ht="28.3" x14ac:dyDescent="0.3">
      <c r="A33" s="30">
        <v>7</v>
      </c>
      <c r="B33" s="30" t="str">
        <f>Source!E54</f>
        <v>7</v>
      </c>
      <c r="C33" s="69" t="str">
        <f>Source!G54</f>
        <v>Установка пульта или табло вызывной сигнализации с количеством сигналов до 5</v>
      </c>
      <c r="D33" s="30" t="s">
        <v>22</v>
      </c>
      <c r="E33" s="70">
        <f>Source!I54</f>
        <v>1</v>
      </c>
      <c r="F33" s="30" t="str">
        <f>Source!U24</f>
        <v/>
      </c>
      <c r="G33" s="30">
        <f>Source!I54</f>
        <v>1</v>
      </c>
      <c r="H33" s="69"/>
    </row>
    <row r="34" spans="1:8" ht="14.15" x14ac:dyDescent="0.3">
      <c r="A34" s="30">
        <v>7.1</v>
      </c>
      <c r="B34" s="30" t="str">
        <f>Source!E56</f>
        <v>7,1</v>
      </c>
      <c r="C34" s="69" t="str">
        <f>Source!G56</f>
        <v>Светозвуковое табло Тромбон ИСТ</v>
      </c>
      <c r="D34" s="30" t="s">
        <v>32</v>
      </c>
      <c r="E34" s="70">
        <f>Source!I56</f>
        <v>1</v>
      </c>
      <c r="F34" s="30" t="str">
        <f>Source!U24</f>
        <v/>
      </c>
      <c r="G34" s="30"/>
      <c r="H34" s="69"/>
    </row>
    <row r="35" spans="1:8" ht="14.15" x14ac:dyDescent="0.3">
      <c r="A35" s="30">
        <v>8</v>
      </c>
      <c r="B35" s="30" t="str">
        <f>Source!E58</f>
        <v>8</v>
      </c>
      <c r="C35" s="69" t="str">
        <f>Source!G58</f>
        <v>Монтаж ключа или кнопки на панели</v>
      </c>
      <c r="D35" s="30" t="s">
        <v>22</v>
      </c>
      <c r="E35" s="70">
        <f>Source!I58</f>
        <v>1</v>
      </c>
      <c r="F35" s="30" t="str">
        <f>Source!U24</f>
        <v/>
      </c>
      <c r="G35" s="30">
        <f>Source!I58</f>
        <v>1</v>
      </c>
      <c r="H35" s="69"/>
    </row>
    <row r="36" spans="1:8" ht="14.15" x14ac:dyDescent="0.3">
      <c r="A36" s="30">
        <v>8.1</v>
      </c>
      <c r="B36" s="30" t="str">
        <f>Source!E60</f>
        <v>8,1</v>
      </c>
      <c r="C36" s="69" t="str">
        <f>Source!G60</f>
        <v>Устройство вызов/сброс Тромбон-ВС-С</v>
      </c>
      <c r="D36" s="30" t="s">
        <v>32</v>
      </c>
      <c r="E36" s="70">
        <f>Source!I60</f>
        <v>1</v>
      </c>
      <c r="F36" s="30" t="str">
        <f>Source!U24</f>
        <v/>
      </c>
      <c r="G36" s="30"/>
      <c r="H36" s="69"/>
    </row>
    <row r="37" spans="1:8" ht="16.3" x14ac:dyDescent="0.4">
      <c r="A37" s="66" t="str">
        <f>CONCATENATE("Раздел: ", Source!G93)</f>
        <v>Раздел: Кабельные изделия и материалы</v>
      </c>
      <c r="B37" s="66"/>
      <c r="C37" s="66"/>
      <c r="D37" s="66"/>
      <c r="E37" s="66"/>
      <c r="F37" s="66"/>
      <c r="G37" s="66"/>
      <c r="H37" s="66"/>
    </row>
    <row r="38" spans="1:8" ht="42.45" x14ac:dyDescent="0.3">
      <c r="A38" s="30">
        <v>9</v>
      </c>
      <c r="B38" s="30" t="str">
        <f>Source!E97</f>
        <v>9</v>
      </c>
      <c r="C38" s="69" t="str">
        <f>Source!G97</f>
        <v>Прокладка кабеля связи симметричного для цифровых систем передачи в трубах гофрированных: по бетонным и кирпичным поверхностям стен и потолка</v>
      </c>
      <c r="D38" s="30" t="s">
        <v>158</v>
      </c>
      <c r="E38" s="70">
        <f>Source!I97</f>
        <v>3.35</v>
      </c>
      <c r="F38" s="30" t="str">
        <f>Source!U93</f>
        <v/>
      </c>
      <c r="G38" s="30" t="str">
        <f>"=(35+"&amp;"300)/"&amp;"100"</f>
        <v>=(35+300)/100</v>
      </c>
      <c r="H38" s="69"/>
    </row>
    <row r="39" spans="1:8" ht="42.45" x14ac:dyDescent="0.3">
      <c r="A39" s="30">
        <v>9.1</v>
      </c>
      <c r="B39" s="30" t="str">
        <f>Source!E99</f>
        <v>9,1</v>
      </c>
      <c r="C39" s="69" t="str">
        <f>Source!G99</f>
        <v>Трубы из непластифицированного вторичного ПВХ, гладкие, самозатухающие, усиленного типа, наружный диаметр 20 мм, толщина стенки 1,5 мм, для электропроводок</v>
      </c>
      <c r="D39" s="30" t="s">
        <v>163</v>
      </c>
      <c r="E39" s="70">
        <f>Source!I99</f>
        <v>35.700000000000003</v>
      </c>
      <c r="F39" s="30" t="str">
        <f>Source!U93</f>
        <v/>
      </c>
      <c r="G39" s="30"/>
      <c r="H39" s="69"/>
    </row>
    <row r="40" spans="1:8" ht="42.45" x14ac:dyDescent="0.3">
      <c r="A40" s="30">
        <v>9.1999999999999993</v>
      </c>
      <c r="B40" s="30" t="str">
        <f>Source!E101</f>
        <v>9,2</v>
      </c>
      <c r="C40" s="69" t="str">
        <f>Source!G101</f>
        <v>Трубы из непластифицированного вторичного ПВХ, гладкие, самозатухающие, усиленного типа, наружный диаметр 25 мм, толщина стенки 1,5 мм, для электропроводок</v>
      </c>
      <c r="D40" s="30" t="s">
        <v>163</v>
      </c>
      <c r="E40" s="70">
        <f>Source!I101</f>
        <v>306</v>
      </c>
      <c r="F40" s="30" t="str">
        <f>Source!U93</f>
        <v/>
      </c>
      <c r="G40" s="30"/>
      <c r="H40" s="69"/>
    </row>
    <row r="41" spans="1:8" ht="28.3" x14ac:dyDescent="0.3">
      <c r="A41" s="30">
        <v>9.3000000000000007</v>
      </c>
      <c r="B41" s="30" t="str">
        <f>Source!E103</f>
        <v>9,3</v>
      </c>
      <c r="C41" s="69" t="str">
        <f>Source!G103</f>
        <v>Держатель пластиковый с защелкой для крепления труб, рукавов и гибких вводов диаметром 20 мм</v>
      </c>
      <c r="D41" s="30" t="s">
        <v>172</v>
      </c>
      <c r="E41" s="70">
        <f>Source!I103</f>
        <v>0.99999999999999989</v>
      </c>
      <c r="F41" s="30" t="str">
        <f>Source!U93</f>
        <v/>
      </c>
      <c r="G41" s="30"/>
      <c r="H41" s="69"/>
    </row>
    <row r="42" spans="1:8" ht="28.3" x14ac:dyDescent="0.3">
      <c r="A42" s="30">
        <v>9.4</v>
      </c>
      <c r="B42" s="30" t="str">
        <f>Source!E105</f>
        <v>9,4</v>
      </c>
      <c r="C42" s="69" t="str">
        <f>Source!G105</f>
        <v>Держатель пластиковый с защелкой для крепления труб, рукавов и гибких вводов диаметром 25 мм</v>
      </c>
      <c r="D42" s="30" t="s">
        <v>172</v>
      </c>
      <c r="E42" s="70">
        <f>Source!I105</f>
        <v>1.9999999999999998</v>
      </c>
      <c r="F42" s="30" t="str">
        <f>Source!U93</f>
        <v/>
      </c>
      <c r="G42" s="30"/>
      <c r="H42" s="69"/>
    </row>
    <row r="43" spans="1:8" ht="14.15" x14ac:dyDescent="0.3">
      <c r="A43" s="30">
        <v>9.5</v>
      </c>
      <c r="B43" s="30" t="str">
        <f>Source!E107</f>
        <v>9,5</v>
      </c>
      <c r="C43" s="69" t="str">
        <f>Source!G107</f>
        <v>Кабель U/UTP Cat5e PVCLSнг(А)-LSLTx 2х2х0,52 мм</v>
      </c>
      <c r="D43" s="30" t="s">
        <v>181</v>
      </c>
      <c r="E43" s="70">
        <f>Source!I107</f>
        <v>3.5700000000000003E-2</v>
      </c>
      <c r="F43" s="30" t="str">
        <f>Source!U93</f>
        <v/>
      </c>
      <c r="G43" s="30"/>
      <c r="H43" s="69"/>
    </row>
    <row r="44" spans="1:8" ht="14.15" x14ac:dyDescent="0.3">
      <c r="A44" s="30">
        <v>9.6</v>
      </c>
      <c r="B44" s="30" t="str">
        <f>Source!E109</f>
        <v>9,6</v>
      </c>
      <c r="C44" s="69" t="str">
        <f>Source!G109</f>
        <v>Кабель КИС-РВнг(А)-LSLTx 4х2х0,64 мм</v>
      </c>
      <c r="D44" s="30" t="s">
        <v>181</v>
      </c>
      <c r="E44" s="70">
        <f>Source!I109</f>
        <v>3.5700000000000003E-2</v>
      </c>
      <c r="F44" s="30" t="str">
        <f>Source!U93</f>
        <v/>
      </c>
      <c r="G44" s="30"/>
      <c r="H44" s="69"/>
    </row>
    <row r="45" spans="1:8" ht="14.15" x14ac:dyDescent="0.3">
      <c r="A45" s="30">
        <v>9.6999999999999993</v>
      </c>
      <c r="B45" s="30" t="str">
        <f>Source!E111</f>
        <v>9,7</v>
      </c>
      <c r="C45" s="69" t="str">
        <f>Source!G111</f>
        <v>Кабель КИС-РВнг(А)-LSLTx 2х2х0,64 мм</v>
      </c>
      <c r="D45" s="30" t="s">
        <v>181</v>
      </c>
      <c r="E45" s="70">
        <f>Source!I111</f>
        <v>0.91290000000000004</v>
      </c>
      <c r="F45" s="30" t="str">
        <f>Source!U93</f>
        <v/>
      </c>
      <c r="G45" s="30"/>
      <c r="H45" s="69"/>
    </row>
    <row r="46" spans="1:8" ht="14.15" x14ac:dyDescent="0.3">
      <c r="A46" s="29">
        <v>9.8000000000000007</v>
      </c>
      <c r="B46" s="29" t="str">
        <f>Source!E113</f>
        <v>9,8</v>
      </c>
      <c r="C46" s="67" t="str">
        <f>Source!G113</f>
        <v>Кабель КСПЭнг(А)-LSLTx 2х2х0,5 мм</v>
      </c>
      <c r="D46" s="29" t="s">
        <v>181</v>
      </c>
      <c r="E46" s="68">
        <f>Source!I113</f>
        <v>1.5299999999999999E-2</v>
      </c>
      <c r="F46" s="29" t="str">
        <f>Source!U93</f>
        <v/>
      </c>
      <c r="G46" s="29"/>
      <c r="H46" s="67"/>
    </row>
    <row r="49" spans="3:5" ht="14.15" x14ac:dyDescent="0.35">
      <c r="C49" s="71" t="s">
        <v>464</v>
      </c>
      <c r="D49" s="71" t="str">
        <f>IF(Source!X12&lt;&gt;"", Source!X12," ")</f>
        <v xml:space="preserve"> </v>
      </c>
      <c r="E49" s="72"/>
    </row>
    <row r="50" spans="3:5" ht="14.15" x14ac:dyDescent="0.35">
      <c r="C50" s="11"/>
      <c r="D50" s="72"/>
      <c r="E50" s="72"/>
    </row>
    <row r="51" spans="3:5" ht="14.15" x14ac:dyDescent="0.35">
      <c r="C51" s="73" t="s">
        <v>465</v>
      </c>
      <c r="D51" s="73" t="str">
        <f>IF(Source!AB12&lt;&gt;"", Source!AB12," ")</f>
        <v>Лукьянова А.Л.</v>
      </c>
      <c r="E51" s="72"/>
    </row>
  </sheetData>
  <mergeCells count="7">
    <mergeCell ref="A37:H37"/>
    <mergeCell ref="D5:E5"/>
    <mergeCell ref="D7:E7"/>
    <mergeCell ref="B12:E12"/>
    <mergeCell ref="B13:E13"/>
    <mergeCell ref="A18:H18"/>
    <mergeCell ref="A19:H19"/>
  </mergeCells>
  <pageMargins left="0.4" right="0.2" top="0.2" bottom="0.4" header="0.2" footer="0.2"/>
  <pageSetup paperSize="9" scale="59" fitToHeight="0" orientation="portrait" r:id="rId1"/>
  <headerFooter>
    <oddHeader>&amp;L&amp;8</oddHeader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249"/>
  <sheetViews>
    <sheetView workbookViewId="0">
      <selection activeCell="A245" sqref="A245:AX245"/>
    </sheetView>
  </sheetViews>
  <sheetFormatPr defaultColWidth="9.15234375" defaultRowHeight="12.45" x14ac:dyDescent="0.3"/>
  <cols>
    <col min="1" max="256" width="9.15234375" customWidth="1"/>
  </cols>
  <sheetData>
    <row r="1" spans="1:133" x14ac:dyDescent="0.3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74562</v>
      </c>
      <c r="M1">
        <v>10</v>
      </c>
      <c r="N1">
        <v>12</v>
      </c>
      <c r="O1">
        <v>0</v>
      </c>
      <c r="P1">
        <v>0</v>
      </c>
      <c r="Q1">
        <v>3</v>
      </c>
    </row>
    <row r="4" spans="1:133" x14ac:dyDescent="0.3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12" spans="1:133" x14ac:dyDescent="0.3">
      <c r="A12" s="1">
        <v>1</v>
      </c>
      <c r="B12" s="1">
        <v>241</v>
      </c>
      <c r="C12" s="1">
        <v>0</v>
      </c>
      <c r="D12" s="1">
        <f>ROW(A202)</f>
        <v>202</v>
      </c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7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8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9</v>
      </c>
      <c r="BI12" s="1" t="s">
        <v>10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1</v>
      </c>
      <c r="BU12" s="1">
        <v>0</v>
      </c>
      <c r="BV12" s="1">
        <v>1</v>
      </c>
      <c r="BW12" s="1">
        <v>0</v>
      </c>
      <c r="BX12" s="1">
        <v>0</v>
      </c>
      <c r="BY12" s="1" t="s">
        <v>11</v>
      </c>
      <c r="BZ12" s="1" t="s">
        <v>12</v>
      </c>
      <c r="CA12" s="1" t="s">
        <v>13</v>
      </c>
      <c r="CB12" s="1" t="s">
        <v>13</v>
      </c>
      <c r="CC12" s="1" t="s">
        <v>13</v>
      </c>
      <c r="CD12" s="1" t="s">
        <v>13</v>
      </c>
      <c r="CE12" s="1" t="s">
        <v>14</v>
      </c>
      <c r="CF12" s="1">
        <v>0</v>
      </c>
      <c r="CG12" s="1">
        <v>0</v>
      </c>
      <c r="CH12" s="1">
        <v>8202</v>
      </c>
      <c r="CI12" s="1" t="s">
        <v>3</v>
      </c>
      <c r="CJ12" s="1" t="s">
        <v>3</v>
      </c>
      <c r="CK12" s="1">
        <v>80</v>
      </c>
      <c r="CL12" s="1"/>
      <c r="CM12" s="1"/>
      <c r="CN12" s="1"/>
      <c r="CO12" s="1"/>
      <c r="CP12" s="1"/>
      <c r="CQ12" s="1" t="s">
        <v>15</v>
      </c>
      <c r="CR12" s="1" t="s">
        <v>16</v>
      </c>
      <c r="CS12" s="1">
        <v>41660</v>
      </c>
      <c r="CT12" s="1">
        <v>1</v>
      </c>
      <c r="CU12" s="1">
        <v>80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5" spans="1:133" x14ac:dyDescent="0.3">
      <c r="A15" s="1">
        <v>15</v>
      </c>
      <c r="B15" s="1">
        <v>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</row>
    <row r="18" spans="1:255" x14ac:dyDescent="0.3">
      <c r="A18" s="3">
        <v>52</v>
      </c>
      <c r="B18" s="3">
        <f t="shared" ref="B18:G18" si="0">B202</f>
        <v>241</v>
      </c>
      <c r="C18" s="3">
        <f t="shared" si="0"/>
        <v>1</v>
      </c>
      <c r="D18" s="3">
        <f t="shared" si="0"/>
        <v>12</v>
      </c>
      <c r="E18" s="3">
        <f t="shared" si="0"/>
        <v>0</v>
      </c>
      <c r="F18" s="3" t="str">
        <f t="shared" si="0"/>
        <v>02-01-17</v>
      </c>
      <c r="G18" s="3" t="str">
        <f t="shared" si="0"/>
        <v>02-01-17 СДС</v>
      </c>
      <c r="H18" s="3"/>
      <c r="I18" s="3"/>
      <c r="J18" s="3"/>
      <c r="K18" s="3"/>
      <c r="L18" s="3"/>
      <c r="M18" s="3"/>
      <c r="N18" s="3"/>
      <c r="O18" s="3">
        <f t="shared" ref="O18:AT18" si="1">O202</f>
        <v>113436.02</v>
      </c>
      <c r="P18" s="3">
        <f t="shared" si="1"/>
        <v>111647.03999999999</v>
      </c>
      <c r="Q18" s="3">
        <f t="shared" si="1"/>
        <v>26.69</v>
      </c>
      <c r="R18" s="3">
        <f t="shared" si="1"/>
        <v>3.15</v>
      </c>
      <c r="S18" s="3">
        <f t="shared" si="1"/>
        <v>1762.29</v>
      </c>
      <c r="T18" s="3">
        <f t="shared" si="1"/>
        <v>0</v>
      </c>
      <c r="U18" s="3">
        <f t="shared" si="1"/>
        <v>136.2944814</v>
      </c>
      <c r="V18" s="3">
        <f t="shared" si="1"/>
        <v>0</v>
      </c>
      <c r="W18" s="3">
        <f t="shared" si="1"/>
        <v>0</v>
      </c>
      <c r="X18" s="3">
        <f t="shared" si="1"/>
        <v>1589.6</v>
      </c>
      <c r="Y18" s="3">
        <f t="shared" si="1"/>
        <v>813.06</v>
      </c>
      <c r="Z18" s="3">
        <f t="shared" si="1"/>
        <v>0</v>
      </c>
      <c r="AA18" s="3">
        <f t="shared" si="1"/>
        <v>0</v>
      </c>
      <c r="AB18" s="3">
        <f t="shared" si="1"/>
        <v>0</v>
      </c>
      <c r="AC18" s="3">
        <f t="shared" si="1"/>
        <v>0</v>
      </c>
      <c r="AD18" s="3">
        <f t="shared" si="1"/>
        <v>0</v>
      </c>
      <c r="AE18" s="3">
        <f t="shared" si="1"/>
        <v>0</v>
      </c>
      <c r="AF18" s="3">
        <f t="shared" si="1"/>
        <v>0</v>
      </c>
      <c r="AG18" s="3">
        <f t="shared" si="1"/>
        <v>0</v>
      </c>
      <c r="AH18" s="3">
        <f t="shared" si="1"/>
        <v>0</v>
      </c>
      <c r="AI18" s="3">
        <f t="shared" si="1"/>
        <v>0</v>
      </c>
      <c r="AJ18" s="3">
        <f t="shared" si="1"/>
        <v>0</v>
      </c>
      <c r="AK18" s="3">
        <f t="shared" si="1"/>
        <v>0</v>
      </c>
      <c r="AL18" s="3">
        <f t="shared" si="1"/>
        <v>0</v>
      </c>
      <c r="AM18" s="3">
        <f t="shared" si="1"/>
        <v>0</v>
      </c>
      <c r="AN18" s="3">
        <f t="shared" si="1"/>
        <v>0</v>
      </c>
      <c r="AO18" s="3">
        <f t="shared" si="1"/>
        <v>0</v>
      </c>
      <c r="AP18" s="3">
        <f t="shared" si="1"/>
        <v>81880.2</v>
      </c>
      <c r="AQ18" s="3">
        <f t="shared" si="1"/>
        <v>0</v>
      </c>
      <c r="AR18" s="3">
        <f t="shared" si="1"/>
        <v>115838.68</v>
      </c>
      <c r="AS18" s="3">
        <f t="shared" si="1"/>
        <v>0</v>
      </c>
      <c r="AT18" s="3">
        <f t="shared" si="1"/>
        <v>33958.480000000003</v>
      </c>
      <c r="AU18" s="3">
        <f t="shared" ref="AU18:BZ18" si="2">AU202</f>
        <v>0</v>
      </c>
      <c r="AV18" s="3">
        <f t="shared" si="2"/>
        <v>111647.03999999999</v>
      </c>
      <c r="AW18" s="3">
        <f t="shared" si="2"/>
        <v>29766.84</v>
      </c>
      <c r="AX18" s="3">
        <f t="shared" si="2"/>
        <v>0</v>
      </c>
      <c r="AY18" s="3">
        <f t="shared" si="2"/>
        <v>29766.84</v>
      </c>
      <c r="AZ18" s="3">
        <f t="shared" si="2"/>
        <v>81880.2</v>
      </c>
      <c r="BA18" s="3">
        <f t="shared" si="2"/>
        <v>0</v>
      </c>
      <c r="BB18" s="3">
        <f t="shared" si="2"/>
        <v>0</v>
      </c>
      <c r="BC18" s="3">
        <f t="shared" si="2"/>
        <v>0</v>
      </c>
      <c r="BD18" s="3">
        <f t="shared" si="2"/>
        <v>0</v>
      </c>
      <c r="BE18" s="3">
        <f t="shared" si="2"/>
        <v>0</v>
      </c>
      <c r="BF18" s="3">
        <f t="shared" si="2"/>
        <v>0</v>
      </c>
      <c r="BG18" s="3">
        <f t="shared" si="2"/>
        <v>0</v>
      </c>
      <c r="BH18" s="3">
        <f t="shared" si="2"/>
        <v>0</v>
      </c>
      <c r="BI18" s="3">
        <f t="shared" si="2"/>
        <v>0</v>
      </c>
      <c r="BJ18" s="3">
        <f t="shared" si="2"/>
        <v>0</v>
      </c>
      <c r="BK18" s="3">
        <f t="shared" si="2"/>
        <v>0</v>
      </c>
      <c r="BL18" s="3">
        <f t="shared" si="2"/>
        <v>0</v>
      </c>
      <c r="BM18" s="3">
        <f t="shared" si="2"/>
        <v>0</v>
      </c>
      <c r="BN18" s="3">
        <f t="shared" si="2"/>
        <v>0</v>
      </c>
      <c r="BO18" s="3">
        <f t="shared" si="2"/>
        <v>0</v>
      </c>
      <c r="BP18" s="3">
        <f t="shared" si="2"/>
        <v>0</v>
      </c>
      <c r="BQ18" s="3">
        <f t="shared" si="2"/>
        <v>0</v>
      </c>
      <c r="BR18" s="3">
        <f t="shared" si="2"/>
        <v>0</v>
      </c>
      <c r="BS18" s="3">
        <f t="shared" si="2"/>
        <v>0</v>
      </c>
      <c r="BT18" s="3">
        <f t="shared" si="2"/>
        <v>0</v>
      </c>
      <c r="BU18" s="3">
        <f t="shared" si="2"/>
        <v>0</v>
      </c>
      <c r="BV18" s="3">
        <f t="shared" si="2"/>
        <v>0</v>
      </c>
      <c r="BW18" s="3">
        <f t="shared" si="2"/>
        <v>0</v>
      </c>
      <c r="BX18" s="3">
        <f t="shared" si="2"/>
        <v>0</v>
      </c>
      <c r="BY18" s="3">
        <f t="shared" si="2"/>
        <v>0</v>
      </c>
      <c r="BZ18" s="3">
        <f t="shared" si="2"/>
        <v>0</v>
      </c>
      <c r="CA18" s="3">
        <f t="shared" ref="CA18:DF18" si="3">CA202</f>
        <v>0</v>
      </c>
      <c r="CB18" s="3">
        <f t="shared" si="3"/>
        <v>0</v>
      </c>
      <c r="CC18" s="3">
        <f t="shared" si="3"/>
        <v>0</v>
      </c>
      <c r="CD18" s="3">
        <f t="shared" si="3"/>
        <v>0</v>
      </c>
      <c r="CE18" s="3">
        <f t="shared" si="3"/>
        <v>0</v>
      </c>
      <c r="CF18" s="3">
        <f t="shared" si="3"/>
        <v>0</v>
      </c>
      <c r="CG18" s="3">
        <f t="shared" si="3"/>
        <v>0</v>
      </c>
      <c r="CH18" s="3">
        <f t="shared" si="3"/>
        <v>0</v>
      </c>
      <c r="CI18" s="3">
        <f t="shared" si="3"/>
        <v>0</v>
      </c>
      <c r="CJ18" s="3">
        <f t="shared" si="3"/>
        <v>0</v>
      </c>
      <c r="CK18" s="3">
        <f t="shared" si="3"/>
        <v>0</v>
      </c>
      <c r="CL18" s="3">
        <f t="shared" si="3"/>
        <v>0</v>
      </c>
      <c r="CM18" s="3">
        <f t="shared" si="3"/>
        <v>0</v>
      </c>
      <c r="CN18" s="3">
        <f t="shared" si="3"/>
        <v>0</v>
      </c>
      <c r="CO18" s="3">
        <f t="shared" si="3"/>
        <v>0</v>
      </c>
      <c r="CP18" s="3">
        <f t="shared" si="3"/>
        <v>0</v>
      </c>
      <c r="CQ18" s="3">
        <f t="shared" si="3"/>
        <v>0</v>
      </c>
      <c r="CR18" s="3">
        <f t="shared" si="3"/>
        <v>0</v>
      </c>
      <c r="CS18" s="3">
        <f t="shared" si="3"/>
        <v>0</v>
      </c>
      <c r="CT18" s="3">
        <f t="shared" si="3"/>
        <v>0</v>
      </c>
      <c r="CU18" s="3">
        <f t="shared" si="3"/>
        <v>0</v>
      </c>
      <c r="CV18" s="3">
        <f t="shared" si="3"/>
        <v>0</v>
      </c>
      <c r="CW18" s="3">
        <f t="shared" si="3"/>
        <v>0</v>
      </c>
      <c r="CX18" s="3">
        <f t="shared" si="3"/>
        <v>0</v>
      </c>
      <c r="CY18" s="3">
        <f t="shared" si="3"/>
        <v>0</v>
      </c>
      <c r="CZ18" s="3">
        <f t="shared" si="3"/>
        <v>0</v>
      </c>
      <c r="DA18" s="3">
        <f t="shared" si="3"/>
        <v>0</v>
      </c>
      <c r="DB18" s="3">
        <f t="shared" si="3"/>
        <v>0</v>
      </c>
      <c r="DC18" s="3">
        <f t="shared" si="3"/>
        <v>0</v>
      </c>
      <c r="DD18" s="3">
        <f t="shared" si="3"/>
        <v>0</v>
      </c>
      <c r="DE18" s="3">
        <f t="shared" si="3"/>
        <v>0</v>
      </c>
      <c r="DF18" s="3">
        <f t="shared" si="3"/>
        <v>0</v>
      </c>
      <c r="DG18" s="4">
        <f t="shared" ref="DG18:EL18" si="4">DG202</f>
        <v>1005754.17</v>
      </c>
      <c r="DH18" s="4">
        <f t="shared" si="4"/>
        <v>908449.45</v>
      </c>
      <c r="DI18" s="4">
        <f t="shared" si="4"/>
        <v>396.4</v>
      </c>
      <c r="DJ18" s="4">
        <f t="shared" si="4"/>
        <v>173.23</v>
      </c>
      <c r="DK18" s="4">
        <f t="shared" si="4"/>
        <v>96908.32</v>
      </c>
      <c r="DL18" s="4">
        <f t="shared" si="4"/>
        <v>0</v>
      </c>
      <c r="DM18" s="4">
        <f t="shared" si="4"/>
        <v>136.2944814</v>
      </c>
      <c r="DN18" s="4">
        <f t="shared" si="4"/>
        <v>0</v>
      </c>
      <c r="DO18" s="4">
        <f t="shared" si="4"/>
        <v>0</v>
      </c>
      <c r="DP18" s="4">
        <f t="shared" si="4"/>
        <v>87411.04</v>
      </c>
      <c r="DQ18" s="4">
        <f t="shared" si="4"/>
        <v>44710.2</v>
      </c>
      <c r="DR18" s="4">
        <f t="shared" si="4"/>
        <v>0</v>
      </c>
      <c r="DS18" s="4">
        <f t="shared" si="4"/>
        <v>0</v>
      </c>
      <c r="DT18" s="4">
        <f t="shared" si="4"/>
        <v>0</v>
      </c>
      <c r="DU18" s="4">
        <f t="shared" si="4"/>
        <v>0</v>
      </c>
      <c r="DV18" s="4">
        <f t="shared" si="4"/>
        <v>0</v>
      </c>
      <c r="DW18" s="4">
        <f t="shared" si="4"/>
        <v>0</v>
      </c>
      <c r="DX18" s="4">
        <f t="shared" si="4"/>
        <v>0</v>
      </c>
      <c r="DY18" s="4">
        <f t="shared" si="4"/>
        <v>0</v>
      </c>
      <c r="DZ18" s="4">
        <f t="shared" si="4"/>
        <v>0</v>
      </c>
      <c r="EA18" s="4">
        <f t="shared" si="4"/>
        <v>0</v>
      </c>
      <c r="EB18" s="4">
        <f t="shared" si="4"/>
        <v>0</v>
      </c>
      <c r="EC18" s="4">
        <f t="shared" si="4"/>
        <v>0</v>
      </c>
      <c r="ED18" s="4">
        <f t="shared" si="4"/>
        <v>0</v>
      </c>
      <c r="EE18" s="4">
        <f t="shared" si="4"/>
        <v>0</v>
      </c>
      <c r="EF18" s="4">
        <f t="shared" si="4"/>
        <v>0</v>
      </c>
      <c r="EG18" s="4">
        <f t="shared" si="4"/>
        <v>0</v>
      </c>
      <c r="EH18" s="4">
        <f t="shared" si="4"/>
        <v>627397.21</v>
      </c>
      <c r="EI18" s="4">
        <f t="shared" si="4"/>
        <v>0</v>
      </c>
      <c r="EJ18" s="4">
        <f t="shared" si="4"/>
        <v>1137875.4099999999</v>
      </c>
      <c r="EK18" s="4">
        <f t="shared" si="4"/>
        <v>0</v>
      </c>
      <c r="EL18" s="4">
        <f t="shared" si="4"/>
        <v>510478.2</v>
      </c>
      <c r="EM18" s="4">
        <f t="shared" ref="EM18:FR18" si="5">EM202</f>
        <v>0</v>
      </c>
      <c r="EN18" s="4">
        <f t="shared" si="5"/>
        <v>908449.45</v>
      </c>
      <c r="EO18" s="4">
        <f t="shared" si="5"/>
        <v>281052.24</v>
      </c>
      <c r="EP18" s="4">
        <f t="shared" si="5"/>
        <v>0</v>
      </c>
      <c r="EQ18" s="4">
        <f t="shared" si="5"/>
        <v>281052.24</v>
      </c>
      <c r="ER18" s="4">
        <f t="shared" si="5"/>
        <v>627397.21</v>
      </c>
      <c r="ES18" s="4">
        <f t="shared" si="5"/>
        <v>0</v>
      </c>
      <c r="ET18" s="4">
        <f t="shared" si="5"/>
        <v>0</v>
      </c>
      <c r="EU18" s="4">
        <f t="shared" si="5"/>
        <v>0</v>
      </c>
      <c r="EV18" s="4">
        <f t="shared" si="5"/>
        <v>0</v>
      </c>
      <c r="EW18" s="4">
        <f t="shared" si="5"/>
        <v>0</v>
      </c>
      <c r="EX18" s="4">
        <f t="shared" si="5"/>
        <v>0</v>
      </c>
      <c r="EY18" s="4">
        <f t="shared" si="5"/>
        <v>0</v>
      </c>
      <c r="EZ18" s="4">
        <f t="shared" si="5"/>
        <v>0</v>
      </c>
      <c r="FA18" s="4">
        <f t="shared" si="5"/>
        <v>0</v>
      </c>
      <c r="FB18" s="4">
        <f t="shared" si="5"/>
        <v>0</v>
      </c>
      <c r="FC18" s="4">
        <f t="shared" si="5"/>
        <v>0</v>
      </c>
      <c r="FD18" s="4">
        <f t="shared" si="5"/>
        <v>0</v>
      </c>
      <c r="FE18" s="4">
        <f t="shared" si="5"/>
        <v>0</v>
      </c>
      <c r="FF18" s="4">
        <f t="shared" si="5"/>
        <v>0</v>
      </c>
      <c r="FG18" s="4">
        <f t="shared" si="5"/>
        <v>0</v>
      </c>
      <c r="FH18" s="4">
        <f t="shared" si="5"/>
        <v>0</v>
      </c>
      <c r="FI18" s="4">
        <f t="shared" si="5"/>
        <v>0</v>
      </c>
      <c r="FJ18" s="4">
        <f t="shared" si="5"/>
        <v>0</v>
      </c>
      <c r="FK18" s="4">
        <f t="shared" si="5"/>
        <v>0</v>
      </c>
      <c r="FL18" s="4">
        <f t="shared" si="5"/>
        <v>0</v>
      </c>
      <c r="FM18" s="4">
        <f t="shared" si="5"/>
        <v>0</v>
      </c>
      <c r="FN18" s="4">
        <f t="shared" si="5"/>
        <v>0</v>
      </c>
      <c r="FO18" s="4">
        <f t="shared" si="5"/>
        <v>0</v>
      </c>
      <c r="FP18" s="4">
        <f t="shared" si="5"/>
        <v>0</v>
      </c>
      <c r="FQ18" s="4">
        <f t="shared" si="5"/>
        <v>0</v>
      </c>
      <c r="FR18" s="4">
        <f t="shared" si="5"/>
        <v>0</v>
      </c>
      <c r="FS18" s="4">
        <f t="shared" ref="FS18:GX18" si="6">FS202</f>
        <v>0</v>
      </c>
      <c r="FT18" s="4">
        <f t="shared" si="6"/>
        <v>0</v>
      </c>
      <c r="FU18" s="4">
        <f t="shared" si="6"/>
        <v>0</v>
      </c>
      <c r="FV18" s="4">
        <f t="shared" si="6"/>
        <v>0</v>
      </c>
      <c r="FW18" s="4">
        <f t="shared" si="6"/>
        <v>0</v>
      </c>
      <c r="FX18" s="4">
        <f t="shared" si="6"/>
        <v>0</v>
      </c>
      <c r="FY18" s="4">
        <f t="shared" si="6"/>
        <v>0</v>
      </c>
      <c r="FZ18" s="4">
        <f t="shared" si="6"/>
        <v>0</v>
      </c>
      <c r="GA18" s="4">
        <f t="shared" si="6"/>
        <v>0</v>
      </c>
      <c r="GB18" s="4">
        <f t="shared" si="6"/>
        <v>0</v>
      </c>
      <c r="GC18" s="4">
        <f t="shared" si="6"/>
        <v>0</v>
      </c>
      <c r="GD18" s="4">
        <f t="shared" si="6"/>
        <v>0</v>
      </c>
      <c r="GE18" s="4">
        <f t="shared" si="6"/>
        <v>0</v>
      </c>
      <c r="GF18" s="4">
        <f t="shared" si="6"/>
        <v>0</v>
      </c>
      <c r="GG18" s="4">
        <f t="shared" si="6"/>
        <v>0</v>
      </c>
      <c r="GH18" s="4">
        <f t="shared" si="6"/>
        <v>0</v>
      </c>
      <c r="GI18" s="4">
        <f t="shared" si="6"/>
        <v>0</v>
      </c>
      <c r="GJ18" s="4">
        <f t="shared" si="6"/>
        <v>0</v>
      </c>
      <c r="GK18" s="4">
        <f t="shared" si="6"/>
        <v>0</v>
      </c>
      <c r="GL18" s="4">
        <f t="shared" si="6"/>
        <v>0</v>
      </c>
      <c r="GM18" s="4">
        <f t="shared" si="6"/>
        <v>0</v>
      </c>
      <c r="GN18" s="4">
        <f t="shared" si="6"/>
        <v>0</v>
      </c>
      <c r="GO18" s="4">
        <f t="shared" si="6"/>
        <v>0</v>
      </c>
      <c r="GP18" s="4">
        <f t="shared" si="6"/>
        <v>0</v>
      </c>
      <c r="GQ18" s="4">
        <f t="shared" si="6"/>
        <v>0</v>
      </c>
      <c r="GR18" s="4">
        <f t="shared" si="6"/>
        <v>0</v>
      </c>
      <c r="GS18" s="4">
        <f t="shared" si="6"/>
        <v>0</v>
      </c>
      <c r="GT18" s="4">
        <f t="shared" si="6"/>
        <v>0</v>
      </c>
      <c r="GU18" s="4">
        <f t="shared" si="6"/>
        <v>0</v>
      </c>
      <c r="GV18" s="4">
        <f t="shared" si="6"/>
        <v>0</v>
      </c>
      <c r="GW18" s="4">
        <f t="shared" si="6"/>
        <v>0</v>
      </c>
      <c r="GX18" s="4">
        <f t="shared" si="6"/>
        <v>0</v>
      </c>
    </row>
    <row r="20" spans="1:255" x14ac:dyDescent="0.3">
      <c r="A20" s="1">
        <v>3</v>
      </c>
      <c r="B20" s="1">
        <v>1</v>
      </c>
      <c r="C20" s="1"/>
      <c r="D20" s="1">
        <f>ROW(A172)</f>
        <v>172</v>
      </c>
      <c r="E20" s="1"/>
      <c r="F20" s="1" t="s">
        <v>5</v>
      </c>
      <c r="G20" s="1" t="s">
        <v>17</v>
      </c>
      <c r="H20" s="1" t="s">
        <v>3</v>
      </c>
      <c r="I20" s="1">
        <v>0</v>
      </c>
      <c r="J20" s="1" t="s">
        <v>7</v>
      </c>
      <c r="K20" s="1">
        <v>-1</v>
      </c>
      <c r="L20" s="1" t="s">
        <v>5</v>
      </c>
      <c r="M20" s="1" t="s">
        <v>3</v>
      </c>
      <c r="N20" s="1"/>
      <c r="O20" s="1"/>
      <c r="P20" s="1"/>
      <c r="Q20" s="1"/>
      <c r="R20" s="1"/>
      <c r="S20" s="1">
        <v>0</v>
      </c>
      <c r="T20" s="1">
        <v>0</v>
      </c>
      <c r="U20" s="1" t="s">
        <v>3</v>
      </c>
      <c r="V20" s="1">
        <v>0</v>
      </c>
      <c r="W20" s="1"/>
      <c r="X20" s="1"/>
      <c r="Y20" s="1"/>
      <c r="Z20" s="1"/>
      <c r="AA20" s="1"/>
      <c r="AB20" s="1" t="s">
        <v>8</v>
      </c>
      <c r="AC20" s="1" t="s">
        <v>3</v>
      </c>
      <c r="AD20" s="1" t="s">
        <v>3</v>
      </c>
      <c r="AE20" s="1" t="s">
        <v>3</v>
      </c>
      <c r="AF20" s="1" t="s">
        <v>3</v>
      </c>
      <c r="AG20" s="1" t="s">
        <v>3</v>
      </c>
      <c r="AH20" s="1"/>
      <c r="AI20" s="1"/>
      <c r="AJ20" s="1"/>
      <c r="AK20" s="1"/>
      <c r="AL20" s="1"/>
      <c r="AM20" s="1"/>
      <c r="AN20" s="1"/>
      <c r="AO20" s="1"/>
      <c r="AP20" s="1" t="s">
        <v>3</v>
      </c>
      <c r="AQ20" s="1" t="s">
        <v>3</v>
      </c>
      <c r="AR20" s="1" t="s">
        <v>3</v>
      </c>
      <c r="AS20" s="1"/>
      <c r="AT20" s="1"/>
      <c r="AU20" s="1"/>
      <c r="AV20" s="1"/>
      <c r="AW20" s="1"/>
      <c r="AX20" s="1"/>
      <c r="AY20" s="1"/>
      <c r="AZ20" s="1" t="s">
        <v>3</v>
      </c>
      <c r="BA20" s="1"/>
      <c r="BB20" s="1" t="s">
        <v>3</v>
      </c>
      <c r="BC20" s="1" t="s">
        <v>3</v>
      </c>
      <c r="BD20" s="1" t="s">
        <v>3</v>
      </c>
      <c r="BE20" s="1" t="s">
        <v>3</v>
      </c>
      <c r="BF20" s="1" t="s">
        <v>3</v>
      </c>
      <c r="BG20" s="1" t="s">
        <v>3</v>
      </c>
      <c r="BH20" s="1" t="s">
        <v>3</v>
      </c>
      <c r="BI20" s="1" t="s">
        <v>3</v>
      </c>
      <c r="BJ20" s="1" t="s">
        <v>3</v>
      </c>
      <c r="BK20" s="1" t="s">
        <v>3</v>
      </c>
      <c r="BL20" s="1" t="s">
        <v>3</v>
      </c>
      <c r="BM20" s="1" t="s">
        <v>3</v>
      </c>
      <c r="BN20" s="1" t="s">
        <v>3</v>
      </c>
      <c r="BO20" s="1" t="s">
        <v>3</v>
      </c>
      <c r="BP20" s="1" t="s">
        <v>3</v>
      </c>
      <c r="BQ20" s="1"/>
      <c r="BR20" s="1"/>
      <c r="BS20" s="1"/>
      <c r="BT20" s="1"/>
      <c r="BU20" s="1"/>
      <c r="BV20" s="1"/>
      <c r="BW20" s="1"/>
      <c r="BX20" s="1">
        <v>0</v>
      </c>
      <c r="BY20" s="1"/>
      <c r="BZ20" s="1"/>
      <c r="CA20" s="1"/>
      <c r="CB20" s="1"/>
      <c r="CC20" s="1"/>
      <c r="CD20" s="1"/>
      <c r="CE20" s="1"/>
      <c r="CF20" s="1">
        <v>0</v>
      </c>
      <c r="CG20" s="1">
        <v>0</v>
      </c>
      <c r="CH20" s="1"/>
      <c r="CI20" s="1" t="s">
        <v>3</v>
      </c>
      <c r="CJ20" s="1" t="s">
        <v>3</v>
      </c>
      <c r="CK20" t="s">
        <v>3</v>
      </c>
      <c r="CL20" t="s">
        <v>3</v>
      </c>
      <c r="CM20" t="s">
        <v>3</v>
      </c>
      <c r="CN20" t="s">
        <v>3</v>
      </c>
      <c r="CO20" t="s">
        <v>3</v>
      </c>
      <c r="CP20" t="s">
        <v>3</v>
      </c>
      <c r="CQ20" t="s">
        <v>3</v>
      </c>
    </row>
    <row r="22" spans="1:255" x14ac:dyDescent="0.3">
      <c r="A22" s="3">
        <v>52</v>
      </c>
      <c r="B22" s="3">
        <f t="shared" ref="B22:G22" si="7">B172</f>
        <v>1</v>
      </c>
      <c r="C22" s="3">
        <f t="shared" si="7"/>
        <v>3</v>
      </c>
      <c r="D22" s="3">
        <f t="shared" si="7"/>
        <v>20</v>
      </c>
      <c r="E22" s="3">
        <f t="shared" si="7"/>
        <v>0</v>
      </c>
      <c r="F22" s="3" t="str">
        <f t="shared" si="7"/>
        <v>02-01-17</v>
      </c>
      <c r="G22" s="3" t="str">
        <f t="shared" si="7"/>
        <v>Система двусторонней связи</v>
      </c>
      <c r="H22" s="3"/>
      <c r="I22" s="3"/>
      <c r="J22" s="3"/>
      <c r="K22" s="3"/>
      <c r="L22" s="3"/>
      <c r="M22" s="3"/>
      <c r="N22" s="3"/>
      <c r="O22" s="3">
        <f t="shared" ref="O22:AT22" si="8">O172</f>
        <v>113436.02</v>
      </c>
      <c r="P22" s="3">
        <f t="shared" si="8"/>
        <v>111647.03999999999</v>
      </c>
      <c r="Q22" s="3">
        <f t="shared" si="8"/>
        <v>26.69</v>
      </c>
      <c r="R22" s="3">
        <f t="shared" si="8"/>
        <v>3.15</v>
      </c>
      <c r="S22" s="3">
        <f t="shared" si="8"/>
        <v>1762.29</v>
      </c>
      <c r="T22" s="3">
        <f t="shared" si="8"/>
        <v>0</v>
      </c>
      <c r="U22" s="3">
        <f t="shared" si="8"/>
        <v>136.2944814</v>
      </c>
      <c r="V22" s="3">
        <f t="shared" si="8"/>
        <v>0</v>
      </c>
      <c r="W22" s="3">
        <f t="shared" si="8"/>
        <v>0</v>
      </c>
      <c r="X22" s="3">
        <f t="shared" si="8"/>
        <v>1589.6</v>
      </c>
      <c r="Y22" s="3">
        <f t="shared" si="8"/>
        <v>813.06</v>
      </c>
      <c r="Z22" s="3">
        <f t="shared" si="8"/>
        <v>0</v>
      </c>
      <c r="AA22" s="3">
        <f t="shared" si="8"/>
        <v>0</v>
      </c>
      <c r="AB22" s="3">
        <f t="shared" si="8"/>
        <v>0</v>
      </c>
      <c r="AC22" s="3">
        <f t="shared" si="8"/>
        <v>0</v>
      </c>
      <c r="AD22" s="3">
        <f t="shared" si="8"/>
        <v>0</v>
      </c>
      <c r="AE22" s="3">
        <f t="shared" si="8"/>
        <v>0</v>
      </c>
      <c r="AF22" s="3">
        <f t="shared" si="8"/>
        <v>0</v>
      </c>
      <c r="AG22" s="3">
        <f t="shared" si="8"/>
        <v>0</v>
      </c>
      <c r="AH22" s="3">
        <f t="shared" si="8"/>
        <v>0</v>
      </c>
      <c r="AI22" s="3">
        <f t="shared" si="8"/>
        <v>0</v>
      </c>
      <c r="AJ22" s="3">
        <f t="shared" si="8"/>
        <v>0</v>
      </c>
      <c r="AK22" s="3">
        <f t="shared" si="8"/>
        <v>0</v>
      </c>
      <c r="AL22" s="3">
        <f t="shared" si="8"/>
        <v>0</v>
      </c>
      <c r="AM22" s="3">
        <f t="shared" si="8"/>
        <v>0</v>
      </c>
      <c r="AN22" s="3">
        <f t="shared" si="8"/>
        <v>0</v>
      </c>
      <c r="AO22" s="3">
        <f t="shared" si="8"/>
        <v>0</v>
      </c>
      <c r="AP22" s="3">
        <f t="shared" si="8"/>
        <v>81880.2</v>
      </c>
      <c r="AQ22" s="3">
        <f t="shared" si="8"/>
        <v>0</v>
      </c>
      <c r="AR22" s="3">
        <f t="shared" si="8"/>
        <v>115838.68</v>
      </c>
      <c r="AS22" s="3">
        <f t="shared" si="8"/>
        <v>0</v>
      </c>
      <c r="AT22" s="3">
        <f t="shared" si="8"/>
        <v>33958.480000000003</v>
      </c>
      <c r="AU22" s="3">
        <f t="shared" ref="AU22:BZ22" si="9">AU172</f>
        <v>0</v>
      </c>
      <c r="AV22" s="3">
        <f t="shared" si="9"/>
        <v>111647.03999999999</v>
      </c>
      <c r="AW22" s="3">
        <f t="shared" si="9"/>
        <v>29766.84</v>
      </c>
      <c r="AX22" s="3">
        <f t="shared" si="9"/>
        <v>0</v>
      </c>
      <c r="AY22" s="3">
        <f t="shared" si="9"/>
        <v>29766.84</v>
      </c>
      <c r="AZ22" s="3">
        <f t="shared" si="9"/>
        <v>81880.2</v>
      </c>
      <c r="BA22" s="3">
        <f t="shared" si="9"/>
        <v>0</v>
      </c>
      <c r="BB22" s="3">
        <f t="shared" si="9"/>
        <v>0</v>
      </c>
      <c r="BC22" s="3">
        <f t="shared" si="9"/>
        <v>0</v>
      </c>
      <c r="BD22" s="3">
        <f t="shared" si="9"/>
        <v>0</v>
      </c>
      <c r="BE22" s="3">
        <f t="shared" si="9"/>
        <v>0</v>
      </c>
      <c r="BF22" s="3">
        <f t="shared" si="9"/>
        <v>0</v>
      </c>
      <c r="BG22" s="3">
        <f t="shared" si="9"/>
        <v>0</v>
      </c>
      <c r="BH22" s="3">
        <f t="shared" si="9"/>
        <v>0</v>
      </c>
      <c r="BI22" s="3">
        <f t="shared" si="9"/>
        <v>0</v>
      </c>
      <c r="BJ22" s="3">
        <f t="shared" si="9"/>
        <v>0</v>
      </c>
      <c r="BK22" s="3">
        <f t="shared" si="9"/>
        <v>0</v>
      </c>
      <c r="BL22" s="3">
        <f t="shared" si="9"/>
        <v>0</v>
      </c>
      <c r="BM22" s="3">
        <f t="shared" si="9"/>
        <v>0</v>
      </c>
      <c r="BN22" s="3">
        <f t="shared" si="9"/>
        <v>0</v>
      </c>
      <c r="BO22" s="3">
        <f t="shared" si="9"/>
        <v>0</v>
      </c>
      <c r="BP22" s="3">
        <f t="shared" si="9"/>
        <v>0</v>
      </c>
      <c r="BQ22" s="3">
        <f t="shared" si="9"/>
        <v>0</v>
      </c>
      <c r="BR22" s="3">
        <f t="shared" si="9"/>
        <v>0</v>
      </c>
      <c r="BS22" s="3">
        <f t="shared" si="9"/>
        <v>0</v>
      </c>
      <c r="BT22" s="3">
        <f t="shared" si="9"/>
        <v>0</v>
      </c>
      <c r="BU22" s="3">
        <f t="shared" si="9"/>
        <v>0</v>
      </c>
      <c r="BV22" s="3">
        <f t="shared" si="9"/>
        <v>0</v>
      </c>
      <c r="BW22" s="3">
        <f t="shared" si="9"/>
        <v>0</v>
      </c>
      <c r="BX22" s="3">
        <f t="shared" si="9"/>
        <v>0</v>
      </c>
      <c r="BY22" s="3">
        <f t="shared" si="9"/>
        <v>0</v>
      </c>
      <c r="BZ22" s="3">
        <f t="shared" si="9"/>
        <v>0</v>
      </c>
      <c r="CA22" s="3">
        <f t="shared" ref="CA22:DF22" si="10">CA172</f>
        <v>0</v>
      </c>
      <c r="CB22" s="3">
        <f t="shared" si="10"/>
        <v>0</v>
      </c>
      <c r="CC22" s="3">
        <f t="shared" si="10"/>
        <v>0</v>
      </c>
      <c r="CD22" s="3">
        <f t="shared" si="10"/>
        <v>0</v>
      </c>
      <c r="CE22" s="3">
        <f t="shared" si="10"/>
        <v>0</v>
      </c>
      <c r="CF22" s="3">
        <f t="shared" si="10"/>
        <v>0</v>
      </c>
      <c r="CG22" s="3">
        <f t="shared" si="10"/>
        <v>0</v>
      </c>
      <c r="CH22" s="3">
        <f t="shared" si="10"/>
        <v>0</v>
      </c>
      <c r="CI22" s="3">
        <f t="shared" si="10"/>
        <v>0</v>
      </c>
      <c r="CJ22" s="3">
        <f t="shared" si="10"/>
        <v>0</v>
      </c>
      <c r="CK22" s="3">
        <f t="shared" si="10"/>
        <v>0</v>
      </c>
      <c r="CL22" s="3">
        <f t="shared" si="10"/>
        <v>0</v>
      </c>
      <c r="CM22" s="3">
        <f t="shared" si="10"/>
        <v>0</v>
      </c>
      <c r="CN22" s="3">
        <f t="shared" si="10"/>
        <v>0</v>
      </c>
      <c r="CO22" s="3">
        <f t="shared" si="10"/>
        <v>0</v>
      </c>
      <c r="CP22" s="3">
        <f t="shared" si="10"/>
        <v>0</v>
      </c>
      <c r="CQ22" s="3">
        <f t="shared" si="10"/>
        <v>0</v>
      </c>
      <c r="CR22" s="3">
        <f t="shared" si="10"/>
        <v>0</v>
      </c>
      <c r="CS22" s="3">
        <f t="shared" si="10"/>
        <v>0</v>
      </c>
      <c r="CT22" s="3">
        <f t="shared" si="10"/>
        <v>0</v>
      </c>
      <c r="CU22" s="3">
        <f t="shared" si="10"/>
        <v>0</v>
      </c>
      <c r="CV22" s="3">
        <f t="shared" si="10"/>
        <v>0</v>
      </c>
      <c r="CW22" s="3">
        <f t="shared" si="10"/>
        <v>0</v>
      </c>
      <c r="CX22" s="3">
        <f t="shared" si="10"/>
        <v>0</v>
      </c>
      <c r="CY22" s="3">
        <f t="shared" si="10"/>
        <v>0</v>
      </c>
      <c r="CZ22" s="3">
        <f t="shared" si="10"/>
        <v>0</v>
      </c>
      <c r="DA22" s="3">
        <f t="shared" si="10"/>
        <v>0</v>
      </c>
      <c r="DB22" s="3">
        <f t="shared" si="10"/>
        <v>0</v>
      </c>
      <c r="DC22" s="3">
        <f t="shared" si="10"/>
        <v>0</v>
      </c>
      <c r="DD22" s="3">
        <f t="shared" si="10"/>
        <v>0</v>
      </c>
      <c r="DE22" s="3">
        <f t="shared" si="10"/>
        <v>0</v>
      </c>
      <c r="DF22" s="3">
        <f t="shared" si="10"/>
        <v>0</v>
      </c>
      <c r="DG22" s="4">
        <f t="shared" ref="DG22:EL22" si="11">DG172</f>
        <v>1005754.17</v>
      </c>
      <c r="DH22" s="4">
        <f t="shared" si="11"/>
        <v>908449.45</v>
      </c>
      <c r="DI22" s="4">
        <f t="shared" si="11"/>
        <v>396.4</v>
      </c>
      <c r="DJ22" s="4">
        <f t="shared" si="11"/>
        <v>173.23</v>
      </c>
      <c r="DK22" s="4">
        <f t="shared" si="11"/>
        <v>96908.32</v>
      </c>
      <c r="DL22" s="4">
        <f t="shared" si="11"/>
        <v>0</v>
      </c>
      <c r="DM22" s="4">
        <f t="shared" si="11"/>
        <v>136.2944814</v>
      </c>
      <c r="DN22" s="4">
        <f t="shared" si="11"/>
        <v>0</v>
      </c>
      <c r="DO22" s="4">
        <f t="shared" si="11"/>
        <v>0</v>
      </c>
      <c r="DP22" s="4">
        <f t="shared" si="11"/>
        <v>87411.04</v>
      </c>
      <c r="DQ22" s="4">
        <f t="shared" si="11"/>
        <v>44710.2</v>
      </c>
      <c r="DR22" s="4">
        <f t="shared" si="11"/>
        <v>0</v>
      </c>
      <c r="DS22" s="4">
        <f t="shared" si="11"/>
        <v>0</v>
      </c>
      <c r="DT22" s="4">
        <f t="shared" si="11"/>
        <v>0</v>
      </c>
      <c r="DU22" s="4">
        <f t="shared" si="11"/>
        <v>0</v>
      </c>
      <c r="DV22" s="4">
        <f t="shared" si="11"/>
        <v>0</v>
      </c>
      <c r="DW22" s="4">
        <f t="shared" si="11"/>
        <v>0</v>
      </c>
      <c r="DX22" s="4">
        <f t="shared" si="11"/>
        <v>0</v>
      </c>
      <c r="DY22" s="4">
        <f t="shared" si="11"/>
        <v>0</v>
      </c>
      <c r="DZ22" s="4">
        <f t="shared" si="11"/>
        <v>0</v>
      </c>
      <c r="EA22" s="4">
        <f t="shared" si="11"/>
        <v>0</v>
      </c>
      <c r="EB22" s="4">
        <f t="shared" si="11"/>
        <v>0</v>
      </c>
      <c r="EC22" s="4">
        <f t="shared" si="11"/>
        <v>0</v>
      </c>
      <c r="ED22" s="4">
        <f t="shared" si="11"/>
        <v>0</v>
      </c>
      <c r="EE22" s="4">
        <f t="shared" si="11"/>
        <v>0</v>
      </c>
      <c r="EF22" s="4">
        <f t="shared" si="11"/>
        <v>0</v>
      </c>
      <c r="EG22" s="4">
        <f t="shared" si="11"/>
        <v>0</v>
      </c>
      <c r="EH22" s="4">
        <f t="shared" si="11"/>
        <v>627397.21</v>
      </c>
      <c r="EI22" s="4">
        <f t="shared" si="11"/>
        <v>0</v>
      </c>
      <c r="EJ22" s="4">
        <f t="shared" si="11"/>
        <v>1137875.4099999999</v>
      </c>
      <c r="EK22" s="4">
        <f t="shared" si="11"/>
        <v>0</v>
      </c>
      <c r="EL22" s="4">
        <f t="shared" si="11"/>
        <v>510478.2</v>
      </c>
      <c r="EM22" s="4">
        <f t="shared" ref="EM22:FR22" si="12">EM172</f>
        <v>0</v>
      </c>
      <c r="EN22" s="4">
        <f t="shared" si="12"/>
        <v>908449.45</v>
      </c>
      <c r="EO22" s="4">
        <f t="shared" si="12"/>
        <v>281052.24</v>
      </c>
      <c r="EP22" s="4">
        <f t="shared" si="12"/>
        <v>0</v>
      </c>
      <c r="EQ22" s="4">
        <f t="shared" si="12"/>
        <v>281052.24</v>
      </c>
      <c r="ER22" s="4">
        <f t="shared" si="12"/>
        <v>627397.21</v>
      </c>
      <c r="ES22" s="4">
        <f t="shared" si="12"/>
        <v>0</v>
      </c>
      <c r="ET22" s="4">
        <f t="shared" si="12"/>
        <v>0</v>
      </c>
      <c r="EU22" s="4">
        <f t="shared" si="12"/>
        <v>0</v>
      </c>
      <c r="EV22" s="4">
        <f t="shared" si="12"/>
        <v>0</v>
      </c>
      <c r="EW22" s="4">
        <f t="shared" si="12"/>
        <v>0</v>
      </c>
      <c r="EX22" s="4">
        <f t="shared" si="12"/>
        <v>0</v>
      </c>
      <c r="EY22" s="4">
        <f t="shared" si="12"/>
        <v>0</v>
      </c>
      <c r="EZ22" s="4">
        <f t="shared" si="12"/>
        <v>0</v>
      </c>
      <c r="FA22" s="4">
        <f t="shared" si="12"/>
        <v>0</v>
      </c>
      <c r="FB22" s="4">
        <f t="shared" si="12"/>
        <v>0</v>
      </c>
      <c r="FC22" s="4">
        <f t="shared" si="12"/>
        <v>0</v>
      </c>
      <c r="FD22" s="4">
        <f t="shared" si="12"/>
        <v>0</v>
      </c>
      <c r="FE22" s="4">
        <f t="shared" si="12"/>
        <v>0</v>
      </c>
      <c r="FF22" s="4">
        <f t="shared" si="12"/>
        <v>0</v>
      </c>
      <c r="FG22" s="4">
        <f t="shared" si="12"/>
        <v>0</v>
      </c>
      <c r="FH22" s="4">
        <f t="shared" si="12"/>
        <v>0</v>
      </c>
      <c r="FI22" s="4">
        <f t="shared" si="12"/>
        <v>0</v>
      </c>
      <c r="FJ22" s="4">
        <f t="shared" si="12"/>
        <v>0</v>
      </c>
      <c r="FK22" s="4">
        <f t="shared" si="12"/>
        <v>0</v>
      </c>
      <c r="FL22" s="4">
        <f t="shared" si="12"/>
        <v>0</v>
      </c>
      <c r="FM22" s="4">
        <f t="shared" si="12"/>
        <v>0</v>
      </c>
      <c r="FN22" s="4">
        <f t="shared" si="12"/>
        <v>0</v>
      </c>
      <c r="FO22" s="4">
        <f t="shared" si="12"/>
        <v>0</v>
      </c>
      <c r="FP22" s="4">
        <f t="shared" si="12"/>
        <v>0</v>
      </c>
      <c r="FQ22" s="4">
        <f t="shared" si="12"/>
        <v>0</v>
      </c>
      <c r="FR22" s="4">
        <f t="shared" si="12"/>
        <v>0</v>
      </c>
      <c r="FS22" s="4">
        <f t="shared" ref="FS22:GX22" si="13">FS172</f>
        <v>0</v>
      </c>
      <c r="FT22" s="4">
        <f t="shared" si="13"/>
        <v>0</v>
      </c>
      <c r="FU22" s="4">
        <f t="shared" si="13"/>
        <v>0</v>
      </c>
      <c r="FV22" s="4">
        <f t="shared" si="13"/>
        <v>0</v>
      </c>
      <c r="FW22" s="4">
        <f t="shared" si="13"/>
        <v>0</v>
      </c>
      <c r="FX22" s="4">
        <f t="shared" si="13"/>
        <v>0</v>
      </c>
      <c r="FY22" s="4">
        <f t="shared" si="13"/>
        <v>0</v>
      </c>
      <c r="FZ22" s="4">
        <f t="shared" si="13"/>
        <v>0</v>
      </c>
      <c r="GA22" s="4">
        <f t="shared" si="13"/>
        <v>0</v>
      </c>
      <c r="GB22" s="4">
        <f t="shared" si="13"/>
        <v>0</v>
      </c>
      <c r="GC22" s="4">
        <f t="shared" si="13"/>
        <v>0</v>
      </c>
      <c r="GD22" s="4">
        <f t="shared" si="13"/>
        <v>0</v>
      </c>
      <c r="GE22" s="4">
        <f t="shared" si="13"/>
        <v>0</v>
      </c>
      <c r="GF22" s="4">
        <f t="shared" si="13"/>
        <v>0</v>
      </c>
      <c r="GG22" s="4">
        <f t="shared" si="13"/>
        <v>0</v>
      </c>
      <c r="GH22" s="4">
        <f t="shared" si="13"/>
        <v>0</v>
      </c>
      <c r="GI22" s="4">
        <f t="shared" si="13"/>
        <v>0</v>
      </c>
      <c r="GJ22" s="4">
        <f t="shared" si="13"/>
        <v>0</v>
      </c>
      <c r="GK22" s="4">
        <f t="shared" si="13"/>
        <v>0</v>
      </c>
      <c r="GL22" s="4">
        <f t="shared" si="13"/>
        <v>0</v>
      </c>
      <c r="GM22" s="4">
        <f t="shared" si="13"/>
        <v>0</v>
      </c>
      <c r="GN22" s="4">
        <f t="shared" si="13"/>
        <v>0</v>
      </c>
      <c r="GO22" s="4">
        <f t="shared" si="13"/>
        <v>0</v>
      </c>
      <c r="GP22" s="4">
        <f t="shared" si="13"/>
        <v>0</v>
      </c>
      <c r="GQ22" s="4">
        <f t="shared" si="13"/>
        <v>0</v>
      </c>
      <c r="GR22" s="4">
        <f t="shared" si="13"/>
        <v>0</v>
      </c>
      <c r="GS22" s="4">
        <f t="shared" si="13"/>
        <v>0</v>
      </c>
      <c r="GT22" s="4">
        <f t="shared" si="13"/>
        <v>0</v>
      </c>
      <c r="GU22" s="4">
        <f t="shared" si="13"/>
        <v>0</v>
      </c>
      <c r="GV22" s="4">
        <f t="shared" si="13"/>
        <v>0</v>
      </c>
      <c r="GW22" s="4">
        <f t="shared" si="13"/>
        <v>0</v>
      </c>
      <c r="GX22" s="4">
        <f t="shared" si="13"/>
        <v>0</v>
      </c>
    </row>
    <row r="24" spans="1:255" x14ac:dyDescent="0.3">
      <c r="A24" s="1">
        <v>4</v>
      </c>
      <c r="B24" s="1">
        <v>1</v>
      </c>
      <c r="C24" s="1"/>
      <c r="D24" s="1">
        <f>ROW(A63)</f>
        <v>63</v>
      </c>
      <c r="E24" s="1"/>
      <c r="F24" s="1" t="s">
        <v>3</v>
      </c>
      <c r="G24" s="1" t="s">
        <v>18</v>
      </c>
      <c r="H24" s="1" t="s">
        <v>3</v>
      </c>
      <c r="I24" s="1">
        <v>0</v>
      </c>
      <c r="J24" s="1"/>
      <c r="K24" s="1">
        <v>-1</v>
      </c>
      <c r="L24" s="1"/>
      <c r="M24" s="1" t="s">
        <v>3</v>
      </c>
      <c r="N24" s="1"/>
      <c r="O24" s="1"/>
      <c r="P24" s="1"/>
      <c r="Q24" s="1"/>
      <c r="R24" s="1"/>
      <c r="S24" s="1">
        <v>0</v>
      </c>
      <c r="T24" s="1">
        <v>0</v>
      </c>
      <c r="U24" s="1" t="s">
        <v>3</v>
      </c>
      <c r="V24" s="1">
        <v>0</v>
      </c>
      <c r="W24" s="1"/>
      <c r="X24" s="1"/>
      <c r="Y24" s="1"/>
      <c r="Z24" s="1"/>
      <c r="AA24" s="1"/>
      <c r="AB24" s="1" t="s">
        <v>3</v>
      </c>
      <c r="AC24" s="1" t="s">
        <v>3</v>
      </c>
      <c r="AD24" s="1" t="s">
        <v>3</v>
      </c>
      <c r="AE24" s="1" t="s">
        <v>3</v>
      </c>
      <c r="AF24" s="1" t="s">
        <v>3</v>
      </c>
      <c r="AG24" s="1" t="s">
        <v>3</v>
      </c>
      <c r="AH24" s="1"/>
      <c r="AI24" s="1"/>
      <c r="AJ24" s="1"/>
      <c r="AK24" s="1"/>
      <c r="AL24" s="1"/>
      <c r="AM24" s="1"/>
      <c r="AN24" s="1"/>
      <c r="AO24" s="1"/>
      <c r="AP24" s="1" t="s">
        <v>3</v>
      </c>
      <c r="AQ24" s="1" t="s">
        <v>3</v>
      </c>
      <c r="AR24" s="1" t="s">
        <v>3</v>
      </c>
      <c r="AS24" s="1"/>
      <c r="AT24" s="1"/>
      <c r="AU24" s="1"/>
      <c r="AV24" s="1"/>
      <c r="AW24" s="1"/>
      <c r="AX24" s="1"/>
      <c r="AY24" s="1"/>
      <c r="AZ24" s="1" t="s">
        <v>3</v>
      </c>
      <c r="BA24" s="1"/>
      <c r="BB24" s="1" t="s">
        <v>3</v>
      </c>
      <c r="BC24" s="1" t="s">
        <v>3</v>
      </c>
      <c r="BD24" s="1" t="s">
        <v>3</v>
      </c>
      <c r="BE24" s="1" t="s">
        <v>3</v>
      </c>
      <c r="BF24" s="1" t="s">
        <v>3</v>
      </c>
      <c r="BG24" s="1" t="s">
        <v>3</v>
      </c>
      <c r="BH24" s="1" t="s">
        <v>3</v>
      </c>
      <c r="BI24" s="1" t="s">
        <v>3</v>
      </c>
      <c r="BJ24" s="1" t="s">
        <v>3</v>
      </c>
      <c r="BK24" s="1" t="s">
        <v>3</v>
      </c>
      <c r="BL24" s="1" t="s">
        <v>3</v>
      </c>
      <c r="BM24" s="1" t="s">
        <v>3</v>
      </c>
      <c r="BN24" s="1" t="s">
        <v>3</v>
      </c>
      <c r="BO24" s="1" t="s">
        <v>3</v>
      </c>
      <c r="BP24" s="1" t="s">
        <v>3</v>
      </c>
      <c r="BQ24" s="1"/>
      <c r="BR24" s="1"/>
      <c r="BS24" s="1"/>
      <c r="BT24" s="1"/>
      <c r="BU24" s="1"/>
      <c r="BV24" s="1"/>
      <c r="BW24" s="1"/>
      <c r="BX24" s="1">
        <v>0</v>
      </c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>
        <v>0</v>
      </c>
    </row>
    <row r="26" spans="1:255" x14ac:dyDescent="0.3">
      <c r="A26" s="3">
        <v>52</v>
      </c>
      <c r="B26" s="3">
        <f t="shared" ref="B26:G26" si="14">B63</f>
        <v>1</v>
      </c>
      <c r="C26" s="3">
        <f t="shared" si="14"/>
        <v>4</v>
      </c>
      <c r="D26" s="3">
        <f t="shared" si="14"/>
        <v>24</v>
      </c>
      <c r="E26" s="3">
        <f t="shared" si="14"/>
        <v>0</v>
      </c>
      <c r="F26" s="3" t="str">
        <f t="shared" si="14"/>
        <v/>
      </c>
      <c r="G26" s="3" t="str">
        <f t="shared" si="14"/>
        <v>Оборудование</v>
      </c>
      <c r="H26" s="3"/>
      <c r="I26" s="3"/>
      <c r="J26" s="3"/>
      <c r="K26" s="3"/>
      <c r="L26" s="3"/>
      <c r="M26" s="3"/>
      <c r="N26" s="3"/>
      <c r="O26" s="3">
        <f t="shared" ref="O26:AT26" si="15">O63</f>
        <v>83527.429999999993</v>
      </c>
      <c r="P26" s="3">
        <f t="shared" si="15"/>
        <v>82506.259999999995</v>
      </c>
      <c r="Q26" s="3">
        <f t="shared" si="15"/>
        <v>20.02</v>
      </c>
      <c r="R26" s="3">
        <f t="shared" si="15"/>
        <v>3.15</v>
      </c>
      <c r="S26" s="3">
        <f t="shared" si="15"/>
        <v>1001.15</v>
      </c>
      <c r="T26" s="3">
        <f t="shared" si="15"/>
        <v>0</v>
      </c>
      <c r="U26" s="3">
        <f t="shared" si="15"/>
        <v>72.248444400000011</v>
      </c>
      <c r="V26" s="3">
        <f t="shared" si="15"/>
        <v>0</v>
      </c>
      <c r="W26" s="3">
        <f t="shared" si="15"/>
        <v>0</v>
      </c>
      <c r="X26" s="3">
        <f t="shared" si="15"/>
        <v>904.57</v>
      </c>
      <c r="Y26" s="3">
        <f t="shared" si="15"/>
        <v>462.94</v>
      </c>
      <c r="Z26" s="3">
        <f t="shared" si="15"/>
        <v>0</v>
      </c>
      <c r="AA26" s="3">
        <f t="shared" si="15"/>
        <v>0</v>
      </c>
      <c r="AB26" s="3">
        <f t="shared" si="15"/>
        <v>83527.429999999993</v>
      </c>
      <c r="AC26" s="3">
        <f t="shared" si="15"/>
        <v>82506.259999999995</v>
      </c>
      <c r="AD26" s="3">
        <f t="shared" si="15"/>
        <v>20.02</v>
      </c>
      <c r="AE26" s="3">
        <f t="shared" si="15"/>
        <v>3.15</v>
      </c>
      <c r="AF26" s="3">
        <f t="shared" si="15"/>
        <v>1001.15</v>
      </c>
      <c r="AG26" s="3">
        <f t="shared" si="15"/>
        <v>0</v>
      </c>
      <c r="AH26" s="3">
        <f t="shared" si="15"/>
        <v>72.248444400000011</v>
      </c>
      <c r="AI26" s="3">
        <f t="shared" si="15"/>
        <v>0</v>
      </c>
      <c r="AJ26" s="3">
        <f t="shared" si="15"/>
        <v>0</v>
      </c>
      <c r="AK26" s="3">
        <f t="shared" si="15"/>
        <v>904.57</v>
      </c>
      <c r="AL26" s="3">
        <f t="shared" si="15"/>
        <v>462.94</v>
      </c>
      <c r="AM26" s="3">
        <f t="shared" si="15"/>
        <v>0</v>
      </c>
      <c r="AN26" s="3">
        <f t="shared" si="15"/>
        <v>0</v>
      </c>
      <c r="AO26" s="3">
        <f t="shared" si="15"/>
        <v>0</v>
      </c>
      <c r="AP26" s="3">
        <f t="shared" si="15"/>
        <v>81880.2</v>
      </c>
      <c r="AQ26" s="3">
        <f t="shared" si="15"/>
        <v>0</v>
      </c>
      <c r="AR26" s="3">
        <f t="shared" si="15"/>
        <v>84894.94</v>
      </c>
      <c r="AS26" s="3">
        <f t="shared" si="15"/>
        <v>0</v>
      </c>
      <c r="AT26" s="3">
        <f t="shared" si="15"/>
        <v>3014.74</v>
      </c>
      <c r="AU26" s="3">
        <f t="shared" ref="AU26:BZ26" si="16">AU63</f>
        <v>0</v>
      </c>
      <c r="AV26" s="3">
        <f t="shared" si="16"/>
        <v>82506.259999999995</v>
      </c>
      <c r="AW26" s="3">
        <f t="shared" si="16"/>
        <v>626.05999999999995</v>
      </c>
      <c r="AX26" s="3">
        <f t="shared" si="16"/>
        <v>0</v>
      </c>
      <c r="AY26" s="3">
        <f t="shared" si="16"/>
        <v>626.05999999999995</v>
      </c>
      <c r="AZ26" s="3">
        <f t="shared" si="16"/>
        <v>81880.2</v>
      </c>
      <c r="BA26" s="3">
        <f t="shared" si="16"/>
        <v>0</v>
      </c>
      <c r="BB26" s="3">
        <f t="shared" si="16"/>
        <v>0</v>
      </c>
      <c r="BC26" s="3">
        <f t="shared" si="16"/>
        <v>0</v>
      </c>
      <c r="BD26" s="3">
        <f t="shared" si="16"/>
        <v>0</v>
      </c>
      <c r="BE26" s="3">
        <f t="shared" si="16"/>
        <v>0</v>
      </c>
      <c r="BF26" s="3">
        <f t="shared" si="16"/>
        <v>0</v>
      </c>
      <c r="BG26" s="3">
        <f t="shared" si="16"/>
        <v>0</v>
      </c>
      <c r="BH26" s="3">
        <f t="shared" si="16"/>
        <v>0</v>
      </c>
      <c r="BI26" s="3">
        <f t="shared" si="16"/>
        <v>0</v>
      </c>
      <c r="BJ26" s="3">
        <f t="shared" si="16"/>
        <v>0</v>
      </c>
      <c r="BK26" s="3">
        <f t="shared" si="16"/>
        <v>0</v>
      </c>
      <c r="BL26" s="3">
        <f t="shared" si="16"/>
        <v>0</v>
      </c>
      <c r="BM26" s="3">
        <f t="shared" si="16"/>
        <v>0</v>
      </c>
      <c r="BN26" s="3">
        <f t="shared" si="16"/>
        <v>0</v>
      </c>
      <c r="BO26" s="3">
        <f t="shared" si="16"/>
        <v>0</v>
      </c>
      <c r="BP26" s="3">
        <f t="shared" si="16"/>
        <v>0</v>
      </c>
      <c r="BQ26" s="3">
        <f t="shared" si="16"/>
        <v>0</v>
      </c>
      <c r="BR26" s="3">
        <f t="shared" si="16"/>
        <v>0</v>
      </c>
      <c r="BS26" s="3">
        <f t="shared" si="16"/>
        <v>0</v>
      </c>
      <c r="BT26" s="3">
        <f t="shared" si="16"/>
        <v>0</v>
      </c>
      <c r="BU26" s="3">
        <f t="shared" si="16"/>
        <v>0</v>
      </c>
      <c r="BV26" s="3">
        <f t="shared" si="16"/>
        <v>0</v>
      </c>
      <c r="BW26" s="3">
        <f t="shared" si="16"/>
        <v>0</v>
      </c>
      <c r="BX26" s="3">
        <f t="shared" si="16"/>
        <v>0</v>
      </c>
      <c r="BY26" s="3">
        <f t="shared" si="16"/>
        <v>81880.2</v>
      </c>
      <c r="BZ26" s="3">
        <f t="shared" si="16"/>
        <v>0</v>
      </c>
      <c r="CA26" s="3">
        <f t="shared" ref="CA26:DF26" si="17">CA63</f>
        <v>84894.94</v>
      </c>
      <c r="CB26" s="3">
        <f t="shared" si="17"/>
        <v>0</v>
      </c>
      <c r="CC26" s="3">
        <f t="shared" si="17"/>
        <v>3014.74</v>
      </c>
      <c r="CD26" s="3">
        <f t="shared" si="17"/>
        <v>0</v>
      </c>
      <c r="CE26" s="3">
        <f t="shared" si="17"/>
        <v>82506.259999999995</v>
      </c>
      <c r="CF26" s="3">
        <f t="shared" si="17"/>
        <v>626.05999999999767</v>
      </c>
      <c r="CG26" s="3">
        <f t="shared" si="17"/>
        <v>0</v>
      </c>
      <c r="CH26" s="3">
        <f t="shared" si="17"/>
        <v>626.05999999999767</v>
      </c>
      <c r="CI26" s="3">
        <f t="shared" si="17"/>
        <v>81880.2</v>
      </c>
      <c r="CJ26" s="3">
        <f t="shared" si="17"/>
        <v>0</v>
      </c>
      <c r="CK26" s="3">
        <f t="shared" si="17"/>
        <v>0</v>
      </c>
      <c r="CL26" s="3">
        <f t="shared" si="17"/>
        <v>0</v>
      </c>
      <c r="CM26" s="3">
        <f t="shared" si="17"/>
        <v>0</v>
      </c>
      <c r="CN26" s="3">
        <f t="shared" si="17"/>
        <v>0</v>
      </c>
      <c r="CO26" s="3">
        <f t="shared" si="17"/>
        <v>0</v>
      </c>
      <c r="CP26" s="3">
        <f t="shared" si="17"/>
        <v>0</v>
      </c>
      <c r="CQ26" s="3">
        <f t="shared" si="17"/>
        <v>0</v>
      </c>
      <c r="CR26" s="3">
        <f t="shared" si="17"/>
        <v>0</v>
      </c>
      <c r="CS26" s="3">
        <f t="shared" si="17"/>
        <v>0</v>
      </c>
      <c r="CT26" s="3">
        <f t="shared" si="17"/>
        <v>0</v>
      </c>
      <c r="CU26" s="3">
        <f t="shared" si="17"/>
        <v>0</v>
      </c>
      <c r="CV26" s="3">
        <f t="shared" si="17"/>
        <v>0</v>
      </c>
      <c r="CW26" s="3">
        <f t="shared" si="17"/>
        <v>0</v>
      </c>
      <c r="CX26" s="3">
        <f t="shared" si="17"/>
        <v>0</v>
      </c>
      <c r="CY26" s="3">
        <f t="shared" si="17"/>
        <v>0</v>
      </c>
      <c r="CZ26" s="3">
        <f t="shared" si="17"/>
        <v>0</v>
      </c>
      <c r="DA26" s="3">
        <f t="shared" si="17"/>
        <v>0</v>
      </c>
      <c r="DB26" s="3">
        <f t="shared" si="17"/>
        <v>0</v>
      </c>
      <c r="DC26" s="3">
        <f t="shared" si="17"/>
        <v>0</v>
      </c>
      <c r="DD26" s="3">
        <f t="shared" si="17"/>
        <v>0</v>
      </c>
      <c r="DE26" s="3">
        <f t="shared" si="17"/>
        <v>0</v>
      </c>
      <c r="DF26" s="3">
        <f t="shared" si="17"/>
        <v>0</v>
      </c>
      <c r="DG26" s="4">
        <f t="shared" ref="DG26:EL26" si="18">DG63</f>
        <v>688961.54</v>
      </c>
      <c r="DH26" s="4">
        <f t="shared" si="18"/>
        <v>633570.01</v>
      </c>
      <c r="DI26" s="4">
        <f t="shared" si="18"/>
        <v>338.3</v>
      </c>
      <c r="DJ26" s="4">
        <f t="shared" si="18"/>
        <v>173.23</v>
      </c>
      <c r="DK26" s="4">
        <f t="shared" si="18"/>
        <v>55053.23</v>
      </c>
      <c r="DL26" s="4">
        <f t="shared" si="18"/>
        <v>0</v>
      </c>
      <c r="DM26" s="4">
        <f t="shared" si="18"/>
        <v>72.248444400000011</v>
      </c>
      <c r="DN26" s="4">
        <f t="shared" si="18"/>
        <v>0</v>
      </c>
      <c r="DO26" s="4">
        <f t="shared" si="18"/>
        <v>0</v>
      </c>
      <c r="DP26" s="4">
        <f t="shared" si="18"/>
        <v>49741.46</v>
      </c>
      <c r="DQ26" s="4">
        <f t="shared" si="18"/>
        <v>25456.86</v>
      </c>
      <c r="DR26" s="4">
        <f t="shared" si="18"/>
        <v>0</v>
      </c>
      <c r="DS26" s="4">
        <f t="shared" si="18"/>
        <v>0</v>
      </c>
      <c r="DT26" s="4">
        <f t="shared" si="18"/>
        <v>688961.54</v>
      </c>
      <c r="DU26" s="4">
        <f t="shared" si="18"/>
        <v>633570.01</v>
      </c>
      <c r="DV26" s="4">
        <f t="shared" si="18"/>
        <v>338.3</v>
      </c>
      <c r="DW26" s="4">
        <f t="shared" si="18"/>
        <v>173.23</v>
      </c>
      <c r="DX26" s="4">
        <f t="shared" si="18"/>
        <v>55053.23</v>
      </c>
      <c r="DY26" s="4">
        <f t="shared" si="18"/>
        <v>0</v>
      </c>
      <c r="DZ26" s="4">
        <f t="shared" si="18"/>
        <v>72.248444400000011</v>
      </c>
      <c r="EA26" s="4">
        <f t="shared" si="18"/>
        <v>0</v>
      </c>
      <c r="EB26" s="4">
        <f t="shared" si="18"/>
        <v>0</v>
      </c>
      <c r="EC26" s="4">
        <f t="shared" si="18"/>
        <v>49741.46</v>
      </c>
      <c r="ED26" s="4">
        <f t="shared" si="18"/>
        <v>25456.86</v>
      </c>
      <c r="EE26" s="4">
        <f t="shared" si="18"/>
        <v>0</v>
      </c>
      <c r="EF26" s="4">
        <f t="shared" si="18"/>
        <v>0</v>
      </c>
      <c r="EG26" s="4">
        <f t="shared" si="18"/>
        <v>0</v>
      </c>
      <c r="EH26" s="4">
        <f t="shared" si="18"/>
        <v>627397.21</v>
      </c>
      <c r="EI26" s="4">
        <f t="shared" si="18"/>
        <v>0</v>
      </c>
      <c r="EJ26" s="4">
        <f t="shared" si="18"/>
        <v>764159.86</v>
      </c>
      <c r="EK26" s="4">
        <f t="shared" si="18"/>
        <v>0</v>
      </c>
      <c r="EL26" s="4">
        <f t="shared" si="18"/>
        <v>136762.65</v>
      </c>
      <c r="EM26" s="4">
        <f t="shared" ref="EM26:FR26" si="19">EM63</f>
        <v>0</v>
      </c>
      <c r="EN26" s="4">
        <f t="shared" si="19"/>
        <v>633570.01</v>
      </c>
      <c r="EO26" s="4">
        <f t="shared" si="19"/>
        <v>6172.8</v>
      </c>
      <c r="EP26" s="4">
        <f t="shared" si="19"/>
        <v>0</v>
      </c>
      <c r="EQ26" s="4">
        <f t="shared" si="19"/>
        <v>6172.8</v>
      </c>
      <c r="ER26" s="4">
        <f t="shared" si="19"/>
        <v>627397.21</v>
      </c>
      <c r="ES26" s="4">
        <f t="shared" si="19"/>
        <v>0</v>
      </c>
      <c r="ET26" s="4">
        <f t="shared" si="19"/>
        <v>0</v>
      </c>
      <c r="EU26" s="4">
        <f t="shared" si="19"/>
        <v>0</v>
      </c>
      <c r="EV26" s="4">
        <f t="shared" si="19"/>
        <v>0</v>
      </c>
      <c r="EW26" s="4">
        <f t="shared" si="19"/>
        <v>0</v>
      </c>
      <c r="EX26" s="4">
        <f t="shared" si="19"/>
        <v>0</v>
      </c>
      <c r="EY26" s="4">
        <f t="shared" si="19"/>
        <v>0</v>
      </c>
      <c r="EZ26" s="4">
        <f t="shared" si="19"/>
        <v>0</v>
      </c>
      <c r="FA26" s="4">
        <f t="shared" si="19"/>
        <v>0</v>
      </c>
      <c r="FB26" s="4">
        <f t="shared" si="19"/>
        <v>0</v>
      </c>
      <c r="FC26" s="4">
        <f t="shared" si="19"/>
        <v>0</v>
      </c>
      <c r="FD26" s="4">
        <f t="shared" si="19"/>
        <v>0</v>
      </c>
      <c r="FE26" s="4">
        <f t="shared" si="19"/>
        <v>0</v>
      </c>
      <c r="FF26" s="4">
        <f t="shared" si="19"/>
        <v>0</v>
      </c>
      <c r="FG26" s="4">
        <f t="shared" si="19"/>
        <v>0</v>
      </c>
      <c r="FH26" s="4">
        <f t="shared" si="19"/>
        <v>0</v>
      </c>
      <c r="FI26" s="4">
        <f t="shared" si="19"/>
        <v>0</v>
      </c>
      <c r="FJ26" s="4">
        <f t="shared" si="19"/>
        <v>0</v>
      </c>
      <c r="FK26" s="4">
        <f t="shared" si="19"/>
        <v>0</v>
      </c>
      <c r="FL26" s="4">
        <f t="shared" si="19"/>
        <v>0</v>
      </c>
      <c r="FM26" s="4">
        <f t="shared" si="19"/>
        <v>0</v>
      </c>
      <c r="FN26" s="4">
        <f t="shared" si="19"/>
        <v>0</v>
      </c>
      <c r="FO26" s="4">
        <f t="shared" si="19"/>
        <v>0</v>
      </c>
      <c r="FP26" s="4">
        <f t="shared" si="19"/>
        <v>0</v>
      </c>
      <c r="FQ26" s="4">
        <f t="shared" si="19"/>
        <v>627397.21</v>
      </c>
      <c r="FR26" s="4">
        <f t="shared" si="19"/>
        <v>0</v>
      </c>
      <c r="FS26" s="4">
        <f t="shared" ref="FS26:GX26" si="20">FS63</f>
        <v>764159.86</v>
      </c>
      <c r="FT26" s="4">
        <f t="shared" si="20"/>
        <v>0</v>
      </c>
      <c r="FU26" s="4">
        <f t="shared" si="20"/>
        <v>136762.65</v>
      </c>
      <c r="FV26" s="4">
        <f t="shared" si="20"/>
        <v>0</v>
      </c>
      <c r="FW26" s="4">
        <f t="shared" si="20"/>
        <v>633570.01</v>
      </c>
      <c r="FX26" s="4">
        <f t="shared" si="20"/>
        <v>6172.8000000000466</v>
      </c>
      <c r="FY26" s="4">
        <f t="shared" si="20"/>
        <v>0</v>
      </c>
      <c r="FZ26" s="4">
        <f t="shared" si="20"/>
        <v>6172.8000000000466</v>
      </c>
      <c r="GA26" s="4">
        <f t="shared" si="20"/>
        <v>627397.21</v>
      </c>
      <c r="GB26" s="4">
        <f t="shared" si="20"/>
        <v>0</v>
      </c>
      <c r="GC26" s="4">
        <f t="shared" si="20"/>
        <v>0</v>
      </c>
      <c r="GD26" s="4">
        <f t="shared" si="20"/>
        <v>0</v>
      </c>
      <c r="GE26" s="4">
        <f t="shared" si="20"/>
        <v>0</v>
      </c>
      <c r="GF26" s="4">
        <f t="shared" si="20"/>
        <v>0</v>
      </c>
      <c r="GG26" s="4">
        <f t="shared" si="20"/>
        <v>0</v>
      </c>
      <c r="GH26" s="4">
        <f t="shared" si="20"/>
        <v>0</v>
      </c>
      <c r="GI26" s="4">
        <f t="shared" si="20"/>
        <v>0</v>
      </c>
      <c r="GJ26" s="4">
        <f t="shared" si="20"/>
        <v>0</v>
      </c>
      <c r="GK26" s="4">
        <f t="shared" si="20"/>
        <v>0</v>
      </c>
      <c r="GL26" s="4">
        <f t="shared" si="20"/>
        <v>0</v>
      </c>
      <c r="GM26" s="4">
        <f t="shared" si="20"/>
        <v>0</v>
      </c>
      <c r="GN26" s="4">
        <f t="shared" si="20"/>
        <v>0</v>
      </c>
      <c r="GO26" s="4">
        <f t="shared" si="20"/>
        <v>0</v>
      </c>
      <c r="GP26" s="4">
        <f t="shared" si="20"/>
        <v>0</v>
      </c>
      <c r="GQ26" s="4">
        <f t="shared" si="20"/>
        <v>0</v>
      </c>
      <c r="GR26" s="4">
        <f t="shared" si="20"/>
        <v>0</v>
      </c>
      <c r="GS26" s="4">
        <f t="shared" si="20"/>
        <v>0</v>
      </c>
      <c r="GT26" s="4">
        <f t="shared" si="20"/>
        <v>0</v>
      </c>
      <c r="GU26" s="4">
        <f t="shared" si="20"/>
        <v>0</v>
      </c>
      <c r="GV26" s="4">
        <f t="shared" si="20"/>
        <v>0</v>
      </c>
      <c r="GW26" s="4">
        <f t="shared" si="20"/>
        <v>0</v>
      </c>
      <c r="GX26" s="4">
        <f t="shared" si="20"/>
        <v>0</v>
      </c>
    </row>
    <row r="28" spans="1:255" x14ac:dyDescent="0.3">
      <c r="A28" s="2">
        <v>17</v>
      </c>
      <c r="B28" s="2">
        <v>1</v>
      </c>
      <c r="C28" s="2"/>
      <c r="D28" s="2">
        <f>ROW(EtalonRes!A6)</f>
        <v>6</v>
      </c>
      <c r="E28" s="2" t="s">
        <v>19</v>
      </c>
      <c r="F28" s="2" t="s">
        <v>20</v>
      </c>
      <c r="G28" s="2" t="s">
        <v>21</v>
      </c>
      <c r="H28" s="2" t="s">
        <v>22</v>
      </c>
      <c r="I28" s="2">
        <v>1</v>
      </c>
      <c r="J28" s="2">
        <v>0</v>
      </c>
      <c r="K28" s="2">
        <v>1</v>
      </c>
      <c r="L28" s="2"/>
      <c r="M28" s="2"/>
      <c r="N28" s="2"/>
      <c r="O28" s="2">
        <f t="shared" ref="O28:O61" si="21">ROUND(CP28,2)</f>
        <v>26.03</v>
      </c>
      <c r="P28" s="2">
        <f>ROUND((ROUND((AC28*AW28*I28),2)*BC28),2)</f>
        <v>1.22</v>
      </c>
      <c r="Q28" s="2">
        <f>(ROUND((ROUND((((ET28*1.1))*AV28*I28),2)*BB28),2)+ROUND((ROUND(((AE28-((EU28*1.1)))*AV28*I28),2)*BS28),2))</f>
        <v>1.05</v>
      </c>
      <c r="R28" s="2">
        <f t="shared" ref="R28:R61" si="22">ROUND((ROUND((AE28*AV28*I28),2)*BS28),2)</f>
        <v>0.15</v>
      </c>
      <c r="S28" s="2">
        <f t="shared" ref="S28:S61" si="23">ROUND((ROUND((AF28*AV28*I28),2)*BA28),2)</f>
        <v>23.76</v>
      </c>
      <c r="T28" s="2">
        <f t="shared" ref="T28:T61" si="24">ROUND(CU28*I28,2)</f>
        <v>0</v>
      </c>
      <c r="U28" s="2">
        <f t="shared" ref="U28:U61" si="25">CV28*I28</f>
        <v>1.5547950000000001</v>
      </c>
      <c r="V28" s="2">
        <f t="shared" ref="V28:V61" si="26">CW28*I28</f>
        <v>0</v>
      </c>
      <c r="W28" s="2">
        <f t="shared" ref="W28:W61" si="27">ROUND(CX28*I28,2)</f>
        <v>0</v>
      </c>
      <c r="X28" s="2">
        <f t="shared" ref="X28:X61" si="28">ROUND(CY28,2)</f>
        <v>21.52</v>
      </c>
      <c r="Y28" s="2">
        <f t="shared" ref="Y28:Y61" si="29">ROUND(CZ28,2)</f>
        <v>11</v>
      </c>
      <c r="Z28" s="2"/>
      <c r="AA28" s="2">
        <v>56511233</v>
      </c>
      <c r="AB28" s="2">
        <f t="shared" ref="AB28:AB61" si="30">ROUND((AC28+AD28+AF28),6)</f>
        <v>24.914000000000001</v>
      </c>
      <c r="AC28" s="2">
        <f t="shared" ref="AC28:AC61" si="31">ROUND((ES28),6)</f>
        <v>1.22</v>
      </c>
      <c r="AD28" s="2">
        <f>ROUND(((((ET28*1.1))-((EU28*1.1)))+AE28),6)</f>
        <v>1.0009999999999999</v>
      </c>
      <c r="AE28" s="2">
        <f>ROUND(((EU28*1.1)),6)</f>
        <v>0.14299999999999999</v>
      </c>
      <c r="AF28" s="2">
        <f>ROUND(((EV28*1.1)),6)</f>
        <v>22.693000000000001</v>
      </c>
      <c r="AG28" s="2">
        <f t="shared" ref="AG28:AG61" si="32">ROUND((AP28),6)</f>
        <v>0</v>
      </c>
      <c r="AH28" s="2">
        <f>((EW28*1.1))</f>
        <v>1.4850000000000003</v>
      </c>
      <c r="AI28" s="2">
        <f>((EX28*1.1))</f>
        <v>0</v>
      </c>
      <c r="AJ28" s="2">
        <f t="shared" ref="AJ28:AJ61" si="33">(AS28)</f>
        <v>0</v>
      </c>
      <c r="AK28" s="2">
        <v>22.76</v>
      </c>
      <c r="AL28" s="2">
        <v>1.22</v>
      </c>
      <c r="AM28" s="2">
        <v>0.91</v>
      </c>
      <c r="AN28" s="2">
        <v>0.13</v>
      </c>
      <c r="AO28" s="2">
        <v>20.63</v>
      </c>
      <c r="AP28" s="2">
        <v>0</v>
      </c>
      <c r="AQ28" s="2">
        <v>1.35</v>
      </c>
      <c r="AR28" s="2">
        <v>0</v>
      </c>
      <c r="AS28" s="2">
        <v>0</v>
      </c>
      <c r="AT28" s="2">
        <v>90</v>
      </c>
      <c r="AU28" s="2">
        <v>46</v>
      </c>
      <c r="AV28" s="2">
        <v>1.0469999999999999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2</v>
      </c>
      <c r="BJ28" s="2" t="s">
        <v>23</v>
      </c>
      <c r="BK28" s="2"/>
      <c r="BL28" s="2"/>
      <c r="BM28" s="2">
        <v>68</v>
      </c>
      <c r="BN28" s="2">
        <v>0</v>
      </c>
      <c r="BO28" s="2" t="s">
        <v>20</v>
      </c>
      <c r="BP28" s="2">
        <v>1</v>
      </c>
      <c r="BQ28" s="2">
        <v>40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90</v>
      </c>
      <c r="CA28" s="2">
        <v>46</v>
      </c>
      <c r="CB28" s="2" t="s">
        <v>3</v>
      </c>
      <c r="CC28" s="2"/>
      <c r="CD28" s="2"/>
      <c r="CE28" s="2">
        <v>30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3</v>
      </c>
      <c r="CO28" s="2">
        <v>0</v>
      </c>
      <c r="CP28" s="2">
        <f t="shared" ref="CP28:CP61" si="34">(P28+Q28+S28)</f>
        <v>26.03</v>
      </c>
      <c r="CQ28" s="2">
        <f>ROUND((ROUND((AC28*AW28*1),2)*BC28),2)</f>
        <v>1.22</v>
      </c>
      <c r="CR28" s="2">
        <f>(ROUND((ROUND((((ET28*1.1))*AV28*1),2)*BB28),2)+ROUND((ROUND(((AE28-((EU28*1.1)))*AV28*1),2)*BS28),2))</f>
        <v>1.05</v>
      </c>
      <c r="CS28" s="2">
        <f t="shared" ref="CS28:CS61" si="35">ROUND((ROUND((AE28*AV28*1),2)*BS28),2)</f>
        <v>0.15</v>
      </c>
      <c r="CT28" s="2">
        <f t="shared" ref="CT28:CT61" si="36">ROUND((ROUND((AF28*AV28*1),2)*BA28),2)</f>
        <v>23.76</v>
      </c>
      <c r="CU28" s="2">
        <f t="shared" ref="CU28:CU61" si="37">AG28</f>
        <v>0</v>
      </c>
      <c r="CV28" s="2">
        <f t="shared" ref="CV28:CV61" si="38">(AH28*AV28)</f>
        <v>1.5547950000000001</v>
      </c>
      <c r="CW28" s="2">
        <f t="shared" ref="CW28:CW61" si="39">AI28</f>
        <v>0</v>
      </c>
      <c r="CX28" s="2">
        <f t="shared" ref="CX28:CX61" si="40">AJ28</f>
        <v>0</v>
      </c>
      <c r="CY28" s="2">
        <f t="shared" ref="CY28:CY61" si="41">(((S28+R28)*AT28)/100)</f>
        <v>21.519000000000002</v>
      </c>
      <c r="CZ28" s="2">
        <f t="shared" ref="CZ28:CZ61" si="42">(((S28+R28)*AU28)/100)</f>
        <v>10.9986</v>
      </c>
      <c r="DA28" s="2"/>
      <c r="DB28" s="2"/>
      <c r="DC28" s="2" t="s">
        <v>3</v>
      </c>
      <c r="DD28" s="2" t="s">
        <v>3</v>
      </c>
      <c r="DE28" s="2" t="s">
        <v>24</v>
      </c>
      <c r="DF28" s="2" t="s">
        <v>24</v>
      </c>
      <c r="DG28" s="2" t="s">
        <v>24</v>
      </c>
      <c r="DH28" s="2" t="s">
        <v>3</v>
      </c>
      <c r="DI28" s="2" t="s">
        <v>24</v>
      </c>
      <c r="DJ28" s="2" t="s">
        <v>24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1013</v>
      </c>
      <c r="DV28" s="2" t="s">
        <v>22</v>
      </c>
      <c r="DW28" s="2" t="s">
        <v>22</v>
      </c>
      <c r="DX28" s="2">
        <v>1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58162630</v>
      </c>
      <c r="EF28" s="2">
        <v>40</v>
      </c>
      <c r="EG28" s="2" t="s">
        <v>25</v>
      </c>
      <c r="EH28" s="2">
        <v>0</v>
      </c>
      <c r="EI28" s="2" t="s">
        <v>3</v>
      </c>
      <c r="EJ28" s="2">
        <v>2</v>
      </c>
      <c r="EK28" s="2">
        <v>68</v>
      </c>
      <c r="EL28" s="2" t="s">
        <v>26</v>
      </c>
      <c r="EM28" s="2" t="s">
        <v>27</v>
      </c>
      <c r="EN28" s="2"/>
      <c r="EO28" s="2" t="s">
        <v>28</v>
      </c>
      <c r="EP28" s="2"/>
      <c r="EQ28" s="2">
        <v>0</v>
      </c>
      <c r="ER28" s="2">
        <v>22.76</v>
      </c>
      <c r="ES28" s="2">
        <v>1.22</v>
      </c>
      <c r="ET28" s="2">
        <v>0.91</v>
      </c>
      <c r="EU28" s="2">
        <v>0.13</v>
      </c>
      <c r="EV28" s="2">
        <v>20.63</v>
      </c>
      <c r="EW28" s="2">
        <v>1.35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90</v>
      </c>
      <c r="FY28" s="2">
        <v>46</v>
      </c>
      <c r="FZ28" s="2"/>
      <c r="GA28" s="2" t="s">
        <v>3</v>
      </c>
      <c r="GB28" s="2"/>
      <c r="GC28" s="2"/>
      <c r="GD28" s="2">
        <v>1</v>
      </c>
      <c r="GE28" s="2"/>
      <c r="GF28" s="2">
        <v>1735237289</v>
      </c>
      <c r="GG28" s="2">
        <v>2</v>
      </c>
      <c r="GH28" s="2">
        <v>1</v>
      </c>
      <c r="GI28" s="2">
        <v>2</v>
      </c>
      <c r="GJ28" s="2">
        <v>0</v>
      </c>
      <c r="GK28" s="2">
        <v>0</v>
      </c>
      <c r="GL28" s="2">
        <f t="shared" ref="GL28:GL61" si="43">ROUND(IF(AND(BH28=3,BI28=3,FS28&lt;&gt;0),P28,0),2)</f>
        <v>0</v>
      </c>
      <c r="GM28" s="2">
        <f t="shared" ref="GM28:GM61" si="44">ROUND(O28+X28+Y28,2)+GX28</f>
        <v>58.55</v>
      </c>
      <c r="GN28" s="2">
        <f t="shared" ref="GN28:GN61" si="45">IF(OR(BI28=0,BI28=1),GM28-GX28,0)</f>
        <v>0</v>
      </c>
      <c r="GO28" s="2">
        <f t="shared" ref="GO28:GO61" si="46">IF(BI28=2,GM28-GX28,0)</f>
        <v>58.55</v>
      </c>
      <c r="GP28" s="2">
        <f t="shared" ref="GP28:GP61" si="47">IF(BI28=4,GM28-GX28,0)</f>
        <v>0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 t="shared" ref="GV28:GV61" si="48">ROUND((GT28),6)</f>
        <v>0</v>
      </c>
      <c r="GW28" s="2">
        <v>1</v>
      </c>
      <c r="GX28" s="2">
        <f t="shared" ref="GX28:GX61" si="49">ROUND(HC28*I28,2)</f>
        <v>0</v>
      </c>
      <c r="GY28" s="2"/>
      <c r="GZ28" s="2"/>
      <c r="HA28" s="2">
        <v>0</v>
      </c>
      <c r="HB28" s="2">
        <v>0</v>
      </c>
      <c r="HC28" s="2">
        <f t="shared" ref="HC28:HC61" si="50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3">
      <c r="A29">
        <v>17</v>
      </c>
      <c r="B29">
        <v>1</v>
      </c>
      <c r="D29">
        <f>ROW(EtalonRes!A12)</f>
        <v>12</v>
      </c>
      <c r="E29" t="s">
        <v>19</v>
      </c>
      <c r="F29" t="s">
        <v>20</v>
      </c>
      <c r="G29" t="s">
        <v>21</v>
      </c>
      <c r="H29" t="s">
        <v>22</v>
      </c>
      <c r="I29">
        <v>1</v>
      </c>
      <c r="J29">
        <v>0</v>
      </c>
      <c r="K29">
        <v>1</v>
      </c>
      <c r="O29">
        <f t="shared" si="21"/>
        <v>1354.12</v>
      </c>
      <c r="P29">
        <f>ROUND((ROUND((AC29*AW29*I29),2)*BC29),2)</f>
        <v>31.13</v>
      </c>
      <c r="Q29">
        <f>(ROUND((ROUND((((ET29*1.1))*AV29*I29),2)*BB29),2)+ROUND((ROUND(((AE29-((EU29*1.1)))*AV29*I29),2)*BS29),2))</f>
        <v>16.43</v>
      </c>
      <c r="R29">
        <f t="shared" si="22"/>
        <v>8.25</v>
      </c>
      <c r="S29">
        <f t="shared" si="23"/>
        <v>1306.56</v>
      </c>
      <c r="T29">
        <f t="shared" si="24"/>
        <v>0</v>
      </c>
      <c r="U29">
        <f t="shared" si="25"/>
        <v>1.5547950000000001</v>
      </c>
      <c r="V29">
        <f t="shared" si="26"/>
        <v>0</v>
      </c>
      <c r="W29">
        <f t="shared" si="27"/>
        <v>0</v>
      </c>
      <c r="X29">
        <f t="shared" si="28"/>
        <v>1183.33</v>
      </c>
      <c r="Y29">
        <f t="shared" si="29"/>
        <v>604.80999999999995</v>
      </c>
      <c r="AA29">
        <v>56511235</v>
      </c>
      <c r="AB29">
        <f t="shared" si="30"/>
        <v>24.914000000000001</v>
      </c>
      <c r="AC29">
        <f t="shared" si="31"/>
        <v>1.22</v>
      </c>
      <c r="AD29">
        <f>ROUND(((((ET29*1.1))-((EU29*1.1)))+AE29),6)</f>
        <v>1.0009999999999999</v>
      </c>
      <c r="AE29">
        <f>ROUND(((EU29*1.1)),6)</f>
        <v>0.14299999999999999</v>
      </c>
      <c r="AF29">
        <f>ROUND(((EV29*1.1)),6)</f>
        <v>22.693000000000001</v>
      </c>
      <c r="AG29">
        <f t="shared" si="32"/>
        <v>0</v>
      </c>
      <c r="AH29">
        <f>((EW29*1.1))</f>
        <v>1.4850000000000003</v>
      </c>
      <c r="AI29">
        <f>((EX29*1.1))</f>
        <v>0</v>
      </c>
      <c r="AJ29">
        <f t="shared" si="33"/>
        <v>0</v>
      </c>
      <c r="AK29">
        <v>22.76</v>
      </c>
      <c r="AL29">
        <v>1.22</v>
      </c>
      <c r="AM29">
        <v>0.91</v>
      </c>
      <c r="AN29">
        <v>0.13</v>
      </c>
      <c r="AO29">
        <v>20.63</v>
      </c>
      <c r="AP29">
        <v>0</v>
      </c>
      <c r="AQ29">
        <v>1.35</v>
      </c>
      <c r="AR29">
        <v>0</v>
      </c>
      <c r="AS29">
        <v>0</v>
      </c>
      <c r="AT29">
        <v>90</v>
      </c>
      <c r="AU29">
        <v>46</v>
      </c>
      <c r="AV29">
        <v>1.0469999999999999</v>
      </c>
      <c r="AW29">
        <v>1</v>
      </c>
      <c r="AZ29">
        <v>1</v>
      </c>
      <c r="BA29">
        <v>54.99</v>
      </c>
      <c r="BB29">
        <v>15.65</v>
      </c>
      <c r="BC29">
        <v>25.52</v>
      </c>
      <c r="BD29" t="s">
        <v>3</v>
      </c>
      <c r="BE29" t="s">
        <v>3</v>
      </c>
      <c r="BF29" t="s">
        <v>3</v>
      </c>
      <c r="BG29" t="s">
        <v>3</v>
      </c>
      <c r="BH29">
        <v>0</v>
      </c>
      <c r="BI29">
        <v>2</v>
      </c>
      <c r="BJ29" t="s">
        <v>23</v>
      </c>
      <c r="BM29">
        <v>68</v>
      </c>
      <c r="BN29">
        <v>0</v>
      </c>
      <c r="BO29" t="s">
        <v>20</v>
      </c>
      <c r="BP29">
        <v>1</v>
      </c>
      <c r="BQ29">
        <v>40</v>
      </c>
      <c r="BR29">
        <v>0</v>
      </c>
      <c r="BS29">
        <v>54.99</v>
      </c>
      <c r="BT29">
        <v>1</v>
      </c>
      <c r="BU29">
        <v>1</v>
      </c>
      <c r="BV29">
        <v>1</v>
      </c>
      <c r="BW29">
        <v>1</v>
      </c>
      <c r="BX29">
        <v>1</v>
      </c>
      <c r="BY29" t="s">
        <v>3</v>
      </c>
      <c r="BZ29">
        <v>90</v>
      </c>
      <c r="CA29">
        <v>46</v>
      </c>
      <c r="CB29" t="s">
        <v>3</v>
      </c>
      <c r="CE29">
        <v>30</v>
      </c>
      <c r="CF29">
        <v>0</v>
      </c>
      <c r="CG29">
        <v>0</v>
      </c>
      <c r="CM29">
        <v>0</v>
      </c>
      <c r="CN29" t="s">
        <v>3</v>
      </c>
      <c r="CO29">
        <v>0</v>
      </c>
      <c r="CP29">
        <f t="shared" si="34"/>
        <v>1354.12</v>
      </c>
      <c r="CQ29">
        <f>ROUND((ROUND((AC29*AW29*1),2)*BC29),2)</f>
        <v>31.13</v>
      </c>
      <c r="CR29">
        <f>(ROUND((ROUND((((ET29*1.1))*AV29*1),2)*BB29),2)+ROUND((ROUND(((AE29-((EU29*1.1)))*AV29*1),2)*BS29),2))</f>
        <v>16.43</v>
      </c>
      <c r="CS29">
        <f t="shared" si="35"/>
        <v>8.25</v>
      </c>
      <c r="CT29">
        <f t="shared" si="36"/>
        <v>1306.56</v>
      </c>
      <c r="CU29">
        <f t="shared" si="37"/>
        <v>0</v>
      </c>
      <c r="CV29">
        <f t="shared" si="38"/>
        <v>1.5547950000000001</v>
      </c>
      <c r="CW29">
        <f t="shared" si="39"/>
        <v>0</v>
      </c>
      <c r="CX29">
        <f t="shared" si="40"/>
        <v>0</v>
      </c>
      <c r="CY29">
        <f t="shared" si="41"/>
        <v>1183.329</v>
      </c>
      <c r="CZ29">
        <f t="shared" si="42"/>
        <v>604.81259999999997</v>
      </c>
      <c r="DC29" t="s">
        <v>3</v>
      </c>
      <c r="DD29" t="s">
        <v>3</v>
      </c>
      <c r="DE29" t="s">
        <v>24</v>
      </c>
      <c r="DF29" t="s">
        <v>24</v>
      </c>
      <c r="DG29" t="s">
        <v>24</v>
      </c>
      <c r="DH29" t="s">
        <v>3</v>
      </c>
      <c r="DI29" t="s">
        <v>24</v>
      </c>
      <c r="DJ29" t="s">
        <v>24</v>
      </c>
      <c r="DK29" t="s">
        <v>3</v>
      </c>
      <c r="DL29" t="s">
        <v>3</v>
      </c>
      <c r="DM29" t="s">
        <v>3</v>
      </c>
      <c r="DN29">
        <v>0</v>
      </c>
      <c r="DO29">
        <v>0</v>
      </c>
      <c r="DP29">
        <v>1</v>
      </c>
      <c r="DQ29">
        <v>1</v>
      </c>
      <c r="DU29">
        <v>1013</v>
      </c>
      <c r="DV29" t="s">
        <v>22</v>
      </c>
      <c r="DW29" t="s">
        <v>22</v>
      </c>
      <c r="DX29">
        <v>1</v>
      </c>
      <c r="DZ29" t="s">
        <v>3</v>
      </c>
      <c r="EA29" t="s">
        <v>3</v>
      </c>
      <c r="EB29" t="s">
        <v>3</v>
      </c>
      <c r="EC29" t="s">
        <v>3</v>
      </c>
      <c r="EE29">
        <v>58162630</v>
      </c>
      <c r="EF29">
        <v>40</v>
      </c>
      <c r="EG29" t="s">
        <v>25</v>
      </c>
      <c r="EH29">
        <v>0</v>
      </c>
      <c r="EI29" t="s">
        <v>3</v>
      </c>
      <c r="EJ29">
        <v>2</v>
      </c>
      <c r="EK29">
        <v>68</v>
      </c>
      <c r="EL29" t="s">
        <v>26</v>
      </c>
      <c r="EM29" t="s">
        <v>27</v>
      </c>
      <c r="EO29" t="s">
        <v>28</v>
      </c>
      <c r="EQ29">
        <v>0</v>
      </c>
      <c r="ER29">
        <v>22.76</v>
      </c>
      <c r="ES29">
        <v>1.22</v>
      </c>
      <c r="ET29">
        <v>0.91</v>
      </c>
      <c r="EU29">
        <v>0.13</v>
      </c>
      <c r="EV29">
        <v>20.63</v>
      </c>
      <c r="EW29">
        <v>1.35</v>
      </c>
      <c r="EX29">
        <v>0</v>
      </c>
      <c r="EY29">
        <v>0</v>
      </c>
      <c r="FQ29">
        <v>0</v>
      </c>
      <c r="FR29">
        <v>0</v>
      </c>
      <c r="FS29">
        <v>0</v>
      </c>
      <c r="FX29">
        <v>90</v>
      </c>
      <c r="FY29">
        <v>46</v>
      </c>
      <c r="GA29" t="s">
        <v>3</v>
      </c>
      <c r="GD29">
        <v>1</v>
      </c>
      <c r="GF29">
        <v>1735237289</v>
      </c>
      <c r="GG29">
        <v>2</v>
      </c>
      <c r="GH29">
        <v>1</v>
      </c>
      <c r="GI29">
        <v>2</v>
      </c>
      <c r="GJ29">
        <v>0</v>
      </c>
      <c r="GK29">
        <v>0</v>
      </c>
      <c r="GL29">
        <f t="shared" si="43"/>
        <v>0</v>
      </c>
      <c r="GM29">
        <f t="shared" si="44"/>
        <v>3142.26</v>
      </c>
      <c r="GN29">
        <f t="shared" si="45"/>
        <v>0</v>
      </c>
      <c r="GO29">
        <f t="shared" si="46"/>
        <v>3142.26</v>
      </c>
      <c r="GP29">
        <f t="shared" si="47"/>
        <v>0</v>
      </c>
      <c r="GR29">
        <v>0</v>
      </c>
      <c r="GS29">
        <v>3</v>
      </c>
      <c r="GT29">
        <v>0</v>
      </c>
      <c r="GU29" t="s">
        <v>3</v>
      </c>
      <c r="GV29">
        <f t="shared" si="48"/>
        <v>0</v>
      </c>
      <c r="GW29">
        <v>1</v>
      </c>
      <c r="GX29">
        <f t="shared" si="49"/>
        <v>0</v>
      </c>
      <c r="HA29">
        <v>0</v>
      </c>
      <c r="HB29">
        <v>0</v>
      </c>
      <c r="HC29">
        <f t="shared" si="50"/>
        <v>0</v>
      </c>
      <c r="HE29" t="s">
        <v>3</v>
      </c>
      <c r="HF29" t="s">
        <v>3</v>
      </c>
      <c r="HM29" t="s">
        <v>3</v>
      </c>
      <c r="HN29" t="s">
        <v>3</v>
      </c>
      <c r="HO29" t="s">
        <v>3</v>
      </c>
      <c r="HP29" t="s">
        <v>3</v>
      </c>
      <c r="HQ29" t="s">
        <v>3</v>
      </c>
      <c r="HS29">
        <v>0</v>
      </c>
      <c r="IK29">
        <v>0</v>
      </c>
    </row>
    <row r="30" spans="1:255" x14ac:dyDescent="0.3">
      <c r="A30" s="2">
        <v>18</v>
      </c>
      <c r="B30" s="2">
        <v>1</v>
      </c>
      <c r="C30" s="2"/>
      <c r="D30" s="2"/>
      <c r="E30" s="2" t="s">
        <v>29</v>
      </c>
      <c r="F30" s="2" t="s">
        <v>30</v>
      </c>
      <c r="G30" s="2" t="s">
        <v>31</v>
      </c>
      <c r="H30" s="2" t="s">
        <v>32</v>
      </c>
      <c r="I30" s="2">
        <f>I28*J30</f>
        <v>1</v>
      </c>
      <c r="J30" s="2">
        <v>1</v>
      </c>
      <c r="K30" s="2">
        <v>1</v>
      </c>
      <c r="L30" s="2"/>
      <c r="M30" s="2"/>
      <c r="N30" s="2"/>
      <c r="O30" s="2">
        <f t="shared" si="21"/>
        <v>1062.54</v>
      </c>
      <c r="P30" s="2">
        <f>ROUND((ROUND((AC30*I30),2)*BC30),2)</f>
        <v>1062.54</v>
      </c>
      <c r="Q30" s="2">
        <f>(ROUND((ROUND(((ET30)*AV30*I30),2)*BB30),2)+ROUND((ROUND(((AE30-(EU30))*AV30*I30),2)*BS30),2))</f>
        <v>0</v>
      </c>
      <c r="R30" s="2">
        <f t="shared" si="22"/>
        <v>0</v>
      </c>
      <c r="S30" s="2">
        <f t="shared" si="23"/>
        <v>0</v>
      </c>
      <c r="T30" s="2">
        <f t="shared" si="24"/>
        <v>0</v>
      </c>
      <c r="U30" s="2">
        <f t="shared" si="25"/>
        <v>0</v>
      </c>
      <c r="V30" s="2">
        <f t="shared" si="26"/>
        <v>0</v>
      </c>
      <c r="W30" s="2">
        <f t="shared" si="27"/>
        <v>0</v>
      </c>
      <c r="X30" s="2">
        <f t="shared" si="28"/>
        <v>0</v>
      </c>
      <c r="Y30" s="2">
        <f t="shared" si="29"/>
        <v>0</v>
      </c>
      <c r="Z30" s="2"/>
      <c r="AA30" s="2">
        <v>56511233</v>
      </c>
      <c r="AB30" s="2">
        <f t="shared" si="30"/>
        <v>1062.54</v>
      </c>
      <c r="AC30" s="2">
        <f t="shared" si="31"/>
        <v>1062.54</v>
      </c>
      <c r="AD30" s="2">
        <f>ROUND((((ET30)-(EU30))+AE30),6)</f>
        <v>0</v>
      </c>
      <c r="AE30" s="2">
        <f>ROUND((EU30),6)</f>
        <v>0</v>
      </c>
      <c r="AF30" s="2">
        <f>ROUND((EV30),6)</f>
        <v>0</v>
      </c>
      <c r="AG30" s="2">
        <f t="shared" si="32"/>
        <v>0</v>
      </c>
      <c r="AH30" s="2">
        <f>(EW30)</f>
        <v>0</v>
      </c>
      <c r="AI30" s="2">
        <f>(EX30)</f>
        <v>0</v>
      </c>
      <c r="AJ30" s="2">
        <f t="shared" si="33"/>
        <v>0</v>
      </c>
      <c r="AK30" s="2">
        <v>1062.54</v>
      </c>
      <c r="AL30" s="2">
        <v>1062.54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1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3</v>
      </c>
      <c r="BI30" s="2">
        <v>3</v>
      </c>
      <c r="BJ30" s="2" t="s">
        <v>3</v>
      </c>
      <c r="BK30" s="2"/>
      <c r="BL30" s="2"/>
      <c r="BM30" s="2">
        <v>746</v>
      </c>
      <c r="BN30" s="2">
        <v>0</v>
      </c>
      <c r="BO30" s="2" t="s">
        <v>3</v>
      </c>
      <c r="BP30" s="2">
        <v>0</v>
      </c>
      <c r="BQ30" s="2">
        <v>130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90</v>
      </c>
      <c r="CA30" s="2">
        <v>46</v>
      </c>
      <c r="CB30" s="2" t="s">
        <v>3</v>
      </c>
      <c r="CC30" s="2"/>
      <c r="CD30" s="2"/>
      <c r="CE30" s="2">
        <v>30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3</v>
      </c>
      <c r="CO30" s="2">
        <v>0</v>
      </c>
      <c r="CP30" s="2">
        <f t="shared" si="34"/>
        <v>1062.54</v>
      </c>
      <c r="CQ30" s="2">
        <f>ROUND((ROUND((AC30*1),2)*BC30),2)</f>
        <v>1062.54</v>
      </c>
      <c r="CR30" s="2">
        <f>(ROUND((ROUND(((ET30)*AV30*1),2)*BB30),2)+ROUND((ROUND(((AE30-(EU30))*AV30*1),2)*BS30),2))</f>
        <v>0</v>
      </c>
      <c r="CS30" s="2">
        <f t="shared" si="35"/>
        <v>0</v>
      </c>
      <c r="CT30" s="2">
        <f t="shared" si="36"/>
        <v>0</v>
      </c>
      <c r="CU30" s="2">
        <f t="shared" si="37"/>
        <v>0</v>
      </c>
      <c r="CV30" s="2">
        <f t="shared" si="38"/>
        <v>0</v>
      </c>
      <c r="CW30" s="2">
        <f t="shared" si="39"/>
        <v>0</v>
      </c>
      <c r="CX30" s="2">
        <f t="shared" si="40"/>
        <v>0</v>
      </c>
      <c r="CY30" s="2">
        <f t="shared" si="41"/>
        <v>0</v>
      </c>
      <c r="CZ30" s="2">
        <f t="shared" si="42"/>
        <v>0</v>
      </c>
      <c r="DA30" s="2"/>
      <c r="DB30" s="2"/>
      <c r="DC30" s="2" t="s">
        <v>3</v>
      </c>
      <c r="DD30" s="2" t="s">
        <v>3</v>
      </c>
      <c r="DE30" s="2" t="s">
        <v>3</v>
      </c>
      <c r="DF30" s="2" t="s">
        <v>3</v>
      </c>
      <c r="DG30" s="2" t="s">
        <v>3</v>
      </c>
      <c r="DH30" s="2" t="s">
        <v>3</v>
      </c>
      <c r="DI30" s="2" t="s">
        <v>3</v>
      </c>
      <c r="DJ30" s="2" t="s">
        <v>3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1010</v>
      </c>
      <c r="DV30" s="2" t="s">
        <v>32</v>
      </c>
      <c r="DW30" s="2" t="s">
        <v>32</v>
      </c>
      <c r="DX30" s="2">
        <v>1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58162750</v>
      </c>
      <c r="EF30" s="2">
        <v>130</v>
      </c>
      <c r="EG30" s="2" t="s">
        <v>33</v>
      </c>
      <c r="EH30" s="2">
        <v>0</v>
      </c>
      <c r="EI30" s="2" t="s">
        <v>3</v>
      </c>
      <c r="EJ30" s="2">
        <v>3</v>
      </c>
      <c r="EK30" s="2">
        <v>746</v>
      </c>
      <c r="EL30" s="2" t="s">
        <v>34</v>
      </c>
      <c r="EM30" s="2" t="s">
        <v>35</v>
      </c>
      <c r="EN30" s="2"/>
      <c r="EO30" s="2" t="s">
        <v>3</v>
      </c>
      <c r="EP30" s="2"/>
      <c r="EQ30" s="2">
        <v>0</v>
      </c>
      <c r="ER30" s="2">
        <v>0</v>
      </c>
      <c r="ES30" s="2">
        <v>1062.54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f>P30</f>
        <v>1062.54</v>
      </c>
      <c r="FS30" s="2">
        <v>0</v>
      </c>
      <c r="FT30" s="2"/>
      <c r="FU30" s="2"/>
      <c r="FV30" s="2"/>
      <c r="FW30" s="2"/>
      <c r="FX30" s="2">
        <v>90</v>
      </c>
      <c r="FY30" s="2">
        <v>46</v>
      </c>
      <c r="FZ30" s="2"/>
      <c r="GA30" s="2" t="s">
        <v>36</v>
      </c>
      <c r="GB30" s="2"/>
      <c r="GC30" s="2"/>
      <c r="GD30" s="2">
        <v>1</v>
      </c>
      <c r="GE30" s="2"/>
      <c r="GF30" s="2">
        <v>975157399</v>
      </c>
      <c r="GG30" s="2">
        <v>2</v>
      </c>
      <c r="GH30" s="2">
        <v>4</v>
      </c>
      <c r="GI30" s="2">
        <v>-2</v>
      </c>
      <c r="GJ30" s="2">
        <v>0</v>
      </c>
      <c r="GK30" s="2">
        <v>0</v>
      </c>
      <c r="GL30" s="2">
        <f t="shared" si="43"/>
        <v>0</v>
      </c>
      <c r="GM30" s="2">
        <f t="shared" si="44"/>
        <v>1062.54</v>
      </c>
      <c r="GN30" s="2">
        <f t="shared" si="45"/>
        <v>0</v>
      </c>
      <c r="GO30" s="2">
        <f t="shared" si="46"/>
        <v>0</v>
      </c>
      <c r="GP30" s="2">
        <f t="shared" si="47"/>
        <v>0</v>
      </c>
      <c r="GQ30" s="2"/>
      <c r="GR30" s="2">
        <v>0</v>
      </c>
      <c r="GS30" s="2">
        <v>2</v>
      </c>
      <c r="GT30" s="2">
        <v>0</v>
      </c>
      <c r="GU30" s="2" t="s">
        <v>3</v>
      </c>
      <c r="GV30" s="2">
        <f t="shared" si="48"/>
        <v>0</v>
      </c>
      <c r="GW30" s="2">
        <v>1</v>
      </c>
      <c r="GX30" s="2">
        <f t="shared" si="49"/>
        <v>0</v>
      </c>
      <c r="GY30" s="2"/>
      <c r="GZ30" s="2"/>
      <c r="HA30" s="2">
        <v>0</v>
      </c>
      <c r="HB30" s="2">
        <v>0</v>
      </c>
      <c r="HC30" s="2">
        <f t="shared" si="50"/>
        <v>0</v>
      </c>
      <c r="HD30" s="2"/>
      <c r="HE30" s="2" t="s">
        <v>37</v>
      </c>
      <c r="HF30" s="2" t="s">
        <v>38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3">
      <c r="A31">
        <v>18</v>
      </c>
      <c r="B31">
        <v>1</v>
      </c>
      <c r="E31" t="s">
        <v>29</v>
      </c>
      <c r="F31" t="s">
        <v>30</v>
      </c>
      <c r="G31" t="s">
        <v>31</v>
      </c>
      <c r="H31" t="s">
        <v>32</v>
      </c>
      <c r="I31">
        <f>I29*J31</f>
        <v>1</v>
      </c>
      <c r="J31">
        <v>1</v>
      </c>
      <c r="K31">
        <v>1</v>
      </c>
      <c r="O31">
        <f t="shared" si="21"/>
        <v>8139.06</v>
      </c>
      <c r="P31">
        <f>ROUND((ROUND((AC31*I31),2)*BC31),2)</f>
        <v>8139.06</v>
      </c>
      <c r="Q31">
        <f>(ROUND((ROUND(((ET31)*AV31*I31),2)*BB31),2)+ROUND((ROUND(((AE31-(EU31))*AV31*I31),2)*BS31),2))</f>
        <v>0</v>
      </c>
      <c r="R31">
        <f t="shared" si="22"/>
        <v>0</v>
      </c>
      <c r="S31">
        <f t="shared" si="23"/>
        <v>0</v>
      </c>
      <c r="T31">
        <f t="shared" si="24"/>
        <v>0</v>
      </c>
      <c r="U31">
        <f t="shared" si="25"/>
        <v>0</v>
      </c>
      <c r="V31">
        <f t="shared" si="26"/>
        <v>0</v>
      </c>
      <c r="W31">
        <f t="shared" si="27"/>
        <v>0</v>
      </c>
      <c r="X31">
        <f t="shared" si="28"/>
        <v>0</v>
      </c>
      <c r="Y31">
        <f t="shared" si="29"/>
        <v>0</v>
      </c>
      <c r="AA31">
        <v>56511235</v>
      </c>
      <c r="AB31">
        <f t="shared" si="30"/>
        <v>1062.54</v>
      </c>
      <c r="AC31">
        <f t="shared" si="31"/>
        <v>1062.54</v>
      </c>
      <c r="AD31">
        <f>ROUND((((ET31)-(EU31))+AE31),6)</f>
        <v>0</v>
      </c>
      <c r="AE31">
        <f>ROUND((EU31),6)</f>
        <v>0</v>
      </c>
      <c r="AF31">
        <f>ROUND((EV31),6)</f>
        <v>0</v>
      </c>
      <c r="AG31">
        <f t="shared" si="32"/>
        <v>0</v>
      </c>
      <c r="AH31">
        <f>(EW31)</f>
        <v>0</v>
      </c>
      <c r="AI31">
        <f>(EX31)</f>
        <v>0</v>
      </c>
      <c r="AJ31">
        <f t="shared" si="33"/>
        <v>0</v>
      </c>
      <c r="AK31">
        <v>1062.54</v>
      </c>
      <c r="AL31">
        <v>1062.54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</v>
      </c>
      <c r="AW31">
        <v>1</v>
      </c>
      <c r="AZ31">
        <v>1</v>
      </c>
      <c r="BA31">
        <v>1</v>
      </c>
      <c r="BB31">
        <v>1</v>
      </c>
      <c r="BC31">
        <v>7.66</v>
      </c>
      <c r="BD31" t="s">
        <v>3</v>
      </c>
      <c r="BE31" t="s">
        <v>3</v>
      </c>
      <c r="BF31" t="s">
        <v>3</v>
      </c>
      <c r="BG31" t="s">
        <v>3</v>
      </c>
      <c r="BH31">
        <v>3</v>
      </c>
      <c r="BI31">
        <v>3</v>
      </c>
      <c r="BJ31" t="s">
        <v>3</v>
      </c>
      <c r="BM31">
        <v>746</v>
      </c>
      <c r="BN31">
        <v>0</v>
      </c>
      <c r="BO31" t="s">
        <v>3</v>
      </c>
      <c r="BP31">
        <v>0</v>
      </c>
      <c r="BQ31">
        <v>130</v>
      </c>
      <c r="BR31">
        <v>0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 t="s">
        <v>3</v>
      </c>
      <c r="BZ31">
        <v>90</v>
      </c>
      <c r="CA31">
        <v>46</v>
      </c>
      <c r="CB31" t="s">
        <v>3</v>
      </c>
      <c r="CE31">
        <v>30</v>
      </c>
      <c r="CF31">
        <v>0</v>
      </c>
      <c r="CG31">
        <v>0</v>
      </c>
      <c r="CM31">
        <v>0</v>
      </c>
      <c r="CN31" t="s">
        <v>3</v>
      </c>
      <c r="CO31">
        <v>0</v>
      </c>
      <c r="CP31">
        <f t="shared" si="34"/>
        <v>8139.06</v>
      </c>
      <c r="CQ31">
        <f>ROUND((ROUND((AC31*1),2)*BC31),2)</f>
        <v>8139.06</v>
      </c>
      <c r="CR31">
        <f>(ROUND((ROUND(((ET31)*AV31*1),2)*BB31),2)+ROUND((ROUND(((AE31-(EU31))*AV31*1),2)*BS31),2))</f>
        <v>0</v>
      </c>
      <c r="CS31">
        <f t="shared" si="35"/>
        <v>0</v>
      </c>
      <c r="CT31">
        <f t="shared" si="36"/>
        <v>0</v>
      </c>
      <c r="CU31">
        <f t="shared" si="37"/>
        <v>0</v>
      </c>
      <c r="CV31">
        <f t="shared" si="38"/>
        <v>0</v>
      </c>
      <c r="CW31">
        <f t="shared" si="39"/>
        <v>0</v>
      </c>
      <c r="CX31">
        <f t="shared" si="40"/>
        <v>0</v>
      </c>
      <c r="CY31">
        <f t="shared" si="41"/>
        <v>0</v>
      </c>
      <c r="CZ31">
        <f t="shared" si="42"/>
        <v>0</v>
      </c>
      <c r="DC31" t="s">
        <v>3</v>
      </c>
      <c r="DD31" t="s">
        <v>3</v>
      </c>
      <c r="DE31" t="s">
        <v>3</v>
      </c>
      <c r="DF31" t="s">
        <v>3</v>
      </c>
      <c r="DG31" t="s">
        <v>3</v>
      </c>
      <c r="DH31" t="s">
        <v>3</v>
      </c>
      <c r="DI31" t="s">
        <v>3</v>
      </c>
      <c r="DJ31" t="s">
        <v>3</v>
      </c>
      <c r="DK31" t="s">
        <v>3</v>
      </c>
      <c r="DL31" t="s">
        <v>3</v>
      </c>
      <c r="DM31" t="s">
        <v>3</v>
      </c>
      <c r="DN31">
        <v>0</v>
      </c>
      <c r="DO31">
        <v>0</v>
      </c>
      <c r="DP31">
        <v>1</v>
      </c>
      <c r="DQ31">
        <v>1</v>
      </c>
      <c r="DU31">
        <v>1010</v>
      </c>
      <c r="DV31" t="s">
        <v>32</v>
      </c>
      <c r="DW31" t="s">
        <v>32</v>
      </c>
      <c r="DX31">
        <v>1</v>
      </c>
      <c r="DZ31" t="s">
        <v>3</v>
      </c>
      <c r="EA31" t="s">
        <v>3</v>
      </c>
      <c r="EB31" t="s">
        <v>3</v>
      </c>
      <c r="EC31" t="s">
        <v>3</v>
      </c>
      <c r="EE31">
        <v>58162750</v>
      </c>
      <c r="EF31">
        <v>130</v>
      </c>
      <c r="EG31" t="s">
        <v>33</v>
      </c>
      <c r="EH31">
        <v>0</v>
      </c>
      <c r="EI31" t="s">
        <v>3</v>
      </c>
      <c r="EJ31">
        <v>3</v>
      </c>
      <c r="EK31">
        <v>746</v>
      </c>
      <c r="EL31" t="s">
        <v>34</v>
      </c>
      <c r="EM31" t="s">
        <v>35</v>
      </c>
      <c r="EO31" t="s">
        <v>3</v>
      </c>
      <c r="EQ31">
        <v>0</v>
      </c>
      <c r="ER31">
        <v>8139.09</v>
      </c>
      <c r="ES31">
        <v>1062.54</v>
      </c>
      <c r="ET31">
        <v>0</v>
      </c>
      <c r="EU31">
        <v>0</v>
      </c>
      <c r="EV31">
        <v>0</v>
      </c>
      <c r="EW31">
        <v>0</v>
      </c>
      <c r="EX31">
        <v>0</v>
      </c>
      <c r="EZ31">
        <v>5</v>
      </c>
      <c r="FC31">
        <v>1</v>
      </c>
      <c r="FD31">
        <v>18</v>
      </c>
      <c r="FF31">
        <v>9370</v>
      </c>
      <c r="FQ31">
        <v>0</v>
      </c>
      <c r="FR31">
        <f>P31</f>
        <v>8139.06</v>
      </c>
      <c r="FS31">
        <v>0</v>
      </c>
      <c r="FX31">
        <v>90</v>
      </c>
      <c r="FY31">
        <v>46</v>
      </c>
      <c r="GA31" t="s">
        <v>36</v>
      </c>
      <c r="GD31">
        <v>1</v>
      </c>
      <c r="GF31">
        <v>975157399</v>
      </c>
      <c r="GG31">
        <v>2</v>
      </c>
      <c r="GH31">
        <v>3</v>
      </c>
      <c r="GI31">
        <v>5</v>
      </c>
      <c r="GJ31">
        <v>0</v>
      </c>
      <c r="GK31">
        <v>0</v>
      </c>
      <c r="GL31">
        <f t="shared" si="43"/>
        <v>0</v>
      </c>
      <c r="GM31">
        <f t="shared" si="44"/>
        <v>8139.06</v>
      </c>
      <c r="GN31">
        <f t="shared" si="45"/>
        <v>0</v>
      </c>
      <c r="GO31">
        <f t="shared" si="46"/>
        <v>0</v>
      </c>
      <c r="GP31">
        <f t="shared" si="47"/>
        <v>0</v>
      </c>
      <c r="GR31">
        <v>1</v>
      </c>
      <c r="GS31">
        <v>1</v>
      </c>
      <c r="GT31">
        <v>0</v>
      </c>
      <c r="GU31" t="s">
        <v>3</v>
      </c>
      <c r="GV31">
        <f t="shared" si="48"/>
        <v>0</v>
      </c>
      <c r="GW31">
        <v>1</v>
      </c>
      <c r="GX31">
        <f t="shared" si="49"/>
        <v>0</v>
      </c>
      <c r="HA31">
        <v>0</v>
      </c>
      <c r="HB31">
        <v>0</v>
      </c>
      <c r="HC31">
        <f t="shared" si="50"/>
        <v>0</v>
      </c>
      <c r="HE31" t="s">
        <v>37</v>
      </c>
      <c r="HF31" t="s">
        <v>38</v>
      </c>
      <c r="HM31" t="s">
        <v>3</v>
      </c>
      <c r="HN31" t="s">
        <v>3</v>
      </c>
      <c r="HO31" t="s">
        <v>3</v>
      </c>
      <c r="HP31" t="s">
        <v>3</v>
      </c>
      <c r="HQ31" t="s">
        <v>3</v>
      </c>
      <c r="HS31">
        <v>0</v>
      </c>
      <c r="IK31">
        <v>0</v>
      </c>
    </row>
    <row r="32" spans="1:255" x14ac:dyDescent="0.3">
      <c r="A32" s="2">
        <v>17</v>
      </c>
      <c r="B32" s="2">
        <v>1</v>
      </c>
      <c r="C32" s="2"/>
      <c r="D32" s="2">
        <f>ROW(EtalonRes!A18)</f>
        <v>18</v>
      </c>
      <c r="E32" s="2" t="s">
        <v>39</v>
      </c>
      <c r="F32" s="2" t="s">
        <v>40</v>
      </c>
      <c r="G32" s="2" t="s">
        <v>41</v>
      </c>
      <c r="H32" s="2" t="s">
        <v>42</v>
      </c>
      <c r="I32" s="2">
        <f>ROUND(1/10,9)</f>
        <v>0.1</v>
      </c>
      <c r="J32" s="2">
        <v>0</v>
      </c>
      <c r="K32" s="2">
        <f>ROUND(1/10,9)</f>
        <v>0.1</v>
      </c>
      <c r="L32" s="2"/>
      <c r="M32" s="2"/>
      <c r="N32" s="2"/>
      <c r="O32" s="2">
        <f t="shared" si="21"/>
        <v>27.13</v>
      </c>
      <c r="P32" s="2">
        <f>ROUND((ROUND((AC32*AW32*I32),2)*BC32),2)</f>
        <v>0.24</v>
      </c>
      <c r="Q32" s="2">
        <f>(ROUND((ROUND((((ET32*1.1))*AV32*I32),2)*BB32),2)+ROUND((ROUND(((AE32-((EU32*1.1)))*AV32*I32),2)*BS32),2))</f>
        <v>0.7</v>
      </c>
      <c r="R32" s="2">
        <f t="shared" si="22"/>
        <v>0.09</v>
      </c>
      <c r="S32" s="2">
        <f t="shared" si="23"/>
        <v>26.19</v>
      </c>
      <c r="T32" s="2">
        <f t="shared" si="24"/>
        <v>0</v>
      </c>
      <c r="U32" s="2">
        <f t="shared" si="25"/>
        <v>1.6860888000000003</v>
      </c>
      <c r="V32" s="2">
        <f t="shared" si="26"/>
        <v>0</v>
      </c>
      <c r="W32" s="2">
        <f t="shared" si="27"/>
        <v>0</v>
      </c>
      <c r="X32" s="2">
        <f t="shared" si="28"/>
        <v>23.65</v>
      </c>
      <c r="Y32" s="2">
        <f t="shared" si="29"/>
        <v>12.09</v>
      </c>
      <c r="Z32" s="2"/>
      <c r="AA32" s="2">
        <v>56511233</v>
      </c>
      <c r="AB32" s="2">
        <f t="shared" si="30"/>
        <v>259.30099999999999</v>
      </c>
      <c r="AC32" s="2">
        <f t="shared" si="31"/>
        <v>2.44</v>
      </c>
      <c r="AD32" s="2">
        <f>ROUND(((((ET32*1.1))-((EU32*1.1)))+AE32),6)</f>
        <v>6.6769999999999996</v>
      </c>
      <c r="AE32" s="2">
        <f>ROUND(((EU32*1.1)),6)</f>
        <v>0.83599999999999997</v>
      </c>
      <c r="AF32" s="2">
        <f>ROUND(((EV32*1.1)),6)</f>
        <v>250.184</v>
      </c>
      <c r="AG32" s="2">
        <f t="shared" si="32"/>
        <v>0</v>
      </c>
      <c r="AH32" s="2">
        <f>((EW32*1.1))</f>
        <v>16.104000000000003</v>
      </c>
      <c r="AI32" s="2">
        <f>((EX32*1.1))</f>
        <v>0</v>
      </c>
      <c r="AJ32" s="2">
        <f t="shared" si="33"/>
        <v>0</v>
      </c>
      <c r="AK32" s="2">
        <v>235.95</v>
      </c>
      <c r="AL32" s="2">
        <v>2.44</v>
      </c>
      <c r="AM32" s="2">
        <v>6.07</v>
      </c>
      <c r="AN32" s="2">
        <v>0.76</v>
      </c>
      <c r="AO32" s="2">
        <v>227.44</v>
      </c>
      <c r="AP32" s="2">
        <v>0</v>
      </c>
      <c r="AQ32" s="2">
        <v>14.64</v>
      </c>
      <c r="AR32" s="2">
        <v>0</v>
      </c>
      <c r="AS32" s="2">
        <v>0</v>
      </c>
      <c r="AT32" s="2">
        <v>90</v>
      </c>
      <c r="AU32" s="2">
        <v>46</v>
      </c>
      <c r="AV32" s="2">
        <v>1.0469999999999999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0</v>
      </c>
      <c r="BI32" s="2">
        <v>2</v>
      </c>
      <c r="BJ32" s="2" t="s">
        <v>43</v>
      </c>
      <c r="BK32" s="2"/>
      <c r="BL32" s="2"/>
      <c r="BM32" s="2">
        <v>68</v>
      </c>
      <c r="BN32" s="2">
        <v>0</v>
      </c>
      <c r="BO32" s="2" t="s">
        <v>40</v>
      </c>
      <c r="BP32" s="2">
        <v>1</v>
      </c>
      <c r="BQ32" s="2">
        <v>40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90</v>
      </c>
      <c r="CA32" s="2">
        <v>46</v>
      </c>
      <c r="CB32" s="2" t="s">
        <v>3</v>
      </c>
      <c r="CC32" s="2"/>
      <c r="CD32" s="2"/>
      <c r="CE32" s="2">
        <v>30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3</v>
      </c>
      <c r="CO32" s="2">
        <v>0</v>
      </c>
      <c r="CP32" s="2">
        <f t="shared" si="34"/>
        <v>27.130000000000003</v>
      </c>
      <c r="CQ32" s="2">
        <f>ROUND((ROUND((AC32*AW32*1),2)*BC32),2)</f>
        <v>2.44</v>
      </c>
      <c r="CR32" s="2">
        <f>(ROUND((ROUND((((ET32*1.1))*AV32*1),2)*BB32),2)+ROUND((ROUND(((AE32-((EU32*1.1)))*AV32*1),2)*BS32),2))</f>
        <v>6.99</v>
      </c>
      <c r="CS32" s="2">
        <f t="shared" si="35"/>
        <v>0.88</v>
      </c>
      <c r="CT32" s="2">
        <f t="shared" si="36"/>
        <v>261.94</v>
      </c>
      <c r="CU32" s="2">
        <f t="shared" si="37"/>
        <v>0</v>
      </c>
      <c r="CV32" s="2">
        <f t="shared" si="38"/>
        <v>16.860888000000003</v>
      </c>
      <c r="CW32" s="2">
        <f t="shared" si="39"/>
        <v>0</v>
      </c>
      <c r="CX32" s="2">
        <f t="shared" si="40"/>
        <v>0</v>
      </c>
      <c r="CY32" s="2">
        <f t="shared" si="41"/>
        <v>23.652000000000001</v>
      </c>
      <c r="CZ32" s="2">
        <f t="shared" si="42"/>
        <v>12.088800000000001</v>
      </c>
      <c r="DA32" s="2"/>
      <c r="DB32" s="2"/>
      <c r="DC32" s="2" t="s">
        <v>3</v>
      </c>
      <c r="DD32" s="2" t="s">
        <v>3</v>
      </c>
      <c r="DE32" s="2" t="s">
        <v>24</v>
      </c>
      <c r="DF32" s="2" t="s">
        <v>24</v>
      </c>
      <c r="DG32" s="2" t="s">
        <v>24</v>
      </c>
      <c r="DH32" s="2" t="s">
        <v>3</v>
      </c>
      <c r="DI32" s="2" t="s">
        <v>24</v>
      </c>
      <c r="DJ32" s="2" t="s">
        <v>24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1010</v>
      </c>
      <c r="DV32" s="2" t="s">
        <v>42</v>
      </c>
      <c r="DW32" s="2" t="s">
        <v>42</v>
      </c>
      <c r="DX32" s="2">
        <v>10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58162630</v>
      </c>
      <c r="EF32" s="2">
        <v>40</v>
      </c>
      <c r="EG32" s="2" t="s">
        <v>25</v>
      </c>
      <c r="EH32" s="2">
        <v>0</v>
      </c>
      <c r="EI32" s="2" t="s">
        <v>3</v>
      </c>
      <c r="EJ32" s="2">
        <v>2</v>
      </c>
      <c r="EK32" s="2">
        <v>68</v>
      </c>
      <c r="EL32" s="2" t="s">
        <v>26</v>
      </c>
      <c r="EM32" s="2" t="s">
        <v>27</v>
      </c>
      <c r="EN32" s="2"/>
      <c r="EO32" s="2" t="s">
        <v>28</v>
      </c>
      <c r="EP32" s="2"/>
      <c r="EQ32" s="2">
        <v>0</v>
      </c>
      <c r="ER32" s="2">
        <v>235.95</v>
      </c>
      <c r="ES32" s="2">
        <v>2.44</v>
      </c>
      <c r="ET32" s="2">
        <v>6.07</v>
      </c>
      <c r="EU32" s="2">
        <v>0.76</v>
      </c>
      <c r="EV32" s="2">
        <v>227.44</v>
      </c>
      <c r="EW32" s="2">
        <v>14.64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90</v>
      </c>
      <c r="FY32" s="2">
        <v>46</v>
      </c>
      <c r="FZ32" s="2"/>
      <c r="GA32" s="2" t="s">
        <v>3</v>
      </c>
      <c r="GB32" s="2"/>
      <c r="GC32" s="2"/>
      <c r="GD32" s="2">
        <v>1</v>
      </c>
      <c r="GE32" s="2"/>
      <c r="GF32" s="2">
        <v>-1147212458</v>
      </c>
      <c r="GG32" s="2">
        <v>2</v>
      </c>
      <c r="GH32" s="2">
        <v>1</v>
      </c>
      <c r="GI32" s="2">
        <v>2</v>
      </c>
      <c r="GJ32" s="2">
        <v>0</v>
      </c>
      <c r="GK32" s="2">
        <v>0</v>
      </c>
      <c r="GL32" s="2">
        <f t="shared" si="43"/>
        <v>0</v>
      </c>
      <c r="GM32" s="2">
        <f t="shared" si="44"/>
        <v>62.87</v>
      </c>
      <c r="GN32" s="2">
        <f t="shared" si="45"/>
        <v>0</v>
      </c>
      <c r="GO32" s="2">
        <f t="shared" si="46"/>
        <v>62.87</v>
      </c>
      <c r="GP32" s="2">
        <f t="shared" si="47"/>
        <v>0</v>
      </c>
      <c r="GQ32" s="2"/>
      <c r="GR32" s="2">
        <v>0</v>
      </c>
      <c r="GS32" s="2">
        <v>3</v>
      </c>
      <c r="GT32" s="2">
        <v>0</v>
      </c>
      <c r="GU32" s="2" t="s">
        <v>3</v>
      </c>
      <c r="GV32" s="2">
        <f t="shared" si="48"/>
        <v>0</v>
      </c>
      <c r="GW32" s="2">
        <v>1</v>
      </c>
      <c r="GX32" s="2">
        <f t="shared" si="49"/>
        <v>0</v>
      </c>
      <c r="GY32" s="2"/>
      <c r="GZ32" s="2"/>
      <c r="HA32" s="2">
        <v>0</v>
      </c>
      <c r="HB32" s="2">
        <v>0</v>
      </c>
      <c r="HC32" s="2">
        <f t="shared" si="50"/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3">
      <c r="A33">
        <v>17</v>
      </c>
      <c r="B33">
        <v>1</v>
      </c>
      <c r="D33">
        <f>ROW(EtalonRes!A24)</f>
        <v>24</v>
      </c>
      <c r="E33" t="s">
        <v>39</v>
      </c>
      <c r="F33" t="s">
        <v>40</v>
      </c>
      <c r="G33" t="s">
        <v>41</v>
      </c>
      <c r="H33" t="s">
        <v>42</v>
      </c>
      <c r="I33">
        <f>ROUND(1/10,9)</f>
        <v>0.1</v>
      </c>
      <c r="J33">
        <v>0</v>
      </c>
      <c r="K33">
        <f>ROUND(1/10,9)</f>
        <v>0.1</v>
      </c>
      <c r="O33">
        <f t="shared" si="21"/>
        <v>1452.39</v>
      </c>
      <c r="P33">
        <f>ROUND((ROUND((AC33*AW33*I33),2)*BC33),2)</f>
        <v>1.74</v>
      </c>
      <c r="Q33">
        <f>(ROUND((ROUND((((ET33*1.1))*AV33*I33),2)*BB33),2)+ROUND((ROUND(((AE33-((EU33*1.1)))*AV33*I33),2)*BS33),2))</f>
        <v>10.46</v>
      </c>
      <c r="R33">
        <f t="shared" si="22"/>
        <v>4.95</v>
      </c>
      <c r="S33">
        <f t="shared" si="23"/>
        <v>1440.19</v>
      </c>
      <c r="T33">
        <f t="shared" si="24"/>
        <v>0</v>
      </c>
      <c r="U33">
        <f t="shared" si="25"/>
        <v>1.6860888000000003</v>
      </c>
      <c r="V33">
        <f t="shared" si="26"/>
        <v>0</v>
      </c>
      <c r="W33">
        <f t="shared" si="27"/>
        <v>0</v>
      </c>
      <c r="X33">
        <f t="shared" si="28"/>
        <v>1300.6300000000001</v>
      </c>
      <c r="Y33">
        <f t="shared" si="29"/>
        <v>664.76</v>
      </c>
      <c r="AA33">
        <v>56511235</v>
      </c>
      <c r="AB33">
        <f t="shared" si="30"/>
        <v>259.30099999999999</v>
      </c>
      <c r="AC33">
        <f t="shared" si="31"/>
        <v>2.44</v>
      </c>
      <c r="AD33">
        <f>ROUND(((((ET33*1.1))-((EU33*1.1)))+AE33),6)</f>
        <v>6.6769999999999996</v>
      </c>
      <c r="AE33">
        <f>ROUND(((EU33*1.1)),6)</f>
        <v>0.83599999999999997</v>
      </c>
      <c r="AF33">
        <f>ROUND(((EV33*1.1)),6)</f>
        <v>250.184</v>
      </c>
      <c r="AG33">
        <f t="shared" si="32"/>
        <v>0</v>
      </c>
      <c r="AH33">
        <f>((EW33*1.1))</f>
        <v>16.104000000000003</v>
      </c>
      <c r="AI33">
        <f>((EX33*1.1))</f>
        <v>0</v>
      </c>
      <c r="AJ33">
        <f t="shared" si="33"/>
        <v>0</v>
      </c>
      <c r="AK33">
        <v>235.95</v>
      </c>
      <c r="AL33">
        <v>2.44</v>
      </c>
      <c r="AM33">
        <v>6.07</v>
      </c>
      <c r="AN33">
        <v>0.76</v>
      </c>
      <c r="AO33">
        <v>227.44</v>
      </c>
      <c r="AP33">
        <v>0</v>
      </c>
      <c r="AQ33">
        <v>14.64</v>
      </c>
      <c r="AR33">
        <v>0</v>
      </c>
      <c r="AS33">
        <v>0</v>
      </c>
      <c r="AT33">
        <v>90</v>
      </c>
      <c r="AU33">
        <v>46</v>
      </c>
      <c r="AV33">
        <v>1.0469999999999999</v>
      </c>
      <c r="AW33">
        <v>1</v>
      </c>
      <c r="AZ33">
        <v>1</v>
      </c>
      <c r="BA33">
        <v>54.99</v>
      </c>
      <c r="BB33">
        <v>14.94</v>
      </c>
      <c r="BC33">
        <v>7.23</v>
      </c>
      <c r="BD33" t="s">
        <v>3</v>
      </c>
      <c r="BE33" t="s">
        <v>3</v>
      </c>
      <c r="BF33" t="s">
        <v>3</v>
      </c>
      <c r="BG33" t="s">
        <v>3</v>
      </c>
      <c r="BH33">
        <v>0</v>
      </c>
      <c r="BI33">
        <v>2</v>
      </c>
      <c r="BJ33" t="s">
        <v>43</v>
      </c>
      <c r="BM33">
        <v>68</v>
      </c>
      <c r="BN33">
        <v>0</v>
      </c>
      <c r="BO33" t="s">
        <v>40</v>
      </c>
      <c r="BP33">
        <v>1</v>
      </c>
      <c r="BQ33">
        <v>40</v>
      </c>
      <c r="BR33">
        <v>0</v>
      </c>
      <c r="BS33">
        <v>54.99</v>
      </c>
      <c r="BT33">
        <v>1</v>
      </c>
      <c r="BU33">
        <v>1</v>
      </c>
      <c r="BV33">
        <v>1</v>
      </c>
      <c r="BW33">
        <v>1</v>
      </c>
      <c r="BX33">
        <v>1</v>
      </c>
      <c r="BY33" t="s">
        <v>3</v>
      </c>
      <c r="BZ33">
        <v>90</v>
      </c>
      <c r="CA33">
        <v>46</v>
      </c>
      <c r="CB33" t="s">
        <v>3</v>
      </c>
      <c r="CE33">
        <v>30</v>
      </c>
      <c r="CF33">
        <v>0</v>
      </c>
      <c r="CG33">
        <v>0</v>
      </c>
      <c r="CM33">
        <v>0</v>
      </c>
      <c r="CN33" t="s">
        <v>3</v>
      </c>
      <c r="CO33">
        <v>0</v>
      </c>
      <c r="CP33">
        <f t="shared" si="34"/>
        <v>1452.39</v>
      </c>
      <c r="CQ33">
        <f>ROUND((ROUND((AC33*AW33*1),2)*BC33),2)</f>
        <v>17.64</v>
      </c>
      <c r="CR33">
        <f>(ROUND((ROUND((((ET33*1.1))*AV33*1),2)*BB33),2)+ROUND((ROUND(((AE33-((EU33*1.1)))*AV33*1),2)*BS33),2))</f>
        <v>104.43</v>
      </c>
      <c r="CS33">
        <f t="shared" si="35"/>
        <v>48.39</v>
      </c>
      <c r="CT33">
        <f t="shared" si="36"/>
        <v>14404.08</v>
      </c>
      <c r="CU33">
        <f t="shared" si="37"/>
        <v>0</v>
      </c>
      <c r="CV33">
        <f t="shared" si="38"/>
        <v>16.860888000000003</v>
      </c>
      <c r="CW33">
        <f t="shared" si="39"/>
        <v>0</v>
      </c>
      <c r="CX33">
        <f t="shared" si="40"/>
        <v>0</v>
      </c>
      <c r="CY33">
        <f t="shared" si="41"/>
        <v>1300.626</v>
      </c>
      <c r="CZ33">
        <f t="shared" si="42"/>
        <v>664.76440000000002</v>
      </c>
      <c r="DC33" t="s">
        <v>3</v>
      </c>
      <c r="DD33" t="s">
        <v>3</v>
      </c>
      <c r="DE33" t="s">
        <v>24</v>
      </c>
      <c r="DF33" t="s">
        <v>24</v>
      </c>
      <c r="DG33" t="s">
        <v>24</v>
      </c>
      <c r="DH33" t="s">
        <v>3</v>
      </c>
      <c r="DI33" t="s">
        <v>24</v>
      </c>
      <c r="DJ33" t="s">
        <v>24</v>
      </c>
      <c r="DK33" t="s">
        <v>3</v>
      </c>
      <c r="DL33" t="s">
        <v>3</v>
      </c>
      <c r="DM33" t="s">
        <v>3</v>
      </c>
      <c r="DN33">
        <v>0</v>
      </c>
      <c r="DO33">
        <v>0</v>
      </c>
      <c r="DP33">
        <v>1</v>
      </c>
      <c r="DQ33">
        <v>1</v>
      </c>
      <c r="DU33">
        <v>1010</v>
      </c>
      <c r="DV33" t="s">
        <v>42</v>
      </c>
      <c r="DW33" t="s">
        <v>42</v>
      </c>
      <c r="DX33">
        <v>10</v>
      </c>
      <c r="DZ33" t="s">
        <v>3</v>
      </c>
      <c r="EA33" t="s">
        <v>3</v>
      </c>
      <c r="EB33" t="s">
        <v>3</v>
      </c>
      <c r="EC33" t="s">
        <v>3</v>
      </c>
      <c r="EE33">
        <v>58162630</v>
      </c>
      <c r="EF33">
        <v>40</v>
      </c>
      <c r="EG33" t="s">
        <v>25</v>
      </c>
      <c r="EH33">
        <v>0</v>
      </c>
      <c r="EI33" t="s">
        <v>3</v>
      </c>
      <c r="EJ33">
        <v>2</v>
      </c>
      <c r="EK33">
        <v>68</v>
      </c>
      <c r="EL33" t="s">
        <v>26</v>
      </c>
      <c r="EM33" t="s">
        <v>27</v>
      </c>
      <c r="EO33" t="s">
        <v>28</v>
      </c>
      <c r="EQ33">
        <v>0</v>
      </c>
      <c r="ER33">
        <v>235.95</v>
      </c>
      <c r="ES33">
        <v>2.44</v>
      </c>
      <c r="ET33">
        <v>6.07</v>
      </c>
      <c r="EU33">
        <v>0.76</v>
      </c>
      <c r="EV33">
        <v>227.44</v>
      </c>
      <c r="EW33">
        <v>14.64</v>
      </c>
      <c r="EX33">
        <v>0</v>
      </c>
      <c r="EY33">
        <v>0</v>
      </c>
      <c r="FQ33">
        <v>0</v>
      </c>
      <c r="FR33">
        <v>0</v>
      </c>
      <c r="FS33">
        <v>0</v>
      </c>
      <c r="FX33">
        <v>90</v>
      </c>
      <c r="FY33">
        <v>46</v>
      </c>
      <c r="GA33" t="s">
        <v>3</v>
      </c>
      <c r="GD33">
        <v>1</v>
      </c>
      <c r="GF33">
        <v>-1147212458</v>
      </c>
      <c r="GG33">
        <v>2</v>
      </c>
      <c r="GH33">
        <v>1</v>
      </c>
      <c r="GI33">
        <v>2</v>
      </c>
      <c r="GJ33">
        <v>0</v>
      </c>
      <c r="GK33">
        <v>0</v>
      </c>
      <c r="GL33">
        <f t="shared" si="43"/>
        <v>0</v>
      </c>
      <c r="GM33">
        <f t="shared" si="44"/>
        <v>3417.78</v>
      </c>
      <c r="GN33">
        <f t="shared" si="45"/>
        <v>0</v>
      </c>
      <c r="GO33">
        <f t="shared" si="46"/>
        <v>3417.78</v>
      </c>
      <c r="GP33">
        <f t="shared" si="47"/>
        <v>0</v>
      </c>
      <c r="GR33">
        <v>0</v>
      </c>
      <c r="GS33">
        <v>3</v>
      </c>
      <c r="GT33">
        <v>0</v>
      </c>
      <c r="GU33" t="s">
        <v>3</v>
      </c>
      <c r="GV33">
        <f t="shared" si="48"/>
        <v>0</v>
      </c>
      <c r="GW33">
        <v>1</v>
      </c>
      <c r="GX33">
        <f t="shared" si="49"/>
        <v>0</v>
      </c>
      <c r="HA33">
        <v>0</v>
      </c>
      <c r="HB33">
        <v>0</v>
      </c>
      <c r="HC33">
        <f t="shared" si="50"/>
        <v>0</v>
      </c>
      <c r="HE33" t="s">
        <v>3</v>
      </c>
      <c r="HF33" t="s">
        <v>3</v>
      </c>
      <c r="HM33" t="s">
        <v>3</v>
      </c>
      <c r="HN33" t="s">
        <v>3</v>
      </c>
      <c r="HO33" t="s">
        <v>3</v>
      </c>
      <c r="HP33" t="s">
        <v>3</v>
      </c>
      <c r="HQ33" t="s">
        <v>3</v>
      </c>
      <c r="HS33">
        <v>0</v>
      </c>
      <c r="IK33">
        <v>0</v>
      </c>
    </row>
    <row r="34" spans="1:255" x14ac:dyDescent="0.3">
      <c r="A34" s="2">
        <v>18</v>
      </c>
      <c r="B34" s="2">
        <v>1</v>
      </c>
      <c r="C34" s="2"/>
      <c r="D34" s="2"/>
      <c r="E34" s="2" t="s">
        <v>44</v>
      </c>
      <c r="F34" s="2" t="s">
        <v>45</v>
      </c>
      <c r="G34" s="2" t="s">
        <v>46</v>
      </c>
      <c r="H34" s="2" t="s">
        <v>32</v>
      </c>
      <c r="I34" s="2">
        <f>I32*J34</f>
        <v>1</v>
      </c>
      <c r="J34" s="2">
        <v>10</v>
      </c>
      <c r="K34" s="2">
        <v>10</v>
      </c>
      <c r="L34" s="2"/>
      <c r="M34" s="2"/>
      <c r="N34" s="2"/>
      <c r="O34" s="2">
        <f t="shared" si="21"/>
        <v>439.99</v>
      </c>
      <c r="P34" s="2">
        <f>ROUND((ROUND((AC34*I34),2)*BC34),2)</f>
        <v>439.99</v>
      </c>
      <c r="Q34" s="2">
        <f>(ROUND((ROUND(((ET34)*AV34*I34),2)*BB34),2)+ROUND((ROUND(((AE34-(EU34))*AV34*I34),2)*BS34),2))</f>
        <v>0</v>
      </c>
      <c r="R34" s="2">
        <f t="shared" si="22"/>
        <v>0</v>
      </c>
      <c r="S34" s="2">
        <f t="shared" si="23"/>
        <v>0</v>
      </c>
      <c r="T34" s="2">
        <f t="shared" si="24"/>
        <v>0</v>
      </c>
      <c r="U34" s="2">
        <f t="shared" si="25"/>
        <v>0</v>
      </c>
      <c r="V34" s="2">
        <f t="shared" si="26"/>
        <v>0</v>
      </c>
      <c r="W34" s="2">
        <f t="shared" si="27"/>
        <v>0</v>
      </c>
      <c r="X34" s="2">
        <f t="shared" si="28"/>
        <v>0</v>
      </c>
      <c r="Y34" s="2">
        <f t="shared" si="29"/>
        <v>0</v>
      </c>
      <c r="Z34" s="2"/>
      <c r="AA34" s="2">
        <v>56511233</v>
      </c>
      <c r="AB34" s="2">
        <f t="shared" si="30"/>
        <v>439.99</v>
      </c>
      <c r="AC34" s="2">
        <f t="shared" si="31"/>
        <v>439.99</v>
      </c>
      <c r="AD34" s="2">
        <f>ROUND((((ET34)-(EU34))+AE34),6)</f>
        <v>0</v>
      </c>
      <c r="AE34" s="2">
        <f>ROUND((EU34),6)</f>
        <v>0</v>
      </c>
      <c r="AF34" s="2">
        <f>ROUND((EV34),6)</f>
        <v>0</v>
      </c>
      <c r="AG34" s="2">
        <f t="shared" si="32"/>
        <v>0</v>
      </c>
      <c r="AH34" s="2">
        <f>(EW34)</f>
        <v>0</v>
      </c>
      <c r="AI34" s="2">
        <f>(EX34)</f>
        <v>0</v>
      </c>
      <c r="AJ34" s="2">
        <f t="shared" si="33"/>
        <v>0</v>
      </c>
      <c r="AK34" s="2">
        <v>439.99000000000007</v>
      </c>
      <c r="AL34" s="2">
        <v>439.99000000000007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1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3</v>
      </c>
      <c r="BI34" s="2">
        <v>3</v>
      </c>
      <c r="BJ34" s="2" t="s">
        <v>3</v>
      </c>
      <c r="BK34" s="2"/>
      <c r="BL34" s="2"/>
      <c r="BM34" s="2">
        <v>746</v>
      </c>
      <c r="BN34" s="2">
        <v>0</v>
      </c>
      <c r="BO34" s="2" t="s">
        <v>3</v>
      </c>
      <c r="BP34" s="2">
        <v>0</v>
      </c>
      <c r="BQ34" s="2">
        <v>130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90</v>
      </c>
      <c r="CA34" s="2">
        <v>46</v>
      </c>
      <c r="CB34" s="2" t="s">
        <v>3</v>
      </c>
      <c r="CC34" s="2"/>
      <c r="CD34" s="2"/>
      <c r="CE34" s="2">
        <v>30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3</v>
      </c>
      <c r="CO34" s="2">
        <v>0</v>
      </c>
      <c r="CP34" s="2">
        <f t="shared" si="34"/>
        <v>439.99</v>
      </c>
      <c r="CQ34" s="2">
        <f>ROUND((ROUND((AC34*1),2)*BC34),2)</f>
        <v>439.99</v>
      </c>
      <c r="CR34" s="2">
        <f>(ROUND((ROUND(((ET34)*AV34*1),2)*BB34),2)+ROUND((ROUND(((AE34-(EU34))*AV34*1),2)*BS34),2))</f>
        <v>0</v>
      </c>
      <c r="CS34" s="2">
        <f t="shared" si="35"/>
        <v>0</v>
      </c>
      <c r="CT34" s="2">
        <f t="shared" si="36"/>
        <v>0</v>
      </c>
      <c r="CU34" s="2">
        <f t="shared" si="37"/>
        <v>0</v>
      </c>
      <c r="CV34" s="2">
        <f t="shared" si="38"/>
        <v>0</v>
      </c>
      <c r="CW34" s="2">
        <f t="shared" si="39"/>
        <v>0</v>
      </c>
      <c r="CX34" s="2">
        <f t="shared" si="40"/>
        <v>0</v>
      </c>
      <c r="CY34" s="2">
        <f t="shared" si="41"/>
        <v>0</v>
      </c>
      <c r="CZ34" s="2">
        <f t="shared" si="42"/>
        <v>0</v>
      </c>
      <c r="DA34" s="2"/>
      <c r="DB34" s="2"/>
      <c r="DC34" s="2" t="s">
        <v>3</v>
      </c>
      <c r="DD34" s="2" t="s">
        <v>3</v>
      </c>
      <c r="DE34" s="2" t="s">
        <v>3</v>
      </c>
      <c r="DF34" s="2" t="s">
        <v>3</v>
      </c>
      <c r="DG34" s="2" t="s">
        <v>3</v>
      </c>
      <c r="DH34" s="2" t="s">
        <v>3</v>
      </c>
      <c r="DI34" s="2" t="s">
        <v>3</v>
      </c>
      <c r="DJ34" s="2" t="s">
        <v>3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1010</v>
      </c>
      <c r="DV34" s="2" t="s">
        <v>32</v>
      </c>
      <c r="DW34" s="2" t="s">
        <v>32</v>
      </c>
      <c r="DX34" s="2">
        <v>1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58162750</v>
      </c>
      <c r="EF34" s="2">
        <v>130</v>
      </c>
      <c r="EG34" s="2" t="s">
        <v>33</v>
      </c>
      <c r="EH34" s="2">
        <v>0</v>
      </c>
      <c r="EI34" s="2" t="s">
        <v>3</v>
      </c>
      <c r="EJ34" s="2">
        <v>3</v>
      </c>
      <c r="EK34" s="2">
        <v>746</v>
      </c>
      <c r="EL34" s="2" t="s">
        <v>34</v>
      </c>
      <c r="EM34" s="2" t="s">
        <v>35</v>
      </c>
      <c r="EN34" s="2"/>
      <c r="EO34" s="2" t="s">
        <v>3</v>
      </c>
      <c r="EP34" s="2"/>
      <c r="EQ34" s="2">
        <v>0</v>
      </c>
      <c r="ER34" s="2">
        <v>0</v>
      </c>
      <c r="ES34" s="2">
        <v>439.99000000000007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f>P34</f>
        <v>439.99</v>
      </c>
      <c r="FS34" s="2">
        <v>0</v>
      </c>
      <c r="FT34" s="2"/>
      <c r="FU34" s="2"/>
      <c r="FV34" s="2"/>
      <c r="FW34" s="2"/>
      <c r="FX34" s="2">
        <v>90</v>
      </c>
      <c r="FY34" s="2">
        <v>46</v>
      </c>
      <c r="FZ34" s="2"/>
      <c r="GA34" s="2" t="s">
        <v>47</v>
      </c>
      <c r="GB34" s="2"/>
      <c r="GC34" s="2"/>
      <c r="GD34" s="2">
        <v>1</v>
      </c>
      <c r="GE34" s="2"/>
      <c r="GF34" s="2">
        <v>-1280061895</v>
      </c>
      <c r="GG34" s="2">
        <v>2</v>
      </c>
      <c r="GH34" s="2">
        <v>4</v>
      </c>
      <c r="GI34" s="2">
        <v>-2</v>
      </c>
      <c r="GJ34" s="2">
        <v>0</v>
      </c>
      <c r="GK34" s="2">
        <v>0</v>
      </c>
      <c r="GL34" s="2">
        <f t="shared" si="43"/>
        <v>0</v>
      </c>
      <c r="GM34" s="2">
        <f t="shared" si="44"/>
        <v>439.99</v>
      </c>
      <c r="GN34" s="2">
        <f t="shared" si="45"/>
        <v>0</v>
      </c>
      <c r="GO34" s="2">
        <f t="shared" si="46"/>
        <v>0</v>
      </c>
      <c r="GP34" s="2">
        <f t="shared" si="47"/>
        <v>0</v>
      </c>
      <c r="GQ34" s="2"/>
      <c r="GR34" s="2">
        <v>0</v>
      </c>
      <c r="GS34" s="2">
        <v>2</v>
      </c>
      <c r="GT34" s="2">
        <v>0</v>
      </c>
      <c r="GU34" s="2" t="s">
        <v>3</v>
      </c>
      <c r="GV34" s="2">
        <f t="shared" si="48"/>
        <v>0</v>
      </c>
      <c r="GW34" s="2">
        <v>1</v>
      </c>
      <c r="GX34" s="2">
        <f t="shared" si="49"/>
        <v>0</v>
      </c>
      <c r="GY34" s="2"/>
      <c r="GZ34" s="2"/>
      <c r="HA34" s="2">
        <v>0</v>
      </c>
      <c r="HB34" s="2">
        <v>0</v>
      </c>
      <c r="HC34" s="2">
        <f t="shared" si="50"/>
        <v>0</v>
      </c>
      <c r="HD34" s="2"/>
      <c r="HE34" s="2" t="s">
        <v>37</v>
      </c>
      <c r="HF34" s="2" t="s">
        <v>38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3">
      <c r="A35">
        <v>18</v>
      </c>
      <c r="B35">
        <v>1</v>
      </c>
      <c r="E35" t="s">
        <v>44</v>
      </c>
      <c r="F35" t="s">
        <v>45</v>
      </c>
      <c r="G35" t="s">
        <v>46</v>
      </c>
      <c r="H35" t="s">
        <v>32</v>
      </c>
      <c r="I35">
        <f>I33*J35</f>
        <v>1</v>
      </c>
      <c r="J35">
        <v>10</v>
      </c>
      <c r="K35">
        <v>10</v>
      </c>
      <c r="O35">
        <f t="shared" si="21"/>
        <v>3370.32</v>
      </c>
      <c r="P35">
        <f>ROUND((ROUND((AC35*I35),2)*BC35),2)</f>
        <v>3370.32</v>
      </c>
      <c r="Q35">
        <f>(ROUND((ROUND(((ET35)*AV35*I35),2)*BB35),2)+ROUND((ROUND(((AE35-(EU35))*AV35*I35),2)*BS35),2))</f>
        <v>0</v>
      </c>
      <c r="R35">
        <f t="shared" si="22"/>
        <v>0</v>
      </c>
      <c r="S35">
        <f t="shared" si="23"/>
        <v>0</v>
      </c>
      <c r="T35">
        <f t="shared" si="24"/>
        <v>0</v>
      </c>
      <c r="U35">
        <f t="shared" si="25"/>
        <v>0</v>
      </c>
      <c r="V35">
        <f t="shared" si="26"/>
        <v>0</v>
      </c>
      <c r="W35">
        <f t="shared" si="27"/>
        <v>0</v>
      </c>
      <c r="X35">
        <f t="shared" si="28"/>
        <v>0</v>
      </c>
      <c r="Y35">
        <f t="shared" si="29"/>
        <v>0</v>
      </c>
      <c r="AA35">
        <v>56511235</v>
      </c>
      <c r="AB35">
        <f t="shared" si="30"/>
        <v>439.99</v>
      </c>
      <c r="AC35">
        <f t="shared" si="31"/>
        <v>439.99</v>
      </c>
      <c r="AD35">
        <f>ROUND((((ET35)-(EU35))+AE35),6)</f>
        <v>0</v>
      </c>
      <c r="AE35">
        <f>ROUND((EU35),6)</f>
        <v>0</v>
      </c>
      <c r="AF35">
        <f>ROUND((EV35),6)</f>
        <v>0</v>
      </c>
      <c r="AG35">
        <f t="shared" si="32"/>
        <v>0</v>
      </c>
      <c r="AH35">
        <f>(EW35)</f>
        <v>0</v>
      </c>
      <c r="AI35">
        <f>(EX35)</f>
        <v>0</v>
      </c>
      <c r="AJ35">
        <f t="shared" si="33"/>
        <v>0</v>
      </c>
      <c r="AK35">
        <v>439.99000000000007</v>
      </c>
      <c r="AL35">
        <v>439.99000000000007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1</v>
      </c>
      <c r="AW35">
        <v>1</v>
      </c>
      <c r="AZ35">
        <v>1</v>
      </c>
      <c r="BA35">
        <v>1</v>
      </c>
      <c r="BB35">
        <v>1</v>
      </c>
      <c r="BC35">
        <v>7.66</v>
      </c>
      <c r="BD35" t="s">
        <v>3</v>
      </c>
      <c r="BE35" t="s">
        <v>3</v>
      </c>
      <c r="BF35" t="s">
        <v>3</v>
      </c>
      <c r="BG35" t="s">
        <v>3</v>
      </c>
      <c r="BH35">
        <v>3</v>
      </c>
      <c r="BI35">
        <v>3</v>
      </c>
      <c r="BJ35" t="s">
        <v>3</v>
      </c>
      <c r="BM35">
        <v>746</v>
      </c>
      <c r="BN35">
        <v>0</v>
      </c>
      <c r="BO35" t="s">
        <v>3</v>
      </c>
      <c r="BP35">
        <v>0</v>
      </c>
      <c r="BQ35">
        <v>130</v>
      </c>
      <c r="BR35">
        <v>0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 t="s">
        <v>3</v>
      </c>
      <c r="BZ35">
        <v>90</v>
      </c>
      <c r="CA35">
        <v>46</v>
      </c>
      <c r="CB35" t="s">
        <v>3</v>
      </c>
      <c r="CE35">
        <v>30</v>
      </c>
      <c r="CF35">
        <v>0</v>
      </c>
      <c r="CG35">
        <v>0</v>
      </c>
      <c r="CM35">
        <v>0</v>
      </c>
      <c r="CN35" t="s">
        <v>3</v>
      </c>
      <c r="CO35">
        <v>0</v>
      </c>
      <c r="CP35">
        <f t="shared" si="34"/>
        <v>3370.32</v>
      </c>
      <c r="CQ35">
        <f>ROUND((ROUND((AC35*1),2)*BC35),2)</f>
        <v>3370.32</v>
      </c>
      <c r="CR35">
        <f>(ROUND((ROUND(((ET35)*AV35*1),2)*BB35),2)+ROUND((ROUND(((AE35-(EU35))*AV35*1),2)*BS35),2))</f>
        <v>0</v>
      </c>
      <c r="CS35">
        <f t="shared" si="35"/>
        <v>0</v>
      </c>
      <c r="CT35">
        <f t="shared" si="36"/>
        <v>0</v>
      </c>
      <c r="CU35">
        <f t="shared" si="37"/>
        <v>0</v>
      </c>
      <c r="CV35">
        <f t="shared" si="38"/>
        <v>0</v>
      </c>
      <c r="CW35">
        <f t="shared" si="39"/>
        <v>0</v>
      </c>
      <c r="CX35">
        <f t="shared" si="40"/>
        <v>0</v>
      </c>
      <c r="CY35">
        <f t="shared" si="41"/>
        <v>0</v>
      </c>
      <c r="CZ35">
        <f t="shared" si="42"/>
        <v>0</v>
      </c>
      <c r="DC35" t="s">
        <v>3</v>
      </c>
      <c r="DD35" t="s">
        <v>3</v>
      </c>
      <c r="DE35" t="s">
        <v>3</v>
      </c>
      <c r="DF35" t="s">
        <v>3</v>
      </c>
      <c r="DG35" t="s">
        <v>3</v>
      </c>
      <c r="DH35" t="s">
        <v>3</v>
      </c>
      <c r="DI35" t="s">
        <v>3</v>
      </c>
      <c r="DJ35" t="s">
        <v>3</v>
      </c>
      <c r="DK35" t="s">
        <v>3</v>
      </c>
      <c r="DL35" t="s">
        <v>3</v>
      </c>
      <c r="DM35" t="s">
        <v>3</v>
      </c>
      <c r="DN35">
        <v>0</v>
      </c>
      <c r="DO35">
        <v>0</v>
      </c>
      <c r="DP35">
        <v>1</v>
      </c>
      <c r="DQ35">
        <v>1</v>
      </c>
      <c r="DU35">
        <v>1010</v>
      </c>
      <c r="DV35" t="s">
        <v>32</v>
      </c>
      <c r="DW35" t="s">
        <v>32</v>
      </c>
      <c r="DX35">
        <v>1</v>
      </c>
      <c r="DZ35" t="s">
        <v>3</v>
      </c>
      <c r="EA35" t="s">
        <v>3</v>
      </c>
      <c r="EB35" t="s">
        <v>3</v>
      </c>
      <c r="EC35" t="s">
        <v>3</v>
      </c>
      <c r="EE35">
        <v>58162750</v>
      </c>
      <c r="EF35">
        <v>130</v>
      </c>
      <c r="EG35" t="s">
        <v>33</v>
      </c>
      <c r="EH35">
        <v>0</v>
      </c>
      <c r="EI35" t="s">
        <v>3</v>
      </c>
      <c r="EJ35">
        <v>3</v>
      </c>
      <c r="EK35">
        <v>746</v>
      </c>
      <c r="EL35" t="s">
        <v>34</v>
      </c>
      <c r="EM35" t="s">
        <v>35</v>
      </c>
      <c r="EO35" t="s">
        <v>3</v>
      </c>
      <c r="EQ35">
        <v>0</v>
      </c>
      <c r="ER35">
        <v>3370.29</v>
      </c>
      <c r="ES35">
        <v>439.99000000000007</v>
      </c>
      <c r="ET35">
        <v>0</v>
      </c>
      <c r="EU35">
        <v>0</v>
      </c>
      <c r="EV35">
        <v>0</v>
      </c>
      <c r="EW35">
        <v>0</v>
      </c>
      <c r="EX35">
        <v>0</v>
      </c>
      <c r="EZ35">
        <v>5</v>
      </c>
      <c r="FC35">
        <v>1</v>
      </c>
      <c r="FD35">
        <v>18</v>
      </c>
      <c r="FF35">
        <v>3880</v>
      </c>
      <c r="FQ35">
        <v>0</v>
      </c>
      <c r="FR35">
        <f>P35</f>
        <v>3370.32</v>
      </c>
      <c r="FS35">
        <v>0</v>
      </c>
      <c r="FX35">
        <v>90</v>
      </c>
      <c r="FY35">
        <v>46</v>
      </c>
      <c r="GA35" t="s">
        <v>47</v>
      </c>
      <c r="GD35">
        <v>1</v>
      </c>
      <c r="GF35">
        <v>-1280061895</v>
      </c>
      <c r="GG35">
        <v>2</v>
      </c>
      <c r="GH35">
        <v>3</v>
      </c>
      <c r="GI35">
        <v>5</v>
      </c>
      <c r="GJ35">
        <v>0</v>
      </c>
      <c r="GK35">
        <v>0</v>
      </c>
      <c r="GL35">
        <f t="shared" si="43"/>
        <v>0</v>
      </c>
      <c r="GM35">
        <f t="shared" si="44"/>
        <v>3370.32</v>
      </c>
      <c r="GN35">
        <f t="shared" si="45"/>
        <v>0</v>
      </c>
      <c r="GO35">
        <f t="shared" si="46"/>
        <v>0</v>
      </c>
      <c r="GP35">
        <f t="shared" si="47"/>
        <v>0</v>
      </c>
      <c r="GR35">
        <v>1</v>
      </c>
      <c r="GS35">
        <v>1</v>
      </c>
      <c r="GT35">
        <v>0</v>
      </c>
      <c r="GU35" t="s">
        <v>3</v>
      </c>
      <c r="GV35">
        <f t="shared" si="48"/>
        <v>0</v>
      </c>
      <c r="GW35">
        <v>1</v>
      </c>
      <c r="GX35">
        <f t="shared" si="49"/>
        <v>0</v>
      </c>
      <c r="HA35">
        <v>0</v>
      </c>
      <c r="HB35">
        <v>0</v>
      </c>
      <c r="HC35">
        <f t="shared" si="50"/>
        <v>0</v>
      </c>
      <c r="HE35" t="s">
        <v>37</v>
      </c>
      <c r="HF35" t="s">
        <v>38</v>
      </c>
      <c r="HM35" t="s">
        <v>3</v>
      </c>
      <c r="HN35" t="s">
        <v>3</v>
      </c>
      <c r="HO35" t="s">
        <v>3</v>
      </c>
      <c r="HP35" t="s">
        <v>3</v>
      </c>
      <c r="HQ35" t="s">
        <v>3</v>
      </c>
      <c r="HS35">
        <v>0</v>
      </c>
      <c r="IK35">
        <v>0</v>
      </c>
    </row>
    <row r="36" spans="1:255" x14ac:dyDescent="0.3">
      <c r="A36" s="2">
        <v>17</v>
      </c>
      <c r="B36" s="2">
        <v>1</v>
      </c>
      <c r="C36" s="2"/>
      <c r="D36" s="2">
        <f>ROW(EtalonRes!A41)</f>
        <v>41</v>
      </c>
      <c r="E36" s="2" t="s">
        <v>37</v>
      </c>
      <c r="F36" s="2" t="s">
        <v>48</v>
      </c>
      <c r="G36" s="2" t="s">
        <v>49</v>
      </c>
      <c r="H36" s="2" t="s">
        <v>22</v>
      </c>
      <c r="I36" s="2">
        <v>1</v>
      </c>
      <c r="J36" s="2">
        <v>0</v>
      </c>
      <c r="K36" s="2">
        <v>1</v>
      </c>
      <c r="L36" s="2"/>
      <c r="M36" s="2"/>
      <c r="N36" s="2"/>
      <c r="O36" s="2">
        <f t="shared" si="21"/>
        <v>70.790000000000006</v>
      </c>
      <c r="P36" s="2">
        <f t="shared" ref="P36:P41" si="51">ROUND((ROUND((AC36*AW36*I36),2)*BC36),2)</f>
        <v>51.03</v>
      </c>
      <c r="Q36" s="2">
        <f>(ROUND((ROUND((((ET36*1.1))*AV36*I36),2)*BB36),2)+ROUND((ROUND(((AE36-((EU36*1.1)))*AV36*I36),2)*BS36),2))</f>
        <v>6.18</v>
      </c>
      <c r="R36" s="2">
        <f t="shared" si="22"/>
        <v>1.42</v>
      </c>
      <c r="S36" s="2">
        <f t="shared" si="23"/>
        <v>13.58</v>
      </c>
      <c r="T36" s="2">
        <f t="shared" si="24"/>
        <v>0</v>
      </c>
      <c r="U36" s="2">
        <f t="shared" si="25"/>
        <v>1.1862510000000002</v>
      </c>
      <c r="V36" s="2">
        <f t="shared" si="26"/>
        <v>0</v>
      </c>
      <c r="W36" s="2">
        <f t="shared" si="27"/>
        <v>0</v>
      </c>
      <c r="X36" s="2">
        <f t="shared" si="28"/>
        <v>13.5</v>
      </c>
      <c r="Y36" s="2">
        <f t="shared" si="29"/>
        <v>6.9</v>
      </c>
      <c r="Z36" s="2"/>
      <c r="AA36" s="2">
        <v>56511233</v>
      </c>
      <c r="AB36" s="2">
        <f t="shared" si="30"/>
        <v>69.906000000000006</v>
      </c>
      <c r="AC36" s="2">
        <f t="shared" si="31"/>
        <v>51.03</v>
      </c>
      <c r="AD36" s="2">
        <f>ROUND(((((ET36*1.1))-((EU36*1.1)))+AE36),6)</f>
        <v>5.907</v>
      </c>
      <c r="AE36" s="2">
        <f>ROUND(((EU36*1.1)),6)</f>
        <v>1.353</v>
      </c>
      <c r="AF36" s="2">
        <f>ROUND(((EV36*1.1)),6)</f>
        <v>12.968999999999999</v>
      </c>
      <c r="AG36" s="2">
        <f t="shared" si="32"/>
        <v>0</v>
      </c>
      <c r="AH36" s="2">
        <f>((EW36*1.1))</f>
        <v>1.1330000000000002</v>
      </c>
      <c r="AI36" s="2">
        <f>((EX36*1.1))</f>
        <v>0</v>
      </c>
      <c r="AJ36" s="2">
        <f t="shared" si="33"/>
        <v>0</v>
      </c>
      <c r="AK36" s="2">
        <v>68.19</v>
      </c>
      <c r="AL36" s="2">
        <v>51.03</v>
      </c>
      <c r="AM36" s="2">
        <v>5.37</v>
      </c>
      <c r="AN36" s="2">
        <v>1.23</v>
      </c>
      <c r="AO36" s="2">
        <v>11.79</v>
      </c>
      <c r="AP36" s="2">
        <v>0</v>
      </c>
      <c r="AQ36" s="2">
        <v>1.03</v>
      </c>
      <c r="AR36" s="2">
        <v>0</v>
      </c>
      <c r="AS36" s="2">
        <v>0</v>
      </c>
      <c r="AT36" s="2">
        <v>90</v>
      </c>
      <c r="AU36" s="2">
        <v>46</v>
      </c>
      <c r="AV36" s="2">
        <v>1.0469999999999999</v>
      </c>
      <c r="AW36" s="2">
        <v>1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0</v>
      </c>
      <c r="BI36" s="2">
        <v>2</v>
      </c>
      <c r="BJ36" s="2" t="s">
        <v>50</v>
      </c>
      <c r="BK36" s="2"/>
      <c r="BL36" s="2"/>
      <c r="BM36" s="2">
        <v>72</v>
      </c>
      <c r="BN36" s="2">
        <v>0</v>
      </c>
      <c r="BO36" s="2" t="s">
        <v>48</v>
      </c>
      <c r="BP36" s="2">
        <v>1</v>
      </c>
      <c r="BQ36" s="2">
        <v>40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90</v>
      </c>
      <c r="CA36" s="2">
        <v>46</v>
      </c>
      <c r="CB36" s="2" t="s">
        <v>3</v>
      </c>
      <c r="CC36" s="2"/>
      <c r="CD36" s="2"/>
      <c r="CE36" s="2">
        <v>30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3</v>
      </c>
      <c r="CO36" s="2">
        <v>0</v>
      </c>
      <c r="CP36" s="2">
        <f t="shared" si="34"/>
        <v>70.790000000000006</v>
      </c>
      <c r="CQ36" s="2">
        <f t="shared" ref="CQ36:CQ41" si="52">ROUND((ROUND((AC36*AW36*1),2)*BC36),2)</f>
        <v>51.03</v>
      </c>
      <c r="CR36" s="2">
        <f>(ROUND((ROUND((((ET36*1.1))*AV36*1),2)*BB36),2)+ROUND((ROUND(((AE36-((EU36*1.1)))*AV36*1),2)*BS36),2))</f>
        <v>6.18</v>
      </c>
      <c r="CS36" s="2">
        <f t="shared" si="35"/>
        <v>1.42</v>
      </c>
      <c r="CT36" s="2">
        <f t="shared" si="36"/>
        <v>13.58</v>
      </c>
      <c r="CU36" s="2">
        <f t="shared" si="37"/>
        <v>0</v>
      </c>
      <c r="CV36" s="2">
        <f t="shared" si="38"/>
        <v>1.1862510000000002</v>
      </c>
      <c r="CW36" s="2">
        <f t="shared" si="39"/>
        <v>0</v>
      </c>
      <c r="CX36" s="2">
        <f t="shared" si="40"/>
        <v>0</v>
      </c>
      <c r="CY36" s="2">
        <f t="shared" si="41"/>
        <v>13.5</v>
      </c>
      <c r="CZ36" s="2">
        <f t="shared" si="42"/>
        <v>6.9</v>
      </c>
      <c r="DA36" s="2"/>
      <c r="DB36" s="2"/>
      <c r="DC36" s="2" t="s">
        <v>3</v>
      </c>
      <c r="DD36" s="2" t="s">
        <v>3</v>
      </c>
      <c r="DE36" s="2" t="s">
        <v>24</v>
      </c>
      <c r="DF36" s="2" t="s">
        <v>24</v>
      </c>
      <c r="DG36" s="2" t="s">
        <v>24</v>
      </c>
      <c r="DH36" s="2" t="s">
        <v>3</v>
      </c>
      <c r="DI36" s="2" t="s">
        <v>24</v>
      </c>
      <c r="DJ36" s="2" t="s">
        <v>24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>
        <v>1013</v>
      </c>
      <c r="DV36" s="2" t="s">
        <v>22</v>
      </c>
      <c r="DW36" s="2" t="s">
        <v>22</v>
      </c>
      <c r="DX36" s="2">
        <v>1</v>
      </c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58162634</v>
      </c>
      <c r="EF36" s="2">
        <v>40</v>
      </c>
      <c r="EG36" s="2" t="s">
        <v>25</v>
      </c>
      <c r="EH36" s="2">
        <v>0</v>
      </c>
      <c r="EI36" s="2" t="s">
        <v>3</v>
      </c>
      <c r="EJ36" s="2">
        <v>2</v>
      </c>
      <c r="EK36" s="2">
        <v>72</v>
      </c>
      <c r="EL36" s="2" t="s">
        <v>51</v>
      </c>
      <c r="EM36" s="2" t="s">
        <v>52</v>
      </c>
      <c r="EN36" s="2"/>
      <c r="EO36" s="2" t="s">
        <v>28</v>
      </c>
      <c r="EP36" s="2"/>
      <c r="EQ36" s="2">
        <v>0</v>
      </c>
      <c r="ER36" s="2">
        <v>68.19</v>
      </c>
      <c r="ES36" s="2">
        <v>51.03</v>
      </c>
      <c r="ET36" s="2">
        <v>5.37</v>
      </c>
      <c r="EU36" s="2">
        <v>1.23</v>
      </c>
      <c r="EV36" s="2">
        <v>11.79</v>
      </c>
      <c r="EW36" s="2">
        <v>1.03</v>
      </c>
      <c r="EX36" s="2">
        <v>0</v>
      </c>
      <c r="EY36" s="2">
        <v>0</v>
      </c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v>0</v>
      </c>
      <c r="FS36" s="2">
        <v>0</v>
      </c>
      <c r="FT36" s="2"/>
      <c r="FU36" s="2"/>
      <c r="FV36" s="2"/>
      <c r="FW36" s="2"/>
      <c r="FX36" s="2">
        <v>90</v>
      </c>
      <c r="FY36" s="2">
        <v>46</v>
      </c>
      <c r="FZ36" s="2"/>
      <c r="GA36" s="2" t="s">
        <v>3</v>
      </c>
      <c r="GB36" s="2"/>
      <c r="GC36" s="2"/>
      <c r="GD36" s="2">
        <v>1</v>
      </c>
      <c r="GE36" s="2"/>
      <c r="GF36" s="2">
        <v>-167093633</v>
      </c>
      <c r="GG36" s="2">
        <v>2</v>
      </c>
      <c r="GH36" s="2">
        <v>1</v>
      </c>
      <c r="GI36" s="2">
        <v>2</v>
      </c>
      <c r="GJ36" s="2">
        <v>0</v>
      </c>
      <c r="GK36" s="2">
        <v>0</v>
      </c>
      <c r="GL36" s="2">
        <f t="shared" si="43"/>
        <v>0</v>
      </c>
      <c r="GM36" s="2">
        <f t="shared" si="44"/>
        <v>91.19</v>
      </c>
      <c r="GN36" s="2">
        <f t="shared" si="45"/>
        <v>0</v>
      </c>
      <c r="GO36" s="2">
        <f t="shared" si="46"/>
        <v>91.19</v>
      </c>
      <c r="GP36" s="2">
        <f t="shared" si="47"/>
        <v>0</v>
      </c>
      <c r="GQ36" s="2"/>
      <c r="GR36" s="2">
        <v>0</v>
      </c>
      <c r="GS36" s="2">
        <v>3</v>
      </c>
      <c r="GT36" s="2">
        <v>0</v>
      </c>
      <c r="GU36" s="2" t="s">
        <v>3</v>
      </c>
      <c r="GV36" s="2">
        <f t="shared" si="48"/>
        <v>0</v>
      </c>
      <c r="GW36" s="2">
        <v>1</v>
      </c>
      <c r="GX36" s="2">
        <f t="shared" si="49"/>
        <v>0</v>
      </c>
      <c r="GY36" s="2"/>
      <c r="GZ36" s="2"/>
      <c r="HA36" s="2">
        <v>0</v>
      </c>
      <c r="HB36" s="2">
        <v>0</v>
      </c>
      <c r="HC36" s="2">
        <f t="shared" si="50"/>
        <v>0</v>
      </c>
      <c r="HD36" s="2"/>
      <c r="HE36" s="2" t="s">
        <v>3</v>
      </c>
      <c r="HF36" s="2" t="s">
        <v>3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x14ac:dyDescent="0.3">
      <c r="A37">
        <v>17</v>
      </c>
      <c r="B37">
        <v>1</v>
      </c>
      <c r="D37">
        <f>ROW(EtalonRes!A58)</f>
        <v>58</v>
      </c>
      <c r="E37" t="s">
        <v>37</v>
      </c>
      <c r="F37" t="s">
        <v>48</v>
      </c>
      <c r="G37" t="s">
        <v>49</v>
      </c>
      <c r="H37" t="s">
        <v>22</v>
      </c>
      <c r="I37">
        <v>1</v>
      </c>
      <c r="J37">
        <v>0</v>
      </c>
      <c r="K37">
        <v>1</v>
      </c>
      <c r="O37">
        <f t="shared" si="21"/>
        <v>1388.11</v>
      </c>
      <c r="P37">
        <f t="shared" si="51"/>
        <v>509.28</v>
      </c>
      <c r="Q37">
        <f>(ROUND((ROUND((((ET37*1.1))*AV37*I37),2)*BB37),2)+ROUND((ROUND(((AE37-((EU37*1.1)))*AV37*I37),2)*BS37),2))</f>
        <v>132.07</v>
      </c>
      <c r="R37">
        <f t="shared" si="22"/>
        <v>78.09</v>
      </c>
      <c r="S37">
        <f t="shared" si="23"/>
        <v>746.76</v>
      </c>
      <c r="T37">
        <f t="shared" si="24"/>
        <v>0</v>
      </c>
      <c r="U37">
        <f t="shared" si="25"/>
        <v>1.1862510000000002</v>
      </c>
      <c r="V37">
        <f t="shared" si="26"/>
        <v>0</v>
      </c>
      <c r="W37">
        <f t="shared" si="27"/>
        <v>0</v>
      </c>
      <c r="X37">
        <f t="shared" si="28"/>
        <v>742.37</v>
      </c>
      <c r="Y37">
        <f t="shared" si="29"/>
        <v>379.43</v>
      </c>
      <c r="AA37">
        <v>56511235</v>
      </c>
      <c r="AB37">
        <f t="shared" si="30"/>
        <v>69.906000000000006</v>
      </c>
      <c r="AC37">
        <f t="shared" si="31"/>
        <v>51.03</v>
      </c>
      <c r="AD37">
        <f>ROUND(((((ET37*1.1))-((EU37*1.1)))+AE37),6)</f>
        <v>5.907</v>
      </c>
      <c r="AE37">
        <f>ROUND(((EU37*1.1)),6)</f>
        <v>1.353</v>
      </c>
      <c r="AF37">
        <f>ROUND(((EV37*1.1)),6)</f>
        <v>12.968999999999999</v>
      </c>
      <c r="AG37">
        <f t="shared" si="32"/>
        <v>0</v>
      </c>
      <c r="AH37">
        <f>((EW37*1.1))</f>
        <v>1.1330000000000002</v>
      </c>
      <c r="AI37">
        <f>((EX37*1.1))</f>
        <v>0</v>
      </c>
      <c r="AJ37">
        <f t="shared" si="33"/>
        <v>0</v>
      </c>
      <c r="AK37">
        <v>68.19</v>
      </c>
      <c r="AL37">
        <v>51.03</v>
      </c>
      <c r="AM37">
        <v>5.37</v>
      </c>
      <c r="AN37">
        <v>1.23</v>
      </c>
      <c r="AO37">
        <v>11.79</v>
      </c>
      <c r="AP37">
        <v>0</v>
      </c>
      <c r="AQ37">
        <v>1.03</v>
      </c>
      <c r="AR37">
        <v>0</v>
      </c>
      <c r="AS37">
        <v>0</v>
      </c>
      <c r="AT37">
        <v>90</v>
      </c>
      <c r="AU37">
        <v>46</v>
      </c>
      <c r="AV37">
        <v>1.0469999999999999</v>
      </c>
      <c r="AW37">
        <v>1</v>
      </c>
      <c r="AZ37">
        <v>1</v>
      </c>
      <c r="BA37">
        <v>54.99</v>
      </c>
      <c r="BB37">
        <v>21.37</v>
      </c>
      <c r="BC37">
        <v>9.98</v>
      </c>
      <c r="BD37" t="s">
        <v>3</v>
      </c>
      <c r="BE37" t="s">
        <v>3</v>
      </c>
      <c r="BF37" t="s">
        <v>3</v>
      </c>
      <c r="BG37" t="s">
        <v>3</v>
      </c>
      <c r="BH37">
        <v>0</v>
      </c>
      <c r="BI37">
        <v>2</v>
      </c>
      <c r="BJ37" t="s">
        <v>50</v>
      </c>
      <c r="BM37">
        <v>72</v>
      </c>
      <c r="BN37">
        <v>0</v>
      </c>
      <c r="BO37" t="s">
        <v>48</v>
      </c>
      <c r="BP37">
        <v>1</v>
      </c>
      <c r="BQ37">
        <v>40</v>
      </c>
      <c r="BR37">
        <v>0</v>
      </c>
      <c r="BS37">
        <v>54.99</v>
      </c>
      <c r="BT37">
        <v>1</v>
      </c>
      <c r="BU37">
        <v>1</v>
      </c>
      <c r="BV37">
        <v>1</v>
      </c>
      <c r="BW37">
        <v>1</v>
      </c>
      <c r="BX37">
        <v>1</v>
      </c>
      <c r="BY37" t="s">
        <v>3</v>
      </c>
      <c r="BZ37">
        <v>90</v>
      </c>
      <c r="CA37">
        <v>46</v>
      </c>
      <c r="CB37" t="s">
        <v>3</v>
      </c>
      <c r="CE37">
        <v>30</v>
      </c>
      <c r="CF37">
        <v>0</v>
      </c>
      <c r="CG37">
        <v>0</v>
      </c>
      <c r="CM37">
        <v>0</v>
      </c>
      <c r="CN37" t="s">
        <v>3</v>
      </c>
      <c r="CO37">
        <v>0</v>
      </c>
      <c r="CP37">
        <f t="shared" si="34"/>
        <v>1388.11</v>
      </c>
      <c r="CQ37">
        <f t="shared" si="52"/>
        <v>509.28</v>
      </c>
      <c r="CR37">
        <f>(ROUND((ROUND((((ET37*1.1))*AV37*1),2)*BB37),2)+ROUND((ROUND(((AE37-((EU37*1.1)))*AV37*1),2)*BS37),2))</f>
        <v>132.07</v>
      </c>
      <c r="CS37">
        <f t="shared" si="35"/>
        <v>78.09</v>
      </c>
      <c r="CT37">
        <f t="shared" si="36"/>
        <v>746.76</v>
      </c>
      <c r="CU37">
        <f t="shared" si="37"/>
        <v>0</v>
      </c>
      <c r="CV37">
        <f t="shared" si="38"/>
        <v>1.1862510000000002</v>
      </c>
      <c r="CW37">
        <f t="shared" si="39"/>
        <v>0</v>
      </c>
      <c r="CX37">
        <f t="shared" si="40"/>
        <v>0</v>
      </c>
      <c r="CY37">
        <f t="shared" si="41"/>
        <v>742.36500000000001</v>
      </c>
      <c r="CZ37">
        <f t="shared" si="42"/>
        <v>379.43099999999998</v>
      </c>
      <c r="DC37" t="s">
        <v>3</v>
      </c>
      <c r="DD37" t="s">
        <v>3</v>
      </c>
      <c r="DE37" t="s">
        <v>24</v>
      </c>
      <c r="DF37" t="s">
        <v>24</v>
      </c>
      <c r="DG37" t="s">
        <v>24</v>
      </c>
      <c r="DH37" t="s">
        <v>3</v>
      </c>
      <c r="DI37" t="s">
        <v>24</v>
      </c>
      <c r="DJ37" t="s">
        <v>24</v>
      </c>
      <c r="DK37" t="s">
        <v>3</v>
      </c>
      <c r="DL37" t="s">
        <v>3</v>
      </c>
      <c r="DM37" t="s">
        <v>3</v>
      </c>
      <c r="DN37">
        <v>0</v>
      </c>
      <c r="DO37">
        <v>0</v>
      </c>
      <c r="DP37">
        <v>1</v>
      </c>
      <c r="DQ37">
        <v>1</v>
      </c>
      <c r="DU37">
        <v>1013</v>
      </c>
      <c r="DV37" t="s">
        <v>22</v>
      </c>
      <c r="DW37" t="s">
        <v>22</v>
      </c>
      <c r="DX37">
        <v>1</v>
      </c>
      <c r="DZ37" t="s">
        <v>3</v>
      </c>
      <c r="EA37" t="s">
        <v>3</v>
      </c>
      <c r="EB37" t="s">
        <v>3</v>
      </c>
      <c r="EC37" t="s">
        <v>3</v>
      </c>
      <c r="EE37">
        <v>58162634</v>
      </c>
      <c r="EF37">
        <v>40</v>
      </c>
      <c r="EG37" t="s">
        <v>25</v>
      </c>
      <c r="EH37">
        <v>0</v>
      </c>
      <c r="EI37" t="s">
        <v>3</v>
      </c>
      <c r="EJ37">
        <v>2</v>
      </c>
      <c r="EK37">
        <v>72</v>
      </c>
      <c r="EL37" t="s">
        <v>51</v>
      </c>
      <c r="EM37" t="s">
        <v>52</v>
      </c>
      <c r="EO37" t="s">
        <v>28</v>
      </c>
      <c r="EQ37">
        <v>0</v>
      </c>
      <c r="ER37">
        <v>68.19</v>
      </c>
      <c r="ES37">
        <v>51.03</v>
      </c>
      <c r="ET37">
        <v>5.37</v>
      </c>
      <c r="EU37">
        <v>1.23</v>
      </c>
      <c r="EV37">
        <v>11.79</v>
      </c>
      <c r="EW37">
        <v>1.03</v>
      </c>
      <c r="EX37">
        <v>0</v>
      </c>
      <c r="EY37">
        <v>0</v>
      </c>
      <c r="FQ37">
        <v>0</v>
      </c>
      <c r="FR37">
        <v>0</v>
      </c>
      <c r="FS37">
        <v>0</v>
      </c>
      <c r="FX37">
        <v>90</v>
      </c>
      <c r="FY37">
        <v>46</v>
      </c>
      <c r="GA37" t="s">
        <v>3</v>
      </c>
      <c r="GD37">
        <v>1</v>
      </c>
      <c r="GF37">
        <v>-167093633</v>
      </c>
      <c r="GG37">
        <v>2</v>
      </c>
      <c r="GH37">
        <v>1</v>
      </c>
      <c r="GI37">
        <v>2</v>
      </c>
      <c r="GJ37">
        <v>0</v>
      </c>
      <c r="GK37">
        <v>0</v>
      </c>
      <c r="GL37">
        <f t="shared" si="43"/>
        <v>0</v>
      </c>
      <c r="GM37">
        <f t="shared" si="44"/>
        <v>2509.91</v>
      </c>
      <c r="GN37">
        <f t="shared" si="45"/>
        <v>0</v>
      </c>
      <c r="GO37">
        <f t="shared" si="46"/>
        <v>2509.91</v>
      </c>
      <c r="GP37">
        <f t="shared" si="47"/>
        <v>0</v>
      </c>
      <c r="GR37">
        <v>0</v>
      </c>
      <c r="GS37">
        <v>3</v>
      </c>
      <c r="GT37">
        <v>0</v>
      </c>
      <c r="GU37" t="s">
        <v>3</v>
      </c>
      <c r="GV37">
        <f t="shared" si="48"/>
        <v>0</v>
      </c>
      <c r="GW37">
        <v>1</v>
      </c>
      <c r="GX37">
        <f t="shared" si="49"/>
        <v>0</v>
      </c>
      <c r="HA37">
        <v>0</v>
      </c>
      <c r="HB37">
        <v>0</v>
      </c>
      <c r="HC37">
        <f t="shared" si="50"/>
        <v>0</v>
      </c>
      <c r="HE37" t="s">
        <v>3</v>
      </c>
      <c r="HF37" t="s">
        <v>3</v>
      </c>
      <c r="HM37" t="s">
        <v>3</v>
      </c>
      <c r="HN37" t="s">
        <v>3</v>
      </c>
      <c r="HO37" t="s">
        <v>3</v>
      </c>
      <c r="HP37" t="s">
        <v>3</v>
      </c>
      <c r="HQ37" t="s">
        <v>3</v>
      </c>
      <c r="HS37">
        <v>0</v>
      </c>
      <c r="IK37">
        <v>0</v>
      </c>
    </row>
    <row r="38" spans="1:255" x14ac:dyDescent="0.3">
      <c r="A38" s="2">
        <v>18</v>
      </c>
      <c r="B38" s="2">
        <v>1</v>
      </c>
      <c r="C38" s="2"/>
      <c r="D38" s="2"/>
      <c r="E38" s="2" t="s">
        <v>53</v>
      </c>
      <c r="F38" s="2" t="s">
        <v>54</v>
      </c>
      <c r="G38" s="2" t="s">
        <v>55</v>
      </c>
      <c r="H38" s="2" t="s">
        <v>32</v>
      </c>
      <c r="I38" s="2">
        <f>I36*J38</f>
        <v>1</v>
      </c>
      <c r="J38" s="2">
        <v>1</v>
      </c>
      <c r="K38" s="2">
        <v>1</v>
      </c>
      <c r="L38" s="2"/>
      <c r="M38" s="2"/>
      <c r="N38" s="2"/>
      <c r="O38" s="2">
        <f t="shared" si="21"/>
        <v>546.29999999999995</v>
      </c>
      <c r="P38" s="2">
        <f t="shared" si="51"/>
        <v>546.29999999999995</v>
      </c>
      <c r="Q38" s="2">
        <f>(ROUND((ROUND(((ET38)*AV38*I38),2)*BB38),2)+ROUND((ROUND(((AE38-(EU38))*AV38*I38),2)*BS38),2))</f>
        <v>0</v>
      </c>
      <c r="R38" s="2">
        <f t="shared" si="22"/>
        <v>0</v>
      </c>
      <c r="S38" s="2">
        <f t="shared" si="23"/>
        <v>0</v>
      </c>
      <c r="T38" s="2">
        <f t="shared" si="24"/>
        <v>0</v>
      </c>
      <c r="U38" s="2">
        <f t="shared" si="25"/>
        <v>0</v>
      </c>
      <c r="V38" s="2">
        <f t="shared" si="26"/>
        <v>0</v>
      </c>
      <c r="W38" s="2">
        <f t="shared" si="27"/>
        <v>0</v>
      </c>
      <c r="X38" s="2">
        <f t="shared" si="28"/>
        <v>0</v>
      </c>
      <c r="Y38" s="2">
        <f t="shared" si="29"/>
        <v>0</v>
      </c>
      <c r="Z38" s="2"/>
      <c r="AA38" s="2">
        <v>56511233</v>
      </c>
      <c r="AB38" s="2">
        <f t="shared" si="30"/>
        <v>546.29999999999995</v>
      </c>
      <c r="AC38" s="2">
        <f t="shared" si="31"/>
        <v>546.29999999999995</v>
      </c>
      <c r="AD38" s="2">
        <f>ROUND((((ET38)-(EU38))+AE38),6)</f>
        <v>0</v>
      </c>
      <c r="AE38" s="2">
        <f>ROUND((EU38),6)</f>
        <v>0</v>
      </c>
      <c r="AF38" s="2">
        <f>ROUND((EV38),6)</f>
        <v>0</v>
      </c>
      <c r="AG38" s="2">
        <f t="shared" si="32"/>
        <v>0</v>
      </c>
      <c r="AH38" s="2">
        <f>(EW38)</f>
        <v>0</v>
      </c>
      <c r="AI38" s="2">
        <f>(EX38)</f>
        <v>0</v>
      </c>
      <c r="AJ38" s="2">
        <f t="shared" si="33"/>
        <v>0</v>
      </c>
      <c r="AK38" s="2">
        <v>546.30000000000007</v>
      </c>
      <c r="AL38" s="2">
        <v>546.30000000000007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90</v>
      </c>
      <c r="AU38" s="2">
        <v>46</v>
      </c>
      <c r="AV38" s="2">
        <v>1</v>
      </c>
      <c r="AW38" s="2">
        <v>1</v>
      </c>
      <c r="AX38" s="2"/>
      <c r="AY38" s="2"/>
      <c r="AZ38" s="2">
        <v>1</v>
      </c>
      <c r="BA38" s="2">
        <v>1</v>
      </c>
      <c r="BB38" s="2">
        <v>1</v>
      </c>
      <c r="BC38" s="2">
        <v>1</v>
      </c>
      <c r="BD38" s="2" t="s">
        <v>3</v>
      </c>
      <c r="BE38" s="2" t="s">
        <v>3</v>
      </c>
      <c r="BF38" s="2" t="s">
        <v>3</v>
      </c>
      <c r="BG38" s="2" t="s">
        <v>3</v>
      </c>
      <c r="BH38" s="2">
        <v>3</v>
      </c>
      <c r="BI38" s="2">
        <v>2</v>
      </c>
      <c r="BJ38" s="2" t="s">
        <v>3</v>
      </c>
      <c r="BK38" s="2"/>
      <c r="BL38" s="2"/>
      <c r="BM38" s="2">
        <v>72</v>
      </c>
      <c r="BN38" s="2">
        <v>0</v>
      </c>
      <c r="BO38" s="2" t="s">
        <v>3</v>
      </c>
      <c r="BP38" s="2">
        <v>0</v>
      </c>
      <c r="BQ38" s="2">
        <v>40</v>
      </c>
      <c r="BR38" s="2">
        <v>0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 t="s">
        <v>3</v>
      </c>
      <c r="BZ38" s="2">
        <v>90</v>
      </c>
      <c r="CA38" s="2">
        <v>46</v>
      </c>
      <c r="CB38" s="2" t="s">
        <v>3</v>
      </c>
      <c r="CC38" s="2"/>
      <c r="CD38" s="2"/>
      <c r="CE38" s="2">
        <v>30</v>
      </c>
      <c r="CF38" s="2">
        <v>0</v>
      </c>
      <c r="CG38" s="2">
        <v>0</v>
      </c>
      <c r="CH38" s="2"/>
      <c r="CI38" s="2"/>
      <c r="CJ38" s="2"/>
      <c r="CK38" s="2"/>
      <c r="CL38" s="2"/>
      <c r="CM38" s="2">
        <v>0</v>
      </c>
      <c r="CN38" s="2" t="s">
        <v>3</v>
      </c>
      <c r="CO38" s="2">
        <v>0</v>
      </c>
      <c r="CP38" s="2">
        <f t="shared" si="34"/>
        <v>546.29999999999995</v>
      </c>
      <c r="CQ38" s="2">
        <f t="shared" si="52"/>
        <v>546.29999999999995</v>
      </c>
      <c r="CR38" s="2">
        <f>(ROUND((ROUND(((ET38)*AV38*1),2)*BB38),2)+ROUND((ROUND(((AE38-(EU38))*AV38*1),2)*BS38),2))</f>
        <v>0</v>
      </c>
      <c r="CS38" s="2">
        <f t="shared" si="35"/>
        <v>0</v>
      </c>
      <c r="CT38" s="2">
        <f t="shared" si="36"/>
        <v>0</v>
      </c>
      <c r="CU38" s="2">
        <f t="shared" si="37"/>
        <v>0</v>
      </c>
      <c r="CV38" s="2">
        <f t="shared" si="38"/>
        <v>0</v>
      </c>
      <c r="CW38" s="2">
        <f t="shared" si="39"/>
        <v>0</v>
      </c>
      <c r="CX38" s="2">
        <f t="shared" si="40"/>
        <v>0</v>
      </c>
      <c r="CY38" s="2">
        <f t="shared" si="41"/>
        <v>0</v>
      </c>
      <c r="CZ38" s="2">
        <f t="shared" si="42"/>
        <v>0</v>
      </c>
      <c r="DA38" s="2"/>
      <c r="DB38" s="2"/>
      <c r="DC38" s="2" t="s">
        <v>3</v>
      </c>
      <c r="DD38" s="2" t="s">
        <v>3</v>
      </c>
      <c r="DE38" s="2" t="s">
        <v>3</v>
      </c>
      <c r="DF38" s="2" t="s">
        <v>3</v>
      </c>
      <c r="DG38" s="2" t="s">
        <v>3</v>
      </c>
      <c r="DH38" s="2" t="s">
        <v>3</v>
      </c>
      <c r="DI38" s="2" t="s">
        <v>3</v>
      </c>
      <c r="DJ38" s="2" t="s">
        <v>3</v>
      </c>
      <c r="DK38" s="2" t="s">
        <v>3</v>
      </c>
      <c r="DL38" s="2" t="s">
        <v>3</v>
      </c>
      <c r="DM38" s="2" t="s">
        <v>3</v>
      </c>
      <c r="DN38" s="2">
        <v>0</v>
      </c>
      <c r="DO38" s="2">
        <v>0</v>
      </c>
      <c r="DP38" s="2">
        <v>1</v>
      </c>
      <c r="DQ38" s="2">
        <v>1</v>
      </c>
      <c r="DR38" s="2"/>
      <c r="DS38" s="2"/>
      <c r="DT38" s="2"/>
      <c r="DU38" s="2">
        <v>1010</v>
      </c>
      <c r="DV38" s="2" t="s">
        <v>32</v>
      </c>
      <c r="DW38" s="2" t="s">
        <v>32</v>
      </c>
      <c r="DX38" s="2">
        <v>1</v>
      </c>
      <c r="DY38" s="2"/>
      <c r="DZ38" s="2" t="s">
        <v>3</v>
      </c>
      <c r="EA38" s="2" t="s">
        <v>3</v>
      </c>
      <c r="EB38" s="2" t="s">
        <v>3</v>
      </c>
      <c r="EC38" s="2" t="s">
        <v>3</v>
      </c>
      <c r="ED38" s="2"/>
      <c r="EE38" s="2">
        <v>58162634</v>
      </c>
      <c r="EF38" s="2">
        <v>40</v>
      </c>
      <c r="EG38" s="2" t="s">
        <v>25</v>
      </c>
      <c r="EH38" s="2">
        <v>0</v>
      </c>
      <c r="EI38" s="2" t="s">
        <v>3</v>
      </c>
      <c r="EJ38" s="2">
        <v>2</v>
      </c>
      <c r="EK38" s="2">
        <v>72</v>
      </c>
      <c r="EL38" s="2" t="s">
        <v>51</v>
      </c>
      <c r="EM38" s="2" t="s">
        <v>52</v>
      </c>
      <c r="EN38" s="2"/>
      <c r="EO38" s="2" t="s">
        <v>3</v>
      </c>
      <c r="EP38" s="2"/>
      <c r="EQ38" s="2">
        <v>0</v>
      </c>
      <c r="ER38" s="2">
        <v>0</v>
      </c>
      <c r="ES38" s="2">
        <v>546.30000000000007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>
        <v>0</v>
      </c>
      <c r="FR38" s="2">
        <v>0</v>
      </c>
      <c r="FS38" s="2">
        <v>0</v>
      </c>
      <c r="FT38" s="2"/>
      <c r="FU38" s="2"/>
      <c r="FV38" s="2"/>
      <c r="FW38" s="2"/>
      <c r="FX38" s="2">
        <v>90</v>
      </c>
      <c r="FY38" s="2">
        <v>46</v>
      </c>
      <c r="FZ38" s="2"/>
      <c r="GA38" s="2" t="s">
        <v>56</v>
      </c>
      <c r="GB38" s="2"/>
      <c r="GC38" s="2"/>
      <c r="GD38" s="2">
        <v>1</v>
      </c>
      <c r="GE38" s="2"/>
      <c r="GF38" s="2">
        <v>-149574411</v>
      </c>
      <c r="GG38" s="2">
        <v>2</v>
      </c>
      <c r="GH38" s="2">
        <v>4</v>
      </c>
      <c r="GI38" s="2">
        <v>-2</v>
      </c>
      <c r="GJ38" s="2">
        <v>0</v>
      </c>
      <c r="GK38" s="2">
        <v>0</v>
      </c>
      <c r="GL38" s="2">
        <f t="shared" si="43"/>
        <v>0</v>
      </c>
      <c r="GM38" s="2">
        <f t="shared" si="44"/>
        <v>546.29999999999995</v>
      </c>
      <c r="GN38" s="2">
        <f t="shared" si="45"/>
        <v>0</v>
      </c>
      <c r="GO38" s="2">
        <f t="shared" si="46"/>
        <v>546.29999999999995</v>
      </c>
      <c r="GP38" s="2">
        <f t="shared" si="47"/>
        <v>0</v>
      </c>
      <c r="GQ38" s="2"/>
      <c r="GR38" s="2">
        <v>0</v>
      </c>
      <c r="GS38" s="2">
        <v>2</v>
      </c>
      <c r="GT38" s="2">
        <v>0</v>
      </c>
      <c r="GU38" s="2" t="s">
        <v>3</v>
      </c>
      <c r="GV38" s="2">
        <f t="shared" si="48"/>
        <v>0</v>
      </c>
      <c r="GW38" s="2">
        <v>1</v>
      </c>
      <c r="GX38" s="2">
        <f t="shared" si="49"/>
        <v>0</v>
      </c>
      <c r="GY38" s="2"/>
      <c r="GZ38" s="2"/>
      <c r="HA38" s="2">
        <v>0</v>
      </c>
      <c r="HB38" s="2">
        <v>0</v>
      </c>
      <c r="HC38" s="2">
        <f t="shared" si="50"/>
        <v>0</v>
      </c>
      <c r="HD38" s="2"/>
      <c r="HE38" s="2" t="s">
        <v>57</v>
      </c>
      <c r="HF38" s="2" t="s">
        <v>39</v>
      </c>
      <c r="HG38" s="2"/>
      <c r="HH38" s="2"/>
      <c r="HI38" s="2"/>
      <c r="HJ38" s="2"/>
      <c r="HK38" s="2"/>
      <c r="HL38" s="2"/>
      <c r="HM38" s="2" t="s">
        <v>3</v>
      </c>
      <c r="HN38" s="2" t="s">
        <v>3</v>
      </c>
      <c r="HO38" s="2" t="s">
        <v>3</v>
      </c>
      <c r="HP38" s="2" t="s">
        <v>3</v>
      </c>
      <c r="HQ38" s="2" t="s">
        <v>3</v>
      </c>
      <c r="HR38" s="2"/>
      <c r="HS38" s="2">
        <v>0</v>
      </c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spans="1:255" x14ac:dyDescent="0.3">
      <c r="A39">
        <v>18</v>
      </c>
      <c r="B39">
        <v>1</v>
      </c>
      <c r="E39" t="s">
        <v>53</v>
      </c>
      <c r="F39" t="s">
        <v>54</v>
      </c>
      <c r="G39" t="s">
        <v>55</v>
      </c>
      <c r="H39" t="s">
        <v>32</v>
      </c>
      <c r="I39">
        <f>I37*J39</f>
        <v>1</v>
      </c>
      <c r="J39">
        <v>1</v>
      </c>
      <c r="K39">
        <v>1</v>
      </c>
      <c r="O39">
        <f t="shared" si="21"/>
        <v>5397.44</v>
      </c>
      <c r="P39">
        <f t="shared" si="51"/>
        <v>5397.44</v>
      </c>
      <c r="Q39">
        <f>(ROUND((ROUND(((ET39)*AV39*I39),2)*BB39),2)+ROUND((ROUND(((AE39-(EU39))*AV39*I39),2)*BS39),2))</f>
        <v>0</v>
      </c>
      <c r="R39">
        <f t="shared" si="22"/>
        <v>0</v>
      </c>
      <c r="S39">
        <f t="shared" si="23"/>
        <v>0</v>
      </c>
      <c r="T39">
        <f t="shared" si="24"/>
        <v>0</v>
      </c>
      <c r="U39">
        <f t="shared" si="25"/>
        <v>0</v>
      </c>
      <c r="V39">
        <f t="shared" si="26"/>
        <v>0</v>
      </c>
      <c r="W39">
        <f t="shared" si="27"/>
        <v>0</v>
      </c>
      <c r="X39">
        <f t="shared" si="28"/>
        <v>0</v>
      </c>
      <c r="Y39">
        <f t="shared" si="29"/>
        <v>0</v>
      </c>
      <c r="AA39">
        <v>56511235</v>
      </c>
      <c r="AB39">
        <f t="shared" si="30"/>
        <v>546.29999999999995</v>
      </c>
      <c r="AC39">
        <f t="shared" si="31"/>
        <v>546.29999999999995</v>
      </c>
      <c r="AD39">
        <f>ROUND((((ET39)-(EU39))+AE39),6)</f>
        <v>0</v>
      </c>
      <c r="AE39">
        <f>ROUND((EU39),6)</f>
        <v>0</v>
      </c>
      <c r="AF39">
        <f>ROUND((EV39),6)</f>
        <v>0</v>
      </c>
      <c r="AG39">
        <f t="shared" si="32"/>
        <v>0</v>
      </c>
      <c r="AH39">
        <f>(EW39)</f>
        <v>0</v>
      </c>
      <c r="AI39">
        <f>(EX39)</f>
        <v>0</v>
      </c>
      <c r="AJ39">
        <f t="shared" si="33"/>
        <v>0</v>
      </c>
      <c r="AK39">
        <v>546.30000000000007</v>
      </c>
      <c r="AL39">
        <v>546.30000000000007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90</v>
      </c>
      <c r="AU39">
        <v>46</v>
      </c>
      <c r="AV39">
        <v>1</v>
      </c>
      <c r="AW39">
        <v>1</v>
      </c>
      <c r="AZ39">
        <v>1</v>
      </c>
      <c r="BA39">
        <v>1</v>
      </c>
      <c r="BB39">
        <v>1</v>
      </c>
      <c r="BC39">
        <v>9.8800000000000008</v>
      </c>
      <c r="BD39" t="s">
        <v>3</v>
      </c>
      <c r="BE39" t="s">
        <v>3</v>
      </c>
      <c r="BF39" t="s">
        <v>3</v>
      </c>
      <c r="BG39" t="s">
        <v>3</v>
      </c>
      <c r="BH39">
        <v>3</v>
      </c>
      <c r="BI39">
        <v>2</v>
      </c>
      <c r="BJ39" t="s">
        <v>3</v>
      </c>
      <c r="BM39">
        <v>72</v>
      </c>
      <c r="BN39">
        <v>0</v>
      </c>
      <c r="BO39" t="s">
        <v>3</v>
      </c>
      <c r="BP39">
        <v>0</v>
      </c>
      <c r="BQ39">
        <v>40</v>
      </c>
      <c r="BR39">
        <v>0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 t="s">
        <v>3</v>
      </c>
      <c r="BZ39">
        <v>90</v>
      </c>
      <c r="CA39">
        <v>46</v>
      </c>
      <c r="CB39" t="s">
        <v>3</v>
      </c>
      <c r="CE39">
        <v>30</v>
      </c>
      <c r="CF39">
        <v>0</v>
      </c>
      <c r="CG39">
        <v>0</v>
      </c>
      <c r="CM39">
        <v>0</v>
      </c>
      <c r="CN39" t="s">
        <v>3</v>
      </c>
      <c r="CO39">
        <v>0</v>
      </c>
      <c r="CP39">
        <f t="shared" si="34"/>
        <v>5397.44</v>
      </c>
      <c r="CQ39">
        <f t="shared" si="52"/>
        <v>5397.44</v>
      </c>
      <c r="CR39">
        <f>(ROUND((ROUND(((ET39)*AV39*1),2)*BB39),2)+ROUND((ROUND(((AE39-(EU39))*AV39*1),2)*BS39),2))</f>
        <v>0</v>
      </c>
      <c r="CS39">
        <f t="shared" si="35"/>
        <v>0</v>
      </c>
      <c r="CT39">
        <f t="shared" si="36"/>
        <v>0</v>
      </c>
      <c r="CU39">
        <f t="shared" si="37"/>
        <v>0</v>
      </c>
      <c r="CV39">
        <f t="shared" si="38"/>
        <v>0</v>
      </c>
      <c r="CW39">
        <f t="shared" si="39"/>
        <v>0</v>
      </c>
      <c r="CX39">
        <f t="shared" si="40"/>
        <v>0</v>
      </c>
      <c r="CY39">
        <f t="shared" si="41"/>
        <v>0</v>
      </c>
      <c r="CZ39">
        <f t="shared" si="42"/>
        <v>0</v>
      </c>
      <c r="DC39" t="s">
        <v>3</v>
      </c>
      <c r="DD39" t="s">
        <v>3</v>
      </c>
      <c r="DE39" t="s">
        <v>3</v>
      </c>
      <c r="DF39" t="s">
        <v>3</v>
      </c>
      <c r="DG39" t="s">
        <v>3</v>
      </c>
      <c r="DH39" t="s">
        <v>3</v>
      </c>
      <c r="DI39" t="s">
        <v>3</v>
      </c>
      <c r="DJ39" t="s">
        <v>3</v>
      </c>
      <c r="DK39" t="s">
        <v>3</v>
      </c>
      <c r="DL39" t="s">
        <v>3</v>
      </c>
      <c r="DM39" t="s">
        <v>3</v>
      </c>
      <c r="DN39">
        <v>0</v>
      </c>
      <c r="DO39">
        <v>0</v>
      </c>
      <c r="DP39">
        <v>1</v>
      </c>
      <c r="DQ39">
        <v>1</v>
      </c>
      <c r="DU39">
        <v>1010</v>
      </c>
      <c r="DV39" t="s">
        <v>32</v>
      </c>
      <c r="DW39" t="s">
        <v>32</v>
      </c>
      <c r="DX39">
        <v>1</v>
      </c>
      <c r="DZ39" t="s">
        <v>3</v>
      </c>
      <c r="EA39" t="s">
        <v>3</v>
      </c>
      <c r="EB39" t="s">
        <v>3</v>
      </c>
      <c r="EC39" t="s">
        <v>3</v>
      </c>
      <c r="EE39">
        <v>58162634</v>
      </c>
      <c r="EF39">
        <v>40</v>
      </c>
      <c r="EG39" t="s">
        <v>25</v>
      </c>
      <c r="EH39">
        <v>0</v>
      </c>
      <c r="EI39" t="s">
        <v>3</v>
      </c>
      <c r="EJ39">
        <v>2</v>
      </c>
      <c r="EK39">
        <v>72</v>
      </c>
      <c r="EL39" t="s">
        <v>51</v>
      </c>
      <c r="EM39" t="s">
        <v>52</v>
      </c>
      <c r="EO39" t="s">
        <v>3</v>
      </c>
      <c r="EQ39">
        <v>0</v>
      </c>
      <c r="ER39">
        <v>5397.5</v>
      </c>
      <c r="ES39">
        <v>546.30000000000007</v>
      </c>
      <c r="ET39">
        <v>0</v>
      </c>
      <c r="EU39">
        <v>0</v>
      </c>
      <c r="EV39">
        <v>0</v>
      </c>
      <c r="EW39">
        <v>0</v>
      </c>
      <c r="EX39">
        <v>0</v>
      </c>
      <c r="EZ39">
        <v>5</v>
      </c>
      <c r="FC39">
        <v>1</v>
      </c>
      <c r="FD39">
        <v>18</v>
      </c>
      <c r="FF39">
        <v>6350</v>
      </c>
      <c r="FQ39">
        <v>0</v>
      </c>
      <c r="FR39">
        <v>0</v>
      </c>
      <c r="FS39">
        <v>0</v>
      </c>
      <c r="FX39">
        <v>90</v>
      </c>
      <c r="FY39">
        <v>46</v>
      </c>
      <c r="GA39" t="s">
        <v>56</v>
      </c>
      <c r="GD39">
        <v>1</v>
      </c>
      <c r="GF39">
        <v>-149574411</v>
      </c>
      <c r="GG39">
        <v>2</v>
      </c>
      <c r="GH39">
        <v>3</v>
      </c>
      <c r="GI39">
        <v>5</v>
      </c>
      <c r="GJ39">
        <v>0</v>
      </c>
      <c r="GK39">
        <v>0</v>
      </c>
      <c r="GL39">
        <f t="shared" si="43"/>
        <v>0</v>
      </c>
      <c r="GM39">
        <f t="shared" si="44"/>
        <v>5397.44</v>
      </c>
      <c r="GN39">
        <f t="shared" si="45"/>
        <v>0</v>
      </c>
      <c r="GO39">
        <f t="shared" si="46"/>
        <v>5397.44</v>
      </c>
      <c r="GP39">
        <f t="shared" si="47"/>
        <v>0</v>
      </c>
      <c r="GR39">
        <v>1</v>
      </c>
      <c r="GS39">
        <v>1</v>
      </c>
      <c r="GT39">
        <v>0</v>
      </c>
      <c r="GU39" t="s">
        <v>3</v>
      </c>
      <c r="GV39">
        <f t="shared" si="48"/>
        <v>0</v>
      </c>
      <c r="GW39">
        <v>1</v>
      </c>
      <c r="GX39">
        <f t="shared" si="49"/>
        <v>0</v>
      </c>
      <c r="HA39">
        <v>0</v>
      </c>
      <c r="HB39">
        <v>0</v>
      </c>
      <c r="HC39">
        <f t="shared" si="50"/>
        <v>0</v>
      </c>
      <c r="HE39" t="s">
        <v>57</v>
      </c>
      <c r="HF39" t="s">
        <v>39</v>
      </c>
      <c r="HM39" t="s">
        <v>3</v>
      </c>
      <c r="HN39" t="s">
        <v>3</v>
      </c>
      <c r="HO39" t="s">
        <v>3</v>
      </c>
      <c r="HP39" t="s">
        <v>3</v>
      </c>
      <c r="HQ39" t="s">
        <v>3</v>
      </c>
      <c r="HS39">
        <v>0</v>
      </c>
      <c r="IK39">
        <v>0</v>
      </c>
    </row>
    <row r="40" spans="1:255" x14ac:dyDescent="0.3">
      <c r="A40" s="2">
        <v>17</v>
      </c>
      <c r="B40" s="2">
        <v>1</v>
      </c>
      <c r="C40" s="2"/>
      <c r="D40" s="2">
        <f>ROW(EtalonRes!A59)</f>
        <v>59</v>
      </c>
      <c r="E40" s="2" t="s">
        <v>58</v>
      </c>
      <c r="F40" s="2" t="s">
        <v>59</v>
      </c>
      <c r="G40" s="2" t="s">
        <v>60</v>
      </c>
      <c r="H40" s="2" t="s">
        <v>22</v>
      </c>
      <c r="I40" s="2">
        <v>1</v>
      </c>
      <c r="J40" s="2">
        <v>0</v>
      </c>
      <c r="K40" s="2">
        <v>1</v>
      </c>
      <c r="L40" s="2"/>
      <c r="M40" s="2"/>
      <c r="N40" s="2"/>
      <c r="O40" s="2">
        <f t="shared" si="21"/>
        <v>365.83</v>
      </c>
      <c r="P40" s="2">
        <f t="shared" si="51"/>
        <v>17</v>
      </c>
      <c r="Q40" s="2">
        <f>(ROUND((ROUND((((ET40*1.1))*AV40*I40),2)*BB40),2)+ROUND((ROUND(((AE40-((EU40*1.1)))*AV40*I40),2)*BS40),2))</f>
        <v>0</v>
      </c>
      <c r="R40" s="2">
        <f t="shared" si="22"/>
        <v>0</v>
      </c>
      <c r="S40" s="2">
        <f t="shared" si="23"/>
        <v>348.83</v>
      </c>
      <c r="T40" s="2">
        <f t="shared" si="24"/>
        <v>0</v>
      </c>
      <c r="U40" s="2">
        <f t="shared" si="25"/>
        <v>27.640799999999999</v>
      </c>
      <c r="V40" s="2">
        <f t="shared" si="26"/>
        <v>0</v>
      </c>
      <c r="W40" s="2">
        <f t="shared" si="27"/>
        <v>0</v>
      </c>
      <c r="X40" s="2">
        <f t="shared" si="28"/>
        <v>313.95</v>
      </c>
      <c r="Y40" s="2">
        <f t="shared" si="29"/>
        <v>160.46</v>
      </c>
      <c r="Z40" s="2"/>
      <c r="AA40" s="2">
        <v>56511233</v>
      </c>
      <c r="AB40" s="2">
        <f t="shared" si="30"/>
        <v>350.16800000000001</v>
      </c>
      <c r="AC40" s="2">
        <f t="shared" si="31"/>
        <v>17</v>
      </c>
      <c r="AD40" s="2">
        <f>ROUND(((((ET40*1.1))-((EU40*1.1)))+AE40),6)</f>
        <v>0</v>
      </c>
      <c r="AE40" s="2">
        <f>ROUND(((EU40*1.1)),6)</f>
        <v>0</v>
      </c>
      <c r="AF40" s="2">
        <f>ROUND(((EV40*1.1)),6)</f>
        <v>333.16800000000001</v>
      </c>
      <c r="AG40" s="2">
        <f t="shared" si="32"/>
        <v>0</v>
      </c>
      <c r="AH40" s="2">
        <f>((EW40*1.1))</f>
        <v>26.400000000000002</v>
      </c>
      <c r="AI40" s="2">
        <f>((EX40*1.1))</f>
        <v>0</v>
      </c>
      <c r="AJ40" s="2">
        <f t="shared" si="33"/>
        <v>0</v>
      </c>
      <c r="AK40" s="2">
        <v>319.88</v>
      </c>
      <c r="AL40" s="2">
        <v>17</v>
      </c>
      <c r="AM40" s="2">
        <v>0</v>
      </c>
      <c r="AN40" s="2">
        <v>0</v>
      </c>
      <c r="AO40" s="2">
        <v>302.88</v>
      </c>
      <c r="AP40" s="2">
        <v>0</v>
      </c>
      <c r="AQ40" s="2">
        <v>24</v>
      </c>
      <c r="AR40" s="2">
        <v>0</v>
      </c>
      <c r="AS40" s="2">
        <v>0</v>
      </c>
      <c r="AT40" s="2">
        <v>90</v>
      </c>
      <c r="AU40" s="2">
        <v>46</v>
      </c>
      <c r="AV40" s="2">
        <v>1.0469999999999999</v>
      </c>
      <c r="AW40" s="2">
        <v>1</v>
      </c>
      <c r="AX40" s="2"/>
      <c r="AY40" s="2"/>
      <c r="AZ40" s="2">
        <v>1</v>
      </c>
      <c r="BA40" s="2">
        <v>1</v>
      </c>
      <c r="BB40" s="2">
        <v>1</v>
      </c>
      <c r="BC40" s="2">
        <v>1</v>
      </c>
      <c r="BD40" s="2" t="s">
        <v>3</v>
      </c>
      <c r="BE40" s="2" t="s">
        <v>3</v>
      </c>
      <c r="BF40" s="2" t="s">
        <v>3</v>
      </c>
      <c r="BG40" s="2" t="s">
        <v>3</v>
      </c>
      <c r="BH40" s="2">
        <v>0</v>
      </c>
      <c r="BI40" s="2">
        <v>2</v>
      </c>
      <c r="BJ40" s="2" t="s">
        <v>61</v>
      </c>
      <c r="BK40" s="2"/>
      <c r="BL40" s="2"/>
      <c r="BM40" s="2">
        <v>68</v>
      </c>
      <c r="BN40" s="2">
        <v>0</v>
      </c>
      <c r="BO40" s="2" t="s">
        <v>59</v>
      </c>
      <c r="BP40" s="2">
        <v>1</v>
      </c>
      <c r="BQ40" s="2">
        <v>40</v>
      </c>
      <c r="BR40" s="2">
        <v>0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 t="s">
        <v>3</v>
      </c>
      <c r="BZ40" s="2">
        <v>90</v>
      </c>
      <c r="CA40" s="2">
        <v>46</v>
      </c>
      <c r="CB40" s="2" t="s">
        <v>3</v>
      </c>
      <c r="CC40" s="2"/>
      <c r="CD40" s="2"/>
      <c r="CE40" s="2">
        <v>30</v>
      </c>
      <c r="CF40" s="2">
        <v>0</v>
      </c>
      <c r="CG40" s="2">
        <v>0</v>
      </c>
      <c r="CH40" s="2"/>
      <c r="CI40" s="2"/>
      <c r="CJ40" s="2"/>
      <c r="CK40" s="2"/>
      <c r="CL40" s="2"/>
      <c r="CM40" s="2">
        <v>0</v>
      </c>
      <c r="CN40" s="2" t="s">
        <v>3</v>
      </c>
      <c r="CO40" s="2">
        <v>0</v>
      </c>
      <c r="CP40" s="2">
        <f t="shared" si="34"/>
        <v>365.83</v>
      </c>
      <c r="CQ40" s="2">
        <f t="shared" si="52"/>
        <v>17</v>
      </c>
      <c r="CR40" s="2">
        <f>(ROUND((ROUND((((ET40*1.1))*AV40*1),2)*BB40),2)+ROUND((ROUND(((AE40-((EU40*1.1)))*AV40*1),2)*BS40),2))</f>
        <v>0</v>
      </c>
      <c r="CS40" s="2">
        <f t="shared" si="35"/>
        <v>0</v>
      </c>
      <c r="CT40" s="2">
        <f t="shared" si="36"/>
        <v>348.83</v>
      </c>
      <c r="CU40" s="2">
        <f t="shared" si="37"/>
        <v>0</v>
      </c>
      <c r="CV40" s="2">
        <f t="shared" si="38"/>
        <v>27.640799999999999</v>
      </c>
      <c r="CW40" s="2">
        <f t="shared" si="39"/>
        <v>0</v>
      </c>
      <c r="CX40" s="2">
        <f t="shared" si="40"/>
        <v>0</v>
      </c>
      <c r="CY40" s="2">
        <f t="shared" si="41"/>
        <v>313.94699999999995</v>
      </c>
      <c r="CZ40" s="2">
        <f t="shared" si="42"/>
        <v>160.46179999999998</v>
      </c>
      <c r="DA40" s="2"/>
      <c r="DB40" s="2"/>
      <c r="DC40" s="2" t="s">
        <v>3</v>
      </c>
      <c r="DD40" s="2" t="s">
        <v>3</v>
      </c>
      <c r="DE40" s="2" t="s">
        <v>24</v>
      </c>
      <c r="DF40" s="2" t="s">
        <v>24</v>
      </c>
      <c r="DG40" s="2" t="s">
        <v>24</v>
      </c>
      <c r="DH40" s="2" t="s">
        <v>3</v>
      </c>
      <c r="DI40" s="2" t="s">
        <v>24</v>
      </c>
      <c r="DJ40" s="2" t="s">
        <v>24</v>
      </c>
      <c r="DK40" s="2" t="s">
        <v>3</v>
      </c>
      <c r="DL40" s="2" t="s">
        <v>3</v>
      </c>
      <c r="DM40" s="2" t="s">
        <v>3</v>
      </c>
      <c r="DN40" s="2">
        <v>0</v>
      </c>
      <c r="DO40" s="2">
        <v>0</v>
      </c>
      <c r="DP40" s="2">
        <v>1</v>
      </c>
      <c r="DQ40" s="2">
        <v>1</v>
      </c>
      <c r="DR40" s="2"/>
      <c r="DS40" s="2"/>
      <c r="DT40" s="2"/>
      <c r="DU40" s="2">
        <v>1013</v>
      </c>
      <c r="DV40" s="2" t="s">
        <v>22</v>
      </c>
      <c r="DW40" s="2" t="s">
        <v>22</v>
      </c>
      <c r="DX40" s="2">
        <v>1</v>
      </c>
      <c r="DY40" s="2"/>
      <c r="DZ40" s="2" t="s">
        <v>3</v>
      </c>
      <c r="EA40" s="2" t="s">
        <v>3</v>
      </c>
      <c r="EB40" s="2" t="s">
        <v>3</v>
      </c>
      <c r="EC40" s="2" t="s">
        <v>3</v>
      </c>
      <c r="ED40" s="2"/>
      <c r="EE40" s="2">
        <v>58162630</v>
      </c>
      <c r="EF40" s="2">
        <v>40</v>
      </c>
      <c r="EG40" s="2" t="s">
        <v>25</v>
      </c>
      <c r="EH40" s="2">
        <v>0</v>
      </c>
      <c r="EI40" s="2" t="s">
        <v>3</v>
      </c>
      <c r="EJ40" s="2">
        <v>2</v>
      </c>
      <c r="EK40" s="2">
        <v>68</v>
      </c>
      <c r="EL40" s="2" t="s">
        <v>26</v>
      </c>
      <c r="EM40" s="2" t="s">
        <v>27</v>
      </c>
      <c r="EN40" s="2"/>
      <c r="EO40" s="2" t="s">
        <v>28</v>
      </c>
      <c r="EP40" s="2"/>
      <c r="EQ40" s="2">
        <v>0</v>
      </c>
      <c r="ER40" s="2">
        <v>319.88</v>
      </c>
      <c r="ES40" s="2">
        <v>17</v>
      </c>
      <c r="ET40" s="2">
        <v>0</v>
      </c>
      <c r="EU40" s="2">
        <v>0</v>
      </c>
      <c r="EV40" s="2">
        <v>302.88</v>
      </c>
      <c r="EW40" s="2">
        <v>24</v>
      </c>
      <c r="EX40" s="2">
        <v>0</v>
      </c>
      <c r="EY40" s="2">
        <v>0</v>
      </c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>
        <v>0</v>
      </c>
      <c r="FR40" s="2">
        <v>0</v>
      </c>
      <c r="FS40" s="2">
        <v>0</v>
      </c>
      <c r="FT40" s="2"/>
      <c r="FU40" s="2"/>
      <c r="FV40" s="2"/>
      <c r="FW40" s="2"/>
      <c r="FX40" s="2">
        <v>90</v>
      </c>
      <c r="FY40" s="2">
        <v>46</v>
      </c>
      <c r="FZ40" s="2"/>
      <c r="GA40" s="2" t="s">
        <v>3</v>
      </c>
      <c r="GB40" s="2"/>
      <c r="GC40" s="2"/>
      <c r="GD40" s="2">
        <v>1</v>
      </c>
      <c r="GE40" s="2"/>
      <c r="GF40" s="2">
        <v>-1788126512</v>
      </c>
      <c r="GG40" s="2">
        <v>2</v>
      </c>
      <c r="GH40" s="2">
        <v>1</v>
      </c>
      <c r="GI40" s="2">
        <v>2</v>
      </c>
      <c r="GJ40" s="2">
        <v>0</v>
      </c>
      <c r="GK40" s="2">
        <v>0</v>
      </c>
      <c r="GL40" s="2">
        <f t="shared" si="43"/>
        <v>0</v>
      </c>
      <c r="GM40" s="2">
        <f t="shared" si="44"/>
        <v>840.24</v>
      </c>
      <c r="GN40" s="2">
        <f t="shared" si="45"/>
        <v>0</v>
      </c>
      <c r="GO40" s="2">
        <f t="shared" si="46"/>
        <v>840.24</v>
      </c>
      <c r="GP40" s="2">
        <f t="shared" si="47"/>
        <v>0</v>
      </c>
      <c r="GQ40" s="2"/>
      <c r="GR40" s="2">
        <v>0</v>
      </c>
      <c r="GS40" s="2">
        <v>3</v>
      </c>
      <c r="GT40" s="2">
        <v>0</v>
      </c>
      <c r="GU40" s="2" t="s">
        <v>3</v>
      </c>
      <c r="GV40" s="2">
        <f t="shared" si="48"/>
        <v>0</v>
      </c>
      <c r="GW40" s="2">
        <v>1</v>
      </c>
      <c r="GX40" s="2">
        <f t="shared" si="49"/>
        <v>0</v>
      </c>
      <c r="GY40" s="2"/>
      <c r="GZ40" s="2"/>
      <c r="HA40" s="2">
        <v>0</v>
      </c>
      <c r="HB40" s="2">
        <v>0</v>
      </c>
      <c r="HC40" s="2">
        <f t="shared" si="50"/>
        <v>0</v>
      </c>
      <c r="HD40" s="2"/>
      <c r="HE40" s="2" t="s">
        <v>3</v>
      </c>
      <c r="HF40" s="2" t="s">
        <v>3</v>
      </c>
      <c r="HG40" s="2"/>
      <c r="HH40" s="2"/>
      <c r="HI40" s="2"/>
      <c r="HJ40" s="2"/>
      <c r="HK40" s="2"/>
      <c r="HL40" s="2"/>
      <c r="HM40" s="2" t="s">
        <v>3</v>
      </c>
      <c r="HN40" s="2" t="s">
        <v>3</v>
      </c>
      <c r="HO40" s="2" t="s">
        <v>3</v>
      </c>
      <c r="HP40" s="2" t="s">
        <v>3</v>
      </c>
      <c r="HQ40" s="2" t="s">
        <v>3</v>
      </c>
      <c r="HR40" s="2"/>
      <c r="HS40" s="2">
        <v>0</v>
      </c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>
        <v>0</v>
      </c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x14ac:dyDescent="0.3">
      <c r="A41">
        <v>17</v>
      </c>
      <c r="B41">
        <v>1</v>
      </c>
      <c r="D41">
        <f>ROW(EtalonRes!A60)</f>
        <v>60</v>
      </c>
      <c r="E41" t="s">
        <v>58</v>
      </c>
      <c r="F41" t="s">
        <v>59</v>
      </c>
      <c r="G41" t="s">
        <v>60</v>
      </c>
      <c r="H41" t="s">
        <v>22</v>
      </c>
      <c r="I41">
        <v>1</v>
      </c>
      <c r="J41">
        <v>0</v>
      </c>
      <c r="K41">
        <v>1</v>
      </c>
      <c r="O41">
        <f t="shared" si="21"/>
        <v>19350.29</v>
      </c>
      <c r="P41">
        <f t="shared" si="51"/>
        <v>168.13</v>
      </c>
      <c r="Q41">
        <f>(ROUND((ROUND((((ET41*1.1))*AV41*I41),2)*BB41),2)+ROUND((ROUND(((AE41-((EU41*1.1)))*AV41*I41),2)*BS41),2))</f>
        <v>0</v>
      </c>
      <c r="R41">
        <f t="shared" si="22"/>
        <v>0</v>
      </c>
      <c r="S41">
        <f t="shared" si="23"/>
        <v>19182.16</v>
      </c>
      <c r="T41">
        <f t="shared" si="24"/>
        <v>0</v>
      </c>
      <c r="U41">
        <f t="shared" si="25"/>
        <v>27.640799999999999</v>
      </c>
      <c r="V41">
        <f t="shared" si="26"/>
        <v>0</v>
      </c>
      <c r="W41">
        <f t="shared" si="27"/>
        <v>0</v>
      </c>
      <c r="X41">
        <f t="shared" si="28"/>
        <v>17263.939999999999</v>
      </c>
      <c r="Y41">
        <f t="shared" si="29"/>
        <v>8823.7900000000009</v>
      </c>
      <c r="AA41">
        <v>56511235</v>
      </c>
      <c r="AB41">
        <f t="shared" si="30"/>
        <v>350.16800000000001</v>
      </c>
      <c r="AC41">
        <f t="shared" si="31"/>
        <v>17</v>
      </c>
      <c r="AD41">
        <f>ROUND(((((ET41*1.1))-((EU41*1.1)))+AE41),6)</f>
        <v>0</v>
      </c>
      <c r="AE41">
        <f>ROUND(((EU41*1.1)),6)</f>
        <v>0</v>
      </c>
      <c r="AF41">
        <f>ROUND(((EV41*1.1)),6)</f>
        <v>333.16800000000001</v>
      </c>
      <c r="AG41">
        <f t="shared" si="32"/>
        <v>0</v>
      </c>
      <c r="AH41">
        <f>((EW41*1.1))</f>
        <v>26.400000000000002</v>
      </c>
      <c r="AI41">
        <f>((EX41*1.1))</f>
        <v>0</v>
      </c>
      <c r="AJ41">
        <f t="shared" si="33"/>
        <v>0</v>
      </c>
      <c r="AK41">
        <v>319.88</v>
      </c>
      <c r="AL41">
        <v>17</v>
      </c>
      <c r="AM41">
        <v>0</v>
      </c>
      <c r="AN41">
        <v>0</v>
      </c>
      <c r="AO41">
        <v>302.88</v>
      </c>
      <c r="AP41">
        <v>0</v>
      </c>
      <c r="AQ41">
        <v>24</v>
      </c>
      <c r="AR41">
        <v>0</v>
      </c>
      <c r="AS41">
        <v>0</v>
      </c>
      <c r="AT41">
        <v>90</v>
      </c>
      <c r="AU41">
        <v>46</v>
      </c>
      <c r="AV41">
        <v>1.0469999999999999</v>
      </c>
      <c r="AW41">
        <v>1</v>
      </c>
      <c r="AZ41">
        <v>1</v>
      </c>
      <c r="BA41">
        <v>54.99</v>
      </c>
      <c r="BB41">
        <v>1</v>
      </c>
      <c r="BC41">
        <v>9.89</v>
      </c>
      <c r="BD41" t="s">
        <v>3</v>
      </c>
      <c r="BE41" t="s">
        <v>3</v>
      </c>
      <c r="BF41" t="s">
        <v>3</v>
      </c>
      <c r="BG41" t="s">
        <v>3</v>
      </c>
      <c r="BH41">
        <v>0</v>
      </c>
      <c r="BI41">
        <v>2</v>
      </c>
      <c r="BJ41" t="s">
        <v>61</v>
      </c>
      <c r="BM41">
        <v>68</v>
      </c>
      <c r="BN41">
        <v>0</v>
      </c>
      <c r="BO41" t="s">
        <v>59</v>
      </c>
      <c r="BP41">
        <v>1</v>
      </c>
      <c r="BQ41">
        <v>40</v>
      </c>
      <c r="BR41">
        <v>0</v>
      </c>
      <c r="BS41">
        <v>54.99</v>
      </c>
      <c r="BT41">
        <v>1</v>
      </c>
      <c r="BU41">
        <v>1</v>
      </c>
      <c r="BV41">
        <v>1</v>
      </c>
      <c r="BW41">
        <v>1</v>
      </c>
      <c r="BX41">
        <v>1</v>
      </c>
      <c r="BY41" t="s">
        <v>3</v>
      </c>
      <c r="BZ41">
        <v>90</v>
      </c>
      <c r="CA41">
        <v>46</v>
      </c>
      <c r="CB41" t="s">
        <v>3</v>
      </c>
      <c r="CE41">
        <v>30</v>
      </c>
      <c r="CF41">
        <v>0</v>
      </c>
      <c r="CG41">
        <v>0</v>
      </c>
      <c r="CM41">
        <v>0</v>
      </c>
      <c r="CN41" t="s">
        <v>3</v>
      </c>
      <c r="CO41">
        <v>0</v>
      </c>
      <c r="CP41">
        <f t="shared" si="34"/>
        <v>19350.29</v>
      </c>
      <c r="CQ41">
        <f t="shared" si="52"/>
        <v>168.13</v>
      </c>
      <c r="CR41">
        <f>(ROUND((ROUND((((ET41*1.1))*AV41*1),2)*BB41),2)+ROUND((ROUND(((AE41-((EU41*1.1)))*AV41*1),2)*BS41),2))</f>
        <v>0</v>
      </c>
      <c r="CS41">
        <f t="shared" si="35"/>
        <v>0</v>
      </c>
      <c r="CT41">
        <f t="shared" si="36"/>
        <v>19182.16</v>
      </c>
      <c r="CU41">
        <f t="shared" si="37"/>
        <v>0</v>
      </c>
      <c r="CV41">
        <f t="shared" si="38"/>
        <v>27.640799999999999</v>
      </c>
      <c r="CW41">
        <f t="shared" si="39"/>
        <v>0</v>
      </c>
      <c r="CX41">
        <f t="shared" si="40"/>
        <v>0</v>
      </c>
      <c r="CY41">
        <f t="shared" si="41"/>
        <v>17263.944</v>
      </c>
      <c r="CZ41">
        <f t="shared" si="42"/>
        <v>8823.7935999999991</v>
      </c>
      <c r="DC41" t="s">
        <v>3</v>
      </c>
      <c r="DD41" t="s">
        <v>3</v>
      </c>
      <c r="DE41" t="s">
        <v>24</v>
      </c>
      <c r="DF41" t="s">
        <v>24</v>
      </c>
      <c r="DG41" t="s">
        <v>24</v>
      </c>
      <c r="DH41" t="s">
        <v>3</v>
      </c>
      <c r="DI41" t="s">
        <v>24</v>
      </c>
      <c r="DJ41" t="s">
        <v>24</v>
      </c>
      <c r="DK41" t="s">
        <v>3</v>
      </c>
      <c r="DL41" t="s">
        <v>3</v>
      </c>
      <c r="DM41" t="s">
        <v>3</v>
      </c>
      <c r="DN41">
        <v>0</v>
      </c>
      <c r="DO41">
        <v>0</v>
      </c>
      <c r="DP41">
        <v>1</v>
      </c>
      <c r="DQ41">
        <v>1</v>
      </c>
      <c r="DU41">
        <v>1013</v>
      </c>
      <c r="DV41" t="s">
        <v>22</v>
      </c>
      <c r="DW41" t="s">
        <v>22</v>
      </c>
      <c r="DX41">
        <v>1</v>
      </c>
      <c r="DZ41" t="s">
        <v>3</v>
      </c>
      <c r="EA41" t="s">
        <v>3</v>
      </c>
      <c r="EB41" t="s">
        <v>3</v>
      </c>
      <c r="EC41" t="s">
        <v>3</v>
      </c>
      <c r="EE41">
        <v>58162630</v>
      </c>
      <c r="EF41">
        <v>40</v>
      </c>
      <c r="EG41" t="s">
        <v>25</v>
      </c>
      <c r="EH41">
        <v>0</v>
      </c>
      <c r="EI41" t="s">
        <v>3</v>
      </c>
      <c r="EJ41">
        <v>2</v>
      </c>
      <c r="EK41">
        <v>68</v>
      </c>
      <c r="EL41" t="s">
        <v>26</v>
      </c>
      <c r="EM41" t="s">
        <v>27</v>
      </c>
      <c r="EO41" t="s">
        <v>28</v>
      </c>
      <c r="EQ41">
        <v>0</v>
      </c>
      <c r="ER41">
        <v>319.88</v>
      </c>
      <c r="ES41">
        <v>17</v>
      </c>
      <c r="ET41">
        <v>0</v>
      </c>
      <c r="EU41">
        <v>0</v>
      </c>
      <c r="EV41">
        <v>302.88</v>
      </c>
      <c r="EW41">
        <v>24</v>
      </c>
      <c r="EX41">
        <v>0</v>
      </c>
      <c r="EY41">
        <v>0</v>
      </c>
      <c r="FQ41">
        <v>0</v>
      </c>
      <c r="FR41">
        <v>0</v>
      </c>
      <c r="FS41">
        <v>0</v>
      </c>
      <c r="FX41">
        <v>90</v>
      </c>
      <c r="FY41">
        <v>46</v>
      </c>
      <c r="GA41" t="s">
        <v>3</v>
      </c>
      <c r="GD41">
        <v>1</v>
      </c>
      <c r="GF41">
        <v>-1788126512</v>
      </c>
      <c r="GG41">
        <v>2</v>
      </c>
      <c r="GH41">
        <v>1</v>
      </c>
      <c r="GI41">
        <v>2</v>
      </c>
      <c r="GJ41">
        <v>0</v>
      </c>
      <c r="GK41">
        <v>0</v>
      </c>
      <c r="GL41">
        <f t="shared" si="43"/>
        <v>0</v>
      </c>
      <c r="GM41">
        <f t="shared" si="44"/>
        <v>45438.02</v>
      </c>
      <c r="GN41">
        <f t="shared" si="45"/>
        <v>0</v>
      </c>
      <c r="GO41">
        <f t="shared" si="46"/>
        <v>45438.02</v>
      </c>
      <c r="GP41">
        <f t="shared" si="47"/>
        <v>0</v>
      </c>
      <c r="GR41">
        <v>0</v>
      </c>
      <c r="GS41">
        <v>3</v>
      </c>
      <c r="GT41">
        <v>0</v>
      </c>
      <c r="GU41" t="s">
        <v>3</v>
      </c>
      <c r="GV41">
        <f t="shared" si="48"/>
        <v>0</v>
      </c>
      <c r="GW41">
        <v>1</v>
      </c>
      <c r="GX41">
        <f t="shared" si="49"/>
        <v>0</v>
      </c>
      <c r="HA41">
        <v>0</v>
      </c>
      <c r="HB41">
        <v>0</v>
      </c>
      <c r="HC41">
        <f t="shared" si="50"/>
        <v>0</v>
      </c>
      <c r="HE41" t="s">
        <v>3</v>
      </c>
      <c r="HF41" t="s">
        <v>3</v>
      </c>
      <c r="HM41" t="s">
        <v>3</v>
      </c>
      <c r="HN41" t="s">
        <v>3</v>
      </c>
      <c r="HO41" t="s">
        <v>3</v>
      </c>
      <c r="HP41" t="s">
        <v>3</v>
      </c>
      <c r="HQ41" t="s">
        <v>3</v>
      </c>
      <c r="HS41">
        <v>0</v>
      </c>
      <c r="IK41">
        <v>0</v>
      </c>
    </row>
    <row r="42" spans="1:255" x14ac:dyDescent="0.3">
      <c r="A42" s="2">
        <v>18</v>
      </c>
      <c r="B42" s="2">
        <v>1</v>
      </c>
      <c r="C42" s="2"/>
      <c r="D42" s="2"/>
      <c r="E42" s="2" t="s">
        <v>62</v>
      </c>
      <c r="F42" s="2" t="s">
        <v>63</v>
      </c>
      <c r="G42" s="2" t="s">
        <v>64</v>
      </c>
      <c r="H42" s="2" t="s">
        <v>32</v>
      </c>
      <c r="I42" s="2">
        <f>I40*J42</f>
        <v>1</v>
      </c>
      <c r="J42" s="2">
        <v>1</v>
      </c>
      <c r="K42" s="2">
        <v>1</v>
      </c>
      <c r="L42" s="2"/>
      <c r="M42" s="2"/>
      <c r="N42" s="2"/>
      <c r="O42" s="2">
        <f t="shared" si="21"/>
        <v>12025.03</v>
      </c>
      <c r="P42" s="2">
        <f>ROUND((ROUND((AC42*I42),2)*BC42),2)</f>
        <v>12025.03</v>
      </c>
      <c r="Q42" s="2">
        <f>(ROUND((ROUND(((ET42)*AV42*I42),2)*BB42),2)+ROUND((ROUND(((AE42-(EU42))*AV42*I42),2)*BS42),2))</f>
        <v>0</v>
      </c>
      <c r="R42" s="2">
        <f t="shared" si="22"/>
        <v>0</v>
      </c>
      <c r="S42" s="2">
        <f t="shared" si="23"/>
        <v>0</v>
      </c>
      <c r="T42" s="2">
        <f t="shared" si="24"/>
        <v>0</v>
      </c>
      <c r="U42" s="2">
        <f t="shared" si="25"/>
        <v>0</v>
      </c>
      <c r="V42" s="2">
        <f t="shared" si="26"/>
        <v>0</v>
      </c>
      <c r="W42" s="2">
        <f t="shared" si="27"/>
        <v>0</v>
      </c>
      <c r="X42" s="2">
        <f t="shared" si="28"/>
        <v>0</v>
      </c>
      <c r="Y42" s="2">
        <f t="shared" si="29"/>
        <v>0</v>
      </c>
      <c r="Z42" s="2"/>
      <c r="AA42" s="2">
        <v>56511233</v>
      </c>
      <c r="AB42" s="2">
        <f t="shared" si="30"/>
        <v>12025.03</v>
      </c>
      <c r="AC42" s="2">
        <f t="shared" si="31"/>
        <v>12025.03</v>
      </c>
      <c r="AD42" s="2">
        <f>ROUND((((ET42)-(EU42))+AE42),6)</f>
        <v>0</v>
      </c>
      <c r="AE42" s="2">
        <f t="shared" ref="AE42:AF45" si="53">ROUND((EU42),6)</f>
        <v>0</v>
      </c>
      <c r="AF42" s="2">
        <f t="shared" si="53"/>
        <v>0</v>
      </c>
      <c r="AG42" s="2">
        <f t="shared" si="32"/>
        <v>0</v>
      </c>
      <c r="AH42" s="2">
        <f t="shared" ref="AH42:AI45" si="54">(EW42)</f>
        <v>0</v>
      </c>
      <c r="AI42" s="2">
        <f t="shared" si="54"/>
        <v>0</v>
      </c>
      <c r="AJ42" s="2">
        <f t="shared" si="33"/>
        <v>0</v>
      </c>
      <c r="AK42" s="2">
        <v>12025.03</v>
      </c>
      <c r="AL42" s="2">
        <v>12025.03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1</v>
      </c>
      <c r="AW42" s="2">
        <v>1</v>
      </c>
      <c r="AX42" s="2"/>
      <c r="AY42" s="2"/>
      <c r="AZ42" s="2">
        <v>1</v>
      </c>
      <c r="BA42" s="2">
        <v>1</v>
      </c>
      <c r="BB42" s="2">
        <v>1</v>
      </c>
      <c r="BC42" s="2">
        <v>1</v>
      </c>
      <c r="BD42" s="2" t="s">
        <v>3</v>
      </c>
      <c r="BE42" s="2" t="s">
        <v>3</v>
      </c>
      <c r="BF42" s="2" t="s">
        <v>3</v>
      </c>
      <c r="BG42" s="2" t="s">
        <v>3</v>
      </c>
      <c r="BH42" s="2">
        <v>3</v>
      </c>
      <c r="BI42" s="2">
        <v>3</v>
      </c>
      <c r="BJ42" s="2" t="s">
        <v>3</v>
      </c>
      <c r="BK42" s="2"/>
      <c r="BL42" s="2"/>
      <c r="BM42" s="2">
        <v>746</v>
      </c>
      <c r="BN42" s="2">
        <v>0</v>
      </c>
      <c r="BO42" s="2" t="s">
        <v>3</v>
      </c>
      <c r="BP42" s="2">
        <v>0</v>
      </c>
      <c r="BQ42" s="2">
        <v>130</v>
      </c>
      <c r="BR42" s="2">
        <v>0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 t="s">
        <v>3</v>
      </c>
      <c r="BZ42" s="2">
        <v>90</v>
      </c>
      <c r="CA42" s="2">
        <v>46</v>
      </c>
      <c r="CB42" s="2" t="s">
        <v>3</v>
      </c>
      <c r="CC42" s="2"/>
      <c r="CD42" s="2"/>
      <c r="CE42" s="2">
        <v>30</v>
      </c>
      <c r="CF42" s="2">
        <v>0</v>
      </c>
      <c r="CG42" s="2">
        <v>0</v>
      </c>
      <c r="CH42" s="2"/>
      <c r="CI42" s="2"/>
      <c r="CJ42" s="2"/>
      <c r="CK42" s="2"/>
      <c r="CL42" s="2"/>
      <c r="CM42" s="2">
        <v>0</v>
      </c>
      <c r="CN42" s="2" t="s">
        <v>3</v>
      </c>
      <c r="CO42" s="2">
        <v>0</v>
      </c>
      <c r="CP42" s="2">
        <f t="shared" si="34"/>
        <v>12025.03</v>
      </c>
      <c r="CQ42" s="2">
        <f>ROUND((ROUND((AC42*1),2)*BC42),2)</f>
        <v>12025.03</v>
      </c>
      <c r="CR42" s="2">
        <f>(ROUND((ROUND(((ET42)*AV42*1),2)*BB42),2)+ROUND((ROUND(((AE42-(EU42))*AV42*1),2)*BS42),2))</f>
        <v>0</v>
      </c>
      <c r="CS42" s="2">
        <f t="shared" si="35"/>
        <v>0</v>
      </c>
      <c r="CT42" s="2">
        <f t="shared" si="36"/>
        <v>0</v>
      </c>
      <c r="CU42" s="2">
        <f t="shared" si="37"/>
        <v>0</v>
      </c>
      <c r="CV42" s="2">
        <f t="shared" si="38"/>
        <v>0</v>
      </c>
      <c r="CW42" s="2">
        <f t="shared" si="39"/>
        <v>0</v>
      </c>
      <c r="CX42" s="2">
        <f t="shared" si="40"/>
        <v>0</v>
      </c>
      <c r="CY42" s="2">
        <f t="shared" si="41"/>
        <v>0</v>
      </c>
      <c r="CZ42" s="2">
        <f t="shared" si="42"/>
        <v>0</v>
      </c>
      <c r="DA42" s="2"/>
      <c r="DB42" s="2"/>
      <c r="DC42" s="2" t="s">
        <v>3</v>
      </c>
      <c r="DD42" s="2" t="s">
        <v>3</v>
      </c>
      <c r="DE42" s="2" t="s">
        <v>3</v>
      </c>
      <c r="DF42" s="2" t="s">
        <v>3</v>
      </c>
      <c r="DG42" s="2" t="s">
        <v>3</v>
      </c>
      <c r="DH42" s="2" t="s">
        <v>3</v>
      </c>
      <c r="DI42" s="2" t="s">
        <v>3</v>
      </c>
      <c r="DJ42" s="2" t="s">
        <v>3</v>
      </c>
      <c r="DK42" s="2" t="s">
        <v>3</v>
      </c>
      <c r="DL42" s="2" t="s">
        <v>3</v>
      </c>
      <c r="DM42" s="2" t="s">
        <v>3</v>
      </c>
      <c r="DN42" s="2">
        <v>0</v>
      </c>
      <c r="DO42" s="2">
        <v>0</v>
      </c>
      <c r="DP42" s="2">
        <v>1</v>
      </c>
      <c r="DQ42" s="2">
        <v>1</v>
      </c>
      <c r="DR42" s="2"/>
      <c r="DS42" s="2"/>
      <c r="DT42" s="2"/>
      <c r="DU42" s="2">
        <v>1010</v>
      </c>
      <c r="DV42" s="2" t="s">
        <v>32</v>
      </c>
      <c r="DW42" s="2" t="s">
        <v>32</v>
      </c>
      <c r="DX42" s="2">
        <v>1</v>
      </c>
      <c r="DY42" s="2"/>
      <c r="DZ42" s="2" t="s">
        <v>3</v>
      </c>
      <c r="EA42" s="2" t="s">
        <v>3</v>
      </c>
      <c r="EB42" s="2" t="s">
        <v>3</v>
      </c>
      <c r="EC42" s="2" t="s">
        <v>3</v>
      </c>
      <c r="ED42" s="2"/>
      <c r="EE42" s="2">
        <v>58162750</v>
      </c>
      <c r="EF42" s="2">
        <v>130</v>
      </c>
      <c r="EG42" s="2" t="s">
        <v>33</v>
      </c>
      <c r="EH42" s="2">
        <v>0</v>
      </c>
      <c r="EI42" s="2" t="s">
        <v>3</v>
      </c>
      <c r="EJ42" s="2">
        <v>3</v>
      </c>
      <c r="EK42" s="2">
        <v>746</v>
      </c>
      <c r="EL42" s="2" t="s">
        <v>34</v>
      </c>
      <c r="EM42" s="2" t="s">
        <v>35</v>
      </c>
      <c r="EN42" s="2"/>
      <c r="EO42" s="2" t="s">
        <v>3</v>
      </c>
      <c r="EP42" s="2"/>
      <c r="EQ42" s="2">
        <v>0</v>
      </c>
      <c r="ER42" s="2">
        <v>0</v>
      </c>
      <c r="ES42" s="2">
        <v>12025.03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>
        <v>0</v>
      </c>
      <c r="FR42" s="2">
        <f>P42</f>
        <v>12025.03</v>
      </c>
      <c r="FS42" s="2">
        <v>0</v>
      </c>
      <c r="FT42" s="2"/>
      <c r="FU42" s="2"/>
      <c r="FV42" s="2"/>
      <c r="FW42" s="2"/>
      <c r="FX42" s="2">
        <v>90</v>
      </c>
      <c r="FY42" s="2">
        <v>46</v>
      </c>
      <c r="FZ42" s="2"/>
      <c r="GA42" s="2" t="s">
        <v>65</v>
      </c>
      <c r="GB42" s="2"/>
      <c r="GC42" s="2"/>
      <c r="GD42" s="2">
        <v>1</v>
      </c>
      <c r="GE42" s="2"/>
      <c r="GF42" s="2">
        <v>1404242535</v>
      </c>
      <c r="GG42" s="2">
        <v>2</v>
      </c>
      <c r="GH42" s="2">
        <v>4</v>
      </c>
      <c r="GI42" s="2">
        <v>-2</v>
      </c>
      <c r="GJ42" s="2">
        <v>0</v>
      </c>
      <c r="GK42" s="2">
        <v>0</v>
      </c>
      <c r="GL42" s="2">
        <f t="shared" si="43"/>
        <v>0</v>
      </c>
      <c r="GM42" s="2">
        <f t="shared" si="44"/>
        <v>12025.03</v>
      </c>
      <c r="GN42" s="2">
        <f t="shared" si="45"/>
        <v>0</v>
      </c>
      <c r="GO42" s="2">
        <f t="shared" si="46"/>
        <v>0</v>
      </c>
      <c r="GP42" s="2">
        <f t="shared" si="47"/>
        <v>0</v>
      </c>
      <c r="GQ42" s="2"/>
      <c r="GR42" s="2">
        <v>0</v>
      </c>
      <c r="GS42" s="2">
        <v>2</v>
      </c>
      <c r="GT42" s="2">
        <v>0</v>
      </c>
      <c r="GU42" s="2" t="s">
        <v>3</v>
      </c>
      <c r="GV42" s="2">
        <f t="shared" si="48"/>
        <v>0</v>
      </c>
      <c r="GW42" s="2">
        <v>1</v>
      </c>
      <c r="GX42" s="2">
        <f t="shared" si="49"/>
        <v>0</v>
      </c>
      <c r="GY42" s="2"/>
      <c r="GZ42" s="2"/>
      <c r="HA42" s="2">
        <v>0</v>
      </c>
      <c r="HB42" s="2">
        <v>0</v>
      </c>
      <c r="HC42" s="2">
        <f t="shared" si="50"/>
        <v>0</v>
      </c>
      <c r="HD42" s="2"/>
      <c r="HE42" s="2" t="s">
        <v>37</v>
      </c>
      <c r="HF42" s="2" t="s">
        <v>38</v>
      </c>
      <c r="HG42" s="2"/>
      <c r="HH42" s="2"/>
      <c r="HI42" s="2"/>
      <c r="HJ42" s="2"/>
      <c r="HK42" s="2"/>
      <c r="HL42" s="2"/>
      <c r="HM42" s="2" t="s">
        <v>3</v>
      </c>
      <c r="HN42" s="2" t="s">
        <v>3</v>
      </c>
      <c r="HO42" s="2" t="s">
        <v>3</v>
      </c>
      <c r="HP42" s="2" t="s">
        <v>3</v>
      </c>
      <c r="HQ42" s="2" t="s">
        <v>3</v>
      </c>
      <c r="HR42" s="2"/>
      <c r="HS42" s="2">
        <v>0</v>
      </c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>
        <v>0</v>
      </c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x14ac:dyDescent="0.3">
      <c r="A43">
        <v>18</v>
      </c>
      <c r="B43">
        <v>1</v>
      </c>
      <c r="E43" t="s">
        <v>62</v>
      </c>
      <c r="F43" t="s">
        <v>63</v>
      </c>
      <c r="G43" t="s">
        <v>64</v>
      </c>
      <c r="H43" t="s">
        <v>32</v>
      </c>
      <c r="I43">
        <f>I41*J43</f>
        <v>1</v>
      </c>
      <c r="J43">
        <v>1</v>
      </c>
      <c r="K43">
        <v>1</v>
      </c>
      <c r="O43">
        <f t="shared" si="21"/>
        <v>92111.73</v>
      </c>
      <c r="P43">
        <f>ROUND((ROUND((AC43*I43),2)*BC43),2)</f>
        <v>92111.73</v>
      </c>
      <c r="Q43">
        <f>(ROUND((ROUND(((ET43)*AV43*I43),2)*BB43),2)+ROUND((ROUND(((AE43-(EU43))*AV43*I43),2)*BS43),2))</f>
        <v>0</v>
      </c>
      <c r="R43">
        <f t="shared" si="22"/>
        <v>0</v>
      </c>
      <c r="S43">
        <f t="shared" si="23"/>
        <v>0</v>
      </c>
      <c r="T43">
        <f t="shared" si="24"/>
        <v>0</v>
      </c>
      <c r="U43">
        <f t="shared" si="25"/>
        <v>0</v>
      </c>
      <c r="V43">
        <f t="shared" si="26"/>
        <v>0</v>
      </c>
      <c r="W43">
        <f t="shared" si="27"/>
        <v>0</v>
      </c>
      <c r="X43">
        <f t="shared" si="28"/>
        <v>0</v>
      </c>
      <c r="Y43">
        <f t="shared" si="29"/>
        <v>0</v>
      </c>
      <c r="AA43">
        <v>56511235</v>
      </c>
      <c r="AB43">
        <f t="shared" si="30"/>
        <v>12025.03</v>
      </c>
      <c r="AC43">
        <f t="shared" si="31"/>
        <v>12025.03</v>
      </c>
      <c r="AD43">
        <f>ROUND((((ET43)-(EU43))+AE43),6)</f>
        <v>0</v>
      </c>
      <c r="AE43">
        <f t="shared" si="53"/>
        <v>0</v>
      </c>
      <c r="AF43">
        <f t="shared" si="53"/>
        <v>0</v>
      </c>
      <c r="AG43">
        <f t="shared" si="32"/>
        <v>0</v>
      </c>
      <c r="AH43">
        <f t="shared" si="54"/>
        <v>0</v>
      </c>
      <c r="AI43">
        <f t="shared" si="54"/>
        <v>0</v>
      </c>
      <c r="AJ43">
        <f t="shared" si="33"/>
        <v>0</v>
      </c>
      <c r="AK43">
        <v>12025.03</v>
      </c>
      <c r="AL43">
        <v>12025.03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</v>
      </c>
      <c r="AW43">
        <v>1</v>
      </c>
      <c r="AZ43">
        <v>1</v>
      </c>
      <c r="BA43">
        <v>1</v>
      </c>
      <c r="BB43">
        <v>1</v>
      </c>
      <c r="BC43">
        <v>7.66</v>
      </c>
      <c r="BD43" t="s">
        <v>3</v>
      </c>
      <c r="BE43" t="s">
        <v>3</v>
      </c>
      <c r="BF43" t="s">
        <v>3</v>
      </c>
      <c r="BG43" t="s">
        <v>3</v>
      </c>
      <c r="BH43">
        <v>3</v>
      </c>
      <c r="BI43">
        <v>3</v>
      </c>
      <c r="BJ43" t="s">
        <v>3</v>
      </c>
      <c r="BM43">
        <v>746</v>
      </c>
      <c r="BN43">
        <v>0</v>
      </c>
      <c r="BO43" t="s">
        <v>3</v>
      </c>
      <c r="BP43">
        <v>0</v>
      </c>
      <c r="BQ43">
        <v>130</v>
      </c>
      <c r="BR43">
        <v>0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 t="s">
        <v>3</v>
      </c>
      <c r="BZ43">
        <v>90</v>
      </c>
      <c r="CA43">
        <v>46</v>
      </c>
      <c r="CB43" t="s">
        <v>3</v>
      </c>
      <c r="CE43">
        <v>30</v>
      </c>
      <c r="CF43">
        <v>0</v>
      </c>
      <c r="CG43">
        <v>0</v>
      </c>
      <c r="CM43">
        <v>0</v>
      </c>
      <c r="CN43" t="s">
        <v>3</v>
      </c>
      <c r="CO43">
        <v>0</v>
      </c>
      <c r="CP43">
        <f t="shared" si="34"/>
        <v>92111.73</v>
      </c>
      <c r="CQ43">
        <f>ROUND((ROUND((AC43*1),2)*BC43),2)</f>
        <v>92111.73</v>
      </c>
      <c r="CR43">
        <f>(ROUND((ROUND(((ET43)*AV43*1),2)*BB43),2)+ROUND((ROUND(((AE43-(EU43))*AV43*1),2)*BS43),2))</f>
        <v>0</v>
      </c>
      <c r="CS43">
        <f t="shared" si="35"/>
        <v>0</v>
      </c>
      <c r="CT43">
        <f t="shared" si="36"/>
        <v>0</v>
      </c>
      <c r="CU43">
        <f t="shared" si="37"/>
        <v>0</v>
      </c>
      <c r="CV43">
        <f t="shared" si="38"/>
        <v>0</v>
      </c>
      <c r="CW43">
        <f t="shared" si="39"/>
        <v>0</v>
      </c>
      <c r="CX43">
        <f t="shared" si="40"/>
        <v>0</v>
      </c>
      <c r="CY43">
        <f t="shared" si="41"/>
        <v>0</v>
      </c>
      <c r="CZ43">
        <f t="shared" si="42"/>
        <v>0</v>
      </c>
      <c r="DC43" t="s">
        <v>3</v>
      </c>
      <c r="DD43" t="s">
        <v>3</v>
      </c>
      <c r="DE43" t="s">
        <v>3</v>
      </c>
      <c r="DF43" t="s">
        <v>3</v>
      </c>
      <c r="DG43" t="s">
        <v>3</v>
      </c>
      <c r="DH43" t="s">
        <v>3</v>
      </c>
      <c r="DI43" t="s">
        <v>3</v>
      </c>
      <c r="DJ43" t="s">
        <v>3</v>
      </c>
      <c r="DK43" t="s">
        <v>3</v>
      </c>
      <c r="DL43" t="s">
        <v>3</v>
      </c>
      <c r="DM43" t="s">
        <v>3</v>
      </c>
      <c r="DN43">
        <v>0</v>
      </c>
      <c r="DO43">
        <v>0</v>
      </c>
      <c r="DP43">
        <v>1</v>
      </c>
      <c r="DQ43">
        <v>1</v>
      </c>
      <c r="DU43">
        <v>1010</v>
      </c>
      <c r="DV43" t="s">
        <v>32</v>
      </c>
      <c r="DW43" t="s">
        <v>32</v>
      </c>
      <c r="DX43">
        <v>1</v>
      </c>
      <c r="DZ43" t="s">
        <v>3</v>
      </c>
      <c r="EA43" t="s">
        <v>3</v>
      </c>
      <c r="EB43" t="s">
        <v>3</v>
      </c>
      <c r="EC43" t="s">
        <v>3</v>
      </c>
      <c r="EE43">
        <v>58162750</v>
      </c>
      <c r="EF43">
        <v>130</v>
      </c>
      <c r="EG43" t="s">
        <v>33</v>
      </c>
      <c r="EH43">
        <v>0</v>
      </c>
      <c r="EI43" t="s">
        <v>3</v>
      </c>
      <c r="EJ43">
        <v>3</v>
      </c>
      <c r="EK43">
        <v>746</v>
      </c>
      <c r="EL43" t="s">
        <v>34</v>
      </c>
      <c r="EM43" t="s">
        <v>35</v>
      </c>
      <c r="EO43" t="s">
        <v>3</v>
      </c>
      <c r="EQ43">
        <v>0</v>
      </c>
      <c r="ER43">
        <v>92111.75</v>
      </c>
      <c r="ES43">
        <v>12025.03</v>
      </c>
      <c r="ET43">
        <v>0</v>
      </c>
      <c r="EU43">
        <v>0</v>
      </c>
      <c r="EV43">
        <v>0</v>
      </c>
      <c r="EW43">
        <v>0</v>
      </c>
      <c r="EX43">
        <v>0</v>
      </c>
      <c r="EZ43">
        <v>5</v>
      </c>
      <c r="FC43">
        <v>1</v>
      </c>
      <c r="FD43">
        <v>18</v>
      </c>
      <c r="FF43">
        <v>106042.16</v>
      </c>
      <c r="FQ43">
        <v>0</v>
      </c>
      <c r="FR43">
        <f>P43</f>
        <v>92111.73</v>
      </c>
      <c r="FS43">
        <v>0</v>
      </c>
      <c r="FX43">
        <v>90</v>
      </c>
      <c r="FY43">
        <v>46</v>
      </c>
      <c r="GA43" t="s">
        <v>65</v>
      </c>
      <c r="GD43">
        <v>1</v>
      </c>
      <c r="GF43">
        <v>1404242535</v>
      </c>
      <c r="GG43">
        <v>2</v>
      </c>
      <c r="GH43">
        <v>3</v>
      </c>
      <c r="GI43">
        <v>5</v>
      </c>
      <c r="GJ43">
        <v>0</v>
      </c>
      <c r="GK43">
        <v>0</v>
      </c>
      <c r="GL43">
        <f t="shared" si="43"/>
        <v>0</v>
      </c>
      <c r="GM43">
        <f t="shared" si="44"/>
        <v>92111.73</v>
      </c>
      <c r="GN43">
        <f t="shared" si="45"/>
        <v>0</v>
      </c>
      <c r="GO43">
        <f t="shared" si="46"/>
        <v>0</v>
      </c>
      <c r="GP43">
        <f t="shared" si="47"/>
        <v>0</v>
      </c>
      <c r="GR43">
        <v>1</v>
      </c>
      <c r="GS43">
        <v>1</v>
      </c>
      <c r="GT43">
        <v>0</v>
      </c>
      <c r="GU43" t="s">
        <v>3</v>
      </c>
      <c r="GV43">
        <f t="shared" si="48"/>
        <v>0</v>
      </c>
      <c r="GW43">
        <v>1</v>
      </c>
      <c r="GX43">
        <f t="shared" si="49"/>
        <v>0</v>
      </c>
      <c r="HA43">
        <v>0</v>
      </c>
      <c r="HB43">
        <v>0</v>
      </c>
      <c r="HC43">
        <f t="shared" si="50"/>
        <v>0</v>
      </c>
      <c r="HE43" t="s">
        <v>37</v>
      </c>
      <c r="HF43" t="s">
        <v>38</v>
      </c>
      <c r="HM43" t="s">
        <v>3</v>
      </c>
      <c r="HN43" t="s">
        <v>3</v>
      </c>
      <c r="HO43" t="s">
        <v>3</v>
      </c>
      <c r="HP43" t="s">
        <v>3</v>
      </c>
      <c r="HQ43" t="s">
        <v>3</v>
      </c>
      <c r="HS43">
        <v>0</v>
      </c>
      <c r="IK43">
        <v>0</v>
      </c>
    </row>
    <row r="44" spans="1:255" x14ac:dyDescent="0.3">
      <c r="A44" s="2">
        <v>18</v>
      </c>
      <c r="B44" s="2">
        <v>1</v>
      </c>
      <c r="C44" s="2"/>
      <c r="D44" s="2"/>
      <c r="E44" s="2" t="s">
        <v>66</v>
      </c>
      <c r="F44" s="2" t="s">
        <v>67</v>
      </c>
      <c r="G44" s="2" t="s">
        <v>68</v>
      </c>
      <c r="H44" s="2" t="s">
        <v>32</v>
      </c>
      <c r="I44" s="2">
        <f>I40*J44</f>
        <v>2</v>
      </c>
      <c r="J44" s="2">
        <v>2</v>
      </c>
      <c r="K44" s="2">
        <v>2</v>
      </c>
      <c r="L44" s="2"/>
      <c r="M44" s="2"/>
      <c r="N44" s="2"/>
      <c r="O44" s="2">
        <f t="shared" si="21"/>
        <v>178.78</v>
      </c>
      <c r="P44" s="2">
        <f>ROUND((ROUND((AC44*I44),2)*BC44),2)</f>
        <v>178.78</v>
      </c>
      <c r="Q44" s="2">
        <f>(ROUND((ROUND(((ET44)*AV44*I44),2)*BB44),2)+ROUND((ROUND(((AE44-(EU44))*AV44*I44),2)*BS44),2))</f>
        <v>0</v>
      </c>
      <c r="R44" s="2">
        <f t="shared" si="22"/>
        <v>0</v>
      </c>
      <c r="S44" s="2">
        <f t="shared" si="23"/>
        <v>0</v>
      </c>
      <c r="T44" s="2">
        <f t="shared" si="24"/>
        <v>0</v>
      </c>
      <c r="U44" s="2">
        <f t="shared" si="25"/>
        <v>0</v>
      </c>
      <c r="V44" s="2">
        <f t="shared" si="26"/>
        <v>0</v>
      </c>
      <c r="W44" s="2">
        <f t="shared" si="27"/>
        <v>0</v>
      </c>
      <c r="X44" s="2">
        <f t="shared" si="28"/>
        <v>0</v>
      </c>
      <c r="Y44" s="2">
        <f t="shared" si="29"/>
        <v>0</v>
      </c>
      <c r="Z44" s="2"/>
      <c r="AA44" s="2">
        <v>56511233</v>
      </c>
      <c r="AB44" s="2">
        <f t="shared" si="30"/>
        <v>89.39</v>
      </c>
      <c r="AC44" s="2">
        <f t="shared" si="31"/>
        <v>89.39</v>
      </c>
      <c r="AD44" s="2">
        <f>ROUND((((ET44)-(EU44))+AE44),6)</f>
        <v>0</v>
      </c>
      <c r="AE44" s="2">
        <f t="shared" si="53"/>
        <v>0</v>
      </c>
      <c r="AF44" s="2">
        <f t="shared" si="53"/>
        <v>0</v>
      </c>
      <c r="AG44" s="2">
        <f t="shared" si="32"/>
        <v>0</v>
      </c>
      <c r="AH44" s="2">
        <f t="shared" si="54"/>
        <v>0</v>
      </c>
      <c r="AI44" s="2">
        <f t="shared" si="54"/>
        <v>0</v>
      </c>
      <c r="AJ44" s="2">
        <f t="shared" si="33"/>
        <v>0</v>
      </c>
      <c r="AK44" s="2">
        <v>89.39</v>
      </c>
      <c r="AL44" s="2">
        <v>89.39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1</v>
      </c>
      <c r="AW44" s="2">
        <v>1</v>
      </c>
      <c r="AX44" s="2"/>
      <c r="AY44" s="2"/>
      <c r="AZ44" s="2">
        <v>1</v>
      </c>
      <c r="BA44" s="2">
        <v>1</v>
      </c>
      <c r="BB44" s="2">
        <v>1</v>
      </c>
      <c r="BC44" s="2">
        <v>1</v>
      </c>
      <c r="BD44" s="2" t="s">
        <v>3</v>
      </c>
      <c r="BE44" s="2" t="s">
        <v>3</v>
      </c>
      <c r="BF44" s="2" t="s">
        <v>3</v>
      </c>
      <c r="BG44" s="2" t="s">
        <v>3</v>
      </c>
      <c r="BH44" s="2">
        <v>3</v>
      </c>
      <c r="BI44" s="2">
        <v>3</v>
      </c>
      <c r="BJ44" s="2" t="s">
        <v>3</v>
      </c>
      <c r="BK44" s="2"/>
      <c r="BL44" s="2"/>
      <c r="BM44" s="2">
        <v>746</v>
      </c>
      <c r="BN44" s="2">
        <v>0</v>
      </c>
      <c r="BO44" s="2" t="s">
        <v>3</v>
      </c>
      <c r="BP44" s="2">
        <v>0</v>
      </c>
      <c r="BQ44" s="2">
        <v>130</v>
      </c>
      <c r="BR44" s="2">
        <v>0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 t="s">
        <v>3</v>
      </c>
      <c r="BZ44" s="2">
        <v>90</v>
      </c>
      <c r="CA44" s="2">
        <v>46</v>
      </c>
      <c r="CB44" s="2" t="s">
        <v>3</v>
      </c>
      <c r="CC44" s="2"/>
      <c r="CD44" s="2"/>
      <c r="CE44" s="2">
        <v>30</v>
      </c>
      <c r="CF44" s="2">
        <v>0</v>
      </c>
      <c r="CG44" s="2">
        <v>0</v>
      </c>
      <c r="CH44" s="2"/>
      <c r="CI44" s="2"/>
      <c r="CJ44" s="2"/>
      <c r="CK44" s="2"/>
      <c r="CL44" s="2"/>
      <c r="CM44" s="2">
        <v>0</v>
      </c>
      <c r="CN44" s="2" t="s">
        <v>3</v>
      </c>
      <c r="CO44" s="2">
        <v>0</v>
      </c>
      <c r="CP44" s="2">
        <f t="shared" si="34"/>
        <v>178.78</v>
      </c>
      <c r="CQ44" s="2">
        <f>ROUND((ROUND((AC44*1),2)*BC44),2)</f>
        <v>89.39</v>
      </c>
      <c r="CR44" s="2">
        <f>(ROUND((ROUND(((ET44)*AV44*1),2)*BB44),2)+ROUND((ROUND(((AE44-(EU44))*AV44*1),2)*BS44),2))</f>
        <v>0</v>
      </c>
      <c r="CS44" s="2">
        <f t="shared" si="35"/>
        <v>0</v>
      </c>
      <c r="CT44" s="2">
        <f t="shared" si="36"/>
        <v>0</v>
      </c>
      <c r="CU44" s="2">
        <f t="shared" si="37"/>
        <v>0</v>
      </c>
      <c r="CV44" s="2">
        <f t="shared" si="38"/>
        <v>0</v>
      </c>
      <c r="CW44" s="2">
        <f t="shared" si="39"/>
        <v>0</v>
      </c>
      <c r="CX44" s="2">
        <f t="shared" si="40"/>
        <v>0</v>
      </c>
      <c r="CY44" s="2">
        <f t="shared" si="41"/>
        <v>0</v>
      </c>
      <c r="CZ44" s="2">
        <f t="shared" si="42"/>
        <v>0</v>
      </c>
      <c r="DA44" s="2"/>
      <c r="DB44" s="2"/>
      <c r="DC44" s="2" t="s">
        <v>3</v>
      </c>
      <c r="DD44" s="2" t="s">
        <v>3</v>
      </c>
      <c r="DE44" s="2" t="s">
        <v>3</v>
      </c>
      <c r="DF44" s="2" t="s">
        <v>3</v>
      </c>
      <c r="DG44" s="2" t="s">
        <v>3</v>
      </c>
      <c r="DH44" s="2" t="s">
        <v>3</v>
      </c>
      <c r="DI44" s="2" t="s">
        <v>3</v>
      </c>
      <c r="DJ44" s="2" t="s">
        <v>3</v>
      </c>
      <c r="DK44" s="2" t="s">
        <v>3</v>
      </c>
      <c r="DL44" s="2" t="s">
        <v>3</v>
      </c>
      <c r="DM44" s="2" t="s">
        <v>3</v>
      </c>
      <c r="DN44" s="2">
        <v>0</v>
      </c>
      <c r="DO44" s="2">
        <v>0</v>
      </c>
      <c r="DP44" s="2">
        <v>1</v>
      </c>
      <c r="DQ44" s="2">
        <v>1</v>
      </c>
      <c r="DR44" s="2"/>
      <c r="DS44" s="2"/>
      <c r="DT44" s="2"/>
      <c r="DU44" s="2">
        <v>1010</v>
      </c>
      <c r="DV44" s="2" t="s">
        <v>32</v>
      </c>
      <c r="DW44" s="2" t="s">
        <v>32</v>
      </c>
      <c r="DX44" s="2">
        <v>1</v>
      </c>
      <c r="DY44" s="2"/>
      <c r="DZ44" s="2" t="s">
        <v>3</v>
      </c>
      <c r="EA44" s="2" t="s">
        <v>3</v>
      </c>
      <c r="EB44" s="2" t="s">
        <v>3</v>
      </c>
      <c r="EC44" s="2" t="s">
        <v>3</v>
      </c>
      <c r="ED44" s="2"/>
      <c r="EE44" s="2">
        <v>58162750</v>
      </c>
      <c r="EF44" s="2">
        <v>130</v>
      </c>
      <c r="EG44" s="2" t="s">
        <v>33</v>
      </c>
      <c r="EH44" s="2">
        <v>0</v>
      </c>
      <c r="EI44" s="2" t="s">
        <v>3</v>
      </c>
      <c r="EJ44" s="2">
        <v>3</v>
      </c>
      <c r="EK44" s="2">
        <v>746</v>
      </c>
      <c r="EL44" s="2" t="s">
        <v>34</v>
      </c>
      <c r="EM44" s="2" t="s">
        <v>35</v>
      </c>
      <c r="EN44" s="2"/>
      <c r="EO44" s="2" t="s">
        <v>3</v>
      </c>
      <c r="EP44" s="2"/>
      <c r="EQ44" s="2">
        <v>0</v>
      </c>
      <c r="ER44" s="2">
        <v>89.39</v>
      </c>
      <c r="ES44" s="2">
        <v>89.39</v>
      </c>
      <c r="ET44" s="2">
        <v>0</v>
      </c>
      <c r="EU44" s="2">
        <v>0</v>
      </c>
      <c r="EV44" s="2">
        <v>0</v>
      </c>
      <c r="EW44" s="2">
        <v>0</v>
      </c>
      <c r="EX44" s="2">
        <v>0</v>
      </c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>
        <v>0</v>
      </c>
      <c r="FR44" s="2">
        <f>P44</f>
        <v>178.78</v>
      </c>
      <c r="FS44" s="2">
        <v>0</v>
      </c>
      <c r="FT44" s="2"/>
      <c r="FU44" s="2"/>
      <c r="FV44" s="2"/>
      <c r="FW44" s="2"/>
      <c r="FX44" s="2">
        <v>90</v>
      </c>
      <c r="FY44" s="2">
        <v>46</v>
      </c>
      <c r="FZ44" s="2"/>
      <c r="GA44" s="2" t="s">
        <v>3</v>
      </c>
      <c r="GB44" s="2"/>
      <c r="GC44" s="2"/>
      <c r="GD44" s="2">
        <v>1</v>
      </c>
      <c r="GE44" s="2"/>
      <c r="GF44" s="2">
        <v>-836002113</v>
      </c>
      <c r="GG44" s="2">
        <v>2</v>
      </c>
      <c r="GH44" s="2">
        <v>1</v>
      </c>
      <c r="GI44" s="2">
        <v>-2</v>
      </c>
      <c r="GJ44" s="2">
        <v>0</v>
      </c>
      <c r="GK44" s="2">
        <v>0</v>
      </c>
      <c r="GL44" s="2">
        <f t="shared" si="43"/>
        <v>0</v>
      </c>
      <c r="GM44" s="2">
        <f t="shared" si="44"/>
        <v>178.78</v>
      </c>
      <c r="GN44" s="2">
        <f t="shared" si="45"/>
        <v>0</v>
      </c>
      <c r="GO44" s="2">
        <f t="shared" si="46"/>
        <v>0</v>
      </c>
      <c r="GP44" s="2">
        <f t="shared" si="47"/>
        <v>0</v>
      </c>
      <c r="GQ44" s="2"/>
      <c r="GR44" s="2">
        <v>0</v>
      </c>
      <c r="GS44" s="2">
        <v>3</v>
      </c>
      <c r="GT44" s="2">
        <v>0</v>
      </c>
      <c r="GU44" s="2" t="s">
        <v>3</v>
      </c>
      <c r="GV44" s="2">
        <f t="shared" si="48"/>
        <v>0</v>
      </c>
      <c r="GW44" s="2">
        <v>1</v>
      </c>
      <c r="GX44" s="2">
        <f t="shared" si="49"/>
        <v>0</v>
      </c>
      <c r="GY44" s="2"/>
      <c r="GZ44" s="2"/>
      <c r="HA44" s="2">
        <v>0</v>
      </c>
      <c r="HB44" s="2">
        <v>0</v>
      </c>
      <c r="HC44" s="2">
        <f t="shared" si="50"/>
        <v>0</v>
      </c>
      <c r="HD44" s="2"/>
      <c r="HE44" s="2" t="s">
        <v>3</v>
      </c>
      <c r="HF44" s="2" t="s">
        <v>3</v>
      </c>
      <c r="HG44" s="2"/>
      <c r="HH44" s="2"/>
      <c r="HI44" s="2"/>
      <c r="HJ44" s="2"/>
      <c r="HK44" s="2"/>
      <c r="HL44" s="2"/>
      <c r="HM44" s="2" t="s">
        <v>3</v>
      </c>
      <c r="HN44" s="2" t="s">
        <v>3</v>
      </c>
      <c r="HO44" s="2" t="s">
        <v>3</v>
      </c>
      <c r="HP44" s="2" t="s">
        <v>3</v>
      </c>
      <c r="HQ44" s="2" t="s">
        <v>3</v>
      </c>
      <c r="HR44" s="2"/>
      <c r="HS44" s="2">
        <v>0</v>
      </c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>
        <v>0</v>
      </c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pans="1:255" x14ac:dyDescent="0.3">
      <c r="A45">
        <v>18</v>
      </c>
      <c r="B45">
        <v>1</v>
      </c>
      <c r="E45" t="s">
        <v>66</v>
      </c>
      <c r="F45" t="s">
        <v>67</v>
      </c>
      <c r="G45" t="s">
        <v>68</v>
      </c>
      <c r="H45" t="s">
        <v>32</v>
      </c>
      <c r="I45">
        <f>I41*J45</f>
        <v>2</v>
      </c>
      <c r="J45">
        <v>2</v>
      </c>
      <c r="K45">
        <v>2</v>
      </c>
      <c r="O45">
        <f t="shared" si="21"/>
        <v>1564.33</v>
      </c>
      <c r="P45">
        <f>ROUND((ROUND((AC45*I45),2)*BC45),2)</f>
        <v>1564.33</v>
      </c>
      <c r="Q45">
        <f>(ROUND((ROUND(((ET45)*AV45*I45),2)*BB45),2)+ROUND((ROUND(((AE45-(EU45))*AV45*I45),2)*BS45),2))</f>
        <v>0</v>
      </c>
      <c r="R45">
        <f t="shared" si="22"/>
        <v>0</v>
      </c>
      <c r="S45">
        <f t="shared" si="23"/>
        <v>0</v>
      </c>
      <c r="T45">
        <f t="shared" si="24"/>
        <v>0</v>
      </c>
      <c r="U45">
        <f t="shared" si="25"/>
        <v>0</v>
      </c>
      <c r="V45">
        <f t="shared" si="26"/>
        <v>0</v>
      </c>
      <c r="W45">
        <f t="shared" si="27"/>
        <v>0</v>
      </c>
      <c r="X45">
        <f t="shared" si="28"/>
        <v>0</v>
      </c>
      <c r="Y45">
        <f t="shared" si="29"/>
        <v>0</v>
      </c>
      <c r="AA45">
        <v>56511235</v>
      </c>
      <c r="AB45">
        <f t="shared" si="30"/>
        <v>89.39</v>
      </c>
      <c r="AC45">
        <f t="shared" si="31"/>
        <v>89.39</v>
      </c>
      <c r="AD45">
        <f>ROUND((((ET45)-(EU45))+AE45),6)</f>
        <v>0</v>
      </c>
      <c r="AE45">
        <f t="shared" si="53"/>
        <v>0</v>
      </c>
      <c r="AF45">
        <f t="shared" si="53"/>
        <v>0</v>
      </c>
      <c r="AG45">
        <f t="shared" si="32"/>
        <v>0</v>
      </c>
      <c r="AH45">
        <f t="shared" si="54"/>
        <v>0</v>
      </c>
      <c r="AI45">
        <f t="shared" si="54"/>
        <v>0</v>
      </c>
      <c r="AJ45">
        <f t="shared" si="33"/>
        <v>0</v>
      </c>
      <c r="AK45">
        <v>89.39</v>
      </c>
      <c r="AL45">
        <v>89.39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1</v>
      </c>
      <c r="AW45">
        <v>1</v>
      </c>
      <c r="AZ45">
        <v>1</v>
      </c>
      <c r="BA45">
        <v>1</v>
      </c>
      <c r="BB45">
        <v>1</v>
      </c>
      <c r="BC45">
        <v>8.75</v>
      </c>
      <c r="BD45" t="s">
        <v>3</v>
      </c>
      <c r="BE45" t="s">
        <v>3</v>
      </c>
      <c r="BF45" t="s">
        <v>3</v>
      </c>
      <c r="BG45" t="s">
        <v>3</v>
      </c>
      <c r="BH45">
        <v>3</v>
      </c>
      <c r="BI45">
        <v>3</v>
      </c>
      <c r="BJ45" t="s">
        <v>3</v>
      </c>
      <c r="BM45">
        <v>746</v>
      </c>
      <c r="BN45">
        <v>0</v>
      </c>
      <c r="BO45" t="s">
        <v>3</v>
      </c>
      <c r="BP45">
        <v>0</v>
      </c>
      <c r="BQ45">
        <v>130</v>
      </c>
      <c r="BR45">
        <v>0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 t="s">
        <v>3</v>
      </c>
      <c r="BZ45">
        <v>90</v>
      </c>
      <c r="CA45">
        <v>46</v>
      </c>
      <c r="CB45" t="s">
        <v>3</v>
      </c>
      <c r="CE45">
        <v>30</v>
      </c>
      <c r="CF45">
        <v>0</v>
      </c>
      <c r="CG45">
        <v>0</v>
      </c>
      <c r="CM45">
        <v>0</v>
      </c>
      <c r="CN45" t="s">
        <v>3</v>
      </c>
      <c r="CO45">
        <v>0</v>
      </c>
      <c r="CP45">
        <f t="shared" si="34"/>
        <v>1564.33</v>
      </c>
      <c r="CQ45">
        <f>ROUND((ROUND((AC45*1),2)*BC45),2)</f>
        <v>782.16</v>
      </c>
      <c r="CR45">
        <f>(ROUND((ROUND(((ET45)*AV45*1),2)*BB45),2)+ROUND((ROUND(((AE45-(EU45))*AV45*1),2)*BS45),2))</f>
        <v>0</v>
      </c>
      <c r="CS45">
        <f t="shared" si="35"/>
        <v>0</v>
      </c>
      <c r="CT45">
        <f t="shared" si="36"/>
        <v>0</v>
      </c>
      <c r="CU45">
        <f t="shared" si="37"/>
        <v>0</v>
      </c>
      <c r="CV45">
        <f t="shared" si="38"/>
        <v>0</v>
      </c>
      <c r="CW45">
        <f t="shared" si="39"/>
        <v>0</v>
      </c>
      <c r="CX45">
        <f t="shared" si="40"/>
        <v>0</v>
      </c>
      <c r="CY45">
        <f t="shared" si="41"/>
        <v>0</v>
      </c>
      <c r="CZ45">
        <f t="shared" si="42"/>
        <v>0</v>
      </c>
      <c r="DC45" t="s">
        <v>3</v>
      </c>
      <c r="DD45" t="s">
        <v>3</v>
      </c>
      <c r="DE45" t="s">
        <v>3</v>
      </c>
      <c r="DF45" t="s">
        <v>3</v>
      </c>
      <c r="DG45" t="s">
        <v>3</v>
      </c>
      <c r="DH45" t="s">
        <v>3</v>
      </c>
      <c r="DI45" t="s">
        <v>3</v>
      </c>
      <c r="DJ45" t="s">
        <v>3</v>
      </c>
      <c r="DK45" t="s">
        <v>3</v>
      </c>
      <c r="DL45" t="s">
        <v>3</v>
      </c>
      <c r="DM45" t="s">
        <v>3</v>
      </c>
      <c r="DN45">
        <v>0</v>
      </c>
      <c r="DO45">
        <v>0</v>
      </c>
      <c r="DP45">
        <v>1</v>
      </c>
      <c r="DQ45">
        <v>1</v>
      </c>
      <c r="DU45">
        <v>1010</v>
      </c>
      <c r="DV45" t="s">
        <v>32</v>
      </c>
      <c r="DW45" t="s">
        <v>32</v>
      </c>
      <c r="DX45">
        <v>1</v>
      </c>
      <c r="DZ45" t="s">
        <v>3</v>
      </c>
      <c r="EA45" t="s">
        <v>3</v>
      </c>
      <c r="EB45" t="s">
        <v>3</v>
      </c>
      <c r="EC45" t="s">
        <v>3</v>
      </c>
      <c r="EE45">
        <v>58162750</v>
      </c>
      <c r="EF45">
        <v>130</v>
      </c>
      <c r="EG45" t="s">
        <v>33</v>
      </c>
      <c r="EH45">
        <v>0</v>
      </c>
      <c r="EI45" t="s">
        <v>3</v>
      </c>
      <c r="EJ45">
        <v>3</v>
      </c>
      <c r="EK45">
        <v>746</v>
      </c>
      <c r="EL45" t="s">
        <v>34</v>
      </c>
      <c r="EM45" t="s">
        <v>35</v>
      </c>
      <c r="EO45" t="s">
        <v>3</v>
      </c>
      <c r="EQ45">
        <v>0</v>
      </c>
      <c r="ER45">
        <v>89.39</v>
      </c>
      <c r="ES45">
        <v>89.39</v>
      </c>
      <c r="ET45">
        <v>0</v>
      </c>
      <c r="EU45">
        <v>0</v>
      </c>
      <c r="EV45">
        <v>0</v>
      </c>
      <c r="EW45">
        <v>0</v>
      </c>
      <c r="EX45">
        <v>0</v>
      </c>
      <c r="FQ45">
        <v>0</v>
      </c>
      <c r="FR45">
        <f>P45</f>
        <v>1564.33</v>
      </c>
      <c r="FS45">
        <v>0</v>
      </c>
      <c r="FX45">
        <v>90</v>
      </c>
      <c r="FY45">
        <v>46</v>
      </c>
      <c r="GA45" t="s">
        <v>3</v>
      </c>
      <c r="GD45">
        <v>1</v>
      </c>
      <c r="GF45">
        <v>-836002113</v>
      </c>
      <c r="GG45">
        <v>2</v>
      </c>
      <c r="GH45">
        <v>1</v>
      </c>
      <c r="GI45">
        <v>2</v>
      </c>
      <c r="GJ45">
        <v>0</v>
      </c>
      <c r="GK45">
        <v>0</v>
      </c>
      <c r="GL45">
        <f t="shared" si="43"/>
        <v>0</v>
      </c>
      <c r="GM45">
        <f t="shared" si="44"/>
        <v>1564.33</v>
      </c>
      <c r="GN45">
        <f t="shared" si="45"/>
        <v>0</v>
      </c>
      <c r="GO45">
        <f t="shared" si="46"/>
        <v>0</v>
      </c>
      <c r="GP45">
        <f t="shared" si="47"/>
        <v>0</v>
      </c>
      <c r="GR45">
        <v>0</v>
      </c>
      <c r="GS45">
        <v>3</v>
      </c>
      <c r="GT45">
        <v>0</v>
      </c>
      <c r="GU45" t="s">
        <v>3</v>
      </c>
      <c r="GV45">
        <f t="shared" si="48"/>
        <v>0</v>
      </c>
      <c r="GW45">
        <v>1</v>
      </c>
      <c r="GX45">
        <f t="shared" si="49"/>
        <v>0</v>
      </c>
      <c r="HA45">
        <v>0</v>
      </c>
      <c r="HB45">
        <v>0</v>
      </c>
      <c r="HC45">
        <f t="shared" si="50"/>
        <v>0</v>
      </c>
      <c r="HE45" t="s">
        <v>3</v>
      </c>
      <c r="HF45" t="s">
        <v>3</v>
      </c>
      <c r="HM45" t="s">
        <v>3</v>
      </c>
      <c r="HN45" t="s">
        <v>3</v>
      </c>
      <c r="HO45" t="s">
        <v>3</v>
      </c>
      <c r="HP45" t="s">
        <v>3</v>
      </c>
      <c r="HQ45" t="s">
        <v>3</v>
      </c>
      <c r="HS45">
        <v>0</v>
      </c>
      <c r="IK45">
        <v>0</v>
      </c>
    </row>
    <row r="46" spans="1:255" x14ac:dyDescent="0.3">
      <c r="A46" s="2">
        <v>17</v>
      </c>
      <c r="B46" s="2">
        <v>1</v>
      </c>
      <c r="C46" s="2"/>
      <c r="D46" s="2">
        <f>ROW(EtalonRes!A64)</f>
        <v>64</v>
      </c>
      <c r="E46" s="2" t="s">
        <v>69</v>
      </c>
      <c r="F46" s="2" t="s">
        <v>70</v>
      </c>
      <c r="G46" s="2" t="s">
        <v>71</v>
      </c>
      <c r="H46" s="2" t="s">
        <v>22</v>
      </c>
      <c r="I46" s="2">
        <v>1</v>
      </c>
      <c r="J46" s="2">
        <v>0</v>
      </c>
      <c r="K46" s="2">
        <v>1</v>
      </c>
      <c r="L46" s="2"/>
      <c r="M46" s="2"/>
      <c r="N46" s="2"/>
      <c r="O46" s="2">
        <f t="shared" si="21"/>
        <v>79.84</v>
      </c>
      <c r="P46" s="2">
        <f>ROUND((ROUND((AC46*AW46*I46),2)*BC46),2)</f>
        <v>2.67</v>
      </c>
      <c r="Q46" s="2">
        <f>(ROUND((ROUND((((ET46*1.1))*AV46*I46),2)*BB46),2)+ROUND((ROUND(((AE46-((EU46*1.1)))*AV46*I46),2)*BS46),2))</f>
        <v>0.12</v>
      </c>
      <c r="R46" s="2">
        <f t="shared" si="22"/>
        <v>0</v>
      </c>
      <c r="S46" s="2">
        <f t="shared" si="23"/>
        <v>77.05</v>
      </c>
      <c r="T46" s="2">
        <f t="shared" si="24"/>
        <v>0</v>
      </c>
      <c r="U46" s="2">
        <f t="shared" si="25"/>
        <v>5.7584999999999997</v>
      </c>
      <c r="V46" s="2">
        <f t="shared" si="26"/>
        <v>0</v>
      </c>
      <c r="W46" s="2">
        <f t="shared" si="27"/>
        <v>0</v>
      </c>
      <c r="X46" s="2">
        <f t="shared" si="28"/>
        <v>69.349999999999994</v>
      </c>
      <c r="Y46" s="2">
        <f t="shared" si="29"/>
        <v>35.44</v>
      </c>
      <c r="Z46" s="2"/>
      <c r="AA46" s="2">
        <v>56511233</v>
      </c>
      <c r="AB46" s="2">
        <f t="shared" si="30"/>
        <v>76.37</v>
      </c>
      <c r="AC46" s="2">
        <f t="shared" si="31"/>
        <v>2.67</v>
      </c>
      <c r="AD46" s="2">
        <f>ROUND(((((ET46*1.1))-((EU46*1.1)))+AE46),6)</f>
        <v>0.11</v>
      </c>
      <c r="AE46" s="2">
        <f>ROUND(((EU46*1.1)),6)</f>
        <v>0</v>
      </c>
      <c r="AF46" s="2">
        <f>ROUND(((EV46*1.1)),6)</f>
        <v>73.59</v>
      </c>
      <c r="AG46" s="2">
        <f t="shared" si="32"/>
        <v>0</v>
      </c>
      <c r="AH46" s="2">
        <f>((EW46*1.1))</f>
        <v>5.5</v>
      </c>
      <c r="AI46" s="2">
        <f>((EX46*1.1))</f>
        <v>0</v>
      </c>
      <c r="AJ46" s="2">
        <f t="shared" si="33"/>
        <v>0</v>
      </c>
      <c r="AK46" s="2">
        <v>69.67</v>
      </c>
      <c r="AL46" s="2">
        <v>2.67</v>
      </c>
      <c r="AM46" s="2">
        <v>0.1</v>
      </c>
      <c r="AN46" s="2">
        <v>0</v>
      </c>
      <c r="AO46" s="2">
        <v>66.900000000000006</v>
      </c>
      <c r="AP46" s="2">
        <v>0</v>
      </c>
      <c r="AQ46" s="2">
        <v>5</v>
      </c>
      <c r="AR46" s="2">
        <v>0</v>
      </c>
      <c r="AS46" s="2">
        <v>0</v>
      </c>
      <c r="AT46" s="2">
        <v>90</v>
      </c>
      <c r="AU46" s="2">
        <v>46</v>
      </c>
      <c r="AV46" s="2">
        <v>1.0469999999999999</v>
      </c>
      <c r="AW46" s="2">
        <v>1</v>
      </c>
      <c r="AX46" s="2"/>
      <c r="AY46" s="2"/>
      <c r="AZ46" s="2">
        <v>1</v>
      </c>
      <c r="BA46" s="2">
        <v>1</v>
      </c>
      <c r="BB46" s="2">
        <v>1</v>
      </c>
      <c r="BC46" s="2">
        <v>1</v>
      </c>
      <c r="BD46" s="2" t="s">
        <v>3</v>
      </c>
      <c r="BE46" s="2" t="s">
        <v>3</v>
      </c>
      <c r="BF46" s="2" t="s">
        <v>3</v>
      </c>
      <c r="BG46" s="2" t="s">
        <v>3</v>
      </c>
      <c r="BH46" s="2">
        <v>0</v>
      </c>
      <c r="BI46" s="2">
        <v>2</v>
      </c>
      <c r="BJ46" s="2" t="s">
        <v>72</v>
      </c>
      <c r="BK46" s="2"/>
      <c r="BL46" s="2"/>
      <c r="BM46" s="2">
        <v>68</v>
      </c>
      <c r="BN46" s="2">
        <v>0</v>
      </c>
      <c r="BO46" s="2" t="s">
        <v>70</v>
      </c>
      <c r="BP46" s="2">
        <v>1</v>
      </c>
      <c r="BQ46" s="2">
        <v>40</v>
      </c>
      <c r="BR46" s="2">
        <v>0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 t="s">
        <v>3</v>
      </c>
      <c r="BZ46" s="2">
        <v>90</v>
      </c>
      <c r="CA46" s="2">
        <v>46</v>
      </c>
      <c r="CB46" s="2" t="s">
        <v>3</v>
      </c>
      <c r="CC46" s="2"/>
      <c r="CD46" s="2"/>
      <c r="CE46" s="2">
        <v>30</v>
      </c>
      <c r="CF46" s="2">
        <v>0</v>
      </c>
      <c r="CG46" s="2">
        <v>0</v>
      </c>
      <c r="CH46" s="2"/>
      <c r="CI46" s="2"/>
      <c r="CJ46" s="2"/>
      <c r="CK46" s="2"/>
      <c r="CL46" s="2"/>
      <c r="CM46" s="2">
        <v>0</v>
      </c>
      <c r="CN46" s="2" t="s">
        <v>3</v>
      </c>
      <c r="CO46" s="2">
        <v>0</v>
      </c>
      <c r="CP46" s="2">
        <f t="shared" si="34"/>
        <v>79.84</v>
      </c>
      <c r="CQ46" s="2">
        <f>ROUND((ROUND((AC46*AW46*1),2)*BC46),2)</f>
        <v>2.67</v>
      </c>
      <c r="CR46" s="2">
        <f>(ROUND((ROUND((((ET46*1.1))*AV46*1),2)*BB46),2)+ROUND((ROUND(((AE46-((EU46*1.1)))*AV46*1),2)*BS46),2))</f>
        <v>0.12</v>
      </c>
      <c r="CS46" s="2">
        <f t="shared" si="35"/>
        <v>0</v>
      </c>
      <c r="CT46" s="2">
        <f t="shared" si="36"/>
        <v>77.05</v>
      </c>
      <c r="CU46" s="2">
        <f t="shared" si="37"/>
        <v>0</v>
      </c>
      <c r="CV46" s="2">
        <f t="shared" si="38"/>
        <v>5.7584999999999997</v>
      </c>
      <c r="CW46" s="2">
        <f t="shared" si="39"/>
        <v>0</v>
      </c>
      <c r="CX46" s="2">
        <f t="shared" si="40"/>
        <v>0</v>
      </c>
      <c r="CY46" s="2">
        <f t="shared" si="41"/>
        <v>69.344999999999999</v>
      </c>
      <c r="CZ46" s="2">
        <f t="shared" si="42"/>
        <v>35.442999999999998</v>
      </c>
      <c r="DA46" s="2"/>
      <c r="DB46" s="2"/>
      <c r="DC46" s="2" t="s">
        <v>3</v>
      </c>
      <c r="DD46" s="2" t="s">
        <v>3</v>
      </c>
      <c r="DE46" s="2" t="s">
        <v>24</v>
      </c>
      <c r="DF46" s="2" t="s">
        <v>24</v>
      </c>
      <c r="DG46" s="2" t="s">
        <v>24</v>
      </c>
      <c r="DH46" s="2" t="s">
        <v>3</v>
      </c>
      <c r="DI46" s="2" t="s">
        <v>24</v>
      </c>
      <c r="DJ46" s="2" t="s">
        <v>24</v>
      </c>
      <c r="DK46" s="2" t="s">
        <v>3</v>
      </c>
      <c r="DL46" s="2" t="s">
        <v>3</v>
      </c>
      <c r="DM46" s="2" t="s">
        <v>3</v>
      </c>
      <c r="DN46" s="2">
        <v>0</v>
      </c>
      <c r="DO46" s="2">
        <v>0</v>
      </c>
      <c r="DP46" s="2">
        <v>1</v>
      </c>
      <c r="DQ46" s="2">
        <v>1</v>
      </c>
      <c r="DR46" s="2"/>
      <c r="DS46" s="2"/>
      <c r="DT46" s="2"/>
      <c r="DU46" s="2">
        <v>1013</v>
      </c>
      <c r="DV46" s="2" t="s">
        <v>22</v>
      </c>
      <c r="DW46" s="2" t="s">
        <v>22</v>
      </c>
      <c r="DX46" s="2">
        <v>1</v>
      </c>
      <c r="DY46" s="2"/>
      <c r="DZ46" s="2" t="s">
        <v>3</v>
      </c>
      <c r="EA46" s="2" t="s">
        <v>3</v>
      </c>
      <c r="EB46" s="2" t="s">
        <v>3</v>
      </c>
      <c r="EC46" s="2" t="s">
        <v>3</v>
      </c>
      <c r="ED46" s="2"/>
      <c r="EE46" s="2">
        <v>58162630</v>
      </c>
      <c r="EF46" s="2">
        <v>40</v>
      </c>
      <c r="EG46" s="2" t="s">
        <v>25</v>
      </c>
      <c r="EH46" s="2">
        <v>0</v>
      </c>
      <c r="EI46" s="2" t="s">
        <v>3</v>
      </c>
      <c r="EJ46" s="2">
        <v>2</v>
      </c>
      <c r="EK46" s="2">
        <v>68</v>
      </c>
      <c r="EL46" s="2" t="s">
        <v>26</v>
      </c>
      <c r="EM46" s="2" t="s">
        <v>27</v>
      </c>
      <c r="EN46" s="2"/>
      <c r="EO46" s="2" t="s">
        <v>28</v>
      </c>
      <c r="EP46" s="2"/>
      <c r="EQ46" s="2">
        <v>0</v>
      </c>
      <c r="ER46" s="2">
        <v>69.67</v>
      </c>
      <c r="ES46" s="2">
        <v>2.67</v>
      </c>
      <c r="ET46" s="2">
        <v>0.1</v>
      </c>
      <c r="EU46" s="2">
        <v>0</v>
      </c>
      <c r="EV46" s="2">
        <v>66.900000000000006</v>
      </c>
      <c r="EW46" s="2">
        <v>5</v>
      </c>
      <c r="EX46" s="2">
        <v>0</v>
      </c>
      <c r="EY46" s="2">
        <v>0</v>
      </c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>
        <v>0</v>
      </c>
      <c r="FR46" s="2">
        <v>0</v>
      </c>
      <c r="FS46" s="2">
        <v>0</v>
      </c>
      <c r="FT46" s="2"/>
      <c r="FU46" s="2"/>
      <c r="FV46" s="2"/>
      <c r="FW46" s="2"/>
      <c r="FX46" s="2">
        <v>90</v>
      </c>
      <c r="FY46" s="2">
        <v>46</v>
      </c>
      <c r="FZ46" s="2"/>
      <c r="GA46" s="2" t="s">
        <v>3</v>
      </c>
      <c r="GB46" s="2"/>
      <c r="GC46" s="2"/>
      <c r="GD46" s="2">
        <v>1</v>
      </c>
      <c r="GE46" s="2"/>
      <c r="GF46" s="2">
        <v>-1786768696</v>
      </c>
      <c r="GG46" s="2">
        <v>2</v>
      </c>
      <c r="GH46" s="2">
        <v>1</v>
      </c>
      <c r="GI46" s="2">
        <v>2</v>
      </c>
      <c r="GJ46" s="2">
        <v>0</v>
      </c>
      <c r="GK46" s="2">
        <v>0</v>
      </c>
      <c r="GL46" s="2">
        <f t="shared" si="43"/>
        <v>0</v>
      </c>
      <c r="GM46" s="2">
        <f t="shared" si="44"/>
        <v>184.63</v>
      </c>
      <c r="GN46" s="2">
        <f t="shared" si="45"/>
        <v>0</v>
      </c>
      <c r="GO46" s="2">
        <f t="shared" si="46"/>
        <v>184.63</v>
      </c>
      <c r="GP46" s="2">
        <f t="shared" si="47"/>
        <v>0</v>
      </c>
      <c r="GQ46" s="2"/>
      <c r="GR46" s="2">
        <v>0</v>
      </c>
      <c r="GS46" s="2">
        <v>3</v>
      </c>
      <c r="GT46" s="2">
        <v>0</v>
      </c>
      <c r="GU46" s="2" t="s">
        <v>3</v>
      </c>
      <c r="GV46" s="2">
        <f t="shared" si="48"/>
        <v>0</v>
      </c>
      <c r="GW46" s="2">
        <v>1</v>
      </c>
      <c r="GX46" s="2">
        <f t="shared" si="49"/>
        <v>0</v>
      </c>
      <c r="GY46" s="2"/>
      <c r="GZ46" s="2"/>
      <c r="HA46" s="2">
        <v>0</v>
      </c>
      <c r="HB46" s="2">
        <v>0</v>
      </c>
      <c r="HC46" s="2">
        <f t="shared" si="50"/>
        <v>0</v>
      </c>
      <c r="HD46" s="2"/>
      <c r="HE46" s="2" t="s">
        <v>3</v>
      </c>
      <c r="HF46" s="2" t="s">
        <v>3</v>
      </c>
      <c r="HG46" s="2"/>
      <c r="HH46" s="2"/>
      <c r="HI46" s="2"/>
      <c r="HJ46" s="2"/>
      <c r="HK46" s="2"/>
      <c r="HL46" s="2"/>
      <c r="HM46" s="2" t="s">
        <v>3</v>
      </c>
      <c r="HN46" s="2" t="s">
        <v>3</v>
      </c>
      <c r="HO46" s="2" t="s">
        <v>3</v>
      </c>
      <c r="HP46" s="2" t="s">
        <v>3</v>
      </c>
      <c r="HQ46" s="2" t="s">
        <v>3</v>
      </c>
      <c r="HR46" s="2"/>
      <c r="HS46" s="2">
        <v>0</v>
      </c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>
        <v>0</v>
      </c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pans="1:255" x14ac:dyDescent="0.3">
      <c r="A47">
        <v>17</v>
      </c>
      <c r="B47">
        <v>1</v>
      </c>
      <c r="D47">
        <f>ROW(EtalonRes!A68)</f>
        <v>68</v>
      </c>
      <c r="E47" t="s">
        <v>69</v>
      </c>
      <c r="F47" t="s">
        <v>70</v>
      </c>
      <c r="G47" t="s">
        <v>71</v>
      </c>
      <c r="H47" t="s">
        <v>22</v>
      </c>
      <c r="I47">
        <v>1</v>
      </c>
      <c r="J47">
        <v>0</v>
      </c>
      <c r="K47">
        <v>1</v>
      </c>
      <c r="O47">
        <f t="shared" si="21"/>
        <v>4240.45</v>
      </c>
      <c r="P47">
        <f>ROUND((ROUND((AC47*AW47*I47),2)*BC47),2)</f>
        <v>2.4</v>
      </c>
      <c r="Q47">
        <f>(ROUND((ROUND((((ET47*1.1))*AV47*I47),2)*BB47),2)+ROUND((ROUND(((AE47-((EU47*1.1)))*AV47*I47),2)*BS47),2))</f>
        <v>1.07</v>
      </c>
      <c r="R47">
        <f t="shared" si="22"/>
        <v>0</v>
      </c>
      <c r="S47">
        <f t="shared" si="23"/>
        <v>4236.9799999999996</v>
      </c>
      <c r="T47">
        <f t="shared" si="24"/>
        <v>0</v>
      </c>
      <c r="U47">
        <f t="shared" si="25"/>
        <v>5.7584999999999997</v>
      </c>
      <c r="V47">
        <f t="shared" si="26"/>
        <v>0</v>
      </c>
      <c r="W47">
        <f t="shared" si="27"/>
        <v>0</v>
      </c>
      <c r="X47">
        <f t="shared" si="28"/>
        <v>3813.28</v>
      </c>
      <c r="Y47">
        <f t="shared" si="29"/>
        <v>1949.01</v>
      </c>
      <c r="AA47">
        <v>56511235</v>
      </c>
      <c r="AB47">
        <f t="shared" si="30"/>
        <v>76.37</v>
      </c>
      <c r="AC47">
        <f t="shared" si="31"/>
        <v>2.67</v>
      </c>
      <c r="AD47">
        <f>ROUND(((((ET47*1.1))-((EU47*1.1)))+AE47),6)</f>
        <v>0.11</v>
      </c>
      <c r="AE47">
        <f>ROUND(((EU47*1.1)),6)</f>
        <v>0</v>
      </c>
      <c r="AF47">
        <f>ROUND(((EV47*1.1)),6)</f>
        <v>73.59</v>
      </c>
      <c r="AG47">
        <f t="shared" si="32"/>
        <v>0</v>
      </c>
      <c r="AH47">
        <f>((EW47*1.1))</f>
        <v>5.5</v>
      </c>
      <c r="AI47">
        <f>((EX47*1.1))</f>
        <v>0</v>
      </c>
      <c r="AJ47">
        <f t="shared" si="33"/>
        <v>0</v>
      </c>
      <c r="AK47">
        <v>69.67</v>
      </c>
      <c r="AL47">
        <v>2.67</v>
      </c>
      <c r="AM47">
        <v>0.1</v>
      </c>
      <c r="AN47">
        <v>0</v>
      </c>
      <c r="AO47">
        <v>66.900000000000006</v>
      </c>
      <c r="AP47">
        <v>0</v>
      </c>
      <c r="AQ47">
        <v>5</v>
      </c>
      <c r="AR47">
        <v>0</v>
      </c>
      <c r="AS47">
        <v>0</v>
      </c>
      <c r="AT47">
        <v>90</v>
      </c>
      <c r="AU47">
        <v>46</v>
      </c>
      <c r="AV47">
        <v>1.0469999999999999</v>
      </c>
      <c r="AW47">
        <v>1</v>
      </c>
      <c r="AZ47">
        <v>1</v>
      </c>
      <c r="BA47">
        <v>54.99</v>
      </c>
      <c r="BB47">
        <v>8.9</v>
      </c>
      <c r="BC47">
        <v>0.9</v>
      </c>
      <c r="BD47" t="s">
        <v>3</v>
      </c>
      <c r="BE47" t="s">
        <v>3</v>
      </c>
      <c r="BF47" t="s">
        <v>3</v>
      </c>
      <c r="BG47" t="s">
        <v>3</v>
      </c>
      <c r="BH47">
        <v>0</v>
      </c>
      <c r="BI47">
        <v>2</v>
      </c>
      <c r="BJ47" t="s">
        <v>72</v>
      </c>
      <c r="BM47">
        <v>68</v>
      </c>
      <c r="BN47">
        <v>0</v>
      </c>
      <c r="BO47" t="s">
        <v>70</v>
      </c>
      <c r="BP47">
        <v>1</v>
      </c>
      <c r="BQ47">
        <v>40</v>
      </c>
      <c r="BR47">
        <v>0</v>
      </c>
      <c r="BS47">
        <v>54.99</v>
      </c>
      <c r="BT47">
        <v>1</v>
      </c>
      <c r="BU47">
        <v>1</v>
      </c>
      <c r="BV47">
        <v>1</v>
      </c>
      <c r="BW47">
        <v>1</v>
      </c>
      <c r="BX47">
        <v>1</v>
      </c>
      <c r="BY47" t="s">
        <v>3</v>
      </c>
      <c r="BZ47">
        <v>90</v>
      </c>
      <c r="CA47">
        <v>46</v>
      </c>
      <c r="CB47" t="s">
        <v>3</v>
      </c>
      <c r="CE47">
        <v>30</v>
      </c>
      <c r="CF47">
        <v>0</v>
      </c>
      <c r="CG47">
        <v>0</v>
      </c>
      <c r="CM47">
        <v>0</v>
      </c>
      <c r="CN47" t="s">
        <v>3</v>
      </c>
      <c r="CO47">
        <v>0</v>
      </c>
      <c r="CP47">
        <f t="shared" si="34"/>
        <v>4240.45</v>
      </c>
      <c r="CQ47">
        <f>ROUND((ROUND((AC47*AW47*1),2)*BC47),2)</f>
        <v>2.4</v>
      </c>
      <c r="CR47">
        <f>(ROUND((ROUND((((ET47*1.1))*AV47*1),2)*BB47),2)+ROUND((ROUND(((AE47-((EU47*1.1)))*AV47*1),2)*BS47),2))</f>
        <v>1.07</v>
      </c>
      <c r="CS47">
        <f t="shared" si="35"/>
        <v>0</v>
      </c>
      <c r="CT47">
        <f t="shared" si="36"/>
        <v>4236.9799999999996</v>
      </c>
      <c r="CU47">
        <f t="shared" si="37"/>
        <v>0</v>
      </c>
      <c r="CV47">
        <f t="shared" si="38"/>
        <v>5.7584999999999997</v>
      </c>
      <c r="CW47">
        <f t="shared" si="39"/>
        <v>0</v>
      </c>
      <c r="CX47">
        <f t="shared" si="40"/>
        <v>0</v>
      </c>
      <c r="CY47">
        <f t="shared" si="41"/>
        <v>3813.2819999999997</v>
      </c>
      <c r="CZ47">
        <f t="shared" si="42"/>
        <v>1949.0107999999998</v>
      </c>
      <c r="DC47" t="s">
        <v>3</v>
      </c>
      <c r="DD47" t="s">
        <v>3</v>
      </c>
      <c r="DE47" t="s">
        <v>24</v>
      </c>
      <c r="DF47" t="s">
        <v>24</v>
      </c>
      <c r="DG47" t="s">
        <v>24</v>
      </c>
      <c r="DH47" t="s">
        <v>3</v>
      </c>
      <c r="DI47" t="s">
        <v>24</v>
      </c>
      <c r="DJ47" t="s">
        <v>24</v>
      </c>
      <c r="DK47" t="s">
        <v>3</v>
      </c>
      <c r="DL47" t="s">
        <v>3</v>
      </c>
      <c r="DM47" t="s">
        <v>3</v>
      </c>
      <c r="DN47">
        <v>0</v>
      </c>
      <c r="DO47">
        <v>0</v>
      </c>
      <c r="DP47">
        <v>1</v>
      </c>
      <c r="DQ47">
        <v>1</v>
      </c>
      <c r="DU47">
        <v>1013</v>
      </c>
      <c r="DV47" t="s">
        <v>22</v>
      </c>
      <c r="DW47" t="s">
        <v>22</v>
      </c>
      <c r="DX47">
        <v>1</v>
      </c>
      <c r="DZ47" t="s">
        <v>3</v>
      </c>
      <c r="EA47" t="s">
        <v>3</v>
      </c>
      <c r="EB47" t="s">
        <v>3</v>
      </c>
      <c r="EC47" t="s">
        <v>3</v>
      </c>
      <c r="EE47">
        <v>58162630</v>
      </c>
      <c r="EF47">
        <v>40</v>
      </c>
      <c r="EG47" t="s">
        <v>25</v>
      </c>
      <c r="EH47">
        <v>0</v>
      </c>
      <c r="EI47" t="s">
        <v>3</v>
      </c>
      <c r="EJ47">
        <v>2</v>
      </c>
      <c r="EK47">
        <v>68</v>
      </c>
      <c r="EL47" t="s">
        <v>26</v>
      </c>
      <c r="EM47" t="s">
        <v>27</v>
      </c>
      <c r="EO47" t="s">
        <v>28</v>
      </c>
      <c r="EQ47">
        <v>0</v>
      </c>
      <c r="ER47">
        <v>69.67</v>
      </c>
      <c r="ES47">
        <v>2.67</v>
      </c>
      <c r="ET47">
        <v>0.1</v>
      </c>
      <c r="EU47">
        <v>0</v>
      </c>
      <c r="EV47">
        <v>66.900000000000006</v>
      </c>
      <c r="EW47">
        <v>5</v>
      </c>
      <c r="EX47">
        <v>0</v>
      </c>
      <c r="EY47">
        <v>0</v>
      </c>
      <c r="FQ47">
        <v>0</v>
      </c>
      <c r="FR47">
        <v>0</v>
      </c>
      <c r="FS47">
        <v>0</v>
      </c>
      <c r="FX47">
        <v>90</v>
      </c>
      <c r="FY47">
        <v>46</v>
      </c>
      <c r="GA47" t="s">
        <v>3</v>
      </c>
      <c r="GD47">
        <v>1</v>
      </c>
      <c r="GF47">
        <v>-1786768696</v>
      </c>
      <c r="GG47">
        <v>2</v>
      </c>
      <c r="GH47">
        <v>1</v>
      </c>
      <c r="GI47">
        <v>2</v>
      </c>
      <c r="GJ47">
        <v>0</v>
      </c>
      <c r="GK47">
        <v>0</v>
      </c>
      <c r="GL47">
        <f t="shared" si="43"/>
        <v>0</v>
      </c>
      <c r="GM47">
        <f t="shared" si="44"/>
        <v>10002.74</v>
      </c>
      <c r="GN47">
        <f t="shared" si="45"/>
        <v>0</v>
      </c>
      <c r="GO47">
        <f t="shared" si="46"/>
        <v>10002.74</v>
      </c>
      <c r="GP47">
        <f t="shared" si="47"/>
        <v>0</v>
      </c>
      <c r="GR47">
        <v>0</v>
      </c>
      <c r="GS47">
        <v>3</v>
      </c>
      <c r="GT47">
        <v>0</v>
      </c>
      <c r="GU47" t="s">
        <v>3</v>
      </c>
      <c r="GV47">
        <f t="shared" si="48"/>
        <v>0</v>
      </c>
      <c r="GW47">
        <v>1</v>
      </c>
      <c r="GX47">
        <f t="shared" si="49"/>
        <v>0</v>
      </c>
      <c r="HA47">
        <v>0</v>
      </c>
      <c r="HB47">
        <v>0</v>
      </c>
      <c r="HC47">
        <f t="shared" si="50"/>
        <v>0</v>
      </c>
      <c r="HE47" t="s">
        <v>3</v>
      </c>
      <c r="HF47" t="s">
        <v>3</v>
      </c>
      <c r="HM47" t="s">
        <v>3</v>
      </c>
      <c r="HN47" t="s">
        <v>3</v>
      </c>
      <c r="HO47" t="s">
        <v>3</v>
      </c>
      <c r="HP47" t="s">
        <v>3</v>
      </c>
      <c r="HQ47" t="s">
        <v>3</v>
      </c>
      <c r="HS47">
        <v>0</v>
      </c>
      <c r="IK47">
        <v>0</v>
      </c>
    </row>
    <row r="48" spans="1:255" x14ac:dyDescent="0.3">
      <c r="A48" s="2">
        <v>18</v>
      </c>
      <c r="B48" s="2">
        <v>1</v>
      </c>
      <c r="C48" s="2"/>
      <c r="D48" s="2"/>
      <c r="E48" s="2" t="s">
        <v>73</v>
      </c>
      <c r="F48" s="2" t="s">
        <v>74</v>
      </c>
      <c r="G48" s="2" t="s">
        <v>75</v>
      </c>
      <c r="H48" s="2" t="s">
        <v>32</v>
      </c>
      <c r="I48" s="2">
        <f>I46*J48</f>
        <v>1</v>
      </c>
      <c r="J48" s="2">
        <v>1</v>
      </c>
      <c r="K48" s="2">
        <v>1</v>
      </c>
      <c r="L48" s="2"/>
      <c r="M48" s="2"/>
      <c r="N48" s="2"/>
      <c r="O48" s="2">
        <f t="shared" si="21"/>
        <v>9139.9</v>
      </c>
      <c r="P48" s="2">
        <f>ROUND((ROUND((AC48*I48),2)*BC48),2)</f>
        <v>9139.9</v>
      </c>
      <c r="Q48" s="2">
        <f>(ROUND((ROUND(((ET48)*AV48*I48),2)*BB48),2)+ROUND((ROUND(((AE48-(EU48))*AV48*I48),2)*BS48),2))</f>
        <v>0</v>
      </c>
      <c r="R48" s="2">
        <f t="shared" si="22"/>
        <v>0</v>
      </c>
      <c r="S48" s="2">
        <f t="shared" si="23"/>
        <v>0</v>
      </c>
      <c r="T48" s="2">
        <f t="shared" si="24"/>
        <v>0</v>
      </c>
      <c r="U48" s="2">
        <f t="shared" si="25"/>
        <v>0</v>
      </c>
      <c r="V48" s="2">
        <f t="shared" si="26"/>
        <v>0</v>
      </c>
      <c r="W48" s="2">
        <f t="shared" si="27"/>
        <v>0</v>
      </c>
      <c r="X48" s="2">
        <f t="shared" si="28"/>
        <v>0</v>
      </c>
      <c r="Y48" s="2">
        <f t="shared" si="29"/>
        <v>0</v>
      </c>
      <c r="Z48" s="2"/>
      <c r="AA48" s="2">
        <v>56511233</v>
      </c>
      <c r="AB48" s="2">
        <f t="shared" si="30"/>
        <v>9139.9</v>
      </c>
      <c r="AC48" s="2">
        <f t="shared" si="31"/>
        <v>9139.9</v>
      </c>
      <c r="AD48" s="2">
        <f>ROUND((((ET48)-(EU48))+AE48),6)</f>
        <v>0</v>
      </c>
      <c r="AE48" s="2">
        <f>ROUND((EU48),6)</f>
        <v>0</v>
      </c>
      <c r="AF48" s="2">
        <f>ROUND((EV48),6)</f>
        <v>0</v>
      </c>
      <c r="AG48" s="2">
        <f t="shared" si="32"/>
        <v>0</v>
      </c>
      <c r="AH48" s="2">
        <f>(EW48)</f>
        <v>0</v>
      </c>
      <c r="AI48" s="2">
        <f>(EX48)</f>
        <v>0</v>
      </c>
      <c r="AJ48" s="2">
        <f t="shared" si="33"/>
        <v>0</v>
      </c>
      <c r="AK48" s="2">
        <v>9139.8999999999978</v>
      </c>
      <c r="AL48" s="2">
        <v>9139.8999999999978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1</v>
      </c>
      <c r="AW48" s="2">
        <v>1</v>
      </c>
      <c r="AX48" s="2"/>
      <c r="AY48" s="2"/>
      <c r="AZ48" s="2">
        <v>1</v>
      </c>
      <c r="BA48" s="2">
        <v>1</v>
      </c>
      <c r="BB48" s="2">
        <v>1</v>
      </c>
      <c r="BC48" s="2">
        <v>1</v>
      </c>
      <c r="BD48" s="2" t="s">
        <v>3</v>
      </c>
      <c r="BE48" s="2" t="s">
        <v>3</v>
      </c>
      <c r="BF48" s="2" t="s">
        <v>3</v>
      </c>
      <c r="BG48" s="2" t="s">
        <v>3</v>
      </c>
      <c r="BH48" s="2">
        <v>3</v>
      </c>
      <c r="BI48" s="2">
        <v>3</v>
      </c>
      <c r="BJ48" s="2" t="s">
        <v>3</v>
      </c>
      <c r="BK48" s="2"/>
      <c r="BL48" s="2"/>
      <c r="BM48" s="2">
        <v>746</v>
      </c>
      <c r="BN48" s="2">
        <v>0</v>
      </c>
      <c r="BO48" s="2" t="s">
        <v>3</v>
      </c>
      <c r="BP48" s="2">
        <v>0</v>
      </c>
      <c r="BQ48" s="2">
        <v>130</v>
      </c>
      <c r="BR48" s="2">
        <v>0</v>
      </c>
      <c r="BS48" s="2">
        <v>1</v>
      </c>
      <c r="BT48" s="2">
        <v>1</v>
      </c>
      <c r="BU48" s="2">
        <v>1</v>
      </c>
      <c r="BV48" s="2">
        <v>1</v>
      </c>
      <c r="BW48" s="2">
        <v>1</v>
      </c>
      <c r="BX48" s="2">
        <v>1</v>
      </c>
      <c r="BY48" s="2" t="s">
        <v>3</v>
      </c>
      <c r="BZ48" s="2">
        <v>90</v>
      </c>
      <c r="CA48" s="2">
        <v>46</v>
      </c>
      <c r="CB48" s="2" t="s">
        <v>3</v>
      </c>
      <c r="CC48" s="2"/>
      <c r="CD48" s="2"/>
      <c r="CE48" s="2">
        <v>30</v>
      </c>
      <c r="CF48" s="2">
        <v>0</v>
      </c>
      <c r="CG48" s="2">
        <v>0</v>
      </c>
      <c r="CH48" s="2"/>
      <c r="CI48" s="2"/>
      <c r="CJ48" s="2"/>
      <c r="CK48" s="2"/>
      <c r="CL48" s="2"/>
      <c r="CM48" s="2">
        <v>0</v>
      </c>
      <c r="CN48" s="2" t="s">
        <v>3</v>
      </c>
      <c r="CO48" s="2">
        <v>0</v>
      </c>
      <c r="CP48" s="2">
        <f t="shared" si="34"/>
        <v>9139.9</v>
      </c>
      <c r="CQ48" s="2">
        <f>ROUND((ROUND((AC48*1),2)*BC48),2)</f>
        <v>9139.9</v>
      </c>
      <c r="CR48" s="2">
        <f>(ROUND((ROUND(((ET48)*AV48*1),2)*BB48),2)+ROUND((ROUND(((AE48-(EU48))*AV48*1),2)*BS48),2))</f>
        <v>0</v>
      </c>
      <c r="CS48" s="2">
        <f t="shared" si="35"/>
        <v>0</v>
      </c>
      <c r="CT48" s="2">
        <f t="shared" si="36"/>
        <v>0</v>
      </c>
      <c r="CU48" s="2">
        <f t="shared" si="37"/>
        <v>0</v>
      </c>
      <c r="CV48" s="2">
        <f t="shared" si="38"/>
        <v>0</v>
      </c>
      <c r="CW48" s="2">
        <f t="shared" si="39"/>
        <v>0</v>
      </c>
      <c r="CX48" s="2">
        <f t="shared" si="40"/>
        <v>0</v>
      </c>
      <c r="CY48" s="2">
        <f t="shared" si="41"/>
        <v>0</v>
      </c>
      <c r="CZ48" s="2">
        <f t="shared" si="42"/>
        <v>0</v>
      </c>
      <c r="DA48" s="2"/>
      <c r="DB48" s="2"/>
      <c r="DC48" s="2" t="s">
        <v>3</v>
      </c>
      <c r="DD48" s="2" t="s">
        <v>3</v>
      </c>
      <c r="DE48" s="2" t="s">
        <v>3</v>
      </c>
      <c r="DF48" s="2" t="s">
        <v>3</v>
      </c>
      <c r="DG48" s="2" t="s">
        <v>3</v>
      </c>
      <c r="DH48" s="2" t="s">
        <v>3</v>
      </c>
      <c r="DI48" s="2" t="s">
        <v>3</v>
      </c>
      <c r="DJ48" s="2" t="s">
        <v>3</v>
      </c>
      <c r="DK48" s="2" t="s">
        <v>3</v>
      </c>
      <c r="DL48" s="2" t="s">
        <v>3</v>
      </c>
      <c r="DM48" s="2" t="s">
        <v>3</v>
      </c>
      <c r="DN48" s="2">
        <v>0</v>
      </c>
      <c r="DO48" s="2">
        <v>0</v>
      </c>
      <c r="DP48" s="2">
        <v>1</v>
      </c>
      <c r="DQ48" s="2">
        <v>1</v>
      </c>
      <c r="DR48" s="2"/>
      <c r="DS48" s="2"/>
      <c r="DT48" s="2"/>
      <c r="DU48" s="2">
        <v>1010</v>
      </c>
      <c r="DV48" s="2" t="s">
        <v>32</v>
      </c>
      <c r="DW48" s="2" t="s">
        <v>32</v>
      </c>
      <c r="DX48" s="2">
        <v>1</v>
      </c>
      <c r="DY48" s="2"/>
      <c r="DZ48" s="2" t="s">
        <v>3</v>
      </c>
      <c r="EA48" s="2" t="s">
        <v>3</v>
      </c>
      <c r="EB48" s="2" t="s">
        <v>3</v>
      </c>
      <c r="EC48" s="2" t="s">
        <v>3</v>
      </c>
      <c r="ED48" s="2"/>
      <c r="EE48" s="2">
        <v>58162750</v>
      </c>
      <c r="EF48" s="2">
        <v>130</v>
      </c>
      <c r="EG48" s="2" t="s">
        <v>33</v>
      </c>
      <c r="EH48" s="2">
        <v>0</v>
      </c>
      <c r="EI48" s="2" t="s">
        <v>3</v>
      </c>
      <c r="EJ48" s="2">
        <v>3</v>
      </c>
      <c r="EK48" s="2">
        <v>746</v>
      </c>
      <c r="EL48" s="2" t="s">
        <v>34</v>
      </c>
      <c r="EM48" s="2" t="s">
        <v>35</v>
      </c>
      <c r="EN48" s="2"/>
      <c r="EO48" s="2" t="s">
        <v>3</v>
      </c>
      <c r="EP48" s="2"/>
      <c r="EQ48" s="2">
        <v>0</v>
      </c>
      <c r="ER48" s="2">
        <v>0</v>
      </c>
      <c r="ES48" s="2">
        <v>9139.8999999999978</v>
      </c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>
        <v>0</v>
      </c>
      <c r="FR48" s="2">
        <f>P48</f>
        <v>9139.9</v>
      </c>
      <c r="FS48" s="2">
        <v>0</v>
      </c>
      <c r="FT48" s="2"/>
      <c r="FU48" s="2"/>
      <c r="FV48" s="2"/>
      <c r="FW48" s="2"/>
      <c r="FX48" s="2">
        <v>90</v>
      </c>
      <c r="FY48" s="2">
        <v>46</v>
      </c>
      <c r="FZ48" s="2"/>
      <c r="GA48" s="2" t="s">
        <v>76</v>
      </c>
      <c r="GB48" s="2"/>
      <c r="GC48" s="2"/>
      <c r="GD48" s="2">
        <v>1</v>
      </c>
      <c r="GE48" s="2"/>
      <c r="GF48" s="2">
        <v>-1974328641</v>
      </c>
      <c r="GG48" s="2">
        <v>2</v>
      </c>
      <c r="GH48" s="2">
        <v>4</v>
      </c>
      <c r="GI48" s="2">
        <v>-2</v>
      </c>
      <c r="GJ48" s="2">
        <v>0</v>
      </c>
      <c r="GK48" s="2">
        <v>0</v>
      </c>
      <c r="GL48" s="2">
        <f t="shared" si="43"/>
        <v>0</v>
      </c>
      <c r="GM48" s="2">
        <f t="shared" si="44"/>
        <v>9139.9</v>
      </c>
      <c r="GN48" s="2">
        <f t="shared" si="45"/>
        <v>0</v>
      </c>
      <c r="GO48" s="2">
        <f t="shared" si="46"/>
        <v>0</v>
      </c>
      <c r="GP48" s="2">
        <f t="shared" si="47"/>
        <v>0</v>
      </c>
      <c r="GQ48" s="2"/>
      <c r="GR48" s="2">
        <v>0</v>
      </c>
      <c r="GS48" s="2">
        <v>2</v>
      </c>
      <c r="GT48" s="2">
        <v>0</v>
      </c>
      <c r="GU48" s="2" t="s">
        <v>3</v>
      </c>
      <c r="GV48" s="2">
        <f t="shared" si="48"/>
        <v>0</v>
      </c>
      <c r="GW48" s="2">
        <v>1</v>
      </c>
      <c r="GX48" s="2">
        <f t="shared" si="49"/>
        <v>0</v>
      </c>
      <c r="GY48" s="2"/>
      <c r="GZ48" s="2"/>
      <c r="HA48" s="2">
        <v>0</v>
      </c>
      <c r="HB48" s="2">
        <v>0</v>
      </c>
      <c r="HC48" s="2">
        <f t="shared" si="50"/>
        <v>0</v>
      </c>
      <c r="HD48" s="2"/>
      <c r="HE48" s="2" t="s">
        <v>37</v>
      </c>
      <c r="HF48" s="2" t="s">
        <v>38</v>
      </c>
      <c r="HG48" s="2"/>
      <c r="HH48" s="2"/>
      <c r="HI48" s="2"/>
      <c r="HJ48" s="2"/>
      <c r="HK48" s="2"/>
      <c r="HL48" s="2"/>
      <c r="HM48" s="2" t="s">
        <v>3</v>
      </c>
      <c r="HN48" s="2" t="s">
        <v>3</v>
      </c>
      <c r="HO48" s="2" t="s">
        <v>3</v>
      </c>
      <c r="HP48" s="2" t="s">
        <v>3</v>
      </c>
      <c r="HQ48" s="2" t="s">
        <v>3</v>
      </c>
      <c r="HR48" s="2"/>
      <c r="HS48" s="2">
        <v>0</v>
      </c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>
        <v>0</v>
      </c>
      <c r="IL48" s="2"/>
      <c r="IM48" s="2"/>
      <c r="IN48" s="2"/>
      <c r="IO48" s="2"/>
      <c r="IP48" s="2"/>
      <c r="IQ48" s="2"/>
      <c r="IR48" s="2"/>
      <c r="IS48" s="2"/>
      <c r="IT48" s="2"/>
      <c r="IU48" s="2"/>
    </row>
    <row r="49" spans="1:255" x14ac:dyDescent="0.3">
      <c r="A49">
        <v>18</v>
      </c>
      <c r="B49">
        <v>1</v>
      </c>
      <c r="E49" t="s">
        <v>73</v>
      </c>
      <c r="F49" t="s">
        <v>74</v>
      </c>
      <c r="G49" t="s">
        <v>75</v>
      </c>
      <c r="H49" t="s">
        <v>32</v>
      </c>
      <c r="I49">
        <f>I47*J49</f>
        <v>1</v>
      </c>
      <c r="J49">
        <v>1</v>
      </c>
      <c r="K49">
        <v>1</v>
      </c>
      <c r="O49">
        <f t="shared" si="21"/>
        <v>70011.63</v>
      </c>
      <c r="P49">
        <f>ROUND((ROUND((AC49*I49),2)*BC49),2)</f>
        <v>70011.63</v>
      </c>
      <c r="Q49">
        <f>(ROUND((ROUND(((ET49)*AV49*I49),2)*BB49),2)+ROUND((ROUND(((AE49-(EU49))*AV49*I49),2)*BS49),2))</f>
        <v>0</v>
      </c>
      <c r="R49">
        <f t="shared" si="22"/>
        <v>0</v>
      </c>
      <c r="S49">
        <f t="shared" si="23"/>
        <v>0</v>
      </c>
      <c r="T49">
        <f t="shared" si="24"/>
        <v>0</v>
      </c>
      <c r="U49">
        <f t="shared" si="25"/>
        <v>0</v>
      </c>
      <c r="V49">
        <f t="shared" si="26"/>
        <v>0</v>
      </c>
      <c r="W49">
        <f t="shared" si="27"/>
        <v>0</v>
      </c>
      <c r="X49">
        <f t="shared" si="28"/>
        <v>0</v>
      </c>
      <c r="Y49">
        <f t="shared" si="29"/>
        <v>0</v>
      </c>
      <c r="AA49">
        <v>56511235</v>
      </c>
      <c r="AB49">
        <f t="shared" si="30"/>
        <v>9139.9</v>
      </c>
      <c r="AC49">
        <f t="shared" si="31"/>
        <v>9139.9</v>
      </c>
      <c r="AD49">
        <f>ROUND((((ET49)-(EU49))+AE49),6)</f>
        <v>0</v>
      </c>
      <c r="AE49">
        <f>ROUND((EU49),6)</f>
        <v>0</v>
      </c>
      <c r="AF49">
        <f>ROUND((EV49),6)</f>
        <v>0</v>
      </c>
      <c r="AG49">
        <f t="shared" si="32"/>
        <v>0</v>
      </c>
      <c r="AH49">
        <f>(EW49)</f>
        <v>0</v>
      </c>
      <c r="AI49">
        <f>(EX49)</f>
        <v>0</v>
      </c>
      <c r="AJ49">
        <f t="shared" si="33"/>
        <v>0</v>
      </c>
      <c r="AK49">
        <v>9139.8999999999978</v>
      </c>
      <c r="AL49">
        <v>9139.8999999999978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1</v>
      </c>
      <c r="AW49">
        <v>1</v>
      </c>
      <c r="AZ49">
        <v>1</v>
      </c>
      <c r="BA49">
        <v>1</v>
      </c>
      <c r="BB49">
        <v>1</v>
      </c>
      <c r="BC49">
        <v>7.66</v>
      </c>
      <c r="BD49" t="s">
        <v>3</v>
      </c>
      <c r="BE49" t="s">
        <v>3</v>
      </c>
      <c r="BF49" t="s">
        <v>3</v>
      </c>
      <c r="BG49" t="s">
        <v>3</v>
      </c>
      <c r="BH49">
        <v>3</v>
      </c>
      <c r="BI49">
        <v>3</v>
      </c>
      <c r="BJ49" t="s">
        <v>3</v>
      </c>
      <c r="BM49">
        <v>746</v>
      </c>
      <c r="BN49">
        <v>0</v>
      </c>
      <c r="BO49" t="s">
        <v>3</v>
      </c>
      <c r="BP49">
        <v>0</v>
      </c>
      <c r="BQ49">
        <v>130</v>
      </c>
      <c r="BR49">
        <v>0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 t="s">
        <v>3</v>
      </c>
      <c r="BZ49">
        <v>90</v>
      </c>
      <c r="CA49">
        <v>46</v>
      </c>
      <c r="CB49" t="s">
        <v>3</v>
      </c>
      <c r="CE49">
        <v>30</v>
      </c>
      <c r="CF49">
        <v>0</v>
      </c>
      <c r="CG49">
        <v>0</v>
      </c>
      <c r="CM49">
        <v>0</v>
      </c>
      <c r="CN49" t="s">
        <v>3</v>
      </c>
      <c r="CO49">
        <v>0</v>
      </c>
      <c r="CP49">
        <f t="shared" si="34"/>
        <v>70011.63</v>
      </c>
      <c r="CQ49">
        <f>ROUND((ROUND((AC49*1),2)*BC49),2)</f>
        <v>70011.63</v>
      </c>
      <c r="CR49">
        <f>(ROUND((ROUND(((ET49)*AV49*1),2)*BB49),2)+ROUND((ROUND(((AE49-(EU49))*AV49*1),2)*BS49),2))</f>
        <v>0</v>
      </c>
      <c r="CS49">
        <f t="shared" si="35"/>
        <v>0</v>
      </c>
      <c r="CT49">
        <f t="shared" si="36"/>
        <v>0</v>
      </c>
      <c r="CU49">
        <f t="shared" si="37"/>
        <v>0</v>
      </c>
      <c r="CV49">
        <f t="shared" si="38"/>
        <v>0</v>
      </c>
      <c r="CW49">
        <f t="shared" si="39"/>
        <v>0</v>
      </c>
      <c r="CX49">
        <f t="shared" si="40"/>
        <v>0</v>
      </c>
      <c r="CY49">
        <f t="shared" si="41"/>
        <v>0</v>
      </c>
      <c r="CZ49">
        <f t="shared" si="42"/>
        <v>0</v>
      </c>
      <c r="DC49" t="s">
        <v>3</v>
      </c>
      <c r="DD49" t="s">
        <v>3</v>
      </c>
      <c r="DE49" t="s">
        <v>3</v>
      </c>
      <c r="DF49" t="s">
        <v>3</v>
      </c>
      <c r="DG49" t="s">
        <v>3</v>
      </c>
      <c r="DH49" t="s">
        <v>3</v>
      </c>
      <c r="DI49" t="s">
        <v>3</v>
      </c>
      <c r="DJ49" t="s">
        <v>3</v>
      </c>
      <c r="DK49" t="s">
        <v>3</v>
      </c>
      <c r="DL49" t="s">
        <v>3</v>
      </c>
      <c r="DM49" t="s">
        <v>3</v>
      </c>
      <c r="DN49">
        <v>0</v>
      </c>
      <c r="DO49">
        <v>0</v>
      </c>
      <c r="DP49">
        <v>1</v>
      </c>
      <c r="DQ49">
        <v>1</v>
      </c>
      <c r="DU49">
        <v>1010</v>
      </c>
      <c r="DV49" t="s">
        <v>32</v>
      </c>
      <c r="DW49" t="s">
        <v>32</v>
      </c>
      <c r="DX49">
        <v>1</v>
      </c>
      <c r="DZ49" t="s">
        <v>3</v>
      </c>
      <c r="EA49" t="s">
        <v>3</v>
      </c>
      <c r="EB49" t="s">
        <v>3</v>
      </c>
      <c r="EC49" t="s">
        <v>3</v>
      </c>
      <c r="EE49">
        <v>58162750</v>
      </c>
      <c r="EF49">
        <v>130</v>
      </c>
      <c r="EG49" t="s">
        <v>33</v>
      </c>
      <c r="EH49">
        <v>0</v>
      </c>
      <c r="EI49" t="s">
        <v>3</v>
      </c>
      <c r="EJ49">
        <v>3</v>
      </c>
      <c r="EK49">
        <v>746</v>
      </c>
      <c r="EL49" t="s">
        <v>34</v>
      </c>
      <c r="EM49" t="s">
        <v>35</v>
      </c>
      <c r="EO49" t="s">
        <v>3</v>
      </c>
      <c r="EQ49">
        <v>0</v>
      </c>
      <c r="ER49">
        <v>70011.66</v>
      </c>
      <c r="ES49">
        <v>9139.8999999999978</v>
      </c>
      <c r="ET49">
        <v>0</v>
      </c>
      <c r="EU49">
        <v>0</v>
      </c>
      <c r="EV49">
        <v>0</v>
      </c>
      <c r="EW49">
        <v>0</v>
      </c>
      <c r="EX49">
        <v>0</v>
      </c>
      <c r="EZ49">
        <v>5</v>
      </c>
      <c r="FC49">
        <v>1</v>
      </c>
      <c r="FD49">
        <v>18</v>
      </c>
      <c r="FF49">
        <v>80599.789999999994</v>
      </c>
      <c r="FQ49">
        <v>0</v>
      </c>
      <c r="FR49">
        <f>P49</f>
        <v>70011.63</v>
      </c>
      <c r="FS49">
        <v>0</v>
      </c>
      <c r="FX49">
        <v>90</v>
      </c>
      <c r="FY49">
        <v>46</v>
      </c>
      <c r="GA49" t="s">
        <v>76</v>
      </c>
      <c r="GD49">
        <v>1</v>
      </c>
      <c r="GF49">
        <v>-1974328641</v>
      </c>
      <c r="GG49">
        <v>2</v>
      </c>
      <c r="GH49">
        <v>3</v>
      </c>
      <c r="GI49">
        <v>5</v>
      </c>
      <c r="GJ49">
        <v>0</v>
      </c>
      <c r="GK49">
        <v>0</v>
      </c>
      <c r="GL49">
        <f t="shared" si="43"/>
        <v>0</v>
      </c>
      <c r="GM49">
        <f t="shared" si="44"/>
        <v>70011.63</v>
      </c>
      <c r="GN49">
        <f t="shared" si="45"/>
        <v>0</v>
      </c>
      <c r="GO49">
        <f t="shared" si="46"/>
        <v>0</v>
      </c>
      <c r="GP49">
        <f t="shared" si="47"/>
        <v>0</v>
      </c>
      <c r="GR49">
        <v>1</v>
      </c>
      <c r="GS49">
        <v>1</v>
      </c>
      <c r="GT49">
        <v>0</v>
      </c>
      <c r="GU49" t="s">
        <v>3</v>
      </c>
      <c r="GV49">
        <f t="shared" si="48"/>
        <v>0</v>
      </c>
      <c r="GW49">
        <v>1</v>
      </c>
      <c r="GX49">
        <f t="shared" si="49"/>
        <v>0</v>
      </c>
      <c r="HA49">
        <v>0</v>
      </c>
      <c r="HB49">
        <v>0</v>
      </c>
      <c r="HC49">
        <f t="shared" si="50"/>
        <v>0</v>
      </c>
      <c r="HE49" t="s">
        <v>37</v>
      </c>
      <c r="HF49" t="s">
        <v>38</v>
      </c>
      <c r="HM49" t="s">
        <v>3</v>
      </c>
      <c r="HN49" t="s">
        <v>3</v>
      </c>
      <c r="HO49" t="s">
        <v>3</v>
      </c>
      <c r="HP49" t="s">
        <v>3</v>
      </c>
      <c r="HQ49" t="s">
        <v>3</v>
      </c>
      <c r="HS49">
        <v>0</v>
      </c>
      <c r="IK49">
        <v>0</v>
      </c>
    </row>
    <row r="50" spans="1:255" x14ac:dyDescent="0.3">
      <c r="A50" s="2">
        <v>17</v>
      </c>
      <c r="B50" s="2">
        <v>1</v>
      </c>
      <c r="C50" s="2"/>
      <c r="D50" s="2">
        <f>ROW(EtalonRes!A74)</f>
        <v>74</v>
      </c>
      <c r="E50" s="2" t="s">
        <v>77</v>
      </c>
      <c r="F50" s="2" t="s">
        <v>40</v>
      </c>
      <c r="G50" s="2" t="s">
        <v>41</v>
      </c>
      <c r="H50" s="2" t="s">
        <v>42</v>
      </c>
      <c r="I50" s="2">
        <f>ROUND(17/10,9)</f>
        <v>1.7</v>
      </c>
      <c r="J50" s="2">
        <v>0</v>
      </c>
      <c r="K50" s="2">
        <f>ROUND(17/10,9)</f>
        <v>1.7</v>
      </c>
      <c r="L50" s="2"/>
      <c r="M50" s="2"/>
      <c r="N50" s="2"/>
      <c r="O50" s="2">
        <f t="shared" si="21"/>
        <v>461.33</v>
      </c>
      <c r="P50" s="2">
        <f>ROUND((ROUND((AC50*AW50*I50),2)*BC50),2)</f>
        <v>4.1500000000000004</v>
      </c>
      <c r="Q50" s="2">
        <f>(ROUND((ROUND((((ET50*1.1))*AV50*I50),2)*BB50),2)+ROUND((ROUND(((AE50-((EU50*1.1)))*AV50*I50),2)*BS50),2))</f>
        <v>11.88</v>
      </c>
      <c r="R50" s="2">
        <f t="shared" si="22"/>
        <v>1.49</v>
      </c>
      <c r="S50" s="2">
        <f t="shared" si="23"/>
        <v>445.3</v>
      </c>
      <c r="T50" s="2">
        <f t="shared" si="24"/>
        <v>0</v>
      </c>
      <c r="U50" s="2">
        <f t="shared" si="25"/>
        <v>28.663509600000005</v>
      </c>
      <c r="V50" s="2">
        <f t="shared" si="26"/>
        <v>0</v>
      </c>
      <c r="W50" s="2">
        <f t="shared" si="27"/>
        <v>0</v>
      </c>
      <c r="X50" s="2">
        <f t="shared" si="28"/>
        <v>402.11</v>
      </c>
      <c r="Y50" s="2">
        <f t="shared" si="29"/>
        <v>205.52</v>
      </c>
      <c r="Z50" s="2"/>
      <c r="AA50" s="2">
        <v>56511233</v>
      </c>
      <c r="AB50" s="2">
        <f t="shared" si="30"/>
        <v>259.30099999999999</v>
      </c>
      <c r="AC50" s="2">
        <f t="shared" si="31"/>
        <v>2.44</v>
      </c>
      <c r="AD50" s="2">
        <f>ROUND(((((ET50*1.1))-((EU50*1.1)))+AE50),6)</f>
        <v>6.6769999999999996</v>
      </c>
      <c r="AE50" s="2">
        <f>ROUND(((EU50*1.1)),6)</f>
        <v>0.83599999999999997</v>
      </c>
      <c r="AF50" s="2">
        <f>ROUND(((EV50*1.1)),6)</f>
        <v>250.184</v>
      </c>
      <c r="AG50" s="2">
        <f t="shared" si="32"/>
        <v>0</v>
      </c>
      <c r="AH50" s="2">
        <f>((EW50*1.1))</f>
        <v>16.104000000000003</v>
      </c>
      <c r="AI50" s="2">
        <f>((EX50*1.1))</f>
        <v>0</v>
      </c>
      <c r="AJ50" s="2">
        <f t="shared" si="33"/>
        <v>0</v>
      </c>
      <c r="AK50" s="2">
        <v>235.95</v>
      </c>
      <c r="AL50" s="2">
        <v>2.44</v>
      </c>
      <c r="AM50" s="2">
        <v>6.07</v>
      </c>
      <c r="AN50" s="2">
        <v>0.76</v>
      </c>
      <c r="AO50" s="2">
        <v>227.44</v>
      </c>
      <c r="AP50" s="2">
        <v>0</v>
      </c>
      <c r="AQ50" s="2">
        <v>14.64</v>
      </c>
      <c r="AR50" s="2">
        <v>0</v>
      </c>
      <c r="AS50" s="2">
        <v>0</v>
      </c>
      <c r="AT50" s="2">
        <v>90</v>
      </c>
      <c r="AU50" s="2">
        <v>46</v>
      </c>
      <c r="AV50" s="2">
        <v>1.0469999999999999</v>
      </c>
      <c r="AW50" s="2">
        <v>1</v>
      </c>
      <c r="AX50" s="2"/>
      <c r="AY50" s="2"/>
      <c r="AZ50" s="2">
        <v>1</v>
      </c>
      <c r="BA50" s="2">
        <v>1</v>
      </c>
      <c r="BB50" s="2">
        <v>1</v>
      </c>
      <c r="BC50" s="2">
        <v>1</v>
      </c>
      <c r="BD50" s="2" t="s">
        <v>3</v>
      </c>
      <c r="BE50" s="2" t="s">
        <v>3</v>
      </c>
      <c r="BF50" s="2" t="s">
        <v>3</v>
      </c>
      <c r="BG50" s="2" t="s">
        <v>3</v>
      </c>
      <c r="BH50" s="2">
        <v>0</v>
      </c>
      <c r="BI50" s="2">
        <v>2</v>
      </c>
      <c r="BJ50" s="2" t="s">
        <v>43</v>
      </c>
      <c r="BK50" s="2"/>
      <c r="BL50" s="2"/>
      <c r="BM50" s="2">
        <v>68</v>
      </c>
      <c r="BN50" s="2">
        <v>0</v>
      </c>
      <c r="BO50" s="2" t="s">
        <v>40</v>
      </c>
      <c r="BP50" s="2">
        <v>1</v>
      </c>
      <c r="BQ50" s="2">
        <v>40</v>
      </c>
      <c r="BR50" s="2">
        <v>0</v>
      </c>
      <c r="BS50" s="2">
        <v>1</v>
      </c>
      <c r="BT50" s="2">
        <v>1</v>
      </c>
      <c r="BU50" s="2">
        <v>1</v>
      </c>
      <c r="BV50" s="2">
        <v>1</v>
      </c>
      <c r="BW50" s="2">
        <v>1</v>
      </c>
      <c r="BX50" s="2">
        <v>1</v>
      </c>
      <c r="BY50" s="2" t="s">
        <v>3</v>
      </c>
      <c r="BZ50" s="2">
        <v>90</v>
      </c>
      <c r="CA50" s="2">
        <v>46</v>
      </c>
      <c r="CB50" s="2" t="s">
        <v>3</v>
      </c>
      <c r="CC50" s="2"/>
      <c r="CD50" s="2"/>
      <c r="CE50" s="2">
        <v>30</v>
      </c>
      <c r="CF50" s="2">
        <v>0</v>
      </c>
      <c r="CG50" s="2">
        <v>0</v>
      </c>
      <c r="CH50" s="2"/>
      <c r="CI50" s="2"/>
      <c r="CJ50" s="2"/>
      <c r="CK50" s="2"/>
      <c r="CL50" s="2"/>
      <c r="CM50" s="2">
        <v>0</v>
      </c>
      <c r="CN50" s="2" t="s">
        <v>3</v>
      </c>
      <c r="CO50" s="2">
        <v>0</v>
      </c>
      <c r="CP50" s="2">
        <f t="shared" si="34"/>
        <v>461.33000000000004</v>
      </c>
      <c r="CQ50" s="2">
        <f>ROUND((ROUND((AC50*AW50*1),2)*BC50),2)</f>
        <v>2.44</v>
      </c>
      <c r="CR50" s="2">
        <f>(ROUND((ROUND((((ET50*1.1))*AV50*1),2)*BB50),2)+ROUND((ROUND(((AE50-((EU50*1.1)))*AV50*1),2)*BS50),2))</f>
        <v>6.99</v>
      </c>
      <c r="CS50" s="2">
        <f t="shared" si="35"/>
        <v>0.88</v>
      </c>
      <c r="CT50" s="2">
        <f t="shared" si="36"/>
        <v>261.94</v>
      </c>
      <c r="CU50" s="2">
        <f t="shared" si="37"/>
        <v>0</v>
      </c>
      <c r="CV50" s="2">
        <f t="shared" si="38"/>
        <v>16.860888000000003</v>
      </c>
      <c r="CW50" s="2">
        <f t="shared" si="39"/>
        <v>0</v>
      </c>
      <c r="CX50" s="2">
        <f t="shared" si="40"/>
        <v>0</v>
      </c>
      <c r="CY50" s="2">
        <f t="shared" si="41"/>
        <v>402.11099999999999</v>
      </c>
      <c r="CZ50" s="2">
        <f t="shared" si="42"/>
        <v>205.52340000000001</v>
      </c>
      <c r="DA50" s="2"/>
      <c r="DB50" s="2"/>
      <c r="DC50" s="2" t="s">
        <v>3</v>
      </c>
      <c r="DD50" s="2" t="s">
        <v>3</v>
      </c>
      <c r="DE50" s="2" t="s">
        <v>24</v>
      </c>
      <c r="DF50" s="2" t="s">
        <v>24</v>
      </c>
      <c r="DG50" s="2" t="s">
        <v>24</v>
      </c>
      <c r="DH50" s="2" t="s">
        <v>3</v>
      </c>
      <c r="DI50" s="2" t="s">
        <v>24</v>
      </c>
      <c r="DJ50" s="2" t="s">
        <v>24</v>
      </c>
      <c r="DK50" s="2" t="s">
        <v>3</v>
      </c>
      <c r="DL50" s="2" t="s">
        <v>3</v>
      </c>
      <c r="DM50" s="2" t="s">
        <v>3</v>
      </c>
      <c r="DN50" s="2">
        <v>0</v>
      </c>
      <c r="DO50" s="2">
        <v>0</v>
      </c>
      <c r="DP50" s="2">
        <v>1</v>
      </c>
      <c r="DQ50" s="2">
        <v>1</v>
      </c>
      <c r="DR50" s="2"/>
      <c r="DS50" s="2"/>
      <c r="DT50" s="2"/>
      <c r="DU50" s="2">
        <v>1010</v>
      </c>
      <c r="DV50" s="2" t="s">
        <v>42</v>
      </c>
      <c r="DW50" s="2" t="s">
        <v>42</v>
      </c>
      <c r="DX50" s="2">
        <v>10</v>
      </c>
      <c r="DY50" s="2"/>
      <c r="DZ50" s="2" t="s">
        <v>3</v>
      </c>
      <c r="EA50" s="2" t="s">
        <v>3</v>
      </c>
      <c r="EB50" s="2" t="s">
        <v>3</v>
      </c>
      <c r="EC50" s="2" t="s">
        <v>3</v>
      </c>
      <c r="ED50" s="2"/>
      <c r="EE50" s="2">
        <v>58162630</v>
      </c>
      <c r="EF50" s="2">
        <v>40</v>
      </c>
      <c r="EG50" s="2" t="s">
        <v>25</v>
      </c>
      <c r="EH50" s="2">
        <v>0</v>
      </c>
      <c r="EI50" s="2" t="s">
        <v>3</v>
      </c>
      <c r="EJ50" s="2">
        <v>2</v>
      </c>
      <c r="EK50" s="2">
        <v>68</v>
      </c>
      <c r="EL50" s="2" t="s">
        <v>26</v>
      </c>
      <c r="EM50" s="2" t="s">
        <v>27</v>
      </c>
      <c r="EN50" s="2"/>
      <c r="EO50" s="2" t="s">
        <v>28</v>
      </c>
      <c r="EP50" s="2"/>
      <c r="EQ50" s="2">
        <v>0</v>
      </c>
      <c r="ER50" s="2">
        <v>235.95</v>
      </c>
      <c r="ES50" s="2">
        <v>2.44</v>
      </c>
      <c r="ET50" s="2">
        <v>6.07</v>
      </c>
      <c r="EU50" s="2">
        <v>0.76</v>
      </c>
      <c r="EV50" s="2">
        <v>227.44</v>
      </c>
      <c r="EW50" s="2">
        <v>14.64</v>
      </c>
      <c r="EX50" s="2">
        <v>0</v>
      </c>
      <c r="EY50" s="2">
        <v>0</v>
      </c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>
        <v>0</v>
      </c>
      <c r="FR50" s="2">
        <v>0</v>
      </c>
      <c r="FS50" s="2">
        <v>0</v>
      </c>
      <c r="FT50" s="2"/>
      <c r="FU50" s="2"/>
      <c r="FV50" s="2"/>
      <c r="FW50" s="2"/>
      <c r="FX50" s="2">
        <v>90</v>
      </c>
      <c r="FY50" s="2">
        <v>46</v>
      </c>
      <c r="FZ50" s="2"/>
      <c r="GA50" s="2" t="s">
        <v>3</v>
      </c>
      <c r="GB50" s="2"/>
      <c r="GC50" s="2"/>
      <c r="GD50" s="2">
        <v>1</v>
      </c>
      <c r="GE50" s="2"/>
      <c r="GF50" s="2">
        <v>-1147212458</v>
      </c>
      <c r="GG50" s="2">
        <v>2</v>
      </c>
      <c r="GH50" s="2">
        <v>1</v>
      </c>
      <c r="GI50" s="2">
        <v>2</v>
      </c>
      <c r="GJ50" s="2">
        <v>0</v>
      </c>
      <c r="GK50" s="2">
        <v>0</v>
      </c>
      <c r="GL50" s="2">
        <f t="shared" si="43"/>
        <v>0</v>
      </c>
      <c r="GM50" s="2">
        <f t="shared" si="44"/>
        <v>1068.96</v>
      </c>
      <c r="GN50" s="2">
        <f t="shared" si="45"/>
        <v>0</v>
      </c>
      <c r="GO50" s="2">
        <f t="shared" si="46"/>
        <v>1068.96</v>
      </c>
      <c r="GP50" s="2">
        <f t="shared" si="47"/>
        <v>0</v>
      </c>
      <c r="GQ50" s="2"/>
      <c r="GR50" s="2">
        <v>0</v>
      </c>
      <c r="GS50" s="2">
        <v>3</v>
      </c>
      <c r="GT50" s="2">
        <v>0</v>
      </c>
      <c r="GU50" s="2" t="s">
        <v>3</v>
      </c>
      <c r="GV50" s="2">
        <f t="shared" si="48"/>
        <v>0</v>
      </c>
      <c r="GW50" s="2">
        <v>1</v>
      </c>
      <c r="GX50" s="2">
        <f t="shared" si="49"/>
        <v>0</v>
      </c>
      <c r="GY50" s="2"/>
      <c r="GZ50" s="2"/>
      <c r="HA50" s="2">
        <v>0</v>
      </c>
      <c r="HB50" s="2">
        <v>0</v>
      </c>
      <c r="HC50" s="2">
        <f t="shared" si="50"/>
        <v>0</v>
      </c>
      <c r="HD50" s="2"/>
      <c r="HE50" s="2" t="s">
        <v>3</v>
      </c>
      <c r="HF50" s="2" t="s">
        <v>3</v>
      </c>
      <c r="HG50" s="2"/>
      <c r="HH50" s="2"/>
      <c r="HI50" s="2"/>
      <c r="HJ50" s="2"/>
      <c r="HK50" s="2"/>
      <c r="HL50" s="2"/>
      <c r="HM50" s="2" t="s">
        <v>3</v>
      </c>
      <c r="HN50" s="2" t="s">
        <v>3</v>
      </c>
      <c r="HO50" s="2" t="s">
        <v>3</v>
      </c>
      <c r="HP50" s="2" t="s">
        <v>3</v>
      </c>
      <c r="HQ50" s="2" t="s">
        <v>3</v>
      </c>
      <c r="HR50" s="2"/>
      <c r="HS50" s="2">
        <v>0</v>
      </c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>
        <v>0</v>
      </c>
      <c r="IL50" s="2"/>
      <c r="IM50" s="2"/>
      <c r="IN50" s="2"/>
      <c r="IO50" s="2"/>
      <c r="IP50" s="2"/>
      <c r="IQ50" s="2"/>
      <c r="IR50" s="2"/>
      <c r="IS50" s="2"/>
      <c r="IT50" s="2"/>
      <c r="IU50" s="2"/>
    </row>
    <row r="51" spans="1:255" x14ac:dyDescent="0.3">
      <c r="A51">
        <v>17</v>
      </c>
      <c r="B51">
        <v>1</v>
      </c>
      <c r="D51">
        <f>ROW(EtalonRes!A80)</f>
        <v>80</v>
      </c>
      <c r="E51" t="s">
        <v>77</v>
      </c>
      <c r="F51" t="s">
        <v>40</v>
      </c>
      <c r="G51" t="s">
        <v>41</v>
      </c>
      <c r="H51" t="s">
        <v>42</v>
      </c>
      <c r="I51">
        <f>ROUND(17/10,9)</f>
        <v>1.7</v>
      </c>
      <c r="J51">
        <v>0</v>
      </c>
      <c r="K51">
        <f>ROUND(17/10,9)</f>
        <v>1.7</v>
      </c>
      <c r="O51">
        <f t="shared" si="21"/>
        <v>24694.54</v>
      </c>
      <c r="P51">
        <f>ROUND((ROUND((AC51*AW51*I51),2)*BC51),2)</f>
        <v>30</v>
      </c>
      <c r="Q51">
        <f>(ROUND((ROUND((((ET51*1.1))*AV51*I51),2)*BB51),2)+ROUND((ROUND(((AE51-((EU51*1.1)))*AV51*I51),2)*BS51),2))</f>
        <v>177.49</v>
      </c>
      <c r="R51">
        <f t="shared" si="22"/>
        <v>81.94</v>
      </c>
      <c r="S51">
        <f t="shared" si="23"/>
        <v>24487.05</v>
      </c>
      <c r="T51">
        <f t="shared" si="24"/>
        <v>0</v>
      </c>
      <c r="U51">
        <f t="shared" si="25"/>
        <v>28.663509600000005</v>
      </c>
      <c r="V51">
        <f t="shared" si="26"/>
        <v>0</v>
      </c>
      <c r="W51">
        <f t="shared" si="27"/>
        <v>0</v>
      </c>
      <c r="X51">
        <f t="shared" si="28"/>
        <v>22112.09</v>
      </c>
      <c r="Y51">
        <f t="shared" si="29"/>
        <v>11301.74</v>
      </c>
      <c r="AA51">
        <v>56511235</v>
      </c>
      <c r="AB51">
        <f t="shared" si="30"/>
        <v>259.30099999999999</v>
      </c>
      <c r="AC51">
        <f t="shared" si="31"/>
        <v>2.44</v>
      </c>
      <c r="AD51">
        <f>ROUND(((((ET51*1.1))-((EU51*1.1)))+AE51),6)</f>
        <v>6.6769999999999996</v>
      </c>
      <c r="AE51">
        <f>ROUND(((EU51*1.1)),6)</f>
        <v>0.83599999999999997</v>
      </c>
      <c r="AF51">
        <f>ROUND(((EV51*1.1)),6)</f>
        <v>250.184</v>
      </c>
      <c r="AG51">
        <f t="shared" si="32"/>
        <v>0</v>
      </c>
      <c r="AH51">
        <f>((EW51*1.1))</f>
        <v>16.104000000000003</v>
      </c>
      <c r="AI51">
        <f>((EX51*1.1))</f>
        <v>0</v>
      </c>
      <c r="AJ51">
        <f t="shared" si="33"/>
        <v>0</v>
      </c>
      <c r="AK51">
        <v>235.95</v>
      </c>
      <c r="AL51">
        <v>2.44</v>
      </c>
      <c r="AM51">
        <v>6.07</v>
      </c>
      <c r="AN51">
        <v>0.76</v>
      </c>
      <c r="AO51">
        <v>227.44</v>
      </c>
      <c r="AP51">
        <v>0</v>
      </c>
      <c r="AQ51">
        <v>14.64</v>
      </c>
      <c r="AR51">
        <v>0</v>
      </c>
      <c r="AS51">
        <v>0</v>
      </c>
      <c r="AT51">
        <v>90</v>
      </c>
      <c r="AU51">
        <v>46</v>
      </c>
      <c r="AV51">
        <v>1.0469999999999999</v>
      </c>
      <c r="AW51">
        <v>1</v>
      </c>
      <c r="AZ51">
        <v>1</v>
      </c>
      <c r="BA51">
        <v>54.99</v>
      </c>
      <c r="BB51">
        <v>14.94</v>
      </c>
      <c r="BC51">
        <v>7.23</v>
      </c>
      <c r="BD51" t="s">
        <v>3</v>
      </c>
      <c r="BE51" t="s">
        <v>3</v>
      </c>
      <c r="BF51" t="s">
        <v>3</v>
      </c>
      <c r="BG51" t="s">
        <v>3</v>
      </c>
      <c r="BH51">
        <v>0</v>
      </c>
      <c r="BI51">
        <v>2</v>
      </c>
      <c r="BJ51" t="s">
        <v>43</v>
      </c>
      <c r="BM51">
        <v>68</v>
      </c>
      <c r="BN51">
        <v>0</v>
      </c>
      <c r="BO51" t="s">
        <v>40</v>
      </c>
      <c r="BP51">
        <v>1</v>
      </c>
      <c r="BQ51">
        <v>40</v>
      </c>
      <c r="BR51">
        <v>0</v>
      </c>
      <c r="BS51">
        <v>54.99</v>
      </c>
      <c r="BT51">
        <v>1</v>
      </c>
      <c r="BU51">
        <v>1</v>
      </c>
      <c r="BV51">
        <v>1</v>
      </c>
      <c r="BW51">
        <v>1</v>
      </c>
      <c r="BX51">
        <v>1</v>
      </c>
      <c r="BY51" t="s">
        <v>3</v>
      </c>
      <c r="BZ51">
        <v>90</v>
      </c>
      <c r="CA51">
        <v>46</v>
      </c>
      <c r="CB51" t="s">
        <v>3</v>
      </c>
      <c r="CE51">
        <v>30</v>
      </c>
      <c r="CF51">
        <v>0</v>
      </c>
      <c r="CG51">
        <v>0</v>
      </c>
      <c r="CM51">
        <v>0</v>
      </c>
      <c r="CN51" t="s">
        <v>3</v>
      </c>
      <c r="CO51">
        <v>0</v>
      </c>
      <c r="CP51">
        <f t="shared" si="34"/>
        <v>24694.54</v>
      </c>
      <c r="CQ51">
        <f>ROUND((ROUND((AC51*AW51*1),2)*BC51),2)</f>
        <v>17.64</v>
      </c>
      <c r="CR51">
        <f>(ROUND((ROUND((((ET51*1.1))*AV51*1),2)*BB51),2)+ROUND((ROUND(((AE51-((EU51*1.1)))*AV51*1),2)*BS51),2))</f>
        <v>104.43</v>
      </c>
      <c r="CS51">
        <f t="shared" si="35"/>
        <v>48.39</v>
      </c>
      <c r="CT51">
        <f t="shared" si="36"/>
        <v>14404.08</v>
      </c>
      <c r="CU51">
        <f t="shared" si="37"/>
        <v>0</v>
      </c>
      <c r="CV51">
        <f t="shared" si="38"/>
        <v>16.860888000000003</v>
      </c>
      <c r="CW51">
        <f t="shared" si="39"/>
        <v>0</v>
      </c>
      <c r="CX51">
        <f t="shared" si="40"/>
        <v>0</v>
      </c>
      <c r="CY51">
        <f t="shared" si="41"/>
        <v>22112.090999999997</v>
      </c>
      <c r="CZ51">
        <f t="shared" si="42"/>
        <v>11301.735399999998</v>
      </c>
      <c r="DC51" t="s">
        <v>3</v>
      </c>
      <c r="DD51" t="s">
        <v>3</v>
      </c>
      <c r="DE51" t="s">
        <v>24</v>
      </c>
      <c r="DF51" t="s">
        <v>24</v>
      </c>
      <c r="DG51" t="s">
        <v>24</v>
      </c>
      <c r="DH51" t="s">
        <v>3</v>
      </c>
      <c r="DI51" t="s">
        <v>24</v>
      </c>
      <c r="DJ51" t="s">
        <v>24</v>
      </c>
      <c r="DK51" t="s">
        <v>3</v>
      </c>
      <c r="DL51" t="s">
        <v>3</v>
      </c>
      <c r="DM51" t="s">
        <v>3</v>
      </c>
      <c r="DN51">
        <v>0</v>
      </c>
      <c r="DO51">
        <v>0</v>
      </c>
      <c r="DP51">
        <v>1</v>
      </c>
      <c r="DQ51">
        <v>1</v>
      </c>
      <c r="DU51">
        <v>1010</v>
      </c>
      <c r="DV51" t="s">
        <v>42</v>
      </c>
      <c r="DW51" t="s">
        <v>42</v>
      </c>
      <c r="DX51">
        <v>10</v>
      </c>
      <c r="DZ51" t="s">
        <v>3</v>
      </c>
      <c r="EA51" t="s">
        <v>3</v>
      </c>
      <c r="EB51" t="s">
        <v>3</v>
      </c>
      <c r="EC51" t="s">
        <v>3</v>
      </c>
      <c r="EE51">
        <v>58162630</v>
      </c>
      <c r="EF51">
        <v>40</v>
      </c>
      <c r="EG51" t="s">
        <v>25</v>
      </c>
      <c r="EH51">
        <v>0</v>
      </c>
      <c r="EI51" t="s">
        <v>3</v>
      </c>
      <c r="EJ51">
        <v>2</v>
      </c>
      <c r="EK51">
        <v>68</v>
      </c>
      <c r="EL51" t="s">
        <v>26</v>
      </c>
      <c r="EM51" t="s">
        <v>27</v>
      </c>
      <c r="EO51" t="s">
        <v>28</v>
      </c>
      <c r="EQ51">
        <v>0</v>
      </c>
      <c r="ER51">
        <v>235.95</v>
      </c>
      <c r="ES51">
        <v>2.44</v>
      </c>
      <c r="ET51">
        <v>6.07</v>
      </c>
      <c r="EU51">
        <v>0.76</v>
      </c>
      <c r="EV51">
        <v>227.44</v>
      </c>
      <c r="EW51">
        <v>14.64</v>
      </c>
      <c r="EX51">
        <v>0</v>
      </c>
      <c r="EY51">
        <v>0</v>
      </c>
      <c r="FQ51">
        <v>0</v>
      </c>
      <c r="FR51">
        <v>0</v>
      </c>
      <c r="FS51">
        <v>0</v>
      </c>
      <c r="FX51">
        <v>90</v>
      </c>
      <c r="FY51">
        <v>46</v>
      </c>
      <c r="GA51" t="s">
        <v>3</v>
      </c>
      <c r="GD51">
        <v>1</v>
      </c>
      <c r="GF51">
        <v>-1147212458</v>
      </c>
      <c r="GG51">
        <v>2</v>
      </c>
      <c r="GH51">
        <v>1</v>
      </c>
      <c r="GI51">
        <v>2</v>
      </c>
      <c r="GJ51">
        <v>0</v>
      </c>
      <c r="GK51">
        <v>0</v>
      </c>
      <c r="GL51">
        <f t="shared" si="43"/>
        <v>0</v>
      </c>
      <c r="GM51">
        <f t="shared" si="44"/>
        <v>58108.37</v>
      </c>
      <c r="GN51">
        <f t="shared" si="45"/>
        <v>0</v>
      </c>
      <c r="GO51">
        <f t="shared" si="46"/>
        <v>58108.37</v>
      </c>
      <c r="GP51">
        <f t="shared" si="47"/>
        <v>0</v>
      </c>
      <c r="GR51">
        <v>0</v>
      </c>
      <c r="GS51">
        <v>3</v>
      </c>
      <c r="GT51">
        <v>0</v>
      </c>
      <c r="GU51" t="s">
        <v>3</v>
      </c>
      <c r="GV51">
        <f t="shared" si="48"/>
        <v>0</v>
      </c>
      <c r="GW51">
        <v>1</v>
      </c>
      <c r="GX51">
        <f t="shared" si="49"/>
        <v>0</v>
      </c>
      <c r="HA51">
        <v>0</v>
      </c>
      <c r="HB51">
        <v>0</v>
      </c>
      <c r="HC51">
        <f t="shared" si="50"/>
        <v>0</v>
      </c>
      <c r="HE51" t="s">
        <v>3</v>
      </c>
      <c r="HF51" t="s">
        <v>3</v>
      </c>
      <c r="HM51" t="s">
        <v>3</v>
      </c>
      <c r="HN51" t="s">
        <v>3</v>
      </c>
      <c r="HO51" t="s">
        <v>3</v>
      </c>
      <c r="HP51" t="s">
        <v>3</v>
      </c>
      <c r="HQ51" t="s">
        <v>3</v>
      </c>
      <c r="HS51">
        <v>0</v>
      </c>
      <c r="IK51">
        <v>0</v>
      </c>
    </row>
    <row r="52" spans="1:255" x14ac:dyDescent="0.3">
      <c r="A52" s="2">
        <v>18</v>
      </c>
      <c r="B52" s="2">
        <v>1</v>
      </c>
      <c r="C52" s="2"/>
      <c r="D52" s="2"/>
      <c r="E52" s="2" t="s">
        <v>78</v>
      </c>
      <c r="F52" s="2" t="s">
        <v>79</v>
      </c>
      <c r="G52" s="2" t="s">
        <v>80</v>
      </c>
      <c r="H52" s="2" t="s">
        <v>32</v>
      </c>
      <c r="I52" s="2">
        <f>I50*J52</f>
        <v>17</v>
      </c>
      <c r="J52" s="2">
        <v>10</v>
      </c>
      <c r="K52" s="2">
        <v>10</v>
      </c>
      <c r="L52" s="2"/>
      <c r="M52" s="2"/>
      <c r="N52" s="2"/>
      <c r="O52" s="2">
        <f t="shared" si="21"/>
        <v>56794.11</v>
      </c>
      <c r="P52" s="2">
        <f>ROUND((ROUND((AC52*I52),2)*BC52),2)</f>
        <v>56794.11</v>
      </c>
      <c r="Q52" s="2">
        <f>(ROUND((ROUND(((ET52)*AV52*I52),2)*BB52),2)+ROUND((ROUND(((AE52-(EU52))*AV52*I52),2)*BS52),2))</f>
        <v>0</v>
      </c>
      <c r="R52" s="2">
        <f t="shared" si="22"/>
        <v>0</v>
      </c>
      <c r="S52" s="2">
        <f t="shared" si="23"/>
        <v>0</v>
      </c>
      <c r="T52" s="2">
        <f t="shared" si="24"/>
        <v>0</v>
      </c>
      <c r="U52" s="2">
        <f t="shared" si="25"/>
        <v>0</v>
      </c>
      <c r="V52" s="2">
        <f t="shared" si="26"/>
        <v>0</v>
      </c>
      <c r="W52" s="2">
        <f t="shared" si="27"/>
        <v>0</v>
      </c>
      <c r="X52" s="2">
        <f t="shared" si="28"/>
        <v>0</v>
      </c>
      <c r="Y52" s="2">
        <f t="shared" si="29"/>
        <v>0</v>
      </c>
      <c r="Z52" s="2"/>
      <c r="AA52" s="2">
        <v>56511233</v>
      </c>
      <c r="AB52" s="2">
        <f t="shared" si="30"/>
        <v>3340.83</v>
      </c>
      <c r="AC52" s="2">
        <f t="shared" si="31"/>
        <v>3340.83</v>
      </c>
      <c r="AD52" s="2">
        <f>ROUND((((ET52)-(EU52))+AE52),6)</f>
        <v>0</v>
      </c>
      <c r="AE52" s="2">
        <f>ROUND((EU52),6)</f>
        <v>0</v>
      </c>
      <c r="AF52" s="2">
        <f>ROUND((EV52),6)</f>
        <v>0</v>
      </c>
      <c r="AG52" s="2">
        <f t="shared" si="32"/>
        <v>0</v>
      </c>
      <c r="AH52" s="2">
        <f>(EW52)</f>
        <v>0</v>
      </c>
      <c r="AI52" s="2">
        <f>(EX52)</f>
        <v>0</v>
      </c>
      <c r="AJ52" s="2">
        <f t="shared" si="33"/>
        <v>0</v>
      </c>
      <c r="AK52" s="2">
        <v>3340.8300000000004</v>
      </c>
      <c r="AL52" s="2">
        <v>3340.8300000000004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1</v>
      </c>
      <c r="AW52" s="2">
        <v>1</v>
      </c>
      <c r="AX52" s="2"/>
      <c r="AY52" s="2"/>
      <c r="AZ52" s="2">
        <v>1</v>
      </c>
      <c r="BA52" s="2">
        <v>1</v>
      </c>
      <c r="BB52" s="2">
        <v>1</v>
      </c>
      <c r="BC52" s="2">
        <v>1</v>
      </c>
      <c r="BD52" s="2" t="s">
        <v>3</v>
      </c>
      <c r="BE52" s="2" t="s">
        <v>3</v>
      </c>
      <c r="BF52" s="2" t="s">
        <v>3</v>
      </c>
      <c r="BG52" s="2" t="s">
        <v>3</v>
      </c>
      <c r="BH52" s="2">
        <v>3</v>
      </c>
      <c r="BI52" s="2">
        <v>3</v>
      </c>
      <c r="BJ52" s="2" t="s">
        <v>3</v>
      </c>
      <c r="BK52" s="2"/>
      <c r="BL52" s="2"/>
      <c r="BM52" s="2">
        <v>746</v>
      </c>
      <c r="BN52" s="2">
        <v>0</v>
      </c>
      <c r="BO52" s="2" t="s">
        <v>3</v>
      </c>
      <c r="BP52" s="2">
        <v>0</v>
      </c>
      <c r="BQ52" s="2">
        <v>130</v>
      </c>
      <c r="BR52" s="2">
        <v>0</v>
      </c>
      <c r="BS52" s="2">
        <v>1</v>
      </c>
      <c r="BT52" s="2">
        <v>1</v>
      </c>
      <c r="BU52" s="2">
        <v>1</v>
      </c>
      <c r="BV52" s="2">
        <v>1</v>
      </c>
      <c r="BW52" s="2">
        <v>1</v>
      </c>
      <c r="BX52" s="2">
        <v>1</v>
      </c>
      <c r="BY52" s="2" t="s">
        <v>3</v>
      </c>
      <c r="BZ52" s="2">
        <v>90</v>
      </c>
      <c r="CA52" s="2">
        <v>46</v>
      </c>
      <c r="CB52" s="2" t="s">
        <v>3</v>
      </c>
      <c r="CC52" s="2"/>
      <c r="CD52" s="2"/>
      <c r="CE52" s="2">
        <v>30</v>
      </c>
      <c r="CF52" s="2">
        <v>0</v>
      </c>
      <c r="CG52" s="2">
        <v>0</v>
      </c>
      <c r="CH52" s="2"/>
      <c r="CI52" s="2"/>
      <c r="CJ52" s="2"/>
      <c r="CK52" s="2"/>
      <c r="CL52" s="2"/>
      <c r="CM52" s="2">
        <v>0</v>
      </c>
      <c r="CN52" s="2" t="s">
        <v>3</v>
      </c>
      <c r="CO52" s="2">
        <v>0</v>
      </c>
      <c r="CP52" s="2">
        <f t="shared" si="34"/>
        <v>56794.11</v>
      </c>
      <c r="CQ52" s="2">
        <f>ROUND((ROUND((AC52*1),2)*BC52),2)</f>
        <v>3340.83</v>
      </c>
      <c r="CR52" s="2">
        <f>(ROUND((ROUND(((ET52)*AV52*1),2)*BB52),2)+ROUND((ROUND(((AE52-(EU52))*AV52*1),2)*BS52),2))</f>
        <v>0</v>
      </c>
      <c r="CS52" s="2">
        <f t="shared" si="35"/>
        <v>0</v>
      </c>
      <c r="CT52" s="2">
        <f t="shared" si="36"/>
        <v>0</v>
      </c>
      <c r="CU52" s="2">
        <f t="shared" si="37"/>
        <v>0</v>
      </c>
      <c r="CV52" s="2">
        <f t="shared" si="38"/>
        <v>0</v>
      </c>
      <c r="CW52" s="2">
        <f t="shared" si="39"/>
        <v>0</v>
      </c>
      <c r="CX52" s="2">
        <f t="shared" si="40"/>
        <v>0</v>
      </c>
      <c r="CY52" s="2">
        <f t="shared" si="41"/>
        <v>0</v>
      </c>
      <c r="CZ52" s="2">
        <f t="shared" si="42"/>
        <v>0</v>
      </c>
      <c r="DA52" s="2"/>
      <c r="DB52" s="2"/>
      <c r="DC52" s="2" t="s">
        <v>3</v>
      </c>
      <c r="DD52" s="2" t="s">
        <v>3</v>
      </c>
      <c r="DE52" s="2" t="s">
        <v>3</v>
      </c>
      <c r="DF52" s="2" t="s">
        <v>3</v>
      </c>
      <c r="DG52" s="2" t="s">
        <v>3</v>
      </c>
      <c r="DH52" s="2" t="s">
        <v>3</v>
      </c>
      <c r="DI52" s="2" t="s">
        <v>3</v>
      </c>
      <c r="DJ52" s="2" t="s">
        <v>3</v>
      </c>
      <c r="DK52" s="2" t="s">
        <v>3</v>
      </c>
      <c r="DL52" s="2" t="s">
        <v>3</v>
      </c>
      <c r="DM52" s="2" t="s">
        <v>3</v>
      </c>
      <c r="DN52" s="2">
        <v>0</v>
      </c>
      <c r="DO52" s="2">
        <v>0</v>
      </c>
      <c r="DP52" s="2">
        <v>1</v>
      </c>
      <c r="DQ52" s="2">
        <v>1</v>
      </c>
      <c r="DR52" s="2"/>
      <c r="DS52" s="2"/>
      <c r="DT52" s="2"/>
      <c r="DU52" s="2">
        <v>1010</v>
      </c>
      <c r="DV52" s="2" t="s">
        <v>32</v>
      </c>
      <c r="DW52" s="2" t="s">
        <v>32</v>
      </c>
      <c r="DX52" s="2">
        <v>1</v>
      </c>
      <c r="DY52" s="2"/>
      <c r="DZ52" s="2" t="s">
        <v>3</v>
      </c>
      <c r="EA52" s="2" t="s">
        <v>3</v>
      </c>
      <c r="EB52" s="2" t="s">
        <v>3</v>
      </c>
      <c r="EC52" s="2" t="s">
        <v>3</v>
      </c>
      <c r="ED52" s="2"/>
      <c r="EE52" s="2">
        <v>58162750</v>
      </c>
      <c r="EF52" s="2">
        <v>130</v>
      </c>
      <c r="EG52" s="2" t="s">
        <v>33</v>
      </c>
      <c r="EH52" s="2">
        <v>0</v>
      </c>
      <c r="EI52" s="2" t="s">
        <v>3</v>
      </c>
      <c r="EJ52" s="2">
        <v>3</v>
      </c>
      <c r="EK52" s="2">
        <v>746</v>
      </c>
      <c r="EL52" s="2" t="s">
        <v>34</v>
      </c>
      <c r="EM52" s="2" t="s">
        <v>35</v>
      </c>
      <c r="EN52" s="2"/>
      <c r="EO52" s="2" t="s">
        <v>3</v>
      </c>
      <c r="EP52" s="2"/>
      <c r="EQ52" s="2">
        <v>0</v>
      </c>
      <c r="ER52" s="2">
        <v>0</v>
      </c>
      <c r="ES52" s="2">
        <v>3340.8300000000004</v>
      </c>
      <c r="ET52" s="2">
        <v>0</v>
      </c>
      <c r="EU52" s="2">
        <v>0</v>
      </c>
      <c r="EV52" s="2">
        <v>0</v>
      </c>
      <c r="EW52" s="2">
        <v>0</v>
      </c>
      <c r="EX52" s="2">
        <v>0</v>
      </c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>
        <v>0</v>
      </c>
      <c r="FR52" s="2">
        <f>P52</f>
        <v>56794.11</v>
      </c>
      <c r="FS52" s="2">
        <v>0</v>
      </c>
      <c r="FT52" s="2"/>
      <c r="FU52" s="2"/>
      <c r="FV52" s="2"/>
      <c r="FW52" s="2"/>
      <c r="FX52" s="2">
        <v>90</v>
      </c>
      <c r="FY52" s="2">
        <v>46</v>
      </c>
      <c r="FZ52" s="2"/>
      <c r="GA52" s="2" t="s">
        <v>81</v>
      </c>
      <c r="GB52" s="2"/>
      <c r="GC52" s="2"/>
      <c r="GD52" s="2">
        <v>1</v>
      </c>
      <c r="GE52" s="2"/>
      <c r="GF52" s="2">
        <v>851379823</v>
      </c>
      <c r="GG52" s="2">
        <v>2</v>
      </c>
      <c r="GH52" s="2">
        <v>4</v>
      </c>
      <c r="GI52" s="2">
        <v>-2</v>
      </c>
      <c r="GJ52" s="2">
        <v>0</v>
      </c>
      <c r="GK52" s="2">
        <v>0</v>
      </c>
      <c r="GL52" s="2">
        <f t="shared" si="43"/>
        <v>0</v>
      </c>
      <c r="GM52" s="2">
        <f t="shared" si="44"/>
        <v>56794.11</v>
      </c>
      <c r="GN52" s="2">
        <f t="shared" si="45"/>
        <v>0</v>
      </c>
      <c r="GO52" s="2">
        <f t="shared" si="46"/>
        <v>0</v>
      </c>
      <c r="GP52" s="2">
        <f t="shared" si="47"/>
        <v>0</v>
      </c>
      <c r="GQ52" s="2"/>
      <c r="GR52" s="2">
        <v>0</v>
      </c>
      <c r="GS52" s="2">
        <v>2</v>
      </c>
      <c r="GT52" s="2">
        <v>0</v>
      </c>
      <c r="GU52" s="2" t="s">
        <v>3</v>
      </c>
      <c r="GV52" s="2">
        <f t="shared" si="48"/>
        <v>0</v>
      </c>
      <c r="GW52" s="2">
        <v>1</v>
      </c>
      <c r="GX52" s="2">
        <f t="shared" si="49"/>
        <v>0</v>
      </c>
      <c r="GY52" s="2"/>
      <c r="GZ52" s="2"/>
      <c r="HA52" s="2">
        <v>0</v>
      </c>
      <c r="HB52" s="2">
        <v>0</v>
      </c>
      <c r="HC52" s="2">
        <f t="shared" si="50"/>
        <v>0</v>
      </c>
      <c r="HD52" s="2"/>
      <c r="HE52" s="2" t="s">
        <v>37</v>
      </c>
      <c r="HF52" s="2" t="s">
        <v>38</v>
      </c>
      <c r="HG52" s="2"/>
      <c r="HH52" s="2"/>
      <c r="HI52" s="2"/>
      <c r="HJ52" s="2"/>
      <c r="HK52" s="2"/>
      <c r="HL52" s="2"/>
      <c r="HM52" s="2" t="s">
        <v>3</v>
      </c>
      <c r="HN52" s="2" t="s">
        <v>3</v>
      </c>
      <c r="HO52" s="2" t="s">
        <v>3</v>
      </c>
      <c r="HP52" s="2" t="s">
        <v>3</v>
      </c>
      <c r="HQ52" s="2" t="s">
        <v>3</v>
      </c>
      <c r="HR52" s="2"/>
      <c r="HS52" s="2">
        <v>0</v>
      </c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>
        <v>0</v>
      </c>
      <c r="IL52" s="2"/>
      <c r="IM52" s="2"/>
      <c r="IN52" s="2"/>
      <c r="IO52" s="2"/>
      <c r="IP52" s="2"/>
      <c r="IQ52" s="2"/>
      <c r="IR52" s="2"/>
      <c r="IS52" s="2"/>
      <c r="IT52" s="2"/>
      <c r="IU52" s="2"/>
    </row>
    <row r="53" spans="1:255" x14ac:dyDescent="0.3">
      <c r="A53">
        <v>18</v>
      </c>
      <c r="B53">
        <v>1</v>
      </c>
      <c r="E53" t="s">
        <v>78</v>
      </c>
      <c r="F53" t="s">
        <v>79</v>
      </c>
      <c r="G53" t="s">
        <v>80</v>
      </c>
      <c r="H53" t="s">
        <v>32</v>
      </c>
      <c r="I53">
        <f>I51*J53</f>
        <v>17</v>
      </c>
      <c r="J53">
        <v>10</v>
      </c>
      <c r="K53">
        <v>10</v>
      </c>
      <c r="O53">
        <f t="shared" si="21"/>
        <v>435042.88</v>
      </c>
      <c r="P53">
        <f>ROUND((ROUND((AC53*I53),2)*BC53),2)</f>
        <v>435042.88</v>
      </c>
      <c r="Q53">
        <f>(ROUND((ROUND(((ET53)*AV53*I53),2)*BB53),2)+ROUND((ROUND(((AE53-(EU53))*AV53*I53),2)*BS53),2))</f>
        <v>0</v>
      </c>
      <c r="R53">
        <f t="shared" si="22"/>
        <v>0</v>
      </c>
      <c r="S53">
        <f t="shared" si="23"/>
        <v>0</v>
      </c>
      <c r="T53">
        <f t="shared" si="24"/>
        <v>0</v>
      </c>
      <c r="U53">
        <f t="shared" si="25"/>
        <v>0</v>
      </c>
      <c r="V53">
        <f t="shared" si="26"/>
        <v>0</v>
      </c>
      <c r="W53">
        <f t="shared" si="27"/>
        <v>0</v>
      </c>
      <c r="X53">
        <f t="shared" si="28"/>
        <v>0</v>
      </c>
      <c r="Y53">
        <f t="shared" si="29"/>
        <v>0</v>
      </c>
      <c r="AA53">
        <v>56511235</v>
      </c>
      <c r="AB53">
        <f t="shared" si="30"/>
        <v>3340.83</v>
      </c>
      <c r="AC53">
        <f t="shared" si="31"/>
        <v>3340.83</v>
      </c>
      <c r="AD53">
        <f>ROUND((((ET53)-(EU53))+AE53),6)</f>
        <v>0</v>
      </c>
      <c r="AE53">
        <f>ROUND((EU53),6)</f>
        <v>0</v>
      </c>
      <c r="AF53">
        <f>ROUND((EV53),6)</f>
        <v>0</v>
      </c>
      <c r="AG53">
        <f t="shared" si="32"/>
        <v>0</v>
      </c>
      <c r="AH53">
        <f>(EW53)</f>
        <v>0</v>
      </c>
      <c r="AI53">
        <f>(EX53)</f>
        <v>0</v>
      </c>
      <c r="AJ53">
        <f t="shared" si="33"/>
        <v>0</v>
      </c>
      <c r="AK53">
        <v>3340.8300000000004</v>
      </c>
      <c r="AL53">
        <v>3340.8300000000004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</v>
      </c>
      <c r="AW53">
        <v>1</v>
      </c>
      <c r="AZ53">
        <v>1</v>
      </c>
      <c r="BA53">
        <v>1</v>
      </c>
      <c r="BB53">
        <v>1</v>
      </c>
      <c r="BC53">
        <v>7.66</v>
      </c>
      <c r="BD53" t="s">
        <v>3</v>
      </c>
      <c r="BE53" t="s">
        <v>3</v>
      </c>
      <c r="BF53" t="s">
        <v>3</v>
      </c>
      <c r="BG53" t="s">
        <v>3</v>
      </c>
      <c r="BH53">
        <v>3</v>
      </c>
      <c r="BI53">
        <v>3</v>
      </c>
      <c r="BJ53" t="s">
        <v>3</v>
      </c>
      <c r="BM53">
        <v>746</v>
      </c>
      <c r="BN53">
        <v>0</v>
      </c>
      <c r="BO53" t="s">
        <v>3</v>
      </c>
      <c r="BP53">
        <v>0</v>
      </c>
      <c r="BQ53">
        <v>130</v>
      </c>
      <c r="BR53">
        <v>0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 t="s">
        <v>3</v>
      </c>
      <c r="BZ53">
        <v>90</v>
      </c>
      <c r="CA53">
        <v>46</v>
      </c>
      <c r="CB53" t="s">
        <v>3</v>
      </c>
      <c r="CE53">
        <v>30</v>
      </c>
      <c r="CF53">
        <v>0</v>
      </c>
      <c r="CG53">
        <v>0</v>
      </c>
      <c r="CM53">
        <v>0</v>
      </c>
      <c r="CN53" t="s">
        <v>3</v>
      </c>
      <c r="CO53">
        <v>0</v>
      </c>
      <c r="CP53">
        <f t="shared" si="34"/>
        <v>435042.88</v>
      </c>
      <c r="CQ53">
        <f>ROUND((ROUND((AC53*1),2)*BC53),2)</f>
        <v>25590.76</v>
      </c>
      <c r="CR53">
        <f>(ROUND((ROUND(((ET53)*AV53*1),2)*BB53),2)+ROUND((ROUND(((AE53-(EU53))*AV53*1),2)*BS53),2))</f>
        <v>0</v>
      </c>
      <c r="CS53">
        <f t="shared" si="35"/>
        <v>0</v>
      </c>
      <c r="CT53">
        <f t="shared" si="36"/>
        <v>0</v>
      </c>
      <c r="CU53">
        <f t="shared" si="37"/>
        <v>0</v>
      </c>
      <c r="CV53">
        <f t="shared" si="38"/>
        <v>0</v>
      </c>
      <c r="CW53">
        <f t="shared" si="39"/>
        <v>0</v>
      </c>
      <c r="CX53">
        <f t="shared" si="40"/>
        <v>0</v>
      </c>
      <c r="CY53">
        <f t="shared" si="41"/>
        <v>0</v>
      </c>
      <c r="CZ53">
        <f t="shared" si="42"/>
        <v>0</v>
      </c>
      <c r="DC53" t="s">
        <v>3</v>
      </c>
      <c r="DD53" t="s">
        <v>3</v>
      </c>
      <c r="DE53" t="s">
        <v>3</v>
      </c>
      <c r="DF53" t="s">
        <v>3</v>
      </c>
      <c r="DG53" t="s">
        <v>3</v>
      </c>
      <c r="DH53" t="s">
        <v>3</v>
      </c>
      <c r="DI53" t="s">
        <v>3</v>
      </c>
      <c r="DJ53" t="s">
        <v>3</v>
      </c>
      <c r="DK53" t="s">
        <v>3</v>
      </c>
      <c r="DL53" t="s">
        <v>3</v>
      </c>
      <c r="DM53" t="s">
        <v>3</v>
      </c>
      <c r="DN53">
        <v>0</v>
      </c>
      <c r="DO53">
        <v>0</v>
      </c>
      <c r="DP53">
        <v>1</v>
      </c>
      <c r="DQ53">
        <v>1</v>
      </c>
      <c r="DU53">
        <v>1010</v>
      </c>
      <c r="DV53" t="s">
        <v>32</v>
      </c>
      <c r="DW53" t="s">
        <v>32</v>
      </c>
      <c r="DX53">
        <v>1</v>
      </c>
      <c r="DZ53" t="s">
        <v>3</v>
      </c>
      <c r="EA53" t="s">
        <v>3</v>
      </c>
      <c r="EB53" t="s">
        <v>3</v>
      </c>
      <c r="EC53" t="s">
        <v>3</v>
      </c>
      <c r="EE53">
        <v>58162750</v>
      </c>
      <c r="EF53">
        <v>130</v>
      </c>
      <c r="EG53" t="s">
        <v>33</v>
      </c>
      <c r="EH53">
        <v>0</v>
      </c>
      <c r="EI53" t="s">
        <v>3</v>
      </c>
      <c r="EJ53">
        <v>3</v>
      </c>
      <c r="EK53">
        <v>746</v>
      </c>
      <c r="EL53" t="s">
        <v>34</v>
      </c>
      <c r="EM53" t="s">
        <v>35</v>
      </c>
      <c r="EO53" t="s">
        <v>3</v>
      </c>
      <c r="EQ53">
        <v>0</v>
      </c>
      <c r="ER53">
        <v>25590.800000000003</v>
      </c>
      <c r="ES53">
        <v>3340.8300000000004</v>
      </c>
      <c r="ET53">
        <v>0</v>
      </c>
      <c r="EU53">
        <v>0</v>
      </c>
      <c r="EV53">
        <v>0</v>
      </c>
      <c r="EW53">
        <v>0</v>
      </c>
      <c r="EX53">
        <v>0</v>
      </c>
      <c r="EZ53">
        <v>5</v>
      </c>
      <c r="FC53">
        <v>1</v>
      </c>
      <c r="FD53">
        <v>18</v>
      </c>
      <c r="FF53">
        <v>29461</v>
      </c>
      <c r="FQ53">
        <v>0</v>
      </c>
      <c r="FR53">
        <f>P53</f>
        <v>435042.88</v>
      </c>
      <c r="FS53">
        <v>0</v>
      </c>
      <c r="FX53">
        <v>90</v>
      </c>
      <c r="FY53">
        <v>46</v>
      </c>
      <c r="GA53" t="s">
        <v>81</v>
      </c>
      <c r="GD53">
        <v>1</v>
      </c>
      <c r="GF53">
        <v>851379823</v>
      </c>
      <c r="GG53">
        <v>2</v>
      </c>
      <c r="GH53">
        <v>3</v>
      </c>
      <c r="GI53">
        <v>5</v>
      </c>
      <c r="GJ53">
        <v>0</v>
      </c>
      <c r="GK53">
        <v>0</v>
      </c>
      <c r="GL53">
        <f t="shared" si="43"/>
        <v>0</v>
      </c>
      <c r="GM53">
        <f t="shared" si="44"/>
        <v>435042.88</v>
      </c>
      <c r="GN53">
        <f t="shared" si="45"/>
        <v>0</v>
      </c>
      <c r="GO53">
        <f t="shared" si="46"/>
        <v>0</v>
      </c>
      <c r="GP53">
        <f t="shared" si="47"/>
        <v>0</v>
      </c>
      <c r="GR53">
        <v>1</v>
      </c>
      <c r="GS53">
        <v>1</v>
      </c>
      <c r="GT53">
        <v>0</v>
      </c>
      <c r="GU53" t="s">
        <v>3</v>
      </c>
      <c r="GV53">
        <f t="shared" si="48"/>
        <v>0</v>
      </c>
      <c r="GW53">
        <v>1</v>
      </c>
      <c r="GX53">
        <f t="shared" si="49"/>
        <v>0</v>
      </c>
      <c r="HA53">
        <v>0</v>
      </c>
      <c r="HB53">
        <v>0</v>
      </c>
      <c r="HC53">
        <f t="shared" si="50"/>
        <v>0</v>
      </c>
      <c r="HE53" t="s">
        <v>37</v>
      </c>
      <c r="HF53" t="s">
        <v>38</v>
      </c>
      <c r="HM53" t="s">
        <v>3</v>
      </c>
      <c r="HN53" t="s">
        <v>3</v>
      </c>
      <c r="HO53" t="s">
        <v>3</v>
      </c>
      <c r="HP53" t="s">
        <v>3</v>
      </c>
      <c r="HQ53" t="s">
        <v>3</v>
      </c>
      <c r="HS53">
        <v>0</v>
      </c>
      <c r="IK53">
        <v>0</v>
      </c>
    </row>
    <row r="54" spans="1:255" x14ac:dyDescent="0.3">
      <c r="A54" s="2">
        <v>17</v>
      </c>
      <c r="B54" s="2">
        <v>1</v>
      </c>
      <c r="C54" s="2"/>
      <c r="D54" s="2">
        <f>ROW(EtalonRes!A84)</f>
        <v>84</v>
      </c>
      <c r="E54" s="2" t="s">
        <v>82</v>
      </c>
      <c r="F54" s="2" t="s">
        <v>83</v>
      </c>
      <c r="G54" s="2" t="s">
        <v>84</v>
      </c>
      <c r="H54" s="2" t="s">
        <v>22</v>
      </c>
      <c r="I54" s="2">
        <v>1</v>
      </c>
      <c r="J54" s="2">
        <v>0</v>
      </c>
      <c r="K54" s="2">
        <v>1</v>
      </c>
      <c r="L54" s="2"/>
      <c r="M54" s="2"/>
      <c r="N54" s="2"/>
      <c r="O54" s="2">
        <f t="shared" si="21"/>
        <v>54.62</v>
      </c>
      <c r="P54" s="2">
        <f>ROUND((ROUND((AC54*AW54*I54),2)*BC54),2)</f>
        <v>1.78</v>
      </c>
      <c r="Q54" s="2">
        <f>(ROUND((ROUND((((ET54*1.1))*AV54*I54),2)*BB54),2)+ROUND((ROUND(((AE54-((EU54*1.1)))*AV54*I54),2)*BS54),2))</f>
        <v>0.09</v>
      </c>
      <c r="R54" s="2">
        <f t="shared" si="22"/>
        <v>0</v>
      </c>
      <c r="S54" s="2">
        <f t="shared" si="23"/>
        <v>52.75</v>
      </c>
      <c r="T54" s="2">
        <f t="shared" si="24"/>
        <v>0</v>
      </c>
      <c r="U54" s="2">
        <f t="shared" si="25"/>
        <v>4.6067999999999998</v>
      </c>
      <c r="V54" s="2">
        <f t="shared" si="26"/>
        <v>0</v>
      </c>
      <c r="W54" s="2">
        <f t="shared" si="27"/>
        <v>0</v>
      </c>
      <c r="X54" s="2">
        <f t="shared" si="28"/>
        <v>47.48</v>
      </c>
      <c r="Y54" s="2">
        <f t="shared" si="29"/>
        <v>24.27</v>
      </c>
      <c r="Z54" s="2"/>
      <c r="AA54" s="2">
        <v>56511233</v>
      </c>
      <c r="AB54" s="2">
        <f t="shared" si="30"/>
        <v>52.247999999999998</v>
      </c>
      <c r="AC54" s="2">
        <f t="shared" si="31"/>
        <v>1.78</v>
      </c>
      <c r="AD54" s="2">
        <f>ROUND(((((ET54*1.1))-((EU54*1.1)))+AE54),6)</f>
        <v>8.7999999999999995E-2</v>
      </c>
      <c r="AE54" s="2">
        <f>ROUND(((EU54*1.1)),6)</f>
        <v>0</v>
      </c>
      <c r="AF54" s="2">
        <f>ROUND(((EV54*1.1)),6)</f>
        <v>50.38</v>
      </c>
      <c r="AG54" s="2">
        <f t="shared" si="32"/>
        <v>0</v>
      </c>
      <c r="AH54" s="2">
        <f>((EW54*1.1))</f>
        <v>4.4000000000000004</v>
      </c>
      <c r="AI54" s="2">
        <f>((EX54*1.1))</f>
        <v>0</v>
      </c>
      <c r="AJ54" s="2">
        <f t="shared" si="33"/>
        <v>0</v>
      </c>
      <c r="AK54" s="2">
        <v>47.66</v>
      </c>
      <c r="AL54" s="2">
        <v>1.78</v>
      </c>
      <c r="AM54" s="2">
        <v>0.08</v>
      </c>
      <c r="AN54" s="2">
        <v>0</v>
      </c>
      <c r="AO54" s="2">
        <v>45.8</v>
      </c>
      <c r="AP54" s="2">
        <v>0</v>
      </c>
      <c r="AQ54" s="2">
        <v>4</v>
      </c>
      <c r="AR54" s="2">
        <v>0</v>
      </c>
      <c r="AS54" s="2">
        <v>0</v>
      </c>
      <c r="AT54" s="2">
        <v>90</v>
      </c>
      <c r="AU54" s="2">
        <v>46</v>
      </c>
      <c r="AV54" s="2">
        <v>1.0469999999999999</v>
      </c>
      <c r="AW54" s="2">
        <v>1</v>
      </c>
      <c r="AX54" s="2"/>
      <c r="AY54" s="2"/>
      <c r="AZ54" s="2">
        <v>1</v>
      </c>
      <c r="BA54" s="2">
        <v>1</v>
      </c>
      <c r="BB54" s="2">
        <v>1</v>
      </c>
      <c r="BC54" s="2">
        <v>1</v>
      </c>
      <c r="BD54" s="2" t="s">
        <v>3</v>
      </c>
      <c r="BE54" s="2" t="s">
        <v>3</v>
      </c>
      <c r="BF54" s="2" t="s">
        <v>3</v>
      </c>
      <c r="BG54" s="2" t="s">
        <v>3</v>
      </c>
      <c r="BH54" s="2">
        <v>0</v>
      </c>
      <c r="BI54" s="2">
        <v>2</v>
      </c>
      <c r="BJ54" s="2" t="s">
        <v>85</v>
      </c>
      <c r="BK54" s="2"/>
      <c r="BL54" s="2"/>
      <c r="BM54" s="2">
        <v>68</v>
      </c>
      <c r="BN54" s="2">
        <v>0</v>
      </c>
      <c r="BO54" s="2" t="s">
        <v>83</v>
      </c>
      <c r="BP54" s="2">
        <v>1</v>
      </c>
      <c r="BQ54" s="2">
        <v>40</v>
      </c>
      <c r="BR54" s="2">
        <v>0</v>
      </c>
      <c r="BS54" s="2">
        <v>1</v>
      </c>
      <c r="BT54" s="2">
        <v>1</v>
      </c>
      <c r="BU54" s="2">
        <v>1</v>
      </c>
      <c r="BV54" s="2">
        <v>1</v>
      </c>
      <c r="BW54" s="2">
        <v>1</v>
      </c>
      <c r="BX54" s="2">
        <v>1</v>
      </c>
      <c r="BY54" s="2" t="s">
        <v>3</v>
      </c>
      <c r="BZ54" s="2">
        <v>90</v>
      </c>
      <c r="CA54" s="2">
        <v>46</v>
      </c>
      <c r="CB54" s="2" t="s">
        <v>3</v>
      </c>
      <c r="CC54" s="2"/>
      <c r="CD54" s="2"/>
      <c r="CE54" s="2">
        <v>30</v>
      </c>
      <c r="CF54" s="2">
        <v>0</v>
      </c>
      <c r="CG54" s="2">
        <v>0</v>
      </c>
      <c r="CH54" s="2"/>
      <c r="CI54" s="2"/>
      <c r="CJ54" s="2"/>
      <c r="CK54" s="2"/>
      <c r="CL54" s="2"/>
      <c r="CM54" s="2">
        <v>0</v>
      </c>
      <c r="CN54" s="2" t="s">
        <v>3</v>
      </c>
      <c r="CO54" s="2">
        <v>0</v>
      </c>
      <c r="CP54" s="2">
        <f t="shared" si="34"/>
        <v>54.62</v>
      </c>
      <c r="CQ54" s="2">
        <f>ROUND((ROUND((AC54*AW54*1),2)*BC54),2)</f>
        <v>1.78</v>
      </c>
      <c r="CR54" s="2">
        <f>(ROUND((ROUND((((ET54*1.1))*AV54*1),2)*BB54),2)+ROUND((ROUND(((AE54-((EU54*1.1)))*AV54*1),2)*BS54),2))</f>
        <v>0.09</v>
      </c>
      <c r="CS54" s="2">
        <f t="shared" si="35"/>
        <v>0</v>
      </c>
      <c r="CT54" s="2">
        <f t="shared" si="36"/>
        <v>52.75</v>
      </c>
      <c r="CU54" s="2">
        <f t="shared" si="37"/>
        <v>0</v>
      </c>
      <c r="CV54" s="2">
        <f t="shared" si="38"/>
        <v>4.6067999999999998</v>
      </c>
      <c r="CW54" s="2">
        <f t="shared" si="39"/>
        <v>0</v>
      </c>
      <c r="CX54" s="2">
        <f t="shared" si="40"/>
        <v>0</v>
      </c>
      <c r="CY54" s="2">
        <f t="shared" si="41"/>
        <v>47.475000000000001</v>
      </c>
      <c r="CZ54" s="2">
        <f t="shared" si="42"/>
        <v>24.265000000000001</v>
      </c>
      <c r="DA54" s="2"/>
      <c r="DB54" s="2"/>
      <c r="DC54" s="2" t="s">
        <v>3</v>
      </c>
      <c r="DD54" s="2" t="s">
        <v>3</v>
      </c>
      <c r="DE54" s="2" t="s">
        <v>24</v>
      </c>
      <c r="DF54" s="2" t="s">
        <v>24</v>
      </c>
      <c r="DG54" s="2" t="s">
        <v>24</v>
      </c>
      <c r="DH54" s="2" t="s">
        <v>3</v>
      </c>
      <c r="DI54" s="2" t="s">
        <v>24</v>
      </c>
      <c r="DJ54" s="2" t="s">
        <v>24</v>
      </c>
      <c r="DK54" s="2" t="s">
        <v>3</v>
      </c>
      <c r="DL54" s="2" t="s">
        <v>3</v>
      </c>
      <c r="DM54" s="2" t="s">
        <v>3</v>
      </c>
      <c r="DN54" s="2">
        <v>0</v>
      </c>
      <c r="DO54" s="2">
        <v>0</v>
      </c>
      <c r="DP54" s="2">
        <v>1</v>
      </c>
      <c r="DQ54" s="2">
        <v>1</v>
      </c>
      <c r="DR54" s="2"/>
      <c r="DS54" s="2"/>
      <c r="DT54" s="2"/>
      <c r="DU54" s="2">
        <v>1013</v>
      </c>
      <c r="DV54" s="2" t="s">
        <v>22</v>
      </c>
      <c r="DW54" s="2" t="s">
        <v>22</v>
      </c>
      <c r="DX54" s="2">
        <v>1</v>
      </c>
      <c r="DY54" s="2"/>
      <c r="DZ54" s="2" t="s">
        <v>3</v>
      </c>
      <c r="EA54" s="2" t="s">
        <v>3</v>
      </c>
      <c r="EB54" s="2" t="s">
        <v>3</v>
      </c>
      <c r="EC54" s="2" t="s">
        <v>3</v>
      </c>
      <c r="ED54" s="2"/>
      <c r="EE54" s="2">
        <v>58162630</v>
      </c>
      <c r="EF54" s="2">
        <v>40</v>
      </c>
      <c r="EG54" s="2" t="s">
        <v>25</v>
      </c>
      <c r="EH54" s="2">
        <v>0</v>
      </c>
      <c r="EI54" s="2" t="s">
        <v>3</v>
      </c>
      <c r="EJ54" s="2">
        <v>2</v>
      </c>
      <c r="EK54" s="2">
        <v>68</v>
      </c>
      <c r="EL54" s="2" t="s">
        <v>26</v>
      </c>
      <c r="EM54" s="2" t="s">
        <v>27</v>
      </c>
      <c r="EN54" s="2"/>
      <c r="EO54" s="2" t="s">
        <v>28</v>
      </c>
      <c r="EP54" s="2"/>
      <c r="EQ54" s="2">
        <v>0</v>
      </c>
      <c r="ER54" s="2">
        <v>47.66</v>
      </c>
      <c r="ES54" s="2">
        <v>1.78</v>
      </c>
      <c r="ET54" s="2">
        <v>0.08</v>
      </c>
      <c r="EU54" s="2">
        <v>0</v>
      </c>
      <c r="EV54" s="2">
        <v>45.8</v>
      </c>
      <c r="EW54" s="2">
        <v>4</v>
      </c>
      <c r="EX54" s="2">
        <v>0</v>
      </c>
      <c r="EY54" s="2">
        <v>0</v>
      </c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>
        <v>0</v>
      </c>
      <c r="FR54" s="2">
        <v>0</v>
      </c>
      <c r="FS54" s="2">
        <v>0</v>
      </c>
      <c r="FT54" s="2"/>
      <c r="FU54" s="2"/>
      <c r="FV54" s="2"/>
      <c r="FW54" s="2"/>
      <c r="FX54" s="2">
        <v>90</v>
      </c>
      <c r="FY54" s="2">
        <v>46</v>
      </c>
      <c r="FZ54" s="2"/>
      <c r="GA54" s="2" t="s">
        <v>3</v>
      </c>
      <c r="GB54" s="2"/>
      <c r="GC54" s="2"/>
      <c r="GD54" s="2">
        <v>1</v>
      </c>
      <c r="GE54" s="2"/>
      <c r="GF54" s="2">
        <v>-852032405</v>
      </c>
      <c r="GG54" s="2">
        <v>2</v>
      </c>
      <c r="GH54" s="2">
        <v>1</v>
      </c>
      <c r="GI54" s="2">
        <v>2</v>
      </c>
      <c r="GJ54" s="2">
        <v>0</v>
      </c>
      <c r="GK54" s="2">
        <v>0</v>
      </c>
      <c r="GL54" s="2">
        <f t="shared" si="43"/>
        <v>0</v>
      </c>
      <c r="GM54" s="2">
        <f t="shared" si="44"/>
        <v>126.37</v>
      </c>
      <c r="GN54" s="2">
        <f t="shared" si="45"/>
        <v>0</v>
      </c>
      <c r="GO54" s="2">
        <f t="shared" si="46"/>
        <v>126.37</v>
      </c>
      <c r="GP54" s="2">
        <f t="shared" si="47"/>
        <v>0</v>
      </c>
      <c r="GQ54" s="2"/>
      <c r="GR54" s="2">
        <v>0</v>
      </c>
      <c r="GS54" s="2">
        <v>3</v>
      </c>
      <c r="GT54" s="2">
        <v>0</v>
      </c>
      <c r="GU54" s="2" t="s">
        <v>3</v>
      </c>
      <c r="GV54" s="2">
        <f t="shared" si="48"/>
        <v>0</v>
      </c>
      <c r="GW54" s="2">
        <v>1</v>
      </c>
      <c r="GX54" s="2">
        <f t="shared" si="49"/>
        <v>0</v>
      </c>
      <c r="GY54" s="2"/>
      <c r="GZ54" s="2"/>
      <c r="HA54" s="2">
        <v>0</v>
      </c>
      <c r="HB54" s="2">
        <v>0</v>
      </c>
      <c r="HC54" s="2">
        <f t="shared" si="50"/>
        <v>0</v>
      </c>
      <c r="HD54" s="2"/>
      <c r="HE54" s="2" t="s">
        <v>3</v>
      </c>
      <c r="HF54" s="2" t="s">
        <v>3</v>
      </c>
      <c r="HG54" s="2"/>
      <c r="HH54" s="2"/>
      <c r="HI54" s="2"/>
      <c r="HJ54" s="2"/>
      <c r="HK54" s="2"/>
      <c r="HL54" s="2"/>
      <c r="HM54" s="2" t="s">
        <v>3</v>
      </c>
      <c r="HN54" s="2" t="s">
        <v>3</v>
      </c>
      <c r="HO54" s="2" t="s">
        <v>3</v>
      </c>
      <c r="HP54" s="2" t="s">
        <v>3</v>
      </c>
      <c r="HQ54" s="2" t="s">
        <v>3</v>
      </c>
      <c r="HR54" s="2"/>
      <c r="HS54" s="2">
        <v>0</v>
      </c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>
        <v>0</v>
      </c>
      <c r="IL54" s="2"/>
      <c r="IM54" s="2"/>
      <c r="IN54" s="2"/>
      <c r="IO54" s="2"/>
      <c r="IP54" s="2"/>
      <c r="IQ54" s="2"/>
      <c r="IR54" s="2"/>
      <c r="IS54" s="2"/>
      <c r="IT54" s="2"/>
      <c r="IU54" s="2"/>
    </row>
    <row r="55" spans="1:255" x14ac:dyDescent="0.3">
      <c r="A55">
        <v>17</v>
      </c>
      <c r="B55">
        <v>1</v>
      </c>
      <c r="D55">
        <f>ROW(EtalonRes!A88)</f>
        <v>88</v>
      </c>
      <c r="E55" t="s">
        <v>82</v>
      </c>
      <c r="F55" t="s">
        <v>83</v>
      </c>
      <c r="G55" t="s">
        <v>84</v>
      </c>
      <c r="H55" t="s">
        <v>22</v>
      </c>
      <c r="I55">
        <v>1</v>
      </c>
      <c r="J55">
        <v>0</v>
      </c>
      <c r="K55">
        <v>1</v>
      </c>
      <c r="O55">
        <f t="shared" si="21"/>
        <v>2903.1</v>
      </c>
      <c r="P55">
        <f>ROUND((ROUND((AC55*AW55*I55),2)*BC55),2)</f>
        <v>1.6</v>
      </c>
      <c r="Q55">
        <f>(ROUND((ROUND((((ET55*1.1))*AV55*I55),2)*BB55),2)+ROUND((ROUND(((AE55-((EU55*1.1)))*AV55*I55),2)*BS55),2))</f>
        <v>0.78</v>
      </c>
      <c r="R55">
        <f t="shared" si="22"/>
        <v>0</v>
      </c>
      <c r="S55">
        <f t="shared" si="23"/>
        <v>2900.72</v>
      </c>
      <c r="T55">
        <f t="shared" si="24"/>
        <v>0</v>
      </c>
      <c r="U55">
        <f t="shared" si="25"/>
        <v>4.6067999999999998</v>
      </c>
      <c r="V55">
        <f t="shared" si="26"/>
        <v>0</v>
      </c>
      <c r="W55">
        <f t="shared" si="27"/>
        <v>0</v>
      </c>
      <c r="X55">
        <f t="shared" si="28"/>
        <v>2610.65</v>
      </c>
      <c r="Y55">
        <f t="shared" si="29"/>
        <v>1334.33</v>
      </c>
      <c r="AA55">
        <v>56511235</v>
      </c>
      <c r="AB55">
        <f t="shared" si="30"/>
        <v>52.247999999999998</v>
      </c>
      <c r="AC55">
        <f t="shared" si="31"/>
        <v>1.78</v>
      </c>
      <c r="AD55">
        <f>ROUND(((((ET55*1.1))-((EU55*1.1)))+AE55),6)</f>
        <v>8.7999999999999995E-2</v>
      </c>
      <c r="AE55">
        <f>ROUND(((EU55*1.1)),6)</f>
        <v>0</v>
      </c>
      <c r="AF55">
        <f>ROUND(((EV55*1.1)),6)</f>
        <v>50.38</v>
      </c>
      <c r="AG55">
        <f t="shared" si="32"/>
        <v>0</v>
      </c>
      <c r="AH55">
        <f>((EW55*1.1))</f>
        <v>4.4000000000000004</v>
      </c>
      <c r="AI55">
        <f>((EX55*1.1))</f>
        <v>0</v>
      </c>
      <c r="AJ55">
        <f t="shared" si="33"/>
        <v>0</v>
      </c>
      <c r="AK55">
        <v>47.66</v>
      </c>
      <c r="AL55">
        <v>1.78</v>
      </c>
      <c r="AM55">
        <v>0.08</v>
      </c>
      <c r="AN55">
        <v>0</v>
      </c>
      <c r="AO55">
        <v>45.8</v>
      </c>
      <c r="AP55">
        <v>0</v>
      </c>
      <c r="AQ55">
        <v>4</v>
      </c>
      <c r="AR55">
        <v>0</v>
      </c>
      <c r="AS55">
        <v>0</v>
      </c>
      <c r="AT55">
        <v>90</v>
      </c>
      <c r="AU55">
        <v>46</v>
      </c>
      <c r="AV55">
        <v>1.0469999999999999</v>
      </c>
      <c r="AW55">
        <v>1</v>
      </c>
      <c r="AZ55">
        <v>1</v>
      </c>
      <c r="BA55">
        <v>54.99</v>
      </c>
      <c r="BB55">
        <v>8.6300000000000008</v>
      </c>
      <c r="BC55">
        <v>0.9</v>
      </c>
      <c r="BD55" t="s">
        <v>3</v>
      </c>
      <c r="BE55" t="s">
        <v>3</v>
      </c>
      <c r="BF55" t="s">
        <v>3</v>
      </c>
      <c r="BG55" t="s">
        <v>3</v>
      </c>
      <c r="BH55">
        <v>0</v>
      </c>
      <c r="BI55">
        <v>2</v>
      </c>
      <c r="BJ55" t="s">
        <v>85</v>
      </c>
      <c r="BM55">
        <v>68</v>
      </c>
      <c r="BN55">
        <v>0</v>
      </c>
      <c r="BO55" t="s">
        <v>83</v>
      </c>
      <c r="BP55">
        <v>1</v>
      </c>
      <c r="BQ55">
        <v>40</v>
      </c>
      <c r="BR55">
        <v>0</v>
      </c>
      <c r="BS55">
        <v>54.99</v>
      </c>
      <c r="BT55">
        <v>1</v>
      </c>
      <c r="BU55">
        <v>1</v>
      </c>
      <c r="BV55">
        <v>1</v>
      </c>
      <c r="BW55">
        <v>1</v>
      </c>
      <c r="BX55">
        <v>1</v>
      </c>
      <c r="BY55" t="s">
        <v>3</v>
      </c>
      <c r="BZ55">
        <v>90</v>
      </c>
      <c r="CA55">
        <v>46</v>
      </c>
      <c r="CB55" t="s">
        <v>3</v>
      </c>
      <c r="CE55">
        <v>30</v>
      </c>
      <c r="CF55">
        <v>0</v>
      </c>
      <c r="CG55">
        <v>0</v>
      </c>
      <c r="CM55">
        <v>0</v>
      </c>
      <c r="CN55" t="s">
        <v>3</v>
      </c>
      <c r="CO55">
        <v>0</v>
      </c>
      <c r="CP55">
        <f t="shared" si="34"/>
        <v>2903.1</v>
      </c>
      <c r="CQ55">
        <f>ROUND((ROUND((AC55*AW55*1),2)*BC55),2)</f>
        <v>1.6</v>
      </c>
      <c r="CR55">
        <f>(ROUND((ROUND((((ET55*1.1))*AV55*1),2)*BB55),2)+ROUND((ROUND(((AE55-((EU55*1.1)))*AV55*1),2)*BS55),2))</f>
        <v>0.78</v>
      </c>
      <c r="CS55">
        <f t="shared" si="35"/>
        <v>0</v>
      </c>
      <c r="CT55">
        <f t="shared" si="36"/>
        <v>2900.72</v>
      </c>
      <c r="CU55">
        <f t="shared" si="37"/>
        <v>0</v>
      </c>
      <c r="CV55">
        <f t="shared" si="38"/>
        <v>4.6067999999999998</v>
      </c>
      <c r="CW55">
        <f t="shared" si="39"/>
        <v>0</v>
      </c>
      <c r="CX55">
        <f t="shared" si="40"/>
        <v>0</v>
      </c>
      <c r="CY55">
        <f t="shared" si="41"/>
        <v>2610.6479999999997</v>
      </c>
      <c r="CZ55">
        <f t="shared" si="42"/>
        <v>1334.3311999999999</v>
      </c>
      <c r="DC55" t="s">
        <v>3</v>
      </c>
      <c r="DD55" t="s">
        <v>3</v>
      </c>
      <c r="DE55" t="s">
        <v>24</v>
      </c>
      <c r="DF55" t="s">
        <v>24</v>
      </c>
      <c r="DG55" t="s">
        <v>24</v>
      </c>
      <c r="DH55" t="s">
        <v>3</v>
      </c>
      <c r="DI55" t="s">
        <v>24</v>
      </c>
      <c r="DJ55" t="s">
        <v>24</v>
      </c>
      <c r="DK55" t="s">
        <v>3</v>
      </c>
      <c r="DL55" t="s">
        <v>3</v>
      </c>
      <c r="DM55" t="s">
        <v>3</v>
      </c>
      <c r="DN55">
        <v>0</v>
      </c>
      <c r="DO55">
        <v>0</v>
      </c>
      <c r="DP55">
        <v>1</v>
      </c>
      <c r="DQ55">
        <v>1</v>
      </c>
      <c r="DU55">
        <v>1013</v>
      </c>
      <c r="DV55" t="s">
        <v>22</v>
      </c>
      <c r="DW55" t="s">
        <v>22</v>
      </c>
      <c r="DX55">
        <v>1</v>
      </c>
      <c r="DZ55" t="s">
        <v>3</v>
      </c>
      <c r="EA55" t="s">
        <v>3</v>
      </c>
      <c r="EB55" t="s">
        <v>3</v>
      </c>
      <c r="EC55" t="s">
        <v>3</v>
      </c>
      <c r="EE55">
        <v>58162630</v>
      </c>
      <c r="EF55">
        <v>40</v>
      </c>
      <c r="EG55" t="s">
        <v>25</v>
      </c>
      <c r="EH55">
        <v>0</v>
      </c>
      <c r="EI55" t="s">
        <v>3</v>
      </c>
      <c r="EJ55">
        <v>2</v>
      </c>
      <c r="EK55">
        <v>68</v>
      </c>
      <c r="EL55" t="s">
        <v>26</v>
      </c>
      <c r="EM55" t="s">
        <v>27</v>
      </c>
      <c r="EO55" t="s">
        <v>28</v>
      </c>
      <c r="EQ55">
        <v>0</v>
      </c>
      <c r="ER55">
        <v>47.66</v>
      </c>
      <c r="ES55">
        <v>1.78</v>
      </c>
      <c r="ET55">
        <v>0.08</v>
      </c>
      <c r="EU55">
        <v>0</v>
      </c>
      <c r="EV55">
        <v>45.8</v>
      </c>
      <c r="EW55">
        <v>4</v>
      </c>
      <c r="EX55">
        <v>0</v>
      </c>
      <c r="EY55">
        <v>0</v>
      </c>
      <c r="FQ55">
        <v>0</v>
      </c>
      <c r="FR55">
        <v>0</v>
      </c>
      <c r="FS55">
        <v>0</v>
      </c>
      <c r="FX55">
        <v>90</v>
      </c>
      <c r="FY55">
        <v>46</v>
      </c>
      <c r="GA55" t="s">
        <v>3</v>
      </c>
      <c r="GD55">
        <v>1</v>
      </c>
      <c r="GF55">
        <v>-852032405</v>
      </c>
      <c r="GG55">
        <v>2</v>
      </c>
      <c r="GH55">
        <v>1</v>
      </c>
      <c r="GI55">
        <v>2</v>
      </c>
      <c r="GJ55">
        <v>0</v>
      </c>
      <c r="GK55">
        <v>0</v>
      </c>
      <c r="GL55">
        <f t="shared" si="43"/>
        <v>0</v>
      </c>
      <c r="GM55">
        <f t="shared" si="44"/>
        <v>6848.08</v>
      </c>
      <c r="GN55">
        <f t="shared" si="45"/>
        <v>0</v>
      </c>
      <c r="GO55">
        <f t="shared" si="46"/>
        <v>6848.08</v>
      </c>
      <c r="GP55">
        <f t="shared" si="47"/>
        <v>0</v>
      </c>
      <c r="GR55">
        <v>0</v>
      </c>
      <c r="GS55">
        <v>3</v>
      </c>
      <c r="GT55">
        <v>0</v>
      </c>
      <c r="GU55" t="s">
        <v>3</v>
      </c>
      <c r="GV55">
        <f t="shared" si="48"/>
        <v>0</v>
      </c>
      <c r="GW55">
        <v>1</v>
      </c>
      <c r="GX55">
        <f t="shared" si="49"/>
        <v>0</v>
      </c>
      <c r="HA55">
        <v>0</v>
      </c>
      <c r="HB55">
        <v>0</v>
      </c>
      <c r="HC55">
        <f t="shared" si="50"/>
        <v>0</v>
      </c>
      <c r="HE55" t="s">
        <v>3</v>
      </c>
      <c r="HF55" t="s">
        <v>3</v>
      </c>
      <c r="HM55" t="s">
        <v>3</v>
      </c>
      <c r="HN55" t="s">
        <v>3</v>
      </c>
      <c r="HO55" t="s">
        <v>3</v>
      </c>
      <c r="HP55" t="s">
        <v>3</v>
      </c>
      <c r="HQ55" t="s">
        <v>3</v>
      </c>
      <c r="HS55">
        <v>0</v>
      </c>
      <c r="IK55">
        <v>0</v>
      </c>
    </row>
    <row r="56" spans="1:255" x14ac:dyDescent="0.3">
      <c r="A56" s="2">
        <v>18</v>
      </c>
      <c r="B56" s="2">
        <v>1</v>
      </c>
      <c r="C56" s="2"/>
      <c r="D56" s="2"/>
      <c r="E56" s="2" t="s">
        <v>86</v>
      </c>
      <c r="F56" s="2" t="s">
        <v>87</v>
      </c>
      <c r="G56" s="2" t="s">
        <v>88</v>
      </c>
      <c r="H56" s="2" t="s">
        <v>32</v>
      </c>
      <c r="I56" s="2">
        <f>I54*J56</f>
        <v>1</v>
      </c>
      <c r="J56" s="2">
        <v>1</v>
      </c>
      <c r="K56" s="2">
        <v>1</v>
      </c>
      <c r="L56" s="2"/>
      <c r="M56" s="2"/>
      <c r="N56" s="2"/>
      <c r="O56" s="2">
        <f t="shared" si="21"/>
        <v>1273.69</v>
      </c>
      <c r="P56" s="2">
        <f>ROUND((ROUND((AC56*I56),2)*BC56),2)</f>
        <v>1273.69</v>
      </c>
      <c r="Q56" s="2">
        <f>(ROUND((ROUND(((ET56)*AV56*I56),2)*BB56),2)+ROUND((ROUND(((AE56-(EU56))*AV56*I56),2)*BS56),2))</f>
        <v>0</v>
      </c>
      <c r="R56" s="2">
        <f t="shared" si="22"/>
        <v>0</v>
      </c>
      <c r="S56" s="2">
        <f t="shared" si="23"/>
        <v>0</v>
      </c>
      <c r="T56" s="2">
        <f t="shared" si="24"/>
        <v>0</v>
      </c>
      <c r="U56" s="2">
        <f t="shared" si="25"/>
        <v>0</v>
      </c>
      <c r="V56" s="2">
        <f t="shared" si="26"/>
        <v>0</v>
      </c>
      <c r="W56" s="2">
        <f t="shared" si="27"/>
        <v>0</v>
      </c>
      <c r="X56" s="2">
        <f t="shared" si="28"/>
        <v>0</v>
      </c>
      <c r="Y56" s="2">
        <f t="shared" si="29"/>
        <v>0</v>
      </c>
      <c r="Z56" s="2"/>
      <c r="AA56" s="2">
        <v>56511233</v>
      </c>
      <c r="AB56" s="2">
        <f t="shared" si="30"/>
        <v>1273.69</v>
      </c>
      <c r="AC56" s="2">
        <f t="shared" si="31"/>
        <v>1273.69</v>
      </c>
      <c r="AD56" s="2">
        <f>ROUND((((ET56)-(EU56))+AE56),6)</f>
        <v>0</v>
      </c>
      <c r="AE56" s="2">
        <f>ROUND((EU56),6)</f>
        <v>0</v>
      </c>
      <c r="AF56" s="2">
        <f>ROUND((EV56),6)</f>
        <v>0</v>
      </c>
      <c r="AG56" s="2">
        <f t="shared" si="32"/>
        <v>0</v>
      </c>
      <c r="AH56" s="2">
        <f>(EW56)</f>
        <v>0</v>
      </c>
      <c r="AI56" s="2">
        <f>(EX56)</f>
        <v>0</v>
      </c>
      <c r="AJ56" s="2">
        <f t="shared" si="33"/>
        <v>0</v>
      </c>
      <c r="AK56" s="2">
        <v>1273.69</v>
      </c>
      <c r="AL56" s="2">
        <v>1273.69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1</v>
      </c>
      <c r="AW56" s="2">
        <v>1</v>
      </c>
      <c r="AX56" s="2"/>
      <c r="AY56" s="2"/>
      <c r="AZ56" s="2">
        <v>1</v>
      </c>
      <c r="BA56" s="2">
        <v>1</v>
      </c>
      <c r="BB56" s="2">
        <v>1</v>
      </c>
      <c r="BC56" s="2">
        <v>1</v>
      </c>
      <c r="BD56" s="2" t="s">
        <v>3</v>
      </c>
      <c r="BE56" s="2" t="s">
        <v>3</v>
      </c>
      <c r="BF56" s="2" t="s">
        <v>3</v>
      </c>
      <c r="BG56" s="2" t="s">
        <v>3</v>
      </c>
      <c r="BH56" s="2">
        <v>3</v>
      </c>
      <c r="BI56" s="2">
        <v>3</v>
      </c>
      <c r="BJ56" s="2" t="s">
        <v>3</v>
      </c>
      <c r="BK56" s="2"/>
      <c r="BL56" s="2"/>
      <c r="BM56" s="2">
        <v>746</v>
      </c>
      <c r="BN56" s="2">
        <v>0</v>
      </c>
      <c r="BO56" s="2" t="s">
        <v>3</v>
      </c>
      <c r="BP56" s="2">
        <v>0</v>
      </c>
      <c r="BQ56" s="2">
        <v>130</v>
      </c>
      <c r="BR56" s="2">
        <v>0</v>
      </c>
      <c r="BS56" s="2">
        <v>1</v>
      </c>
      <c r="BT56" s="2">
        <v>1</v>
      </c>
      <c r="BU56" s="2">
        <v>1</v>
      </c>
      <c r="BV56" s="2">
        <v>1</v>
      </c>
      <c r="BW56" s="2">
        <v>1</v>
      </c>
      <c r="BX56" s="2">
        <v>1</v>
      </c>
      <c r="BY56" s="2" t="s">
        <v>3</v>
      </c>
      <c r="BZ56" s="2">
        <v>90</v>
      </c>
      <c r="CA56" s="2">
        <v>46</v>
      </c>
      <c r="CB56" s="2" t="s">
        <v>3</v>
      </c>
      <c r="CC56" s="2"/>
      <c r="CD56" s="2"/>
      <c r="CE56" s="2">
        <v>30</v>
      </c>
      <c r="CF56" s="2">
        <v>0</v>
      </c>
      <c r="CG56" s="2">
        <v>0</v>
      </c>
      <c r="CH56" s="2"/>
      <c r="CI56" s="2"/>
      <c r="CJ56" s="2"/>
      <c r="CK56" s="2"/>
      <c r="CL56" s="2"/>
      <c r="CM56" s="2">
        <v>0</v>
      </c>
      <c r="CN56" s="2" t="s">
        <v>3</v>
      </c>
      <c r="CO56" s="2">
        <v>0</v>
      </c>
      <c r="CP56" s="2">
        <f t="shared" si="34"/>
        <v>1273.69</v>
      </c>
      <c r="CQ56" s="2">
        <f>ROUND((ROUND((AC56*1),2)*BC56),2)</f>
        <v>1273.69</v>
      </c>
      <c r="CR56" s="2">
        <f>(ROUND((ROUND(((ET56)*AV56*1),2)*BB56),2)+ROUND((ROUND(((AE56-(EU56))*AV56*1),2)*BS56),2))</f>
        <v>0</v>
      </c>
      <c r="CS56" s="2">
        <f t="shared" si="35"/>
        <v>0</v>
      </c>
      <c r="CT56" s="2">
        <f t="shared" si="36"/>
        <v>0</v>
      </c>
      <c r="CU56" s="2">
        <f t="shared" si="37"/>
        <v>0</v>
      </c>
      <c r="CV56" s="2">
        <f t="shared" si="38"/>
        <v>0</v>
      </c>
      <c r="CW56" s="2">
        <f t="shared" si="39"/>
        <v>0</v>
      </c>
      <c r="CX56" s="2">
        <f t="shared" si="40"/>
        <v>0</v>
      </c>
      <c r="CY56" s="2">
        <f t="shared" si="41"/>
        <v>0</v>
      </c>
      <c r="CZ56" s="2">
        <f t="shared" si="42"/>
        <v>0</v>
      </c>
      <c r="DA56" s="2"/>
      <c r="DB56" s="2"/>
      <c r="DC56" s="2" t="s">
        <v>3</v>
      </c>
      <c r="DD56" s="2" t="s">
        <v>3</v>
      </c>
      <c r="DE56" s="2" t="s">
        <v>3</v>
      </c>
      <c r="DF56" s="2" t="s">
        <v>3</v>
      </c>
      <c r="DG56" s="2" t="s">
        <v>3</v>
      </c>
      <c r="DH56" s="2" t="s">
        <v>3</v>
      </c>
      <c r="DI56" s="2" t="s">
        <v>3</v>
      </c>
      <c r="DJ56" s="2" t="s">
        <v>3</v>
      </c>
      <c r="DK56" s="2" t="s">
        <v>3</v>
      </c>
      <c r="DL56" s="2" t="s">
        <v>3</v>
      </c>
      <c r="DM56" s="2" t="s">
        <v>3</v>
      </c>
      <c r="DN56" s="2">
        <v>0</v>
      </c>
      <c r="DO56" s="2">
        <v>0</v>
      </c>
      <c r="DP56" s="2">
        <v>1</v>
      </c>
      <c r="DQ56" s="2">
        <v>1</v>
      </c>
      <c r="DR56" s="2"/>
      <c r="DS56" s="2"/>
      <c r="DT56" s="2"/>
      <c r="DU56" s="2">
        <v>1010</v>
      </c>
      <c r="DV56" s="2" t="s">
        <v>32</v>
      </c>
      <c r="DW56" s="2" t="s">
        <v>32</v>
      </c>
      <c r="DX56" s="2">
        <v>1</v>
      </c>
      <c r="DY56" s="2"/>
      <c r="DZ56" s="2" t="s">
        <v>3</v>
      </c>
      <c r="EA56" s="2" t="s">
        <v>3</v>
      </c>
      <c r="EB56" s="2" t="s">
        <v>3</v>
      </c>
      <c r="EC56" s="2" t="s">
        <v>3</v>
      </c>
      <c r="ED56" s="2"/>
      <c r="EE56" s="2">
        <v>58162750</v>
      </c>
      <c r="EF56" s="2">
        <v>130</v>
      </c>
      <c r="EG56" s="2" t="s">
        <v>33</v>
      </c>
      <c r="EH56" s="2">
        <v>0</v>
      </c>
      <c r="EI56" s="2" t="s">
        <v>3</v>
      </c>
      <c r="EJ56" s="2">
        <v>3</v>
      </c>
      <c r="EK56" s="2">
        <v>746</v>
      </c>
      <c r="EL56" s="2" t="s">
        <v>34</v>
      </c>
      <c r="EM56" s="2" t="s">
        <v>35</v>
      </c>
      <c r="EN56" s="2"/>
      <c r="EO56" s="2" t="s">
        <v>3</v>
      </c>
      <c r="EP56" s="2"/>
      <c r="EQ56" s="2">
        <v>0</v>
      </c>
      <c r="ER56" s="2">
        <v>0</v>
      </c>
      <c r="ES56" s="2">
        <v>1273.69</v>
      </c>
      <c r="ET56" s="2">
        <v>0</v>
      </c>
      <c r="EU56" s="2">
        <v>0</v>
      </c>
      <c r="EV56" s="2">
        <v>0</v>
      </c>
      <c r="EW56" s="2">
        <v>0</v>
      </c>
      <c r="EX56" s="2">
        <v>0</v>
      </c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>
        <v>0</v>
      </c>
      <c r="FR56" s="2">
        <f>P56</f>
        <v>1273.69</v>
      </c>
      <c r="FS56" s="2">
        <v>0</v>
      </c>
      <c r="FT56" s="2"/>
      <c r="FU56" s="2"/>
      <c r="FV56" s="2"/>
      <c r="FW56" s="2"/>
      <c r="FX56" s="2">
        <v>90</v>
      </c>
      <c r="FY56" s="2">
        <v>46</v>
      </c>
      <c r="FZ56" s="2"/>
      <c r="GA56" s="2" t="s">
        <v>89</v>
      </c>
      <c r="GB56" s="2"/>
      <c r="GC56" s="2"/>
      <c r="GD56" s="2">
        <v>1</v>
      </c>
      <c r="GE56" s="2"/>
      <c r="GF56" s="2">
        <v>1852694742</v>
      </c>
      <c r="GG56" s="2">
        <v>2</v>
      </c>
      <c r="GH56" s="2">
        <v>4</v>
      </c>
      <c r="GI56" s="2">
        <v>-2</v>
      </c>
      <c r="GJ56" s="2">
        <v>0</v>
      </c>
      <c r="GK56" s="2">
        <v>0</v>
      </c>
      <c r="GL56" s="2">
        <f t="shared" si="43"/>
        <v>0</v>
      </c>
      <c r="GM56" s="2">
        <f t="shared" si="44"/>
        <v>1273.69</v>
      </c>
      <c r="GN56" s="2">
        <f t="shared" si="45"/>
        <v>0</v>
      </c>
      <c r="GO56" s="2">
        <f t="shared" si="46"/>
        <v>0</v>
      </c>
      <c r="GP56" s="2">
        <f t="shared" si="47"/>
        <v>0</v>
      </c>
      <c r="GQ56" s="2"/>
      <c r="GR56" s="2">
        <v>0</v>
      </c>
      <c r="GS56" s="2">
        <v>2</v>
      </c>
      <c r="GT56" s="2">
        <v>0</v>
      </c>
      <c r="GU56" s="2" t="s">
        <v>3</v>
      </c>
      <c r="GV56" s="2">
        <f t="shared" si="48"/>
        <v>0</v>
      </c>
      <c r="GW56" s="2">
        <v>1</v>
      </c>
      <c r="GX56" s="2">
        <f t="shared" si="49"/>
        <v>0</v>
      </c>
      <c r="GY56" s="2"/>
      <c r="GZ56" s="2"/>
      <c r="HA56" s="2">
        <v>0</v>
      </c>
      <c r="HB56" s="2">
        <v>0</v>
      </c>
      <c r="HC56" s="2">
        <f t="shared" si="50"/>
        <v>0</v>
      </c>
      <c r="HD56" s="2"/>
      <c r="HE56" s="2" t="s">
        <v>37</v>
      </c>
      <c r="HF56" s="2" t="s">
        <v>38</v>
      </c>
      <c r="HG56" s="2"/>
      <c r="HH56" s="2"/>
      <c r="HI56" s="2"/>
      <c r="HJ56" s="2"/>
      <c r="HK56" s="2"/>
      <c r="HL56" s="2"/>
      <c r="HM56" s="2" t="s">
        <v>3</v>
      </c>
      <c r="HN56" s="2" t="s">
        <v>3</v>
      </c>
      <c r="HO56" s="2" t="s">
        <v>3</v>
      </c>
      <c r="HP56" s="2" t="s">
        <v>3</v>
      </c>
      <c r="HQ56" s="2" t="s">
        <v>3</v>
      </c>
      <c r="HR56" s="2"/>
      <c r="HS56" s="2">
        <v>0</v>
      </c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>
        <v>0</v>
      </c>
      <c r="IL56" s="2"/>
      <c r="IM56" s="2"/>
      <c r="IN56" s="2"/>
      <c r="IO56" s="2"/>
      <c r="IP56" s="2"/>
      <c r="IQ56" s="2"/>
      <c r="IR56" s="2"/>
      <c r="IS56" s="2"/>
      <c r="IT56" s="2"/>
      <c r="IU56" s="2"/>
    </row>
    <row r="57" spans="1:255" x14ac:dyDescent="0.3">
      <c r="A57">
        <v>18</v>
      </c>
      <c r="B57">
        <v>1</v>
      </c>
      <c r="E57" t="s">
        <v>86</v>
      </c>
      <c r="F57" t="s">
        <v>87</v>
      </c>
      <c r="G57" t="s">
        <v>88</v>
      </c>
      <c r="H57" t="s">
        <v>32</v>
      </c>
      <c r="I57">
        <f>I55*J57</f>
        <v>1</v>
      </c>
      <c r="J57">
        <v>1</v>
      </c>
      <c r="K57">
        <v>1</v>
      </c>
      <c r="O57">
        <f t="shared" si="21"/>
        <v>9756.4699999999993</v>
      </c>
      <c r="P57">
        <f>ROUND((ROUND((AC57*I57),2)*BC57),2)</f>
        <v>9756.4699999999993</v>
      </c>
      <c r="Q57">
        <f>(ROUND((ROUND(((ET57)*AV57*I57),2)*BB57),2)+ROUND((ROUND(((AE57-(EU57))*AV57*I57),2)*BS57),2))</f>
        <v>0</v>
      </c>
      <c r="R57">
        <f t="shared" si="22"/>
        <v>0</v>
      </c>
      <c r="S57">
        <f t="shared" si="23"/>
        <v>0</v>
      </c>
      <c r="T57">
        <f t="shared" si="24"/>
        <v>0</v>
      </c>
      <c r="U57">
        <f t="shared" si="25"/>
        <v>0</v>
      </c>
      <c r="V57">
        <f t="shared" si="26"/>
        <v>0</v>
      </c>
      <c r="W57">
        <f t="shared" si="27"/>
        <v>0</v>
      </c>
      <c r="X57">
        <f t="shared" si="28"/>
        <v>0</v>
      </c>
      <c r="Y57">
        <f t="shared" si="29"/>
        <v>0</v>
      </c>
      <c r="AA57">
        <v>56511235</v>
      </c>
      <c r="AB57">
        <f t="shared" si="30"/>
        <v>1273.69</v>
      </c>
      <c r="AC57">
        <f t="shared" si="31"/>
        <v>1273.69</v>
      </c>
      <c r="AD57">
        <f>ROUND((((ET57)-(EU57))+AE57),6)</f>
        <v>0</v>
      </c>
      <c r="AE57">
        <f>ROUND((EU57),6)</f>
        <v>0</v>
      </c>
      <c r="AF57">
        <f>ROUND((EV57),6)</f>
        <v>0</v>
      </c>
      <c r="AG57">
        <f t="shared" si="32"/>
        <v>0</v>
      </c>
      <c r="AH57">
        <f>(EW57)</f>
        <v>0</v>
      </c>
      <c r="AI57">
        <f>(EX57)</f>
        <v>0</v>
      </c>
      <c r="AJ57">
        <f t="shared" si="33"/>
        <v>0</v>
      </c>
      <c r="AK57">
        <v>1273.69</v>
      </c>
      <c r="AL57">
        <v>1273.69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</v>
      </c>
      <c r="AW57">
        <v>1</v>
      </c>
      <c r="AZ57">
        <v>1</v>
      </c>
      <c r="BA57">
        <v>1</v>
      </c>
      <c r="BB57">
        <v>1</v>
      </c>
      <c r="BC57">
        <v>7.66</v>
      </c>
      <c r="BD57" t="s">
        <v>3</v>
      </c>
      <c r="BE57" t="s">
        <v>3</v>
      </c>
      <c r="BF57" t="s">
        <v>3</v>
      </c>
      <c r="BG57" t="s">
        <v>3</v>
      </c>
      <c r="BH57">
        <v>3</v>
      </c>
      <c r="BI57">
        <v>3</v>
      </c>
      <c r="BJ57" t="s">
        <v>3</v>
      </c>
      <c r="BM57">
        <v>746</v>
      </c>
      <c r="BN57">
        <v>0</v>
      </c>
      <c r="BO57" t="s">
        <v>3</v>
      </c>
      <c r="BP57">
        <v>0</v>
      </c>
      <c r="BQ57">
        <v>130</v>
      </c>
      <c r="BR57">
        <v>0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 t="s">
        <v>3</v>
      </c>
      <c r="BZ57">
        <v>90</v>
      </c>
      <c r="CA57">
        <v>46</v>
      </c>
      <c r="CB57" t="s">
        <v>3</v>
      </c>
      <c r="CE57">
        <v>30</v>
      </c>
      <c r="CF57">
        <v>0</v>
      </c>
      <c r="CG57">
        <v>0</v>
      </c>
      <c r="CM57">
        <v>0</v>
      </c>
      <c r="CN57" t="s">
        <v>3</v>
      </c>
      <c r="CO57">
        <v>0</v>
      </c>
      <c r="CP57">
        <f t="shared" si="34"/>
        <v>9756.4699999999993</v>
      </c>
      <c r="CQ57">
        <f>ROUND((ROUND((AC57*1),2)*BC57),2)</f>
        <v>9756.4699999999993</v>
      </c>
      <c r="CR57">
        <f>(ROUND((ROUND(((ET57)*AV57*1),2)*BB57),2)+ROUND((ROUND(((AE57-(EU57))*AV57*1),2)*BS57),2))</f>
        <v>0</v>
      </c>
      <c r="CS57">
        <f t="shared" si="35"/>
        <v>0</v>
      </c>
      <c r="CT57">
        <f t="shared" si="36"/>
        <v>0</v>
      </c>
      <c r="CU57">
        <f t="shared" si="37"/>
        <v>0</v>
      </c>
      <c r="CV57">
        <f t="shared" si="38"/>
        <v>0</v>
      </c>
      <c r="CW57">
        <f t="shared" si="39"/>
        <v>0</v>
      </c>
      <c r="CX57">
        <f t="shared" si="40"/>
        <v>0</v>
      </c>
      <c r="CY57">
        <f t="shared" si="41"/>
        <v>0</v>
      </c>
      <c r="CZ57">
        <f t="shared" si="42"/>
        <v>0</v>
      </c>
      <c r="DC57" t="s">
        <v>3</v>
      </c>
      <c r="DD57" t="s">
        <v>3</v>
      </c>
      <c r="DE57" t="s">
        <v>3</v>
      </c>
      <c r="DF57" t="s">
        <v>3</v>
      </c>
      <c r="DG57" t="s">
        <v>3</v>
      </c>
      <c r="DH57" t="s">
        <v>3</v>
      </c>
      <c r="DI57" t="s">
        <v>3</v>
      </c>
      <c r="DJ57" t="s">
        <v>3</v>
      </c>
      <c r="DK57" t="s">
        <v>3</v>
      </c>
      <c r="DL57" t="s">
        <v>3</v>
      </c>
      <c r="DM57" t="s">
        <v>3</v>
      </c>
      <c r="DN57">
        <v>0</v>
      </c>
      <c r="DO57">
        <v>0</v>
      </c>
      <c r="DP57">
        <v>1</v>
      </c>
      <c r="DQ57">
        <v>1</v>
      </c>
      <c r="DU57">
        <v>1010</v>
      </c>
      <c r="DV57" t="s">
        <v>32</v>
      </c>
      <c r="DW57" t="s">
        <v>32</v>
      </c>
      <c r="DX57">
        <v>1</v>
      </c>
      <c r="DZ57" t="s">
        <v>3</v>
      </c>
      <c r="EA57" t="s">
        <v>3</v>
      </c>
      <c r="EB57" t="s">
        <v>3</v>
      </c>
      <c r="EC57" t="s">
        <v>3</v>
      </c>
      <c r="EE57">
        <v>58162750</v>
      </c>
      <c r="EF57">
        <v>130</v>
      </c>
      <c r="EG57" t="s">
        <v>33</v>
      </c>
      <c r="EH57">
        <v>0</v>
      </c>
      <c r="EI57" t="s">
        <v>3</v>
      </c>
      <c r="EJ57">
        <v>3</v>
      </c>
      <c r="EK57">
        <v>746</v>
      </c>
      <c r="EL57" t="s">
        <v>34</v>
      </c>
      <c r="EM57" t="s">
        <v>35</v>
      </c>
      <c r="EO57" t="s">
        <v>3</v>
      </c>
      <c r="EQ57">
        <v>0</v>
      </c>
      <c r="ER57">
        <v>9756.49</v>
      </c>
      <c r="ES57">
        <v>1273.69</v>
      </c>
      <c r="ET57">
        <v>0</v>
      </c>
      <c r="EU57">
        <v>0</v>
      </c>
      <c r="EV57">
        <v>0</v>
      </c>
      <c r="EW57">
        <v>0</v>
      </c>
      <c r="EX57">
        <v>0</v>
      </c>
      <c r="EZ57">
        <v>5</v>
      </c>
      <c r="FC57">
        <v>1</v>
      </c>
      <c r="FD57">
        <v>18</v>
      </c>
      <c r="FF57">
        <v>11232</v>
      </c>
      <c r="FQ57">
        <v>0</v>
      </c>
      <c r="FR57">
        <f>P57</f>
        <v>9756.4699999999993</v>
      </c>
      <c r="FS57">
        <v>0</v>
      </c>
      <c r="FX57">
        <v>90</v>
      </c>
      <c r="FY57">
        <v>46</v>
      </c>
      <c r="GA57" t="s">
        <v>89</v>
      </c>
      <c r="GD57">
        <v>1</v>
      </c>
      <c r="GF57">
        <v>1852694742</v>
      </c>
      <c r="GG57">
        <v>2</v>
      </c>
      <c r="GH57">
        <v>3</v>
      </c>
      <c r="GI57">
        <v>5</v>
      </c>
      <c r="GJ57">
        <v>0</v>
      </c>
      <c r="GK57">
        <v>0</v>
      </c>
      <c r="GL57">
        <f t="shared" si="43"/>
        <v>0</v>
      </c>
      <c r="GM57">
        <f t="shared" si="44"/>
        <v>9756.4699999999993</v>
      </c>
      <c r="GN57">
        <f t="shared" si="45"/>
        <v>0</v>
      </c>
      <c r="GO57">
        <f t="shared" si="46"/>
        <v>0</v>
      </c>
      <c r="GP57">
        <f t="shared" si="47"/>
        <v>0</v>
      </c>
      <c r="GR57">
        <v>1</v>
      </c>
      <c r="GS57">
        <v>1</v>
      </c>
      <c r="GT57">
        <v>0</v>
      </c>
      <c r="GU57" t="s">
        <v>3</v>
      </c>
      <c r="GV57">
        <f t="shared" si="48"/>
        <v>0</v>
      </c>
      <c r="GW57">
        <v>1</v>
      </c>
      <c r="GX57">
        <f t="shared" si="49"/>
        <v>0</v>
      </c>
      <c r="HA57">
        <v>0</v>
      </c>
      <c r="HB57">
        <v>0</v>
      </c>
      <c r="HC57">
        <f t="shared" si="50"/>
        <v>0</v>
      </c>
      <c r="HE57" t="s">
        <v>37</v>
      </c>
      <c r="HF57" t="s">
        <v>38</v>
      </c>
      <c r="HM57" t="s">
        <v>3</v>
      </c>
      <c r="HN57" t="s">
        <v>3</v>
      </c>
      <c r="HO57" t="s">
        <v>3</v>
      </c>
      <c r="HP57" t="s">
        <v>3</v>
      </c>
      <c r="HQ57" t="s">
        <v>3</v>
      </c>
      <c r="HS57">
        <v>0</v>
      </c>
      <c r="IK57">
        <v>0</v>
      </c>
    </row>
    <row r="58" spans="1:255" x14ac:dyDescent="0.3">
      <c r="A58" s="2">
        <v>17</v>
      </c>
      <c r="B58" s="2">
        <v>1</v>
      </c>
      <c r="C58" s="2"/>
      <c r="D58" s="2">
        <f>ROW(EtalonRes!A92)</f>
        <v>92</v>
      </c>
      <c r="E58" s="2" t="s">
        <v>90</v>
      </c>
      <c r="F58" s="2" t="s">
        <v>91</v>
      </c>
      <c r="G58" s="2" t="s">
        <v>92</v>
      </c>
      <c r="H58" s="2" t="s">
        <v>22</v>
      </c>
      <c r="I58" s="2">
        <v>1</v>
      </c>
      <c r="J58" s="2">
        <v>0</v>
      </c>
      <c r="K58" s="2">
        <v>1</v>
      </c>
      <c r="L58" s="2"/>
      <c r="M58" s="2"/>
      <c r="N58" s="2"/>
      <c r="O58" s="2">
        <f t="shared" si="21"/>
        <v>15.36</v>
      </c>
      <c r="P58" s="2">
        <f>ROUND((ROUND((AC58*AW58*I58),2)*BC58),2)</f>
        <v>1.67</v>
      </c>
      <c r="Q58" s="2">
        <f>(ROUND((ROUND((((ET58*1.1))*AV58*I58),2)*BB58),2)+ROUND((ROUND(((AE58-((EU58*1.1)))*AV58*I58),2)*BS58),2))</f>
        <v>0</v>
      </c>
      <c r="R58" s="2">
        <f t="shared" si="22"/>
        <v>0</v>
      </c>
      <c r="S58" s="2">
        <f t="shared" si="23"/>
        <v>13.69</v>
      </c>
      <c r="T58" s="2">
        <f t="shared" si="24"/>
        <v>0</v>
      </c>
      <c r="U58" s="2">
        <f t="shared" si="25"/>
        <v>1.1516999999999999</v>
      </c>
      <c r="V58" s="2">
        <f t="shared" si="26"/>
        <v>0</v>
      </c>
      <c r="W58" s="2">
        <f t="shared" si="27"/>
        <v>0</v>
      </c>
      <c r="X58" s="2">
        <f t="shared" si="28"/>
        <v>13.01</v>
      </c>
      <c r="Y58" s="2">
        <f t="shared" si="29"/>
        <v>7.26</v>
      </c>
      <c r="Z58" s="2"/>
      <c r="AA58" s="2">
        <v>56511233</v>
      </c>
      <c r="AB58" s="2">
        <f t="shared" si="30"/>
        <v>14.749000000000001</v>
      </c>
      <c r="AC58" s="2">
        <f t="shared" si="31"/>
        <v>1.67</v>
      </c>
      <c r="AD58" s="2">
        <f>ROUND(((((ET58*1.1))-((EU58*1.1)))+AE58),6)</f>
        <v>0</v>
      </c>
      <c r="AE58" s="2">
        <f>ROUND(((EU58*1.1)),6)</f>
        <v>0</v>
      </c>
      <c r="AF58" s="2">
        <f>ROUND(((EV58*1.1)),6)</f>
        <v>13.079000000000001</v>
      </c>
      <c r="AG58" s="2">
        <f t="shared" si="32"/>
        <v>0</v>
      </c>
      <c r="AH58" s="2">
        <f>((EW58*1.1))</f>
        <v>1.1000000000000001</v>
      </c>
      <c r="AI58" s="2">
        <f>((EX58*1.1))</f>
        <v>0</v>
      </c>
      <c r="AJ58" s="2">
        <f t="shared" si="33"/>
        <v>0</v>
      </c>
      <c r="AK58" s="2">
        <v>13.56</v>
      </c>
      <c r="AL58" s="2">
        <v>1.67</v>
      </c>
      <c r="AM58" s="2">
        <v>0</v>
      </c>
      <c r="AN58" s="2">
        <v>0</v>
      </c>
      <c r="AO58" s="2">
        <v>11.89</v>
      </c>
      <c r="AP58" s="2">
        <v>0</v>
      </c>
      <c r="AQ58" s="2">
        <v>1</v>
      </c>
      <c r="AR58" s="2">
        <v>0</v>
      </c>
      <c r="AS58" s="2">
        <v>0</v>
      </c>
      <c r="AT58" s="2">
        <v>95</v>
      </c>
      <c r="AU58" s="2">
        <v>53</v>
      </c>
      <c r="AV58" s="2">
        <v>1.0469999999999999</v>
      </c>
      <c r="AW58" s="2">
        <v>1</v>
      </c>
      <c r="AX58" s="2"/>
      <c r="AY58" s="2"/>
      <c r="AZ58" s="2">
        <v>1</v>
      </c>
      <c r="BA58" s="2">
        <v>1</v>
      </c>
      <c r="BB58" s="2">
        <v>1</v>
      </c>
      <c r="BC58" s="2">
        <v>1</v>
      </c>
      <c r="BD58" s="2" t="s">
        <v>3</v>
      </c>
      <c r="BE58" s="2" t="s">
        <v>3</v>
      </c>
      <c r="BF58" s="2" t="s">
        <v>3</v>
      </c>
      <c r="BG58" s="2" t="s">
        <v>3</v>
      </c>
      <c r="BH58" s="2">
        <v>0</v>
      </c>
      <c r="BI58" s="2">
        <v>2</v>
      </c>
      <c r="BJ58" s="2" t="s">
        <v>93</v>
      </c>
      <c r="BK58" s="2"/>
      <c r="BL58" s="2"/>
      <c r="BM58" s="2">
        <v>69</v>
      </c>
      <c r="BN58" s="2">
        <v>0</v>
      </c>
      <c r="BO58" s="2" t="s">
        <v>91</v>
      </c>
      <c r="BP58" s="2">
        <v>1</v>
      </c>
      <c r="BQ58" s="2">
        <v>40</v>
      </c>
      <c r="BR58" s="2">
        <v>0</v>
      </c>
      <c r="BS58" s="2">
        <v>1</v>
      </c>
      <c r="BT58" s="2">
        <v>1</v>
      </c>
      <c r="BU58" s="2">
        <v>1</v>
      </c>
      <c r="BV58" s="2">
        <v>1</v>
      </c>
      <c r="BW58" s="2">
        <v>1</v>
      </c>
      <c r="BX58" s="2">
        <v>1</v>
      </c>
      <c r="BY58" s="2" t="s">
        <v>3</v>
      </c>
      <c r="BZ58" s="2">
        <v>95</v>
      </c>
      <c r="CA58" s="2">
        <v>53</v>
      </c>
      <c r="CB58" s="2" t="s">
        <v>3</v>
      </c>
      <c r="CC58" s="2"/>
      <c r="CD58" s="2"/>
      <c r="CE58" s="2">
        <v>30</v>
      </c>
      <c r="CF58" s="2">
        <v>0</v>
      </c>
      <c r="CG58" s="2">
        <v>0</v>
      </c>
      <c r="CH58" s="2"/>
      <c r="CI58" s="2"/>
      <c r="CJ58" s="2"/>
      <c r="CK58" s="2"/>
      <c r="CL58" s="2"/>
      <c r="CM58" s="2">
        <v>0</v>
      </c>
      <c r="CN58" s="2" t="s">
        <v>3</v>
      </c>
      <c r="CO58" s="2">
        <v>0</v>
      </c>
      <c r="CP58" s="2">
        <f t="shared" si="34"/>
        <v>15.36</v>
      </c>
      <c r="CQ58" s="2">
        <f>ROUND((ROUND((AC58*AW58*1),2)*BC58),2)</f>
        <v>1.67</v>
      </c>
      <c r="CR58" s="2">
        <f>(ROUND((ROUND((((ET58*1.1))*AV58*1),2)*BB58),2)+ROUND((ROUND(((AE58-((EU58*1.1)))*AV58*1),2)*BS58),2))</f>
        <v>0</v>
      </c>
      <c r="CS58" s="2">
        <f t="shared" si="35"/>
        <v>0</v>
      </c>
      <c r="CT58" s="2">
        <f t="shared" si="36"/>
        <v>13.69</v>
      </c>
      <c r="CU58" s="2">
        <f t="shared" si="37"/>
        <v>0</v>
      </c>
      <c r="CV58" s="2">
        <f t="shared" si="38"/>
        <v>1.1516999999999999</v>
      </c>
      <c r="CW58" s="2">
        <f t="shared" si="39"/>
        <v>0</v>
      </c>
      <c r="CX58" s="2">
        <f t="shared" si="40"/>
        <v>0</v>
      </c>
      <c r="CY58" s="2">
        <f t="shared" si="41"/>
        <v>13.0055</v>
      </c>
      <c r="CZ58" s="2">
        <f t="shared" si="42"/>
        <v>7.2556999999999992</v>
      </c>
      <c r="DA58" s="2"/>
      <c r="DB58" s="2"/>
      <c r="DC58" s="2" t="s">
        <v>3</v>
      </c>
      <c r="DD58" s="2" t="s">
        <v>3</v>
      </c>
      <c r="DE58" s="2" t="s">
        <v>24</v>
      </c>
      <c r="DF58" s="2" t="s">
        <v>24</v>
      </c>
      <c r="DG58" s="2" t="s">
        <v>24</v>
      </c>
      <c r="DH58" s="2" t="s">
        <v>3</v>
      </c>
      <c r="DI58" s="2" t="s">
        <v>24</v>
      </c>
      <c r="DJ58" s="2" t="s">
        <v>24</v>
      </c>
      <c r="DK58" s="2" t="s">
        <v>3</v>
      </c>
      <c r="DL58" s="2" t="s">
        <v>3</v>
      </c>
      <c r="DM58" s="2" t="s">
        <v>3</v>
      </c>
      <c r="DN58" s="2">
        <v>0</v>
      </c>
      <c r="DO58" s="2">
        <v>0</v>
      </c>
      <c r="DP58" s="2">
        <v>1</v>
      </c>
      <c r="DQ58" s="2">
        <v>1</v>
      </c>
      <c r="DR58" s="2"/>
      <c r="DS58" s="2"/>
      <c r="DT58" s="2"/>
      <c r="DU58" s="2">
        <v>1013</v>
      </c>
      <c r="DV58" s="2" t="s">
        <v>22</v>
      </c>
      <c r="DW58" s="2" t="s">
        <v>22</v>
      </c>
      <c r="DX58" s="2">
        <v>1</v>
      </c>
      <c r="DY58" s="2"/>
      <c r="DZ58" s="2" t="s">
        <v>3</v>
      </c>
      <c r="EA58" s="2" t="s">
        <v>3</v>
      </c>
      <c r="EB58" s="2" t="s">
        <v>3</v>
      </c>
      <c r="EC58" s="2" t="s">
        <v>3</v>
      </c>
      <c r="ED58" s="2"/>
      <c r="EE58" s="2">
        <v>58162631</v>
      </c>
      <c r="EF58" s="2">
        <v>40</v>
      </c>
      <c r="EG58" s="2" t="s">
        <v>25</v>
      </c>
      <c r="EH58" s="2">
        <v>0</v>
      </c>
      <c r="EI58" s="2" t="s">
        <v>3</v>
      </c>
      <c r="EJ58" s="2">
        <v>2</v>
      </c>
      <c r="EK58" s="2">
        <v>69</v>
      </c>
      <c r="EL58" s="2" t="s">
        <v>94</v>
      </c>
      <c r="EM58" s="2" t="s">
        <v>95</v>
      </c>
      <c r="EN58" s="2"/>
      <c r="EO58" s="2" t="s">
        <v>28</v>
      </c>
      <c r="EP58" s="2"/>
      <c r="EQ58" s="2">
        <v>0</v>
      </c>
      <c r="ER58" s="2">
        <v>13.56</v>
      </c>
      <c r="ES58" s="2">
        <v>1.67</v>
      </c>
      <c r="ET58" s="2">
        <v>0</v>
      </c>
      <c r="EU58" s="2">
        <v>0</v>
      </c>
      <c r="EV58" s="2">
        <v>11.89</v>
      </c>
      <c r="EW58" s="2">
        <v>1</v>
      </c>
      <c r="EX58" s="2">
        <v>0</v>
      </c>
      <c r="EY58" s="2">
        <v>0</v>
      </c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>
        <v>0</v>
      </c>
      <c r="FR58" s="2">
        <v>0</v>
      </c>
      <c r="FS58" s="2">
        <v>0</v>
      </c>
      <c r="FT58" s="2"/>
      <c r="FU58" s="2"/>
      <c r="FV58" s="2"/>
      <c r="FW58" s="2"/>
      <c r="FX58" s="2">
        <v>95</v>
      </c>
      <c r="FY58" s="2">
        <v>53</v>
      </c>
      <c r="FZ58" s="2"/>
      <c r="GA58" s="2" t="s">
        <v>3</v>
      </c>
      <c r="GB58" s="2"/>
      <c r="GC58" s="2"/>
      <c r="GD58" s="2">
        <v>1</v>
      </c>
      <c r="GE58" s="2"/>
      <c r="GF58" s="2">
        <v>-508473279</v>
      </c>
      <c r="GG58" s="2">
        <v>2</v>
      </c>
      <c r="GH58" s="2">
        <v>1</v>
      </c>
      <c r="GI58" s="2">
        <v>2</v>
      </c>
      <c r="GJ58" s="2">
        <v>0</v>
      </c>
      <c r="GK58" s="2">
        <v>0</v>
      </c>
      <c r="GL58" s="2">
        <f t="shared" si="43"/>
        <v>0</v>
      </c>
      <c r="GM58" s="2">
        <f t="shared" si="44"/>
        <v>35.630000000000003</v>
      </c>
      <c r="GN58" s="2">
        <f t="shared" si="45"/>
        <v>0</v>
      </c>
      <c r="GO58" s="2">
        <f t="shared" si="46"/>
        <v>35.630000000000003</v>
      </c>
      <c r="GP58" s="2">
        <f t="shared" si="47"/>
        <v>0</v>
      </c>
      <c r="GQ58" s="2"/>
      <c r="GR58" s="2">
        <v>0</v>
      </c>
      <c r="GS58" s="2">
        <v>3</v>
      </c>
      <c r="GT58" s="2">
        <v>0</v>
      </c>
      <c r="GU58" s="2" t="s">
        <v>3</v>
      </c>
      <c r="GV58" s="2">
        <f t="shared" si="48"/>
        <v>0</v>
      </c>
      <c r="GW58" s="2">
        <v>1</v>
      </c>
      <c r="GX58" s="2">
        <f t="shared" si="49"/>
        <v>0</v>
      </c>
      <c r="GY58" s="2"/>
      <c r="GZ58" s="2"/>
      <c r="HA58" s="2">
        <v>0</v>
      </c>
      <c r="HB58" s="2">
        <v>0</v>
      </c>
      <c r="HC58" s="2">
        <f t="shared" si="50"/>
        <v>0</v>
      </c>
      <c r="HD58" s="2"/>
      <c r="HE58" s="2" t="s">
        <v>3</v>
      </c>
      <c r="HF58" s="2" t="s">
        <v>3</v>
      </c>
      <c r="HG58" s="2"/>
      <c r="HH58" s="2"/>
      <c r="HI58" s="2"/>
      <c r="HJ58" s="2"/>
      <c r="HK58" s="2"/>
      <c r="HL58" s="2"/>
      <c r="HM58" s="2" t="s">
        <v>3</v>
      </c>
      <c r="HN58" s="2" t="s">
        <v>3</v>
      </c>
      <c r="HO58" s="2" t="s">
        <v>3</v>
      </c>
      <c r="HP58" s="2" t="s">
        <v>3</v>
      </c>
      <c r="HQ58" s="2" t="s">
        <v>3</v>
      </c>
      <c r="HR58" s="2"/>
      <c r="HS58" s="2">
        <v>0</v>
      </c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>
        <v>0</v>
      </c>
      <c r="IL58" s="2"/>
      <c r="IM58" s="2"/>
      <c r="IN58" s="2"/>
      <c r="IO58" s="2"/>
      <c r="IP58" s="2"/>
      <c r="IQ58" s="2"/>
      <c r="IR58" s="2"/>
      <c r="IS58" s="2"/>
      <c r="IT58" s="2"/>
      <c r="IU58" s="2"/>
    </row>
    <row r="59" spans="1:255" x14ac:dyDescent="0.3">
      <c r="A59">
        <v>17</v>
      </c>
      <c r="B59">
        <v>1</v>
      </c>
      <c r="D59">
        <f>ROW(EtalonRes!A96)</f>
        <v>96</v>
      </c>
      <c r="E59" t="s">
        <v>90</v>
      </c>
      <c r="F59" t="s">
        <v>91</v>
      </c>
      <c r="G59" t="s">
        <v>92</v>
      </c>
      <c r="H59" t="s">
        <v>22</v>
      </c>
      <c r="I59">
        <v>1</v>
      </c>
      <c r="J59">
        <v>0</v>
      </c>
      <c r="K59">
        <v>1</v>
      </c>
      <c r="O59">
        <f t="shared" si="21"/>
        <v>783.89</v>
      </c>
      <c r="P59">
        <f>ROUND((ROUND((AC59*AW59*I59),2)*BC59),2)</f>
        <v>31.08</v>
      </c>
      <c r="Q59">
        <f>(ROUND((ROUND((((ET59*1.1))*AV59*I59),2)*BB59),2)+ROUND((ROUND(((AE59-((EU59*1.1)))*AV59*I59),2)*BS59),2))</f>
        <v>0</v>
      </c>
      <c r="R59">
        <f t="shared" si="22"/>
        <v>0</v>
      </c>
      <c r="S59">
        <f t="shared" si="23"/>
        <v>752.81</v>
      </c>
      <c r="T59">
        <f t="shared" si="24"/>
        <v>0</v>
      </c>
      <c r="U59">
        <f t="shared" si="25"/>
        <v>1.1516999999999999</v>
      </c>
      <c r="V59">
        <f t="shared" si="26"/>
        <v>0</v>
      </c>
      <c r="W59">
        <f t="shared" si="27"/>
        <v>0</v>
      </c>
      <c r="X59">
        <f t="shared" si="28"/>
        <v>715.17</v>
      </c>
      <c r="Y59">
        <f t="shared" si="29"/>
        <v>398.99</v>
      </c>
      <c r="AA59">
        <v>56511235</v>
      </c>
      <c r="AB59">
        <f t="shared" si="30"/>
        <v>14.749000000000001</v>
      </c>
      <c r="AC59">
        <f t="shared" si="31"/>
        <v>1.67</v>
      </c>
      <c r="AD59">
        <f>ROUND(((((ET59*1.1))-((EU59*1.1)))+AE59),6)</f>
        <v>0</v>
      </c>
      <c r="AE59">
        <f>ROUND(((EU59*1.1)),6)</f>
        <v>0</v>
      </c>
      <c r="AF59">
        <f>ROUND(((EV59*1.1)),6)</f>
        <v>13.079000000000001</v>
      </c>
      <c r="AG59">
        <f t="shared" si="32"/>
        <v>0</v>
      </c>
      <c r="AH59">
        <f>((EW59*1.1))</f>
        <v>1.1000000000000001</v>
      </c>
      <c r="AI59">
        <f>((EX59*1.1))</f>
        <v>0</v>
      </c>
      <c r="AJ59">
        <f t="shared" si="33"/>
        <v>0</v>
      </c>
      <c r="AK59">
        <v>13.56</v>
      </c>
      <c r="AL59">
        <v>1.67</v>
      </c>
      <c r="AM59">
        <v>0</v>
      </c>
      <c r="AN59">
        <v>0</v>
      </c>
      <c r="AO59">
        <v>11.89</v>
      </c>
      <c r="AP59">
        <v>0</v>
      </c>
      <c r="AQ59">
        <v>1</v>
      </c>
      <c r="AR59">
        <v>0</v>
      </c>
      <c r="AS59">
        <v>0</v>
      </c>
      <c r="AT59">
        <v>95</v>
      </c>
      <c r="AU59">
        <v>53</v>
      </c>
      <c r="AV59">
        <v>1.0469999999999999</v>
      </c>
      <c r="AW59">
        <v>1</v>
      </c>
      <c r="AZ59">
        <v>1</v>
      </c>
      <c r="BA59">
        <v>54.99</v>
      </c>
      <c r="BB59">
        <v>1</v>
      </c>
      <c r="BC59">
        <v>18.61</v>
      </c>
      <c r="BD59" t="s">
        <v>3</v>
      </c>
      <c r="BE59" t="s">
        <v>3</v>
      </c>
      <c r="BF59" t="s">
        <v>3</v>
      </c>
      <c r="BG59" t="s">
        <v>3</v>
      </c>
      <c r="BH59">
        <v>0</v>
      </c>
      <c r="BI59">
        <v>2</v>
      </c>
      <c r="BJ59" t="s">
        <v>93</v>
      </c>
      <c r="BM59">
        <v>69</v>
      </c>
      <c r="BN59">
        <v>0</v>
      </c>
      <c r="BO59" t="s">
        <v>91</v>
      </c>
      <c r="BP59">
        <v>1</v>
      </c>
      <c r="BQ59">
        <v>40</v>
      </c>
      <c r="BR59">
        <v>0</v>
      </c>
      <c r="BS59">
        <v>54.99</v>
      </c>
      <c r="BT59">
        <v>1</v>
      </c>
      <c r="BU59">
        <v>1</v>
      </c>
      <c r="BV59">
        <v>1</v>
      </c>
      <c r="BW59">
        <v>1</v>
      </c>
      <c r="BX59">
        <v>1</v>
      </c>
      <c r="BY59" t="s">
        <v>3</v>
      </c>
      <c r="BZ59">
        <v>95</v>
      </c>
      <c r="CA59">
        <v>53</v>
      </c>
      <c r="CB59" t="s">
        <v>3</v>
      </c>
      <c r="CE59">
        <v>30</v>
      </c>
      <c r="CF59">
        <v>0</v>
      </c>
      <c r="CG59">
        <v>0</v>
      </c>
      <c r="CM59">
        <v>0</v>
      </c>
      <c r="CN59" t="s">
        <v>3</v>
      </c>
      <c r="CO59">
        <v>0</v>
      </c>
      <c r="CP59">
        <f t="shared" si="34"/>
        <v>783.89</v>
      </c>
      <c r="CQ59">
        <f>ROUND((ROUND((AC59*AW59*1),2)*BC59),2)</f>
        <v>31.08</v>
      </c>
      <c r="CR59">
        <f>(ROUND((ROUND((((ET59*1.1))*AV59*1),2)*BB59),2)+ROUND((ROUND(((AE59-((EU59*1.1)))*AV59*1),2)*BS59),2))</f>
        <v>0</v>
      </c>
      <c r="CS59">
        <f t="shared" si="35"/>
        <v>0</v>
      </c>
      <c r="CT59">
        <f t="shared" si="36"/>
        <v>752.81</v>
      </c>
      <c r="CU59">
        <f t="shared" si="37"/>
        <v>0</v>
      </c>
      <c r="CV59">
        <f t="shared" si="38"/>
        <v>1.1516999999999999</v>
      </c>
      <c r="CW59">
        <f t="shared" si="39"/>
        <v>0</v>
      </c>
      <c r="CX59">
        <f t="shared" si="40"/>
        <v>0</v>
      </c>
      <c r="CY59">
        <f t="shared" si="41"/>
        <v>715.16949999999997</v>
      </c>
      <c r="CZ59">
        <f t="shared" si="42"/>
        <v>398.98930000000001</v>
      </c>
      <c r="DC59" t="s">
        <v>3</v>
      </c>
      <c r="DD59" t="s">
        <v>3</v>
      </c>
      <c r="DE59" t="s">
        <v>24</v>
      </c>
      <c r="DF59" t="s">
        <v>24</v>
      </c>
      <c r="DG59" t="s">
        <v>24</v>
      </c>
      <c r="DH59" t="s">
        <v>3</v>
      </c>
      <c r="DI59" t="s">
        <v>24</v>
      </c>
      <c r="DJ59" t="s">
        <v>24</v>
      </c>
      <c r="DK59" t="s">
        <v>3</v>
      </c>
      <c r="DL59" t="s">
        <v>3</v>
      </c>
      <c r="DM59" t="s">
        <v>3</v>
      </c>
      <c r="DN59">
        <v>0</v>
      </c>
      <c r="DO59">
        <v>0</v>
      </c>
      <c r="DP59">
        <v>1</v>
      </c>
      <c r="DQ59">
        <v>1</v>
      </c>
      <c r="DU59">
        <v>1013</v>
      </c>
      <c r="DV59" t="s">
        <v>22</v>
      </c>
      <c r="DW59" t="s">
        <v>22</v>
      </c>
      <c r="DX59">
        <v>1</v>
      </c>
      <c r="DZ59" t="s">
        <v>3</v>
      </c>
      <c r="EA59" t="s">
        <v>3</v>
      </c>
      <c r="EB59" t="s">
        <v>3</v>
      </c>
      <c r="EC59" t="s">
        <v>3</v>
      </c>
      <c r="EE59">
        <v>58162631</v>
      </c>
      <c r="EF59">
        <v>40</v>
      </c>
      <c r="EG59" t="s">
        <v>25</v>
      </c>
      <c r="EH59">
        <v>0</v>
      </c>
      <c r="EI59" t="s">
        <v>3</v>
      </c>
      <c r="EJ59">
        <v>2</v>
      </c>
      <c r="EK59">
        <v>69</v>
      </c>
      <c r="EL59" t="s">
        <v>94</v>
      </c>
      <c r="EM59" t="s">
        <v>95</v>
      </c>
      <c r="EO59" t="s">
        <v>28</v>
      </c>
      <c r="EQ59">
        <v>0</v>
      </c>
      <c r="ER59">
        <v>13.56</v>
      </c>
      <c r="ES59">
        <v>1.67</v>
      </c>
      <c r="ET59">
        <v>0</v>
      </c>
      <c r="EU59">
        <v>0</v>
      </c>
      <c r="EV59">
        <v>11.89</v>
      </c>
      <c r="EW59">
        <v>1</v>
      </c>
      <c r="EX59">
        <v>0</v>
      </c>
      <c r="EY59">
        <v>0</v>
      </c>
      <c r="FQ59">
        <v>0</v>
      </c>
      <c r="FR59">
        <v>0</v>
      </c>
      <c r="FS59">
        <v>0</v>
      </c>
      <c r="FX59">
        <v>95</v>
      </c>
      <c r="FY59">
        <v>53</v>
      </c>
      <c r="GA59" t="s">
        <v>3</v>
      </c>
      <c r="GD59">
        <v>1</v>
      </c>
      <c r="GF59">
        <v>-508473279</v>
      </c>
      <c r="GG59">
        <v>2</v>
      </c>
      <c r="GH59">
        <v>1</v>
      </c>
      <c r="GI59">
        <v>2</v>
      </c>
      <c r="GJ59">
        <v>0</v>
      </c>
      <c r="GK59">
        <v>0</v>
      </c>
      <c r="GL59">
        <f t="shared" si="43"/>
        <v>0</v>
      </c>
      <c r="GM59">
        <f t="shared" si="44"/>
        <v>1898.05</v>
      </c>
      <c r="GN59">
        <f t="shared" si="45"/>
        <v>0</v>
      </c>
      <c r="GO59">
        <f t="shared" si="46"/>
        <v>1898.05</v>
      </c>
      <c r="GP59">
        <f t="shared" si="47"/>
        <v>0</v>
      </c>
      <c r="GR59">
        <v>0</v>
      </c>
      <c r="GS59">
        <v>3</v>
      </c>
      <c r="GT59">
        <v>0</v>
      </c>
      <c r="GU59" t="s">
        <v>3</v>
      </c>
      <c r="GV59">
        <f t="shared" si="48"/>
        <v>0</v>
      </c>
      <c r="GW59">
        <v>1</v>
      </c>
      <c r="GX59">
        <f t="shared" si="49"/>
        <v>0</v>
      </c>
      <c r="HA59">
        <v>0</v>
      </c>
      <c r="HB59">
        <v>0</v>
      </c>
      <c r="HC59">
        <f t="shared" si="50"/>
        <v>0</v>
      </c>
      <c r="HE59" t="s">
        <v>3</v>
      </c>
      <c r="HF59" t="s">
        <v>3</v>
      </c>
      <c r="HM59" t="s">
        <v>3</v>
      </c>
      <c r="HN59" t="s">
        <v>3</v>
      </c>
      <c r="HO59" t="s">
        <v>3</v>
      </c>
      <c r="HP59" t="s">
        <v>3</v>
      </c>
      <c r="HQ59" t="s">
        <v>3</v>
      </c>
      <c r="HS59">
        <v>0</v>
      </c>
      <c r="IK59">
        <v>0</v>
      </c>
    </row>
    <row r="60" spans="1:255" x14ac:dyDescent="0.3">
      <c r="A60" s="2">
        <v>18</v>
      </c>
      <c r="B60" s="2">
        <v>1</v>
      </c>
      <c r="C60" s="2"/>
      <c r="D60" s="2"/>
      <c r="E60" s="2" t="s">
        <v>96</v>
      </c>
      <c r="F60" s="2" t="s">
        <v>97</v>
      </c>
      <c r="G60" s="2" t="s">
        <v>98</v>
      </c>
      <c r="H60" s="2" t="s">
        <v>32</v>
      </c>
      <c r="I60" s="2">
        <f>I58*J60</f>
        <v>1</v>
      </c>
      <c r="J60" s="2">
        <v>1</v>
      </c>
      <c r="K60" s="2">
        <v>1</v>
      </c>
      <c r="L60" s="2"/>
      <c r="M60" s="2"/>
      <c r="N60" s="2"/>
      <c r="O60" s="2">
        <f t="shared" si="21"/>
        <v>966.16</v>
      </c>
      <c r="P60" s="2">
        <f>ROUND((ROUND((AC60*I60),2)*BC60),2)</f>
        <v>966.16</v>
      </c>
      <c r="Q60" s="2">
        <f>(ROUND((ROUND(((ET60)*AV60*I60),2)*BB60),2)+ROUND((ROUND(((AE60-(EU60))*AV60*I60),2)*BS60),2))</f>
        <v>0</v>
      </c>
      <c r="R60" s="2">
        <f t="shared" si="22"/>
        <v>0</v>
      </c>
      <c r="S60" s="2">
        <f t="shared" si="23"/>
        <v>0</v>
      </c>
      <c r="T60" s="2">
        <f t="shared" si="24"/>
        <v>0</v>
      </c>
      <c r="U60" s="2">
        <f t="shared" si="25"/>
        <v>0</v>
      </c>
      <c r="V60" s="2">
        <f t="shared" si="26"/>
        <v>0</v>
      </c>
      <c r="W60" s="2">
        <f t="shared" si="27"/>
        <v>0</v>
      </c>
      <c r="X60" s="2">
        <f t="shared" si="28"/>
        <v>0</v>
      </c>
      <c r="Y60" s="2">
        <f t="shared" si="29"/>
        <v>0</v>
      </c>
      <c r="Z60" s="2"/>
      <c r="AA60" s="2">
        <v>56511233</v>
      </c>
      <c r="AB60" s="2">
        <f t="shared" si="30"/>
        <v>966.16</v>
      </c>
      <c r="AC60" s="2">
        <f t="shared" si="31"/>
        <v>966.16</v>
      </c>
      <c r="AD60" s="2">
        <f>ROUND((((ET60)-(EU60))+AE60),6)</f>
        <v>0</v>
      </c>
      <c r="AE60" s="2">
        <f>ROUND((EU60),6)</f>
        <v>0</v>
      </c>
      <c r="AF60" s="2">
        <f>ROUND((EV60),6)</f>
        <v>0</v>
      </c>
      <c r="AG60" s="2">
        <f t="shared" si="32"/>
        <v>0</v>
      </c>
      <c r="AH60" s="2">
        <f>(EW60)</f>
        <v>0</v>
      </c>
      <c r="AI60" s="2">
        <f>(EX60)</f>
        <v>0</v>
      </c>
      <c r="AJ60" s="2">
        <f t="shared" si="33"/>
        <v>0</v>
      </c>
      <c r="AK60" s="2">
        <v>966.16</v>
      </c>
      <c r="AL60" s="2">
        <v>966.16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1</v>
      </c>
      <c r="AW60" s="2">
        <v>1</v>
      </c>
      <c r="AX60" s="2"/>
      <c r="AY60" s="2"/>
      <c r="AZ60" s="2">
        <v>1</v>
      </c>
      <c r="BA60" s="2">
        <v>1</v>
      </c>
      <c r="BB60" s="2">
        <v>1</v>
      </c>
      <c r="BC60" s="2">
        <v>1</v>
      </c>
      <c r="BD60" s="2" t="s">
        <v>3</v>
      </c>
      <c r="BE60" s="2" t="s">
        <v>3</v>
      </c>
      <c r="BF60" s="2" t="s">
        <v>3</v>
      </c>
      <c r="BG60" s="2" t="s">
        <v>3</v>
      </c>
      <c r="BH60" s="2">
        <v>3</v>
      </c>
      <c r="BI60" s="2">
        <v>3</v>
      </c>
      <c r="BJ60" s="2" t="s">
        <v>3</v>
      </c>
      <c r="BK60" s="2"/>
      <c r="BL60" s="2"/>
      <c r="BM60" s="2">
        <v>746</v>
      </c>
      <c r="BN60" s="2">
        <v>0</v>
      </c>
      <c r="BO60" s="2" t="s">
        <v>3</v>
      </c>
      <c r="BP60" s="2">
        <v>0</v>
      </c>
      <c r="BQ60" s="2">
        <v>130</v>
      </c>
      <c r="BR60" s="2">
        <v>0</v>
      </c>
      <c r="BS60" s="2">
        <v>1</v>
      </c>
      <c r="BT60" s="2">
        <v>1</v>
      </c>
      <c r="BU60" s="2">
        <v>1</v>
      </c>
      <c r="BV60" s="2">
        <v>1</v>
      </c>
      <c r="BW60" s="2">
        <v>1</v>
      </c>
      <c r="BX60" s="2">
        <v>1</v>
      </c>
      <c r="BY60" s="2" t="s">
        <v>3</v>
      </c>
      <c r="BZ60" s="2">
        <v>95</v>
      </c>
      <c r="CA60" s="2">
        <v>53</v>
      </c>
      <c r="CB60" s="2" t="s">
        <v>3</v>
      </c>
      <c r="CC60" s="2"/>
      <c r="CD60" s="2"/>
      <c r="CE60" s="2">
        <v>30</v>
      </c>
      <c r="CF60" s="2">
        <v>0</v>
      </c>
      <c r="CG60" s="2">
        <v>0</v>
      </c>
      <c r="CH60" s="2"/>
      <c r="CI60" s="2"/>
      <c r="CJ60" s="2"/>
      <c r="CK60" s="2"/>
      <c r="CL60" s="2"/>
      <c r="CM60" s="2">
        <v>0</v>
      </c>
      <c r="CN60" s="2" t="s">
        <v>3</v>
      </c>
      <c r="CO60" s="2">
        <v>0</v>
      </c>
      <c r="CP60" s="2">
        <f t="shared" si="34"/>
        <v>966.16</v>
      </c>
      <c r="CQ60" s="2">
        <f>ROUND((ROUND((AC60*1),2)*BC60),2)</f>
        <v>966.16</v>
      </c>
      <c r="CR60" s="2">
        <f>(ROUND((ROUND(((ET60)*AV60*1),2)*BB60),2)+ROUND((ROUND(((AE60-(EU60))*AV60*1),2)*BS60),2))</f>
        <v>0</v>
      </c>
      <c r="CS60" s="2">
        <f t="shared" si="35"/>
        <v>0</v>
      </c>
      <c r="CT60" s="2">
        <f t="shared" si="36"/>
        <v>0</v>
      </c>
      <c r="CU60" s="2">
        <f t="shared" si="37"/>
        <v>0</v>
      </c>
      <c r="CV60" s="2">
        <f t="shared" si="38"/>
        <v>0</v>
      </c>
      <c r="CW60" s="2">
        <f t="shared" si="39"/>
        <v>0</v>
      </c>
      <c r="CX60" s="2">
        <f t="shared" si="40"/>
        <v>0</v>
      </c>
      <c r="CY60" s="2">
        <f t="shared" si="41"/>
        <v>0</v>
      </c>
      <c r="CZ60" s="2">
        <f t="shared" si="42"/>
        <v>0</v>
      </c>
      <c r="DA60" s="2"/>
      <c r="DB60" s="2"/>
      <c r="DC60" s="2" t="s">
        <v>3</v>
      </c>
      <c r="DD60" s="2" t="s">
        <v>3</v>
      </c>
      <c r="DE60" s="2" t="s">
        <v>3</v>
      </c>
      <c r="DF60" s="2" t="s">
        <v>3</v>
      </c>
      <c r="DG60" s="2" t="s">
        <v>3</v>
      </c>
      <c r="DH60" s="2" t="s">
        <v>3</v>
      </c>
      <c r="DI60" s="2" t="s">
        <v>3</v>
      </c>
      <c r="DJ60" s="2" t="s">
        <v>3</v>
      </c>
      <c r="DK60" s="2" t="s">
        <v>3</v>
      </c>
      <c r="DL60" s="2" t="s">
        <v>3</v>
      </c>
      <c r="DM60" s="2" t="s">
        <v>3</v>
      </c>
      <c r="DN60" s="2">
        <v>0</v>
      </c>
      <c r="DO60" s="2">
        <v>0</v>
      </c>
      <c r="DP60" s="2">
        <v>1</v>
      </c>
      <c r="DQ60" s="2">
        <v>1</v>
      </c>
      <c r="DR60" s="2"/>
      <c r="DS60" s="2"/>
      <c r="DT60" s="2"/>
      <c r="DU60" s="2">
        <v>1010</v>
      </c>
      <c r="DV60" s="2" t="s">
        <v>32</v>
      </c>
      <c r="DW60" s="2" t="s">
        <v>32</v>
      </c>
      <c r="DX60" s="2">
        <v>1</v>
      </c>
      <c r="DY60" s="2"/>
      <c r="DZ60" s="2" t="s">
        <v>3</v>
      </c>
      <c r="EA60" s="2" t="s">
        <v>3</v>
      </c>
      <c r="EB60" s="2" t="s">
        <v>3</v>
      </c>
      <c r="EC60" s="2" t="s">
        <v>3</v>
      </c>
      <c r="ED60" s="2"/>
      <c r="EE60" s="2">
        <v>58162750</v>
      </c>
      <c r="EF60" s="2">
        <v>130</v>
      </c>
      <c r="EG60" s="2" t="s">
        <v>33</v>
      </c>
      <c r="EH60" s="2">
        <v>0</v>
      </c>
      <c r="EI60" s="2" t="s">
        <v>3</v>
      </c>
      <c r="EJ60" s="2">
        <v>3</v>
      </c>
      <c r="EK60" s="2">
        <v>746</v>
      </c>
      <c r="EL60" s="2" t="s">
        <v>34</v>
      </c>
      <c r="EM60" s="2" t="s">
        <v>35</v>
      </c>
      <c r="EN60" s="2"/>
      <c r="EO60" s="2" t="s">
        <v>3</v>
      </c>
      <c r="EP60" s="2"/>
      <c r="EQ60" s="2">
        <v>0</v>
      </c>
      <c r="ER60" s="2">
        <v>0</v>
      </c>
      <c r="ES60" s="2">
        <v>966.16</v>
      </c>
      <c r="ET60" s="2">
        <v>0</v>
      </c>
      <c r="EU60" s="2">
        <v>0</v>
      </c>
      <c r="EV60" s="2">
        <v>0</v>
      </c>
      <c r="EW60" s="2">
        <v>0</v>
      </c>
      <c r="EX60" s="2">
        <v>0</v>
      </c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>
        <v>0</v>
      </c>
      <c r="FR60" s="2">
        <f>P60</f>
        <v>966.16</v>
      </c>
      <c r="FS60" s="2">
        <v>0</v>
      </c>
      <c r="FT60" s="2"/>
      <c r="FU60" s="2"/>
      <c r="FV60" s="2"/>
      <c r="FW60" s="2"/>
      <c r="FX60" s="2">
        <v>95</v>
      </c>
      <c r="FY60" s="2">
        <v>53</v>
      </c>
      <c r="FZ60" s="2"/>
      <c r="GA60" s="2" t="s">
        <v>99</v>
      </c>
      <c r="GB60" s="2"/>
      <c r="GC60" s="2"/>
      <c r="GD60" s="2">
        <v>1</v>
      </c>
      <c r="GE60" s="2"/>
      <c r="GF60" s="2">
        <v>2045652835</v>
      </c>
      <c r="GG60" s="2">
        <v>2</v>
      </c>
      <c r="GH60" s="2">
        <v>4</v>
      </c>
      <c r="GI60" s="2">
        <v>-2</v>
      </c>
      <c r="GJ60" s="2">
        <v>0</v>
      </c>
      <c r="GK60" s="2">
        <v>0</v>
      </c>
      <c r="GL60" s="2">
        <f t="shared" si="43"/>
        <v>0</v>
      </c>
      <c r="GM60" s="2">
        <f t="shared" si="44"/>
        <v>966.16</v>
      </c>
      <c r="GN60" s="2">
        <f t="shared" si="45"/>
        <v>0</v>
      </c>
      <c r="GO60" s="2">
        <f t="shared" si="46"/>
        <v>0</v>
      </c>
      <c r="GP60" s="2">
        <f t="shared" si="47"/>
        <v>0</v>
      </c>
      <c r="GQ60" s="2"/>
      <c r="GR60" s="2">
        <v>0</v>
      </c>
      <c r="GS60" s="2">
        <v>2</v>
      </c>
      <c r="GT60" s="2">
        <v>0</v>
      </c>
      <c r="GU60" s="2" t="s">
        <v>3</v>
      </c>
      <c r="GV60" s="2">
        <f t="shared" si="48"/>
        <v>0</v>
      </c>
      <c r="GW60" s="2">
        <v>1</v>
      </c>
      <c r="GX60" s="2">
        <f t="shared" si="49"/>
        <v>0</v>
      </c>
      <c r="GY60" s="2"/>
      <c r="GZ60" s="2"/>
      <c r="HA60" s="2">
        <v>0</v>
      </c>
      <c r="HB60" s="2">
        <v>0</v>
      </c>
      <c r="HC60" s="2">
        <f t="shared" si="50"/>
        <v>0</v>
      </c>
      <c r="HD60" s="2"/>
      <c r="HE60" s="2" t="s">
        <v>37</v>
      </c>
      <c r="HF60" s="2" t="s">
        <v>38</v>
      </c>
      <c r="HG60" s="2"/>
      <c r="HH60" s="2"/>
      <c r="HI60" s="2"/>
      <c r="HJ60" s="2"/>
      <c r="HK60" s="2"/>
      <c r="HL60" s="2"/>
      <c r="HM60" s="2" t="s">
        <v>3</v>
      </c>
      <c r="HN60" s="2" t="s">
        <v>3</v>
      </c>
      <c r="HO60" s="2" t="s">
        <v>3</v>
      </c>
      <c r="HP60" s="2" t="s">
        <v>3</v>
      </c>
      <c r="HQ60" s="2" t="s">
        <v>3</v>
      </c>
      <c r="HR60" s="2"/>
      <c r="HS60" s="2">
        <v>0</v>
      </c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>
        <v>0</v>
      </c>
      <c r="IL60" s="2"/>
      <c r="IM60" s="2"/>
      <c r="IN60" s="2"/>
      <c r="IO60" s="2"/>
      <c r="IP60" s="2"/>
      <c r="IQ60" s="2"/>
      <c r="IR60" s="2"/>
      <c r="IS60" s="2"/>
      <c r="IT60" s="2"/>
      <c r="IU60" s="2"/>
    </row>
    <row r="61" spans="1:255" x14ac:dyDescent="0.3">
      <c r="A61">
        <v>18</v>
      </c>
      <c r="B61">
        <v>1</v>
      </c>
      <c r="E61" t="s">
        <v>96</v>
      </c>
      <c r="F61" t="s">
        <v>97</v>
      </c>
      <c r="G61" t="s">
        <v>98</v>
      </c>
      <c r="H61" t="s">
        <v>32</v>
      </c>
      <c r="I61">
        <f>I59*J61</f>
        <v>1</v>
      </c>
      <c r="J61">
        <v>1</v>
      </c>
      <c r="K61">
        <v>1</v>
      </c>
      <c r="O61">
        <f t="shared" si="21"/>
        <v>7400.79</v>
      </c>
      <c r="P61">
        <f>ROUND((ROUND((AC61*I61),2)*BC61),2)</f>
        <v>7400.79</v>
      </c>
      <c r="Q61">
        <f>(ROUND((ROUND(((ET61)*AV61*I61),2)*BB61),2)+ROUND((ROUND(((AE61-(EU61))*AV61*I61),2)*BS61),2))</f>
        <v>0</v>
      </c>
      <c r="R61">
        <f t="shared" si="22"/>
        <v>0</v>
      </c>
      <c r="S61">
        <f t="shared" si="23"/>
        <v>0</v>
      </c>
      <c r="T61">
        <f t="shared" si="24"/>
        <v>0</v>
      </c>
      <c r="U61">
        <f t="shared" si="25"/>
        <v>0</v>
      </c>
      <c r="V61">
        <f t="shared" si="26"/>
        <v>0</v>
      </c>
      <c r="W61">
        <f t="shared" si="27"/>
        <v>0</v>
      </c>
      <c r="X61">
        <f t="shared" si="28"/>
        <v>0</v>
      </c>
      <c r="Y61">
        <f t="shared" si="29"/>
        <v>0</v>
      </c>
      <c r="AA61">
        <v>56511235</v>
      </c>
      <c r="AB61">
        <f t="shared" si="30"/>
        <v>966.16</v>
      </c>
      <c r="AC61">
        <f t="shared" si="31"/>
        <v>966.16</v>
      </c>
      <c r="AD61">
        <f>ROUND((((ET61)-(EU61))+AE61),6)</f>
        <v>0</v>
      </c>
      <c r="AE61">
        <f>ROUND((EU61),6)</f>
        <v>0</v>
      </c>
      <c r="AF61">
        <f>ROUND((EV61),6)</f>
        <v>0</v>
      </c>
      <c r="AG61">
        <f t="shared" si="32"/>
        <v>0</v>
      </c>
      <c r="AH61">
        <f>(EW61)</f>
        <v>0</v>
      </c>
      <c r="AI61">
        <f>(EX61)</f>
        <v>0</v>
      </c>
      <c r="AJ61">
        <f t="shared" si="33"/>
        <v>0</v>
      </c>
      <c r="AK61">
        <v>966.16</v>
      </c>
      <c r="AL61">
        <v>966.16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1</v>
      </c>
      <c r="AW61">
        <v>1</v>
      </c>
      <c r="AZ61">
        <v>1</v>
      </c>
      <c r="BA61">
        <v>1</v>
      </c>
      <c r="BB61">
        <v>1</v>
      </c>
      <c r="BC61">
        <v>7.66</v>
      </c>
      <c r="BD61" t="s">
        <v>3</v>
      </c>
      <c r="BE61" t="s">
        <v>3</v>
      </c>
      <c r="BF61" t="s">
        <v>3</v>
      </c>
      <c r="BG61" t="s">
        <v>3</v>
      </c>
      <c r="BH61">
        <v>3</v>
      </c>
      <c r="BI61">
        <v>3</v>
      </c>
      <c r="BJ61" t="s">
        <v>3</v>
      </c>
      <c r="BM61">
        <v>746</v>
      </c>
      <c r="BN61">
        <v>0</v>
      </c>
      <c r="BO61" t="s">
        <v>3</v>
      </c>
      <c r="BP61">
        <v>0</v>
      </c>
      <c r="BQ61">
        <v>130</v>
      </c>
      <c r="BR61">
        <v>0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 t="s">
        <v>3</v>
      </c>
      <c r="BZ61">
        <v>95</v>
      </c>
      <c r="CA61">
        <v>53</v>
      </c>
      <c r="CB61" t="s">
        <v>3</v>
      </c>
      <c r="CE61">
        <v>30</v>
      </c>
      <c r="CF61">
        <v>0</v>
      </c>
      <c r="CG61">
        <v>0</v>
      </c>
      <c r="CM61">
        <v>0</v>
      </c>
      <c r="CN61" t="s">
        <v>3</v>
      </c>
      <c r="CO61">
        <v>0</v>
      </c>
      <c r="CP61">
        <f t="shared" si="34"/>
        <v>7400.79</v>
      </c>
      <c r="CQ61">
        <f>ROUND((ROUND((AC61*1),2)*BC61),2)</f>
        <v>7400.79</v>
      </c>
      <c r="CR61">
        <f>(ROUND((ROUND(((ET61)*AV61*1),2)*BB61),2)+ROUND((ROUND(((AE61-(EU61))*AV61*1),2)*BS61),2))</f>
        <v>0</v>
      </c>
      <c r="CS61">
        <f t="shared" si="35"/>
        <v>0</v>
      </c>
      <c r="CT61">
        <f t="shared" si="36"/>
        <v>0</v>
      </c>
      <c r="CU61">
        <f t="shared" si="37"/>
        <v>0</v>
      </c>
      <c r="CV61">
        <f t="shared" si="38"/>
        <v>0</v>
      </c>
      <c r="CW61">
        <f t="shared" si="39"/>
        <v>0</v>
      </c>
      <c r="CX61">
        <f t="shared" si="40"/>
        <v>0</v>
      </c>
      <c r="CY61">
        <f t="shared" si="41"/>
        <v>0</v>
      </c>
      <c r="CZ61">
        <f t="shared" si="42"/>
        <v>0</v>
      </c>
      <c r="DC61" t="s">
        <v>3</v>
      </c>
      <c r="DD61" t="s">
        <v>3</v>
      </c>
      <c r="DE61" t="s">
        <v>3</v>
      </c>
      <c r="DF61" t="s">
        <v>3</v>
      </c>
      <c r="DG61" t="s">
        <v>3</v>
      </c>
      <c r="DH61" t="s">
        <v>3</v>
      </c>
      <c r="DI61" t="s">
        <v>3</v>
      </c>
      <c r="DJ61" t="s">
        <v>3</v>
      </c>
      <c r="DK61" t="s">
        <v>3</v>
      </c>
      <c r="DL61" t="s">
        <v>3</v>
      </c>
      <c r="DM61" t="s">
        <v>3</v>
      </c>
      <c r="DN61">
        <v>0</v>
      </c>
      <c r="DO61">
        <v>0</v>
      </c>
      <c r="DP61">
        <v>1</v>
      </c>
      <c r="DQ61">
        <v>1</v>
      </c>
      <c r="DU61">
        <v>1010</v>
      </c>
      <c r="DV61" t="s">
        <v>32</v>
      </c>
      <c r="DW61" t="s">
        <v>32</v>
      </c>
      <c r="DX61">
        <v>1</v>
      </c>
      <c r="DZ61" t="s">
        <v>3</v>
      </c>
      <c r="EA61" t="s">
        <v>3</v>
      </c>
      <c r="EB61" t="s">
        <v>3</v>
      </c>
      <c r="EC61" t="s">
        <v>3</v>
      </c>
      <c r="EE61">
        <v>58162750</v>
      </c>
      <c r="EF61">
        <v>130</v>
      </c>
      <c r="EG61" t="s">
        <v>33</v>
      </c>
      <c r="EH61">
        <v>0</v>
      </c>
      <c r="EI61" t="s">
        <v>3</v>
      </c>
      <c r="EJ61">
        <v>3</v>
      </c>
      <c r="EK61">
        <v>746</v>
      </c>
      <c r="EL61" t="s">
        <v>34</v>
      </c>
      <c r="EM61" t="s">
        <v>35</v>
      </c>
      <c r="EO61" t="s">
        <v>3</v>
      </c>
      <c r="EQ61">
        <v>0</v>
      </c>
      <c r="ER61">
        <v>7400.76</v>
      </c>
      <c r="ES61">
        <v>966.16</v>
      </c>
      <c r="ET61">
        <v>0</v>
      </c>
      <c r="EU61">
        <v>0</v>
      </c>
      <c r="EV61">
        <v>0</v>
      </c>
      <c r="EW61">
        <v>0</v>
      </c>
      <c r="EX61">
        <v>0</v>
      </c>
      <c r="EZ61">
        <v>5</v>
      </c>
      <c r="FC61">
        <v>1</v>
      </c>
      <c r="FD61">
        <v>18</v>
      </c>
      <c r="FF61">
        <v>8520</v>
      </c>
      <c r="FQ61">
        <v>0</v>
      </c>
      <c r="FR61">
        <f>P61</f>
        <v>7400.79</v>
      </c>
      <c r="FS61">
        <v>0</v>
      </c>
      <c r="FX61">
        <v>95</v>
      </c>
      <c r="FY61">
        <v>53</v>
      </c>
      <c r="GA61" t="s">
        <v>99</v>
      </c>
      <c r="GD61">
        <v>1</v>
      </c>
      <c r="GF61">
        <v>2045652835</v>
      </c>
      <c r="GG61">
        <v>2</v>
      </c>
      <c r="GH61">
        <v>3</v>
      </c>
      <c r="GI61">
        <v>5</v>
      </c>
      <c r="GJ61">
        <v>0</v>
      </c>
      <c r="GK61">
        <v>0</v>
      </c>
      <c r="GL61">
        <f t="shared" si="43"/>
        <v>0</v>
      </c>
      <c r="GM61">
        <f t="shared" si="44"/>
        <v>7400.79</v>
      </c>
      <c r="GN61">
        <f t="shared" si="45"/>
        <v>0</v>
      </c>
      <c r="GO61">
        <f t="shared" si="46"/>
        <v>0</v>
      </c>
      <c r="GP61">
        <f t="shared" si="47"/>
        <v>0</v>
      </c>
      <c r="GR61">
        <v>1</v>
      </c>
      <c r="GS61">
        <v>1</v>
      </c>
      <c r="GT61">
        <v>0</v>
      </c>
      <c r="GU61" t="s">
        <v>3</v>
      </c>
      <c r="GV61">
        <f t="shared" si="48"/>
        <v>0</v>
      </c>
      <c r="GW61">
        <v>1</v>
      </c>
      <c r="GX61">
        <f t="shared" si="49"/>
        <v>0</v>
      </c>
      <c r="HA61">
        <v>0</v>
      </c>
      <c r="HB61">
        <v>0</v>
      </c>
      <c r="HC61">
        <f t="shared" si="50"/>
        <v>0</v>
      </c>
      <c r="HE61" t="s">
        <v>37</v>
      </c>
      <c r="HF61" t="s">
        <v>38</v>
      </c>
      <c r="HM61" t="s">
        <v>3</v>
      </c>
      <c r="HN61" t="s">
        <v>3</v>
      </c>
      <c r="HO61" t="s">
        <v>3</v>
      </c>
      <c r="HP61" t="s">
        <v>3</v>
      </c>
      <c r="HQ61" t="s">
        <v>3</v>
      </c>
      <c r="HS61">
        <v>0</v>
      </c>
      <c r="IK61">
        <v>0</v>
      </c>
    </row>
    <row r="63" spans="1:255" x14ac:dyDescent="0.3">
      <c r="A63" s="3">
        <v>51</v>
      </c>
      <c r="B63" s="3">
        <f>B24</f>
        <v>1</v>
      </c>
      <c r="C63" s="3">
        <f>A24</f>
        <v>4</v>
      </c>
      <c r="D63" s="3">
        <f>ROW(A24)</f>
        <v>24</v>
      </c>
      <c r="E63" s="3"/>
      <c r="F63" s="3" t="str">
        <f>IF(F24&lt;&gt;"",F24,"")</f>
        <v/>
      </c>
      <c r="G63" s="3" t="str">
        <f>IF(G24&lt;&gt;"",G24,"")</f>
        <v>Оборудование</v>
      </c>
      <c r="H63" s="3">
        <v>0</v>
      </c>
      <c r="I63" s="3"/>
      <c r="J63" s="3"/>
      <c r="K63" s="3"/>
      <c r="L63" s="3"/>
      <c r="M63" s="3"/>
      <c r="N63" s="3"/>
      <c r="O63" s="3">
        <f t="shared" ref="O63:T63" si="55">ROUND(AB63,2)</f>
        <v>83527.429999999993</v>
      </c>
      <c r="P63" s="3">
        <f t="shared" si="55"/>
        <v>82506.259999999995</v>
      </c>
      <c r="Q63" s="3">
        <f t="shared" si="55"/>
        <v>20.02</v>
      </c>
      <c r="R63" s="3">
        <f t="shared" si="55"/>
        <v>3.15</v>
      </c>
      <c r="S63" s="3">
        <f t="shared" si="55"/>
        <v>1001.15</v>
      </c>
      <c r="T63" s="3">
        <f t="shared" si="55"/>
        <v>0</v>
      </c>
      <c r="U63" s="3">
        <f>AH63</f>
        <v>72.248444400000011</v>
      </c>
      <c r="V63" s="3">
        <f>AI63</f>
        <v>0</v>
      </c>
      <c r="W63" s="3">
        <f>ROUND(AJ63,2)</f>
        <v>0</v>
      </c>
      <c r="X63" s="3">
        <f>ROUND(AK63,2)</f>
        <v>904.57</v>
      </c>
      <c r="Y63" s="3">
        <f>ROUND(AL63,2)</f>
        <v>462.94</v>
      </c>
      <c r="Z63" s="3"/>
      <c r="AA63" s="3"/>
      <c r="AB63" s="3">
        <f>ROUND(SUMIF(AA28:AA61,"=56511233",O28:O61),2)</f>
        <v>83527.429999999993</v>
      </c>
      <c r="AC63" s="3">
        <f>ROUND(SUMIF(AA28:AA61,"=56511233",P28:P61),2)</f>
        <v>82506.259999999995</v>
      </c>
      <c r="AD63" s="3">
        <f>ROUND(SUMIF(AA28:AA61,"=56511233",Q28:Q61),2)</f>
        <v>20.02</v>
      </c>
      <c r="AE63" s="3">
        <f>ROUND(SUMIF(AA28:AA61,"=56511233",R28:R61),2)</f>
        <v>3.15</v>
      </c>
      <c r="AF63" s="3">
        <f>ROUND(SUMIF(AA28:AA61,"=56511233",S28:S61),2)</f>
        <v>1001.15</v>
      </c>
      <c r="AG63" s="3">
        <f>ROUND(SUMIF(AA28:AA61,"=56511233",T28:T61),2)</f>
        <v>0</v>
      </c>
      <c r="AH63" s="3">
        <f>SUMIF(AA28:AA61,"=56511233",U28:U61)</f>
        <v>72.248444400000011</v>
      </c>
      <c r="AI63" s="3">
        <f>SUMIF(AA28:AA61,"=56511233",V28:V61)</f>
        <v>0</v>
      </c>
      <c r="AJ63" s="3">
        <f>ROUND(SUMIF(AA28:AA61,"=56511233",W28:W61),2)</f>
        <v>0</v>
      </c>
      <c r="AK63" s="3">
        <f>ROUND(SUMIF(AA28:AA61,"=56511233",X28:X61),2)</f>
        <v>904.57</v>
      </c>
      <c r="AL63" s="3">
        <f>ROUND(SUMIF(AA28:AA61,"=56511233",Y28:Y61),2)</f>
        <v>462.94</v>
      </c>
      <c r="AM63" s="3"/>
      <c r="AN63" s="3"/>
      <c r="AO63" s="3">
        <f t="shared" ref="AO63:BD63" si="56">ROUND(BX63,2)</f>
        <v>0</v>
      </c>
      <c r="AP63" s="3">
        <f t="shared" si="56"/>
        <v>81880.2</v>
      </c>
      <c r="AQ63" s="3">
        <f t="shared" si="56"/>
        <v>0</v>
      </c>
      <c r="AR63" s="3">
        <f t="shared" si="56"/>
        <v>84894.94</v>
      </c>
      <c r="AS63" s="3">
        <f t="shared" si="56"/>
        <v>0</v>
      </c>
      <c r="AT63" s="3">
        <f t="shared" si="56"/>
        <v>3014.74</v>
      </c>
      <c r="AU63" s="3">
        <f t="shared" si="56"/>
        <v>0</v>
      </c>
      <c r="AV63" s="3">
        <f t="shared" si="56"/>
        <v>82506.259999999995</v>
      </c>
      <c r="AW63" s="3">
        <f t="shared" si="56"/>
        <v>626.05999999999995</v>
      </c>
      <c r="AX63" s="3">
        <f t="shared" si="56"/>
        <v>0</v>
      </c>
      <c r="AY63" s="3">
        <f t="shared" si="56"/>
        <v>626.05999999999995</v>
      </c>
      <c r="AZ63" s="3">
        <f t="shared" si="56"/>
        <v>81880.2</v>
      </c>
      <c r="BA63" s="3">
        <f t="shared" si="56"/>
        <v>0</v>
      </c>
      <c r="BB63" s="3">
        <f t="shared" si="56"/>
        <v>0</v>
      </c>
      <c r="BC63" s="3">
        <f t="shared" si="56"/>
        <v>0</v>
      </c>
      <c r="BD63" s="3">
        <f t="shared" si="56"/>
        <v>0</v>
      </c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>
        <f>ROUND(SUMIF(AA28:AA61,"=56511233",FQ28:FQ61),2)</f>
        <v>0</v>
      </c>
      <c r="BY63" s="3">
        <f>ROUND(SUMIF(AA28:AA61,"=56511233",FR28:FR61),2)</f>
        <v>81880.2</v>
      </c>
      <c r="BZ63" s="3">
        <f>ROUND(SUMIF(AA28:AA61,"=56511233",GL28:GL61),2)</f>
        <v>0</v>
      </c>
      <c r="CA63" s="3">
        <f>ROUND(SUMIF(AA28:AA61,"=56511233",GM28:GM61),2)</f>
        <v>84894.94</v>
      </c>
      <c r="CB63" s="3">
        <f>ROUND(SUMIF(AA28:AA61,"=56511233",GN28:GN61),2)</f>
        <v>0</v>
      </c>
      <c r="CC63" s="3">
        <f>ROUND(SUMIF(AA28:AA61,"=56511233",GO28:GO61),2)</f>
        <v>3014.74</v>
      </c>
      <c r="CD63" s="3">
        <f>ROUND(SUMIF(AA28:AA61,"=56511233",GP28:GP61),2)</f>
        <v>0</v>
      </c>
      <c r="CE63" s="3">
        <f>AC63-BX63</f>
        <v>82506.259999999995</v>
      </c>
      <c r="CF63" s="3">
        <f>AC63-BY63</f>
        <v>626.05999999999767</v>
      </c>
      <c r="CG63" s="3">
        <f>BX63-BZ63</f>
        <v>0</v>
      </c>
      <c r="CH63" s="3">
        <f>AC63-BX63-BY63+BZ63</f>
        <v>626.05999999999767</v>
      </c>
      <c r="CI63" s="3">
        <f>BY63-BZ63</f>
        <v>81880.2</v>
      </c>
      <c r="CJ63" s="3">
        <f>ROUND(SUMIF(AA28:AA61,"=56511233",GX28:GX61),2)</f>
        <v>0</v>
      </c>
      <c r="CK63" s="3">
        <f>ROUND(SUMIF(AA28:AA61,"=56511233",GY28:GY61),2)</f>
        <v>0</v>
      </c>
      <c r="CL63" s="3">
        <f>ROUND(SUMIF(AA28:AA61,"=56511233",GZ28:GZ61),2)</f>
        <v>0</v>
      </c>
      <c r="CM63" s="3">
        <f>ROUND(SUMIF(AA28:AA61,"=56511233",HD28:HD61),2)</f>
        <v>0</v>
      </c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4">
        <f t="shared" ref="DG63:DL63" si="57">ROUND(DT63,2)</f>
        <v>688961.54</v>
      </c>
      <c r="DH63" s="4">
        <f t="shared" si="57"/>
        <v>633570.01</v>
      </c>
      <c r="DI63" s="4">
        <f t="shared" si="57"/>
        <v>338.3</v>
      </c>
      <c r="DJ63" s="4">
        <f t="shared" si="57"/>
        <v>173.23</v>
      </c>
      <c r="DK63" s="4">
        <f t="shared" si="57"/>
        <v>55053.23</v>
      </c>
      <c r="DL63" s="4">
        <f t="shared" si="57"/>
        <v>0</v>
      </c>
      <c r="DM63" s="4">
        <f>DZ63</f>
        <v>72.248444400000011</v>
      </c>
      <c r="DN63" s="4">
        <f>EA63</f>
        <v>0</v>
      </c>
      <c r="DO63" s="4">
        <f>ROUND(EB63,2)</f>
        <v>0</v>
      </c>
      <c r="DP63" s="4">
        <f>ROUND(EC63,2)</f>
        <v>49741.46</v>
      </c>
      <c r="DQ63" s="4">
        <f>ROUND(ED63,2)</f>
        <v>25456.86</v>
      </c>
      <c r="DR63" s="4"/>
      <c r="DS63" s="4"/>
      <c r="DT63" s="4">
        <f>ROUND(SUMIF(AA28:AA61,"=56511235",O28:O61),2)</f>
        <v>688961.54</v>
      </c>
      <c r="DU63" s="4">
        <f>ROUND(SUMIF(AA28:AA61,"=56511235",P28:P61),2)</f>
        <v>633570.01</v>
      </c>
      <c r="DV63" s="4">
        <f>ROUND(SUMIF(AA28:AA61,"=56511235",Q28:Q61),2)</f>
        <v>338.3</v>
      </c>
      <c r="DW63" s="4">
        <f>ROUND(SUMIF(AA28:AA61,"=56511235",R28:R61),2)</f>
        <v>173.23</v>
      </c>
      <c r="DX63" s="4">
        <f>ROUND(SUMIF(AA28:AA61,"=56511235",S28:S61),2)</f>
        <v>55053.23</v>
      </c>
      <c r="DY63" s="4">
        <f>ROUND(SUMIF(AA28:AA61,"=56511235",T28:T61),2)</f>
        <v>0</v>
      </c>
      <c r="DZ63" s="4">
        <f>SUMIF(AA28:AA61,"=56511235",U28:U61)</f>
        <v>72.248444400000011</v>
      </c>
      <c r="EA63" s="4">
        <f>SUMIF(AA28:AA61,"=56511235",V28:V61)</f>
        <v>0</v>
      </c>
      <c r="EB63" s="4">
        <f>ROUND(SUMIF(AA28:AA61,"=56511235",W28:W61),2)</f>
        <v>0</v>
      </c>
      <c r="EC63" s="4">
        <f>ROUND(SUMIF(AA28:AA61,"=56511235",X28:X61),2)</f>
        <v>49741.46</v>
      </c>
      <c r="ED63" s="4">
        <f>ROUND(SUMIF(AA28:AA61,"=56511235",Y28:Y61),2)</f>
        <v>25456.86</v>
      </c>
      <c r="EE63" s="4"/>
      <c r="EF63" s="4"/>
      <c r="EG63" s="4">
        <f t="shared" ref="EG63:EV63" si="58">ROUND(FP63,2)</f>
        <v>0</v>
      </c>
      <c r="EH63" s="4">
        <f t="shared" si="58"/>
        <v>627397.21</v>
      </c>
      <c r="EI63" s="4">
        <f t="shared" si="58"/>
        <v>0</v>
      </c>
      <c r="EJ63" s="4">
        <f t="shared" si="58"/>
        <v>764159.86</v>
      </c>
      <c r="EK63" s="4">
        <f t="shared" si="58"/>
        <v>0</v>
      </c>
      <c r="EL63" s="4">
        <f t="shared" si="58"/>
        <v>136762.65</v>
      </c>
      <c r="EM63" s="4">
        <f t="shared" si="58"/>
        <v>0</v>
      </c>
      <c r="EN63" s="4">
        <f t="shared" si="58"/>
        <v>633570.01</v>
      </c>
      <c r="EO63" s="4">
        <f t="shared" si="58"/>
        <v>6172.8</v>
      </c>
      <c r="EP63" s="4">
        <f t="shared" si="58"/>
        <v>0</v>
      </c>
      <c r="EQ63" s="4">
        <f t="shared" si="58"/>
        <v>6172.8</v>
      </c>
      <c r="ER63" s="4">
        <f t="shared" si="58"/>
        <v>627397.21</v>
      </c>
      <c r="ES63" s="4">
        <f t="shared" si="58"/>
        <v>0</v>
      </c>
      <c r="ET63" s="4">
        <f t="shared" si="58"/>
        <v>0</v>
      </c>
      <c r="EU63" s="4">
        <f t="shared" si="58"/>
        <v>0</v>
      </c>
      <c r="EV63" s="4">
        <f t="shared" si="58"/>
        <v>0</v>
      </c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>
        <f>ROUND(SUMIF(AA28:AA61,"=56511235",FQ28:FQ61),2)</f>
        <v>0</v>
      </c>
      <c r="FQ63" s="4">
        <f>ROUND(SUMIF(AA28:AA61,"=56511235",FR28:FR61),2)</f>
        <v>627397.21</v>
      </c>
      <c r="FR63" s="4">
        <f>ROUND(SUMIF(AA28:AA61,"=56511235",GL28:GL61),2)</f>
        <v>0</v>
      </c>
      <c r="FS63" s="4">
        <f>ROUND(SUMIF(AA28:AA61,"=56511235",GM28:GM61),2)</f>
        <v>764159.86</v>
      </c>
      <c r="FT63" s="4">
        <f>ROUND(SUMIF(AA28:AA61,"=56511235",GN28:GN61),2)</f>
        <v>0</v>
      </c>
      <c r="FU63" s="4">
        <f>ROUND(SUMIF(AA28:AA61,"=56511235",GO28:GO61),2)</f>
        <v>136762.65</v>
      </c>
      <c r="FV63" s="4">
        <f>ROUND(SUMIF(AA28:AA61,"=56511235",GP28:GP61),2)</f>
        <v>0</v>
      </c>
      <c r="FW63" s="4">
        <f>DU63-FP63</f>
        <v>633570.01</v>
      </c>
      <c r="FX63" s="4">
        <f>DU63-FQ63</f>
        <v>6172.8000000000466</v>
      </c>
      <c r="FY63" s="4">
        <f>FP63-FR63</f>
        <v>0</v>
      </c>
      <c r="FZ63" s="4">
        <f>DU63-FP63-FQ63+FR63</f>
        <v>6172.8000000000466</v>
      </c>
      <c r="GA63" s="4">
        <f>FQ63-FR63</f>
        <v>627397.21</v>
      </c>
      <c r="GB63" s="4">
        <f>ROUND(SUMIF(AA28:AA61,"=56511235",GX28:GX61),2)</f>
        <v>0</v>
      </c>
      <c r="GC63" s="4">
        <f>ROUND(SUMIF(AA28:AA61,"=56511235",GY28:GY61),2)</f>
        <v>0</v>
      </c>
      <c r="GD63" s="4">
        <f>ROUND(SUMIF(AA28:AA61,"=56511235",GZ28:GZ61),2)</f>
        <v>0</v>
      </c>
      <c r="GE63" s="4">
        <f>ROUND(SUMIF(AA28:AA61,"=56511235",HD28:HD61),2)</f>
        <v>0</v>
      </c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>
        <v>0</v>
      </c>
    </row>
    <row r="65" spans="1:28" x14ac:dyDescent="0.3">
      <c r="A65" s="5">
        <v>50</v>
      </c>
      <c r="B65" s="5">
        <v>0</v>
      </c>
      <c r="C65" s="5">
        <v>0</v>
      </c>
      <c r="D65" s="5">
        <v>1</v>
      </c>
      <c r="E65" s="5">
        <v>201</v>
      </c>
      <c r="F65" s="5">
        <f>ROUND(Source!O63,O65)</f>
        <v>83527.429999999993</v>
      </c>
      <c r="G65" s="5" t="s">
        <v>100</v>
      </c>
      <c r="H65" s="5" t="s">
        <v>101</v>
      </c>
      <c r="I65" s="5"/>
      <c r="J65" s="5"/>
      <c r="K65" s="5">
        <v>201</v>
      </c>
      <c r="L65" s="5">
        <v>1</v>
      </c>
      <c r="M65" s="5">
        <v>3</v>
      </c>
      <c r="N65" s="5" t="s">
        <v>3</v>
      </c>
      <c r="O65" s="5">
        <v>2</v>
      </c>
      <c r="P65" s="5">
        <f>ROUND(Source!DG63,O65)</f>
        <v>688961.54</v>
      </c>
      <c r="Q65" s="5"/>
      <c r="R65" s="5"/>
      <c r="S65" s="5"/>
      <c r="T65" s="5"/>
      <c r="U65" s="5"/>
      <c r="V65" s="5"/>
      <c r="W65" s="5">
        <v>83527.429999999993</v>
      </c>
      <c r="X65" s="5">
        <v>1</v>
      </c>
      <c r="Y65" s="5">
        <v>83527.429999999993</v>
      </c>
      <c r="Z65" s="5">
        <v>688961.54</v>
      </c>
      <c r="AA65" s="5">
        <v>1</v>
      </c>
      <c r="AB65" s="5">
        <v>688961.54</v>
      </c>
    </row>
    <row r="66" spans="1:28" x14ac:dyDescent="0.3">
      <c r="A66" s="5">
        <v>50</v>
      </c>
      <c r="B66" s="5">
        <v>0</v>
      </c>
      <c r="C66" s="5">
        <v>0</v>
      </c>
      <c r="D66" s="5">
        <v>1</v>
      </c>
      <c r="E66" s="5">
        <v>202</v>
      </c>
      <c r="F66" s="5">
        <f>ROUND(Source!P63,O66)</f>
        <v>82506.259999999995</v>
      </c>
      <c r="G66" s="5" t="s">
        <v>102</v>
      </c>
      <c r="H66" s="5" t="s">
        <v>103</v>
      </c>
      <c r="I66" s="5"/>
      <c r="J66" s="5"/>
      <c r="K66" s="5">
        <v>202</v>
      </c>
      <c r="L66" s="5">
        <v>2</v>
      </c>
      <c r="M66" s="5">
        <v>3</v>
      </c>
      <c r="N66" s="5" t="s">
        <v>3</v>
      </c>
      <c r="O66" s="5">
        <v>2</v>
      </c>
      <c r="P66" s="5">
        <f>ROUND(Source!DH63,O66)</f>
        <v>633570.01</v>
      </c>
      <c r="Q66" s="5"/>
      <c r="R66" s="5"/>
      <c r="S66" s="5"/>
      <c r="T66" s="5"/>
      <c r="U66" s="5"/>
      <c r="V66" s="5"/>
      <c r="W66" s="5">
        <v>82506.259999999995</v>
      </c>
      <c r="X66" s="5">
        <v>1</v>
      </c>
      <c r="Y66" s="5">
        <v>82506.259999999995</v>
      </c>
      <c r="Z66" s="5">
        <v>633570.01</v>
      </c>
      <c r="AA66" s="5">
        <v>1</v>
      </c>
      <c r="AB66" s="5">
        <v>633570.01</v>
      </c>
    </row>
    <row r="67" spans="1:28" x14ac:dyDescent="0.3">
      <c r="A67" s="5">
        <v>50</v>
      </c>
      <c r="B67" s="5">
        <v>0</v>
      </c>
      <c r="C67" s="5">
        <v>0</v>
      </c>
      <c r="D67" s="5">
        <v>1</v>
      </c>
      <c r="E67" s="5">
        <v>222</v>
      </c>
      <c r="F67" s="5">
        <f>ROUND(Source!AO63,O67)</f>
        <v>0</v>
      </c>
      <c r="G67" s="5" t="s">
        <v>104</v>
      </c>
      <c r="H67" s="5" t="s">
        <v>105</v>
      </c>
      <c r="I67" s="5"/>
      <c r="J67" s="5"/>
      <c r="K67" s="5">
        <v>222</v>
      </c>
      <c r="L67" s="5">
        <v>3</v>
      </c>
      <c r="M67" s="5">
        <v>3</v>
      </c>
      <c r="N67" s="5" t="s">
        <v>3</v>
      </c>
      <c r="O67" s="5">
        <v>2</v>
      </c>
      <c r="P67" s="5">
        <f>ROUND(Source!EG63,O67)</f>
        <v>0</v>
      </c>
      <c r="Q67" s="5"/>
      <c r="R67" s="5"/>
      <c r="S67" s="5"/>
      <c r="T67" s="5"/>
      <c r="U67" s="5"/>
      <c r="V67" s="5"/>
      <c r="W67" s="5">
        <v>0</v>
      </c>
      <c r="X67" s="5">
        <v>1</v>
      </c>
      <c r="Y67" s="5">
        <v>0</v>
      </c>
      <c r="Z67" s="5">
        <v>0</v>
      </c>
      <c r="AA67" s="5">
        <v>1</v>
      </c>
      <c r="AB67" s="5">
        <v>0</v>
      </c>
    </row>
    <row r="68" spans="1:28" x14ac:dyDescent="0.3">
      <c r="A68" s="5">
        <v>50</v>
      </c>
      <c r="B68" s="5">
        <v>0</v>
      </c>
      <c r="C68" s="5">
        <v>0</v>
      </c>
      <c r="D68" s="5">
        <v>1</v>
      </c>
      <c r="E68" s="5">
        <v>225</v>
      </c>
      <c r="F68" s="5">
        <f>ROUND(Source!AV63,O68)</f>
        <v>82506.259999999995</v>
      </c>
      <c r="G68" s="5" t="s">
        <v>106</v>
      </c>
      <c r="H68" s="5" t="s">
        <v>107</v>
      </c>
      <c r="I68" s="5"/>
      <c r="J68" s="5"/>
      <c r="K68" s="5">
        <v>225</v>
      </c>
      <c r="L68" s="5">
        <v>4</v>
      </c>
      <c r="M68" s="5">
        <v>3</v>
      </c>
      <c r="N68" s="5" t="s">
        <v>3</v>
      </c>
      <c r="O68" s="5">
        <v>2</v>
      </c>
      <c r="P68" s="5">
        <f>ROUND(Source!EN63,O68)</f>
        <v>633570.01</v>
      </c>
      <c r="Q68" s="5"/>
      <c r="R68" s="5"/>
      <c r="S68" s="5"/>
      <c r="T68" s="5"/>
      <c r="U68" s="5"/>
      <c r="V68" s="5"/>
      <c r="W68" s="5">
        <v>82506.259999999995</v>
      </c>
      <c r="X68" s="5">
        <v>1</v>
      </c>
      <c r="Y68" s="5">
        <v>82506.259999999995</v>
      </c>
      <c r="Z68" s="5">
        <v>633570.01</v>
      </c>
      <c r="AA68" s="5">
        <v>1</v>
      </c>
      <c r="AB68" s="5">
        <v>633570.01</v>
      </c>
    </row>
    <row r="69" spans="1:28" x14ac:dyDescent="0.3">
      <c r="A69" s="5">
        <v>50</v>
      </c>
      <c r="B69" s="5">
        <v>0</v>
      </c>
      <c r="C69" s="5">
        <v>0</v>
      </c>
      <c r="D69" s="5">
        <v>1</v>
      </c>
      <c r="E69" s="5">
        <v>226</v>
      </c>
      <c r="F69" s="5">
        <f>ROUND(Source!AW63,O69)</f>
        <v>626.05999999999995</v>
      </c>
      <c r="G69" s="5" t="s">
        <v>108</v>
      </c>
      <c r="H69" s="5" t="s">
        <v>109</v>
      </c>
      <c r="I69" s="5"/>
      <c r="J69" s="5"/>
      <c r="K69" s="5">
        <v>226</v>
      </c>
      <c r="L69" s="5">
        <v>5</v>
      </c>
      <c r="M69" s="5">
        <v>3</v>
      </c>
      <c r="N69" s="5" t="s">
        <v>3</v>
      </c>
      <c r="O69" s="5">
        <v>2</v>
      </c>
      <c r="P69" s="5">
        <f>ROUND(Source!EO63,O69)</f>
        <v>6172.8</v>
      </c>
      <c r="Q69" s="5"/>
      <c r="R69" s="5"/>
      <c r="S69" s="5"/>
      <c r="T69" s="5"/>
      <c r="U69" s="5"/>
      <c r="V69" s="5"/>
      <c r="W69" s="5">
        <v>626.05999999999995</v>
      </c>
      <c r="X69" s="5">
        <v>1</v>
      </c>
      <c r="Y69" s="5">
        <v>626.05999999999995</v>
      </c>
      <c r="Z69" s="5">
        <v>6172.8</v>
      </c>
      <c r="AA69" s="5">
        <v>1</v>
      </c>
      <c r="AB69" s="5">
        <v>6172.8</v>
      </c>
    </row>
    <row r="70" spans="1:28" x14ac:dyDescent="0.3">
      <c r="A70" s="5">
        <v>50</v>
      </c>
      <c r="B70" s="5">
        <v>0</v>
      </c>
      <c r="C70" s="5">
        <v>0</v>
      </c>
      <c r="D70" s="5">
        <v>1</v>
      </c>
      <c r="E70" s="5">
        <v>227</v>
      </c>
      <c r="F70" s="5">
        <f>ROUND(Source!AX63,O70)</f>
        <v>0</v>
      </c>
      <c r="G70" s="5" t="s">
        <v>110</v>
      </c>
      <c r="H70" s="5" t="s">
        <v>111</v>
      </c>
      <c r="I70" s="5"/>
      <c r="J70" s="5"/>
      <c r="K70" s="5">
        <v>227</v>
      </c>
      <c r="L70" s="5">
        <v>6</v>
      </c>
      <c r="M70" s="5">
        <v>3</v>
      </c>
      <c r="N70" s="5" t="s">
        <v>3</v>
      </c>
      <c r="O70" s="5">
        <v>2</v>
      </c>
      <c r="P70" s="5">
        <f>ROUND(Source!EP63,O70)</f>
        <v>0</v>
      </c>
      <c r="Q70" s="5"/>
      <c r="R70" s="5"/>
      <c r="S70" s="5"/>
      <c r="T70" s="5"/>
      <c r="U70" s="5"/>
      <c r="V70" s="5"/>
      <c r="W70" s="5">
        <v>0</v>
      </c>
      <c r="X70" s="5">
        <v>1</v>
      </c>
      <c r="Y70" s="5">
        <v>0</v>
      </c>
      <c r="Z70" s="5">
        <v>0</v>
      </c>
      <c r="AA70" s="5">
        <v>1</v>
      </c>
      <c r="AB70" s="5">
        <v>0</v>
      </c>
    </row>
    <row r="71" spans="1:28" x14ac:dyDescent="0.3">
      <c r="A71" s="5">
        <v>50</v>
      </c>
      <c r="B71" s="5">
        <v>0</v>
      </c>
      <c r="C71" s="5">
        <v>0</v>
      </c>
      <c r="D71" s="5">
        <v>1</v>
      </c>
      <c r="E71" s="5">
        <v>228</v>
      </c>
      <c r="F71" s="5">
        <f>ROUND(Source!AY63,O71)</f>
        <v>626.05999999999995</v>
      </c>
      <c r="G71" s="5" t="s">
        <v>112</v>
      </c>
      <c r="H71" s="5" t="s">
        <v>113</v>
      </c>
      <c r="I71" s="5"/>
      <c r="J71" s="5"/>
      <c r="K71" s="5">
        <v>228</v>
      </c>
      <c r="L71" s="5">
        <v>7</v>
      </c>
      <c r="M71" s="5">
        <v>3</v>
      </c>
      <c r="N71" s="5" t="s">
        <v>3</v>
      </c>
      <c r="O71" s="5">
        <v>2</v>
      </c>
      <c r="P71" s="5">
        <f>ROUND(Source!EQ63,O71)</f>
        <v>6172.8</v>
      </c>
      <c r="Q71" s="5"/>
      <c r="R71" s="5"/>
      <c r="S71" s="5"/>
      <c r="T71" s="5"/>
      <c r="U71" s="5"/>
      <c r="V71" s="5"/>
      <c r="W71" s="5">
        <v>626.05999999999995</v>
      </c>
      <c r="X71" s="5">
        <v>1</v>
      </c>
      <c r="Y71" s="5">
        <v>626.05999999999995</v>
      </c>
      <c r="Z71" s="5">
        <v>6172.8</v>
      </c>
      <c r="AA71" s="5">
        <v>1</v>
      </c>
      <c r="AB71" s="5">
        <v>6172.8</v>
      </c>
    </row>
    <row r="72" spans="1:28" x14ac:dyDescent="0.3">
      <c r="A72" s="5">
        <v>50</v>
      </c>
      <c r="B72" s="5">
        <v>0</v>
      </c>
      <c r="C72" s="5">
        <v>0</v>
      </c>
      <c r="D72" s="5">
        <v>1</v>
      </c>
      <c r="E72" s="5">
        <v>216</v>
      </c>
      <c r="F72" s="5">
        <f>ROUND(Source!AP63,O72)</f>
        <v>81880.2</v>
      </c>
      <c r="G72" s="5" t="s">
        <v>114</v>
      </c>
      <c r="H72" s="5" t="s">
        <v>115</v>
      </c>
      <c r="I72" s="5"/>
      <c r="J72" s="5"/>
      <c r="K72" s="5">
        <v>216</v>
      </c>
      <c r="L72" s="5">
        <v>8</v>
      </c>
      <c r="M72" s="5">
        <v>3</v>
      </c>
      <c r="N72" s="5" t="s">
        <v>3</v>
      </c>
      <c r="O72" s="5">
        <v>2</v>
      </c>
      <c r="P72" s="5">
        <f>ROUND(Source!EH63,O72)</f>
        <v>627397.21</v>
      </c>
      <c r="Q72" s="5"/>
      <c r="R72" s="5"/>
      <c r="S72" s="5"/>
      <c r="T72" s="5"/>
      <c r="U72" s="5"/>
      <c r="V72" s="5"/>
      <c r="W72" s="5">
        <v>81880.2</v>
      </c>
      <c r="X72" s="5">
        <v>1</v>
      </c>
      <c r="Y72" s="5">
        <v>81880.2</v>
      </c>
      <c r="Z72" s="5">
        <v>627397.21</v>
      </c>
      <c r="AA72" s="5">
        <v>1</v>
      </c>
      <c r="AB72" s="5">
        <v>627397.21</v>
      </c>
    </row>
    <row r="73" spans="1:28" x14ac:dyDescent="0.3">
      <c r="A73" s="5">
        <v>50</v>
      </c>
      <c r="B73" s="5">
        <v>0</v>
      </c>
      <c r="C73" s="5">
        <v>0</v>
      </c>
      <c r="D73" s="5">
        <v>1</v>
      </c>
      <c r="E73" s="5">
        <v>223</v>
      </c>
      <c r="F73" s="5">
        <f>ROUND(Source!AQ63,O73)</f>
        <v>0</v>
      </c>
      <c r="G73" s="5" t="s">
        <v>116</v>
      </c>
      <c r="H73" s="5" t="s">
        <v>117</v>
      </c>
      <c r="I73" s="5"/>
      <c r="J73" s="5"/>
      <c r="K73" s="5">
        <v>223</v>
      </c>
      <c r="L73" s="5">
        <v>9</v>
      </c>
      <c r="M73" s="5">
        <v>3</v>
      </c>
      <c r="N73" s="5" t="s">
        <v>3</v>
      </c>
      <c r="O73" s="5">
        <v>2</v>
      </c>
      <c r="P73" s="5">
        <f>ROUND(Source!EI63,O73)</f>
        <v>0</v>
      </c>
      <c r="Q73" s="5"/>
      <c r="R73" s="5"/>
      <c r="S73" s="5"/>
      <c r="T73" s="5"/>
      <c r="U73" s="5"/>
      <c r="V73" s="5"/>
      <c r="W73" s="5">
        <v>0</v>
      </c>
      <c r="X73" s="5">
        <v>1</v>
      </c>
      <c r="Y73" s="5">
        <v>0</v>
      </c>
      <c r="Z73" s="5">
        <v>0</v>
      </c>
      <c r="AA73" s="5">
        <v>1</v>
      </c>
      <c r="AB73" s="5">
        <v>0</v>
      </c>
    </row>
    <row r="74" spans="1:28" x14ac:dyDescent="0.3">
      <c r="A74" s="5">
        <v>50</v>
      </c>
      <c r="B74" s="5">
        <v>0</v>
      </c>
      <c r="C74" s="5">
        <v>0</v>
      </c>
      <c r="D74" s="5">
        <v>1</v>
      </c>
      <c r="E74" s="5">
        <v>229</v>
      </c>
      <c r="F74" s="5">
        <f>ROUND(Source!AZ63,O74)</f>
        <v>81880.2</v>
      </c>
      <c r="G74" s="5" t="s">
        <v>118</v>
      </c>
      <c r="H74" s="5" t="s">
        <v>119</v>
      </c>
      <c r="I74" s="5"/>
      <c r="J74" s="5"/>
      <c r="K74" s="5">
        <v>229</v>
      </c>
      <c r="L74" s="5">
        <v>10</v>
      </c>
      <c r="M74" s="5">
        <v>3</v>
      </c>
      <c r="N74" s="5" t="s">
        <v>3</v>
      </c>
      <c r="O74" s="5">
        <v>2</v>
      </c>
      <c r="P74" s="5">
        <f>ROUND(Source!ER63,O74)</f>
        <v>627397.21</v>
      </c>
      <c r="Q74" s="5"/>
      <c r="R74" s="5"/>
      <c r="S74" s="5"/>
      <c r="T74" s="5"/>
      <c r="U74" s="5"/>
      <c r="V74" s="5"/>
      <c r="W74" s="5">
        <v>81880.2</v>
      </c>
      <c r="X74" s="5">
        <v>1</v>
      </c>
      <c r="Y74" s="5">
        <v>81880.2</v>
      </c>
      <c r="Z74" s="5">
        <v>627397.21</v>
      </c>
      <c r="AA74" s="5">
        <v>1</v>
      </c>
      <c r="AB74" s="5">
        <v>627397.21</v>
      </c>
    </row>
    <row r="75" spans="1:28" x14ac:dyDescent="0.3">
      <c r="A75" s="5">
        <v>50</v>
      </c>
      <c r="B75" s="5">
        <v>0</v>
      </c>
      <c r="C75" s="5">
        <v>0</v>
      </c>
      <c r="D75" s="5">
        <v>1</v>
      </c>
      <c r="E75" s="5">
        <v>203</v>
      </c>
      <c r="F75" s="5">
        <f>ROUND(Source!Q63,O75)</f>
        <v>20.02</v>
      </c>
      <c r="G75" s="5" t="s">
        <v>120</v>
      </c>
      <c r="H75" s="5" t="s">
        <v>121</v>
      </c>
      <c r="I75" s="5"/>
      <c r="J75" s="5"/>
      <c r="K75" s="5">
        <v>203</v>
      </c>
      <c r="L75" s="5">
        <v>11</v>
      </c>
      <c r="M75" s="5">
        <v>3</v>
      </c>
      <c r="N75" s="5" t="s">
        <v>3</v>
      </c>
      <c r="O75" s="5">
        <v>2</v>
      </c>
      <c r="P75" s="5">
        <f>ROUND(Source!DI63,O75)</f>
        <v>338.3</v>
      </c>
      <c r="Q75" s="5"/>
      <c r="R75" s="5"/>
      <c r="S75" s="5"/>
      <c r="T75" s="5"/>
      <c r="U75" s="5"/>
      <c r="V75" s="5"/>
      <c r="W75" s="5">
        <v>20.02</v>
      </c>
      <c r="X75" s="5">
        <v>1</v>
      </c>
      <c r="Y75" s="5">
        <v>20.02</v>
      </c>
      <c r="Z75" s="5">
        <v>338.3</v>
      </c>
      <c r="AA75" s="5">
        <v>1</v>
      </c>
      <c r="AB75" s="5">
        <v>338.3</v>
      </c>
    </row>
    <row r="76" spans="1:28" x14ac:dyDescent="0.3">
      <c r="A76" s="5">
        <v>50</v>
      </c>
      <c r="B76" s="5">
        <v>0</v>
      </c>
      <c r="C76" s="5">
        <v>0</v>
      </c>
      <c r="D76" s="5">
        <v>1</v>
      </c>
      <c r="E76" s="5">
        <v>231</v>
      </c>
      <c r="F76" s="5">
        <f>ROUND(Source!BB63,O76)</f>
        <v>0</v>
      </c>
      <c r="G76" s="5" t="s">
        <v>122</v>
      </c>
      <c r="H76" s="5" t="s">
        <v>123</v>
      </c>
      <c r="I76" s="5"/>
      <c r="J76" s="5"/>
      <c r="K76" s="5">
        <v>231</v>
      </c>
      <c r="L76" s="5">
        <v>12</v>
      </c>
      <c r="M76" s="5">
        <v>3</v>
      </c>
      <c r="N76" s="5" t="s">
        <v>3</v>
      </c>
      <c r="O76" s="5">
        <v>2</v>
      </c>
      <c r="P76" s="5">
        <f>ROUND(Source!ET63,O76)</f>
        <v>0</v>
      </c>
      <c r="Q76" s="5"/>
      <c r="R76" s="5"/>
      <c r="S76" s="5"/>
      <c r="T76" s="5"/>
      <c r="U76" s="5"/>
      <c r="V76" s="5"/>
      <c r="W76" s="5">
        <v>0</v>
      </c>
      <c r="X76" s="5">
        <v>1</v>
      </c>
      <c r="Y76" s="5">
        <v>0</v>
      </c>
      <c r="Z76" s="5">
        <v>0</v>
      </c>
      <c r="AA76" s="5">
        <v>1</v>
      </c>
      <c r="AB76" s="5">
        <v>0</v>
      </c>
    </row>
    <row r="77" spans="1:28" x14ac:dyDescent="0.3">
      <c r="A77" s="5">
        <v>50</v>
      </c>
      <c r="B77" s="5">
        <v>0</v>
      </c>
      <c r="C77" s="5">
        <v>0</v>
      </c>
      <c r="D77" s="5">
        <v>1</v>
      </c>
      <c r="E77" s="5">
        <v>204</v>
      </c>
      <c r="F77" s="5">
        <f>ROUND(Source!R63,O77)</f>
        <v>3.15</v>
      </c>
      <c r="G77" s="5" t="s">
        <v>124</v>
      </c>
      <c r="H77" s="5" t="s">
        <v>125</v>
      </c>
      <c r="I77" s="5"/>
      <c r="J77" s="5"/>
      <c r="K77" s="5">
        <v>204</v>
      </c>
      <c r="L77" s="5">
        <v>13</v>
      </c>
      <c r="M77" s="5">
        <v>3</v>
      </c>
      <c r="N77" s="5" t="s">
        <v>3</v>
      </c>
      <c r="O77" s="5">
        <v>2</v>
      </c>
      <c r="P77" s="5">
        <f>ROUND(Source!DJ63,O77)</f>
        <v>173.23</v>
      </c>
      <c r="Q77" s="5"/>
      <c r="R77" s="5"/>
      <c r="S77" s="5"/>
      <c r="T77" s="5"/>
      <c r="U77" s="5"/>
      <c r="V77" s="5"/>
      <c r="W77" s="5">
        <v>3.15</v>
      </c>
      <c r="X77" s="5">
        <v>1</v>
      </c>
      <c r="Y77" s="5">
        <v>3.15</v>
      </c>
      <c r="Z77" s="5">
        <v>173.23</v>
      </c>
      <c r="AA77" s="5">
        <v>1</v>
      </c>
      <c r="AB77" s="5">
        <v>173.23</v>
      </c>
    </row>
    <row r="78" spans="1:28" x14ac:dyDescent="0.3">
      <c r="A78" s="5">
        <v>50</v>
      </c>
      <c r="B78" s="5">
        <v>0</v>
      </c>
      <c r="C78" s="5">
        <v>0</v>
      </c>
      <c r="D78" s="5">
        <v>1</v>
      </c>
      <c r="E78" s="5">
        <v>205</v>
      </c>
      <c r="F78" s="5">
        <f>ROUND(Source!S63,O78)</f>
        <v>1001.15</v>
      </c>
      <c r="G78" s="5" t="s">
        <v>126</v>
      </c>
      <c r="H78" s="5" t="s">
        <v>127</v>
      </c>
      <c r="I78" s="5"/>
      <c r="J78" s="5"/>
      <c r="K78" s="5">
        <v>205</v>
      </c>
      <c r="L78" s="5">
        <v>14</v>
      </c>
      <c r="M78" s="5">
        <v>3</v>
      </c>
      <c r="N78" s="5" t="s">
        <v>3</v>
      </c>
      <c r="O78" s="5">
        <v>2</v>
      </c>
      <c r="P78" s="5">
        <f>ROUND(Source!DK63,O78)</f>
        <v>55053.23</v>
      </c>
      <c r="Q78" s="5"/>
      <c r="R78" s="5"/>
      <c r="S78" s="5"/>
      <c r="T78" s="5"/>
      <c r="U78" s="5"/>
      <c r="V78" s="5"/>
      <c r="W78" s="5">
        <v>1001.15</v>
      </c>
      <c r="X78" s="5">
        <v>1</v>
      </c>
      <c r="Y78" s="5">
        <v>1001.15</v>
      </c>
      <c r="Z78" s="5">
        <v>55053.23</v>
      </c>
      <c r="AA78" s="5">
        <v>1</v>
      </c>
      <c r="AB78" s="5">
        <v>55053.23</v>
      </c>
    </row>
    <row r="79" spans="1:28" x14ac:dyDescent="0.3">
      <c r="A79" s="5">
        <v>50</v>
      </c>
      <c r="B79" s="5">
        <v>0</v>
      </c>
      <c r="C79" s="5">
        <v>0</v>
      </c>
      <c r="D79" s="5">
        <v>1</v>
      </c>
      <c r="E79" s="5">
        <v>232</v>
      </c>
      <c r="F79" s="5">
        <f>ROUND(Source!BC63,O79)</f>
        <v>0</v>
      </c>
      <c r="G79" s="5" t="s">
        <v>128</v>
      </c>
      <c r="H79" s="5" t="s">
        <v>129</v>
      </c>
      <c r="I79" s="5"/>
      <c r="J79" s="5"/>
      <c r="K79" s="5">
        <v>232</v>
      </c>
      <c r="L79" s="5">
        <v>15</v>
      </c>
      <c r="M79" s="5">
        <v>3</v>
      </c>
      <c r="N79" s="5" t="s">
        <v>3</v>
      </c>
      <c r="O79" s="5">
        <v>2</v>
      </c>
      <c r="P79" s="5">
        <f>ROUND(Source!EU63,O79)</f>
        <v>0</v>
      </c>
      <c r="Q79" s="5"/>
      <c r="R79" s="5"/>
      <c r="S79" s="5"/>
      <c r="T79" s="5"/>
      <c r="U79" s="5"/>
      <c r="V79" s="5"/>
      <c r="W79" s="5">
        <v>0</v>
      </c>
      <c r="X79" s="5">
        <v>1</v>
      </c>
      <c r="Y79" s="5">
        <v>0</v>
      </c>
      <c r="Z79" s="5">
        <v>0</v>
      </c>
      <c r="AA79" s="5">
        <v>1</v>
      </c>
      <c r="AB79" s="5">
        <v>0</v>
      </c>
    </row>
    <row r="80" spans="1:28" x14ac:dyDescent="0.3">
      <c r="A80" s="5">
        <v>50</v>
      </c>
      <c r="B80" s="5">
        <v>0</v>
      </c>
      <c r="C80" s="5">
        <v>0</v>
      </c>
      <c r="D80" s="5">
        <v>1</v>
      </c>
      <c r="E80" s="5">
        <v>214</v>
      </c>
      <c r="F80" s="5">
        <f>ROUND(Source!AS63,O80)</f>
        <v>0</v>
      </c>
      <c r="G80" s="5" t="s">
        <v>130</v>
      </c>
      <c r="H80" s="5" t="s">
        <v>131</v>
      </c>
      <c r="I80" s="5"/>
      <c r="J80" s="5"/>
      <c r="K80" s="5">
        <v>214</v>
      </c>
      <c r="L80" s="5">
        <v>16</v>
      </c>
      <c r="M80" s="5">
        <v>3</v>
      </c>
      <c r="N80" s="5" t="s">
        <v>3</v>
      </c>
      <c r="O80" s="5">
        <v>2</v>
      </c>
      <c r="P80" s="5">
        <f>ROUND(Source!EK63,O80)</f>
        <v>0</v>
      </c>
      <c r="Q80" s="5"/>
      <c r="R80" s="5"/>
      <c r="S80" s="5"/>
      <c r="T80" s="5"/>
      <c r="U80" s="5"/>
      <c r="V80" s="5"/>
      <c r="W80" s="5">
        <v>0</v>
      </c>
      <c r="X80" s="5">
        <v>1</v>
      </c>
      <c r="Y80" s="5">
        <v>0</v>
      </c>
      <c r="Z80" s="5">
        <v>0</v>
      </c>
      <c r="AA80" s="5">
        <v>1</v>
      </c>
      <c r="AB80" s="5">
        <v>0</v>
      </c>
    </row>
    <row r="81" spans="1:206" x14ac:dyDescent="0.3">
      <c r="A81" s="5">
        <v>50</v>
      </c>
      <c r="B81" s="5">
        <v>0</v>
      </c>
      <c r="C81" s="5">
        <v>0</v>
      </c>
      <c r="D81" s="5">
        <v>1</v>
      </c>
      <c r="E81" s="5">
        <v>215</v>
      </c>
      <c r="F81" s="5">
        <f>ROUND(Source!AT63,O81)</f>
        <v>3014.74</v>
      </c>
      <c r="G81" s="5" t="s">
        <v>132</v>
      </c>
      <c r="H81" s="5" t="s">
        <v>133</v>
      </c>
      <c r="I81" s="5"/>
      <c r="J81" s="5"/>
      <c r="K81" s="5">
        <v>215</v>
      </c>
      <c r="L81" s="5">
        <v>17</v>
      </c>
      <c r="M81" s="5">
        <v>3</v>
      </c>
      <c r="N81" s="5" t="s">
        <v>3</v>
      </c>
      <c r="O81" s="5">
        <v>2</v>
      </c>
      <c r="P81" s="5">
        <f>ROUND(Source!EL63,O81)</f>
        <v>136762.65</v>
      </c>
      <c r="Q81" s="5"/>
      <c r="R81" s="5"/>
      <c r="S81" s="5"/>
      <c r="T81" s="5"/>
      <c r="U81" s="5"/>
      <c r="V81" s="5"/>
      <c r="W81" s="5">
        <v>3014.74</v>
      </c>
      <c r="X81" s="5">
        <v>1</v>
      </c>
      <c r="Y81" s="5">
        <v>3014.74</v>
      </c>
      <c r="Z81" s="5">
        <v>136762.65</v>
      </c>
      <c r="AA81" s="5">
        <v>1</v>
      </c>
      <c r="AB81" s="5">
        <v>136762.65</v>
      </c>
    </row>
    <row r="82" spans="1:206" x14ac:dyDescent="0.3">
      <c r="A82" s="5">
        <v>50</v>
      </c>
      <c r="B82" s="5">
        <v>0</v>
      </c>
      <c r="C82" s="5">
        <v>0</v>
      </c>
      <c r="D82" s="5">
        <v>1</v>
      </c>
      <c r="E82" s="5">
        <v>217</v>
      </c>
      <c r="F82" s="5">
        <f>ROUND(Source!AU63,O82)</f>
        <v>0</v>
      </c>
      <c r="G82" s="5" t="s">
        <v>134</v>
      </c>
      <c r="H82" s="5" t="s">
        <v>135</v>
      </c>
      <c r="I82" s="5"/>
      <c r="J82" s="5"/>
      <c r="K82" s="5">
        <v>217</v>
      </c>
      <c r="L82" s="5">
        <v>18</v>
      </c>
      <c r="M82" s="5">
        <v>3</v>
      </c>
      <c r="N82" s="5" t="s">
        <v>3</v>
      </c>
      <c r="O82" s="5">
        <v>2</v>
      </c>
      <c r="P82" s="5">
        <f>ROUND(Source!EM63,O82)</f>
        <v>0</v>
      </c>
      <c r="Q82" s="5"/>
      <c r="R82" s="5"/>
      <c r="S82" s="5"/>
      <c r="T82" s="5"/>
      <c r="U82" s="5"/>
      <c r="V82" s="5"/>
      <c r="W82" s="5">
        <v>0</v>
      </c>
      <c r="X82" s="5">
        <v>1</v>
      </c>
      <c r="Y82" s="5">
        <v>0</v>
      </c>
      <c r="Z82" s="5">
        <v>0</v>
      </c>
      <c r="AA82" s="5">
        <v>1</v>
      </c>
      <c r="AB82" s="5">
        <v>0</v>
      </c>
    </row>
    <row r="83" spans="1:206" x14ac:dyDescent="0.3">
      <c r="A83" s="5">
        <v>50</v>
      </c>
      <c r="B83" s="5">
        <v>0</v>
      </c>
      <c r="C83" s="5">
        <v>0</v>
      </c>
      <c r="D83" s="5">
        <v>1</v>
      </c>
      <c r="E83" s="5">
        <v>230</v>
      </c>
      <c r="F83" s="5">
        <f>ROUND(Source!BA63,O83)</f>
        <v>0</v>
      </c>
      <c r="G83" s="5" t="s">
        <v>136</v>
      </c>
      <c r="H83" s="5" t="s">
        <v>137</v>
      </c>
      <c r="I83" s="5"/>
      <c r="J83" s="5"/>
      <c r="K83" s="5">
        <v>230</v>
      </c>
      <c r="L83" s="5">
        <v>19</v>
      </c>
      <c r="M83" s="5">
        <v>3</v>
      </c>
      <c r="N83" s="5" t="s">
        <v>3</v>
      </c>
      <c r="O83" s="5">
        <v>2</v>
      </c>
      <c r="P83" s="5">
        <f>ROUND(Source!ES63,O83)</f>
        <v>0</v>
      </c>
      <c r="Q83" s="5"/>
      <c r="R83" s="5"/>
      <c r="S83" s="5"/>
      <c r="T83" s="5"/>
      <c r="U83" s="5"/>
      <c r="V83" s="5"/>
      <c r="W83" s="5">
        <v>0</v>
      </c>
      <c r="X83" s="5">
        <v>1</v>
      </c>
      <c r="Y83" s="5">
        <v>0</v>
      </c>
      <c r="Z83" s="5">
        <v>0</v>
      </c>
      <c r="AA83" s="5">
        <v>1</v>
      </c>
      <c r="AB83" s="5">
        <v>0</v>
      </c>
    </row>
    <row r="84" spans="1:206" x14ac:dyDescent="0.3">
      <c r="A84" s="5">
        <v>50</v>
      </c>
      <c r="B84" s="5">
        <v>0</v>
      </c>
      <c r="C84" s="5">
        <v>0</v>
      </c>
      <c r="D84" s="5">
        <v>1</v>
      </c>
      <c r="E84" s="5">
        <v>206</v>
      </c>
      <c r="F84" s="5">
        <f>ROUND(Source!T63,O84)</f>
        <v>0</v>
      </c>
      <c r="G84" s="5" t="s">
        <v>138</v>
      </c>
      <c r="H84" s="5" t="s">
        <v>139</v>
      </c>
      <c r="I84" s="5"/>
      <c r="J84" s="5"/>
      <c r="K84" s="5">
        <v>206</v>
      </c>
      <c r="L84" s="5">
        <v>20</v>
      </c>
      <c r="M84" s="5">
        <v>3</v>
      </c>
      <c r="N84" s="5" t="s">
        <v>3</v>
      </c>
      <c r="O84" s="5">
        <v>2</v>
      </c>
      <c r="P84" s="5">
        <f>ROUND(Source!DL63,O84)</f>
        <v>0</v>
      </c>
      <c r="Q84" s="5"/>
      <c r="R84" s="5"/>
      <c r="S84" s="5"/>
      <c r="T84" s="5"/>
      <c r="U84" s="5"/>
      <c r="V84" s="5"/>
      <c r="W84" s="5">
        <v>0</v>
      </c>
      <c r="X84" s="5">
        <v>1</v>
      </c>
      <c r="Y84" s="5">
        <v>0</v>
      </c>
      <c r="Z84" s="5">
        <v>0</v>
      </c>
      <c r="AA84" s="5">
        <v>1</v>
      </c>
      <c r="AB84" s="5">
        <v>0</v>
      </c>
    </row>
    <row r="85" spans="1:206" x14ac:dyDescent="0.3">
      <c r="A85" s="5">
        <v>50</v>
      </c>
      <c r="B85" s="5">
        <v>0</v>
      </c>
      <c r="C85" s="5">
        <v>0</v>
      </c>
      <c r="D85" s="5">
        <v>1</v>
      </c>
      <c r="E85" s="5">
        <v>207</v>
      </c>
      <c r="F85" s="5">
        <f>Source!U63</f>
        <v>72.248444400000011</v>
      </c>
      <c r="G85" s="5" t="s">
        <v>140</v>
      </c>
      <c r="H85" s="5" t="s">
        <v>141</v>
      </c>
      <c r="I85" s="5"/>
      <c r="J85" s="5"/>
      <c r="K85" s="5">
        <v>207</v>
      </c>
      <c r="L85" s="5">
        <v>21</v>
      </c>
      <c r="M85" s="5">
        <v>3</v>
      </c>
      <c r="N85" s="5" t="s">
        <v>3</v>
      </c>
      <c r="O85" s="5">
        <v>-1</v>
      </c>
      <c r="P85" s="5">
        <f>Source!DM63</f>
        <v>72.248444400000011</v>
      </c>
      <c r="Q85" s="5"/>
      <c r="R85" s="5"/>
      <c r="S85" s="5"/>
      <c r="T85" s="5"/>
      <c r="U85" s="5"/>
      <c r="V85" s="5"/>
      <c r="W85" s="5">
        <v>72.248444400000011</v>
      </c>
      <c r="X85" s="5">
        <v>1</v>
      </c>
      <c r="Y85" s="5">
        <v>72.248444400000011</v>
      </c>
      <c r="Z85" s="5">
        <v>72.248444400000011</v>
      </c>
      <c r="AA85" s="5">
        <v>1</v>
      </c>
      <c r="AB85" s="5">
        <v>72.248444400000011</v>
      </c>
    </row>
    <row r="86" spans="1:206" x14ac:dyDescent="0.3">
      <c r="A86" s="5">
        <v>50</v>
      </c>
      <c r="B86" s="5">
        <v>0</v>
      </c>
      <c r="C86" s="5">
        <v>0</v>
      </c>
      <c r="D86" s="5">
        <v>1</v>
      </c>
      <c r="E86" s="5">
        <v>208</v>
      </c>
      <c r="F86" s="5">
        <f>Source!V63</f>
        <v>0</v>
      </c>
      <c r="G86" s="5" t="s">
        <v>142</v>
      </c>
      <c r="H86" s="5" t="s">
        <v>143</v>
      </c>
      <c r="I86" s="5"/>
      <c r="J86" s="5"/>
      <c r="K86" s="5">
        <v>208</v>
      </c>
      <c r="L86" s="5">
        <v>22</v>
      </c>
      <c r="M86" s="5">
        <v>3</v>
      </c>
      <c r="N86" s="5" t="s">
        <v>3</v>
      </c>
      <c r="O86" s="5">
        <v>-1</v>
      </c>
      <c r="P86" s="5">
        <f>Source!DN63</f>
        <v>0</v>
      </c>
      <c r="Q86" s="5"/>
      <c r="R86" s="5"/>
      <c r="S86" s="5"/>
      <c r="T86" s="5"/>
      <c r="U86" s="5"/>
      <c r="V86" s="5"/>
      <c r="W86" s="5">
        <v>0</v>
      </c>
      <c r="X86" s="5">
        <v>1</v>
      </c>
      <c r="Y86" s="5">
        <v>0</v>
      </c>
      <c r="Z86" s="5">
        <v>0</v>
      </c>
      <c r="AA86" s="5">
        <v>1</v>
      </c>
      <c r="AB86" s="5">
        <v>0</v>
      </c>
    </row>
    <row r="87" spans="1:206" x14ac:dyDescent="0.3">
      <c r="A87" s="5">
        <v>50</v>
      </c>
      <c r="B87" s="5">
        <v>0</v>
      </c>
      <c r="C87" s="5">
        <v>0</v>
      </c>
      <c r="D87" s="5">
        <v>1</v>
      </c>
      <c r="E87" s="5">
        <v>209</v>
      </c>
      <c r="F87" s="5">
        <f>ROUND(Source!W63,O87)</f>
        <v>0</v>
      </c>
      <c r="G87" s="5" t="s">
        <v>144</v>
      </c>
      <c r="H87" s="5" t="s">
        <v>145</v>
      </c>
      <c r="I87" s="5"/>
      <c r="J87" s="5"/>
      <c r="K87" s="5">
        <v>209</v>
      </c>
      <c r="L87" s="5">
        <v>23</v>
      </c>
      <c r="M87" s="5">
        <v>3</v>
      </c>
      <c r="N87" s="5" t="s">
        <v>3</v>
      </c>
      <c r="O87" s="5">
        <v>2</v>
      </c>
      <c r="P87" s="5">
        <f>ROUND(Source!DO63,O87)</f>
        <v>0</v>
      </c>
      <c r="Q87" s="5"/>
      <c r="R87" s="5"/>
      <c r="S87" s="5"/>
      <c r="T87" s="5"/>
      <c r="U87" s="5"/>
      <c r="V87" s="5"/>
      <c r="W87" s="5">
        <v>0</v>
      </c>
      <c r="X87" s="5">
        <v>1</v>
      </c>
      <c r="Y87" s="5">
        <v>0</v>
      </c>
      <c r="Z87" s="5">
        <v>0</v>
      </c>
      <c r="AA87" s="5">
        <v>1</v>
      </c>
      <c r="AB87" s="5">
        <v>0</v>
      </c>
    </row>
    <row r="88" spans="1:206" x14ac:dyDescent="0.3">
      <c r="A88" s="5">
        <v>50</v>
      </c>
      <c r="B88" s="5">
        <v>0</v>
      </c>
      <c r="C88" s="5">
        <v>0</v>
      </c>
      <c r="D88" s="5">
        <v>1</v>
      </c>
      <c r="E88" s="5">
        <v>233</v>
      </c>
      <c r="F88" s="5">
        <f>ROUND(Source!BD63,O88)</f>
        <v>0</v>
      </c>
      <c r="G88" s="5" t="s">
        <v>146</v>
      </c>
      <c r="H88" s="5" t="s">
        <v>147</v>
      </c>
      <c r="I88" s="5"/>
      <c r="J88" s="5"/>
      <c r="K88" s="5">
        <v>233</v>
      </c>
      <c r="L88" s="5">
        <v>24</v>
      </c>
      <c r="M88" s="5">
        <v>3</v>
      </c>
      <c r="N88" s="5" t="s">
        <v>3</v>
      </c>
      <c r="O88" s="5">
        <v>2</v>
      </c>
      <c r="P88" s="5">
        <f>ROUND(Source!EV63,O88)</f>
        <v>0</v>
      </c>
      <c r="Q88" s="5"/>
      <c r="R88" s="5"/>
      <c r="S88" s="5"/>
      <c r="T88" s="5"/>
      <c r="U88" s="5"/>
      <c r="V88" s="5"/>
      <c r="W88" s="5">
        <v>0</v>
      </c>
      <c r="X88" s="5">
        <v>1</v>
      </c>
      <c r="Y88" s="5">
        <v>0</v>
      </c>
      <c r="Z88" s="5">
        <v>0</v>
      </c>
      <c r="AA88" s="5">
        <v>1</v>
      </c>
      <c r="AB88" s="5">
        <v>0</v>
      </c>
    </row>
    <row r="89" spans="1:206" x14ac:dyDescent="0.3">
      <c r="A89" s="5">
        <v>50</v>
      </c>
      <c r="B89" s="5">
        <v>0</v>
      </c>
      <c r="C89" s="5">
        <v>0</v>
      </c>
      <c r="D89" s="5">
        <v>1</v>
      </c>
      <c r="E89" s="5">
        <v>210</v>
      </c>
      <c r="F89" s="5">
        <f>ROUND(Source!X63,O89)</f>
        <v>904.57</v>
      </c>
      <c r="G89" s="5" t="s">
        <v>148</v>
      </c>
      <c r="H89" s="5" t="s">
        <v>149</v>
      </c>
      <c r="I89" s="5"/>
      <c r="J89" s="5"/>
      <c r="K89" s="5">
        <v>210</v>
      </c>
      <c r="L89" s="5">
        <v>25</v>
      </c>
      <c r="M89" s="5">
        <v>3</v>
      </c>
      <c r="N89" s="5" t="s">
        <v>3</v>
      </c>
      <c r="O89" s="5">
        <v>2</v>
      </c>
      <c r="P89" s="5">
        <f>ROUND(Source!DP63,O89)</f>
        <v>49741.46</v>
      </c>
      <c r="Q89" s="5"/>
      <c r="R89" s="5"/>
      <c r="S89" s="5"/>
      <c r="T89" s="5"/>
      <c r="U89" s="5"/>
      <c r="V89" s="5"/>
      <c r="W89" s="5">
        <v>904.57</v>
      </c>
      <c r="X89" s="5">
        <v>1</v>
      </c>
      <c r="Y89" s="5">
        <v>904.57</v>
      </c>
      <c r="Z89" s="5">
        <v>49741.46</v>
      </c>
      <c r="AA89" s="5">
        <v>1</v>
      </c>
      <c r="AB89" s="5">
        <v>49741.46</v>
      </c>
    </row>
    <row r="90" spans="1:206" x14ac:dyDescent="0.3">
      <c r="A90" s="5">
        <v>50</v>
      </c>
      <c r="B90" s="5">
        <v>0</v>
      </c>
      <c r="C90" s="5">
        <v>0</v>
      </c>
      <c r="D90" s="5">
        <v>1</v>
      </c>
      <c r="E90" s="5">
        <v>211</v>
      </c>
      <c r="F90" s="5">
        <f>ROUND(Source!Y63,O90)</f>
        <v>462.94</v>
      </c>
      <c r="G90" s="5" t="s">
        <v>150</v>
      </c>
      <c r="H90" s="5" t="s">
        <v>151</v>
      </c>
      <c r="I90" s="5"/>
      <c r="J90" s="5"/>
      <c r="K90" s="5">
        <v>211</v>
      </c>
      <c r="L90" s="5">
        <v>26</v>
      </c>
      <c r="M90" s="5">
        <v>3</v>
      </c>
      <c r="N90" s="5" t="s">
        <v>3</v>
      </c>
      <c r="O90" s="5">
        <v>2</v>
      </c>
      <c r="P90" s="5">
        <f>ROUND(Source!DQ63,O90)</f>
        <v>25456.86</v>
      </c>
      <c r="Q90" s="5"/>
      <c r="R90" s="5"/>
      <c r="S90" s="5"/>
      <c r="T90" s="5"/>
      <c r="U90" s="5"/>
      <c r="V90" s="5"/>
      <c r="W90" s="5">
        <v>462.94</v>
      </c>
      <c r="X90" s="5">
        <v>1</v>
      </c>
      <c r="Y90" s="5">
        <v>462.94</v>
      </c>
      <c r="Z90" s="5">
        <v>25456.86</v>
      </c>
      <c r="AA90" s="5">
        <v>1</v>
      </c>
      <c r="AB90" s="5">
        <v>25456.86</v>
      </c>
    </row>
    <row r="91" spans="1:206" x14ac:dyDescent="0.3">
      <c r="A91" s="5">
        <v>50</v>
      </c>
      <c r="B91" s="5">
        <v>0</v>
      </c>
      <c r="C91" s="5">
        <v>0</v>
      </c>
      <c r="D91" s="5">
        <v>1</v>
      </c>
      <c r="E91" s="5">
        <v>224</v>
      </c>
      <c r="F91" s="5">
        <f>ROUND(Source!AR63,O91)</f>
        <v>84894.94</v>
      </c>
      <c r="G91" s="5" t="s">
        <v>152</v>
      </c>
      <c r="H91" s="5" t="s">
        <v>153</v>
      </c>
      <c r="I91" s="5"/>
      <c r="J91" s="5"/>
      <c r="K91" s="5">
        <v>224</v>
      </c>
      <c r="L91" s="5">
        <v>27</v>
      </c>
      <c r="M91" s="5">
        <v>3</v>
      </c>
      <c r="N91" s="5" t="s">
        <v>3</v>
      </c>
      <c r="O91" s="5">
        <v>2</v>
      </c>
      <c r="P91" s="5">
        <f>ROUND(Source!EJ63,O91)</f>
        <v>764159.86</v>
      </c>
      <c r="Q91" s="5"/>
      <c r="R91" s="5"/>
      <c r="S91" s="5"/>
      <c r="T91" s="5"/>
      <c r="U91" s="5"/>
      <c r="V91" s="5"/>
      <c r="W91" s="5">
        <v>84894.94</v>
      </c>
      <c r="X91" s="5">
        <v>1</v>
      </c>
      <c r="Y91" s="5">
        <v>84894.94</v>
      </c>
      <c r="Z91" s="5">
        <v>764159.86</v>
      </c>
      <c r="AA91" s="5">
        <v>1</v>
      </c>
      <c r="AB91" s="5">
        <v>764159.86</v>
      </c>
    </row>
    <row r="93" spans="1:206" x14ac:dyDescent="0.3">
      <c r="A93" s="1">
        <v>4</v>
      </c>
      <c r="B93" s="1">
        <v>1</v>
      </c>
      <c r="C93" s="1"/>
      <c r="D93" s="1">
        <f>ROW(A142)</f>
        <v>142</v>
      </c>
      <c r="E93" s="1"/>
      <c r="F93" s="1" t="s">
        <v>3</v>
      </c>
      <c r="G93" s="1" t="s">
        <v>154</v>
      </c>
      <c r="H93" s="1" t="s">
        <v>3</v>
      </c>
      <c r="I93" s="1">
        <v>0</v>
      </c>
      <c r="J93" s="1"/>
      <c r="K93" s="1">
        <v>-1</v>
      </c>
      <c r="L93" s="1"/>
      <c r="M93" s="1" t="s">
        <v>3</v>
      </c>
      <c r="N93" s="1"/>
      <c r="O93" s="1"/>
      <c r="P93" s="1"/>
      <c r="Q93" s="1"/>
      <c r="R93" s="1"/>
      <c r="S93" s="1">
        <v>0</v>
      </c>
      <c r="T93" s="1">
        <v>0</v>
      </c>
      <c r="U93" s="1" t="s">
        <v>3</v>
      </c>
      <c r="V93" s="1">
        <v>0</v>
      </c>
      <c r="W93" s="1"/>
      <c r="X93" s="1"/>
      <c r="Y93" s="1"/>
      <c r="Z93" s="1"/>
      <c r="AA93" s="1"/>
      <c r="AB93" s="1" t="s">
        <v>3</v>
      </c>
      <c r="AC93" s="1" t="s">
        <v>3</v>
      </c>
      <c r="AD93" s="1" t="s">
        <v>3</v>
      </c>
      <c r="AE93" s="1" t="s">
        <v>3</v>
      </c>
      <c r="AF93" s="1" t="s">
        <v>3</v>
      </c>
      <c r="AG93" s="1" t="s">
        <v>3</v>
      </c>
      <c r="AH93" s="1"/>
      <c r="AI93" s="1"/>
      <c r="AJ93" s="1"/>
      <c r="AK93" s="1"/>
      <c r="AL93" s="1"/>
      <c r="AM93" s="1"/>
      <c r="AN93" s="1"/>
      <c r="AO93" s="1"/>
      <c r="AP93" s="1" t="s">
        <v>3</v>
      </c>
      <c r="AQ93" s="1" t="s">
        <v>3</v>
      </c>
      <c r="AR93" s="1" t="s">
        <v>3</v>
      </c>
      <c r="AS93" s="1"/>
      <c r="AT93" s="1"/>
      <c r="AU93" s="1"/>
      <c r="AV93" s="1"/>
      <c r="AW93" s="1"/>
      <c r="AX93" s="1"/>
      <c r="AY93" s="1"/>
      <c r="AZ93" s="1" t="s">
        <v>3</v>
      </c>
      <c r="BA93" s="1"/>
      <c r="BB93" s="1" t="s">
        <v>3</v>
      </c>
      <c r="BC93" s="1" t="s">
        <v>3</v>
      </c>
      <c r="BD93" s="1" t="s">
        <v>3</v>
      </c>
      <c r="BE93" s="1" t="s">
        <v>3</v>
      </c>
      <c r="BF93" s="1" t="s">
        <v>3</v>
      </c>
      <c r="BG93" s="1" t="s">
        <v>3</v>
      </c>
      <c r="BH93" s="1" t="s">
        <v>3</v>
      </c>
      <c r="BI93" s="1" t="s">
        <v>3</v>
      </c>
      <c r="BJ93" s="1" t="s">
        <v>3</v>
      </c>
      <c r="BK93" s="1" t="s">
        <v>3</v>
      </c>
      <c r="BL93" s="1" t="s">
        <v>3</v>
      </c>
      <c r="BM93" s="1" t="s">
        <v>3</v>
      </c>
      <c r="BN93" s="1" t="s">
        <v>3</v>
      </c>
      <c r="BO93" s="1" t="s">
        <v>3</v>
      </c>
      <c r="BP93" s="1" t="s">
        <v>3</v>
      </c>
      <c r="BQ93" s="1"/>
      <c r="BR93" s="1"/>
      <c r="BS93" s="1"/>
      <c r="BT93" s="1"/>
      <c r="BU93" s="1"/>
      <c r="BV93" s="1"/>
      <c r="BW93" s="1"/>
      <c r="BX93" s="1">
        <v>0</v>
      </c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>
        <v>0</v>
      </c>
    </row>
    <row r="95" spans="1:206" x14ac:dyDescent="0.3">
      <c r="A95" s="3">
        <v>52</v>
      </c>
      <c r="B95" s="3">
        <f t="shared" ref="B95:G95" si="59">B142</f>
        <v>1</v>
      </c>
      <c r="C95" s="3">
        <f t="shared" si="59"/>
        <v>4</v>
      </c>
      <c r="D95" s="3">
        <f t="shared" si="59"/>
        <v>93</v>
      </c>
      <c r="E95" s="3">
        <f t="shared" si="59"/>
        <v>0</v>
      </c>
      <c r="F95" s="3" t="str">
        <f t="shared" si="59"/>
        <v/>
      </c>
      <c r="G95" s="3" t="str">
        <f t="shared" si="59"/>
        <v>Кабельные изделия и материалы</v>
      </c>
      <c r="H95" s="3"/>
      <c r="I95" s="3"/>
      <c r="J95" s="3"/>
      <c r="K95" s="3"/>
      <c r="L95" s="3"/>
      <c r="M95" s="3"/>
      <c r="N95" s="3"/>
      <c r="O95" s="3">
        <f t="shared" ref="O95:AT95" si="60">O142</f>
        <v>29908.59</v>
      </c>
      <c r="P95" s="3">
        <f t="shared" si="60"/>
        <v>29140.78</v>
      </c>
      <c r="Q95" s="3">
        <f t="shared" si="60"/>
        <v>6.67</v>
      </c>
      <c r="R95" s="3">
        <f t="shared" si="60"/>
        <v>0</v>
      </c>
      <c r="S95" s="3">
        <f t="shared" si="60"/>
        <v>761.14</v>
      </c>
      <c r="T95" s="3">
        <f t="shared" si="60"/>
        <v>0</v>
      </c>
      <c r="U95" s="3">
        <f t="shared" si="60"/>
        <v>64.046036999999998</v>
      </c>
      <c r="V95" s="3">
        <f t="shared" si="60"/>
        <v>0</v>
      </c>
      <c r="W95" s="3">
        <f t="shared" si="60"/>
        <v>0</v>
      </c>
      <c r="X95" s="3">
        <f t="shared" si="60"/>
        <v>685.03</v>
      </c>
      <c r="Y95" s="3">
        <f t="shared" si="60"/>
        <v>350.12</v>
      </c>
      <c r="Z95" s="3">
        <f t="shared" si="60"/>
        <v>0</v>
      </c>
      <c r="AA95" s="3">
        <f t="shared" si="60"/>
        <v>0</v>
      </c>
      <c r="AB95" s="3">
        <f t="shared" si="60"/>
        <v>29908.59</v>
      </c>
      <c r="AC95" s="3">
        <f t="shared" si="60"/>
        <v>29140.78</v>
      </c>
      <c r="AD95" s="3">
        <f t="shared" si="60"/>
        <v>6.67</v>
      </c>
      <c r="AE95" s="3">
        <f t="shared" si="60"/>
        <v>0</v>
      </c>
      <c r="AF95" s="3">
        <f t="shared" si="60"/>
        <v>761.14</v>
      </c>
      <c r="AG95" s="3">
        <f t="shared" si="60"/>
        <v>0</v>
      </c>
      <c r="AH95" s="3">
        <f t="shared" si="60"/>
        <v>64.046036999999998</v>
      </c>
      <c r="AI95" s="3">
        <f t="shared" si="60"/>
        <v>0</v>
      </c>
      <c r="AJ95" s="3">
        <f t="shared" si="60"/>
        <v>0</v>
      </c>
      <c r="AK95" s="3">
        <f t="shared" si="60"/>
        <v>685.03</v>
      </c>
      <c r="AL95" s="3">
        <f t="shared" si="60"/>
        <v>350.12</v>
      </c>
      <c r="AM95" s="3">
        <f t="shared" si="60"/>
        <v>0</v>
      </c>
      <c r="AN95" s="3">
        <f t="shared" si="60"/>
        <v>0</v>
      </c>
      <c r="AO95" s="3">
        <f t="shared" si="60"/>
        <v>0</v>
      </c>
      <c r="AP95" s="3">
        <f t="shared" si="60"/>
        <v>0</v>
      </c>
      <c r="AQ95" s="3">
        <f t="shared" si="60"/>
        <v>0</v>
      </c>
      <c r="AR95" s="3">
        <f t="shared" si="60"/>
        <v>30943.74</v>
      </c>
      <c r="AS95" s="3">
        <f t="shared" si="60"/>
        <v>0</v>
      </c>
      <c r="AT95" s="3">
        <f t="shared" si="60"/>
        <v>30943.74</v>
      </c>
      <c r="AU95" s="3">
        <f t="shared" ref="AU95:BZ95" si="61">AU142</f>
        <v>0</v>
      </c>
      <c r="AV95" s="3">
        <f t="shared" si="61"/>
        <v>29140.78</v>
      </c>
      <c r="AW95" s="3">
        <f t="shared" si="61"/>
        <v>29140.78</v>
      </c>
      <c r="AX95" s="3">
        <f t="shared" si="61"/>
        <v>0</v>
      </c>
      <c r="AY95" s="3">
        <f t="shared" si="61"/>
        <v>29140.78</v>
      </c>
      <c r="AZ95" s="3">
        <f t="shared" si="61"/>
        <v>0</v>
      </c>
      <c r="BA95" s="3">
        <f t="shared" si="61"/>
        <v>0</v>
      </c>
      <c r="BB95" s="3">
        <f t="shared" si="61"/>
        <v>0</v>
      </c>
      <c r="BC95" s="3">
        <f t="shared" si="61"/>
        <v>0</v>
      </c>
      <c r="BD95" s="3">
        <f t="shared" si="61"/>
        <v>0</v>
      </c>
      <c r="BE95" s="3">
        <f t="shared" si="61"/>
        <v>0</v>
      </c>
      <c r="BF95" s="3">
        <f t="shared" si="61"/>
        <v>0</v>
      </c>
      <c r="BG95" s="3">
        <f t="shared" si="61"/>
        <v>0</v>
      </c>
      <c r="BH95" s="3">
        <f t="shared" si="61"/>
        <v>0</v>
      </c>
      <c r="BI95" s="3">
        <f t="shared" si="61"/>
        <v>0</v>
      </c>
      <c r="BJ95" s="3">
        <f t="shared" si="61"/>
        <v>0</v>
      </c>
      <c r="BK95" s="3">
        <f t="shared" si="61"/>
        <v>0</v>
      </c>
      <c r="BL95" s="3">
        <f t="shared" si="61"/>
        <v>0</v>
      </c>
      <c r="BM95" s="3">
        <f t="shared" si="61"/>
        <v>0</v>
      </c>
      <c r="BN95" s="3">
        <f t="shared" si="61"/>
        <v>0</v>
      </c>
      <c r="BO95" s="3">
        <f t="shared" si="61"/>
        <v>0</v>
      </c>
      <c r="BP95" s="3">
        <f t="shared" si="61"/>
        <v>0</v>
      </c>
      <c r="BQ95" s="3">
        <f t="shared" si="61"/>
        <v>0</v>
      </c>
      <c r="BR95" s="3">
        <f t="shared" si="61"/>
        <v>0</v>
      </c>
      <c r="BS95" s="3">
        <f t="shared" si="61"/>
        <v>0</v>
      </c>
      <c r="BT95" s="3">
        <f t="shared" si="61"/>
        <v>0</v>
      </c>
      <c r="BU95" s="3">
        <f t="shared" si="61"/>
        <v>0</v>
      </c>
      <c r="BV95" s="3">
        <f t="shared" si="61"/>
        <v>0</v>
      </c>
      <c r="BW95" s="3">
        <f t="shared" si="61"/>
        <v>0</v>
      </c>
      <c r="BX95" s="3">
        <f t="shared" si="61"/>
        <v>0</v>
      </c>
      <c r="BY95" s="3">
        <f t="shared" si="61"/>
        <v>0</v>
      </c>
      <c r="BZ95" s="3">
        <f t="shared" si="61"/>
        <v>0</v>
      </c>
      <c r="CA95" s="3">
        <f t="shared" ref="CA95:DF95" si="62">CA142</f>
        <v>30943.74</v>
      </c>
      <c r="CB95" s="3">
        <f t="shared" si="62"/>
        <v>0</v>
      </c>
      <c r="CC95" s="3">
        <f t="shared" si="62"/>
        <v>30943.74</v>
      </c>
      <c r="CD95" s="3">
        <f t="shared" si="62"/>
        <v>0</v>
      </c>
      <c r="CE95" s="3">
        <f t="shared" si="62"/>
        <v>29140.78</v>
      </c>
      <c r="CF95" s="3">
        <f t="shared" si="62"/>
        <v>29140.78</v>
      </c>
      <c r="CG95" s="3">
        <f t="shared" si="62"/>
        <v>0</v>
      </c>
      <c r="CH95" s="3">
        <f t="shared" si="62"/>
        <v>29140.78</v>
      </c>
      <c r="CI95" s="3">
        <f t="shared" si="62"/>
        <v>0</v>
      </c>
      <c r="CJ95" s="3">
        <f t="shared" si="62"/>
        <v>0</v>
      </c>
      <c r="CK95" s="3">
        <f t="shared" si="62"/>
        <v>0</v>
      </c>
      <c r="CL95" s="3">
        <f t="shared" si="62"/>
        <v>0</v>
      </c>
      <c r="CM95" s="3">
        <f t="shared" si="62"/>
        <v>0</v>
      </c>
      <c r="CN95" s="3">
        <f t="shared" si="62"/>
        <v>0</v>
      </c>
      <c r="CO95" s="3">
        <f t="shared" si="62"/>
        <v>0</v>
      </c>
      <c r="CP95" s="3">
        <f t="shared" si="62"/>
        <v>0</v>
      </c>
      <c r="CQ95" s="3">
        <f t="shared" si="62"/>
        <v>0</v>
      </c>
      <c r="CR95" s="3">
        <f t="shared" si="62"/>
        <v>0</v>
      </c>
      <c r="CS95" s="3">
        <f t="shared" si="62"/>
        <v>0</v>
      </c>
      <c r="CT95" s="3">
        <f t="shared" si="62"/>
        <v>0</v>
      </c>
      <c r="CU95" s="3">
        <f t="shared" si="62"/>
        <v>0</v>
      </c>
      <c r="CV95" s="3">
        <f t="shared" si="62"/>
        <v>0</v>
      </c>
      <c r="CW95" s="3">
        <f t="shared" si="62"/>
        <v>0</v>
      </c>
      <c r="CX95" s="3">
        <f t="shared" si="62"/>
        <v>0</v>
      </c>
      <c r="CY95" s="3">
        <f t="shared" si="62"/>
        <v>0</v>
      </c>
      <c r="CZ95" s="3">
        <f t="shared" si="62"/>
        <v>0</v>
      </c>
      <c r="DA95" s="3">
        <f t="shared" si="62"/>
        <v>0</v>
      </c>
      <c r="DB95" s="3">
        <f t="shared" si="62"/>
        <v>0</v>
      </c>
      <c r="DC95" s="3">
        <f t="shared" si="62"/>
        <v>0</v>
      </c>
      <c r="DD95" s="3">
        <f t="shared" si="62"/>
        <v>0</v>
      </c>
      <c r="DE95" s="3">
        <f t="shared" si="62"/>
        <v>0</v>
      </c>
      <c r="DF95" s="3">
        <f t="shared" si="62"/>
        <v>0</v>
      </c>
      <c r="DG95" s="4">
        <f t="shared" ref="DG95:EL95" si="63">DG142</f>
        <v>316792.63</v>
      </c>
      <c r="DH95" s="4">
        <f t="shared" si="63"/>
        <v>274879.44</v>
      </c>
      <c r="DI95" s="4">
        <f t="shared" si="63"/>
        <v>58.1</v>
      </c>
      <c r="DJ95" s="4">
        <f t="shared" si="63"/>
        <v>0</v>
      </c>
      <c r="DK95" s="4">
        <f t="shared" si="63"/>
        <v>41855.089999999997</v>
      </c>
      <c r="DL95" s="4">
        <f t="shared" si="63"/>
        <v>0</v>
      </c>
      <c r="DM95" s="4">
        <f t="shared" si="63"/>
        <v>64.046036999999998</v>
      </c>
      <c r="DN95" s="4">
        <f t="shared" si="63"/>
        <v>0</v>
      </c>
      <c r="DO95" s="4">
        <f t="shared" si="63"/>
        <v>0</v>
      </c>
      <c r="DP95" s="4">
        <f t="shared" si="63"/>
        <v>37669.58</v>
      </c>
      <c r="DQ95" s="4">
        <f t="shared" si="63"/>
        <v>19253.34</v>
      </c>
      <c r="DR95" s="4">
        <f t="shared" si="63"/>
        <v>0</v>
      </c>
      <c r="DS95" s="4">
        <f t="shared" si="63"/>
        <v>0</v>
      </c>
      <c r="DT95" s="4">
        <f t="shared" si="63"/>
        <v>316792.63</v>
      </c>
      <c r="DU95" s="4">
        <f t="shared" si="63"/>
        <v>274879.44</v>
      </c>
      <c r="DV95" s="4">
        <f t="shared" si="63"/>
        <v>58.1</v>
      </c>
      <c r="DW95" s="4">
        <f t="shared" si="63"/>
        <v>0</v>
      </c>
      <c r="DX95" s="4">
        <f t="shared" si="63"/>
        <v>41855.089999999997</v>
      </c>
      <c r="DY95" s="4">
        <f t="shared" si="63"/>
        <v>0</v>
      </c>
      <c r="DZ95" s="4">
        <f t="shared" si="63"/>
        <v>64.046036999999998</v>
      </c>
      <c r="EA95" s="4">
        <f t="shared" si="63"/>
        <v>0</v>
      </c>
      <c r="EB95" s="4">
        <f t="shared" si="63"/>
        <v>0</v>
      </c>
      <c r="EC95" s="4">
        <f t="shared" si="63"/>
        <v>37669.58</v>
      </c>
      <c r="ED95" s="4">
        <f t="shared" si="63"/>
        <v>19253.34</v>
      </c>
      <c r="EE95" s="4">
        <f t="shared" si="63"/>
        <v>0</v>
      </c>
      <c r="EF95" s="4">
        <f t="shared" si="63"/>
        <v>0</v>
      </c>
      <c r="EG95" s="4">
        <f t="shared" si="63"/>
        <v>0</v>
      </c>
      <c r="EH95" s="4">
        <f t="shared" si="63"/>
        <v>0</v>
      </c>
      <c r="EI95" s="4">
        <f t="shared" si="63"/>
        <v>0</v>
      </c>
      <c r="EJ95" s="4">
        <f t="shared" si="63"/>
        <v>373715.55</v>
      </c>
      <c r="EK95" s="4">
        <f t="shared" si="63"/>
        <v>0</v>
      </c>
      <c r="EL95" s="4">
        <f t="shared" si="63"/>
        <v>373715.55</v>
      </c>
      <c r="EM95" s="4">
        <f t="shared" ref="EM95:FR95" si="64">EM142</f>
        <v>0</v>
      </c>
      <c r="EN95" s="4">
        <f t="shared" si="64"/>
        <v>274879.44</v>
      </c>
      <c r="EO95" s="4">
        <f t="shared" si="64"/>
        <v>274879.44</v>
      </c>
      <c r="EP95" s="4">
        <f t="shared" si="64"/>
        <v>0</v>
      </c>
      <c r="EQ95" s="4">
        <f t="shared" si="64"/>
        <v>274879.44</v>
      </c>
      <c r="ER95" s="4">
        <f t="shared" si="64"/>
        <v>0</v>
      </c>
      <c r="ES95" s="4">
        <f t="shared" si="64"/>
        <v>0</v>
      </c>
      <c r="ET95" s="4">
        <f t="shared" si="64"/>
        <v>0</v>
      </c>
      <c r="EU95" s="4">
        <f t="shared" si="64"/>
        <v>0</v>
      </c>
      <c r="EV95" s="4">
        <f t="shared" si="64"/>
        <v>0</v>
      </c>
      <c r="EW95" s="4">
        <f t="shared" si="64"/>
        <v>0</v>
      </c>
      <c r="EX95" s="4">
        <f t="shared" si="64"/>
        <v>0</v>
      </c>
      <c r="EY95" s="4">
        <f t="shared" si="64"/>
        <v>0</v>
      </c>
      <c r="EZ95" s="4">
        <f t="shared" si="64"/>
        <v>0</v>
      </c>
      <c r="FA95" s="4">
        <f t="shared" si="64"/>
        <v>0</v>
      </c>
      <c r="FB95" s="4">
        <f t="shared" si="64"/>
        <v>0</v>
      </c>
      <c r="FC95" s="4">
        <f t="shared" si="64"/>
        <v>0</v>
      </c>
      <c r="FD95" s="4">
        <f t="shared" si="64"/>
        <v>0</v>
      </c>
      <c r="FE95" s="4">
        <f t="shared" si="64"/>
        <v>0</v>
      </c>
      <c r="FF95" s="4">
        <f t="shared" si="64"/>
        <v>0</v>
      </c>
      <c r="FG95" s="4">
        <f t="shared" si="64"/>
        <v>0</v>
      </c>
      <c r="FH95" s="4">
        <f t="shared" si="64"/>
        <v>0</v>
      </c>
      <c r="FI95" s="4">
        <f t="shared" si="64"/>
        <v>0</v>
      </c>
      <c r="FJ95" s="4">
        <f t="shared" si="64"/>
        <v>0</v>
      </c>
      <c r="FK95" s="4">
        <f t="shared" si="64"/>
        <v>0</v>
      </c>
      <c r="FL95" s="4">
        <f t="shared" si="64"/>
        <v>0</v>
      </c>
      <c r="FM95" s="4">
        <f t="shared" si="64"/>
        <v>0</v>
      </c>
      <c r="FN95" s="4">
        <f t="shared" si="64"/>
        <v>0</v>
      </c>
      <c r="FO95" s="4">
        <f t="shared" si="64"/>
        <v>0</v>
      </c>
      <c r="FP95" s="4">
        <f t="shared" si="64"/>
        <v>0</v>
      </c>
      <c r="FQ95" s="4">
        <f t="shared" si="64"/>
        <v>0</v>
      </c>
      <c r="FR95" s="4">
        <f t="shared" si="64"/>
        <v>0</v>
      </c>
      <c r="FS95" s="4">
        <f t="shared" ref="FS95:GX95" si="65">FS142</f>
        <v>373715.55</v>
      </c>
      <c r="FT95" s="4">
        <f t="shared" si="65"/>
        <v>0</v>
      </c>
      <c r="FU95" s="4">
        <f t="shared" si="65"/>
        <v>373715.55</v>
      </c>
      <c r="FV95" s="4">
        <f t="shared" si="65"/>
        <v>0</v>
      </c>
      <c r="FW95" s="4">
        <f t="shared" si="65"/>
        <v>274879.44</v>
      </c>
      <c r="FX95" s="4">
        <f t="shared" si="65"/>
        <v>274879.44</v>
      </c>
      <c r="FY95" s="4">
        <f t="shared" si="65"/>
        <v>0</v>
      </c>
      <c r="FZ95" s="4">
        <f t="shared" si="65"/>
        <v>274879.44</v>
      </c>
      <c r="GA95" s="4">
        <f t="shared" si="65"/>
        <v>0</v>
      </c>
      <c r="GB95" s="4">
        <f t="shared" si="65"/>
        <v>0</v>
      </c>
      <c r="GC95" s="4">
        <f t="shared" si="65"/>
        <v>0</v>
      </c>
      <c r="GD95" s="4">
        <f t="shared" si="65"/>
        <v>0</v>
      </c>
      <c r="GE95" s="4">
        <f t="shared" si="65"/>
        <v>0</v>
      </c>
      <c r="GF95" s="4">
        <f t="shared" si="65"/>
        <v>0</v>
      </c>
      <c r="GG95" s="4">
        <f t="shared" si="65"/>
        <v>0</v>
      </c>
      <c r="GH95" s="4">
        <f t="shared" si="65"/>
        <v>0</v>
      </c>
      <c r="GI95" s="4">
        <f t="shared" si="65"/>
        <v>0</v>
      </c>
      <c r="GJ95" s="4">
        <f t="shared" si="65"/>
        <v>0</v>
      </c>
      <c r="GK95" s="4">
        <f t="shared" si="65"/>
        <v>0</v>
      </c>
      <c r="GL95" s="4">
        <f t="shared" si="65"/>
        <v>0</v>
      </c>
      <c r="GM95" s="4">
        <f t="shared" si="65"/>
        <v>0</v>
      </c>
      <c r="GN95" s="4">
        <f t="shared" si="65"/>
        <v>0</v>
      </c>
      <c r="GO95" s="4">
        <f t="shared" si="65"/>
        <v>0</v>
      </c>
      <c r="GP95" s="4">
        <f t="shared" si="65"/>
        <v>0</v>
      </c>
      <c r="GQ95" s="4">
        <f t="shared" si="65"/>
        <v>0</v>
      </c>
      <c r="GR95" s="4">
        <f t="shared" si="65"/>
        <v>0</v>
      </c>
      <c r="GS95" s="4">
        <f t="shared" si="65"/>
        <v>0</v>
      </c>
      <c r="GT95" s="4">
        <f t="shared" si="65"/>
        <v>0</v>
      </c>
      <c r="GU95" s="4">
        <f t="shared" si="65"/>
        <v>0</v>
      </c>
      <c r="GV95" s="4">
        <f t="shared" si="65"/>
        <v>0</v>
      </c>
      <c r="GW95" s="4">
        <f t="shared" si="65"/>
        <v>0</v>
      </c>
      <c r="GX95" s="4">
        <f t="shared" si="65"/>
        <v>0</v>
      </c>
    </row>
    <row r="97" spans="1:255" x14ac:dyDescent="0.3">
      <c r="A97" s="2">
        <v>17</v>
      </c>
      <c r="B97" s="2">
        <v>1</v>
      </c>
      <c r="C97" s="2"/>
      <c r="D97" s="2">
        <f>ROW(EtalonRes!A107)</f>
        <v>107</v>
      </c>
      <c r="E97" s="2" t="s">
        <v>155</v>
      </c>
      <c r="F97" s="2" t="s">
        <v>156</v>
      </c>
      <c r="G97" s="2" t="s">
        <v>157</v>
      </c>
      <c r="H97" s="2" t="s">
        <v>158</v>
      </c>
      <c r="I97" s="2">
        <f>ROUND((35+300)/100,9)</f>
        <v>3.35</v>
      </c>
      <c r="J97" s="2">
        <v>0</v>
      </c>
      <c r="K97" s="2">
        <f>ROUND((35+300)/100,9)</f>
        <v>3.35</v>
      </c>
      <c r="L97" s="2"/>
      <c r="M97" s="2"/>
      <c r="N97" s="2"/>
      <c r="O97" s="2">
        <f t="shared" ref="O97:O140" si="66">ROUND(CP97,2)</f>
        <v>1075.71</v>
      </c>
      <c r="P97" s="2">
        <f t="shared" ref="P97:P140" si="67">ROUND((ROUND((AC97*AW97*I97),2)*BC97),2)</f>
        <v>307.89999999999998</v>
      </c>
      <c r="Q97" s="2">
        <f>(ROUND((ROUND((((ET97*1.1))*AV97*I97),2)*BB97),2)+ROUND((ROUND(((AE97-((EU97*1.1)))*AV97*I97),2)*BS97),2))</f>
        <v>6.67</v>
      </c>
      <c r="R97" s="2">
        <f t="shared" ref="R97:R140" si="68">ROUND((ROUND((AE97*AV97*I97),2)*BS97),2)</f>
        <v>0</v>
      </c>
      <c r="S97" s="2">
        <f t="shared" ref="S97:S140" si="69">ROUND((ROUND((AF97*AV97*I97),2)*BA97),2)</f>
        <v>761.14</v>
      </c>
      <c r="T97" s="2">
        <f t="shared" ref="T97:T140" si="70">ROUND(CU97*I97,2)</f>
        <v>0</v>
      </c>
      <c r="U97" s="2">
        <f t="shared" ref="U97:U140" si="71">CV97*I97</f>
        <v>64.046036999999998</v>
      </c>
      <c r="V97" s="2">
        <f t="shared" ref="V97:V140" si="72">CW97*I97</f>
        <v>0</v>
      </c>
      <c r="W97" s="2">
        <f t="shared" ref="W97:W140" si="73">ROUND(CX97*I97,2)</f>
        <v>0</v>
      </c>
      <c r="X97" s="2">
        <f t="shared" ref="X97:X140" si="74">ROUND(CY97,2)</f>
        <v>685.03</v>
      </c>
      <c r="Y97" s="2">
        <f t="shared" ref="Y97:Y140" si="75">ROUND(CZ97,2)</f>
        <v>350.12</v>
      </c>
      <c r="Z97" s="2"/>
      <c r="AA97" s="2">
        <v>56511233</v>
      </c>
      <c r="AB97" s="2">
        <f t="shared" ref="AB97:AB140" si="76">ROUND((AC97+AD97+AF97),6)</f>
        <v>310.82100000000003</v>
      </c>
      <c r="AC97" s="2">
        <f t="shared" ref="AC97:AC140" si="77">ROUND((ES97),6)</f>
        <v>91.91</v>
      </c>
      <c r="AD97" s="2">
        <f>ROUND(((((ET97*1.1))-((EU97*1.1)))+AE97),6)</f>
        <v>1.903</v>
      </c>
      <c r="AE97" s="2">
        <f>ROUND(((EU97*1.1)),6)</f>
        <v>0</v>
      </c>
      <c r="AF97" s="2">
        <f>ROUND(((EV97*1.1)),6)</f>
        <v>217.00800000000001</v>
      </c>
      <c r="AG97" s="2">
        <f t="shared" ref="AG97:AG140" si="78">ROUND((AP97),6)</f>
        <v>0</v>
      </c>
      <c r="AH97" s="2">
        <f>((EW97*1.1))</f>
        <v>18.260000000000002</v>
      </c>
      <c r="AI97" s="2">
        <f>((EX97*1.1))</f>
        <v>0</v>
      </c>
      <c r="AJ97" s="2">
        <f t="shared" ref="AJ97:AJ140" si="79">(AS97)</f>
        <v>0</v>
      </c>
      <c r="AK97" s="2">
        <v>290.92</v>
      </c>
      <c r="AL97" s="2">
        <v>91.91</v>
      </c>
      <c r="AM97" s="2">
        <v>1.73</v>
      </c>
      <c r="AN97" s="2">
        <v>0</v>
      </c>
      <c r="AO97" s="2">
        <v>197.28</v>
      </c>
      <c r="AP97" s="2">
        <v>0</v>
      </c>
      <c r="AQ97" s="2">
        <v>16.600000000000001</v>
      </c>
      <c r="AR97" s="2">
        <v>0</v>
      </c>
      <c r="AS97" s="2">
        <v>0</v>
      </c>
      <c r="AT97" s="2">
        <v>90</v>
      </c>
      <c r="AU97" s="2">
        <v>46</v>
      </c>
      <c r="AV97" s="2">
        <v>1.0469999999999999</v>
      </c>
      <c r="AW97" s="2">
        <v>1</v>
      </c>
      <c r="AX97" s="2"/>
      <c r="AY97" s="2"/>
      <c r="AZ97" s="2">
        <v>1</v>
      </c>
      <c r="BA97" s="2">
        <v>1</v>
      </c>
      <c r="BB97" s="2">
        <v>1</v>
      </c>
      <c r="BC97" s="2">
        <v>1</v>
      </c>
      <c r="BD97" s="2" t="s">
        <v>3</v>
      </c>
      <c r="BE97" s="2" t="s">
        <v>3</v>
      </c>
      <c r="BF97" s="2" t="s">
        <v>3</v>
      </c>
      <c r="BG97" s="2" t="s">
        <v>3</v>
      </c>
      <c r="BH97" s="2">
        <v>0</v>
      </c>
      <c r="BI97" s="2">
        <v>2</v>
      </c>
      <c r="BJ97" s="2" t="s">
        <v>159</v>
      </c>
      <c r="BK97" s="2"/>
      <c r="BL97" s="2"/>
      <c r="BM97" s="2">
        <v>68</v>
      </c>
      <c r="BN97" s="2">
        <v>0</v>
      </c>
      <c r="BO97" s="2" t="s">
        <v>156</v>
      </c>
      <c r="BP97" s="2">
        <v>1</v>
      </c>
      <c r="BQ97" s="2">
        <v>40</v>
      </c>
      <c r="BR97" s="2">
        <v>0</v>
      </c>
      <c r="BS97" s="2">
        <v>1</v>
      </c>
      <c r="BT97" s="2">
        <v>1</v>
      </c>
      <c r="BU97" s="2">
        <v>1</v>
      </c>
      <c r="BV97" s="2">
        <v>1</v>
      </c>
      <c r="BW97" s="2">
        <v>1</v>
      </c>
      <c r="BX97" s="2">
        <v>1</v>
      </c>
      <c r="BY97" s="2" t="s">
        <v>3</v>
      </c>
      <c r="BZ97" s="2">
        <v>90</v>
      </c>
      <c r="CA97" s="2">
        <v>46</v>
      </c>
      <c r="CB97" s="2" t="s">
        <v>3</v>
      </c>
      <c r="CC97" s="2"/>
      <c r="CD97" s="2"/>
      <c r="CE97" s="2">
        <v>30</v>
      </c>
      <c r="CF97" s="2">
        <v>0</v>
      </c>
      <c r="CG97" s="2">
        <v>0</v>
      </c>
      <c r="CH97" s="2"/>
      <c r="CI97" s="2"/>
      <c r="CJ97" s="2"/>
      <c r="CK97" s="2"/>
      <c r="CL97" s="2"/>
      <c r="CM97" s="2">
        <v>0</v>
      </c>
      <c r="CN97" s="2" t="s">
        <v>3</v>
      </c>
      <c r="CO97" s="2">
        <v>0</v>
      </c>
      <c r="CP97" s="2">
        <f t="shared" ref="CP97:CP140" si="80">(P97+Q97+S97)</f>
        <v>1075.71</v>
      </c>
      <c r="CQ97" s="2">
        <f t="shared" ref="CQ97:CQ140" si="81">ROUND((ROUND((AC97*AW97*1),2)*BC97),2)</f>
        <v>91.91</v>
      </c>
      <c r="CR97" s="2">
        <f>(ROUND((ROUND((((ET97*1.1))*AV97*1),2)*BB97),2)+ROUND((ROUND(((AE97-((EU97*1.1)))*AV97*1),2)*BS97),2))</f>
        <v>1.99</v>
      </c>
      <c r="CS97" s="2">
        <f t="shared" ref="CS97:CS140" si="82">ROUND((ROUND((AE97*AV97*1),2)*BS97),2)</f>
        <v>0</v>
      </c>
      <c r="CT97" s="2">
        <f t="shared" ref="CT97:CT140" si="83">ROUND((ROUND((AF97*AV97*1),2)*BA97),2)</f>
        <v>227.21</v>
      </c>
      <c r="CU97" s="2">
        <f t="shared" ref="CU97:CU140" si="84">AG97</f>
        <v>0</v>
      </c>
      <c r="CV97" s="2">
        <f t="shared" ref="CV97:CV140" si="85">(AH97*AV97)</f>
        <v>19.118220000000001</v>
      </c>
      <c r="CW97" s="2">
        <f t="shared" ref="CW97:CW140" si="86">AI97</f>
        <v>0</v>
      </c>
      <c r="CX97" s="2">
        <f t="shared" ref="CX97:CX140" si="87">AJ97</f>
        <v>0</v>
      </c>
      <c r="CY97" s="2">
        <f t="shared" ref="CY97:CY140" si="88">(((S97+R97)*AT97)/100)</f>
        <v>685.02600000000007</v>
      </c>
      <c r="CZ97" s="2">
        <f t="shared" ref="CZ97:CZ140" si="89">(((S97+R97)*AU97)/100)</f>
        <v>350.12440000000004</v>
      </c>
      <c r="DA97" s="2"/>
      <c r="DB97" s="2"/>
      <c r="DC97" s="2" t="s">
        <v>3</v>
      </c>
      <c r="DD97" s="2" t="s">
        <v>3</v>
      </c>
      <c r="DE97" s="2" t="s">
        <v>24</v>
      </c>
      <c r="DF97" s="2" t="s">
        <v>24</v>
      </c>
      <c r="DG97" s="2" t="s">
        <v>24</v>
      </c>
      <c r="DH97" s="2" t="s">
        <v>3</v>
      </c>
      <c r="DI97" s="2" t="s">
        <v>24</v>
      </c>
      <c r="DJ97" s="2" t="s">
        <v>24</v>
      </c>
      <c r="DK97" s="2" t="s">
        <v>3</v>
      </c>
      <c r="DL97" s="2" t="s">
        <v>3</v>
      </c>
      <c r="DM97" s="2" t="s">
        <v>3</v>
      </c>
      <c r="DN97" s="2">
        <v>0</v>
      </c>
      <c r="DO97" s="2">
        <v>0</v>
      </c>
      <c r="DP97" s="2">
        <v>1</v>
      </c>
      <c r="DQ97" s="2">
        <v>1</v>
      </c>
      <c r="DR97" s="2"/>
      <c r="DS97" s="2"/>
      <c r="DT97" s="2"/>
      <c r="DU97" s="2">
        <v>1003</v>
      </c>
      <c r="DV97" s="2" t="s">
        <v>158</v>
      </c>
      <c r="DW97" s="2" t="s">
        <v>158</v>
      </c>
      <c r="DX97" s="2">
        <v>100</v>
      </c>
      <c r="DY97" s="2"/>
      <c r="DZ97" s="2" t="s">
        <v>3</v>
      </c>
      <c r="EA97" s="2" t="s">
        <v>3</v>
      </c>
      <c r="EB97" s="2" t="s">
        <v>3</v>
      </c>
      <c r="EC97" s="2" t="s">
        <v>3</v>
      </c>
      <c r="ED97" s="2"/>
      <c r="EE97" s="2">
        <v>58162630</v>
      </c>
      <c r="EF97" s="2">
        <v>40</v>
      </c>
      <c r="EG97" s="2" t="s">
        <v>25</v>
      </c>
      <c r="EH97" s="2">
        <v>0</v>
      </c>
      <c r="EI97" s="2" t="s">
        <v>3</v>
      </c>
      <c r="EJ97" s="2">
        <v>2</v>
      </c>
      <c r="EK97" s="2">
        <v>68</v>
      </c>
      <c r="EL97" s="2" t="s">
        <v>26</v>
      </c>
      <c r="EM97" s="2" t="s">
        <v>27</v>
      </c>
      <c r="EN97" s="2"/>
      <c r="EO97" s="2" t="s">
        <v>28</v>
      </c>
      <c r="EP97" s="2"/>
      <c r="EQ97" s="2">
        <v>0</v>
      </c>
      <c r="ER97" s="2">
        <v>290.92</v>
      </c>
      <c r="ES97" s="2">
        <v>91.91</v>
      </c>
      <c r="ET97" s="2">
        <v>1.73</v>
      </c>
      <c r="EU97" s="2">
        <v>0</v>
      </c>
      <c r="EV97" s="2">
        <v>197.28</v>
      </c>
      <c r="EW97" s="2">
        <v>16.600000000000001</v>
      </c>
      <c r="EX97" s="2">
        <v>0</v>
      </c>
      <c r="EY97" s="2">
        <v>0</v>
      </c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>
        <v>0</v>
      </c>
      <c r="FR97" s="2">
        <v>0</v>
      </c>
      <c r="FS97" s="2">
        <v>0</v>
      </c>
      <c r="FT97" s="2"/>
      <c r="FU97" s="2"/>
      <c r="FV97" s="2"/>
      <c r="FW97" s="2"/>
      <c r="FX97" s="2">
        <v>90</v>
      </c>
      <c r="FY97" s="2">
        <v>46</v>
      </c>
      <c r="FZ97" s="2"/>
      <c r="GA97" s="2" t="s">
        <v>3</v>
      </c>
      <c r="GB97" s="2"/>
      <c r="GC97" s="2"/>
      <c r="GD97" s="2">
        <v>1</v>
      </c>
      <c r="GE97" s="2"/>
      <c r="GF97" s="2">
        <v>-250176620</v>
      </c>
      <c r="GG97" s="2">
        <v>2</v>
      </c>
      <c r="GH97" s="2">
        <v>1</v>
      </c>
      <c r="GI97" s="2">
        <v>2</v>
      </c>
      <c r="GJ97" s="2">
        <v>0</v>
      </c>
      <c r="GK97" s="2">
        <v>0</v>
      </c>
      <c r="GL97" s="2">
        <f t="shared" ref="GL97:GL140" si="90">ROUND(IF(AND(BH97=3,BI97=3,FS97&lt;&gt;0),P97,0),2)</f>
        <v>0</v>
      </c>
      <c r="GM97" s="2">
        <f t="shared" ref="GM97:GM140" si="91">ROUND(O97+X97+Y97,2)+GX97</f>
        <v>2110.86</v>
      </c>
      <c r="GN97" s="2">
        <f t="shared" ref="GN97:GN140" si="92">IF(OR(BI97=0,BI97=1),GM97-GX97,0)</f>
        <v>0</v>
      </c>
      <c r="GO97" s="2">
        <f t="shared" ref="GO97:GO140" si="93">IF(BI97=2,GM97-GX97,0)</f>
        <v>2110.86</v>
      </c>
      <c r="GP97" s="2">
        <f t="shared" ref="GP97:GP140" si="94">IF(BI97=4,GM97-GX97,0)</f>
        <v>0</v>
      </c>
      <c r="GQ97" s="2"/>
      <c r="GR97" s="2">
        <v>0</v>
      </c>
      <c r="GS97" s="2">
        <v>3</v>
      </c>
      <c r="GT97" s="2">
        <v>0</v>
      </c>
      <c r="GU97" s="2" t="s">
        <v>3</v>
      </c>
      <c r="GV97" s="2">
        <f t="shared" ref="GV97:GV140" si="95">ROUND((GT97),6)</f>
        <v>0</v>
      </c>
      <c r="GW97" s="2">
        <v>1</v>
      </c>
      <c r="GX97" s="2">
        <f t="shared" ref="GX97:GX140" si="96">ROUND(HC97*I97,2)</f>
        <v>0</v>
      </c>
      <c r="GY97" s="2"/>
      <c r="GZ97" s="2"/>
      <c r="HA97" s="2">
        <v>0</v>
      </c>
      <c r="HB97" s="2">
        <v>0</v>
      </c>
      <c r="HC97" s="2">
        <f t="shared" ref="HC97:HC140" si="97">GV97*GW97</f>
        <v>0</v>
      </c>
      <c r="HD97" s="2"/>
      <c r="HE97" s="2" t="s">
        <v>3</v>
      </c>
      <c r="HF97" s="2" t="s">
        <v>3</v>
      </c>
      <c r="HG97" s="2"/>
      <c r="HH97" s="2"/>
      <c r="HI97" s="2"/>
      <c r="HJ97" s="2"/>
      <c r="HK97" s="2"/>
      <c r="HL97" s="2"/>
      <c r="HM97" s="2" t="s">
        <v>3</v>
      </c>
      <c r="HN97" s="2" t="s">
        <v>3</v>
      </c>
      <c r="HO97" s="2" t="s">
        <v>3</v>
      </c>
      <c r="HP97" s="2" t="s">
        <v>3</v>
      </c>
      <c r="HQ97" s="2" t="s">
        <v>3</v>
      </c>
      <c r="HR97" s="2"/>
      <c r="HS97" s="2">
        <v>0</v>
      </c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>
        <v>0</v>
      </c>
      <c r="IL97" s="2"/>
      <c r="IM97" s="2"/>
      <c r="IN97" s="2"/>
      <c r="IO97" s="2"/>
      <c r="IP97" s="2"/>
      <c r="IQ97" s="2"/>
      <c r="IR97" s="2"/>
      <c r="IS97" s="2"/>
      <c r="IT97" s="2"/>
      <c r="IU97" s="2"/>
    </row>
    <row r="98" spans="1:255" x14ac:dyDescent="0.3">
      <c r="A98">
        <v>17</v>
      </c>
      <c r="B98">
        <v>1</v>
      </c>
      <c r="D98">
        <f>ROW(EtalonRes!A118)</f>
        <v>118</v>
      </c>
      <c r="E98" t="s">
        <v>155</v>
      </c>
      <c r="F98" t="s">
        <v>156</v>
      </c>
      <c r="G98" t="s">
        <v>157</v>
      </c>
      <c r="H98" t="s">
        <v>158</v>
      </c>
      <c r="I98">
        <f>ROUND((35+300)/100,9)</f>
        <v>3.35</v>
      </c>
      <c r="J98">
        <v>0</v>
      </c>
      <c r="K98">
        <f>ROUND((35+300)/100,9)</f>
        <v>3.35</v>
      </c>
      <c r="O98">
        <f t="shared" si="66"/>
        <v>42762.99</v>
      </c>
      <c r="P98">
        <f t="shared" si="67"/>
        <v>849.8</v>
      </c>
      <c r="Q98">
        <f>(ROUND((ROUND((((ET98*1.1))*AV98*I98),2)*BB98),2)+ROUND((ROUND(((AE98-((EU98*1.1)))*AV98*I98),2)*BS98),2))</f>
        <v>58.1</v>
      </c>
      <c r="R98">
        <f t="shared" si="68"/>
        <v>0</v>
      </c>
      <c r="S98">
        <f t="shared" si="69"/>
        <v>41855.089999999997</v>
      </c>
      <c r="T98">
        <f t="shared" si="70"/>
        <v>0</v>
      </c>
      <c r="U98">
        <f t="shared" si="71"/>
        <v>64.046036999999998</v>
      </c>
      <c r="V98">
        <f t="shared" si="72"/>
        <v>0</v>
      </c>
      <c r="W98">
        <f t="shared" si="73"/>
        <v>0</v>
      </c>
      <c r="X98">
        <f t="shared" si="74"/>
        <v>37669.58</v>
      </c>
      <c r="Y98">
        <f t="shared" si="75"/>
        <v>19253.34</v>
      </c>
      <c r="AA98">
        <v>56511235</v>
      </c>
      <c r="AB98">
        <f t="shared" si="76"/>
        <v>310.82100000000003</v>
      </c>
      <c r="AC98">
        <f t="shared" si="77"/>
        <v>91.91</v>
      </c>
      <c r="AD98">
        <f>ROUND(((((ET98*1.1))-((EU98*1.1)))+AE98),6)</f>
        <v>1.903</v>
      </c>
      <c r="AE98">
        <f>ROUND(((EU98*1.1)),6)</f>
        <v>0</v>
      </c>
      <c r="AF98">
        <f>ROUND(((EV98*1.1)),6)</f>
        <v>217.00800000000001</v>
      </c>
      <c r="AG98">
        <f t="shared" si="78"/>
        <v>0</v>
      </c>
      <c r="AH98">
        <f>((EW98*1.1))</f>
        <v>18.260000000000002</v>
      </c>
      <c r="AI98">
        <f>((EX98*1.1))</f>
        <v>0</v>
      </c>
      <c r="AJ98">
        <f t="shared" si="79"/>
        <v>0</v>
      </c>
      <c r="AK98">
        <v>290.92</v>
      </c>
      <c r="AL98">
        <v>91.91</v>
      </c>
      <c r="AM98">
        <v>1.73</v>
      </c>
      <c r="AN98">
        <v>0</v>
      </c>
      <c r="AO98">
        <v>197.28</v>
      </c>
      <c r="AP98">
        <v>0</v>
      </c>
      <c r="AQ98">
        <v>16.600000000000001</v>
      </c>
      <c r="AR98">
        <v>0</v>
      </c>
      <c r="AS98">
        <v>0</v>
      </c>
      <c r="AT98">
        <v>90</v>
      </c>
      <c r="AU98">
        <v>46</v>
      </c>
      <c r="AV98">
        <v>1.0469999999999999</v>
      </c>
      <c r="AW98">
        <v>1</v>
      </c>
      <c r="AZ98">
        <v>1</v>
      </c>
      <c r="BA98">
        <v>54.99</v>
      </c>
      <c r="BB98">
        <v>8.7100000000000009</v>
      </c>
      <c r="BC98">
        <v>2.76</v>
      </c>
      <c r="BD98" t="s">
        <v>3</v>
      </c>
      <c r="BE98" t="s">
        <v>3</v>
      </c>
      <c r="BF98" t="s">
        <v>3</v>
      </c>
      <c r="BG98" t="s">
        <v>3</v>
      </c>
      <c r="BH98">
        <v>0</v>
      </c>
      <c r="BI98">
        <v>2</v>
      </c>
      <c r="BJ98" t="s">
        <v>159</v>
      </c>
      <c r="BM98">
        <v>68</v>
      </c>
      <c r="BN98">
        <v>0</v>
      </c>
      <c r="BO98" t="s">
        <v>156</v>
      </c>
      <c r="BP98">
        <v>1</v>
      </c>
      <c r="BQ98">
        <v>40</v>
      </c>
      <c r="BR98">
        <v>0</v>
      </c>
      <c r="BS98">
        <v>54.99</v>
      </c>
      <c r="BT98">
        <v>1</v>
      </c>
      <c r="BU98">
        <v>1</v>
      </c>
      <c r="BV98">
        <v>1</v>
      </c>
      <c r="BW98">
        <v>1</v>
      </c>
      <c r="BX98">
        <v>1</v>
      </c>
      <c r="BY98" t="s">
        <v>3</v>
      </c>
      <c r="BZ98">
        <v>90</v>
      </c>
      <c r="CA98">
        <v>46</v>
      </c>
      <c r="CB98" t="s">
        <v>3</v>
      </c>
      <c r="CE98">
        <v>30</v>
      </c>
      <c r="CF98">
        <v>0</v>
      </c>
      <c r="CG98">
        <v>0</v>
      </c>
      <c r="CM98">
        <v>0</v>
      </c>
      <c r="CN98" t="s">
        <v>3</v>
      </c>
      <c r="CO98">
        <v>0</v>
      </c>
      <c r="CP98">
        <f t="shared" si="80"/>
        <v>42762.99</v>
      </c>
      <c r="CQ98">
        <f t="shared" si="81"/>
        <v>253.67</v>
      </c>
      <c r="CR98">
        <f>(ROUND((ROUND((((ET98*1.1))*AV98*1),2)*BB98),2)+ROUND((ROUND(((AE98-((EU98*1.1)))*AV98*1),2)*BS98),2))</f>
        <v>17.329999999999998</v>
      </c>
      <c r="CS98">
        <f t="shared" si="82"/>
        <v>0</v>
      </c>
      <c r="CT98">
        <f t="shared" si="83"/>
        <v>12494.28</v>
      </c>
      <c r="CU98">
        <f t="shared" si="84"/>
        <v>0</v>
      </c>
      <c r="CV98">
        <f t="shared" si="85"/>
        <v>19.118220000000001</v>
      </c>
      <c r="CW98">
        <f t="shared" si="86"/>
        <v>0</v>
      </c>
      <c r="CX98">
        <f t="shared" si="87"/>
        <v>0</v>
      </c>
      <c r="CY98">
        <f t="shared" si="88"/>
        <v>37669.580999999998</v>
      </c>
      <c r="CZ98">
        <f t="shared" si="89"/>
        <v>19253.341399999998</v>
      </c>
      <c r="DC98" t="s">
        <v>3</v>
      </c>
      <c r="DD98" t="s">
        <v>3</v>
      </c>
      <c r="DE98" t="s">
        <v>24</v>
      </c>
      <c r="DF98" t="s">
        <v>24</v>
      </c>
      <c r="DG98" t="s">
        <v>24</v>
      </c>
      <c r="DH98" t="s">
        <v>3</v>
      </c>
      <c r="DI98" t="s">
        <v>24</v>
      </c>
      <c r="DJ98" t="s">
        <v>24</v>
      </c>
      <c r="DK98" t="s">
        <v>3</v>
      </c>
      <c r="DL98" t="s">
        <v>3</v>
      </c>
      <c r="DM98" t="s">
        <v>3</v>
      </c>
      <c r="DN98">
        <v>0</v>
      </c>
      <c r="DO98">
        <v>0</v>
      </c>
      <c r="DP98">
        <v>1</v>
      </c>
      <c r="DQ98">
        <v>1</v>
      </c>
      <c r="DU98">
        <v>1003</v>
      </c>
      <c r="DV98" t="s">
        <v>158</v>
      </c>
      <c r="DW98" t="s">
        <v>158</v>
      </c>
      <c r="DX98">
        <v>100</v>
      </c>
      <c r="DZ98" t="s">
        <v>3</v>
      </c>
      <c r="EA98" t="s">
        <v>3</v>
      </c>
      <c r="EB98" t="s">
        <v>3</v>
      </c>
      <c r="EC98" t="s">
        <v>3</v>
      </c>
      <c r="EE98">
        <v>58162630</v>
      </c>
      <c r="EF98">
        <v>40</v>
      </c>
      <c r="EG98" t="s">
        <v>25</v>
      </c>
      <c r="EH98">
        <v>0</v>
      </c>
      <c r="EI98" t="s">
        <v>3</v>
      </c>
      <c r="EJ98">
        <v>2</v>
      </c>
      <c r="EK98">
        <v>68</v>
      </c>
      <c r="EL98" t="s">
        <v>26</v>
      </c>
      <c r="EM98" t="s">
        <v>27</v>
      </c>
      <c r="EO98" t="s">
        <v>28</v>
      </c>
      <c r="EQ98">
        <v>0</v>
      </c>
      <c r="ER98">
        <v>290.92</v>
      </c>
      <c r="ES98">
        <v>91.91</v>
      </c>
      <c r="ET98">
        <v>1.73</v>
      </c>
      <c r="EU98">
        <v>0</v>
      </c>
      <c r="EV98">
        <v>197.28</v>
      </c>
      <c r="EW98">
        <v>16.600000000000001</v>
      </c>
      <c r="EX98">
        <v>0</v>
      </c>
      <c r="EY98">
        <v>0</v>
      </c>
      <c r="FQ98">
        <v>0</v>
      </c>
      <c r="FR98">
        <v>0</v>
      </c>
      <c r="FS98">
        <v>0</v>
      </c>
      <c r="FX98">
        <v>90</v>
      </c>
      <c r="FY98">
        <v>46</v>
      </c>
      <c r="GA98" t="s">
        <v>3</v>
      </c>
      <c r="GD98">
        <v>1</v>
      </c>
      <c r="GF98">
        <v>-250176620</v>
      </c>
      <c r="GG98">
        <v>2</v>
      </c>
      <c r="GH98">
        <v>1</v>
      </c>
      <c r="GI98">
        <v>2</v>
      </c>
      <c r="GJ98">
        <v>0</v>
      </c>
      <c r="GK98">
        <v>0</v>
      </c>
      <c r="GL98">
        <f t="shared" si="90"/>
        <v>0</v>
      </c>
      <c r="GM98">
        <f t="shared" si="91"/>
        <v>99685.91</v>
      </c>
      <c r="GN98">
        <f t="shared" si="92"/>
        <v>0</v>
      </c>
      <c r="GO98">
        <f t="shared" si="93"/>
        <v>99685.91</v>
      </c>
      <c r="GP98">
        <f t="shared" si="94"/>
        <v>0</v>
      </c>
      <c r="GR98">
        <v>0</v>
      </c>
      <c r="GS98">
        <v>3</v>
      </c>
      <c r="GT98">
        <v>0</v>
      </c>
      <c r="GU98" t="s">
        <v>3</v>
      </c>
      <c r="GV98">
        <f t="shared" si="95"/>
        <v>0</v>
      </c>
      <c r="GW98">
        <v>1</v>
      </c>
      <c r="GX98">
        <f t="shared" si="96"/>
        <v>0</v>
      </c>
      <c r="HA98">
        <v>0</v>
      </c>
      <c r="HB98">
        <v>0</v>
      </c>
      <c r="HC98">
        <f t="shared" si="97"/>
        <v>0</v>
      </c>
      <c r="HE98" t="s">
        <v>3</v>
      </c>
      <c r="HF98" t="s">
        <v>3</v>
      </c>
      <c r="HM98" t="s">
        <v>3</v>
      </c>
      <c r="HN98" t="s">
        <v>3</v>
      </c>
      <c r="HO98" t="s">
        <v>3</v>
      </c>
      <c r="HP98" t="s">
        <v>3</v>
      </c>
      <c r="HQ98" t="s">
        <v>3</v>
      </c>
      <c r="HS98">
        <v>0</v>
      </c>
      <c r="IK98">
        <v>0</v>
      </c>
    </row>
    <row r="99" spans="1:255" x14ac:dyDescent="0.3">
      <c r="A99" s="2">
        <v>18</v>
      </c>
      <c r="B99" s="2">
        <v>1</v>
      </c>
      <c r="C99" s="2"/>
      <c r="D99" s="2"/>
      <c r="E99" s="2" t="s">
        <v>160</v>
      </c>
      <c r="F99" s="2" t="s">
        <v>161</v>
      </c>
      <c r="G99" s="2" t="s">
        <v>162</v>
      </c>
      <c r="H99" s="2" t="s">
        <v>163</v>
      </c>
      <c r="I99" s="2">
        <f>I97*J99</f>
        <v>35.700000000000003</v>
      </c>
      <c r="J99" s="2">
        <v>10.656716417910449</v>
      </c>
      <c r="K99" s="2">
        <v>10.656716400000001</v>
      </c>
      <c r="L99" s="2"/>
      <c r="M99" s="2"/>
      <c r="N99" s="2"/>
      <c r="O99" s="2">
        <f t="shared" si="66"/>
        <v>163.86</v>
      </c>
      <c r="P99" s="2">
        <f t="shared" si="67"/>
        <v>163.86</v>
      </c>
      <c r="Q99" s="2">
        <f t="shared" ref="Q99:Q114" si="98">(ROUND((ROUND(((ET99)*AV99*I99),2)*BB99),2)+ROUND((ROUND(((AE99-(EU99))*AV99*I99),2)*BS99),2))</f>
        <v>0</v>
      </c>
      <c r="R99" s="2">
        <f t="shared" si="68"/>
        <v>0</v>
      </c>
      <c r="S99" s="2">
        <f t="shared" si="69"/>
        <v>0</v>
      </c>
      <c r="T99" s="2">
        <f t="shared" si="70"/>
        <v>0</v>
      </c>
      <c r="U99" s="2">
        <f t="shared" si="71"/>
        <v>0</v>
      </c>
      <c r="V99" s="2">
        <f t="shared" si="72"/>
        <v>0</v>
      </c>
      <c r="W99" s="2">
        <f t="shared" si="73"/>
        <v>0</v>
      </c>
      <c r="X99" s="2">
        <f t="shared" si="74"/>
        <v>0</v>
      </c>
      <c r="Y99" s="2">
        <f t="shared" si="75"/>
        <v>0</v>
      </c>
      <c r="Z99" s="2"/>
      <c r="AA99" s="2">
        <v>56511233</v>
      </c>
      <c r="AB99" s="2">
        <f t="shared" si="76"/>
        <v>4.59</v>
      </c>
      <c r="AC99" s="2">
        <f t="shared" si="77"/>
        <v>4.59</v>
      </c>
      <c r="AD99" s="2">
        <f t="shared" ref="AD99:AD114" si="99">ROUND((((ET99)-(EU99))+AE99),6)</f>
        <v>0</v>
      </c>
      <c r="AE99" s="2">
        <f t="shared" ref="AE99:AE114" si="100">ROUND((EU99),6)</f>
        <v>0</v>
      </c>
      <c r="AF99" s="2">
        <f t="shared" ref="AF99:AF114" si="101">ROUND((EV99),6)</f>
        <v>0</v>
      </c>
      <c r="AG99" s="2">
        <f t="shared" si="78"/>
        <v>0</v>
      </c>
      <c r="AH99" s="2">
        <f t="shared" ref="AH99:AH114" si="102">(EW99)</f>
        <v>0</v>
      </c>
      <c r="AI99" s="2">
        <f t="shared" ref="AI99:AI114" si="103">(EX99)</f>
        <v>0</v>
      </c>
      <c r="AJ99" s="2">
        <f t="shared" si="79"/>
        <v>0</v>
      </c>
      <c r="AK99" s="2">
        <v>4.59</v>
      </c>
      <c r="AL99" s="2">
        <v>4.59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90</v>
      </c>
      <c r="AU99" s="2">
        <v>46</v>
      </c>
      <c r="AV99" s="2">
        <v>1</v>
      </c>
      <c r="AW99" s="2">
        <v>1</v>
      </c>
      <c r="AX99" s="2"/>
      <c r="AY99" s="2"/>
      <c r="AZ99" s="2">
        <v>1</v>
      </c>
      <c r="BA99" s="2">
        <v>1</v>
      </c>
      <c r="BB99" s="2">
        <v>1</v>
      </c>
      <c r="BC99" s="2">
        <v>1</v>
      </c>
      <c r="BD99" s="2" t="s">
        <v>3</v>
      </c>
      <c r="BE99" s="2" t="s">
        <v>3</v>
      </c>
      <c r="BF99" s="2" t="s">
        <v>3</v>
      </c>
      <c r="BG99" s="2" t="s">
        <v>3</v>
      </c>
      <c r="BH99" s="2">
        <v>3</v>
      </c>
      <c r="BI99" s="2">
        <v>2</v>
      </c>
      <c r="BJ99" s="2" t="s">
        <v>164</v>
      </c>
      <c r="BK99" s="2"/>
      <c r="BL99" s="2"/>
      <c r="BM99" s="2">
        <v>68</v>
      </c>
      <c r="BN99" s="2">
        <v>0</v>
      </c>
      <c r="BO99" s="2" t="s">
        <v>3</v>
      </c>
      <c r="BP99" s="2">
        <v>0</v>
      </c>
      <c r="BQ99" s="2">
        <v>40</v>
      </c>
      <c r="BR99" s="2">
        <v>0</v>
      </c>
      <c r="BS99" s="2">
        <v>1</v>
      </c>
      <c r="BT99" s="2">
        <v>1</v>
      </c>
      <c r="BU99" s="2">
        <v>1</v>
      </c>
      <c r="BV99" s="2">
        <v>1</v>
      </c>
      <c r="BW99" s="2">
        <v>1</v>
      </c>
      <c r="BX99" s="2">
        <v>1</v>
      </c>
      <c r="BY99" s="2" t="s">
        <v>3</v>
      </c>
      <c r="BZ99" s="2">
        <v>90</v>
      </c>
      <c r="CA99" s="2">
        <v>46</v>
      </c>
      <c r="CB99" s="2" t="s">
        <v>3</v>
      </c>
      <c r="CC99" s="2"/>
      <c r="CD99" s="2"/>
      <c r="CE99" s="2">
        <v>30</v>
      </c>
      <c r="CF99" s="2">
        <v>0</v>
      </c>
      <c r="CG99" s="2">
        <v>0</v>
      </c>
      <c r="CH99" s="2"/>
      <c r="CI99" s="2"/>
      <c r="CJ99" s="2"/>
      <c r="CK99" s="2"/>
      <c r="CL99" s="2"/>
      <c r="CM99" s="2">
        <v>0</v>
      </c>
      <c r="CN99" s="2" t="s">
        <v>3</v>
      </c>
      <c r="CO99" s="2">
        <v>0</v>
      </c>
      <c r="CP99" s="2">
        <f t="shared" si="80"/>
        <v>163.86</v>
      </c>
      <c r="CQ99" s="2">
        <f t="shared" si="81"/>
        <v>4.59</v>
      </c>
      <c r="CR99" s="2">
        <f t="shared" ref="CR99:CR114" si="104">(ROUND((ROUND(((ET99)*AV99*1),2)*BB99),2)+ROUND((ROUND(((AE99-(EU99))*AV99*1),2)*BS99),2))</f>
        <v>0</v>
      </c>
      <c r="CS99" s="2">
        <f t="shared" si="82"/>
        <v>0</v>
      </c>
      <c r="CT99" s="2">
        <f t="shared" si="83"/>
        <v>0</v>
      </c>
      <c r="CU99" s="2">
        <f t="shared" si="84"/>
        <v>0</v>
      </c>
      <c r="CV99" s="2">
        <f t="shared" si="85"/>
        <v>0</v>
      </c>
      <c r="CW99" s="2">
        <f t="shared" si="86"/>
        <v>0</v>
      </c>
      <c r="CX99" s="2">
        <f t="shared" si="87"/>
        <v>0</v>
      </c>
      <c r="CY99" s="2">
        <f t="shared" si="88"/>
        <v>0</v>
      </c>
      <c r="CZ99" s="2">
        <f t="shared" si="89"/>
        <v>0</v>
      </c>
      <c r="DA99" s="2"/>
      <c r="DB99" s="2"/>
      <c r="DC99" s="2" t="s">
        <v>3</v>
      </c>
      <c r="DD99" s="2" t="s">
        <v>3</v>
      </c>
      <c r="DE99" s="2" t="s">
        <v>3</v>
      </c>
      <c r="DF99" s="2" t="s">
        <v>3</v>
      </c>
      <c r="DG99" s="2" t="s">
        <v>3</v>
      </c>
      <c r="DH99" s="2" t="s">
        <v>3</v>
      </c>
      <c r="DI99" s="2" t="s">
        <v>3</v>
      </c>
      <c r="DJ99" s="2" t="s">
        <v>3</v>
      </c>
      <c r="DK99" s="2" t="s">
        <v>3</v>
      </c>
      <c r="DL99" s="2" t="s">
        <v>3</v>
      </c>
      <c r="DM99" s="2" t="s">
        <v>3</v>
      </c>
      <c r="DN99" s="2">
        <v>0</v>
      </c>
      <c r="DO99" s="2">
        <v>0</v>
      </c>
      <c r="DP99" s="2">
        <v>1</v>
      </c>
      <c r="DQ99" s="2">
        <v>1</v>
      </c>
      <c r="DR99" s="2"/>
      <c r="DS99" s="2"/>
      <c r="DT99" s="2"/>
      <c r="DU99" s="2">
        <v>1003</v>
      </c>
      <c r="DV99" s="2" t="s">
        <v>163</v>
      </c>
      <c r="DW99" s="2" t="s">
        <v>163</v>
      </c>
      <c r="DX99" s="2">
        <v>1</v>
      </c>
      <c r="DY99" s="2"/>
      <c r="DZ99" s="2" t="s">
        <v>3</v>
      </c>
      <c r="EA99" s="2" t="s">
        <v>3</v>
      </c>
      <c r="EB99" s="2" t="s">
        <v>3</v>
      </c>
      <c r="EC99" s="2" t="s">
        <v>3</v>
      </c>
      <c r="ED99" s="2"/>
      <c r="EE99" s="2">
        <v>58162630</v>
      </c>
      <c r="EF99" s="2">
        <v>40</v>
      </c>
      <c r="EG99" s="2" t="s">
        <v>25</v>
      </c>
      <c r="EH99" s="2">
        <v>0</v>
      </c>
      <c r="EI99" s="2" t="s">
        <v>3</v>
      </c>
      <c r="EJ99" s="2">
        <v>2</v>
      </c>
      <c r="EK99" s="2">
        <v>68</v>
      </c>
      <c r="EL99" s="2" t="s">
        <v>26</v>
      </c>
      <c r="EM99" s="2" t="s">
        <v>27</v>
      </c>
      <c r="EN99" s="2"/>
      <c r="EO99" s="2" t="s">
        <v>3</v>
      </c>
      <c r="EP99" s="2"/>
      <c r="EQ99" s="2">
        <v>0</v>
      </c>
      <c r="ER99" s="2">
        <v>4.59</v>
      </c>
      <c r="ES99" s="2">
        <v>4.59</v>
      </c>
      <c r="ET99" s="2">
        <v>0</v>
      </c>
      <c r="EU99" s="2">
        <v>0</v>
      </c>
      <c r="EV99" s="2">
        <v>0</v>
      </c>
      <c r="EW99" s="2">
        <v>0</v>
      </c>
      <c r="EX99" s="2">
        <v>0</v>
      </c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>
        <v>0</v>
      </c>
      <c r="FR99" s="2">
        <v>0</v>
      </c>
      <c r="FS99" s="2">
        <v>0</v>
      </c>
      <c r="FT99" s="2"/>
      <c r="FU99" s="2"/>
      <c r="FV99" s="2"/>
      <c r="FW99" s="2"/>
      <c r="FX99" s="2">
        <v>90</v>
      </c>
      <c r="FY99" s="2">
        <v>46</v>
      </c>
      <c r="FZ99" s="2"/>
      <c r="GA99" s="2" t="s">
        <v>3</v>
      </c>
      <c r="GB99" s="2"/>
      <c r="GC99" s="2"/>
      <c r="GD99" s="2">
        <v>1</v>
      </c>
      <c r="GE99" s="2"/>
      <c r="GF99" s="2">
        <v>1515925975</v>
      </c>
      <c r="GG99" s="2">
        <v>2</v>
      </c>
      <c r="GH99" s="2">
        <v>1</v>
      </c>
      <c r="GI99" s="2">
        <v>-2</v>
      </c>
      <c r="GJ99" s="2">
        <v>0</v>
      </c>
      <c r="GK99" s="2">
        <v>0</v>
      </c>
      <c r="GL99" s="2">
        <f t="shared" si="90"/>
        <v>0</v>
      </c>
      <c r="GM99" s="2">
        <f t="shared" si="91"/>
        <v>163.86</v>
      </c>
      <c r="GN99" s="2">
        <f t="shared" si="92"/>
        <v>0</v>
      </c>
      <c r="GO99" s="2">
        <f t="shared" si="93"/>
        <v>163.86</v>
      </c>
      <c r="GP99" s="2">
        <f t="shared" si="94"/>
        <v>0</v>
      </c>
      <c r="GQ99" s="2"/>
      <c r="GR99" s="2">
        <v>0</v>
      </c>
      <c r="GS99" s="2">
        <v>3</v>
      </c>
      <c r="GT99" s="2">
        <v>0</v>
      </c>
      <c r="GU99" s="2" t="s">
        <v>3</v>
      </c>
      <c r="GV99" s="2">
        <f t="shared" si="95"/>
        <v>0</v>
      </c>
      <c r="GW99" s="2">
        <v>1</v>
      </c>
      <c r="GX99" s="2">
        <f t="shared" si="96"/>
        <v>0</v>
      </c>
      <c r="GY99" s="2"/>
      <c r="GZ99" s="2"/>
      <c r="HA99" s="2">
        <v>0</v>
      </c>
      <c r="HB99" s="2">
        <v>0</v>
      </c>
      <c r="HC99" s="2">
        <f t="shared" si="97"/>
        <v>0</v>
      </c>
      <c r="HD99" s="2"/>
      <c r="HE99" s="2" t="s">
        <v>3</v>
      </c>
      <c r="HF99" s="2" t="s">
        <v>3</v>
      </c>
      <c r="HG99" s="2"/>
      <c r="HH99" s="2"/>
      <c r="HI99" s="2"/>
      <c r="HJ99" s="2"/>
      <c r="HK99" s="2"/>
      <c r="HL99" s="2"/>
      <c r="HM99" s="2" t="s">
        <v>3</v>
      </c>
      <c r="HN99" s="2" t="s">
        <v>3</v>
      </c>
      <c r="HO99" s="2" t="s">
        <v>3</v>
      </c>
      <c r="HP99" s="2" t="s">
        <v>3</v>
      </c>
      <c r="HQ99" s="2" t="s">
        <v>3</v>
      </c>
      <c r="HR99" s="2"/>
      <c r="HS99" s="2">
        <v>0</v>
      </c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>
        <v>0</v>
      </c>
      <c r="IL99" s="2"/>
      <c r="IM99" s="2"/>
      <c r="IN99" s="2"/>
      <c r="IO99" s="2"/>
      <c r="IP99" s="2"/>
      <c r="IQ99" s="2"/>
      <c r="IR99" s="2"/>
      <c r="IS99" s="2"/>
      <c r="IT99" s="2"/>
      <c r="IU99" s="2"/>
    </row>
    <row r="100" spans="1:255" x14ac:dyDescent="0.3">
      <c r="A100">
        <v>18</v>
      </c>
      <c r="B100">
        <v>1</v>
      </c>
      <c r="E100" t="s">
        <v>160</v>
      </c>
      <c r="F100" t="s">
        <v>161</v>
      </c>
      <c r="G100" t="s">
        <v>162</v>
      </c>
      <c r="H100" t="s">
        <v>163</v>
      </c>
      <c r="I100">
        <f>I98*J100</f>
        <v>35.700000000000003</v>
      </c>
      <c r="J100">
        <v>10.656716417910449</v>
      </c>
      <c r="K100">
        <v>10.656716400000001</v>
      </c>
      <c r="O100">
        <f t="shared" si="66"/>
        <v>961.86</v>
      </c>
      <c r="P100">
        <f t="shared" si="67"/>
        <v>961.86</v>
      </c>
      <c r="Q100">
        <f t="shared" si="98"/>
        <v>0</v>
      </c>
      <c r="R100">
        <f t="shared" si="68"/>
        <v>0</v>
      </c>
      <c r="S100">
        <f t="shared" si="69"/>
        <v>0</v>
      </c>
      <c r="T100">
        <f t="shared" si="70"/>
        <v>0</v>
      </c>
      <c r="U100">
        <f t="shared" si="71"/>
        <v>0</v>
      </c>
      <c r="V100">
        <f t="shared" si="72"/>
        <v>0</v>
      </c>
      <c r="W100">
        <f t="shared" si="73"/>
        <v>0</v>
      </c>
      <c r="X100">
        <f t="shared" si="74"/>
        <v>0</v>
      </c>
      <c r="Y100">
        <f t="shared" si="75"/>
        <v>0</v>
      </c>
      <c r="AA100">
        <v>56511235</v>
      </c>
      <c r="AB100">
        <f t="shared" si="76"/>
        <v>4.59</v>
      </c>
      <c r="AC100">
        <f t="shared" si="77"/>
        <v>4.59</v>
      </c>
      <c r="AD100">
        <f t="shared" si="99"/>
        <v>0</v>
      </c>
      <c r="AE100">
        <f t="shared" si="100"/>
        <v>0</v>
      </c>
      <c r="AF100">
        <f t="shared" si="101"/>
        <v>0</v>
      </c>
      <c r="AG100">
        <f t="shared" si="78"/>
        <v>0</v>
      </c>
      <c r="AH100">
        <f t="shared" si="102"/>
        <v>0</v>
      </c>
      <c r="AI100">
        <f t="shared" si="103"/>
        <v>0</v>
      </c>
      <c r="AJ100">
        <f t="shared" si="79"/>
        <v>0</v>
      </c>
      <c r="AK100">
        <v>4.59</v>
      </c>
      <c r="AL100">
        <v>4.59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90</v>
      </c>
      <c r="AU100">
        <v>46</v>
      </c>
      <c r="AV100">
        <v>1</v>
      </c>
      <c r="AW100">
        <v>1</v>
      </c>
      <c r="AZ100">
        <v>1</v>
      </c>
      <c r="BA100">
        <v>1</v>
      </c>
      <c r="BB100">
        <v>1</v>
      </c>
      <c r="BC100">
        <v>5.87</v>
      </c>
      <c r="BD100" t="s">
        <v>3</v>
      </c>
      <c r="BE100" t="s">
        <v>3</v>
      </c>
      <c r="BF100" t="s">
        <v>3</v>
      </c>
      <c r="BG100" t="s">
        <v>3</v>
      </c>
      <c r="BH100">
        <v>3</v>
      </c>
      <c r="BI100">
        <v>2</v>
      </c>
      <c r="BJ100" t="s">
        <v>164</v>
      </c>
      <c r="BM100">
        <v>68</v>
      </c>
      <c r="BN100">
        <v>0</v>
      </c>
      <c r="BO100" t="s">
        <v>161</v>
      </c>
      <c r="BP100">
        <v>1</v>
      </c>
      <c r="BQ100">
        <v>40</v>
      </c>
      <c r="BR100">
        <v>0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 t="s">
        <v>3</v>
      </c>
      <c r="BZ100">
        <v>90</v>
      </c>
      <c r="CA100">
        <v>46</v>
      </c>
      <c r="CB100" t="s">
        <v>3</v>
      </c>
      <c r="CE100">
        <v>30</v>
      </c>
      <c r="CF100">
        <v>0</v>
      </c>
      <c r="CG100">
        <v>0</v>
      </c>
      <c r="CM100">
        <v>0</v>
      </c>
      <c r="CN100" t="s">
        <v>3</v>
      </c>
      <c r="CO100">
        <v>0</v>
      </c>
      <c r="CP100">
        <f t="shared" si="80"/>
        <v>961.86</v>
      </c>
      <c r="CQ100">
        <f t="shared" si="81"/>
        <v>26.94</v>
      </c>
      <c r="CR100">
        <f t="shared" si="104"/>
        <v>0</v>
      </c>
      <c r="CS100">
        <f t="shared" si="82"/>
        <v>0</v>
      </c>
      <c r="CT100">
        <f t="shared" si="83"/>
        <v>0</v>
      </c>
      <c r="CU100">
        <f t="shared" si="84"/>
        <v>0</v>
      </c>
      <c r="CV100">
        <f t="shared" si="85"/>
        <v>0</v>
      </c>
      <c r="CW100">
        <f t="shared" si="86"/>
        <v>0</v>
      </c>
      <c r="CX100">
        <f t="shared" si="87"/>
        <v>0</v>
      </c>
      <c r="CY100">
        <f t="shared" si="88"/>
        <v>0</v>
      </c>
      <c r="CZ100">
        <f t="shared" si="89"/>
        <v>0</v>
      </c>
      <c r="DC100" t="s">
        <v>3</v>
      </c>
      <c r="DD100" t="s">
        <v>3</v>
      </c>
      <c r="DE100" t="s">
        <v>3</v>
      </c>
      <c r="DF100" t="s">
        <v>3</v>
      </c>
      <c r="DG100" t="s">
        <v>3</v>
      </c>
      <c r="DH100" t="s">
        <v>3</v>
      </c>
      <c r="DI100" t="s">
        <v>3</v>
      </c>
      <c r="DJ100" t="s">
        <v>3</v>
      </c>
      <c r="DK100" t="s">
        <v>3</v>
      </c>
      <c r="DL100" t="s">
        <v>3</v>
      </c>
      <c r="DM100" t="s">
        <v>3</v>
      </c>
      <c r="DN100">
        <v>0</v>
      </c>
      <c r="DO100">
        <v>0</v>
      </c>
      <c r="DP100">
        <v>1</v>
      </c>
      <c r="DQ100">
        <v>1</v>
      </c>
      <c r="DU100">
        <v>1003</v>
      </c>
      <c r="DV100" t="s">
        <v>163</v>
      </c>
      <c r="DW100" t="s">
        <v>163</v>
      </c>
      <c r="DX100">
        <v>1</v>
      </c>
      <c r="DZ100" t="s">
        <v>3</v>
      </c>
      <c r="EA100" t="s">
        <v>3</v>
      </c>
      <c r="EB100" t="s">
        <v>3</v>
      </c>
      <c r="EC100" t="s">
        <v>3</v>
      </c>
      <c r="EE100">
        <v>58162630</v>
      </c>
      <c r="EF100">
        <v>40</v>
      </c>
      <c r="EG100" t="s">
        <v>25</v>
      </c>
      <c r="EH100">
        <v>0</v>
      </c>
      <c r="EI100" t="s">
        <v>3</v>
      </c>
      <c r="EJ100">
        <v>2</v>
      </c>
      <c r="EK100">
        <v>68</v>
      </c>
      <c r="EL100" t="s">
        <v>26</v>
      </c>
      <c r="EM100" t="s">
        <v>27</v>
      </c>
      <c r="EO100" t="s">
        <v>3</v>
      </c>
      <c r="EQ100">
        <v>0</v>
      </c>
      <c r="ER100">
        <v>4.59</v>
      </c>
      <c r="ES100">
        <v>4.59</v>
      </c>
      <c r="ET100">
        <v>0</v>
      </c>
      <c r="EU100">
        <v>0</v>
      </c>
      <c r="EV100">
        <v>0</v>
      </c>
      <c r="EW100">
        <v>0</v>
      </c>
      <c r="EX100">
        <v>0</v>
      </c>
      <c r="FQ100">
        <v>0</v>
      </c>
      <c r="FR100">
        <v>0</v>
      </c>
      <c r="FS100">
        <v>0</v>
      </c>
      <c r="FX100">
        <v>90</v>
      </c>
      <c r="FY100">
        <v>46</v>
      </c>
      <c r="GA100" t="s">
        <v>3</v>
      </c>
      <c r="GD100">
        <v>1</v>
      </c>
      <c r="GF100">
        <v>1515925975</v>
      </c>
      <c r="GG100">
        <v>2</v>
      </c>
      <c r="GH100">
        <v>1</v>
      </c>
      <c r="GI100">
        <v>2</v>
      </c>
      <c r="GJ100">
        <v>0</v>
      </c>
      <c r="GK100">
        <v>0</v>
      </c>
      <c r="GL100">
        <f t="shared" si="90"/>
        <v>0</v>
      </c>
      <c r="GM100">
        <f t="shared" si="91"/>
        <v>961.86</v>
      </c>
      <c r="GN100">
        <f t="shared" si="92"/>
        <v>0</v>
      </c>
      <c r="GO100">
        <f t="shared" si="93"/>
        <v>961.86</v>
      </c>
      <c r="GP100">
        <f t="shared" si="94"/>
        <v>0</v>
      </c>
      <c r="GR100">
        <v>0</v>
      </c>
      <c r="GS100">
        <v>3</v>
      </c>
      <c r="GT100">
        <v>0</v>
      </c>
      <c r="GU100" t="s">
        <v>3</v>
      </c>
      <c r="GV100">
        <f t="shared" si="95"/>
        <v>0</v>
      </c>
      <c r="GW100">
        <v>1</v>
      </c>
      <c r="GX100">
        <f t="shared" si="96"/>
        <v>0</v>
      </c>
      <c r="HA100">
        <v>0</v>
      </c>
      <c r="HB100">
        <v>0</v>
      </c>
      <c r="HC100">
        <f t="shared" si="97"/>
        <v>0</v>
      </c>
      <c r="HE100" t="s">
        <v>3</v>
      </c>
      <c r="HF100" t="s">
        <v>3</v>
      </c>
      <c r="HM100" t="s">
        <v>3</v>
      </c>
      <c r="HN100" t="s">
        <v>3</v>
      </c>
      <c r="HO100" t="s">
        <v>3</v>
      </c>
      <c r="HP100" t="s">
        <v>3</v>
      </c>
      <c r="HQ100" t="s">
        <v>3</v>
      </c>
      <c r="HS100">
        <v>0</v>
      </c>
      <c r="IK100">
        <v>0</v>
      </c>
    </row>
    <row r="101" spans="1:255" x14ac:dyDescent="0.3">
      <c r="A101" s="2">
        <v>18</v>
      </c>
      <c r="B101" s="2">
        <v>1</v>
      </c>
      <c r="C101" s="2"/>
      <c r="D101" s="2"/>
      <c r="E101" s="2" t="s">
        <v>165</v>
      </c>
      <c r="F101" s="2" t="s">
        <v>166</v>
      </c>
      <c r="G101" s="2" t="s">
        <v>167</v>
      </c>
      <c r="H101" s="2" t="s">
        <v>163</v>
      </c>
      <c r="I101" s="2">
        <f>I97*J101</f>
        <v>306</v>
      </c>
      <c r="J101" s="2">
        <v>91.343283582089555</v>
      </c>
      <c r="K101" s="2">
        <v>91.343283600000007</v>
      </c>
      <c r="L101" s="2"/>
      <c r="M101" s="2"/>
      <c r="N101" s="2"/>
      <c r="O101" s="2">
        <f t="shared" si="66"/>
        <v>1768.68</v>
      </c>
      <c r="P101" s="2">
        <f t="shared" si="67"/>
        <v>1768.68</v>
      </c>
      <c r="Q101" s="2">
        <f t="shared" si="98"/>
        <v>0</v>
      </c>
      <c r="R101" s="2">
        <f t="shared" si="68"/>
        <v>0</v>
      </c>
      <c r="S101" s="2">
        <f t="shared" si="69"/>
        <v>0</v>
      </c>
      <c r="T101" s="2">
        <f t="shared" si="70"/>
        <v>0</v>
      </c>
      <c r="U101" s="2">
        <f t="shared" si="71"/>
        <v>0</v>
      </c>
      <c r="V101" s="2">
        <f t="shared" si="72"/>
        <v>0</v>
      </c>
      <c r="W101" s="2">
        <f t="shared" si="73"/>
        <v>0</v>
      </c>
      <c r="X101" s="2">
        <f t="shared" si="74"/>
        <v>0</v>
      </c>
      <c r="Y101" s="2">
        <f t="shared" si="75"/>
        <v>0</v>
      </c>
      <c r="Z101" s="2"/>
      <c r="AA101" s="2">
        <v>56511233</v>
      </c>
      <c r="AB101" s="2">
        <f t="shared" si="76"/>
        <v>5.78</v>
      </c>
      <c r="AC101" s="2">
        <f t="shared" si="77"/>
        <v>5.78</v>
      </c>
      <c r="AD101" s="2">
        <f t="shared" si="99"/>
        <v>0</v>
      </c>
      <c r="AE101" s="2">
        <f t="shared" si="100"/>
        <v>0</v>
      </c>
      <c r="AF101" s="2">
        <f t="shared" si="101"/>
        <v>0</v>
      </c>
      <c r="AG101" s="2">
        <f t="shared" si="78"/>
        <v>0</v>
      </c>
      <c r="AH101" s="2">
        <f t="shared" si="102"/>
        <v>0</v>
      </c>
      <c r="AI101" s="2">
        <f t="shared" si="103"/>
        <v>0</v>
      </c>
      <c r="AJ101" s="2">
        <f t="shared" si="79"/>
        <v>0</v>
      </c>
      <c r="AK101" s="2">
        <v>5.78</v>
      </c>
      <c r="AL101" s="2">
        <v>5.78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90</v>
      </c>
      <c r="AU101" s="2">
        <v>46</v>
      </c>
      <c r="AV101" s="2">
        <v>1</v>
      </c>
      <c r="AW101" s="2">
        <v>1</v>
      </c>
      <c r="AX101" s="2"/>
      <c r="AY101" s="2"/>
      <c r="AZ101" s="2">
        <v>1</v>
      </c>
      <c r="BA101" s="2">
        <v>1</v>
      </c>
      <c r="BB101" s="2">
        <v>1</v>
      </c>
      <c r="BC101" s="2">
        <v>1</v>
      </c>
      <c r="BD101" s="2" t="s">
        <v>3</v>
      </c>
      <c r="BE101" s="2" t="s">
        <v>3</v>
      </c>
      <c r="BF101" s="2" t="s">
        <v>3</v>
      </c>
      <c r="BG101" s="2" t="s">
        <v>3</v>
      </c>
      <c r="BH101" s="2">
        <v>3</v>
      </c>
      <c r="BI101" s="2">
        <v>2</v>
      </c>
      <c r="BJ101" s="2" t="s">
        <v>168</v>
      </c>
      <c r="BK101" s="2"/>
      <c r="BL101" s="2"/>
      <c r="BM101" s="2">
        <v>68</v>
      </c>
      <c r="BN101" s="2">
        <v>0</v>
      </c>
      <c r="BO101" s="2" t="s">
        <v>3</v>
      </c>
      <c r="BP101" s="2">
        <v>0</v>
      </c>
      <c r="BQ101" s="2">
        <v>40</v>
      </c>
      <c r="BR101" s="2">
        <v>0</v>
      </c>
      <c r="BS101" s="2">
        <v>1</v>
      </c>
      <c r="BT101" s="2">
        <v>1</v>
      </c>
      <c r="BU101" s="2">
        <v>1</v>
      </c>
      <c r="BV101" s="2">
        <v>1</v>
      </c>
      <c r="BW101" s="2">
        <v>1</v>
      </c>
      <c r="BX101" s="2">
        <v>1</v>
      </c>
      <c r="BY101" s="2" t="s">
        <v>3</v>
      </c>
      <c r="BZ101" s="2">
        <v>90</v>
      </c>
      <c r="CA101" s="2">
        <v>46</v>
      </c>
      <c r="CB101" s="2" t="s">
        <v>3</v>
      </c>
      <c r="CC101" s="2"/>
      <c r="CD101" s="2"/>
      <c r="CE101" s="2">
        <v>30</v>
      </c>
      <c r="CF101" s="2">
        <v>0</v>
      </c>
      <c r="CG101" s="2">
        <v>0</v>
      </c>
      <c r="CH101" s="2"/>
      <c r="CI101" s="2"/>
      <c r="CJ101" s="2"/>
      <c r="CK101" s="2"/>
      <c r="CL101" s="2"/>
      <c r="CM101" s="2">
        <v>0</v>
      </c>
      <c r="CN101" s="2" t="s">
        <v>3</v>
      </c>
      <c r="CO101" s="2">
        <v>0</v>
      </c>
      <c r="CP101" s="2">
        <f t="shared" si="80"/>
        <v>1768.68</v>
      </c>
      <c r="CQ101" s="2">
        <f t="shared" si="81"/>
        <v>5.78</v>
      </c>
      <c r="CR101" s="2">
        <f t="shared" si="104"/>
        <v>0</v>
      </c>
      <c r="CS101" s="2">
        <f t="shared" si="82"/>
        <v>0</v>
      </c>
      <c r="CT101" s="2">
        <f t="shared" si="83"/>
        <v>0</v>
      </c>
      <c r="CU101" s="2">
        <f t="shared" si="84"/>
        <v>0</v>
      </c>
      <c r="CV101" s="2">
        <f t="shared" si="85"/>
        <v>0</v>
      </c>
      <c r="CW101" s="2">
        <f t="shared" si="86"/>
        <v>0</v>
      </c>
      <c r="CX101" s="2">
        <f t="shared" si="87"/>
        <v>0</v>
      </c>
      <c r="CY101" s="2">
        <f t="shared" si="88"/>
        <v>0</v>
      </c>
      <c r="CZ101" s="2">
        <f t="shared" si="89"/>
        <v>0</v>
      </c>
      <c r="DA101" s="2"/>
      <c r="DB101" s="2"/>
      <c r="DC101" s="2" t="s">
        <v>3</v>
      </c>
      <c r="DD101" s="2" t="s">
        <v>3</v>
      </c>
      <c r="DE101" s="2" t="s">
        <v>3</v>
      </c>
      <c r="DF101" s="2" t="s">
        <v>3</v>
      </c>
      <c r="DG101" s="2" t="s">
        <v>3</v>
      </c>
      <c r="DH101" s="2" t="s">
        <v>3</v>
      </c>
      <c r="DI101" s="2" t="s">
        <v>3</v>
      </c>
      <c r="DJ101" s="2" t="s">
        <v>3</v>
      </c>
      <c r="DK101" s="2" t="s">
        <v>3</v>
      </c>
      <c r="DL101" s="2" t="s">
        <v>3</v>
      </c>
      <c r="DM101" s="2" t="s">
        <v>3</v>
      </c>
      <c r="DN101" s="2">
        <v>0</v>
      </c>
      <c r="DO101" s="2">
        <v>0</v>
      </c>
      <c r="DP101" s="2">
        <v>1</v>
      </c>
      <c r="DQ101" s="2">
        <v>1</v>
      </c>
      <c r="DR101" s="2"/>
      <c r="DS101" s="2"/>
      <c r="DT101" s="2"/>
      <c r="DU101" s="2">
        <v>1003</v>
      </c>
      <c r="DV101" s="2" t="s">
        <v>163</v>
      </c>
      <c r="DW101" s="2" t="s">
        <v>163</v>
      </c>
      <c r="DX101" s="2">
        <v>1</v>
      </c>
      <c r="DY101" s="2"/>
      <c r="DZ101" s="2" t="s">
        <v>3</v>
      </c>
      <c r="EA101" s="2" t="s">
        <v>3</v>
      </c>
      <c r="EB101" s="2" t="s">
        <v>3</v>
      </c>
      <c r="EC101" s="2" t="s">
        <v>3</v>
      </c>
      <c r="ED101" s="2"/>
      <c r="EE101" s="2">
        <v>58162630</v>
      </c>
      <c r="EF101" s="2">
        <v>40</v>
      </c>
      <c r="EG101" s="2" t="s">
        <v>25</v>
      </c>
      <c r="EH101" s="2">
        <v>0</v>
      </c>
      <c r="EI101" s="2" t="s">
        <v>3</v>
      </c>
      <c r="EJ101" s="2">
        <v>2</v>
      </c>
      <c r="EK101" s="2">
        <v>68</v>
      </c>
      <c r="EL101" s="2" t="s">
        <v>26</v>
      </c>
      <c r="EM101" s="2" t="s">
        <v>27</v>
      </c>
      <c r="EN101" s="2"/>
      <c r="EO101" s="2" t="s">
        <v>3</v>
      </c>
      <c r="EP101" s="2"/>
      <c r="EQ101" s="2">
        <v>0</v>
      </c>
      <c r="ER101" s="2">
        <v>5.78</v>
      </c>
      <c r="ES101" s="2">
        <v>5.78</v>
      </c>
      <c r="ET101" s="2">
        <v>0</v>
      </c>
      <c r="EU101" s="2">
        <v>0</v>
      </c>
      <c r="EV101" s="2">
        <v>0</v>
      </c>
      <c r="EW101" s="2">
        <v>0</v>
      </c>
      <c r="EX101" s="2">
        <v>0</v>
      </c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>
        <v>0</v>
      </c>
      <c r="FR101" s="2">
        <v>0</v>
      </c>
      <c r="FS101" s="2">
        <v>0</v>
      </c>
      <c r="FT101" s="2"/>
      <c r="FU101" s="2"/>
      <c r="FV101" s="2"/>
      <c r="FW101" s="2"/>
      <c r="FX101" s="2">
        <v>90</v>
      </c>
      <c r="FY101" s="2">
        <v>46</v>
      </c>
      <c r="FZ101" s="2"/>
      <c r="GA101" s="2" t="s">
        <v>3</v>
      </c>
      <c r="GB101" s="2"/>
      <c r="GC101" s="2"/>
      <c r="GD101" s="2">
        <v>1</v>
      </c>
      <c r="GE101" s="2"/>
      <c r="GF101" s="2">
        <v>-2129111418</v>
      </c>
      <c r="GG101" s="2">
        <v>2</v>
      </c>
      <c r="GH101" s="2">
        <v>1</v>
      </c>
      <c r="GI101" s="2">
        <v>-2</v>
      </c>
      <c r="GJ101" s="2">
        <v>0</v>
      </c>
      <c r="GK101" s="2">
        <v>0</v>
      </c>
      <c r="GL101" s="2">
        <f t="shared" si="90"/>
        <v>0</v>
      </c>
      <c r="GM101" s="2">
        <f t="shared" si="91"/>
        <v>1768.68</v>
      </c>
      <c r="GN101" s="2">
        <f t="shared" si="92"/>
        <v>0</v>
      </c>
      <c r="GO101" s="2">
        <f t="shared" si="93"/>
        <v>1768.68</v>
      </c>
      <c r="GP101" s="2">
        <f t="shared" si="94"/>
        <v>0</v>
      </c>
      <c r="GQ101" s="2"/>
      <c r="GR101" s="2">
        <v>0</v>
      </c>
      <c r="GS101" s="2">
        <v>3</v>
      </c>
      <c r="GT101" s="2">
        <v>0</v>
      </c>
      <c r="GU101" s="2" t="s">
        <v>3</v>
      </c>
      <c r="GV101" s="2">
        <f t="shared" si="95"/>
        <v>0</v>
      </c>
      <c r="GW101" s="2">
        <v>1</v>
      </c>
      <c r="GX101" s="2">
        <f t="shared" si="96"/>
        <v>0</v>
      </c>
      <c r="GY101" s="2"/>
      <c r="GZ101" s="2"/>
      <c r="HA101" s="2">
        <v>0</v>
      </c>
      <c r="HB101" s="2">
        <v>0</v>
      </c>
      <c r="HC101" s="2">
        <f t="shared" si="97"/>
        <v>0</v>
      </c>
      <c r="HD101" s="2"/>
      <c r="HE101" s="2" t="s">
        <v>3</v>
      </c>
      <c r="HF101" s="2" t="s">
        <v>3</v>
      </c>
      <c r="HG101" s="2"/>
      <c r="HH101" s="2"/>
      <c r="HI101" s="2"/>
      <c r="HJ101" s="2"/>
      <c r="HK101" s="2"/>
      <c r="HL101" s="2"/>
      <c r="HM101" s="2" t="s">
        <v>3</v>
      </c>
      <c r="HN101" s="2" t="s">
        <v>3</v>
      </c>
      <c r="HO101" s="2" t="s">
        <v>3</v>
      </c>
      <c r="HP101" s="2" t="s">
        <v>3</v>
      </c>
      <c r="HQ101" s="2" t="s">
        <v>3</v>
      </c>
      <c r="HR101" s="2"/>
      <c r="HS101" s="2">
        <v>0</v>
      </c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>
        <v>0</v>
      </c>
      <c r="IL101" s="2"/>
      <c r="IM101" s="2"/>
      <c r="IN101" s="2"/>
      <c r="IO101" s="2"/>
      <c r="IP101" s="2"/>
      <c r="IQ101" s="2"/>
      <c r="IR101" s="2"/>
      <c r="IS101" s="2"/>
      <c r="IT101" s="2"/>
      <c r="IU101" s="2"/>
    </row>
    <row r="102" spans="1:255" x14ac:dyDescent="0.3">
      <c r="A102">
        <v>18</v>
      </c>
      <c r="B102">
        <v>1</v>
      </c>
      <c r="E102" t="s">
        <v>165</v>
      </c>
      <c r="F102" t="s">
        <v>166</v>
      </c>
      <c r="G102" t="s">
        <v>167</v>
      </c>
      <c r="H102" t="s">
        <v>163</v>
      </c>
      <c r="I102">
        <f>I98*J102</f>
        <v>306</v>
      </c>
      <c r="J102">
        <v>91.343283582089555</v>
      </c>
      <c r="K102">
        <v>91.343283600000007</v>
      </c>
      <c r="O102">
        <f t="shared" si="66"/>
        <v>10859.7</v>
      </c>
      <c r="P102">
        <f t="shared" si="67"/>
        <v>10859.7</v>
      </c>
      <c r="Q102">
        <f t="shared" si="98"/>
        <v>0</v>
      </c>
      <c r="R102">
        <f t="shared" si="68"/>
        <v>0</v>
      </c>
      <c r="S102">
        <f t="shared" si="69"/>
        <v>0</v>
      </c>
      <c r="T102">
        <f t="shared" si="70"/>
        <v>0</v>
      </c>
      <c r="U102">
        <f t="shared" si="71"/>
        <v>0</v>
      </c>
      <c r="V102">
        <f t="shared" si="72"/>
        <v>0</v>
      </c>
      <c r="W102">
        <f t="shared" si="73"/>
        <v>0</v>
      </c>
      <c r="X102">
        <f t="shared" si="74"/>
        <v>0</v>
      </c>
      <c r="Y102">
        <f t="shared" si="75"/>
        <v>0</v>
      </c>
      <c r="AA102">
        <v>56511235</v>
      </c>
      <c r="AB102">
        <f t="shared" si="76"/>
        <v>5.78</v>
      </c>
      <c r="AC102">
        <f t="shared" si="77"/>
        <v>5.78</v>
      </c>
      <c r="AD102">
        <f t="shared" si="99"/>
        <v>0</v>
      </c>
      <c r="AE102">
        <f t="shared" si="100"/>
        <v>0</v>
      </c>
      <c r="AF102">
        <f t="shared" si="101"/>
        <v>0</v>
      </c>
      <c r="AG102">
        <f t="shared" si="78"/>
        <v>0</v>
      </c>
      <c r="AH102">
        <f t="shared" si="102"/>
        <v>0</v>
      </c>
      <c r="AI102">
        <f t="shared" si="103"/>
        <v>0</v>
      </c>
      <c r="AJ102">
        <f t="shared" si="79"/>
        <v>0</v>
      </c>
      <c r="AK102">
        <v>5.78</v>
      </c>
      <c r="AL102">
        <v>5.78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90</v>
      </c>
      <c r="AU102">
        <v>46</v>
      </c>
      <c r="AV102">
        <v>1</v>
      </c>
      <c r="AW102">
        <v>1</v>
      </c>
      <c r="AZ102">
        <v>1</v>
      </c>
      <c r="BA102">
        <v>1</v>
      </c>
      <c r="BB102">
        <v>1</v>
      </c>
      <c r="BC102">
        <v>6.14</v>
      </c>
      <c r="BD102" t="s">
        <v>3</v>
      </c>
      <c r="BE102" t="s">
        <v>3</v>
      </c>
      <c r="BF102" t="s">
        <v>3</v>
      </c>
      <c r="BG102" t="s">
        <v>3</v>
      </c>
      <c r="BH102">
        <v>3</v>
      </c>
      <c r="BI102">
        <v>2</v>
      </c>
      <c r="BJ102" t="s">
        <v>168</v>
      </c>
      <c r="BM102">
        <v>68</v>
      </c>
      <c r="BN102">
        <v>0</v>
      </c>
      <c r="BO102" t="s">
        <v>166</v>
      </c>
      <c r="BP102">
        <v>1</v>
      </c>
      <c r="BQ102">
        <v>40</v>
      </c>
      <c r="BR102">
        <v>0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 t="s">
        <v>3</v>
      </c>
      <c r="BZ102">
        <v>90</v>
      </c>
      <c r="CA102">
        <v>46</v>
      </c>
      <c r="CB102" t="s">
        <v>3</v>
      </c>
      <c r="CE102">
        <v>30</v>
      </c>
      <c r="CF102">
        <v>0</v>
      </c>
      <c r="CG102">
        <v>0</v>
      </c>
      <c r="CM102">
        <v>0</v>
      </c>
      <c r="CN102" t="s">
        <v>3</v>
      </c>
      <c r="CO102">
        <v>0</v>
      </c>
      <c r="CP102">
        <f t="shared" si="80"/>
        <v>10859.7</v>
      </c>
      <c r="CQ102">
        <f t="shared" si="81"/>
        <v>35.49</v>
      </c>
      <c r="CR102">
        <f t="shared" si="104"/>
        <v>0</v>
      </c>
      <c r="CS102">
        <f t="shared" si="82"/>
        <v>0</v>
      </c>
      <c r="CT102">
        <f t="shared" si="83"/>
        <v>0</v>
      </c>
      <c r="CU102">
        <f t="shared" si="84"/>
        <v>0</v>
      </c>
      <c r="CV102">
        <f t="shared" si="85"/>
        <v>0</v>
      </c>
      <c r="CW102">
        <f t="shared" si="86"/>
        <v>0</v>
      </c>
      <c r="CX102">
        <f t="shared" si="87"/>
        <v>0</v>
      </c>
      <c r="CY102">
        <f t="shared" si="88"/>
        <v>0</v>
      </c>
      <c r="CZ102">
        <f t="shared" si="89"/>
        <v>0</v>
      </c>
      <c r="DC102" t="s">
        <v>3</v>
      </c>
      <c r="DD102" t="s">
        <v>3</v>
      </c>
      <c r="DE102" t="s">
        <v>3</v>
      </c>
      <c r="DF102" t="s">
        <v>3</v>
      </c>
      <c r="DG102" t="s">
        <v>3</v>
      </c>
      <c r="DH102" t="s">
        <v>3</v>
      </c>
      <c r="DI102" t="s">
        <v>3</v>
      </c>
      <c r="DJ102" t="s">
        <v>3</v>
      </c>
      <c r="DK102" t="s">
        <v>3</v>
      </c>
      <c r="DL102" t="s">
        <v>3</v>
      </c>
      <c r="DM102" t="s">
        <v>3</v>
      </c>
      <c r="DN102">
        <v>0</v>
      </c>
      <c r="DO102">
        <v>0</v>
      </c>
      <c r="DP102">
        <v>1</v>
      </c>
      <c r="DQ102">
        <v>1</v>
      </c>
      <c r="DU102">
        <v>1003</v>
      </c>
      <c r="DV102" t="s">
        <v>163</v>
      </c>
      <c r="DW102" t="s">
        <v>163</v>
      </c>
      <c r="DX102">
        <v>1</v>
      </c>
      <c r="DZ102" t="s">
        <v>3</v>
      </c>
      <c r="EA102" t="s">
        <v>3</v>
      </c>
      <c r="EB102" t="s">
        <v>3</v>
      </c>
      <c r="EC102" t="s">
        <v>3</v>
      </c>
      <c r="EE102">
        <v>58162630</v>
      </c>
      <c r="EF102">
        <v>40</v>
      </c>
      <c r="EG102" t="s">
        <v>25</v>
      </c>
      <c r="EH102">
        <v>0</v>
      </c>
      <c r="EI102" t="s">
        <v>3</v>
      </c>
      <c r="EJ102">
        <v>2</v>
      </c>
      <c r="EK102">
        <v>68</v>
      </c>
      <c r="EL102" t="s">
        <v>26</v>
      </c>
      <c r="EM102" t="s">
        <v>27</v>
      </c>
      <c r="EO102" t="s">
        <v>3</v>
      </c>
      <c r="EQ102">
        <v>0</v>
      </c>
      <c r="ER102">
        <v>5.78</v>
      </c>
      <c r="ES102">
        <v>5.78</v>
      </c>
      <c r="ET102">
        <v>0</v>
      </c>
      <c r="EU102">
        <v>0</v>
      </c>
      <c r="EV102">
        <v>0</v>
      </c>
      <c r="EW102">
        <v>0</v>
      </c>
      <c r="EX102">
        <v>0</v>
      </c>
      <c r="FQ102">
        <v>0</v>
      </c>
      <c r="FR102">
        <v>0</v>
      </c>
      <c r="FS102">
        <v>0</v>
      </c>
      <c r="FX102">
        <v>90</v>
      </c>
      <c r="FY102">
        <v>46</v>
      </c>
      <c r="GA102" t="s">
        <v>3</v>
      </c>
      <c r="GD102">
        <v>1</v>
      </c>
      <c r="GF102">
        <v>-2129111418</v>
      </c>
      <c r="GG102">
        <v>2</v>
      </c>
      <c r="GH102">
        <v>1</v>
      </c>
      <c r="GI102">
        <v>2</v>
      </c>
      <c r="GJ102">
        <v>0</v>
      </c>
      <c r="GK102">
        <v>0</v>
      </c>
      <c r="GL102">
        <f t="shared" si="90"/>
        <v>0</v>
      </c>
      <c r="GM102">
        <f t="shared" si="91"/>
        <v>10859.7</v>
      </c>
      <c r="GN102">
        <f t="shared" si="92"/>
        <v>0</v>
      </c>
      <c r="GO102">
        <f t="shared" si="93"/>
        <v>10859.7</v>
      </c>
      <c r="GP102">
        <f t="shared" si="94"/>
        <v>0</v>
      </c>
      <c r="GR102">
        <v>0</v>
      </c>
      <c r="GS102">
        <v>3</v>
      </c>
      <c r="GT102">
        <v>0</v>
      </c>
      <c r="GU102" t="s">
        <v>3</v>
      </c>
      <c r="GV102">
        <f t="shared" si="95"/>
        <v>0</v>
      </c>
      <c r="GW102">
        <v>1</v>
      </c>
      <c r="GX102">
        <f t="shared" si="96"/>
        <v>0</v>
      </c>
      <c r="HA102">
        <v>0</v>
      </c>
      <c r="HB102">
        <v>0</v>
      </c>
      <c r="HC102">
        <f t="shared" si="97"/>
        <v>0</v>
      </c>
      <c r="HE102" t="s">
        <v>3</v>
      </c>
      <c r="HF102" t="s">
        <v>3</v>
      </c>
      <c r="HM102" t="s">
        <v>3</v>
      </c>
      <c r="HN102" t="s">
        <v>3</v>
      </c>
      <c r="HO102" t="s">
        <v>3</v>
      </c>
      <c r="HP102" t="s">
        <v>3</v>
      </c>
      <c r="HQ102" t="s">
        <v>3</v>
      </c>
      <c r="HS102">
        <v>0</v>
      </c>
      <c r="IK102">
        <v>0</v>
      </c>
    </row>
    <row r="103" spans="1:255" x14ac:dyDescent="0.3">
      <c r="A103" s="2">
        <v>18</v>
      </c>
      <c r="B103" s="2">
        <v>1</v>
      </c>
      <c r="C103" s="2"/>
      <c r="D103" s="2"/>
      <c r="E103" s="2" t="s">
        <v>169</v>
      </c>
      <c r="F103" s="2" t="s">
        <v>170</v>
      </c>
      <c r="G103" s="2" t="s">
        <v>171</v>
      </c>
      <c r="H103" s="2" t="s">
        <v>172</v>
      </c>
      <c r="I103" s="2">
        <f>I97*J103</f>
        <v>0.99999999999999989</v>
      </c>
      <c r="J103" s="2">
        <v>0.29850746268656714</v>
      </c>
      <c r="K103" s="2">
        <v>0.29850749999999998</v>
      </c>
      <c r="L103" s="2"/>
      <c r="M103" s="2"/>
      <c r="N103" s="2"/>
      <c r="O103" s="2">
        <f t="shared" si="66"/>
        <v>146.88999999999999</v>
      </c>
      <c r="P103" s="2">
        <f t="shared" si="67"/>
        <v>146.88999999999999</v>
      </c>
      <c r="Q103" s="2">
        <f t="shared" si="98"/>
        <v>0</v>
      </c>
      <c r="R103" s="2">
        <f t="shared" si="68"/>
        <v>0</v>
      </c>
      <c r="S103" s="2">
        <f t="shared" si="69"/>
        <v>0</v>
      </c>
      <c r="T103" s="2">
        <f t="shared" si="70"/>
        <v>0</v>
      </c>
      <c r="U103" s="2">
        <f t="shared" si="71"/>
        <v>0</v>
      </c>
      <c r="V103" s="2">
        <f t="shared" si="72"/>
        <v>0</v>
      </c>
      <c r="W103" s="2">
        <f t="shared" si="73"/>
        <v>0</v>
      </c>
      <c r="X103" s="2">
        <f t="shared" si="74"/>
        <v>0</v>
      </c>
      <c r="Y103" s="2">
        <f t="shared" si="75"/>
        <v>0</v>
      </c>
      <c r="Z103" s="2"/>
      <c r="AA103" s="2">
        <v>56511233</v>
      </c>
      <c r="AB103" s="2">
        <f t="shared" si="76"/>
        <v>146.88999999999999</v>
      </c>
      <c r="AC103" s="2">
        <f t="shared" si="77"/>
        <v>146.88999999999999</v>
      </c>
      <c r="AD103" s="2">
        <f t="shared" si="99"/>
        <v>0</v>
      </c>
      <c r="AE103" s="2">
        <f t="shared" si="100"/>
        <v>0</v>
      </c>
      <c r="AF103" s="2">
        <f t="shared" si="101"/>
        <v>0</v>
      </c>
      <c r="AG103" s="2">
        <f t="shared" si="78"/>
        <v>0</v>
      </c>
      <c r="AH103" s="2">
        <f t="shared" si="102"/>
        <v>0</v>
      </c>
      <c r="AI103" s="2">
        <f t="shared" si="103"/>
        <v>0</v>
      </c>
      <c r="AJ103" s="2">
        <f t="shared" si="79"/>
        <v>0</v>
      </c>
      <c r="AK103" s="2">
        <v>146.88999999999999</v>
      </c>
      <c r="AL103" s="2">
        <v>146.88999999999999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90</v>
      </c>
      <c r="AU103" s="2">
        <v>46</v>
      </c>
      <c r="AV103" s="2">
        <v>1</v>
      </c>
      <c r="AW103" s="2">
        <v>1</v>
      </c>
      <c r="AX103" s="2"/>
      <c r="AY103" s="2"/>
      <c r="AZ103" s="2">
        <v>1</v>
      </c>
      <c r="BA103" s="2">
        <v>1</v>
      </c>
      <c r="BB103" s="2">
        <v>1</v>
      </c>
      <c r="BC103" s="2">
        <v>1</v>
      </c>
      <c r="BD103" s="2" t="s">
        <v>3</v>
      </c>
      <c r="BE103" s="2" t="s">
        <v>3</v>
      </c>
      <c r="BF103" s="2" t="s">
        <v>3</v>
      </c>
      <c r="BG103" s="2" t="s">
        <v>3</v>
      </c>
      <c r="BH103" s="2">
        <v>3</v>
      </c>
      <c r="BI103" s="2">
        <v>2</v>
      </c>
      <c r="BJ103" s="2" t="s">
        <v>173</v>
      </c>
      <c r="BK103" s="2"/>
      <c r="BL103" s="2"/>
      <c r="BM103" s="2">
        <v>68</v>
      </c>
      <c r="BN103" s="2">
        <v>0</v>
      </c>
      <c r="BO103" s="2" t="s">
        <v>3</v>
      </c>
      <c r="BP103" s="2">
        <v>0</v>
      </c>
      <c r="BQ103" s="2">
        <v>40</v>
      </c>
      <c r="BR103" s="2">
        <v>0</v>
      </c>
      <c r="BS103" s="2">
        <v>1</v>
      </c>
      <c r="BT103" s="2">
        <v>1</v>
      </c>
      <c r="BU103" s="2">
        <v>1</v>
      </c>
      <c r="BV103" s="2">
        <v>1</v>
      </c>
      <c r="BW103" s="2">
        <v>1</v>
      </c>
      <c r="BX103" s="2">
        <v>1</v>
      </c>
      <c r="BY103" s="2" t="s">
        <v>3</v>
      </c>
      <c r="BZ103" s="2">
        <v>90</v>
      </c>
      <c r="CA103" s="2">
        <v>46</v>
      </c>
      <c r="CB103" s="2" t="s">
        <v>3</v>
      </c>
      <c r="CC103" s="2"/>
      <c r="CD103" s="2"/>
      <c r="CE103" s="2">
        <v>30</v>
      </c>
      <c r="CF103" s="2">
        <v>0</v>
      </c>
      <c r="CG103" s="2">
        <v>0</v>
      </c>
      <c r="CH103" s="2"/>
      <c r="CI103" s="2"/>
      <c r="CJ103" s="2"/>
      <c r="CK103" s="2"/>
      <c r="CL103" s="2"/>
      <c r="CM103" s="2">
        <v>0</v>
      </c>
      <c r="CN103" s="2" t="s">
        <v>3</v>
      </c>
      <c r="CO103" s="2">
        <v>0</v>
      </c>
      <c r="CP103" s="2">
        <f t="shared" si="80"/>
        <v>146.88999999999999</v>
      </c>
      <c r="CQ103" s="2">
        <f t="shared" si="81"/>
        <v>146.88999999999999</v>
      </c>
      <c r="CR103" s="2">
        <f t="shared" si="104"/>
        <v>0</v>
      </c>
      <c r="CS103" s="2">
        <f t="shared" si="82"/>
        <v>0</v>
      </c>
      <c r="CT103" s="2">
        <f t="shared" si="83"/>
        <v>0</v>
      </c>
      <c r="CU103" s="2">
        <f t="shared" si="84"/>
        <v>0</v>
      </c>
      <c r="CV103" s="2">
        <f t="shared" si="85"/>
        <v>0</v>
      </c>
      <c r="CW103" s="2">
        <f t="shared" si="86"/>
        <v>0</v>
      </c>
      <c r="CX103" s="2">
        <f t="shared" si="87"/>
        <v>0</v>
      </c>
      <c r="CY103" s="2">
        <f t="shared" si="88"/>
        <v>0</v>
      </c>
      <c r="CZ103" s="2">
        <f t="shared" si="89"/>
        <v>0</v>
      </c>
      <c r="DA103" s="2"/>
      <c r="DB103" s="2"/>
      <c r="DC103" s="2" t="s">
        <v>3</v>
      </c>
      <c r="DD103" s="2" t="s">
        <v>3</v>
      </c>
      <c r="DE103" s="2" t="s">
        <v>3</v>
      </c>
      <c r="DF103" s="2" t="s">
        <v>3</v>
      </c>
      <c r="DG103" s="2" t="s">
        <v>3</v>
      </c>
      <c r="DH103" s="2" t="s">
        <v>3</v>
      </c>
      <c r="DI103" s="2" t="s">
        <v>3</v>
      </c>
      <c r="DJ103" s="2" t="s">
        <v>3</v>
      </c>
      <c r="DK103" s="2" t="s">
        <v>3</v>
      </c>
      <c r="DL103" s="2" t="s">
        <v>3</v>
      </c>
      <c r="DM103" s="2" t="s">
        <v>3</v>
      </c>
      <c r="DN103" s="2">
        <v>0</v>
      </c>
      <c r="DO103" s="2">
        <v>0</v>
      </c>
      <c r="DP103" s="2">
        <v>1</v>
      </c>
      <c r="DQ103" s="2">
        <v>1</v>
      </c>
      <c r="DR103" s="2"/>
      <c r="DS103" s="2"/>
      <c r="DT103" s="2"/>
      <c r="DU103" s="2">
        <v>1010</v>
      </c>
      <c r="DV103" s="2" t="s">
        <v>172</v>
      </c>
      <c r="DW103" s="2" t="s">
        <v>172</v>
      </c>
      <c r="DX103" s="2">
        <v>100</v>
      </c>
      <c r="DY103" s="2"/>
      <c r="DZ103" s="2" t="s">
        <v>3</v>
      </c>
      <c r="EA103" s="2" t="s">
        <v>3</v>
      </c>
      <c r="EB103" s="2" t="s">
        <v>3</v>
      </c>
      <c r="EC103" s="2" t="s">
        <v>3</v>
      </c>
      <c r="ED103" s="2"/>
      <c r="EE103" s="2">
        <v>58162630</v>
      </c>
      <c r="EF103" s="2">
        <v>40</v>
      </c>
      <c r="EG103" s="2" t="s">
        <v>25</v>
      </c>
      <c r="EH103" s="2">
        <v>0</v>
      </c>
      <c r="EI103" s="2" t="s">
        <v>3</v>
      </c>
      <c r="EJ103" s="2">
        <v>2</v>
      </c>
      <c r="EK103" s="2">
        <v>68</v>
      </c>
      <c r="EL103" s="2" t="s">
        <v>26</v>
      </c>
      <c r="EM103" s="2" t="s">
        <v>27</v>
      </c>
      <c r="EN103" s="2"/>
      <c r="EO103" s="2" t="s">
        <v>3</v>
      </c>
      <c r="EP103" s="2"/>
      <c r="EQ103" s="2">
        <v>0</v>
      </c>
      <c r="ER103" s="2">
        <v>146.88999999999999</v>
      </c>
      <c r="ES103" s="2">
        <v>146.88999999999999</v>
      </c>
      <c r="ET103" s="2">
        <v>0</v>
      </c>
      <c r="EU103" s="2">
        <v>0</v>
      </c>
      <c r="EV103" s="2">
        <v>0</v>
      </c>
      <c r="EW103" s="2">
        <v>0</v>
      </c>
      <c r="EX103" s="2">
        <v>0</v>
      </c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>
        <v>0</v>
      </c>
      <c r="FR103" s="2">
        <v>0</v>
      </c>
      <c r="FS103" s="2">
        <v>0</v>
      </c>
      <c r="FT103" s="2"/>
      <c r="FU103" s="2"/>
      <c r="FV103" s="2"/>
      <c r="FW103" s="2"/>
      <c r="FX103" s="2">
        <v>90</v>
      </c>
      <c r="FY103" s="2">
        <v>46</v>
      </c>
      <c r="FZ103" s="2"/>
      <c r="GA103" s="2" t="s">
        <v>3</v>
      </c>
      <c r="GB103" s="2"/>
      <c r="GC103" s="2"/>
      <c r="GD103" s="2">
        <v>1</v>
      </c>
      <c r="GE103" s="2"/>
      <c r="GF103" s="2">
        <v>-1171050213</v>
      </c>
      <c r="GG103" s="2">
        <v>2</v>
      </c>
      <c r="GH103" s="2">
        <v>1</v>
      </c>
      <c r="GI103" s="2">
        <v>-2</v>
      </c>
      <c r="GJ103" s="2">
        <v>0</v>
      </c>
      <c r="GK103" s="2">
        <v>0</v>
      </c>
      <c r="GL103" s="2">
        <f t="shared" si="90"/>
        <v>0</v>
      </c>
      <c r="GM103" s="2">
        <f t="shared" si="91"/>
        <v>146.88999999999999</v>
      </c>
      <c r="GN103" s="2">
        <f t="shared" si="92"/>
        <v>0</v>
      </c>
      <c r="GO103" s="2">
        <f t="shared" si="93"/>
        <v>146.88999999999999</v>
      </c>
      <c r="GP103" s="2">
        <f t="shared" si="94"/>
        <v>0</v>
      </c>
      <c r="GQ103" s="2"/>
      <c r="GR103" s="2">
        <v>0</v>
      </c>
      <c r="GS103" s="2">
        <v>3</v>
      </c>
      <c r="GT103" s="2">
        <v>0</v>
      </c>
      <c r="GU103" s="2" t="s">
        <v>3</v>
      </c>
      <c r="GV103" s="2">
        <f t="shared" si="95"/>
        <v>0</v>
      </c>
      <c r="GW103" s="2">
        <v>1</v>
      </c>
      <c r="GX103" s="2">
        <f t="shared" si="96"/>
        <v>0</v>
      </c>
      <c r="GY103" s="2"/>
      <c r="GZ103" s="2"/>
      <c r="HA103" s="2">
        <v>0</v>
      </c>
      <c r="HB103" s="2">
        <v>0</v>
      </c>
      <c r="HC103" s="2">
        <f t="shared" si="97"/>
        <v>0</v>
      </c>
      <c r="HD103" s="2"/>
      <c r="HE103" s="2" t="s">
        <v>3</v>
      </c>
      <c r="HF103" s="2" t="s">
        <v>3</v>
      </c>
      <c r="HG103" s="2"/>
      <c r="HH103" s="2"/>
      <c r="HI103" s="2"/>
      <c r="HJ103" s="2"/>
      <c r="HK103" s="2"/>
      <c r="HL103" s="2"/>
      <c r="HM103" s="2" t="s">
        <v>3</v>
      </c>
      <c r="HN103" s="2" t="s">
        <v>3</v>
      </c>
      <c r="HO103" s="2" t="s">
        <v>3</v>
      </c>
      <c r="HP103" s="2" t="s">
        <v>3</v>
      </c>
      <c r="HQ103" s="2" t="s">
        <v>3</v>
      </c>
      <c r="HR103" s="2"/>
      <c r="HS103" s="2">
        <v>0</v>
      </c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>
        <v>0</v>
      </c>
      <c r="IL103" s="2"/>
      <c r="IM103" s="2"/>
      <c r="IN103" s="2"/>
      <c r="IO103" s="2"/>
      <c r="IP103" s="2"/>
      <c r="IQ103" s="2"/>
      <c r="IR103" s="2"/>
      <c r="IS103" s="2"/>
      <c r="IT103" s="2"/>
      <c r="IU103" s="2"/>
    </row>
    <row r="104" spans="1:255" x14ac:dyDescent="0.3">
      <c r="A104">
        <v>18</v>
      </c>
      <c r="B104">
        <v>1</v>
      </c>
      <c r="E104" t="s">
        <v>169</v>
      </c>
      <c r="F104" t="s">
        <v>170</v>
      </c>
      <c r="G104" t="s">
        <v>171</v>
      </c>
      <c r="H104" t="s">
        <v>172</v>
      </c>
      <c r="I104">
        <f>I98*J104</f>
        <v>0.99999999999999989</v>
      </c>
      <c r="J104">
        <v>0.29850746268656714</v>
      </c>
      <c r="K104">
        <v>0.29850749999999998</v>
      </c>
      <c r="O104">
        <f t="shared" si="66"/>
        <v>298.19</v>
      </c>
      <c r="P104">
        <f t="shared" si="67"/>
        <v>298.19</v>
      </c>
      <c r="Q104">
        <f t="shared" si="98"/>
        <v>0</v>
      </c>
      <c r="R104">
        <f t="shared" si="68"/>
        <v>0</v>
      </c>
      <c r="S104">
        <f t="shared" si="69"/>
        <v>0</v>
      </c>
      <c r="T104">
        <f t="shared" si="70"/>
        <v>0</v>
      </c>
      <c r="U104">
        <f t="shared" si="71"/>
        <v>0</v>
      </c>
      <c r="V104">
        <f t="shared" si="72"/>
        <v>0</v>
      </c>
      <c r="W104">
        <f t="shared" si="73"/>
        <v>0</v>
      </c>
      <c r="X104">
        <f t="shared" si="74"/>
        <v>0</v>
      </c>
      <c r="Y104">
        <f t="shared" si="75"/>
        <v>0</v>
      </c>
      <c r="AA104">
        <v>56511235</v>
      </c>
      <c r="AB104">
        <f t="shared" si="76"/>
        <v>146.88999999999999</v>
      </c>
      <c r="AC104">
        <f t="shared" si="77"/>
        <v>146.88999999999999</v>
      </c>
      <c r="AD104">
        <f t="shared" si="99"/>
        <v>0</v>
      </c>
      <c r="AE104">
        <f t="shared" si="100"/>
        <v>0</v>
      </c>
      <c r="AF104">
        <f t="shared" si="101"/>
        <v>0</v>
      </c>
      <c r="AG104">
        <f t="shared" si="78"/>
        <v>0</v>
      </c>
      <c r="AH104">
        <f t="shared" si="102"/>
        <v>0</v>
      </c>
      <c r="AI104">
        <f t="shared" si="103"/>
        <v>0</v>
      </c>
      <c r="AJ104">
        <f t="shared" si="79"/>
        <v>0</v>
      </c>
      <c r="AK104">
        <v>146.88999999999999</v>
      </c>
      <c r="AL104">
        <v>146.88999999999999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90</v>
      </c>
      <c r="AU104">
        <v>46</v>
      </c>
      <c r="AV104">
        <v>1</v>
      </c>
      <c r="AW104">
        <v>1</v>
      </c>
      <c r="AZ104">
        <v>1</v>
      </c>
      <c r="BA104">
        <v>1</v>
      </c>
      <c r="BB104">
        <v>1</v>
      </c>
      <c r="BC104">
        <v>2.0299999999999998</v>
      </c>
      <c r="BD104" t="s">
        <v>3</v>
      </c>
      <c r="BE104" t="s">
        <v>3</v>
      </c>
      <c r="BF104" t="s">
        <v>3</v>
      </c>
      <c r="BG104" t="s">
        <v>3</v>
      </c>
      <c r="BH104">
        <v>3</v>
      </c>
      <c r="BI104">
        <v>2</v>
      </c>
      <c r="BJ104" t="s">
        <v>173</v>
      </c>
      <c r="BM104">
        <v>68</v>
      </c>
      <c r="BN104">
        <v>0</v>
      </c>
      <c r="BO104" t="s">
        <v>170</v>
      </c>
      <c r="BP104">
        <v>1</v>
      </c>
      <c r="BQ104">
        <v>40</v>
      </c>
      <c r="BR104">
        <v>0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 t="s">
        <v>3</v>
      </c>
      <c r="BZ104">
        <v>90</v>
      </c>
      <c r="CA104">
        <v>46</v>
      </c>
      <c r="CB104" t="s">
        <v>3</v>
      </c>
      <c r="CE104">
        <v>30</v>
      </c>
      <c r="CF104">
        <v>0</v>
      </c>
      <c r="CG104">
        <v>0</v>
      </c>
      <c r="CM104">
        <v>0</v>
      </c>
      <c r="CN104" t="s">
        <v>3</v>
      </c>
      <c r="CO104">
        <v>0</v>
      </c>
      <c r="CP104">
        <f t="shared" si="80"/>
        <v>298.19</v>
      </c>
      <c r="CQ104">
        <f t="shared" si="81"/>
        <v>298.19</v>
      </c>
      <c r="CR104">
        <f t="shared" si="104"/>
        <v>0</v>
      </c>
      <c r="CS104">
        <f t="shared" si="82"/>
        <v>0</v>
      </c>
      <c r="CT104">
        <f t="shared" si="83"/>
        <v>0</v>
      </c>
      <c r="CU104">
        <f t="shared" si="84"/>
        <v>0</v>
      </c>
      <c r="CV104">
        <f t="shared" si="85"/>
        <v>0</v>
      </c>
      <c r="CW104">
        <f t="shared" si="86"/>
        <v>0</v>
      </c>
      <c r="CX104">
        <f t="shared" si="87"/>
        <v>0</v>
      </c>
      <c r="CY104">
        <f t="shared" si="88"/>
        <v>0</v>
      </c>
      <c r="CZ104">
        <f t="shared" si="89"/>
        <v>0</v>
      </c>
      <c r="DC104" t="s">
        <v>3</v>
      </c>
      <c r="DD104" t="s">
        <v>3</v>
      </c>
      <c r="DE104" t="s">
        <v>3</v>
      </c>
      <c r="DF104" t="s">
        <v>3</v>
      </c>
      <c r="DG104" t="s">
        <v>3</v>
      </c>
      <c r="DH104" t="s">
        <v>3</v>
      </c>
      <c r="DI104" t="s">
        <v>3</v>
      </c>
      <c r="DJ104" t="s">
        <v>3</v>
      </c>
      <c r="DK104" t="s">
        <v>3</v>
      </c>
      <c r="DL104" t="s">
        <v>3</v>
      </c>
      <c r="DM104" t="s">
        <v>3</v>
      </c>
      <c r="DN104">
        <v>0</v>
      </c>
      <c r="DO104">
        <v>0</v>
      </c>
      <c r="DP104">
        <v>1</v>
      </c>
      <c r="DQ104">
        <v>1</v>
      </c>
      <c r="DU104">
        <v>1010</v>
      </c>
      <c r="DV104" t="s">
        <v>172</v>
      </c>
      <c r="DW104" t="s">
        <v>172</v>
      </c>
      <c r="DX104">
        <v>100</v>
      </c>
      <c r="DZ104" t="s">
        <v>3</v>
      </c>
      <c r="EA104" t="s">
        <v>3</v>
      </c>
      <c r="EB104" t="s">
        <v>3</v>
      </c>
      <c r="EC104" t="s">
        <v>3</v>
      </c>
      <c r="EE104">
        <v>58162630</v>
      </c>
      <c r="EF104">
        <v>40</v>
      </c>
      <c r="EG104" t="s">
        <v>25</v>
      </c>
      <c r="EH104">
        <v>0</v>
      </c>
      <c r="EI104" t="s">
        <v>3</v>
      </c>
      <c r="EJ104">
        <v>2</v>
      </c>
      <c r="EK104">
        <v>68</v>
      </c>
      <c r="EL104" t="s">
        <v>26</v>
      </c>
      <c r="EM104" t="s">
        <v>27</v>
      </c>
      <c r="EO104" t="s">
        <v>3</v>
      </c>
      <c r="EQ104">
        <v>0</v>
      </c>
      <c r="ER104">
        <v>146.88999999999999</v>
      </c>
      <c r="ES104">
        <v>146.88999999999999</v>
      </c>
      <c r="ET104">
        <v>0</v>
      </c>
      <c r="EU104">
        <v>0</v>
      </c>
      <c r="EV104">
        <v>0</v>
      </c>
      <c r="EW104">
        <v>0</v>
      </c>
      <c r="EX104">
        <v>0</v>
      </c>
      <c r="FQ104">
        <v>0</v>
      </c>
      <c r="FR104">
        <v>0</v>
      </c>
      <c r="FS104">
        <v>0</v>
      </c>
      <c r="FX104">
        <v>90</v>
      </c>
      <c r="FY104">
        <v>46</v>
      </c>
      <c r="GA104" t="s">
        <v>3</v>
      </c>
      <c r="GD104">
        <v>1</v>
      </c>
      <c r="GF104">
        <v>-1171050213</v>
      </c>
      <c r="GG104">
        <v>2</v>
      </c>
      <c r="GH104">
        <v>1</v>
      </c>
      <c r="GI104">
        <v>2</v>
      </c>
      <c r="GJ104">
        <v>0</v>
      </c>
      <c r="GK104">
        <v>0</v>
      </c>
      <c r="GL104">
        <f t="shared" si="90"/>
        <v>0</v>
      </c>
      <c r="GM104">
        <f t="shared" si="91"/>
        <v>298.19</v>
      </c>
      <c r="GN104">
        <f t="shared" si="92"/>
        <v>0</v>
      </c>
      <c r="GO104">
        <f t="shared" si="93"/>
        <v>298.19</v>
      </c>
      <c r="GP104">
        <f t="shared" si="94"/>
        <v>0</v>
      </c>
      <c r="GR104">
        <v>0</v>
      </c>
      <c r="GS104">
        <v>3</v>
      </c>
      <c r="GT104">
        <v>0</v>
      </c>
      <c r="GU104" t="s">
        <v>3</v>
      </c>
      <c r="GV104">
        <f t="shared" si="95"/>
        <v>0</v>
      </c>
      <c r="GW104">
        <v>1</v>
      </c>
      <c r="GX104">
        <f t="shared" si="96"/>
        <v>0</v>
      </c>
      <c r="HA104">
        <v>0</v>
      </c>
      <c r="HB104">
        <v>0</v>
      </c>
      <c r="HC104">
        <f t="shared" si="97"/>
        <v>0</v>
      </c>
      <c r="HE104" t="s">
        <v>3</v>
      </c>
      <c r="HF104" t="s">
        <v>3</v>
      </c>
      <c r="HM104" t="s">
        <v>3</v>
      </c>
      <c r="HN104" t="s">
        <v>3</v>
      </c>
      <c r="HO104" t="s">
        <v>3</v>
      </c>
      <c r="HP104" t="s">
        <v>3</v>
      </c>
      <c r="HQ104" t="s">
        <v>3</v>
      </c>
      <c r="HS104">
        <v>0</v>
      </c>
      <c r="IK104">
        <v>0</v>
      </c>
    </row>
    <row r="105" spans="1:255" x14ac:dyDescent="0.3">
      <c r="A105" s="2">
        <v>18</v>
      </c>
      <c r="B105" s="2">
        <v>1</v>
      </c>
      <c r="C105" s="2"/>
      <c r="D105" s="2"/>
      <c r="E105" s="2" t="s">
        <v>174</v>
      </c>
      <c r="F105" s="2" t="s">
        <v>175</v>
      </c>
      <c r="G105" s="2" t="s">
        <v>176</v>
      </c>
      <c r="H105" s="2" t="s">
        <v>172</v>
      </c>
      <c r="I105" s="2">
        <f>I97*J105</f>
        <v>1.9999999999999998</v>
      </c>
      <c r="J105" s="2">
        <v>0.59701492537313428</v>
      </c>
      <c r="K105" s="2">
        <v>0.59701499999999996</v>
      </c>
      <c r="L105" s="2"/>
      <c r="M105" s="2"/>
      <c r="N105" s="2"/>
      <c r="O105" s="2">
        <f t="shared" si="66"/>
        <v>308.72000000000003</v>
      </c>
      <c r="P105" s="2">
        <f t="shared" si="67"/>
        <v>308.72000000000003</v>
      </c>
      <c r="Q105" s="2">
        <f t="shared" si="98"/>
        <v>0</v>
      </c>
      <c r="R105" s="2">
        <f t="shared" si="68"/>
        <v>0</v>
      </c>
      <c r="S105" s="2">
        <f t="shared" si="69"/>
        <v>0</v>
      </c>
      <c r="T105" s="2">
        <f t="shared" si="70"/>
        <v>0</v>
      </c>
      <c r="U105" s="2">
        <f t="shared" si="71"/>
        <v>0</v>
      </c>
      <c r="V105" s="2">
        <f t="shared" si="72"/>
        <v>0</v>
      </c>
      <c r="W105" s="2">
        <f t="shared" si="73"/>
        <v>0</v>
      </c>
      <c r="X105" s="2">
        <f t="shared" si="74"/>
        <v>0</v>
      </c>
      <c r="Y105" s="2">
        <f t="shared" si="75"/>
        <v>0</v>
      </c>
      <c r="Z105" s="2"/>
      <c r="AA105" s="2">
        <v>56511233</v>
      </c>
      <c r="AB105" s="2">
        <f t="shared" si="76"/>
        <v>154.36000000000001</v>
      </c>
      <c r="AC105" s="2">
        <f t="shared" si="77"/>
        <v>154.36000000000001</v>
      </c>
      <c r="AD105" s="2">
        <f t="shared" si="99"/>
        <v>0</v>
      </c>
      <c r="AE105" s="2">
        <f t="shared" si="100"/>
        <v>0</v>
      </c>
      <c r="AF105" s="2">
        <f t="shared" si="101"/>
        <v>0</v>
      </c>
      <c r="AG105" s="2">
        <f t="shared" si="78"/>
        <v>0</v>
      </c>
      <c r="AH105" s="2">
        <f t="shared" si="102"/>
        <v>0</v>
      </c>
      <c r="AI105" s="2">
        <f t="shared" si="103"/>
        <v>0</v>
      </c>
      <c r="AJ105" s="2">
        <f t="shared" si="79"/>
        <v>0</v>
      </c>
      <c r="AK105" s="2">
        <v>154.36000000000001</v>
      </c>
      <c r="AL105" s="2">
        <v>154.36000000000001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90</v>
      </c>
      <c r="AU105" s="2">
        <v>46</v>
      </c>
      <c r="AV105" s="2">
        <v>1</v>
      </c>
      <c r="AW105" s="2">
        <v>1</v>
      </c>
      <c r="AX105" s="2"/>
      <c r="AY105" s="2"/>
      <c r="AZ105" s="2">
        <v>1</v>
      </c>
      <c r="BA105" s="2">
        <v>1</v>
      </c>
      <c r="BB105" s="2">
        <v>1</v>
      </c>
      <c r="BC105" s="2">
        <v>1</v>
      </c>
      <c r="BD105" s="2" t="s">
        <v>3</v>
      </c>
      <c r="BE105" s="2" t="s">
        <v>3</v>
      </c>
      <c r="BF105" s="2" t="s">
        <v>3</v>
      </c>
      <c r="BG105" s="2" t="s">
        <v>3</v>
      </c>
      <c r="BH105" s="2">
        <v>3</v>
      </c>
      <c r="BI105" s="2">
        <v>2</v>
      </c>
      <c r="BJ105" s="2" t="s">
        <v>177</v>
      </c>
      <c r="BK105" s="2"/>
      <c r="BL105" s="2"/>
      <c r="BM105" s="2">
        <v>68</v>
      </c>
      <c r="BN105" s="2">
        <v>0</v>
      </c>
      <c r="BO105" s="2" t="s">
        <v>3</v>
      </c>
      <c r="BP105" s="2">
        <v>0</v>
      </c>
      <c r="BQ105" s="2">
        <v>40</v>
      </c>
      <c r="BR105" s="2">
        <v>0</v>
      </c>
      <c r="BS105" s="2">
        <v>1</v>
      </c>
      <c r="BT105" s="2">
        <v>1</v>
      </c>
      <c r="BU105" s="2">
        <v>1</v>
      </c>
      <c r="BV105" s="2">
        <v>1</v>
      </c>
      <c r="BW105" s="2">
        <v>1</v>
      </c>
      <c r="BX105" s="2">
        <v>1</v>
      </c>
      <c r="BY105" s="2" t="s">
        <v>3</v>
      </c>
      <c r="BZ105" s="2">
        <v>90</v>
      </c>
      <c r="CA105" s="2">
        <v>46</v>
      </c>
      <c r="CB105" s="2" t="s">
        <v>3</v>
      </c>
      <c r="CC105" s="2"/>
      <c r="CD105" s="2"/>
      <c r="CE105" s="2">
        <v>30</v>
      </c>
      <c r="CF105" s="2">
        <v>0</v>
      </c>
      <c r="CG105" s="2">
        <v>0</v>
      </c>
      <c r="CH105" s="2"/>
      <c r="CI105" s="2"/>
      <c r="CJ105" s="2"/>
      <c r="CK105" s="2"/>
      <c r="CL105" s="2"/>
      <c r="CM105" s="2">
        <v>0</v>
      </c>
      <c r="CN105" s="2" t="s">
        <v>3</v>
      </c>
      <c r="CO105" s="2">
        <v>0</v>
      </c>
      <c r="CP105" s="2">
        <f t="shared" si="80"/>
        <v>308.72000000000003</v>
      </c>
      <c r="CQ105" s="2">
        <f t="shared" si="81"/>
        <v>154.36000000000001</v>
      </c>
      <c r="CR105" s="2">
        <f t="shared" si="104"/>
        <v>0</v>
      </c>
      <c r="CS105" s="2">
        <f t="shared" si="82"/>
        <v>0</v>
      </c>
      <c r="CT105" s="2">
        <f t="shared" si="83"/>
        <v>0</v>
      </c>
      <c r="CU105" s="2">
        <f t="shared" si="84"/>
        <v>0</v>
      </c>
      <c r="CV105" s="2">
        <f t="shared" si="85"/>
        <v>0</v>
      </c>
      <c r="CW105" s="2">
        <f t="shared" si="86"/>
        <v>0</v>
      </c>
      <c r="CX105" s="2">
        <f t="shared" si="87"/>
        <v>0</v>
      </c>
      <c r="CY105" s="2">
        <f t="shared" si="88"/>
        <v>0</v>
      </c>
      <c r="CZ105" s="2">
        <f t="shared" si="89"/>
        <v>0</v>
      </c>
      <c r="DA105" s="2"/>
      <c r="DB105" s="2"/>
      <c r="DC105" s="2" t="s">
        <v>3</v>
      </c>
      <c r="DD105" s="2" t="s">
        <v>3</v>
      </c>
      <c r="DE105" s="2" t="s">
        <v>3</v>
      </c>
      <c r="DF105" s="2" t="s">
        <v>3</v>
      </c>
      <c r="DG105" s="2" t="s">
        <v>3</v>
      </c>
      <c r="DH105" s="2" t="s">
        <v>3</v>
      </c>
      <c r="DI105" s="2" t="s">
        <v>3</v>
      </c>
      <c r="DJ105" s="2" t="s">
        <v>3</v>
      </c>
      <c r="DK105" s="2" t="s">
        <v>3</v>
      </c>
      <c r="DL105" s="2" t="s">
        <v>3</v>
      </c>
      <c r="DM105" s="2" t="s">
        <v>3</v>
      </c>
      <c r="DN105" s="2">
        <v>0</v>
      </c>
      <c r="DO105" s="2">
        <v>0</v>
      </c>
      <c r="DP105" s="2">
        <v>1</v>
      </c>
      <c r="DQ105" s="2">
        <v>1</v>
      </c>
      <c r="DR105" s="2"/>
      <c r="DS105" s="2"/>
      <c r="DT105" s="2"/>
      <c r="DU105" s="2">
        <v>1010</v>
      </c>
      <c r="DV105" s="2" t="s">
        <v>172</v>
      </c>
      <c r="DW105" s="2" t="s">
        <v>172</v>
      </c>
      <c r="DX105" s="2">
        <v>100</v>
      </c>
      <c r="DY105" s="2"/>
      <c r="DZ105" s="2" t="s">
        <v>3</v>
      </c>
      <c r="EA105" s="2" t="s">
        <v>3</v>
      </c>
      <c r="EB105" s="2" t="s">
        <v>3</v>
      </c>
      <c r="EC105" s="2" t="s">
        <v>3</v>
      </c>
      <c r="ED105" s="2"/>
      <c r="EE105" s="2">
        <v>58162630</v>
      </c>
      <c r="EF105" s="2">
        <v>40</v>
      </c>
      <c r="EG105" s="2" t="s">
        <v>25</v>
      </c>
      <c r="EH105" s="2">
        <v>0</v>
      </c>
      <c r="EI105" s="2" t="s">
        <v>3</v>
      </c>
      <c r="EJ105" s="2">
        <v>2</v>
      </c>
      <c r="EK105" s="2">
        <v>68</v>
      </c>
      <c r="EL105" s="2" t="s">
        <v>26</v>
      </c>
      <c r="EM105" s="2" t="s">
        <v>27</v>
      </c>
      <c r="EN105" s="2"/>
      <c r="EO105" s="2" t="s">
        <v>3</v>
      </c>
      <c r="EP105" s="2"/>
      <c r="EQ105" s="2">
        <v>0</v>
      </c>
      <c r="ER105" s="2">
        <v>154.36000000000001</v>
      </c>
      <c r="ES105" s="2">
        <v>154.36000000000001</v>
      </c>
      <c r="ET105" s="2">
        <v>0</v>
      </c>
      <c r="EU105" s="2">
        <v>0</v>
      </c>
      <c r="EV105" s="2">
        <v>0</v>
      </c>
      <c r="EW105" s="2">
        <v>0</v>
      </c>
      <c r="EX105" s="2">
        <v>0</v>
      </c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>
        <v>0</v>
      </c>
      <c r="FR105" s="2">
        <v>0</v>
      </c>
      <c r="FS105" s="2">
        <v>0</v>
      </c>
      <c r="FT105" s="2"/>
      <c r="FU105" s="2"/>
      <c r="FV105" s="2"/>
      <c r="FW105" s="2"/>
      <c r="FX105" s="2">
        <v>90</v>
      </c>
      <c r="FY105" s="2">
        <v>46</v>
      </c>
      <c r="FZ105" s="2"/>
      <c r="GA105" s="2" t="s">
        <v>3</v>
      </c>
      <c r="GB105" s="2"/>
      <c r="GC105" s="2"/>
      <c r="GD105" s="2">
        <v>1</v>
      </c>
      <c r="GE105" s="2"/>
      <c r="GF105" s="2">
        <v>-171069705</v>
      </c>
      <c r="GG105" s="2">
        <v>2</v>
      </c>
      <c r="GH105" s="2">
        <v>1</v>
      </c>
      <c r="GI105" s="2">
        <v>-2</v>
      </c>
      <c r="GJ105" s="2">
        <v>0</v>
      </c>
      <c r="GK105" s="2">
        <v>0</v>
      </c>
      <c r="GL105" s="2">
        <f t="shared" si="90"/>
        <v>0</v>
      </c>
      <c r="GM105" s="2">
        <f t="shared" si="91"/>
        <v>308.72000000000003</v>
      </c>
      <c r="GN105" s="2">
        <f t="shared" si="92"/>
        <v>0</v>
      </c>
      <c r="GO105" s="2">
        <f t="shared" si="93"/>
        <v>308.72000000000003</v>
      </c>
      <c r="GP105" s="2">
        <f t="shared" si="94"/>
        <v>0</v>
      </c>
      <c r="GQ105" s="2"/>
      <c r="GR105" s="2">
        <v>0</v>
      </c>
      <c r="GS105" s="2">
        <v>3</v>
      </c>
      <c r="GT105" s="2">
        <v>0</v>
      </c>
      <c r="GU105" s="2" t="s">
        <v>3</v>
      </c>
      <c r="GV105" s="2">
        <f t="shared" si="95"/>
        <v>0</v>
      </c>
      <c r="GW105" s="2">
        <v>1</v>
      </c>
      <c r="GX105" s="2">
        <f t="shared" si="96"/>
        <v>0</v>
      </c>
      <c r="GY105" s="2"/>
      <c r="GZ105" s="2"/>
      <c r="HA105" s="2">
        <v>0</v>
      </c>
      <c r="HB105" s="2">
        <v>0</v>
      </c>
      <c r="HC105" s="2">
        <f t="shared" si="97"/>
        <v>0</v>
      </c>
      <c r="HD105" s="2"/>
      <c r="HE105" s="2" t="s">
        <v>3</v>
      </c>
      <c r="HF105" s="2" t="s">
        <v>3</v>
      </c>
      <c r="HG105" s="2"/>
      <c r="HH105" s="2"/>
      <c r="HI105" s="2"/>
      <c r="HJ105" s="2"/>
      <c r="HK105" s="2"/>
      <c r="HL105" s="2"/>
      <c r="HM105" s="2" t="s">
        <v>3</v>
      </c>
      <c r="HN105" s="2" t="s">
        <v>3</v>
      </c>
      <c r="HO105" s="2" t="s">
        <v>3</v>
      </c>
      <c r="HP105" s="2" t="s">
        <v>3</v>
      </c>
      <c r="HQ105" s="2" t="s">
        <v>3</v>
      </c>
      <c r="HR105" s="2"/>
      <c r="HS105" s="2">
        <v>0</v>
      </c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>
        <v>0</v>
      </c>
      <c r="IL105" s="2"/>
      <c r="IM105" s="2"/>
      <c r="IN105" s="2"/>
      <c r="IO105" s="2"/>
      <c r="IP105" s="2"/>
      <c r="IQ105" s="2"/>
      <c r="IR105" s="2"/>
      <c r="IS105" s="2"/>
      <c r="IT105" s="2"/>
      <c r="IU105" s="2"/>
    </row>
    <row r="106" spans="1:255" x14ac:dyDescent="0.3">
      <c r="A106">
        <v>18</v>
      </c>
      <c r="B106">
        <v>1</v>
      </c>
      <c r="E106" t="s">
        <v>174</v>
      </c>
      <c r="F106" t="s">
        <v>175</v>
      </c>
      <c r="G106" t="s">
        <v>176</v>
      </c>
      <c r="H106" t="s">
        <v>172</v>
      </c>
      <c r="I106">
        <f>I98*J106</f>
        <v>1.9999999999999998</v>
      </c>
      <c r="J106">
        <v>0.59701492537313428</v>
      </c>
      <c r="K106">
        <v>0.59701499999999996</v>
      </c>
      <c r="O106">
        <f t="shared" si="66"/>
        <v>635.96</v>
      </c>
      <c r="P106">
        <f t="shared" si="67"/>
        <v>635.96</v>
      </c>
      <c r="Q106">
        <f t="shared" si="98"/>
        <v>0</v>
      </c>
      <c r="R106">
        <f t="shared" si="68"/>
        <v>0</v>
      </c>
      <c r="S106">
        <f t="shared" si="69"/>
        <v>0</v>
      </c>
      <c r="T106">
        <f t="shared" si="70"/>
        <v>0</v>
      </c>
      <c r="U106">
        <f t="shared" si="71"/>
        <v>0</v>
      </c>
      <c r="V106">
        <f t="shared" si="72"/>
        <v>0</v>
      </c>
      <c r="W106">
        <f t="shared" si="73"/>
        <v>0</v>
      </c>
      <c r="X106">
        <f t="shared" si="74"/>
        <v>0</v>
      </c>
      <c r="Y106">
        <f t="shared" si="75"/>
        <v>0</v>
      </c>
      <c r="AA106">
        <v>56511235</v>
      </c>
      <c r="AB106">
        <f t="shared" si="76"/>
        <v>154.36000000000001</v>
      </c>
      <c r="AC106">
        <f t="shared" si="77"/>
        <v>154.36000000000001</v>
      </c>
      <c r="AD106">
        <f t="shared" si="99"/>
        <v>0</v>
      </c>
      <c r="AE106">
        <f t="shared" si="100"/>
        <v>0</v>
      </c>
      <c r="AF106">
        <f t="shared" si="101"/>
        <v>0</v>
      </c>
      <c r="AG106">
        <f t="shared" si="78"/>
        <v>0</v>
      </c>
      <c r="AH106">
        <f t="shared" si="102"/>
        <v>0</v>
      </c>
      <c r="AI106">
        <f t="shared" si="103"/>
        <v>0</v>
      </c>
      <c r="AJ106">
        <f t="shared" si="79"/>
        <v>0</v>
      </c>
      <c r="AK106">
        <v>154.36000000000001</v>
      </c>
      <c r="AL106">
        <v>154.36000000000001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90</v>
      </c>
      <c r="AU106">
        <v>46</v>
      </c>
      <c r="AV106">
        <v>1</v>
      </c>
      <c r="AW106">
        <v>1</v>
      </c>
      <c r="AZ106">
        <v>1</v>
      </c>
      <c r="BA106">
        <v>1</v>
      </c>
      <c r="BB106">
        <v>1</v>
      </c>
      <c r="BC106">
        <v>2.06</v>
      </c>
      <c r="BD106" t="s">
        <v>3</v>
      </c>
      <c r="BE106" t="s">
        <v>3</v>
      </c>
      <c r="BF106" t="s">
        <v>3</v>
      </c>
      <c r="BG106" t="s">
        <v>3</v>
      </c>
      <c r="BH106">
        <v>3</v>
      </c>
      <c r="BI106">
        <v>2</v>
      </c>
      <c r="BJ106" t="s">
        <v>177</v>
      </c>
      <c r="BM106">
        <v>68</v>
      </c>
      <c r="BN106">
        <v>0</v>
      </c>
      <c r="BO106" t="s">
        <v>175</v>
      </c>
      <c r="BP106">
        <v>1</v>
      </c>
      <c r="BQ106">
        <v>40</v>
      </c>
      <c r="BR106">
        <v>0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 t="s">
        <v>3</v>
      </c>
      <c r="BZ106">
        <v>90</v>
      </c>
      <c r="CA106">
        <v>46</v>
      </c>
      <c r="CB106" t="s">
        <v>3</v>
      </c>
      <c r="CE106">
        <v>30</v>
      </c>
      <c r="CF106">
        <v>0</v>
      </c>
      <c r="CG106">
        <v>0</v>
      </c>
      <c r="CM106">
        <v>0</v>
      </c>
      <c r="CN106" t="s">
        <v>3</v>
      </c>
      <c r="CO106">
        <v>0</v>
      </c>
      <c r="CP106">
        <f t="shared" si="80"/>
        <v>635.96</v>
      </c>
      <c r="CQ106">
        <f t="shared" si="81"/>
        <v>317.98</v>
      </c>
      <c r="CR106">
        <f t="shared" si="104"/>
        <v>0</v>
      </c>
      <c r="CS106">
        <f t="shared" si="82"/>
        <v>0</v>
      </c>
      <c r="CT106">
        <f t="shared" si="83"/>
        <v>0</v>
      </c>
      <c r="CU106">
        <f t="shared" si="84"/>
        <v>0</v>
      </c>
      <c r="CV106">
        <f t="shared" si="85"/>
        <v>0</v>
      </c>
      <c r="CW106">
        <f t="shared" si="86"/>
        <v>0</v>
      </c>
      <c r="CX106">
        <f t="shared" si="87"/>
        <v>0</v>
      </c>
      <c r="CY106">
        <f t="shared" si="88"/>
        <v>0</v>
      </c>
      <c r="CZ106">
        <f t="shared" si="89"/>
        <v>0</v>
      </c>
      <c r="DC106" t="s">
        <v>3</v>
      </c>
      <c r="DD106" t="s">
        <v>3</v>
      </c>
      <c r="DE106" t="s">
        <v>3</v>
      </c>
      <c r="DF106" t="s">
        <v>3</v>
      </c>
      <c r="DG106" t="s">
        <v>3</v>
      </c>
      <c r="DH106" t="s">
        <v>3</v>
      </c>
      <c r="DI106" t="s">
        <v>3</v>
      </c>
      <c r="DJ106" t="s">
        <v>3</v>
      </c>
      <c r="DK106" t="s">
        <v>3</v>
      </c>
      <c r="DL106" t="s">
        <v>3</v>
      </c>
      <c r="DM106" t="s">
        <v>3</v>
      </c>
      <c r="DN106">
        <v>0</v>
      </c>
      <c r="DO106">
        <v>0</v>
      </c>
      <c r="DP106">
        <v>1</v>
      </c>
      <c r="DQ106">
        <v>1</v>
      </c>
      <c r="DU106">
        <v>1010</v>
      </c>
      <c r="DV106" t="s">
        <v>172</v>
      </c>
      <c r="DW106" t="s">
        <v>172</v>
      </c>
      <c r="DX106">
        <v>100</v>
      </c>
      <c r="DZ106" t="s">
        <v>3</v>
      </c>
      <c r="EA106" t="s">
        <v>3</v>
      </c>
      <c r="EB106" t="s">
        <v>3</v>
      </c>
      <c r="EC106" t="s">
        <v>3</v>
      </c>
      <c r="EE106">
        <v>58162630</v>
      </c>
      <c r="EF106">
        <v>40</v>
      </c>
      <c r="EG106" t="s">
        <v>25</v>
      </c>
      <c r="EH106">
        <v>0</v>
      </c>
      <c r="EI106" t="s">
        <v>3</v>
      </c>
      <c r="EJ106">
        <v>2</v>
      </c>
      <c r="EK106">
        <v>68</v>
      </c>
      <c r="EL106" t="s">
        <v>26</v>
      </c>
      <c r="EM106" t="s">
        <v>27</v>
      </c>
      <c r="EO106" t="s">
        <v>3</v>
      </c>
      <c r="EQ106">
        <v>0</v>
      </c>
      <c r="ER106">
        <v>154.36000000000001</v>
      </c>
      <c r="ES106">
        <v>154.36000000000001</v>
      </c>
      <c r="ET106">
        <v>0</v>
      </c>
      <c r="EU106">
        <v>0</v>
      </c>
      <c r="EV106">
        <v>0</v>
      </c>
      <c r="EW106">
        <v>0</v>
      </c>
      <c r="EX106">
        <v>0</v>
      </c>
      <c r="FQ106">
        <v>0</v>
      </c>
      <c r="FR106">
        <v>0</v>
      </c>
      <c r="FS106">
        <v>0</v>
      </c>
      <c r="FX106">
        <v>90</v>
      </c>
      <c r="FY106">
        <v>46</v>
      </c>
      <c r="GA106" t="s">
        <v>3</v>
      </c>
      <c r="GD106">
        <v>1</v>
      </c>
      <c r="GF106">
        <v>-171069705</v>
      </c>
      <c r="GG106">
        <v>2</v>
      </c>
      <c r="GH106">
        <v>1</v>
      </c>
      <c r="GI106">
        <v>2</v>
      </c>
      <c r="GJ106">
        <v>0</v>
      </c>
      <c r="GK106">
        <v>0</v>
      </c>
      <c r="GL106">
        <f t="shared" si="90"/>
        <v>0</v>
      </c>
      <c r="GM106">
        <f t="shared" si="91"/>
        <v>635.96</v>
      </c>
      <c r="GN106">
        <f t="shared" si="92"/>
        <v>0</v>
      </c>
      <c r="GO106">
        <f t="shared" si="93"/>
        <v>635.96</v>
      </c>
      <c r="GP106">
        <f t="shared" si="94"/>
        <v>0</v>
      </c>
      <c r="GR106">
        <v>0</v>
      </c>
      <c r="GS106">
        <v>3</v>
      </c>
      <c r="GT106">
        <v>0</v>
      </c>
      <c r="GU106" t="s">
        <v>3</v>
      </c>
      <c r="GV106">
        <f t="shared" si="95"/>
        <v>0</v>
      </c>
      <c r="GW106">
        <v>1</v>
      </c>
      <c r="GX106">
        <f t="shared" si="96"/>
        <v>0</v>
      </c>
      <c r="HA106">
        <v>0</v>
      </c>
      <c r="HB106">
        <v>0</v>
      </c>
      <c r="HC106">
        <f t="shared" si="97"/>
        <v>0</v>
      </c>
      <c r="HE106" t="s">
        <v>3</v>
      </c>
      <c r="HF106" t="s">
        <v>3</v>
      </c>
      <c r="HM106" t="s">
        <v>3</v>
      </c>
      <c r="HN106" t="s">
        <v>3</v>
      </c>
      <c r="HO106" t="s">
        <v>3</v>
      </c>
      <c r="HP106" t="s">
        <v>3</v>
      </c>
      <c r="HQ106" t="s">
        <v>3</v>
      </c>
      <c r="HS106">
        <v>0</v>
      </c>
      <c r="IK106">
        <v>0</v>
      </c>
    </row>
    <row r="107" spans="1:255" x14ac:dyDescent="0.3">
      <c r="A107" s="2">
        <v>18</v>
      </c>
      <c r="B107" s="2">
        <v>1</v>
      </c>
      <c r="C107" s="2"/>
      <c r="D107" s="2"/>
      <c r="E107" s="2" t="s">
        <v>178</v>
      </c>
      <c r="F107" s="2" t="s">
        <v>179</v>
      </c>
      <c r="G107" s="2" t="s">
        <v>180</v>
      </c>
      <c r="H107" s="2" t="s">
        <v>181</v>
      </c>
      <c r="I107" s="2">
        <f>I97*J107</f>
        <v>3.5700000000000003E-2</v>
      </c>
      <c r="J107" s="2">
        <v>1.0656716417910448E-2</v>
      </c>
      <c r="K107" s="2">
        <v>1.06567E-2</v>
      </c>
      <c r="L107" s="2"/>
      <c r="M107" s="2"/>
      <c r="N107" s="2"/>
      <c r="O107" s="2">
        <f t="shared" si="66"/>
        <v>168.92</v>
      </c>
      <c r="P107" s="2">
        <f t="shared" si="67"/>
        <v>168.92</v>
      </c>
      <c r="Q107" s="2">
        <f t="shared" si="98"/>
        <v>0</v>
      </c>
      <c r="R107" s="2">
        <f t="shared" si="68"/>
        <v>0</v>
      </c>
      <c r="S107" s="2">
        <f t="shared" si="69"/>
        <v>0</v>
      </c>
      <c r="T107" s="2">
        <f t="shared" si="70"/>
        <v>0</v>
      </c>
      <c r="U107" s="2">
        <f t="shared" si="71"/>
        <v>0</v>
      </c>
      <c r="V107" s="2">
        <f t="shared" si="72"/>
        <v>0</v>
      </c>
      <c r="W107" s="2">
        <f t="shared" si="73"/>
        <v>0</v>
      </c>
      <c r="X107" s="2">
        <f t="shared" si="74"/>
        <v>0</v>
      </c>
      <c r="Y107" s="2">
        <f t="shared" si="75"/>
        <v>0</v>
      </c>
      <c r="Z107" s="2"/>
      <c r="AA107" s="2">
        <v>56511233</v>
      </c>
      <c r="AB107" s="2">
        <f t="shared" si="76"/>
        <v>4731.78</v>
      </c>
      <c r="AC107" s="2">
        <f t="shared" si="77"/>
        <v>4731.78</v>
      </c>
      <c r="AD107" s="2">
        <f t="shared" si="99"/>
        <v>0</v>
      </c>
      <c r="AE107" s="2">
        <f t="shared" si="100"/>
        <v>0</v>
      </c>
      <c r="AF107" s="2">
        <f t="shared" si="101"/>
        <v>0</v>
      </c>
      <c r="AG107" s="2">
        <f t="shared" si="78"/>
        <v>0</v>
      </c>
      <c r="AH107" s="2">
        <f t="shared" si="102"/>
        <v>0</v>
      </c>
      <c r="AI107" s="2">
        <f t="shared" si="103"/>
        <v>0</v>
      </c>
      <c r="AJ107" s="2">
        <f t="shared" si="79"/>
        <v>0</v>
      </c>
      <c r="AK107" s="2">
        <v>4731.78</v>
      </c>
      <c r="AL107" s="2">
        <v>4731.78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90</v>
      </c>
      <c r="AU107" s="2">
        <v>46</v>
      </c>
      <c r="AV107" s="2">
        <v>1</v>
      </c>
      <c r="AW107" s="2">
        <v>1</v>
      </c>
      <c r="AX107" s="2"/>
      <c r="AY107" s="2"/>
      <c r="AZ107" s="2">
        <v>1</v>
      </c>
      <c r="BA107" s="2">
        <v>1</v>
      </c>
      <c r="BB107" s="2">
        <v>1</v>
      </c>
      <c r="BC107" s="2">
        <v>1</v>
      </c>
      <c r="BD107" s="2" t="s">
        <v>3</v>
      </c>
      <c r="BE107" s="2" t="s">
        <v>3</v>
      </c>
      <c r="BF107" s="2" t="s">
        <v>3</v>
      </c>
      <c r="BG107" s="2" t="s">
        <v>3</v>
      </c>
      <c r="BH107" s="2">
        <v>3</v>
      </c>
      <c r="BI107" s="2">
        <v>2</v>
      </c>
      <c r="BJ107" s="2" t="s">
        <v>3</v>
      </c>
      <c r="BK107" s="2"/>
      <c r="BL107" s="2"/>
      <c r="BM107" s="2">
        <v>68</v>
      </c>
      <c r="BN107" s="2">
        <v>0</v>
      </c>
      <c r="BO107" s="2" t="s">
        <v>3</v>
      </c>
      <c r="BP107" s="2">
        <v>0</v>
      </c>
      <c r="BQ107" s="2">
        <v>40</v>
      </c>
      <c r="BR107" s="2">
        <v>0</v>
      </c>
      <c r="BS107" s="2">
        <v>1</v>
      </c>
      <c r="BT107" s="2">
        <v>1</v>
      </c>
      <c r="BU107" s="2">
        <v>1</v>
      </c>
      <c r="BV107" s="2">
        <v>1</v>
      </c>
      <c r="BW107" s="2">
        <v>1</v>
      </c>
      <c r="BX107" s="2">
        <v>1</v>
      </c>
      <c r="BY107" s="2" t="s">
        <v>3</v>
      </c>
      <c r="BZ107" s="2">
        <v>90</v>
      </c>
      <c r="CA107" s="2">
        <v>46</v>
      </c>
      <c r="CB107" s="2" t="s">
        <v>3</v>
      </c>
      <c r="CC107" s="2"/>
      <c r="CD107" s="2"/>
      <c r="CE107" s="2">
        <v>30</v>
      </c>
      <c r="CF107" s="2">
        <v>0</v>
      </c>
      <c r="CG107" s="2">
        <v>0</v>
      </c>
      <c r="CH107" s="2"/>
      <c r="CI107" s="2"/>
      <c r="CJ107" s="2"/>
      <c r="CK107" s="2"/>
      <c r="CL107" s="2"/>
      <c r="CM107" s="2">
        <v>0</v>
      </c>
      <c r="CN107" s="2" t="s">
        <v>3</v>
      </c>
      <c r="CO107" s="2">
        <v>0</v>
      </c>
      <c r="CP107" s="2">
        <f t="shared" si="80"/>
        <v>168.92</v>
      </c>
      <c r="CQ107" s="2">
        <f t="shared" si="81"/>
        <v>4731.78</v>
      </c>
      <c r="CR107" s="2">
        <f t="shared" si="104"/>
        <v>0</v>
      </c>
      <c r="CS107" s="2">
        <f t="shared" si="82"/>
        <v>0</v>
      </c>
      <c r="CT107" s="2">
        <f t="shared" si="83"/>
        <v>0</v>
      </c>
      <c r="CU107" s="2">
        <f t="shared" si="84"/>
        <v>0</v>
      </c>
      <c r="CV107" s="2">
        <f t="shared" si="85"/>
        <v>0</v>
      </c>
      <c r="CW107" s="2">
        <f t="shared" si="86"/>
        <v>0</v>
      </c>
      <c r="CX107" s="2">
        <f t="shared" si="87"/>
        <v>0</v>
      </c>
      <c r="CY107" s="2">
        <f t="shared" si="88"/>
        <v>0</v>
      </c>
      <c r="CZ107" s="2">
        <f t="shared" si="89"/>
        <v>0</v>
      </c>
      <c r="DA107" s="2"/>
      <c r="DB107" s="2"/>
      <c r="DC107" s="2" t="s">
        <v>3</v>
      </c>
      <c r="DD107" s="2" t="s">
        <v>3</v>
      </c>
      <c r="DE107" s="2" t="s">
        <v>3</v>
      </c>
      <c r="DF107" s="2" t="s">
        <v>3</v>
      </c>
      <c r="DG107" s="2" t="s">
        <v>3</v>
      </c>
      <c r="DH107" s="2" t="s">
        <v>3</v>
      </c>
      <c r="DI107" s="2" t="s">
        <v>3</v>
      </c>
      <c r="DJ107" s="2" t="s">
        <v>3</v>
      </c>
      <c r="DK107" s="2" t="s">
        <v>3</v>
      </c>
      <c r="DL107" s="2" t="s">
        <v>3</v>
      </c>
      <c r="DM107" s="2" t="s">
        <v>3</v>
      </c>
      <c r="DN107" s="2">
        <v>0</v>
      </c>
      <c r="DO107" s="2">
        <v>0</v>
      </c>
      <c r="DP107" s="2">
        <v>1</v>
      </c>
      <c r="DQ107" s="2">
        <v>1</v>
      </c>
      <c r="DR107" s="2"/>
      <c r="DS107" s="2"/>
      <c r="DT107" s="2"/>
      <c r="DU107" s="2">
        <v>1003</v>
      </c>
      <c r="DV107" s="2" t="s">
        <v>181</v>
      </c>
      <c r="DW107" s="2" t="s">
        <v>181</v>
      </c>
      <c r="DX107" s="2">
        <v>1000</v>
      </c>
      <c r="DY107" s="2"/>
      <c r="DZ107" s="2" t="s">
        <v>3</v>
      </c>
      <c r="EA107" s="2" t="s">
        <v>3</v>
      </c>
      <c r="EB107" s="2" t="s">
        <v>3</v>
      </c>
      <c r="EC107" s="2" t="s">
        <v>3</v>
      </c>
      <c r="ED107" s="2"/>
      <c r="EE107" s="2">
        <v>58162630</v>
      </c>
      <c r="EF107" s="2">
        <v>40</v>
      </c>
      <c r="EG107" s="2" t="s">
        <v>25</v>
      </c>
      <c r="EH107" s="2">
        <v>0</v>
      </c>
      <c r="EI107" s="2" t="s">
        <v>3</v>
      </c>
      <c r="EJ107" s="2">
        <v>2</v>
      </c>
      <c r="EK107" s="2">
        <v>68</v>
      </c>
      <c r="EL107" s="2" t="s">
        <v>26</v>
      </c>
      <c r="EM107" s="2" t="s">
        <v>27</v>
      </c>
      <c r="EN107" s="2"/>
      <c r="EO107" s="2" t="s">
        <v>3</v>
      </c>
      <c r="EP107" s="2"/>
      <c r="EQ107" s="2">
        <v>0</v>
      </c>
      <c r="ER107" s="2">
        <v>0</v>
      </c>
      <c r="ES107" s="2">
        <v>4731.78</v>
      </c>
      <c r="ET107" s="2">
        <v>0</v>
      </c>
      <c r="EU107" s="2">
        <v>0</v>
      </c>
      <c r="EV107" s="2">
        <v>0</v>
      </c>
      <c r="EW107" s="2">
        <v>0</v>
      </c>
      <c r="EX107" s="2">
        <v>0</v>
      </c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>
        <v>0</v>
      </c>
      <c r="FR107" s="2">
        <v>0</v>
      </c>
      <c r="FS107" s="2">
        <v>0</v>
      </c>
      <c r="FT107" s="2"/>
      <c r="FU107" s="2"/>
      <c r="FV107" s="2"/>
      <c r="FW107" s="2"/>
      <c r="FX107" s="2">
        <v>90</v>
      </c>
      <c r="FY107" s="2">
        <v>46</v>
      </c>
      <c r="FZ107" s="2"/>
      <c r="GA107" s="2" t="s">
        <v>182</v>
      </c>
      <c r="GB107" s="2"/>
      <c r="GC107" s="2"/>
      <c r="GD107" s="2">
        <v>1</v>
      </c>
      <c r="GE107" s="2"/>
      <c r="GF107" s="2">
        <v>878106166</v>
      </c>
      <c r="GG107" s="2">
        <v>2</v>
      </c>
      <c r="GH107" s="2">
        <v>4</v>
      </c>
      <c r="GI107" s="2">
        <v>-2</v>
      </c>
      <c r="GJ107" s="2">
        <v>0</v>
      </c>
      <c r="GK107" s="2">
        <v>0</v>
      </c>
      <c r="GL107" s="2">
        <f t="shared" si="90"/>
        <v>0</v>
      </c>
      <c r="GM107" s="2">
        <f t="shared" si="91"/>
        <v>168.92</v>
      </c>
      <c r="GN107" s="2">
        <f t="shared" si="92"/>
        <v>0</v>
      </c>
      <c r="GO107" s="2">
        <f t="shared" si="93"/>
        <v>168.92</v>
      </c>
      <c r="GP107" s="2">
        <f t="shared" si="94"/>
        <v>0</v>
      </c>
      <c r="GQ107" s="2"/>
      <c r="GR107" s="2">
        <v>0</v>
      </c>
      <c r="GS107" s="2">
        <v>2</v>
      </c>
      <c r="GT107" s="2">
        <v>0</v>
      </c>
      <c r="GU107" s="2" t="s">
        <v>3</v>
      </c>
      <c r="GV107" s="2">
        <f t="shared" si="95"/>
        <v>0</v>
      </c>
      <c r="GW107" s="2">
        <v>1</v>
      </c>
      <c r="GX107" s="2">
        <f t="shared" si="96"/>
        <v>0</v>
      </c>
      <c r="GY107" s="2"/>
      <c r="GZ107" s="2"/>
      <c r="HA107" s="2">
        <v>0</v>
      </c>
      <c r="HB107" s="2">
        <v>0</v>
      </c>
      <c r="HC107" s="2">
        <f t="shared" si="97"/>
        <v>0</v>
      </c>
      <c r="HD107" s="2"/>
      <c r="HE107" s="2" t="s">
        <v>57</v>
      </c>
      <c r="HF107" s="2" t="s">
        <v>39</v>
      </c>
      <c r="HG107" s="2"/>
      <c r="HH107" s="2"/>
      <c r="HI107" s="2"/>
      <c r="HJ107" s="2"/>
      <c r="HK107" s="2"/>
      <c r="HL107" s="2"/>
      <c r="HM107" s="2" t="s">
        <v>3</v>
      </c>
      <c r="HN107" s="2" t="s">
        <v>3</v>
      </c>
      <c r="HO107" s="2" t="s">
        <v>3</v>
      </c>
      <c r="HP107" s="2" t="s">
        <v>3</v>
      </c>
      <c r="HQ107" s="2" t="s">
        <v>3</v>
      </c>
      <c r="HR107" s="2"/>
      <c r="HS107" s="2">
        <v>0</v>
      </c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>
        <v>0</v>
      </c>
      <c r="IL107" s="2"/>
      <c r="IM107" s="2"/>
      <c r="IN107" s="2"/>
      <c r="IO107" s="2"/>
      <c r="IP107" s="2"/>
      <c r="IQ107" s="2"/>
      <c r="IR107" s="2"/>
      <c r="IS107" s="2"/>
      <c r="IT107" s="2"/>
      <c r="IU107" s="2"/>
    </row>
    <row r="108" spans="1:255" x14ac:dyDescent="0.3">
      <c r="A108">
        <v>18</v>
      </c>
      <c r="B108">
        <v>1</v>
      </c>
      <c r="E108" t="s">
        <v>178</v>
      </c>
      <c r="F108" t="s">
        <v>179</v>
      </c>
      <c r="G108" t="s">
        <v>180</v>
      </c>
      <c r="H108" t="s">
        <v>181</v>
      </c>
      <c r="I108">
        <f>I98*J108</f>
        <v>3.5700000000000003E-2</v>
      </c>
      <c r="J108">
        <v>1.0656716417910448E-2</v>
      </c>
      <c r="K108">
        <v>1.06567E-2</v>
      </c>
      <c r="O108">
        <f t="shared" si="66"/>
        <v>1668.93</v>
      </c>
      <c r="P108">
        <f t="shared" si="67"/>
        <v>1668.93</v>
      </c>
      <c r="Q108">
        <f t="shared" si="98"/>
        <v>0</v>
      </c>
      <c r="R108">
        <f t="shared" si="68"/>
        <v>0</v>
      </c>
      <c r="S108">
        <f t="shared" si="69"/>
        <v>0</v>
      </c>
      <c r="T108">
        <f t="shared" si="70"/>
        <v>0</v>
      </c>
      <c r="U108">
        <f t="shared" si="71"/>
        <v>0</v>
      </c>
      <c r="V108">
        <f t="shared" si="72"/>
        <v>0</v>
      </c>
      <c r="W108">
        <f t="shared" si="73"/>
        <v>0</v>
      </c>
      <c r="X108">
        <f t="shared" si="74"/>
        <v>0</v>
      </c>
      <c r="Y108">
        <f t="shared" si="75"/>
        <v>0</v>
      </c>
      <c r="AA108">
        <v>56511235</v>
      </c>
      <c r="AB108">
        <f t="shared" si="76"/>
        <v>4731.78</v>
      </c>
      <c r="AC108">
        <f t="shared" si="77"/>
        <v>4731.78</v>
      </c>
      <c r="AD108">
        <f t="shared" si="99"/>
        <v>0</v>
      </c>
      <c r="AE108">
        <f t="shared" si="100"/>
        <v>0</v>
      </c>
      <c r="AF108">
        <f t="shared" si="101"/>
        <v>0</v>
      </c>
      <c r="AG108">
        <f t="shared" si="78"/>
        <v>0</v>
      </c>
      <c r="AH108">
        <f t="shared" si="102"/>
        <v>0</v>
      </c>
      <c r="AI108">
        <f t="shared" si="103"/>
        <v>0</v>
      </c>
      <c r="AJ108">
        <f t="shared" si="79"/>
        <v>0</v>
      </c>
      <c r="AK108">
        <v>4731.78</v>
      </c>
      <c r="AL108">
        <v>4731.78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90</v>
      </c>
      <c r="AU108">
        <v>46</v>
      </c>
      <c r="AV108">
        <v>1</v>
      </c>
      <c r="AW108">
        <v>1</v>
      </c>
      <c r="AZ108">
        <v>1</v>
      </c>
      <c r="BA108">
        <v>1</v>
      </c>
      <c r="BB108">
        <v>1</v>
      </c>
      <c r="BC108">
        <v>9.8800000000000008</v>
      </c>
      <c r="BD108" t="s">
        <v>3</v>
      </c>
      <c r="BE108" t="s">
        <v>3</v>
      </c>
      <c r="BF108" t="s">
        <v>3</v>
      </c>
      <c r="BG108" t="s">
        <v>3</v>
      </c>
      <c r="BH108">
        <v>3</v>
      </c>
      <c r="BI108">
        <v>2</v>
      </c>
      <c r="BJ108" t="s">
        <v>3</v>
      </c>
      <c r="BM108">
        <v>68</v>
      </c>
      <c r="BN108">
        <v>0</v>
      </c>
      <c r="BO108" t="s">
        <v>3</v>
      </c>
      <c r="BP108">
        <v>0</v>
      </c>
      <c r="BQ108">
        <v>40</v>
      </c>
      <c r="BR108">
        <v>0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 t="s">
        <v>3</v>
      </c>
      <c r="BZ108">
        <v>90</v>
      </c>
      <c r="CA108">
        <v>46</v>
      </c>
      <c r="CB108" t="s">
        <v>3</v>
      </c>
      <c r="CE108">
        <v>30</v>
      </c>
      <c r="CF108">
        <v>0</v>
      </c>
      <c r="CG108">
        <v>0</v>
      </c>
      <c r="CM108">
        <v>0</v>
      </c>
      <c r="CN108" t="s">
        <v>3</v>
      </c>
      <c r="CO108">
        <v>0</v>
      </c>
      <c r="CP108">
        <f t="shared" si="80"/>
        <v>1668.93</v>
      </c>
      <c r="CQ108">
        <f t="shared" si="81"/>
        <v>46749.99</v>
      </c>
      <c r="CR108">
        <f t="shared" si="104"/>
        <v>0</v>
      </c>
      <c r="CS108">
        <f t="shared" si="82"/>
        <v>0</v>
      </c>
      <c r="CT108">
        <f t="shared" si="83"/>
        <v>0</v>
      </c>
      <c r="CU108">
        <f t="shared" si="84"/>
        <v>0</v>
      </c>
      <c r="CV108">
        <f t="shared" si="85"/>
        <v>0</v>
      </c>
      <c r="CW108">
        <f t="shared" si="86"/>
        <v>0</v>
      </c>
      <c r="CX108">
        <f t="shared" si="87"/>
        <v>0</v>
      </c>
      <c r="CY108">
        <f t="shared" si="88"/>
        <v>0</v>
      </c>
      <c r="CZ108">
        <f t="shared" si="89"/>
        <v>0</v>
      </c>
      <c r="DC108" t="s">
        <v>3</v>
      </c>
      <c r="DD108" t="s">
        <v>3</v>
      </c>
      <c r="DE108" t="s">
        <v>3</v>
      </c>
      <c r="DF108" t="s">
        <v>3</v>
      </c>
      <c r="DG108" t="s">
        <v>3</v>
      </c>
      <c r="DH108" t="s">
        <v>3</v>
      </c>
      <c r="DI108" t="s">
        <v>3</v>
      </c>
      <c r="DJ108" t="s">
        <v>3</v>
      </c>
      <c r="DK108" t="s">
        <v>3</v>
      </c>
      <c r="DL108" t="s">
        <v>3</v>
      </c>
      <c r="DM108" t="s">
        <v>3</v>
      </c>
      <c r="DN108">
        <v>0</v>
      </c>
      <c r="DO108">
        <v>0</v>
      </c>
      <c r="DP108">
        <v>1</v>
      </c>
      <c r="DQ108">
        <v>1</v>
      </c>
      <c r="DU108">
        <v>1003</v>
      </c>
      <c r="DV108" t="s">
        <v>181</v>
      </c>
      <c r="DW108" t="s">
        <v>181</v>
      </c>
      <c r="DX108">
        <v>1000</v>
      </c>
      <c r="DZ108" t="s">
        <v>3</v>
      </c>
      <c r="EA108" t="s">
        <v>3</v>
      </c>
      <c r="EB108" t="s">
        <v>3</v>
      </c>
      <c r="EC108" t="s">
        <v>3</v>
      </c>
      <c r="EE108">
        <v>58162630</v>
      </c>
      <c r="EF108">
        <v>40</v>
      </c>
      <c r="EG108" t="s">
        <v>25</v>
      </c>
      <c r="EH108">
        <v>0</v>
      </c>
      <c r="EI108" t="s">
        <v>3</v>
      </c>
      <c r="EJ108">
        <v>2</v>
      </c>
      <c r="EK108">
        <v>68</v>
      </c>
      <c r="EL108" t="s">
        <v>26</v>
      </c>
      <c r="EM108" t="s">
        <v>27</v>
      </c>
      <c r="EO108" t="s">
        <v>3</v>
      </c>
      <c r="EQ108">
        <v>0</v>
      </c>
      <c r="ER108">
        <v>46750</v>
      </c>
      <c r="ES108">
        <v>4731.78</v>
      </c>
      <c r="ET108">
        <v>0</v>
      </c>
      <c r="EU108">
        <v>0</v>
      </c>
      <c r="EV108">
        <v>0</v>
      </c>
      <c r="EW108">
        <v>0</v>
      </c>
      <c r="EX108">
        <v>0</v>
      </c>
      <c r="EZ108">
        <v>5</v>
      </c>
      <c r="FC108">
        <v>1</v>
      </c>
      <c r="FD108">
        <v>18</v>
      </c>
      <c r="FF108">
        <v>55000</v>
      </c>
      <c r="FQ108">
        <v>0</v>
      </c>
      <c r="FR108">
        <v>0</v>
      </c>
      <c r="FS108">
        <v>0</v>
      </c>
      <c r="FX108">
        <v>90</v>
      </c>
      <c r="FY108">
        <v>46</v>
      </c>
      <c r="GA108" t="s">
        <v>182</v>
      </c>
      <c r="GD108">
        <v>1</v>
      </c>
      <c r="GF108">
        <v>878106166</v>
      </c>
      <c r="GG108">
        <v>2</v>
      </c>
      <c r="GH108">
        <v>3</v>
      </c>
      <c r="GI108">
        <v>5</v>
      </c>
      <c r="GJ108">
        <v>0</v>
      </c>
      <c r="GK108">
        <v>0</v>
      </c>
      <c r="GL108">
        <f t="shared" si="90"/>
        <v>0</v>
      </c>
      <c r="GM108">
        <f t="shared" si="91"/>
        <v>1668.93</v>
      </c>
      <c r="GN108">
        <f t="shared" si="92"/>
        <v>0</v>
      </c>
      <c r="GO108">
        <f t="shared" si="93"/>
        <v>1668.93</v>
      </c>
      <c r="GP108">
        <f t="shared" si="94"/>
        <v>0</v>
      </c>
      <c r="GR108">
        <v>1</v>
      </c>
      <c r="GS108">
        <v>1</v>
      </c>
      <c r="GT108">
        <v>0</v>
      </c>
      <c r="GU108" t="s">
        <v>3</v>
      </c>
      <c r="GV108">
        <f t="shared" si="95"/>
        <v>0</v>
      </c>
      <c r="GW108">
        <v>1</v>
      </c>
      <c r="GX108">
        <f t="shared" si="96"/>
        <v>0</v>
      </c>
      <c r="HA108">
        <v>0</v>
      </c>
      <c r="HB108">
        <v>0</v>
      </c>
      <c r="HC108">
        <f t="shared" si="97"/>
        <v>0</v>
      </c>
      <c r="HE108" t="s">
        <v>57</v>
      </c>
      <c r="HF108" t="s">
        <v>39</v>
      </c>
      <c r="HM108" t="s">
        <v>3</v>
      </c>
      <c r="HN108" t="s">
        <v>3</v>
      </c>
      <c r="HO108" t="s">
        <v>3</v>
      </c>
      <c r="HP108" t="s">
        <v>3</v>
      </c>
      <c r="HQ108" t="s">
        <v>3</v>
      </c>
      <c r="HS108">
        <v>0</v>
      </c>
      <c r="IK108">
        <v>0</v>
      </c>
    </row>
    <row r="109" spans="1:255" x14ac:dyDescent="0.3">
      <c r="A109" s="2">
        <v>18</v>
      </c>
      <c r="B109" s="2">
        <v>1</v>
      </c>
      <c r="C109" s="2"/>
      <c r="D109" s="2"/>
      <c r="E109" s="2" t="s">
        <v>183</v>
      </c>
      <c r="F109" s="2" t="s">
        <v>184</v>
      </c>
      <c r="G109" s="2" t="s">
        <v>185</v>
      </c>
      <c r="H109" s="2" t="s">
        <v>181</v>
      </c>
      <c r="I109" s="2">
        <f>I97*J109</f>
        <v>3.5700000000000003E-2</v>
      </c>
      <c r="J109" s="2">
        <v>1.0656716417910448E-2</v>
      </c>
      <c r="K109" s="2">
        <v>1.06567E-2</v>
      </c>
      <c r="L109" s="2"/>
      <c r="M109" s="2"/>
      <c r="N109" s="2"/>
      <c r="O109" s="2">
        <f t="shared" si="66"/>
        <v>1869.14</v>
      </c>
      <c r="P109" s="2">
        <f t="shared" si="67"/>
        <v>1869.14</v>
      </c>
      <c r="Q109" s="2">
        <f t="shared" si="98"/>
        <v>0</v>
      </c>
      <c r="R109" s="2">
        <f t="shared" si="68"/>
        <v>0</v>
      </c>
      <c r="S109" s="2">
        <f t="shared" si="69"/>
        <v>0</v>
      </c>
      <c r="T109" s="2">
        <f t="shared" si="70"/>
        <v>0</v>
      </c>
      <c r="U109" s="2">
        <f t="shared" si="71"/>
        <v>0</v>
      </c>
      <c r="V109" s="2">
        <f t="shared" si="72"/>
        <v>0</v>
      </c>
      <c r="W109" s="2">
        <f t="shared" si="73"/>
        <v>0</v>
      </c>
      <c r="X109" s="2">
        <f t="shared" si="74"/>
        <v>0</v>
      </c>
      <c r="Y109" s="2">
        <f t="shared" si="75"/>
        <v>0</v>
      </c>
      <c r="Z109" s="2"/>
      <c r="AA109" s="2">
        <v>56511233</v>
      </c>
      <c r="AB109" s="2">
        <f t="shared" si="76"/>
        <v>52356.73</v>
      </c>
      <c r="AC109" s="2">
        <f t="shared" si="77"/>
        <v>52356.73</v>
      </c>
      <c r="AD109" s="2">
        <f t="shared" si="99"/>
        <v>0</v>
      </c>
      <c r="AE109" s="2">
        <f t="shared" si="100"/>
        <v>0</v>
      </c>
      <c r="AF109" s="2">
        <f t="shared" si="101"/>
        <v>0</v>
      </c>
      <c r="AG109" s="2">
        <f t="shared" si="78"/>
        <v>0</v>
      </c>
      <c r="AH109" s="2">
        <f t="shared" si="102"/>
        <v>0</v>
      </c>
      <c r="AI109" s="2">
        <f t="shared" si="103"/>
        <v>0</v>
      </c>
      <c r="AJ109" s="2">
        <f t="shared" si="79"/>
        <v>0</v>
      </c>
      <c r="AK109" s="2">
        <v>52356.729999999996</v>
      </c>
      <c r="AL109" s="2">
        <v>52356.729999999996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90</v>
      </c>
      <c r="AU109" s="2">
        <v>46</v>
      </c>
      <c r="AV109" s="2">
        <v>1</v>
      </c>
      <c r="AW109" s="2">
        <v>1</v>
      </c>
      <c r="AX109" s="2"/>
      <c r="AY109" s="2"/>
      <c r="AZ109" s="2">
        <v>1</v>
      </c>
      <c r="BA109" s="2">
        <v>1</v>
      </c>
      <c r="BB109" s="2">
        <v>1</v>
      </c>
      <c r="BC109" s="2">
        <v>1</v>
      </c>
      <c r="BD109" s="2" t="s">
        <v>3</v>
      </c>
      <c r="BE109" s="2" t="s">
        <v>3</v>
      </c>
      <c r="BF109" s="2" t="s">
        <v>3</v>
      </c>
      <c r="BG109" s="2" t="s">
        <v>3</v>
      </c>
      <c r="BH109" s="2">
        <v>3</v>
      </c>
      <c r="BI109" s="2">
        <v>2</v>
      </c>
      <c r="BJ109" s="2" t="s">
        <v>3</v>
      </c>
      <c r="BK109" s="2"/>
      <c r="BL109" s="2"/>
      <c r="BM109" s="2">
        <v>68</v>
      </c>
      <c r="BN109" s="2">
        <v>0</v>
      </c>
      <c r="BO109" s="2" t="s">
        <v>3</v>
      </c>
      <c r="BP109" s="2">
        <v>0</v>
      </c>
      <c r="BQ109" s="2">
        <v>40</v>
      </c>
      <c r="BR109" s="2">
        <v>0</v>
      </c>
      <c r="BS109" s="2">
        <v>1</v>
      </c>
      <c r="BT109" s="2">
        <v>1</v>
      </c>
      <c r="BU109" s="2">
        <v>1</v>
      </c>
      <c r="BV109" s="2">
        <v>1</v>
      </c>
      <c r="BW109" s="2">
        <v>1</v>
      </c>
      <c r="BX109" s="2">
        <v>1</v>
      </c>
      <c r="BY109" s="2" t="s">
        <v>3</v>
      </c>
      <c r="BZ109" s="2">
        <v>90</v>
      </c>
      <c r="CA109" s="2">
        <v>46</v>
      </c>
      <c r="CB109" s="2" t="s">
        <v>3</v>
      </c>
      <c r="CC109" s="2"/>
      <c r="CD109" s="2"/>
      <c r="CE109" s="2">
        <v>30</v>
      </c>
      <c r="CF109" s="2">
        <v>0</v>
      </c>
      <c r="CG109" s="2">
        <v>0</v>
      </c>
      <c r="CH109" s="2"/>
      <c r="CI109" s="2"/>
      <c r="CJ109" s="2"/>
      <c r="CK109" s="2"/>
      <c r="CL109" s="2"/>
      <c r="CM109" s="2">
        <v>0</v>
      </c>
      <c r="CN109" s="2" t="s">
        <v>3</v>
      </c>
      <c r="CO109" s="2">
        <v>0</v>
      </c>
      <c r="CP109" s="2">
        <f t="shared" si="80"/>
        <v>1869.14</v>
      </c>
      <c r="CQ109" s="2">
        <f t="shared" si="81"/>
        <v>52356.73</v>
      </c>
      <c r="CR109" s="2">
        <f t="shared" si="104"/>
        <v>0</v>
      </c>
      <c r="CS109" s="2">
        <f t="shared" si="82"/>
        <v>0</v>
      </c>
      <c r="CT109" s="2">
        <f t="shared" si="83"/>
        <v>0</v>
      </c>
      <c r="CU109" s="2">
        <f t="shared" si="84"/>
        <v>0</v>
      </c>
      <c r="CV109" s="2">
        <f t="shared" si="85"/>
        <v>0</v>
      </c>
      <c r="CW109" s="2">
        <f t="shared" si="86"/>
        <v>0</v>
      </c>
      <c r="CX109" s="2">
        <f t="shared" si="87"/>
        <v>0</v>
      </c>
      <c r="CY109" s="2">
        <f t="shared" si="88"/>
        <v>0</v>
      </c>
      <c r="CZ109" s="2">
        <f t="shared" si="89"/>
        <v>0</v>
      </c>
      <c r="DA109" s="2"/>
      <c r="DB109" s="2"/>
      <c r="DC109" s="2" t="s">
        <v>3</v>
      </c>
      <c r="DD109" s="2" t="s">
        <v>3</v>
      </c>
      <c r="DE109" s="2" t="s">
        <v>3</v>
      </c>
      <c r="DF109" s="2" t="s">
        <v>3</v>
      </c>
      <c r="DG109" s="2" t="s">
        <v>3</v>
      </c>
      <c r="DH109" s="2" t="s">
        <v>3</v>
      </c>
      <c r="DI109" s="2" t="s">
        <v>3</v>
      </c>
      <c r="DJ109" s="2" t="s">
        <v>3</v>
      </c>
      <c r="DK109" s="2" t="s">
        <v>3</v>
      </c>
      <c r="DL109" s="2" t="s">
        <v>3</v>
      </c>
      <c r="DM109" s="2" t="s">
        <v>3</v>
      </c>
      <c r="DN109" s="2">
        <v>0</v>
      </c>
      <c r="DO109" s="2">
        <v>0</v>
      </c>
      <c r="DP109" s="2">
        <v>1</v>
      </c>
      <c r="DQ109" s="2">
        <v>1</v>
      </c>
      <c r="DR109" s="2"/>
      <c r="DS109" s="2"/>
      <c r="DT109" s="2"/>
      <c r="DU109" s="2">
        <v>1003</v>
      </c>
      <c r="DV109" s="2" t="s">
        <v>181</v>
      </c>
      <c r="DW109" s="2" t="s">
        <v>181</v>
      </c>
      <c r="DX109" s="2">
        <v>1000</v>
      </c>
      <c r="DY109" s="2"/>
      <c r="DZ109" s="2" t="s">
        <v>3</v>
      </c>
      <c r="EA109" s="2" t="s">
        <v>3</v>
      </c>
      <c r="EB109" s="2" t="s">
        <v>3</v>
      </c>
      <c r="EC109" s="2" t="s">
        <v>3</v>
      </c>
      <c r="ED109" s="2"/>
      <c r="EE109" s="2">
        <v>58162630</v>
      </c>
      <c r="EF109" s="2">
        <v>40</v>
      </c>
      <c r="EG109" s="2" t="s">
        <v>25</v>
      </c>
      <c r="EH109" s="2">
        <v>0</v>
      </c>
      <c r="EI109" s="2" t="s">
        <v>3</v>
      </c>
      <c r="EJ109" s="2">
        <v>2</v>
      </c>
      <c r="EK109" s="2">
        <v>68</v>
      </c>
      <c r="EL109" s="2" t="s">
        <v>26</v>
      </c>
      <c r="EM109" s="2" t="s">
        <v>27</v>
      </c>
      <c r="EN109" s="2"/>
      <c r="EO109" s="2" t="s">
        <v>3</v>
      </c>
      <c r="EP109" s="2"/>
      <c r="EQ109" s="2">
        <v>0</v>
      </c>
      <c r="ER109" s="2">
        <v>0</v>
      </c>
      <c r="ES109" s="2">
        <v>52356.729999999996</v>
      </c>
      <c r="ET109" s="2">
        <v>0</v>
      </c>
      <c r="EU109" s="2">
        <v>0</v>
      </c>
      <c r="EV109" s="2">
        <v>0</v>
      </c>
      <c r="EW109" s="2">
        <v>0</v>
      </c>
      <c r="EX109" s="2">
        <v>0</v>
      </c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>
        <v>0</v>
      </c>
      <c r="FR109" s="2">
        <v>0</v>
      </c>
      <c r="FS109" s="2">
        <v>0</v>
      </c>
      <c r="FT109" s="2"/>
      <c r="FU109" s="2"/>
      <c r="FV109" s="2"/>
      <c r="FW109" s="2"/>
      <c r="FX109" s="2">
        <v>90</v>
      </c>
      <c r="FY109" s="2">
        <v>46</v>
      </c>
      <c r="FZ109" s="2"/>
      <c r="GA109" s="2" t="s">
        <v>186</v>
      </c>
      <c r="GB109" s="2"/>
      <c r="GC109" s="2"/>
      <c r="GD109" s="2">
        <v>1</v>
      </c>
      <c r="GE109" s="2"/>
      <c r="GF109" s="2">
        <v>343940696</v>
      </c>
      <c r="GG109" s="2">
        <v>2</v>
      </c>
      <c r="GH109" s="2">
        <v>4</v>
      </c>
      <c r="GI109" s="2">
        <v>-2</v>
      </c>
      <c r="GJ109" s="2">
        <v>0</v>
      </c>
      <c r="GK109" s="2">
        <v>0</v>
      </c>
      <c r="GL109" s="2">
        <f t="shared" si="90"/>
        <v>0</v>
      </c>
      <c r="GM109" s="2">
        <f t="shared" si="91"/>
        <v>1869.14</v>
      </c>
      <c r="GN109" s="2">
        <f t="shared" si="92"/>
        <v>0</v>
      </c>
      <c r="GO109" s="2">
        <f t="shared" si="93"/>
        <v>1869.14</v>
      </c>
      <c r="GP109" s="2">
        <f t="shared" si="94"/>
        <v>0</v>
      </c>
      <c r="GQ109" s="2"/>
      <c r="GR109" s="2">
        <v>0</v>
      </c>
      <c r="GS109" s="2">
        <v>2</v>
      </c>
      <c r="GT109" s="2">
        <v>0</v>
      </c>
      <c r="GU109" s="2" t="s">
        <v>3</v>
      </c>
      <c r="GV109" s="2">
        <f t="shared" si="95"/>
        <v>0</v>
      </c>
      <c r="GW109" s="2">
        <v>1</v>
      </c>
      <c r="GX109" s="2">
        <f t="shared" si="96"/>
        <v>0</v>
      </c>
      <c r="GY109" s="2"/>
      <c r="GZ109" s="2"/>
      <c r="HA109" s="2">
        <v>0</v>
      </c>
      <c r="HB109" s="2">
        <v>0</v>
      </c>
      <c r="HC109" s="2">
        <f t="shared" si="97"/>
        <v>0</v>
      </c>
      <c r="HD109" s="2"/>
      <c r="HE109" s="2" t="s">
        <v>57</v>
      </c>
      <c r="HF109" s="2" t="s">
        <v>39</v>
      </c>
      <c r="HG109" s="2"/>
      <c r="HH109" s="2"/>
      <c r="HI109" s="2"/>
      <c r="HJ109" s="2"/>
      <c r="HK109" s="2"/>
      <c r="HL109" s="2"/>
      <c r="HM109" s="2" t="s">
        <v>3</v>
      </c>
      <c r="HN109" s="2" t="s">
        <v>3</v>
      </c>
      <c r="HO109" s="2" t="s">
        <v>3</v>
      </c>
      <c r="HP109" s="2" t="s">
        <v>3</v>
      </c>
      <c r="HQ109" s="2" t="s">
        <v>3</v>
      </c>
      <c r="HR109" s="2"/>
      <c r="HS109" s="2">
        <v>0</v>
      </c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>
        <v>0</v>
      </c>
      <c r="IL109" s="2"/>
      <c r="IM109" s="2"/>
      <c r="IN109" s="2"/>
      <c r="IO109" s="2"/>
      <c r="IP109" s="2"/>
      <c r="IQ109" s="2"/>
      <c r="IR109" s="2"/>
      <c r="IS109" s="2"/>
      <c r="IT109" s="2"/>
      <c r="IU109" s="2"/>
    </row>
    <row r="110" spans="1:255" x14ac:dyDescent="0.3">
      <c r="A110">
        <v>18</v>
      </c>
      <c r="B110">
        <v>1</v>
      </c>
      <c r="E110" t="s">
        <v>183</v>
      </c>
      <c r="F110" t="s">
        <v>184</v>
      </c>
      <c r="G110" t="s">
        <v>185</v>
      </c>
      <c r="H110" t="s">
        <v>181</v>
      </c>
      <c r="I110">
        <f>I98*J110</f>
        <v>3.5700000000000003E-2</v>
      </c>
      <c r="J110">
        <v>1.0656716417910448E-2</v>
      </c>
      <c r="K110">
        <v>1.06567E-2</v>
      </c>
      <c r="O110">
        <f t="shared" si="66"/>
        <v>18467.099999999999</v>
      </c>
      <c r="P110">
        <f t="shared" si="67"/>
        <v>18467.099999999999</v>
      </c>
      <c r="Q110">
        <f t="shared" si="98"/>
        <v>0</v>
      </c>
      <c r="R110">
        <f t="shared" si="68"/>
        <v>0</v>
      </c>
      <c r="S110">
        <f t="shared" si="69"/>
        <v>0</v>
      </c>
      <c r="T110">
        <f t="shared" si="70"/>
        <v>0</v>
      </c>
      <c r="U110">
        <f t="shared" si="71"/>
        <v>0</v>
      </c>
      <c r="V110">
        <f t="shared" si="72"/>
        <v>0</v>
      </c>
      <c r="W110">
        <f t="shared" si="73"/>
        <v>0</v>
      </c>
      <c r="X110">
        <f t="shared" si="74"/>
        <v>0</v>
      </c>
      <c r="Y110">
        <f t="shared" si="75"/>
        <v>0</v>
      </c>
      <c r="AA110">
        <v>56511235</v>
      </c>
      <c r="AB110">
        <f t="shared" si="76"/>
        <v>52356.73</v>
      </c>
      <c r="AC110">
        <f t="shared" si="77"/>
        <v>52356.73</v>
      </c>
      <c r="AD110">
        <f t="shared" si="99"/>
        <v>0</v>
      </c>
      <c r="AE110">
        <f t="shared" si="100"/>
        <v>0</v>
      </c>
      <c r="AF110">
        <f t="shared" si="101"/>
        <v>0</v>
      </c>
      <c r="AG110">
        <f t="shared" si="78"/>
        <v>0</v>
      </c>
      <c r="AH110">
        <f t="shared" si="102"/>
        <v>0</v>
      </c>
      <c r="AI110">
        <f t="shared" si="103"/>
        <v>0</v>
      </c>
      <c r="AJ110">
        <f t="shared" si="79"/>
        <v>0</v>
      </c>
      <c r="AK110">
        <v>52356.729999999996</v>
      </c>
      <c r="AL110">
        <v>52356.729999999996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90</v>
      </c>
      <c r="AU110">
        <v>46</v>
      </c>
      <c r="AV110">
        <v>1</v>
      </c>
      <c r="AW110">
        <v>1</v>
      </c>
      <c r="AZ110">
        <v>1</v>
      </c>
      <c r="BA110">
        <v>1</v>
      </c>
      <c r="BB110">
        <v>1</v>
      </c>
      <c r="BC110">
        <v>9.8800000000000008</v>
      </c>
      <c r="BD110" t="s">
        <v>3</v>
      </c>
      <c r="BE110" t="s">
        <v>3</v>
      </c>
      <c r="BF110" t="s">
        <v>3</v>
      </c>
      <c r="BG110" t="s">
        <v>3</v>
      </c>
      <c r="BH110">
        <v>3</v>
      </c>
      <c r="BI110">
        <v>2</v>
      </c>
      <c r="BJ110" t="s">
        <v>3</v>
      </c>
      <c r="BM110">
        <v>68</v>
      </c>
      <c r="BN110">
        <v>0</v>
      </c>
      <c r="BO110" t="s">
        <v>3</v>
      </c>
      <c r="BP110">
        <v>0</v>
      </c>
      <c r="BQ110">
        <v>40</v>
      </c>
      <c r="BR110">
        <v>0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 t="s">
        <v>3</v>
      </c>
      <c r="BZ110">
        <v>90</v>
      </c>
      <c r="CA110">
        <v>46</v>
      </c>
      <c r="CB110" t="s">
        <v>3</v>
      </c>
      <c r="CE110">
        <v>30</v>
      </c>
      <c r="CF110">
        <v>0</v>
      </c>
      <c r="CG110">
        <v>0</v>
      </c>
      <c r="CM110">
        <v>0</v>
      </c>
      <c r="CN110" t="s">
        <v>3</v>
      </c>
      <c r="CO110">
        <v>0</v>
      </c>
      <c r="CP110">
        <f t="shared" si="80"/>
        <v>18467.099999999999</v>
      </c>
      <c r="CQ110">
        <f t="shared" si="81"/>
        <v>517284.49</v>
      </c>
      <c r="CR110">
        <f t="shared" si="104"/>
        <v>0</v>
      </c>
      <c r="CS110">
        <f t="shared" si="82"/>
        <v>0</v>
      </c>
      <c r="CT110">
        <f t="shared" si="83"/>
        <v>0</v>
      </c>
      <c r="CU110">
        <f t="shared" si="84"/>
        <v>0</v>
      </c>
      <c r="CV110">
        <f t="shared" si="85"/>
        <v>0</v>
      </c>
      <c r="CW110">
        <f t="shared" si="86"/>
        <v>0</v>
      </c>
      <c r="CX110">
        <f t="shared" si="87"/>
        <v>0</v>
      </c>
      <c r="CY110">
        <f t="shared" si="88"/>
        <v>0</v>
      </c>
      <c r="CZ110">
        <f t="shared" si="89"/>
        <v>0</v>
      </c>
      <c r="DC110" t="s">
        <v>3</v>
      </c>
      <c r="DD110" t="s">
        <v>3</v>
      </c>
      <c r="DE110" t="s">
        <v>3</v>
      </c>
      <c r="DF110" t="s">
        <v>3</v>
      </c>
      <c r="DG110" t="s">
        <v>3</v>
      </c>
      <c r="DH110" t="s">
        <v>3</v>
      </c>
      <c r="DI110" t="s">
        <v>3</v>
      </c>
      <c r="DJ110" t="s">
        <v>3</v>
      </c>
      <c r="DK110" t="s">
        <v>3</v>
      </c>
      <c r="DL110" t="s">
        <v>3</v>
      </c>
      <c r="DM110" t="s">
        <v>3</v>
      </c>
      <c r="DN110">
        <v>0</v>
      </c>
      <c r="DO110">
        <v>0</v>
      </c>
      <c r="DP110">
        <v>1</v>
      </c>
      <c r="DQ110">
        <v>1</v>
      </c>
      <c r="DU110">
        <v>1003</v>
      </c>
      <c r="DV110" t="s">
        <v>181</v>
      </c>
      <c r="DW110" t="s">
        <v>181</v>
      </c>
      <c r="DX110">
        <v>1000</v>
      </c>
      <c r="DZ110" t="s">
        <v>3</v>
      </c>
      <c r="EA110" t="s">
        <v>3</v>
      </c>
      <c r="EB110" t="s">
        <v>3</v>
      </c>
      <c r="EC110" t="s">
        <v>3</v>
      </c>
      <c r="EE110">
        <v>58162630</v>
      </c>
      <c r="EF110">
        <v>40</v>
      </c>
      <c r="EG110" t="s">
        <v>25</v>
      </c>
      <c r="EH110">
        <v>0</v>
      </c>
      <c r="EI110" t="s">
        <v>3</v>
      </c>
      <c r="EJ110">
        <v>2</v>
      </c>
      <c r="EK110">
        <v>68</v>
      </c>
      <c r="EL110" t="s">
        <v>26</v>
      </c>
      <c r="EM110" t="s">
        <v>27</v>
      </c>
      <c r="EO110" t="s">
        <v>3</v>
      </c>
      <c r="EQ110">
        <v>0</v>
      </c>
      <c r="ER110">
        <v>517284.5</v>
      </c>
      <c r="ES110">
        <v>52356.729999999996</v>
      </c>
      <c r="ET110">
        <v>0</v>
      </c>
      <c r="EU110">
        <v>0</v>
      </c>
      <c r="EV110">
        <v>0</v>
      </c>
      <c r="EW110">
        <v>0</v>
      </c>
      <c r="EX110">
        <v>0</v>
      </c>
      <c r="EZ110">
        <v>5</v>
      </c>
      <c r="FC110">
        <v>1</v>
      </c>
      <c r="FD110">
        <v>18</v>
      </c>
      <c r="FF110">
        <v>608570</v>
      </c>
      <c r="FQ110">
        <v>0</v>
      </c>
      <c r="FR110">
        <v>0</v>
      </c>
      <c r="FS110">
        <v>0</v>
      </c>
      <c r="FX110">
        <v>90</v>
      </c>
      <c r="FY110">
        <v>46</v>
      </c>
      <c r="GA110" t="s">
        <v>186</v>
      </c>
      <c r="GD110">
        <v>1</v>
      </c>
      <c r="GF110">
        <v>343940696</v>
      </c>
      <c r="GG110">
        <v>2</v>
      </c>
      <c r="GH110">
        <v>3</v>
      </c>
      <c r="GI110">
        <v>5</v>
      </c>
      <c r="GJ110">
        <v>0</v>
      </c>
      <c r="GK110">
        <v>0</v>
      </c>
      <c r="GL110">
        <f t="shared" si="90"/>
        <v>0</v>
      </c>
      <c r="GM110">
        <f t="shared" si="91"/>
        <v>18467.099999999999</v>
      </c>
      <c r="GN110">
        <f t="shared" si="92"/>
        <v>0</v>
      </c>
      <c r="GO110">
        <f t="shared" si="93"/>
        <v>18467.099999999999</v>
      </c>
      <c r="GP110">
        <f t="shared" si="94"/>
        <v>0</v>
      </c>
      <c r="GR110">
        <v>1</v>
      </c>
      <c r="GS110">
        <v>1</v>
      </c>
      <c r="GT110">
        <v>0</v>
      </c>
      <c r="GU110" t="s">
        <v>3</v>
      </c>
      <c r="GV110">
        <f t="shared" si="95"/>
        <v>0</v>
      </c>
      <c r="GW110">
        <v>1</v>
      </c>
      <c r="GX110">
        <f t="shared" si="96"/>
        <v>0</v>
      </c>
      <c r="HA110">
        <v>0</v>
      </c>
      <c r="HB110">
        <v>0</v>
      </c>
      <c r="HC110">
        <f t="shared" si="97"/>
        <v>0</v>
      </c>
      <c r="HE110" t="s">
        <v>57</v>
      </c>
      <c r="HF110" t="s">
        <v>39</v>
      </c>
      <c r="HM110" t="s">
        <v>3</v>
      </c>
      <c r="HN110" t="s">
        <v>3</v>
      </c>
      <c r="HO110" t="s">
        <v>3</v>
      </c>
      <c r="HP110" t="s">
        <v>3</v>
      </c>
      <c r="HQ110" t="s">
        <v>3</v>
      </c>
      <c r="HS110">
        <v>0</v>
      </c>
      <c r="IK110">
        <v>0</v>
      </c>
    </row>
    <row r="111" spans="1:255" x14ac:dyDescent="0.3">
      <c r="A111" s="2">
        <v>18</v>
      </c>
      <c r="B111" s="2">
        <v>1</v>
      </c>
      <c r="C111" s="2"/>
      <c r="D111" s="2"/>
      <c r="E111" s="2" t="s">
        <v>187</v>
      </c>
      <c r="F111" s="2" t="s">
        <v>188</v>
      </c>
      <c r="G111" s="2" t="s">
        <v>189</v>
      </c>
      <c r="H111" s="2" t="s">
        <v>181</v>
      </c>
      <c r="I111" s="2">
        <f>I97*J111</f>
        <v>0.91290000000000004</v>
      </c>
      <c r="J111" s="2">
        <v>0.27250746268656717</v>
      </c>
      <c r="K111" s="2">
        <v>0.27250750000000001</v>
      </c>
      <c r="L111" s="2"/>
      <c r="M111" s="2"/>
      <c r="N111" s="2"/>
      <c r="O111" s="2">
        <f t="shared" si="66"/>
        <v>24347.08</v>
      </c>
      <c r="P111" s="2">
        <f t="shared" si="67"/>
        <v>24347.08</v>
      </c>
      <c r="Q111" s="2">
        <f t="shared" si="98"/>
        <v>0</v>
      </c>
      <c r="R111" s="2">
        <f t="shared" si="68"/>
        <v>0</v>
      </c>
      <c r="S111" s="2">
        <f t="shared" si="69"/>
        <v>0</v>
      </c>
      <c r="T111" s="2">
        <f t="shared" si="70"/>
        <v>0</v>
      </c>
      <c r="U111" s="2">
        <f t="shared" si="71"/>
        <v>0</v>
      </c>
      <c r="V111" s="2">
        <f t="shared" si="72"/>
        <v>0</v>
      </c>
      <c r="W111" s="2">
        <f t="shared" si="73"/>
        <v>0</v>
      </c>
      <c r="X111" s="2">
        <f t="shared" si="74"/>
        <v>0</v>
      </c>
      <c r="Y111" s="2">
        <f t="shared" si="75"/>
        <v>0</v>
      </c>
      <c r="Z111" s="2"/>
      <c r="AA111" s="2">
        <v>56511233</v>
      </c>
      <c r="AB111" s="2">
        <f t="shared" si="76"/>
        <v>26670.04</v>
      </c>
      <c r="AC111" s="2">
        <f t="shared" si="77"/>
        <v>26670.04</v>
      </c>
      <c r="AD111" s="2">
        <f t="shared" si="99"/>
        <v>0</v>
      </c>
      <c r="AE111" s="2">
        <f t="shared" si="100"/>
        <v>0</v>
      </c>
      <c r="AF111" s="2">
        <f t="shared" si="101"/>
        <v>0</v>
      </c>
      <c r="AG111" s="2">
        <f t="shared" si="78"/>
        <v>0</v>
      </c>
      <c r="AH111" s="2">
        <f t="shared" si="102"/>
        <v>0</v>
      </c>
      <c r="AI111" s="2">
        <f t="shared" si="103"/>
        <v>0</v>
      </c>
      <c r="AJ111" s="2">
        <f t="shared" si="79"/>
        <v>0</v>
      </c>
      <c r="AK111" s="2">
        <v>26670.039999999997</v>
      </c>
      <c r="AL111" s="2">
        <v>26670.039999999997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90</v>
      </c>
      <c r="AU111" s="2">
        <v>46</v>
      </c>
      <c r="AV111" s="2">
        <v>1</v>
      </c>
      <c r="AW111" s="2">
        <v>1</v>
      </c>
      <c r="AX111" s="2"/>
      <c r="AY111" s="2"/>
      <c r="AZ111" s="2">
        <v>1</v>
      </c>
      <c r="BA111" s="2">
        <v>1</v>
      </c>
      <c r="BB111" s="2">
        <v>1</v>
      </c>
      <c r="BC111" s="2">
        <v>1</v>
      </c>
      <c r="BD111" s="2" t="s">
        <v>3</v>
      </c>
      <c r="BE111" s="2" t="s">
        <v>3</v>
      </c>
      <c r="BF111" s="2" t="s">
        <v>3</v>
      </c>
      <c r="BG111" s="2" t="s">
        <v>3</v>
      </c>
      <c r="BH111" s="2">
        <v>3</v>
      </c>
      <c r="BI111" s="2">
        <v>2</v>
      </c>
      <c r="BJ111" s="2" t="s">
        <v>3</v>
      </c>
      <c r="BK111" s="2"/>
      <c r="BL111" s="2"/>
      <c r="BM111" s="2">
        <v>68</v>
      </c>
      <c r="BN111" s="2">
        <v>0</v>
      </c>
      <c r="BO111" s="2" t="s">
        <v>3</v>
      </c>
      <c r="BP111" s="2">
        <v>0</v>
      </c>
      <c r="BQ111" s="2">
        <v>40</v>
      </c>
      <c r="BR111" s="2">
        <v>0</v>
      </c>
      <c r="BS111" s="2">
        <v>1</v>
      </c>
      <c r="BT111" s="2">
        <v>1</v>
      </c>
      <c r="BU111" s="2">
        <v>1</v>
      </c>
      <c r="BV111" s="2">
        <v>1</v>
      </c>
      <c r="BW111" s="2">
        <v>1</v>
      </c>
      <c r="BX111" s="2">
        <v>1</v>
      </c>
      <c r="BY111" s="2" t="s">
        <v>3</v>
      </c>
      <c r="BZ111" s="2">
        <v>90</v>
      </c>
      <c r="CA111" s="2">
        <v>46</v>
      </c>
      <c r="CB111" s="2" t="s">
        <v>3</v>
      </c>
      <c r="CC111" s="2"/>
      <c r="CD111" s="2"/>
      <c r="CE111" s="2">
        <v>30</v>
      </c>
      <c r="CF111" s="2">
        <v>0</v>
      </c>
      <c r="CG111" s="2">
        <v>0</v>
      </c>
      <c r="CH111" s="2"/>
      <c r="CI111" s="2"/>
      <c r="CJ111" s="2"/>
      <c r="CK111" s="2"/>
      <c r="CL111" s="2"/>
      <c r="CM111" s="2">
        <v>0</v>
      </c>
      <c r="CN111" s="2" t="s">
        <v>3</v>
      </c>
      <c r="CO111" s="2">
        <v>0</v>
      </c>
      <c r="CP111" s="2">
        <f t="shared" si="80"/>
        <v>24347.08</v>
      </c>
      <c r="CQ111" s="2">
        <f t="shared" si="81"/>
        <v>26670.04</v>
      </c>
      <c r="CR111" s="2">
        <f t="shared" si="104"/>
        <v>0</v>
      </c>
      <c r="CS111" s="2">
        <f t="shared" si="82"/>
        <v>0</v>
      </c>
      <c r="CT111" s="2">
        <f t="shared" si="83"/>
        <v>0</v>
      </c>
      <c r="CU111" s="2">
        <f t="shared" si="84"/>
        <v>0</v>
      </c>
      <c r="CV111" s="2">
        <f t="shared" si="85"/>
        <v>0</v>
      </c>
      <c r="CW111" s="2">
        <f t="shared" si="86"/>
        <v>0</v>
      </c>
      <c r="CX111" s="2">
        <f t="shared" si="87"/>
        <v>0</v>
      </c>
      <c r="CY111" s="2">
        <f t="shared" si="88"/>
        <v>0</v>
      </c>
      <c r="CZ111" s="2">
        <f t="shared" si="89"/>
        <v>0</v>
      </c>
      <c r="DA111" s="2"/>
      <c r="DB111" s="2"/>
      <c r="DC111" s="2" t="s">
        <v>3</v>
      </c>
      <c r="DD111" s="2" t="s">
        <v>3</v>
      </c>
      <c r="DE111" s="2" t="s">
        <v>3</v>
      </c>
      <c r="DF111" s="2" t="s">
        <v>3</v>
      </c>
      <c r="DG111" s="2" t="s">
        <v>3</v>
      </c>
      <c r="DH111" s="2" t="s">
        <v>3</v>
      </c>
      <c r="DI111" s="2" t="s">
        <v>3</v>
      </c>
      <c r="DJ111" s="2" t="s">
        <v>3</v>
      </c>
      <c r="DK111" s="2" t="s">
        <v>3</v>
      </c>
      <c r="DL111" s="2" t="s">
        <v>3</v>
      </c>
      <c r="DM111" s="2" t="s">
        <v>3</v>
      </c>
      <c r="DN111" s="2">
        <v>0</v>
      </c>
      <c r="DO111" s="2">
        <v>0</v>
      </c>
      <c r="DP111" s="2">
        <v>1</v>
      </c>
      <c r="DQ111" s="2">
        <v>1</v>
      </c>
      <c r="DR111" s="2"/>
      <c r="DS111" s="2"/>
      <c r="DT111" s="2"/>
      <c r="DU111" s="2">
        <v>1003</v>
      </c>
      <c r="DV111" s="2" t="s">
        <v>181</v>
      </c>
      <c r="DW111" s="2" t="s">
        <v>181</v>
      </c>
      <c r="DX111" s="2">
        <v>1000</v>
      </c>
      <c r="DY111" s="2"/>
      <c r="DZ111" s="2" t="s">
        <v>3</v>
      </c>
      <c r="EA111" s="2" t="s">
        <v>3</v>
      </c>
      <c r="EB111" s="2" t="s">
        <v>3</v>
      </c>
      <c r="EC111" s="2" t="s">
        <v>3</v>
      </c>
      <c r="ED111" s="2"/>
      <c r="EE111" s="2">
        <v>58162630</v>
      </c>
      <c r="EF111" s="2">
        <v>40</v>
      </c>
      <c r="EG111" s="2" t="s">
        <v>25</v>
      </c>
      <c r="EH111" s="2">
        <v>0</v>
      </c>
      <c r="EI111" s="2" t="s">
        <v>3</v>
      </c>
      <c r="EJ111" s="2">
        <v>2</v>
      </c>
      <c r="EK111" s="2">
        <v>68</v>
      </c>
      <c r="EL111" s="2" t="s">
        <v>26</v>
      </c>
      <c r="EM111" s="2" t="s">
        <v>27</v>
      </c>
      <c r="EN111" s="2"/>
      <c r="EO111" s="2" t="s">
        <v>3</v>
      </c>
      <c r="EP111" s="2"/>
      <c r="EQ111" s="2">
        <v>0</v>
      </c>
      <c r="ER111" s="2">
        <v>0</v>
      </c>
      <c r="ES111" s="2">
        <v>26670.039999999997</v>
      </c>
      <c r="ET111" s="2">
        <v>0</v>
      </c>
      <c r="EU111" s="2">
        <v>0</v>
      </c>
      <c r="EV111" s="2">
        <v>0</v>
      </c>
      <c r="EW111" s="2">
        <v>0</v>
      </c>
      <c r="EX111" s="2">
        <v>0</v>
      </c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>
        <v>0</v>
      </c>
      <c r="FR111" s="2">
        <v>0</v>
      </c>
      <c r="FS111" s="2">
        <v>0</v>
      </c>
      <c r="FT111" s="2"/>
      <c r="FU111" s="2"/>
      <c r="FV111" s="2"/>
      <c r="FW111" s="2"/>
      <c r="FX111" s="2">
        <v>90</v>
      </c>
      <c r="FY111" s="2">
        <v>46</v>
      </c>
      <c r="FZ111" s="2"/>
      <c r="GA111" s="2" t="s">
        <v>190</v>
      </c>
      <c r="GB111" s="2"/>
      <c r="GC111" s="2"/>
      <c r="GD111" s="2">
        <v>1</v>
      </c>
      <c r="GE111" s="2"/>
      <c r="GF111" s="2">
        <v>-407592442</v>
      </c>
      <c r="GG111" s="2">
        <v>2</v>
      </c>
      <c r="GH111" s="2">
        <v>4</v>
      </c>
      <c r="GI111" s="2">
        <v>-2</v>
      </c>
      <c r="GJ111" s="2">
        <v>0</v>
      </c>
      <c r="GK111" s="2">
        <v>0</v>
      </c>
      <c r="GL111" s="2">
        <f t="shared" si="90"/>
        <v>0</v>
      </c>
      <c r="GM111" s="2">
        <f t="shared" si="91"/>
        <v>24347.08</v>
      </c>
      <c r="GN111" s="2">
        <f t="shared" si="92"/>
        <v>0</v>
      </c>
      <c r="GO111" s="2">
        <f t="shared" si="93"/>
        <v>24347.08</v>
      </c>
      <c r="GP111" s="2">
        <f t="shared" si="94"/>
        <v>0</v>
      </c>
      <c r="GQ111" s="2"/>
      <c r="GR111" s="2">
        <v>0</v>
      </c>
      <c r="GS111" s="2">
        <v>2</v>
      </c>
      <c r="GT111" s="2">
        <v>0</v>
      </c>
      <c r="GU111" s="2" t="s">
        <v>3</v>
      </c>
      <c r="GV111" s="2">
        <f t="shared" si="95"/>
        <v>0</v>
      </c>
      <c r="GW111" s="2">
        <v>1</v>
      </c>
      <c r="GX111" s="2">
        <f t="shared" si="96"/>
        <v>0</v>
      </c>
      <c r="GY111" s="2"/>
      <c r="GZ111" s="2"/>
      <c r="HA111" s="2">
        <v>0</v>
      </c>
      <c r="HB111" s="2">
        <v>0</v>
      </c>
      <c r="HC111" s="2">
        <f t="shared" si="97"/>
        <v>0</v>
      </c>
      <c r="HD111" s="2"/>
      <c r="HE111" s="2" t="s">
        <v>57</v>
      </c>
      <c r="HF111" s="2" t="s">
        <v>39</v>
      </c>
      <c r="HG111" s="2"/>
      <c r="HH111" s="2"/>
      <c r="HI111" s="2"/>
      <c r="HJ111" s="2"/>
      <c r="HK111" s="2"/>
      <c r="HL111" s="2"/>
      <c r="HM111" s="2" t="s">
        <v>3</v>
      </c>
      <c r="HN111" s="2" t="s">
        <v>3</v>
      </c>
      <c r="HO111" s="2" t="s">
        <v>3</v>
      </c>
      <c r="HP111" s="2" t="s">
        <v>3</v>
      </c>
      <c r="HQ111" s="2" t="s">
        <v>3</v>
      </c>
      <c r="HR111" s="2"/>
      <c r="HS111" s="2">
        <v>0</v>
      </c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>
        <v>0</v>
      </c>
      <c r="IL111" s="2"/>
      <c r="IM111" s="2"/>
      <c r="IN111" s="2"/>
      <c r="IO111" s="2"/>
      <c r="IP111" s="2"/>
      <c r="IQ111" s="2"/>
      <c r="IR111" s="2"/>
      <c r="IS111" s="2"/>
      <c r="IT111" s="2"/>
      <c r="IU111" s="2"/>
    </row>
    <row r="112" spans="1:255" x14ac:dyDescent="0.3">
      <c r="A112">
        <v>18</v>
      </c>
      <c r="B112">
        <v>1</v>
      </c>
      <c r="E112" t="s">
        <v>187</v>
      </c>
      <c r="F112" t="s">
        <v>188</v>
      </c>
      <c r="G112" t="s">
        <v>189</v>
      </c>
      <c r="H112" t="s">
        <v>181</v>
      </c>
      <c r="I112">
        <f>I98*J112</f>
        <v>0.91290000000000004</v>
      </c>
      <c r="J112">
        <v>0.27250746268656717</v>
      </c>
      <c r="K112">
        <v>0.27250750000000001</v>
      </c>
      <c r="O112">
        <f t="shared" si="66"/>
        <v>240549.15</v>
      </c>
      <c r="P112">
        <f t="shared" si="67"/>
        <v>240549.15</v>
      </c>
      <c r="Q112">
        <f t="shared" si="98"/>
        <v>0</v>
      </c>
      <c r="R112">
        <f t="shared" si="68"/>
        <v>0</v>
      </c>
      <c r="S112">
        <f t="shared" si="69"/>
        <v>0</v>
      </c>
      <c r="T112">
        <f t="shared" si="70"/>
        <v>0</v>
      </c>
      <c r="U112">
        <f t="shared" si="71"/>
        <v>0</v>
      </c>
      <c r="V112">
        <f t="shared" si="72"/>
        <v>0</v>
      </c>
      <c r="W112">
        <f t="shared" si="73"/>
        <v>0</v>
      </c>
      <c r="X112">
        <f t="shared" si="74"/>
        <v>0</v>
      </c>
      <c r="Y112">
        <f t="shared" si="75"/>
        <v>0</v>
      </c>
      <c r="AA112">
        <v>56511235</v>
      </c>
      <c r="AB112">
        <f t="shared" si="76"/>
        <v>26670.04</v>
      </c>
      <c r="AC112">
        <f t="shared" si="77"/>
        <v>26670.04</v>
      </c>
      <c r="AD112">
        <f t="shared" si="99"/>
        <v>0</v>
      </c>
      <c r="AE112">
        <f t="shared" si="100"/>
        <v>0</v>
      </c>
      <c r="AF112">
        <f t="shared" si="101"/>
        <v>0</v>
      </c>
      <c r="AG112">
        <f t="shared" si="78"/>
        <v>0</v>
      </c>
      <c r="AH112">
        <f t="shared" si="102"/>
        <v>0</v>
      </c>
      <c r="AI112">
        <f t="shared" si="103"/>
        <v>0</v>
      </c>
      <c r="AJ112">
        <f t="shared" si="79"/>
        <v>0</v>
      </c>
      <c r="AK112">
        <v>26670.039999999997</v>
      </c>
      <c r="AL112">
        <v>26670.039999999997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90</v>
      </c>
      <c r="AU112">
        <v>46</v>
      </c>
      <c r="AV112">
        <v>1</v>
      </c>
      <c r="AW112">
        <v>1</v>
      </c>
      <c r="AZ112">
        <v>1</v>
      </c>
      <c r="BA112">
        <v>1</v>
      </c>
      <c r="BB112">
        <v>1</v>
      </c>
      <c r="BC112">
        <v>9.8800000000000008</v>
      </c>
      <c r="BD112" t="s">
        <v>3</v>
      </c>
      <c r="BE112" t="s">
        <v>3</v>
      </c>
      <c r="BF112" t="s">
        <v>3</v>
      </c>
      <c r="BG112" t="s">
        <v>3</v>
      </c>
      <c r="BH112">
        <v>3</v>
      </c>
      <c r="BI112">
        <v>2</v>
      </c>
      <c r="BJ112" t="s">
        <v>3</v>
      </c>
      <c r="BM112">
        <v>68</v>
      </c>
      <c r="BN112">
        <v>0</v>
      </c>
      <c r="BO112" t="s">
        <v>3</v>
      </c>
      <c r="BP112">
        <v>0</v>
      </c>
      <c r="BQ112">
        <v>40</v>
      </c>
      <c r="BR112">
        <v>0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 t="s">
        <v>3</v>
      </c>
      <c r="BZ112">
        <v>90</v>
      </c>
      <c r="CA112">
        <v>46</v>
      </c>
      <c r="CB112" t="s">
        <v>3</v>
      </c>
      <c r="CE112">
        <v>30</v>
      </c>
      <c r="CF112">
        <v>0</v>
      </c>
      <c r="CG112">
        <v>0</v>
      </c>
      <c r="CM112">
        <v>0</v>
      </c>
      <c r="CN112" t="s">
        <v>3</v>
      </c>
      <c r="CO112">
        <v>0</v>
      </c>
      <c r="CP112">
        <f t="shared" si="80"/>
        <v>240549.15</v>
      </c>
      <c r="CQ112">
        <f t="shared" si="81"/>
        <v>263500</v>
      </c>
      <c r="CR112">
        <f t="shared" si="104"/>
        <v>0</v>
      </c>
      <c r="CS112">
        <f t="shared" si="82"/>
        <v>0</v>
      </c>
      <c r="CT112">
        <f t="shared" si="83"/>
        <v>0</v>
      </c>
      <c r="CU112">
        <f t="shared" si="84"/>
        <v>0</v>
      </c>
      <c r="CV112">
        <f t="shared" si="85"/>
        <v>0</v>
      </c>
      <c r="CW112">
        <f t="shared" si="86"/>
        <v>0</v>
      </c>
      <c r="CX112">
        <f t="shared" si="87"/>
        <v>0</v>
      </c>
      <c r="CY112">
        <f t="shared" si="88"/>
        <v>0</v>
      </c>
      <c r="CZ112">
        <f t="shared" si="89"/>
        <v>0</v>
      </c>
      <c r="DC112" t="s">
        <v>3</v>
      </c>
      <c r="DD112" t="s">
        <v>3</v>
      </c>
      <c r="DE112" t="s">
        <v>3</v>
      </c>
      <c r="DF112" t="s">
        <v>3</v>
      </c>
      <c r="DG112" t="s">
        <v>3</v>
      </c>
      <c r="DH112" t="s">
        <v>3</v>
      </c>
      <c r="DI112" t="s">
        <v>3</v>
      </c>
      <c r="DJ112" t="s">
        <v>3</v>
      </c>
      <c r="DK112" t="s">
        <v>3</v>
      </c>
      <c r="DL112" t="s">
        <v>3</v>
      </c>
      <c r="DM112" t="s">
        <v>3</v>
      </c>
      <c r="DN112">
        <v>0</v>
      </c>
      <c r="DO112">
        <v>0</v>
      </c>
      <c r="DP112">
        <v>1</v>
      </c>
      <c r="DQ112">
        <v>1</v>
      </c>
      <c r="DU112">
        <v>1003</v>
      </c>
      <c r="DV112" t="s">
        <v>181</v>
      </c>
      <c r="DW112" t="s">
        <v>181</v>
      </c>
      <c r="DX112">
        <v>1000</v>
      </c>
      <c r="DZ112" t="s">
        <v>3</v>
      </c>
      <c r="EA112" t="s">
        <v>3</v>
      </c>
      <c r="EB112" t="s">
        <v>3</v>
      </c>
      <c r="EC112" t="s">
        <v>3</v>
      </c>
      <c r="EE112">
        <v>58162630</v>
      </c>
      <c r="EF112">
        <v>40</v>
      </c>
      <c r="EG112" t="s">
        <v>25</v>
      </c>
      <c r="EH112">
        <v>0</v>
      </c>
      <c r="EI112" t="s">
        <v>3</v>
      </c>
      <c r="EJ112">
        <v>2</v>
      </c>
      <c r="EK112">
        <v>68</v>
      </c>
      <c r="EL112" t="s">
        <v>26</v>
      </c>
      <c r="EM112" t="s">
        <v>27</v>
      </c>
      <c r="EO112" t="s">
        <v>3</v>
      </c>
      <c r="EQ112">
        <v>0</v>
      </c>
      <c r="ER112">
        <v>263500</v>
      </c>
      <c r="ES112">
        <v>26670.039999999997</v>
      </c>
      <c r="ET112">
        <v>0</v>
      </c>
      <c r="EU112">
        <v>0</v>
      </c>
      <c r="EV112">
        <v>0</v>
      </c>
      <c r="EW112">
        <v>0</v>
      </c>
      <c r="EX112">
        <v>0</v>
      </c>
      <c r="EZ112">
        <v>5</v>
      </c>
      <c r="FC112">
        <v>1</v>
      </c>
      <c r="FD112">
        <v>18</v>
      </c>
      <c r="FF112">
        <v>310000</v>
      </c>
      <c r="FQ112">
        <v>0</v>
      </c>
      <c r="FR112">
        <v>0</v>
      </c>
      <c r="FS112">
        <v>0</v>
      </c>
      <c r="FX112">
        <v>90</v>
      </c>
      <c r="FY112">
        <v>46</v>
      </c>
      <c r="GA112" t="s">
        <v>190</v>
      </c>
      <c r="GD112">
        <v>1</v>
      </c>
      <c r="GF112">
        <v>-407592442</v>
      </c>
      <c r="GG112">
        <v>2</v>
      </c>
      <c r="GH112">
        <v>3</v>
      </c>
      <c r="GI112">
        <v>5</v>
      </c>
      <c r="GJ112">
        <v>0</v>
      </c>
      <c r="GK112">
        <v>0</v>
      </c>
      <c r="GL112">
        <f t="shared" si="90"/>
        <v>0</v>
      </c>
      <c r="GM112">
        <f t="shared" si="91"/>
        <v>240549.15</v>
      </c>
      <c r="GN112">
        <f t="shared" si="92"/>
        <v>0</v>
      </c>
      <c r="GO112">
        <f t="shared" si="93"/>
        <v>240549.15</v>
      </c>
      <c r="GP112">
        <f t="shared" si="94"/>
        <v>0</v>
      </c>
      <c r="GR112">
        <v>1</v>
      </c>
      <c r="GS112">
        <v>1</v>
      </c>
      <c r="GT112">
        <v>0</v>
      </c>
      <c r="GU112" t="s">
        <v>3</v>
      </c>
      <c r="GV112">
        <f t="shared" si="95"/>
        <v>0</v>
      </c>
      <c r="GW112">
        <v>1</v>
      </c>
      <c r="GX112">
        <f t="shared" si="96"/>
        <v>0</v>
      </c>
      <c r="HA112">
        <v>0</v>
      </c>
      <c r="HB112">
        <v>0</v>
      </c>
      <c r="HC112">
        <f t="shared" si="97"/>
        <v>0</v>
      </c>
      <c r="HE112" t="s">
        <v>57</v>
      </c>
      <c r="HF112" t="s">
        <v>39</v>
      </c>
      <c r="HM112" t="s">
        <v>3</v>
      </c>
      <c r="HN112" t="s">
        <v>3</v>
      </c>
      <c r="HO112" t="s">
        <v>3</v>
      </c>
      <c r="HP112" t="s">
        <v>3</v>
      </c>
      <c r="HQ112" t="s">
        <v>3</v>
      </c>
      <c r="HS112">
        <v>0</v>
      </c>
      <c r="IK112">
        <v>0</v>
      </c>
    </row>
    <row r="113" spans="1:255" x14ac:dyDescent="0.3">
      <c r="A113" s="2">
        <v>18</v>
      </c>
      <c r="B113" s="2">
        <v>1</v>
      </c>
      <c r="C113" s="2"/>
      <c r="D113" s="2"/>
      <c r="E113" s="2" t="s">
        <v>191</v>
      </c>
      <c r="F113" s="2" t="s">
        <v>192</v>
      </c>
      <c r="G113" s="2" t="s">
        <v>193</v>
      </c>
      <c r="H113" s="2" t="s">
        <v>181</v>
      </c>
      <c r="I113" s="2">
        <f>I97*J113</f>
        <v>1.5299999999999999E-2</v>
      </c>
      <c r="J113" s="2">
        <v>4.5671641791044772E-3</v>
      </c>
      <c r="K113" s="2">
        <v>4.5672000000000004E-3</v>
      </c>
      <c r="L113" s="2"/>
      <c r="M113" s="2"/>
      <c r="N113" s="2"/>
      <c r="O113" s="2">
        <f t="shared" si="66"/>
        <v>59.59</v>
      </c>
      <c r="P113" s="2">
        <f t="shared" si="67"/>
        <v>59.59</v>
      </c>
      <c r="Q113" s="2">
        <f t="shared" si="98"/>
        <v>0</v>
      </c>
      <c r="R113" s="2">
        <f t="shared" si="68"/>
        <v>0</v>
      </c>
      <c r="S113" s="2">
        <f t="shared" si="69"/>
        <v>0</v>
      </c>
      <c r="T113" s="2">
        <f t="shared" si="70"/>
        <v>0</v>
      </c>
      <c r="U113" s="2">
        <f t="shared" si="71"/>
        <v>0</v>
      </c>
      <c r="V113" s="2">
        <f t="shared" si="72"/>
        <v>0</v>
      </c>
      <c r="W113" s="2">
        <f t="shared" si="73"/>
        <v>0</v>
      </c>
      <c r="X113" s="2">
        <f t="shared" si="74"/>
        <v>0</v>
      </c>
      <c r="Y113" s="2">
        <f t="shared" si="75"/>
        <v>0</v>
      </c>
      <c r="Z113" s="2"/>
      <c r="AA113" s="2">
        <v>56511233</v>
      </c>
      <c r="AB113" s="2">
        <f t="shared" si="76"/>
        <v>3894.69</v>
      </c>
      <c r="AC113" s="2">
        <f t="shared" si="77"/>
        <v>3894.69</v>
      </c>
      <c r="AD113" s="2">
        <f t="shared" si="99"/>
        <v>0</v>
      </c>
      <c r="AE113" s="2">
        <f t="shared" si="100"/>
        <v>0</v>
      </c>
      <c r="AF113" s="2">
        <f t="shared" si="101"/>
        <v>0</v>
      </c>
      <c r="AG113" s="2">
        <f t="shared" si="78"/>
        <v>0</v>
      </c>
      <c r="AH113" s="2">
        <f t="shared" si="102"/>
        <v>0</v>
      </c>
      <c r="AI113" s="2">
        <f t="shared" si="103"/>
        <v>0</v>
      </c>
      <c r="AJ113" s="2">
        <f t="shared" si="79"/>
        <v>0</v>
      </c>
      <c r="AK113" s="2">
        <v>3894.69</v>
      </c>
      <c r="AL113" s="2">
        <v>3894.69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90</v>
      </c>
      <c r="AU113" s="2">
        <v>46</v>
      </c>
      <c r="AV113" s="2">
        <v>1</v>
      </c>
      <c r="AW113" s="2">
        <v>1</v>
      </c>
      <c r="AX113" s="2"/>
      <c r="AY113" s="2"/>
      <c r="AZ113" s="2">
        <v>1</v>
      </c>
      <c r="BA113" s="2">
        <v>1</v>
      </c>
      <c r="BB113" s="2">
        <v>1</v>
      </c>
      <c r="BC113" s="2">
        <v>1</v>
      </c>
      <c r="BD113" s="2" t="s">
        <v>3</v>
      </c>
      <c r="BE113" s="2" t="s">
        <v>3</v>
      </c>
      <c r="BF113" s="2" t="s">
        <v>3</v>
      </c>
      <c r="BG113" s="2" t="s">
        <v>3</v>
      </c>
      <c r="BH113" s="2">
        <v>3</v>
      </c>
      <c r="BI113" s="2">
        <v>2</v>
      </c>
      <c r="BJ113" s="2" t="s">
        <v>3</v>
      </c>
      <c r="BK113" s="2"/>
      <c r="BL113" s="2"/>
      <c r="BM113" s="2">
        <v>68</v>
      </c>
      <c r="BN113" s="2">
        <v>0</v>
      </c>
      <c r="BO113" s="2" t="s">
        <v>3</v>
      </c>
      <c r="BP113" s="2">
        <v>0</v>
      </c>
      <c r="BQ113" s="2">
        <v>40</v>
      </c>
      <c r="BR113" s="2">
        <v>0</v>
      </c>
      <c r="BS113" s="2">
        <v>1</v>
      </c>
      <c r="BT113" s="2">
        <v>1</v>
      </c>
      <c r="BU113" s="2">
        <v>1</v>
      </c>
      <c r="BV113" s="2">
        <v>1</v>
      </c>
      <c r="BW113" s="2">
        <v>1</v>
      </c>
      <c r="BX113" s="2">
        <v>1</v>
      </c>
      <c r="BY113" s="2" t="s">
        <v>3</v>
      </c>
      <c r="BZ113" s="2">
        <v>90</v>
      </c>
      <c r="CA113" s="2">
        <v>46</v>
      </c>
      <c r="CB113" s="2" t="s">
        <v>3</v>
      </c>
      <c r="CC113" s="2"/>
      <c r="CD113" s="2"/>
      <c r="CE113" s="2">
        <v>30</v>
      </c>
      <c r="CF113" s="2">
        <v>0</v>
      </c>
      <c r="CG113" s="2">
        <v>0</v>
      </c>
      <c r="CH113" s="2"/>
      <c r="CI113" s="2"/>
      <c r="CJ113" s="2"/>
      <c r="CK113" s="2"/>
      <c r="CL113" s="2"/>
      <c r="CM113" s="2">
        <v>0</v>
      </c>
      <c r="CN113" s="2" t="s">
        <v>3</v>
      </c>
      <c r="CO113" s="2">
        <v>0</v>
      </c>
      <c r="CP113" s="2">
        <f t="shared" si="80"/>
        <v>59.59</v>
      </c>
      <c r="CQ113" s="2">
        <f t="shared" si="81"/>
        <v>3894.69</v>
      </c>
      <c r="CR113" s="2">
        <f t="shared" si="104"/>
        <v>0</v>
      </c>
      <c r="CS113" s="2">
        <f t="shared" si="82"/>
        <v>0</v>
      </c>
      <c r="CT113" s="2">
        <f t="shared" si="83"/>
        <v>0</v>
      </c>
      <c r="CU113" s="2">
        <f t="shared" si="84"/>
        <v>0</v>
      </c>
      <c r="CV113" s="2">
        <f t="shared" si="85"/>
        <v>0</v>
      </c>
      <c r="CW113" s="2">
        <f t="shared" si="86"/>
        <v>0</v>
      </c>
      <c r="CX113" s="2">
        <f t="shared" si="87"/>
        <v>0</v>
      </c>
      <c r="CY113" s="2">
        <f t="shared" si="88"/>
        <v>0</v>
      </c>
      <c r="CZ113" s="2">
        <f t="shared" si="89"/>
        <v>0</v>
      </c>
      <c r="DA113" s="2"/>
      <c r="DB113" s="2"/>
      <c r="DC113" s="2" t="s">
        <v>3</v>
      </c>
      <c r="DD113" s="2" t="s">
        <v>3</v>
      </c>
      <c r="DE113" s="2" t="s">
        <v>3</v>
      </c>
      <c r="DF113" s="2" t="s">
        <v>3</v>
      </c>
      <c r="DG113" s="2" t="s">
        <v>3</v>
      </c>
      <c r="DH113" s="2" t="s">
        <v>3</v>
      </c>
      <c r="DI113" s="2" t="s">
        <v>3</v>
      </c>
      <c r="DJ113" s="2" t="s">
        <v>3</v>
      </c>
      <c r="DK113" s="2" t="s">
        <v>3</v>
      </c>
      <c r="DL113" s="2" t="s">
        <v>3</v>
      </c>
      <c r="DM113" s="2" t="s">
        <v>3</v>
      </c>
      <c r="DN113" s="2">
        <v>0</v>
      </c>
      <c r="DO113" s="2">
        <v>0</v>
      </c>
      <c r="DP113" s="2">
        <v>1</v>
      </c>
      <c r="DQ113" s="2">
        <v>1</v>
      </c>
      <c r="DR113" s="2"/>
      <c r="DS113" s="2"/>
      <c r="DT113" s="2"/>
      <c r="DU113" s="2">
        <v>1003</v>
      </c>
      <c r="DV113" s="2" t="s">
        <v>181</v>
      </c>
      <c r="DW113" s="2" t="s">
        <v>181</v>
      </c>
      <c r="DX113" s="2">
        <v>1000</v>
      </c>
      <c r="DY113" s="2"/>
      <c r="DZ113" s="2" t="s">
        <v>3</v>
      </c>
      <c r="EA113" s="2" t="s">
        <v>3</v>
      </c>
      <c r="EB113" s="2" t="s">
        <v>3</v>
      </c>
      <c r="EC113" s="2" t="s">
        <v>3</v>
      </c>
      <c r="ED113" s="2"/>
      <c r="EE113" s="2">
        <v>58162630</v>
      </c>
      <c r="EF113" s="2">
        <v>40</v>
      </c>
      <c r="EG113" s="2" t="s">
        <v>25</v>
      </c>
      <c r="EH113" s="2">
        <v>0</v>
      </c>
      <c r="EI113" s="2" t="s">
        <v>3</v>
      </c>
      <c r="EJ113" s="2">
        <v>2</v>
      </c>
      <c r="EK113" s="2">
        <v>68</v>
      </c>
      <c r="EL113" s="2" t="s">
        <v>26</v>
      </c>
      <c r="EM113" s="2" t="s">
        <v>27</v>
      </c>
      <c r="EN113" s="2"/>
      <c r="EO113" s="2" t="s">
        <v>3</v>
      </c>
      <c r="EP113" s="2"/>
      <c r="EQ113" s="2">
        <v>0</v>
      </c>
      <c r="ER113" s="2">
        <v>0</v>
      </c>
      <c r="ES113" s="2">
        <v>3894.69</v>
      </c>
      <c r="ET113" s="2">
        <v>0</v>
      </c>
      <c r="EU113" s="2">
        <v>0</v>
      </c>
      <c r="EV113" s="2">
        <v>0</v>
      </c>
      <c r="EW113" s="2">
        <v>0</v>
      </c>
      <c r="EX113" s="2">
        <v>0</v>
      </c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>
        <v>0</v>
      </c>
      <c r="FR113" s="2">
        <v>0</v>
      </c>
      <c r="FS113" s="2">
        <v>0</v>
      </c>
      <c r="FT113" s="2"/>
      <c r="FU113" s="2"/>
      <c r="FV113" s="2"/>
      <c r="FW113" s="2"/>
      <c r="FX113" s="2">
        <v>90</v>
      </c>
      <c r="FY113" s="2">
        <v>46</v>
      </c>
      <c r="FZ113" s="2"/>
      <c r="GA113" s="2" t="s">
        <v>194</v>
      </c>
      <c r="GB113" s="2"/>
      <c r="GC113" s="2"/>
      <c r="GD113" s="2">
        <v>1</v>
      </c>
      <c r="GE113" s="2"/>
      <c r="GF113" s="2">
        <v>-127249305</v>
      </c>
      <c r="GG113" s="2">
        <v>2</v>
      </c>
      <c r="GH113" s="2">
        <v>4</v>
      </c>
      <c r="GI113" s="2">
        <v>-2</v>
      </c>
      <c r="GJ113" s="2">
        <v>0</v>
      </c>
      <c r="GK113" s="2">
        <v>0</v>
      </c>
      <c r="GL113" s="2">
        <f t="shared" si="90"/>
        <v>0</v>
      </c>
      <c r="GM113" s="2">
        <f t="shared" si="91"/>
        <v>59.59</v>
      </c>
      <c r="GN113" s="2">
        <f t="shared" si="92"/>
        <v>0</v>
      </c>
      <c r="GO113" s="2">
        <f t="shared" si="93"/>
        <v>59.59</v>
      </c>
      <c r="GP113" s="2">
        <f t="shared" si="94"/>
        <v>0</v>
      </c>
      <c r="GQ113" s="2"/>
      <c r="GR113" s="2">
        <v>0</v>
      </c>
      <c r="GS113" s="2">
        <v>2</v>
      </c>
      <c r="GT113" s="2">
        <v>0</v>
      </c>
      <c r="GU113" s="2" t="s">
        <v>3</v>
      </c>
      <c r="GV113" s="2">
        <f t="shared" si="95"/>
        <v>0</v>
      </c>
      <c r="GW113" s="2">
        <v>1</v>
      </c>
      <c r="GX113" s="2">
        <f t="shared" si="96"/>
        <v>0</v>
      </c>
      <c r="GY113" s="2"/>
      <c r="GZ113" s="2"/>
      <c r="HA113" s="2">
        <v>0</v>
      </c>
      <c r="HB113" s="2">
        <v>0</v>
      </c>
      <c r="HC113" s="2">
        <f t="shared" si="97"/>
        <v>0</v>
      </c>
      <c r="HD113" s="2"/>
      <c r="HE113" s="2" t="s">
        <v>57</v>
      </c>
      <c r="HF113" s="2" t="s">
        <v>39</v>
      </c>
      <c r="HG113" s="2"/>
      <c r="HH113" s="2"/>
      <c r="HI113" s="2"/>
      <c r="HJ113" s="2"/>
      <c r="HK113" s="2"/>
      <c r="HL113" s="2"/>
      <c r="HM113" s="2" t="s">
        <v>3</v>
      </c>
      <c r="HN113" s="2" t="s">
        <v>3</v>
      </c>
      <c r="HO113" s="2" t="s">
        <v>3</v>
      </c>
      <c r="HP113" s="2" t="s">
        <v>3</v>
      </c>
      <c r="HQ113" s="2" t="s">
        <v>3</v>
      </c>
      <c r="HR113" s="2"/>
      <c r="HS113" s="2">
        <v>0</v>
      </c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>
        <v>0</v>
      </c>
      <c r="IL113" s="2"/>
      <c r="IM113" s="2"/>
      <c r="IN113" s="2"/>
      <c r="IO113" s="2"/>
      <c r="IP113" s="2"/>
      <c r="IQ113" s="2"/>
      <c r="IR113" s="2"/>
      <c r="IS113" s="2"/>
      <c r="IT113" s="2"/>
      <c r="IU113" s="2"/>
    </row>
    <row r="114" spans="1:255" x14ac:dyDescent="0.3">
      <c r="A114">
        <v>18</v>
      </c>
      <c r="B114">
        <v>1</v>
      </c>
      <c r="E114" t="s">
        <v>191</v>
      </c>
      <c r="F114" t="s">
        <v>192</v>
      </c>
      <c r="G114" t="s">
        <v>193</v>
      </c>
      <c r="H114" t="s">
        <v>181</v>
      </c>
      <c r="I114">
        <f>I98*J114</f>
        <v>1.5299999999999999E-2</v>
      </c>
      <c r="J114">
        <v>4.5671641791044772E-3</v>
      </c>
      <c r="K114">
        <v>4.5672000000000004E-3</v>
      </c>
      <c r="O114">
        <f t="shared" si="66"/>
        <v>588.75</v>
      </c>
      <c r="P114">
        <f t="shared" si="67"/>
        <v>588.75</v>
      </c>
      <c r="Q114">
        <f t="shared" si="98"/>
        <v>0</v>
      </c>
      <c r="R114">
        <f t="shared" si="68"/>
        <v>0</v>
      </c>
      <c r="S114">
        <f t="shared" si="69"/>
        <v>0</v>
      </c>
      <c r="T114">
        <f t="shared" si="70"/>
        <v>0</v>
      </c>
      <c r="U114">
        <f t="shared" si="71"/>
        <v>0</v>
      </c>
      <c r="V114">
        <f t="shared" si="72"/>
        <v>0</v>
      </c>
      <c r="W114">
        <f t="shared" si="73"/>
        <v>0</v>
      </c>
      <c r="X114">
        <f t="shared" si="74"/>
        <v>0</v>
      </c>
      <c r="Y114">
        <f t="shared" si="75"/>
        <v>0</v>
      </c>
      <c r="AA114">
        <v>56511235</v>
      </c>
      <c r="AB114">
        <f t="shared" si="76"/>
        <v>3894.69</v>
      </c>
      <c r="AC114">
        <f t="shared" si="77"/>
        <v>3894.69</v>
      </c>
      <c r="AD114">
        <f t="shared" si="99"/>
        <v>0</v>
      </c>
      <c r="AE114">
        <f t="shared" si="100"/>
        <v>0</v>
      </c>
      <c r="AF114">
        <f t="shared" si="101"/>
        <v>0</v>
      </c>
      <c r="AG114">
        <f t="shared" si="78"/>
        <v>0</v>
      </c>
      <c r="AH114">
        <f t="shared" si="102"/>
        <v>0</v>
      </c>
      <c r="AI114">
        <f t="shared" si="103"/>
        <v>0</v>
      </c>
      <c r="AJ114">
        <f t="shared" si="79"/>
        <v>0</v>
      </c>
      <c r="AK114">
        <v>3894.69</v>
      </c>
      <c r="AL114">
        <v>3894.69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90</v>
      </c>
      <c r="AU114">
        <v>46</v>
      </c>
      <c r="AV114">
        <v>1</v>
      </c>
      <c r="AW114">
        <v>1</v>
      </c>
      <c r="AZ114">
        <v>1</v>
      </c>
      <c r="BA114">
        <v>1</v>
      </c>
      <c r="BB114">
        <v>1</v>
      </c>
      <c r="BC114">
        <v>9.8800000000000008</v>
      </c>
      <c r="BD114" t="s">
        <v>3</v>
      </c>
      <c r="BE114" t="s">
        <v>3</v>
      </c>
      <c r="BF114" t="s">
        <v>3</v>
      </c>
      <c r="BG114" t="s">
        <v>3</v>
      </c>
      <c r="BH114">
        <v>3</v>
      </c>
      <c r="BI114">
        <v>2</v>
      </c>
      <c r="BJ114" t="s">
        <v>3</v>
      </c>
      <c r="BM114">
        <v>68</v>
      </c>
      <c r="BN114">
        <v>0</v>
      </c>
      <c r="BO114" t="s">
        <v>3</v>
      </c>
      <c r="BP114">
        <v>0</v>
      </c>
      <c r="BQ114">
        <v>40</v>
      </c>
      <c r="BR114">
        <v>0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 t="s">
        <v>3</v>
      </c>
      <c r="BZ114">
        <v>90</v>
      </c>
      <c r="CA114">
        <v>46</v>
      </c>
      <c r="CB114" t="s">
        <v>3</v>
      </c>
      <c r="CE114">
        <v>30</v>
      </c>
      <c r="CF114">
        <v>0</v>
      </c>
      <c r="CG114">
        <v>0</v>
      </c>
      <c r="CM114">
        <v>0</v>
      </c>
      <c r="CN114" t="s">
        <v>3</v>
      </c>
      <c r="CO114">
        <v>0</v>
      </c>
      <c r="CP114">
        <f t="shared" si="80"/>
        <v>588.75</v>
      </c>
      <c r="CQ114">
        <f t="shared" si="81"/>
        <v>38479.54</v>
      </c>
      <c r="CR114">
        <f t="shared" si="104"/>
        <v>0</v>
      </c>
      <c r="CS114">
        <f t="shared" si="82"/>
        <v>0</v>
      </c>
      <c r="CT114">
        <f t="shared" si="83"/>
        <v>0</v>
      </c>
      <c r="CU114">
        <f t="shared" si="84"/>
        <v>0</v>
      </c>
      <c r="CV114">
        <f t="shared" si="85"/>
        <v>0</v>
      </c>
      <c r="CW114">
        <f t="shared" si="86"/>
        <v>0</v>
      </c>
      <c r="CX114">
        <f t="shared" si="87"/>
        <v>0</v>
      </c>
      <c r="CY114">
        <f t="shared" si="88"/>
        <v>0</v>
      </c>
      <c r="CZ114">
        <f t="shared" si="89"/>
        <v>0</v>
      </c>
      <c r="DC114" t="s">
        <v>3</v>
      </c>
      <c r="DD114" t="s">
        <v>3</v>
      </c>
      <c r="DE114" t="s">
        <v>3</v>
      </c>
      <c r="DF114" t="s">
        <v>3</v>
      </c>
      <c r="DG114" t="s">
        <v>3</v>
      </c>
      <c r="DH114" t="s">
        <v>3</v>
      </c>
      <c r="DI114" t="s">
        <v>3</v>
      </c>
      <c r="DJ114" t="s">
        <v>3</v>
      </c>
      <c r="DK114" t="s">
        <v>3</v>
      </c>
      <c r="DL114" t="s">
        <v>3</v>
      </c>
      <c r="DM114" t="s">
        <v>3</v>
      </c>
      <c r="DN114">
        <v>0</v>
      </c>
      <c r="DO114">
        <v>0</v>
      </c>
      <c r="DP114">
        <v>1</v>
      </c>
      <c r="DQ114">
        <v>1</v>
      </c>
      <c r="DU114">
        <v>1003</v>
      </c>
      <c r="DV114" t="s">
        <v>181</v>
      </c>
      <c r="DW114" t="s">
        <v>181</v>
      </c>
      <c r="DX114">
        <v>1000</v>
      </c>
      <c r="DZ114" t="s">
        <v>3</v>
      </c>
      <c r="EA114" t="s">
        <v>3</v>
      </c>
      <c r="EB114" t="s">
        <v>3</v>
      </c>
      <c r="EC114" t="s">
        <v>3</v>
      </c>
      <c r="EE114">
        <v>58162630</v>
      </c>
      <c r="EF114">
        <v>40</v>
      </c>
      <c r="EG114" t="s">
        <v>25</v>
      </c>
      <c r="EH114">
        <v>0</v>
      </c>
      <c r="EI114" t="s">
        <v>3</v>
      </c>
      <c r="EJ114">
        <v>2</v>
      </c>
      <c r="EK114">
        <v>68</v>
      </c>
      <c r="EL114" t="s">
        <v>26</v>
      </c>
      <c r="EM114" t="s">
        <v>27</v>
      </c>
      <c r="EO114" t="s">
        <v>3</v>
      </c>
      <c r="EQ114">
        <v>0</v>
      </c>
      <c r="ER114">
        <v>38479.5</v>
      </c>
      <c r="ES114">
        <v>3894.69</v>
      </c>
      <c r="ET114">
        <v>0</v>
      </c>
      <c r="EU114">
        <v>0</v>
      </c>
      <c r="EV114">
        <v>0</v>
      </c>
      <c r="EW114">
        <v>0</v>
      </c>
      <c r="EX114">
        <v>0</v>
      </c>
      <c r="EZ114">
        <v>5</v>
      </c>
      <c r="FC114">
        <v>1</v>
      </c>
      <c r="FD114">
        <v>18</v>
      </c>
      <c r="FF114">
        <v>45270</v>
      </c>
      <c r="FQ114">
        <v>0</v>
      </c>
      <c r="FR114">
        <v>0</v>
      </c>
      <c r="FS114">
        <v>0</v>
      </c>
      <c r="FX114">
        <v>90</v>
      </c>
      <c r="FY114">
        <v>46</v>
      </c>
      <c r="GA114" t="s">
        <v>194</v>
      </c>
      <c r="GD114">
        <v>1</v>
      </c>
      <c r="GF114">
        <v>-127249305</v>
      </c>
      <c r="GG114">
        <v>2</v>
      </c>
      <c r="GH114">
        <v>3</v>
      </c>
      <c r="GI114">
        <v>5</v>
      </c>
      <c r="GJ114">
        <v>0</v>
      </c>
      <c r="GK114">
        <v>0</v>
      </c>
      <c r="GL114">
        <f t="shared" si="90"/>
        <v>0</v>
      </c>
      <c r="GM114">
        <f t="shared" si="91"/>
        <v>588.75</v>
      </c>
      <c r="GN114">
        <f t="shared" si="92"/>
        <v>0</v>
      </c>
      <c r="GO114">
        <f t="shared" si="93"/>
        <v>588.75</v>
      </c>
      <c r="GP114">
        <f t="shared" si="94"/>
        <v>0</v>
      </c>
      <c r="GR114">
        <v>1</v>
      </c>
      <c r="GS114">
        <v>1</v>
      </c>
      <c r="GT114">
        <v>0</v>
      </c>
      <c r="GU114" t="s">
        <v>3</v>
      </c>
      <c r="GV114">
        <f t="shared" si="95"/>
        <v>0</v>
      </c>
      <c r="GW114">
        <v>1</v>
      </c>
      <c r="GX114">
        <f t="shared" si="96"/>
        <v>0</v>
      </c>
      <c r="HA114">
        <v>0</v>
      </c>
      <c r="HB114">
        <v>0</v>
      </c>
      <c r="HC114">
        <f t="shared" si="97"/>
        <v>0</v>
      </c>
      <c r="HE114" t="s">
        <v>57</v>
      </c>
      <c r="HF114" t="s">
        <v>39</v>
      </c>
      <c r="HM114" t="s">
        <v>3</v>
      </c>
      <c r="HN114" t="s">
        <v>3</v>
      </c>
      <c r="HO114" t="s">
        <v>3</v>
      </c>
      <c r="HP114" t="s">
        <v>3</v>
      </c>
      <c r="HQ114" t="s">
        <v>3</v>
      </c>
      <c r="HS114">
        <v>0</v>
      </c>
      <c r="IK114">
        <v>0</v>
      </c>
    </row>
    <row r="115" spans="1:255" x14ac:dyDescent="0.3">
      <c r="A115" s="2">
        <v>17</v>
      </c>
      <c r="B115" s="2">
        <v>1</v>
      </c>
      <c r="C115" s="2"/>
      <c r="D115" s="2">
        <f>ROW(EtalonRes!A128)</f>
        <v>128</v>
      </c>
      <c r="E115" s="2" t="s">
        <v>3</v>
      </c>
      <c r="F115" s="2" t="s">
        <v>195</v>
      </c>
      <c r="G115" s="2" t="s">
        <v>196</v>
      </c>
      <c r="H115" s="2" t="s">
        <v>158</v>
      </c>
      <c r="I115" s="2">
        <f>ROUND(35/100,9)</f>
        <v>0.35</v>
      </c>
      <c r="J115" s="2">
        <v>0</v>
      </c>
      <c r="K115" s="2">
        <f>ROUND(35/100,9)</f>
        <v>0.35</v>
      </c>
      <c r="L115" s="2"/>
      <c r="M115" s="2"/>
      <c r="N115" s="2"/>
      <c r="O115" s="2">
        <f t="shared" si="66"/>
        <v>43.67</v>
      </c>
      <c r="P115" s="2">
        <f t="shared" si="67"/>
        <v>20.350000000000001</v>
      </c>
      <c r="Q115" s="2">
        <f>(ROUND((ROUND((((ET115*1.1))*AV115*I115),2)*BB115),2)+ROUND((ROUND(((AE115-((EU115*1.1)))*AV115*I115),2)*BS115),2))</f>
        <v>1.06</v>
      </c>
      <c r="R115" s="2">
        <f t="shared" si="68"/>
        <v>0.12</v>
      </c>
      <c r="S115" s="2">
        <f t="shared" si="69"/>
        <v>22.26</v>
      </c>
      <c r="T115" s="2">
        <f t="shared" si="70"/>
        <v>0</v>
      </c>
      <c r="U115" s="2">
        <f t="shared" si="71"/>
        <v>1.8098965500000002</v>
      </c>
      <c r="V115" s="2">
        <f t="shared" si="72"/>
        <v>0</v>
      </c>
      <c r="W115" s="2">
        <f t="shared" si="73"/>
        <v>0</v>
      </c>
      <c r="X115" s="2">
        <f t="shared" si="74"/>
        <v>21.71</v>
      </c>
      <c r="Y115" s="2">
        <f t="shared" si="75"/>
        <v>11.41</v>
      </c>
      <c r="Z115" s="2"/>
      <c r="AA115" s="2">
        <v>-1</v>
      </c>
      <c r="AB115" s="2">
        <f t="shared" si="76"/>
        <v>121.785</v>
      </c>
      <c r="AC115" s="2">
        <f t="shared" si="77"/>
        <v>58.15</v>
      </c>
      <c r="AD115" s="2">
        <f>ROUND(((((ET115*1.1))-((EU115*1.1)))+AE115),6)</f>
        <v>2.8820000000000001</v>
      </c>
      <c r="AE115" s="2">
        <f>ROUND(((EU115*1.1)),6)</f>
        <v>0.33</v>
      </c>
      <c r="AF115" s="2">
        <f>ROUND(((EV115*1.1)),6)</f>
        <v>60.753</v>
      </c>
      <c r="AG115" s="2">
        <f t="shared" si="78"/>
        <v>0</v>
      </c>
      <c r="AH115" s="2">
        <f>((EW115*1.1))</f>
        <v>4.9390000000000009</v>
      </c>
      <c r="AI115" s="2">
        <f>((EX115*1.1))</f>
        <v>0</v>
      </c>
      <c r="AJ115" s="2">
        <f t="shared" si="79"/>
        <v>0</v>
      </c>
      <c r="AK115" s="2">
        <v>116</v>
      </c>
      <c r="AL115" s="2">
        <v>58.15</v>
      </c>
      <c r="AM115" s="2">
        <v>2.62</v>
      </c>
      <c r="AN115" s="2">
        <v>0.3</v>
      </c>
      <c r="AO115" s="2">
        <v>55.23</v>
      </c>
      <c r="AP115" s="2">
        <v>0</v>
      </c>
      <c r="AQ115" s="2">
        <v>4.49</v>
      </c>
      <c r="AR115" s="2">
        <v>0</v>
      </c>
      <c r="AS115" s="2">
        <v>0</v>
      </c>
      <c r="AT115" s="2">
        <v>97</v>
      </c>
      <c r="AU115" s="2">
        <v>51</v>
      </c>
      <c r="AV115" s="2">
        <v>1.0469999999999999</v>
      </c>
      <c r="AW115" s="2">
        <v>1</v>
      </c>
      <c r="AX115" s="2"/>
      <c r="AY115" s="2"/>
      <c r="AZ115" s="2">
        <v>1</v>
      </c>
      <c r="BA115" s="2">
        <v>1</v>
      </c>
      <c r="BB115" s="2">
        <v>1</v>
      </c>
      <c r="BC115" s="2">
        <v>1</v>
      </c>
      <c r="BD115" s="2" t="s">
        <v>3</v>
      </c>
      <c r="BE115" s="2" t="s">
        <v>3</v>
      </c>
      <c r="BF115" s="2" t="s">
        <v>3</v>
      </c>
      <c r="BG115" s="2" t="s">
        <v>3</v>
      </c>
      <c r="BH115" s="2">
        <v>0</v>
      </c>
      <c r="BI115" s="2">
        <v>2</v>
      </c>
      <c r="BJ115" s="2" t="s">
        <v>197</v>
      </c>
      <c r="BK115" s="2"/>
      <c r="BL115" s="2"/>
      <c r="BM115" s="2">
        <v>67</v>
      </c>
      <c r="BN115" s="2">
        <v>0</v>
      </c>
      <c r="BO115" s="2" t="s">
        <v>195</v>
      </c>
      <c r="BP115" s="2">
        <v>1</v>
      </c>
      <c r="BQ115" s="2">
        <v>40</v>
      </c>
      <c r="BR115" s="2">
        <v>0</v>
      </c>
      <c r="BS115" s="2">
        <v>1</v>
      </c>
      <c r="BT115" s="2">
        <v>1</v>
      </c>
      <c r="BU115" s="2">
        <v>1</v>
      </c>
      <c r="BV115" s="2">
        <v>1</v>
      </c>
      <c r="BW115" s="2">
        <v>1</v>
      </c>
      <c r="BX115" s="2">
        <v>1</v>
      </c>
      <c r="BY115" s="2" t="s">
        <v>3</v>
      </c>
      <c r="BZ115" s="2">
        <v>97</v>
      </c>
      <c r="CA115" s="2">
        <v>51</v>
      </c>
      <c r="CB115" s="2" t="s">
        <v>3</v>
      </c>
      <c r="CC115" s="2"/>
      <c r="CD115" s="2"/>
      <c r="CE115" s="2">
        <v>30</v>
      </c>
      <c r="CF115" s="2">
        <v>0</v>
      </c>
      <c r="CG115" s="2">
        <v>0</v>
      </c>
      <c r="CH115" s="2"/>
      <c r="CI115" s="2"/>
      <c r="CJ115" s="2"/>
      <c r="CK115" s="2"/>
      <c r="CL115" s="2"/>
      <c r="CM115" s="2">
        <v>0</v>
      </c>
      <c r="CN115" s="2" t="s">
        <v>3</v>
      </c>
      <c r="CO115" s="2">
        <v>0</v>
      </c>
      <c r="CP115" s="2">
        <f t="shared" si="80"/>
        <v>43.67</v>
      </c>
      <c r="CQ115" s="2">
        <f t="shared" si="81"/>
        <v>58.15</v>
      </c>
      <c r="CR115" s="2">
        <f>(ROUND((ROUND((((ET115*1.1))*AV115*1),2)*BB115),2)+ROUND((ROUND(((AE115-((EU115*1.1)))*AV115*1),2)*BS115),2))</f>
        <v>3.02</v>
      </c>
      <c r="CS115" s="2">
        <f t="shared" si="82"/>
        <v>0.35</v>
      </c>
      <c r="CT115" s="2">
        <f t="shared" si="83"/>
        <v>63.61</v>
      </c>
      <c r="CU115" s="2">
        <f t="shared" si="84"/>
        <v>0</v>
      </c>
      <c r="CV115" s="2">
        <f t="shared" si="85"/>
        <v>5.1711330000000011</v>
      </c>
      <c r="CW115" s="2">
        <f t="shared" si="86"/>
        <v>0</v>
      </c>
      <c r="CX115" s="2">
        <f t="shared" si="87"/>
        <v>0</v>
      </c>
      <c r="CY115" s="2">
        <f t="shared" si="88"/>
        <v>21.708600000000001</v>
      </c>
      <c r="CZ115" s="2">
        <f t="shared" si="89"/>
        <v>11.413800000000002</v>
      </c>
      <c r="DA115" s="2"/>
      <c r="DB115" s="2"/>
      <c r="DC115" s="2" t="s">
        <v>3</v>
      </c>
      <c r="DD115" s="2" t="s">
        <v>3</v>
      </c>
      <c r="DE115" s="2" t="s">
        <v>24</v>
      </c>
      <c r="DF115" s="2" t="s">
        <v>24</v>
      </c>
      <c r="DG115" s="2" t="s">
        <v>24</v>
      </c>
      <c r="DH115" s="2" t="s">
        <v>3</v>
      </c>
      <c r="DI115" s="2" t="s">
        <v>24</v>
      </c>
      <c r="DJ115" s="2" t="s">
        <v>24</v>
      </c>
      <c r="DK115" s="2" t="s">
        <v>3</v>
      </c>
      <c r="DL115" s="2" t="s">
        <v>3</v>
      </c>
      <c r="DM115" s="2" t="s">
        <v>3</v>
      </c>
      <c r="DN115" s="2">
        <v>0</v>
      </c>
      <c r="DO115" s="2">
        <v>0</v>
      </c>
      <c r="DP115" s="2">
        <v>1</v>
      </c>
      <c r="DQ115" s="2">
        <v>1</v>
      </c>
      <c r="DR115" s="2"/>
      <c r="DS115" s="2"/>
      <c r="DT115" s="2"/>
      <c r="DU115" s="2">
        <v>1003</v>
      </c>
      <c r="DV115" s="2" t="s">
        <v>158</v>
      </c>
      <c r="DW115" s="2" t="s">
        <v>158</v>
      </c>
      <c r="DX115" s="2">
        <v>100</v>
      </c>
      <c r="DY115" s="2"/>
      <c r="DZ115" s="2" t="s">
        <v>3</v>
      </c>
      <c r="EA115" s="2" t="s">
        <v>3</v>
      </c>
      <c r="EB115" s="2" t="s">
        <v>3</v>
      </c>
      <c r="EC115" s="2" t="s">
        <v>3</v>
      </c>
      <c r="ED115" s="2"/>
      <c r="EE115" s="2">
        <v>58162629</v>
      </c>
      <c r="EF115" s="2">
        <v>40</v>
      </c>
      <c r="EG115" s="2" t="s">
        <v>25</v>
      </c>
      <c r="EH115" s="2">
        <v>0</v>
      </c>
      <c r="EI115" s="2" t="s">
        <v>3</v>
      </c>
      <c r="EJ115" s="2">
        <v>2</v>
      </c>
      <c r="EK115" s="2">
        <v>67</v>
      </c>
      <c r="EL115" s="2" t="s">
        <v>198</v>
      </c>
      <c r="EM115" s="2" t="s">
        <v>199</v>
      </c>
      <c r="EN115" s="2"/>
      <c r="EO115" s="2" t="s">
        <v>28</v>
      </c>
      <c r="EP115" s="2"/>
      <c r="EQ115" s="2">
        <v>1024</v>
      </c>
      <c r="ER115" s="2">
        <v>116</v>
      </c>
      <c r="ES115" s="2">
        <v>58.15</v>
      </c>
      <c r="ET115" s="2">
        <v>2.62</v>
      </c>
      <c r="EU115" s="2">
        <v>0.3</v>
      </c>
      <c r="EV115" s="2">
        <v>55.23</v>
      </c>
      <c r="EW115" s="2">
        <v>4.49</v>
      </c>
      <c r="EX115" s="2">
        <v>0</v>
      </c>
      <c r="EY115" s="2">
        <v>0</v>
      </c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>
        <v>0</v>
      </c>
      <c r="FR115" s="2">
        <v>0</v>
      </c>
      <c r="FS115" s="2">
        <v>0</v>
      </c>
      <c r="FT115" s="2"/>
      <c r="FU115" s="2"/>
      <c r="FV115" s="2"/>
      <c r="FW115" s="2"/>
      <c r="FX115" s="2">
        <v>97</v>
      </c>
      <c r="FY115" s="2">
        <v>51</v>
      </c>
      <c r="FZ115" s="2"/>
      <c r="GA115" s="2" t="s">
        <v>3</v>
      </c>
      <c r="GB115" s="2"/>
      <c r="GC115" s="2"/>
      <c r="GD115" s="2">
        <v>1</v>
      </c>
      <c r="GE115" s="2"/>
      <c r="GF115" s="2">
        <v>770559996</v>
      </c>
      <c r="GG115" s="2">
        <v>2</v>
      </c>
      <c r="GH115" s="2">
        <v>1</v>
      </c>
      <c r="GI115" s="2">
        <v>2</v>
      </c>
      <c r="GJ115" s="2">
        <v>0</v>
      </c>
      <c r="GK115" s="2">
        <v>0</v>
      </c>
      <c r="GL115" s="2">
        <f t="shared" si="90"/>
        <v>0</v>
      </c>
      <c r="GM115" s="2">
        <f t="shared" si="91"/>
        <v>76.790000000000006</v>
      </c>
      <c r="GN115" s="2">
        <f t="shared" si="92"/>
        <v>0</v>
      </c>
      <c r="GO115" s="2">
        <f t="shared" si="93"/>
        <v>76.790000000000006</v>
      </c>
      <c r="GP115" s="2">
        <f t="shared" si="94"/>
        <v>0</v>
      </c>
      <c r="GQ115" s="2"/>
      <c r="GR115" s="2">
        <v>0</v>
      </c>
      <c r="GS115" s="2">
        <v>3</v>
      </c>
      <c r="GT115" s="2">
        <v>0</v>
      </c>
      <c r="GU115" s="2" t="s">
        <v>3</v>
      </c>
      <c r="GV115" s="2">
        <f t="shared" si="95"/>
        <v>0</v>
      </c>
      <c r="GW115" s="2">
        <v>1</v>
      </c>
      <c r="GX115" s="2">
        <f t="shared" si="96"/>
        <v>0</v>
      </c>
      <c r="GY115" s="2"/>
      <c r="GZ115" s="2"/>
      <c r="HA115" s="2">
        <v>0</v>
      </c>
      <c r="HB115" s="2">
        <v>0</v>
      </c>
      <c r="HC115" s="2">
        <f t="shared" si="97"/>
        <v>0</v>
      </c>
      <c r="HD115" s="2"/>
      <c r="HE115" s="2" t="s">
        <v>3</v>
      </c>
      <c r="HF115" s="2" t="s">
        <v>3</v>
      </c>
      <c r="HG115" s="2"/>
      <c r="HH115" s="2"/>
      <c r="HI115" s="2"/>
      <c r="HJ115" s="2"/>
      <c r="HK115" s="2"/>
      <c r="HL115" s="2"/>
      <c r="HM115" s="2" t="s">
        <v>3</v>
      </c>
      <c r="HN115" s="2" t="s">
        <v>3</v>
      </c>
      <c r="HO115" s="2" t="s">
        <v>3</v>
      </c>
      <c r="HP115" s="2" t="s">
        <v>3</v>
      </c>
      <c r="HQ115" s="2" t="s">
        <v>3</v>
      </c>
      <c r="HR115" s="2"/>
      <c r="HS115" s="2">
        <v>0</v>
      </c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>
        <v>0</v>
      </c>
      <c r="IL115" s="2"/>
      <c r="IM115" s="2"/>
      <c r="IN115" s="2"/>
      <c r="IO115" s="2"/>
      <c r="IP115" s="2"/>
      <c r="IQ115" s="2"/>
      <c r="IR115" s="2"/>
      <c r="IS115" s="2"/>
      <c r="IT115" s="2"/>
      <c r="IU115" s="2"/>
    </row>
    <row r="116" spans="1:255" x14ac:dyDescent="0.3">
      <c r="A116">
        <v>17</v>
      </c>
      <c r="B116">
        <v>1</v>
      </c>
      <c r="D116">
        <f>ROW(EtalonRes!A138)</f>
        <v>138</v>
      </c>
      <c r="E116" t="s">
        <v>3</v>
      </c>
      <c r="F116" t="s">
        <v>195</v>
      </c>
      <c r="G116" t="s">
        <v>196</v>
      </c>
      <c r="H116" t="s">
        <v>158</v>
      </c>
      <c r="I116">
        <f>ROUND(35/100,9)</f>
        <v>0.35</v>
      </c>
      <c r="J116">
        <v>0</v>
      </c>
      <c r="K116">
        <f>ROUND(35/100,9)</f>
        <v>0.35</v>
      </c>
      <c r="O116">
        <f t="shared" si="66"/>
        <v>1314.82</v>
      </c>
      <c r="P116">
        <f t="shared" si="67"/>
        <v>75.3</v>
      </c>
      <c r="Q116">
        <f>(ROUND((ROUND((((ET116*1.1))*AV116*I116),2)*BB116),2)+ROUND((ROUND(((AE116-((EU116*1.1)))*AV116*I116),2)*BS116),2))</f>
        <v>15.44</v>
      </c>
      <c r="R116">
        <f t="shared" si="68"/>
        <v>6.6</v>
      </c>
      <c r="S116">
        <f t="shared" si="69"/>
        <v>1224.08</v>
      </c>
      <c r="T116">
        <f t="shared" si="70"/>
        <v>0</v>
      </c>
      <c r="U116">
        <f t="shared" si="71"/>
        <v>1.8098965500000002</v>
      </c>
      <c r="V116">
        <f t="shared" si="72"/>
        <v>0</v>
      </c>
      <c r="W116">
        <f t="shared" si="73"/>
        <v>0</v>
      </c>
      <c r="X116">
        <f t="shared" si="74"/>
        <v>1193.76</v>
      </c>
      <c r="Y116">
        <f t="shared" si="75"/>
        <v>627.65</v>
      </c>
      <c r="AA116">
        <v>-1</v>
      </c>
      <c r="AB116">
        <f t="shared" si="76"/>
        <v>121.785</v>
      </c>
      <c r="AC116">
        <f t="shared" si="77"/>
        <v>58.15</v>
      </c>
      <c r="AD116">
        <f>ROUND(((((ET116*1.1))-((EU116*1.1)))+AE116),6)</f>
        <v>2.8820000000000001</v>
      </c>
      <c r="AE116">
        <f>ROUND(((EU116*1.1)),6)</f>
        <v>0.33</v>
      </c>
      <c r="AF116">
        <f>ROUND(((EV116*1.1)),6)</f>
        <v>60.753</v>
      </c>
      <c r="AG116">
        <f t="shared" si="78"/>
        <v>0</v>
      </c>
      <c r="AH116">
        <f>((EW116*1.1))</f>
        <v>4.9390000000000009</v>
      </c>
      <c r="AI116">
        <f>((EX116*1.1))</f>
        <v>0</v>
      </c>
      <c r="AJ116">
        <f t="shared" si="79"/>
        <v>0</v>
      </c>
      <c r="AK116">
        <v>116</v>
      </c>
      <c r="AL116">
        <v>58.15</v>
      </c>
      <c r="AM116">
        <v>2.62</v>
      </c>
      <c r="AN116">
        <v>0.3</v>
      </c>
      <c r="AO116">
        <v>55.23</v>
      </c>
      <c r="AP116">
        <v>0</v>
      </c>
      <c r="AQ116">
        <v>4.49</v>
      </c>
      <c r="AR116">
        <v>0</v>
      </c>
      <c r="AS116">
        <v>0</v>
      </c>
      <c r="AT116">
        <v>97</v>
      </c>
      <c r="AU116">
        <v>51</v>
      </c>
      <c r="AV116">
        <v>1.0469999999999999</v>
      </c>
      <c r="AW116">
        <v>1</v>
      </c>
      <c r="AZ116">
        <v>1</v>
      </c>
      <c r="BA116">
        <v>54.99</v>
      </c>
      <c r="BB116">
        <v>14.57</v>
      </c>
      <c r="BC116">
        <v>3.7</v>
      </c>
      <c r="BD116" t="s">
        <v>3</v>
      </c>
      <c r="BE116" t="s">
        <v>3</v>
      </c>
      <c r="BF116" t="s">
        <v>3</v>
      </c>
      <c r="BG116" t="s">
        <v>3</v>
      </c>
      <c r="BH116">
        <v>0</v>
      </c>
      <c r="BI116">
        <v>2</v>
      </c>
      <c r="BJ116" t="s">
        <v>197</v>
      </c>
      <c r="BM116">
        <v>67</v>
      </c>
      <c r="BN116">
        <v>0</v>
      </c>
      <c r="BO116" t="s">
        <v>195</v>
      </c>
      <c r="BP116">
        <v>1</v>
      </c>
      <c r="BQ116">
        <v>40</v>
      </c>
      <c r="BR116">
        <v>0</v>
      </c>
      <c r="BS116">
        <v>54.99</v>
      </c>
      <c r="BT116">
        <v>1</v>
      </c>
      <c r="BU116">
        <v>1</v>
      </c>
      <c r="BV116">
        <v>1</v>
      </c>
      <c r="BW116">
        <v>1</v>
      </c>
      <c r="BX116">
        <v>1</v>
      </c>
      <c r="BY116" t="s">
        <v>3</v>
      </c>
      <c r="BZ116">
        <v>97</v>
      </c>
      <c r="CA116">
        <v>51</v>
      </c>
      <c r="CB116" t="s">
        <v>3</v>
      </c>
      <c r="CE116">
        <v>30</v>
      </c>
      <c r="CF116">
        <v>0</v>
      </c>
      <c r="CG116">
        <v>0</v>
      </c>
      <c r="CM116">
        <v>0</v>
      </c>
      <c r="CN116" t="s">
        <v>3</v>
      </c>
      <c r="CO116">
        <v>0</v>
      </c>
      <c r="CP116">
        <f t="shared" si="80"/>
        <v>1314.82</v>
      </c>
      <c r="CQ116">
        <f t="shared" si="81"/>
        <v>215.16</v>
      </c>
      <c r="CR116">
        <f>(ROUND((ROUND((((ET116*1.1))*AV116*1),2)*BB116),2)+ROUND((ROUND(((AE116-((EU116*1.1)))*AV116*1),2)*BS116),2))</f>
        <v>44</v>
      </c>
      <c r="CS116">
        <f t="shared" si="82"/>
        <v>19.25</v>
      </c>
      <c r="CT116">
        <f t="shared" si="83"/>
        <v>3497.91</v>
      </c>
      <c r="CU116">
        <f t="shared" si="84"/>
        <v>0</v>
      </c>
      <c r="CV116">
        <f t="shared" si="85"/>
        <v>5.1711330000000011</v>
      </c>
      <c r="CW116">
        <f t="shared" si="86"/>
        <v>0</v>
      </c>
      <c r="CX116">
        <f t="shared" si="87"/>
        <v>0</v>
      </c>
      <c r="CY116">
        <f t="shared" si="88"/>
        <v>1193.7595999999999</v>
      </c>
      <c r="CZ116">
        <f t="shared" si="89"/>
        <v>627.64679999999998</v>
      </c>
      <c r="DC116" t="s">
        <v>3</v>
      </c>
      <c r="DD116" t="s">
        <v>3</v>
      </c>
      <c r="DE116" t="s">
        <v>24</v>
      </c>
      <c r="DF116" t="s">
        <v>24</v>
      </c>
      <c r="DG116" t="s">
        <v>24</v>
      </c>
      <c r="DH116" t="s">
        <v>3</v>
      </c>
      <c r="DI116" t="s">
        <v>24</v>
      </c>
      <c r="DJ116" t="s">
        <v>24</v>
      </c>
      <c r="DK116" t="s">
        <v>3</v>
      </c>
      <c r="DL116" t="s">
        <v>3</v>
      </c>
      <c r="DM116" t="s">
        <v>3</v>
      </c>
      <c r="DN116">
        <v>0</v>
      </c>
      <c r="DO116">
        <v>0</v>
      </c>
      <c r="DP116">
        <v>1</v>
      </c>
      <c r="DQ116">
        <v>1</v>
      </c>
      <c r="DU116">
        <v>1003</v>
      </c>
      <c r="DV116" t="s">
        <v>158</v>
      </c>
      <c r="DW116" t="s">
        <v>158</v>
      </c>
      <c r="DX116">
        <v>100</v>
      </c>
      <c r="DZ116" t="s">
        <v>3</v>
      </c>
      <c r="EA116" t="s">
        <v>3</v>
      </c>
      <c r="EB116" t="s">
        <v>3</v>
      </c>
      <c r="EC116" t="s">
        <v>3</v>
      </c>
      <c r="EE116">
        <v>58162629</v>
      </c>
      <c r="EF116">
        <v>40</v>
      </c>
      <c r="EG116" t="s">
        <v>25</v>
      </c>
      <c r="EH116">
        <v>0</v>
      </c>
      <c r="EI116" t="s">
        <v>3</v>
      </c>
      <c r="EJ116">
        <v>2</v>
      </c>
      <c r="EK116">
        <v>67</v>
      </c>
      <c r="EL116" t="s">
        <v>198</v>
      </c>
      <c r="EM116" t="s">
        <v>199</v>
      </c>
      <c r="EO116" t="s">
        <v>28</v>
      </c>
      <c r="EQ116">
        <v>1024</v>
      </c>
      <c r="ER116">
        <v>116</v>
      </c>
      <c r="ES116">
        <v>58.15</v>
      </c>
      <c r="ET116">
        <v>2.62</v>
      </c>
      <c r="EU116">
        <v>0.3</v>
      </c>
      <c r="EV116">
        <v>55.23</v>
      </c>
      <c r="EW116">
        <v>4.49</v>
      </c>
      <c r="EX116">
        <v>0</v>
      </c>
      <c r="EY116">
        <v>0</v>
      </c>
      <c r="FQ116">
        <v>0</v>
      </c>
      <c r="FR116">
        <v>0</v>
      </c>
      <c r="FS116">
        <v>0</v>
      </c>
      <c r="FX116">
        <v>97</v>
      </c>
      <c r="FY116">
        <v>51</v>
      </c>
      <c r="GA116" t="s">
        <v>3</v>
      </c>
      <c r="GD116">
        <v>1</v>
      </c>
      <c r="GF116">
        <v>770559996</v>
      </c>
      <c r="GG116">
        <v>2</v>
      </c>
      <c r="GH116">
        <v>1</v>
      </c>
      <c r="GI116">
        <v>2</v>
      </c>
      <c r="GJ116">
        <v>0</v>
      </c>
      <c r="GK116">
        <v>0</v>
      </c>
      <c r="GL116">
        <f t="shared" si="90"/>
        <v>0</v>
      </c>
      <c r="GM116">
        <f t="shared" si="91"/>
        <v>3136.23</v>
      </c>
      <c r="GN116">
        <f t="shared" si="92"/>
        <v>0</v>
      </c>
      <c r="GO116">
        <f t="shared" si="93"/>
        <v>3136.23</v>
      </c>
      <c r="GP116">
        <f t="shared" si="94"/>
        <v>0</v>
      </c>
      <c r="GR116">
        <v>0</v>
      </c>
      <c r="GS116">
        <v>3</v>
      </c>
      <c r="GT116">
        <v>0</v>
      </c>
      <c r="GU116" t="s">
        <v>3</v>
      </c>
      <c r="GV116">
        <f t="shared" si="95"/>
        <v>0</v>
      </c>
      <c r="GW116">
        <v>1</v>
      </c>
      <c r="GX116">
        <f t="shared" si="96"/>
        <v>0</v>
      </c>
      <c r="HA116">
        <v>0</v>
      </c>
      <c r="HB116">
        <v>0</v>
      </c>
      <c r="HC116">
        <f t="shared" si="97"/>
        <v>0</v>
      </c>
      <c r="HE116" t="s">
        <v>3</v>
      </c>
      <c r="HF116" t="s">
        <v>3</v>
      </c>
      <c r="HM116" t="s">
        <v>3</v>
      </c>
      <c r="HN116" t="s">
        <v>3</v>
      </c>
      <c r="HO116" t="s">
        <v>3</v>
      </c>
      <c r="HP116" t="s">
        <v>3</v>
      </c>
      <c r="HQ116" t="s">
        <v>3</v>
      </c>
      <c r="HS116">
        <v>0</v>
      </c>
      <c r="IK116">
        <v>0</v>
      </c>
    </row>
    <row r="117" spans="1:255" x14ac:dyDescent="0.3">
      <c r="A117" s="2">
        <v>18</v>
      </c>
      <c r="B117" s="2">
        <v>1</v>
      </c>
      <c r="C117" s="2"/>
      <c r="D117" s="2"/>
      <c r="E117" s="2" t="s">
        <v>3</v>
      </c>
      <c r="F117" s="2" t="s">
        <v>179</v>
      </c>
      <c r="G117" s="2" t="s">
        <v>180</v>
      </c>
      <c r="H117" s="2" t="s">
        <v>181</v>
      </c>
      <c r="I117" s="2">
        <f>I115*J117</f>
        <v>3.5700000000000003E-2</v>
      </c>
      <c r="J117" s="2">
        <v>0.10200000000000001</v>
      </c>
      <c r="K117" s="2">
        <v>0.10199999999999999</v>
      </c>
      <c r="L117" s="2"/>
      <c r="M117" s="2"/>
      <c r="N117" s="2"/>
      <c r="O117" s="2">
        <f t="shared" si="66"/>
        <v>168.92</v>
      </c>
      <c r="P117" s="2">
        <f t="shared" si="67"/>
        <v>168.92</v>
      </c>
      <c r="Q117" s="2">
        <f>(ROUND((ROUND(((ET117)*AV117*I117),2)*BB117),2)+ROUND((ROUND(((AE117-(EU117))*AV117*I117),2)*BS117),2))</f>
        <v>0</v>
      </c>
      <c r="R117" s="2">
        <f t="shared" si="68"/>
        <v>0</v>
      </c>
      <c r="S117" s="2">
        <f t="shared" si="69"/>
        <v>0</v>
      </c>
      <c r="T117" s="2">
        <f t="shared" si="70"/>
        <v>0</v>
      </c>
      <c r="U117" s="2">
        <f t="shared" si="71"/>
        <v>0</v>
      </c>
      <c r="V117" s="2">
        <f t="shared" si="72"/>
        <v>0</v>
      </c>
      <c r="W117" s="2">
        <f t="shared" si="73"/>
        <v>0</v>
      </c>
      <c r="X117" s="2">
        <f t="shared" si="74"/>
        <v>0</v>
      </c>
      <c r="Y117" s="2">
        <f t="shared" si="75"/>
        <v>0</v>
      </c>
      <c r="Z117" s="2"/>
      <c r="AA117" s="2">
        <v>-1</v>
      </c>
      <c r="AB117" s="2">
        <f t="shared" si="76"/>
        <v>4731.78</v>
      </c>
      <c r="AC117" s="2">
        <f t="shared" si="77"/>
        <v>4731.78</v>
      </c>
      <c r="AD117" s="2">
        <f>ROUND((((ET117)-(EU117))+AE117),6)</f>
        <v>0</v>
      </c>
      <c r="AE117" s="2">
        <f>ROUND((EU117),6)</f>
        <v>0</v>
      </c>
      <c r="AF117" s="2">
        <f>ROUND((EV117),6)</f>
        <v>0</v>
      </c>
      <c r="AG117" s="2">
        <f t="shared" si="78"/>
        <v>0</v>
      </c>
      <c r="AH117" s="2">
        <f>(EW117)</f>
        <v>0</v>
      </c>
      <c r="AI117" s="2">
        <f>(EX117)</f>
        <v>0</v>
      </c>
      <c r="AJ117" s="2">
        <f t="shared" si="79"/>
        <v>0</v>
      </c>
      <c r="AK117" s="2">
        <v>4731.78</v>
      </c>
      <c r="AL117" s="2">
        <v>4731.78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97</v>
      </c>
      <c r="AU117" s="2">
        <v>51</v>
      </c>
      <c r="AV117" s="2">
        <v>1</v>
      </c>
      <c r="AW117" s="2">
        <v>1</v>
      </c>
      <c r="AX117" s="2"/>
      <c r="AY117" s="2"/>
      <c r="AZ117" s="2">
        <v>1</v>
      </c>
      <c r="BA117" s="2">
        <v>1</v>
      </c>
      <c r="BB117" s="2">
        <v>1</v>
      </c>
      <c r="BC117" s="2">
        <v>1</v>
      </c>
      <c r="BD117" s="2" t="s">
        <v>3</v>
      </c>
      <c r="BE117" s="2" t="s">
        <v>3</v>
      </c>
      <c r="BF117" s="2" t="s">
        <v>3</v>
      </c>
      <c r="BG117" s="2" t="s">
        <v>3</v>
      </c>
      <c r="BH117" s="2">
        <v>3</v>
      </c>
      <c r="BI117" s="2">
        <v>2</v>
      </c>
      <c r="BJ117" s="2" t="s">
        <v>3</v>
      </c>
      <c r="BK117" s="2"/>
      <c r="BL117" s="2"/>
      <c r="BM117" s="2">
        <v>67</v>
      </c>
      <c r="BN117" s="2">
        <v>0</v>
      </c>
      <c r="BO117" s="2" t="s">
        <v>3</v>
      </c>
      <c r="BP117" s="2">
        <v>0</v>
      </c>
      <c r="BQ117" s="2">
        <v>40</v>
      </c>
      <c r="BR117" s="2">
        <v>0</v>
      </c>
      <c r="BS117" s="2">
        <v>1</v>
      </c>
      <c r="BT117" s="2">
        <v>1</v>
      </c>
      <c r="BU117" s="2">
        <v>1</v>
      </c>
      <c r="BV117" s="2">
        <v>1</v>
      </c>
      <c r="BW117" s="2">
        <v>1</v>
      </c>
      <c r="BX117" s="2">
        <v>1</v>
      </c>
      <c r="BY117" s="2" t="s">
        <v>3</v>
      </c>
      <c r="BZ117" s="2">
        <v>97</v>
      </c>
      <c r="CA117" s="2">
        <v>51</v>
      </c>
      <c r="CB117" s="2" t="s">
        <v>3</v>
      </c>
      <c r="CC117" s="2"/>
      <c r="CD117" s="2"/>
      <c r="CE117" s="2">
        <v>30</v>
      </c>
      <c r="CF117" s="2">
        <v>0</v>
      </c>
      <c r="CG117" s="2">
        <v>0</v>
      </c>
      <c r="CH117" s="2"/>
      <c r="CI117" s="2"/>
      <c r="CJ117" s="2"/>
      <c r="CK117" s="2"/>
      <c r="CL117" s="2"/>
      <c r="CM117" s="2">
        <v>0</v>
      </c>
      <c r="CN117" s="2" t="s">
        <v>3</v>
      </c>
      <c r="CO117" s="2">
        <v>0</v>
      </c>
      <c r="CP117" s="2">
        <f t="shared" si="80"/>
        <v>168.92</v>
      </c>
      <c r="CQ117" s="2">
        <f t="shared" si="81"/>
        <v>4731.78</v>
      </c>
      <c r="CR117" s="2">
        <f>(ROUND((ROUND(((ET117)*AV117*1),2)*BB117),2)+ROUND((ROUND(((AE117-(EU117))*AV117*1),2)*BS117),2))</f>
        <v>0</v>
      </c>
      <c r="CS117" s="2">
        <f t="shared" si="82"/>
        <v>0</v>
      </c>
      <c r="CT117" s="2">
        <f t="shared" si="83"/>
        <v>0</v>
      </c>
      <c r="CU117" s="2">
        <f t="shared" si="84"/>
        <v>0</v>
      </c>
      <c r="CV117" s="2">
        <f t="shared" si="85"/>
        <v>0</v>
      </c>
      <c r="CW117" s="2">
        <f t="shared" si="86"/>
        <v>0</v>
      </c>
      <c r="CX117" s="2">
        <f t="shared" si="87"/>
        <v>0</v>
      </c>
      <c r="CY117" s="2">
        <f t="shared" si="88"/>
        <v>0</v>
      </c>
      <c r="CZ117" s="2">
        <f t="shared" si="89"/>
        <v>0</v>
      </c>
      <c r="DA117" s="2"/>
      <c r="DB117" s="2"/>
      <c r="DC117" s="2" t="s">
        <v>3</v>
      </c>
      <c r="DD117" s="2" t="s">
        <v>3</v>
      </c>
      <c r="DE117" s="2" t="s">
        <v>3</v>
      </c>
      <c r="DF117" s="2" t="s">
        <v>3</v>
      </c>
      <c r="DG117" s="2" t="s">
        <v>3</v>
      </c>
      <c r="DH117" s="2" t="s">
        <v>3</v>
      </c>
      <c r="DI117" s="2" t="s">
        <v>3</v>
      </c>
      <c r="DJ117" s="2" t="s">
        <v>3</v>
      </c>
      <c r="DK117" s="2" t="s">
        <v>3</v>
      </c>
      <c r="DL117" s="2" t="s">
        <v>3</v>
      </c>
      <c r="DM117" s="2" t="s">
        <v>3</v>
      </c>
      <c r="DN117" s="2">
        <v>0</v>
      </c>
      <c r="DO117" s="2">
        <v>0</v>
      </c>
      <c r="DP117" s="2">
        <v>1</v>
      </c>
      <c r="DQ117" s="2">
        <v>1</v>
      </c>
      <c r="DR117" s="2"/>
      <c r="DS117" s="2"/>
      <c r="DT117" s="2"/>
      <c r="DU117" s="2">
        <v>1003</v>
      </c>
      <c r="DV117" s="2" t="s">
        <v>181</v>
      </c>
      <c r="DW117" s="2" t="s">
        <v>181</v>
      </c>
      <c r="DX117" s="2">
        <v>1000</v>
      </c>
      <c r="DY117" s="2"/>
      <c r="DZ117" s="2" t="s">
        <v>3</v>
      </c>
      <c r="EA117" s="2" t="s">
        <v>3</v>
      </c>
      <c r="EB117" s="2" t="s">
        <v>3</v>
      </c>
      <c r="EC117" s="2" t="s">
        <v>3</v>
      </c>
      <c r="ED117" s="2"/>
      <c r="EE117" s="2">
        <v>58162629</v>
      </c>
      <c r="EF117" s="2">
        <v>40</v>
      </c>
      <c r="EG117" s="2" t="s">
        <v>25</v>
      </c>
      <c r="EH117" s="2">
        <v>0</v>
      </c>
      <c r="EI117" s="2" t="s">
        <v>3</v>
      </c>
      <c r="EJ117" s="2">
        <v>2</v>
      </c>
      <c r="EK117" s="2">
        <v>67</v>
      </c>
      <c r="EL117" s="2" t="s">
        <v>198</v>
      </c>
      <c r="EM117" s="2" t="s">
        <v>199</v>
      </c>
      <c r="EN117" s="2"/>
      <c r="EO117" s="2" t="s">
        <v>3</v>
      </c>
      <c r="EP117" s="2"/>
      <c r="EQ117" s="2">
        <v>1024</v>
      </c>
      <c r="ER117" s="2">
        <v>0</v>
      </c>
      <c r="ES117" s="2">
        <v>4731.78</v>
      </c>
      <c r="ET117" s="2">
        <v>0</v>
      </c>
      <c r="EU117" s="2">
        <v>0</v>
      </c>
      <c r="EV117" s="2">
        <v>0</v>
      </c>
      <c r="EW117" s="2">
        <v>0</v>
      </c>
      <c r="EX117" s="2">
        <v>0</v>
      </c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>
        <v>0</v>
      </c>
      <c r="FR117" s="2">
        <v>0</v>
      </c>
      <c r="FS117" s="2">
        <v>0</v>
      </c>
      <c r="FT117" s="2"/>
      <c r="FU117" s="2"/>
      <c r="FV117" s="2"/>
      <c r="FW117" s="2"/>
      <c r="FX117" s="2">
        <v>97</v>
      </c>
      <c r="FY117" s="2">
        <v>51</v>
      </c>
      <c r="FZ117" s="2"/>
      <c r="GA117" s="2" t="s">
        <v>182</v>
      </c>
      <c r="GB117" s="2"/>
      <c r="GC117" s="2"/>
      <c r="GD117" s="2">
        <v>1</v>
      </c>
      <c r="GE117" s="2"/>
      <c r="GF117" s="2">
        <v>878106166</v>
      </c>
      <c r="GG117" s="2">
        <v>2</v>
      </c>
      <c r="GH117" s="2">
        <v>4</v>
      </c>
      <c r="GI117" s="2">
        <v>-2</v>
      </c>
      <c r="GJ117" s="2">
        <v>0</v>
      </c>
      <c r="GK117" s="2">
        <v>0</v>
      </c>
      <c r="GL117" s="2">
        <f t="shared" si="90"/>
        <v>0</v>
      </c>
      <c r="GM117" s="2">
        <f t="shared" si="91"/>
        <v>168.92</v>
      </c>
      <c r="GN117" s="2">
        <f t="shared" si="92"/>
        <v>0</v>
      </c>
      <c r="GO117" s="2">
        <f t="shared" si="93"/>
        <v>168.92</v>
      </c>
      <c r="GP117" s="2">
        <f t="shared" si="94"/>
        <v>0</v>
      </c>
      <c r="GQ117" s="2"/>
      <c r="GR117" s="2">
        <v>0</v>
      </c>
      <c r="GS117" s="2">
        <v>2</v>
      </c>
      <c r="GT117" s="2">
        <v>0</v>
      </c>
      <c r="GU117" s="2" t="s">
        <v>3</v>
      </c>
      <c r="GV117" s="2">
        <f t="shared" si="95"/>
        <v>0</v>
      </c>
      <c r="GW117" s="2">
        <v>1</v>
      </c>
      <c r="GX117" s="2">
        <f t="shared" si="96"/>
        <v>0</v>
      </c>
      <c r="GY117" s="2"/>
      <c r="GZ117" s="2"/>
      <c r="HA117" s="2">
        <v>0</v>
      </c>
      <c r="HB117" s="2">
        <v>0</v>
      </c>
      <c r="HC117" s="2">
        <f t="shared" si="97"/>
        <v>0</v>
      </c>
      <c r="HD117" s="2"/>
      <c r="HE117" s="2" t="s">
        <v>57</v>
      </c>
      <c r="HF117" s="2" t="s">
        <v>39</v>
      </c>
      <c r="HG117" s="2"/>
      <c r="HH117" s="2"/>
      <c r="HI117" s="2"/>
      <c r="HJ117" s="2"/>
      <c r="HK117" s="2"/>
      <c r="HL117" s="2"/>
      <c r="HM117" s="2" t="s">
        <v>3</v>
      </c>
      <c r="HN117" s="2" t="s">
        <v>3</v>
      </c>
      <c r="HO117" s="2" t="s">
        <v>3</v>
      </c>
      <c r="HP117" s="2" t="s">
        <v>3</v>
      </c>
      <c r="HQ117" s="2" t="s">
        <v>3</v>
      </c>
      <c r="HR117" s="2"/>
      <c r="HS117" s="2">
        <v>0</v>
      </c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>
        <v>0</v>
      </c>
      <c r="IL117" s="2"/>
      <c r="IM117" s="2"/>
      <c r="IN117" s="2"/>
      <c r="IO117" s="2"/>
      <c r="IP117" s="2"/>
      <c r="IQ117" s="2"/>
      <c r="IR117" s="2"/>
      <c r="IS117" s="2"/>
      <c r="IT117" s="2"/>
      <c r="IU117" s="2"/>
    </row>
    <row r="118" spans="1:255" x14ac:dyDescent="0.3">
      <c r="A118">
        <v>18</v>
      </c>
      <c r="B118">
        <v>1</v>
      </c>
      <c r="E118" t="s">
        <v>3</v>
      </c>
      <c r="F118" t="s">
        <v>179</v>
      </c>
      <c r="G118" t="s">
        <v>180</v>
      </c>
      <c r="H118" t="s">
        <v>181</v>
      </c>
      <c r="I118">
        <f>I116*J118</f>
        <v>3.5700000000000003E-2</v>
      </c>
      <c r="J118">
        <v>0.10200000000000001</v>
      </c>
      <c r="K118">
        <v>0.10199999999999999</v>
      </c>
      <c r="O118">
        <f t="shared" si="66"/>
        <v>1668.93</v>
      </c>
      <c r="P118">
        <f t="shared" si="67"/>
        <v>1668.93</v>
      </c>
      <c r="Q118">
        <f>(ROUND((ROUND(((ET118)*AV118*I118),2)*BB118),2)+ROUND((ROUND(((AE118-(EU118))*AV118*I118),2)*BS118),2))</f>
        <v>0</v>
      </c>
      <c r="R118">
        <f t="shared" si="68"/>
        <v>0</v>
      </c>
      <c r="S118">
        <f t="shared" si="69"/>
        <v>0</v>
      </c>
      <c r="T118">
        <f t="shared" si="70"/>
        <v>0</v>
      </c>
      <c r="U118">
        <f t="shared" si="71"/>
        <v>0</v>
      </c>
      <c r="V118">
        <f t="shared" si="72"/>
        <v>0</v>
      </c>
      <c r="W118">
        <f t="shared" si="73"/>
        <v>0</v>
      </c>
      <c r="X118">
        <f t="shared" si="74"/>
        <v>0</v>
      </c>
      <c r="Y118">
        <f t="shared" si="75"/>
        <v>0</v>
      </c>
      <c r="AA118">
        <v>-1</v>
      </c>
      <c r="AB118">
        <f t="shared" si="76"/>
        <v>4731.78</v>
      </c>
      <c r="AC118">
        <f t="shared" si="77"/>
        <v>4731.78</v>
      </c>
      <c r="AD118">
        <f>ROUND((((ET118)-(EU118))+AE118),6)</f>
        <v>0</v>
      </c>
      <c r="AE118">
        <f>ROUND((EU118),6)</f>
        <v>0</v>
      </c>
      <c r="AF118">
        <f>ROUND((EV118),6)</f>
        <v>0</v>
      </c>
      <c r="AG118">
        <f t="shared" si="78"/>
        <v>0</v>
      </c>
      <c r="AH118">
        <f>(EW118)</f>
        <v>0</v>
      </c>
      <c r="AI118">
        <f>(EX118)</f>
        <v>0</v>
      </c>
      <c r="AJ118">
        <f t="shared" si="79"/>
        <v>0</v>
      </c>
      <c r="AK118">
        <v>4731.78</v>
      </c>
      <c r="AL118">
        <v>4731.78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97</v>
      </c>
      <c r="AU118">
        <v>51</v>
      </c>
      <c r="AV118">
        <v>1</v>
      </c>
      <c r="AW118">
        <v>1</v>
      </c>
      <c r="AZ118">
        <v>1</v>
      </c>
      <c r="BA118">
        <v>1</v>
      </c>
      <c r="BB118">
        <v>1</v>
      </c>
      <c r="BC118">
        <v>9.8800000000000008</v>
      </c>
      <c r="BD118" t="s">
        <v>3</v>
      </c>
      <c r="BE118" t="s">
        <v>3</v>
      </c>
      <c r="BF118" t="s">
        <v>3</v>
      </c>
      <c r="BG118" t="s">
        <v>3</v>
      </c>
      <c r="BH118">
        <v>3</v>
      </c>
      <c r="BI118">
        <v>2</v>
      </c>
      <c r="BJ118" t="s">
        <v>3</v>
      </c>
      <c r="BM118">
        <v>67</v>
      </c>
      <c r="BN118">
        <v>0</v>
      </c>
      <c r="BO118" t="s">
        <v>3</v>
      </c>
      <c r="BP118">
        <v>0</v>
      </c>
      <c r="BQ118">
        <v>40</v>
      </c>
      <c r="BR118">
        <v>0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 t="s">
        <v>3</v>
      </c>
      <c r="BZ118">
        <v>97</v>
      </c>
      <c r="CA118">
        <v>51</v>
      </c>
      <c r="CB118" t="s">
        <v>3</v>
      </c>
      <c r="CE118">
        <v>30</v>
      </c>
      <c r="CF118">
        <v>0</v>
      </c>
      <c r="CG118">
        <v>0</v>
      </c>
      <c r="CM118">
        <v>0</v>
      </c>
      <c r="CN118" t="s">
        <v>3</v>
      </c>
      <c r="CO118">
        <v>0</v>
      </c>
      <c r="CP118">
        <f t="shared" si="80"/>
        <v>1668.93</v>
      </c>
      <c r="CQ118">
        <f t="shared" si="81"/>
        <v>46749.99</v>
      </c>
      <c r="CR118">
        <f>(ROUND((ROUND(((ET118)*AV118*1),2)*BB118),2)+ROUND((ROUND(((AE118-(EU118))*AV118*1),2)*BS118),2))</f>
        <v>0</v>
      </c>
      <c r="CS118">
        <f t="shared" si="82"/>
        <v>0</v>
      </c>
      <c r="CT118">
        <f t="shared" si="83"/>
        <v>0</v>
      </c>
      <c r="CU118">
        <f t="shared" si="84"/>
        <v>0</v>
      </c>
      <c r="CV118">
        <f t="shared" si="85"/>
        <v>0</v>
      </c>
      <c r="CW118">
        <f t="shared" si="86"/>
        <v>0</v>
      </c>
      <c r="CX118">
        <f t="shared" si="87"/>
        <v>0</v>
      </c>
      <c r="CY118">
        <f t="shared" si="88"/>
        <v>0</v>
      </c>
      <c r="CZ118">
        <f t="shared" si="89"/>
        <v>0</v>
      </c>
      <c r="DC118" t="s">
        <v>3</v>
      </c>
      <c r="DD118" t="s">
        <v>3</v>
      </c>
      <c r="DE118" t="s">
        <v>3</v>
      </c>
      <c r="DF118" t="s">
        <v>3</v>
      </c>
      <c r="DG118" t="s">
        <v>3</v>
      </c>
      <c r="DH118" t="s">
        <v>3</v>
      </c>
      <c r="DI118" t="s">
        <v>3</v>
      </c>
      <c r="DJ118" t="s">
        <v>3</v>
      </c>
      <c r="DK118" t="s">
        <v>3</v>
      </c>
      <c r="DL118" t="s">
        <v>3</v>
      </c>
      <c r="DM118" t="s">
        <v>3</v>
      </c>
      <c r="DN118">
        <v>0</v>
      </c>
      <c r="DO118">
        <v>0</v>
      </c>
      <c r="DP118">
        <v>1</v>
      </c>
      <c r="DQ118">
        <v>1</v>
      </c>
      <c r="DU118">
        <v>1003</v>
      </c>
      <c r="DV118" t="s">
        <v>181</v>
      </c>
      <c r="DW118" t="s">
        <v>181</v>
      </c>
      <c r="DX118">
        <v>1000</v>
      </c>
      <c r="DZ118" t="s">
        <v>3</v>
      </c>
      <c r="EA118" t="s">
        <v>3</v>
      </c>
      <c r="EB118" t="s">
        <v>3</v>
      </c>
      <c r="EC118" t="s">
        <v>3</v>
      </c>
      <c r="EE118">
        <v>58162629</v>
      </c>
      <c r="EF118">
        <v>40</v>
      </c>
      <c r="EG118" t="s">
        <v>25</v>
      </c>
      <c r="EH118">
        <v>0</v>
      </c>
      <c r="EI118" t="s">
        <v>3</v>
      </c>
      <c r="EJ118">
        <v>2</v>
      </c>
      <c r="EK118">
        <v>67</v>
      </c>
      <c r="EL118" t="s">
        <v>198</v>
      </c>
      <c r="EM118" t="s">
        <v>199</v>
      </c>
      <c r="EO118" t="s">
        <v>3</v>
      </c>
      <c r="EQ118">
        <v>1024</v>
      </c>
      <c r="ER118">
        <v>46750</v>
      </c>
      <c r="ES118">
        <v>4731.78</v>
      </c>
      <c r="ET118">
        <v>0</v>
      </c>
      <c r="EU118">
        <v>0</v>
      </c>
      <c r="EV118">
        <v>0</v>
      </c>
      <c r="EW118">
        <v>0</v>
      </c>
      <c r="EX118">
        <v>0</v>
      </c>
      <c r="EZ118">
        <v>5</v>
      </c>
      <c r="FC118">
        <v>1</v>
      </c>
      <c r="FD118">
        <v>18</v>
      </c>
      <c r="FF118">
        <v>55000</v>
      </c>
      <c r="FQ118">
        <v>0</v>
      </c>
      <c r="FR118">
        <v>0</v>
      </c>
      <c r="FS118">
        <v>0</v>
      </c>
      <c r="FX118">
        <v>97</v>
      </c>
      <c r="FY118">
        <v>51</v>
      </c>
      <c r="GA118" t="s">
        <v>182</v>
      </c>
      <c r="GD118">
        <v>1</v>
      </c>
      <c r="GF118">
        <v>878106166</v>
      </c>
      <c r="GG118">
        <v>2</v>
      </c>
      <c r="GH118">
        <v>3</v>
      </c>
      <c r="GI118">
        <v>5</v>
      </c>
      <c r="GJ118">
        <v>0</v>
      </c>
      <c r="GK118">
        <v>0</v>
      </c>
      <c r="GL118">
        <f t="shared" si="90"/>
        <v>0</v>
      </c>
      <c r="GM118">
        <f t="shared" si="91"/>
        <v>1668.93</v>
      </c>
      <c r="GN118">
        <f t="shared" si="92"/>
        <v>0</v>
      </c>
      <c r="GO118">
        <f t="shared" si="93"/>
        <v>1668.93</v>
      </c>
      <c r="GP118">
        <f t="shared" si="94"/>
        <v>0</v>
      </c>
      <c r="GR118">
        <v>1</v>
      </c>
      <c r="GS118">
        <v>1</v>
      </c>
      <c r="GT118">
        <v>0</v>
      </c>
      <c r="GU118" t="s">
        <v>3</v>
      </c>
      <c r="GV118">
        <f t="shared" si="95"/>
        <v>0</v>
      </c>
      <c r="GW118">
        <v>1</v>
      </c>
      <c r="GX118">
        <f t="shared" si="96"/>
        <v>0</v>
      </c>
      <c r="HA118">
        <v>0</v>
      </c>
      <c r="HB118">
        <v>0</v>
      </c>
      <c r="HC118">
        <f t="shared" si="97"/>
        <v>0</v>
      </c>
      <c r="HE118" t="s">
        <v>57</v>
      </c>
      <c r="HF118" t="s">
        <v>39</v>
      </c>
      <c r="HM118" t="s">
        <v>3</v>
      </c>
      <c r="HN118" t="s">
        <v>3</v>
      </c>
      <c r="HO118" t="s">
        <v>3</v>
      </c>
      <c r="HP118" t="s">
        <v>3</v>
      </c>
      <c r="HQ118" t="s">
        <v>3</v>
      </c>
      <c r="HS118">
        <v>0</v>
      </c>
      <c r="IK118">
        <v>0</v>
      </c>
    </row>
    <row r="119" spans="1:255" x14ac:dyDescent="0.3">
      <c r="A119" s="2">
        <v>17</v>
      </c>
      <c r="B119" s="2">
        <v>1</v>
      </c>
      <c r="C119" s="2"/>
      <c r="D119" s="2">
        <f>ROW(EtalonRes!A152)</f>
        <v>152</v>
      </c>
      <c r="E119" s="2" t="s">
        <v>3</v>
      </c>
      <c r="F119" s="2" t="s">
        <v>200</v>
      </c>
      <c r="G119" s="2" t="s">
        <v>201</v>
      </c>
      <c r="H119" s="2" t="s">
        <v>158</v>
      </c>
      <c r="I119" s="2">
        <f>ROUND(35/100,9)</f>
        <v>0.35</v>
      </c>
      <c r="J119" s="2">
        <v>0</v>
      </c>
      <c r="K119" s="2">
        <f>ROUND(35/100,9)</f>
        <v>0.35</v>
      </c>
      <c r="L119" s="2"/>
      <c r="M119" s="2"/>
      <c r="N119" s="2"/>
      <c r="O119" s="2">
        <f t="shared" si="66"/>
        <v>457.47</v>
      </c>
      <c r="P119" s="2">
        <f t="shared" si="67"/>
        <v>343.35</v>
      </c>
      <c r="Q119" s="2">
        <f>(ROUND((ROUND((((ET119*1.1))*AV119*I119),2)*BB119),2)+ROUND((ROUND(((AE119-((EU119*1.1)))*AV119*I119),2)*BS119),2))</f>
        <v>11.32</v>
      </c>
      <c r="R119" s="2">
        <f t="shared" si="68"/>
        <v>0.51</v>
      </c>
      <c r="S119" s="2">
        <f t="shared" si="69"/>
        <v>102.8</v>
      </c>
      <c r="T119" s="2">
        <f t="shared" si="70"/>
        <v>0</v>
      </c>
      <c r="U119" s="2">
        <f t="shared" si="71"/>
        <v>8.3440664999999985</v>
      </c>
      <c r="V119" s="2">
        <f t="shared" si="72"/>
        <v>0</v>
      </c>
      <c r="W119" s="2">
        <f t="shared" si="73"/>
        <v>0</v>
      </c>
      <c r="X119" s="2">
        <f t="shared" si="74"/>
        <v>100.21</v>
      </c>
      <c r="Y119" s="2">
        <f t="shared" si="75"/>
        <v>52.69</v>
      </c>
      <c r="Z119" s="2"/>
      <c r="AA119" s="2">
        <v>-1</v>
      </c>
      <c r="AB119" s="2">
        <f t="shared" si="76"/>
        <v>1292.421</v>
      </c>
      <c r="AC119" s="2">
        <f t="shared" si="77"/>
        <v>981</v>
      </c>
      <c r="AD119" s="2">
        <f>ROUND(((((ET119*1.1))-((EU119*1.1)))+AE119),6)</f>
        <v>30.899000000000001</v>
      </c>
      <c r="AE119" s="2">
        <f>ROUND(((EU119*1.1)),6)</f>
        <v>1.3859999999999999</v>
      </c>
      <c r="AF119" s="2">
        <f>ROUND(((EV119*1.1)),6)</f>
        <v>280.52199999999999</v>
      </c>
      <c r="AG119" s="2">
        <f t="shared" si="78"/>
        <v>0</v>
      </c>
      <c r="AH119" s="2">
        <f>((EW119*1.1))</f>
        <v>22.77</v>
      </c>
      <c r="AI119" s="2">
        <f>((EX119*1.1))</f>
        <v>0</v>
      </c>
      <c r="AJ119" s="2">
        <f t="shared" si="79"/>
        <v>0</v>
      </c>
      <c r="AK119" s="2">
        <v>1264.1099999999999</v>
      </c>
      <c r="AL119" s="2">
        <v>981</v>
      </c>
      <c r="AM119" s="2">
        <v>28.09</v>
      </c>
      <c r="AN119" s="2">
        <v>1.26</v>
      </c>
      <c r="AO119" s="2">
        <v>255.02</v>
      </c>
      <c r="AP119" s="2">
        <v>0</v>
      </c>
      <c r="AQ119" s="2">
        <v>20.7</v>
      </c>
      <c r="AR119" s="2">
        <v>0</v>
      </c>
      <c r="AS119" s="2">
        <v>0</v>
      </c>
      <c r="AT119" s="2">
        <v>97</v>
      </c>
      <c r="AU119" s="2">
        <v>51</v>
      </c>
      <c r="AV119" s="2">
        <v>1.0469999999999999</v>
      </c>
      <c r="AW119" s="2">
        <v>1</v>
      </c>
      <c r="AX119" s="2"/>
      <c r="AY119" s="2"/>
      <c r="AZ119" s="2">
        <v>1</v>
      </c>
      <c r="BA119" s="2">
        <v>1</v>
      </c>
      <c r="BB119" s="2">
        <v>1</v>
      </c>
      <c r="BC119" s="2">
        <v>1</v>
      </c>
      <c r="BD119" s="2" t="s">
        <v>3</v>
      </c>
      <c r="BE119" s="2" t="s">
        <v>3</v>
      </c>
      <c r="BF119" s="2" t="s">
        <v>3</v>
      </c>
      <c r="BG119" s="2" t="s">
        <v>3</v>
      </c>
      <c r="BH119" s="2">
        <v>0</v>
      </c>
      <c r="BI119" s="2">
        <v>2</v>
      </c>
      <c r="BJ119" s="2" t="s">
        <v>202</v>
      </c>
      <c r="BK119" s="2"/>
      <c r="BL119" s="2"/>
      <c r="BM119" s="2">
        <v>67</v>
      </c>
      <c r="BN119" s="2">
        <v>0</v>
      </c>
      <c r="BO119" s="2" t="s">
        <v>200</v>
      </c>
      <c r="BP119" s="2">
        <v>1</v>
      </c>
      <c r="BQ119" s="2">
        <v>40</v>
      </c>
      <c r="BR119" s="2">
        <v>0</v>
      </c>
      <c r="BS119" s="2">
        <v>1</v>
      </c>
      <c r="BT119" s="2">
        <v>1</v>
      </c>
      <c r="BU119" s="2">
        <v>1</v>
      </c>
      <c r="BV119" s="2">
        <v>1</v>
      </c>
      <c r="BW119" s="2">
        <v>1</v>
      </c>
      <c r="BX119" s="2">
        <v>1</v>
      </c>
      <c r="BY119" s="2" t="s">
        <v>3</v>
      </c>
      <c r="BZ119" s="2">
        <v>97</v>
      </c>
      <c r="CA119" s="2">
        <v>51</v>
      </c>
      <c r="CB119" s="2" t="s">
        <v>3</v>
      </c>
      <c r="CC119" s="2"/>
      <c r="CD119" s="2"/>
      <c r="CE119" s="2">
        <v>30</v>
      </c>
      <c r="CF119" s="2">
        <v>0</v>
      </c>
      <c r="CG119" s="2">
        <v>0</v>
      </c>
      <c r="CH119" s="2"/>
      <c r="CI119" s="2"/>
      <c r="CJ119" s="2"/>
      <c r="CK119" s="2"/>
      <c r="CL119" s="2"/>
      <c r="CM119" s="2">
        <v>0</v>
      </c>
      <c r="CN119" s="2" t="s">
        <v>3</v>
      </c>
      <c r="CO119" s="2">
        <v>0</v>
      </c>
      <c r="CP119" s="2">
        <f t="shared" si="80"/>
        <v>457.47</v>
      </c>
      <c r="CQ119" s="2">
        <f t="shared" si="81"/>
        <v>981</v>
      </c>
      <c r="CR119" s="2">
        <f>(ROUND((ROUND((((ET119*1.1))*AV119*1),2)*BB119),2)+ROUND((ROUND(((AE119-((EU119*1.1)))*AV119*1),2)*BS119),2))</f>
        <v>32.35</v>
      </c>
      <c r="CS119" s="2">
        <f t="shared" si="82"/>
        <v>1.45</v>
      </c>
      <c r="CT119" s="2">
        <f t="shared" si="83"/>
        <v>293.70999999999998</v>
      </c>
      <c r="CU119" s="2">
        <f t="shared" si="84"/>
        <v>0</v>
      </c>
      <c r="CV119" s="2">
        <f t="shared" si="85"/>
        <v>23.840189999999996</v>
      </c>
      <c r="CW119" s="2">
        <f t="shared" si="86"/>
        <v>0</v>
      </c>
      <c r="CX119" s="2">
        <f t="shared" si="87"/>
        <v>0</v>
      </c>
      <c r="CY119" s="2">
        <f t="shared" si="88"/>
        <v>100.2107</v>
      </c>
      <c r="CZ119" s="2">
        <f t="shared" si="89"/>
        <v>52.688100000000006</v>
      </c>
      <c r="DA119" s="2"/>
      <c r="DB119" s="2"/>
      <c r="DC119" s="2" t="s">
        <v>3</v>
      </c>
      <c r="DD119" s="2" t="s">
        <v>3</v>
      </c>
      <c r="DE119" s="2" t="s">
        <v>24</v>
      </c>
      <c r="DF119" s="2" t="s">
        <v>24</v>
      </c>
      <c r="DG119" s="2" t="s">
        <v>24</v>
      </c>
      <c r="DH119" s="2" t="s">
        <v>3</v>
      </c>
      <c r="DI119" s="2" t="s">
        <v>24</v>
      </c>
      <c r="DJ119" s="2" t="s">
        <v>24</v>
      </c>
      <c r="DK119" s="2" t="s">
        <v>3</v>
      </c>
      <c r="DL119" s="2" t="s">
        <v>3</v>
      </c>
      <c r="DM119" s="2" t="s">
        <v>3</v>
      </c>
      <c r="DN119" s="2">
        <v>0</v>
      </c>
      <c r="DO119" s="2">
        <v>0</v>
      </c>
      <c r="DP119" s="2">
        <v>1</v>
      </c>
      <c r="DQ119" s="2">
        <v>1</v>
      </c>
      <c r="DR119" s="2"/>
      <c r="DS119" s="2"/>
      <c r="DT119" s="2"/>
      <c r="DU119" s="2">
        <v>1003</v>
      </c>
      <c r="DV119" s="2" t="s">
        <v>158</v>
      </c>
      <c r="DW119" s="2" t="s">
        <v>158</v>
      </c>
      <c r="DX119" s="2">
        <v>100</v>
      </c>
      <c r="DY119" s="2"/>
      <c r="DZ119" s="2" t="s">
        <v>3</v>
      </c>
      <c r="EA119" s="2" t="s">
        <v>3</v>
      </c>
      <c r="EB119" s="2" t="s">
        <v>3</v>
      </c>
      <c r="EC119" s="2" t="s">
        <v>3</v>
      </c>
      <c r="ED119" s="2"/>
      <c r="EE119" s="2">
        <v>58162629</v>
      </c>
      <c r="EF119" s="2">
        <v>40</v>
      </c>
      <c r="EG119" s="2" t="s">
        <v>25</v>
      </c>
      <c r="EH119" s="2">
        <v>0</v>
      </c>
      <c r="EI119" s="2" t="s">
        <v>3</v>
      </c>
      <c r="EJ119" s="2">
        <v>2</v>
      </c>
      <c r="EK119" s="2">
        <v>67</v>
      </c>
      <c r="EL119" s="2" t="s">
        <v>198</v>
      </c>
      <c r="EM119" s="2" t="s">
        <v>199</v>
      </c>
      <c r="EN119" s="2"/>
      <c r="EO119" s="2" t="s">
        <v>28</v>
      </c>
      <c r="EP119" s="2"/>
      <c r="EQ119" s="2">
        <v>1024</v>
      </c>
      <c r="ER119" s="2">
        <v>1264.1099999999999</v>
      </c>
      <c r="ES119" s="2">
        <v>981</v>
      </c>
      <c r="ET119" s="2">
        <v>28.09</v>
      </c>
      <c r="EU119" s="2">
        <v>1.26</v>
      </c>
      <c r="EV119" s="2">
        <v>255.02</v>
      </c>
      <c r="EW119" s="2">
        <v>20.7</v>
      </c>
      <c r="EX119" s="2">
        <v>0</v>
      </c>
      <c r="EY119" s="2">
        <v>0</v>
      </c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>
        <v>0</v>
      </c>
      <c r="FR119" s="2">
        <v>0</v>
      </c>
      <c r="FS119" s="2">
        <v>0</v>
      </c>
      <c r="FT119" s="2"/>
      <c r="FU119" s="2"/>
      <c r="FV119" s="2"/>
      <c r="FW119" s="2"/>
      <c r="FX119" s="2">
        <v>97</v>
      </c>
      <c r="FY119" s="2">
        <v>51</v>
      </c>
      <c r="FZ119" s="2"/>
      <c r="GA119" s="2" t="s">
        <v>3</v>
      </c>
      <c r="GB119" s="2"/>
      <c r="GC119" s="2"/>
      <c r="GD119" s="2">
        <v>1</v>
      </c>
      <c r="GE119" s="2"/>
      <c r="GF119" s="2">
        <v>242247751</v>
      </c>
      <c r="GG119" s="2">
        <v>2</v>
      </c>
      <c r="GH119" s="2">
        <v>1</v>
      </c>
      <c r="GI119" s="2">
        <v>2</v>
      </c>
      <c r="GJ119" s="2">
        <v>0</v>
      </c>
      <c r="GK119" s="2">
        <v>0</v>
      </c>
      <c r="GL119" s="2">
        <f t="shared" si="90"/>
        <v>0</v>
      </c>
      <c r="GM119" s="2">
        <f t="shared" si="91"/>
        <v>610.37</v>
      </c>
      <c r="GN119" s="2">
        <f t="shared" si="92"/>
        <v>0</v>
      </c>
      <c r="GO119" s="2">
        <f t="shared" si="93"/>
        <v>610.37</v>
      </c>
      <c r="GP119" s="2">
        <f t="shared" si="94"/>
        <v>0</v>
      </c>
      <c r="GQ119" s="2"/>
      <c r="GR119" s="2">
        <v>0</v>
      </c>
      <c r="GS119" s="2">
        <v>3</v>
      </c>
      <c r="GT119" s="2">
        <v>0</v>
      </c>
      <c r="GU119" s="2" t="s">
        <v>3</v>
      </c>
      <c r="GV119" s="2">
        <f t="shared" si="95"/>
        <v>0</v>
      </c>
      <c r="GW119" s="2">
        <v>1</v>
      </c>
      <c r="GX119" s="2">
        <f t="shared" si="96"/>
        <v>0</v>
      </c>
      <c r="GY119" s="2"/>
      <c r="GZ119" s="2"/>
      <c r="HA119" s="2">
        <v>0</v>
      </c>
      <c r="HB119" s="2">
        <v>0</v>
      </c>
      <c r="HC119" s="2">
        <f t="shared" si="97"/>
        <v>0</v>
      </c>
      <c r="HD119" s="2"/>
      <c r="HE119" s="2" t="s">
        <v>3</v>
      </c>
      <c r="HF119" s="2" t="s">
        <v>3</v>
      </c>
      <c r="HG119" s="2"/>
      <c r="HH119" s="2"/>
      <c r="HI119" s="2"/>
      <c r="HJ119" s="2"/>
      <c r="HK119" s="2"/>
      <c r="HL119" s="2"/>
      <c r="HM119" s="2" t="s">
        <v>3</v>
      </c>
      <c r="HN119" s="2" t="s">
        <v>3</v>
      </c>
      <c r="HO119" s="2" t="s">
        <v>3</v>
      </c>
      <c r="HP119" s="2" t="s">
        <v>3</v>
      </c>
      <c r="HQ119" s="2" t="s">
        <v>3</v>
      </c>
      <c r="HR119" s="2"/>
      <c r="HS119" s="2">
        <v>0</v>
      </c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>
        <v>0</v>
      </c>
      <c r="IL119" s="2"/>
      <c r="IM119" s="2"/>
      <c r="IN119" s="2"/>
      <c r="IO119" s="2"/>
      <c r="IP119" s="2"/>
      <c r="IQ119" s="2"/>
      <c r="IR119" s="2"/>
      <c r="IS119" s="2"/>
      <c r="IT119" s="2"/>
      <c r="IU119" s="2"/>
    </row>
    <row r="120" spans="1:255" x14ac:dyDescent="0.3">
      <c r="A120">
        <v>17</v>
      </c>
      <c r="B120">
        <v>1</v>
      </c>
      <c r="D120">
        <f>ROW(EtalonRes!A166)</f>
        <v>166</v>
      </c>
      <c r="E120" t="s">
        <v>3</v>
      </c>
      <c r="F120" t="s">
        <v>200</v>
      </c>
      <c r="G120" t="s">
        <v>201</v>
      </c>
      <c r="H120" t="s">
        <v>158</v>
      </c>
      <c r="I120">
        <f>ROUND(35/100,9)</f>
        <v>0.35</v>
      </c>
      <c r="J120">
        <v>0</v>
      </c>
      <c r="K120">
        <f>ROUND(35/100,9)</f>
        <v>0.35</v>
      </c>
      <c r="O120">
        <f t="shared" si="66"/>
        <v>6746.8</v>
      </c>
      <c r="P120">
        <f t="shared" si="67"/>
        <v>951.08</v>
      </c>
      <c r="Q120">
        <f>(ROUND((ROUND((((ET120*1.1))*AV120*I120),2)*BB120),2)+ROUND((ROUND(((AE120-((EU120*1.1)))*AV120*I120),2)*BS120),2))</f>
        <v>142.75</v>
      </c>
      <c r="R120">
        <f t="shared" si="68"/>
        <v>28.04</v>
      </c>
      <c r="S120">
        <f t="shared" si="69"/>
        <v>5652.97</v>
      </c>
      <c r="T120">
        <f t="shared" si="70"/>
        <v>0</v>
      </c>
      <c r="U120">
        <f t="shared" si="71"/>
        <v>8.3440664999999985</v>
      </c>
      <c r="V120">
        <f t="shared" si="72"/>
        <v>0</v>
      </c>
      <c r="W120">
        <f t="shared" si="73"/>
        <v>0</v>
      </c>
      <c r="X120">
        <f t="shared" si="74"/>
        <v>5510.58</v>
      </c>
      <c r="Y120">
        <f t="shared" si="75"/>
        <v>2897.32</v>
      </c>
      <c r="AA120">
        <v>-1</v>
      </c>
      <c r="AB120">
        <f t="shared" si="76"/>
        <v>1292.421</v>
      </c>
      <c r="AC120">
        <f t="shared" si="77"/>
        <v>981</v>
      </c>
      <c r="AD120">
        <f>ROUND(((((ET120*1.1))-((EU120*1.1)))+AE120),6)</f>
        <v>30.899000000000001</v>
      </c>
      <c r="AE120">
        <f>ROUND(((EU120*1.1)),6)</f>
        <v>1.3859999999999999</v>
      </c>
      <c r="AF120">
        <f>ROUND(((EV120*1.1)),6)</f>
        <v>280.52199999999999</v>
      </c>
      <c r="AG120">
        <f t="shared" si="78"/>
        <v>0</v>
      </c>
      <c r="AH120">
        <f>((EW120*1.1))</f>
        <v>22.77</v>
      </c>
      <c r="AI120">
        <f>((EX120*1.1))</f>
        <v>0</v>
      </c>
      <c r="AJ120">
        <f t="shared" si="79"/>
        <v>0</v>
      </c>
      <c r="AK120">
        <v>1264.1099999999999</v>
      </c>
      <c r="AL120">
        <v>981</v>
      </c>
      <c r="AM120">
        <v>28.09</v>
      </c>
      <c r="AN120">
        <v>1.26</v>
      </c>
      <c r="AO120">
        <v>255.02</v>
      </c>
      <c r="AP120">
        <v>0</v>
      </c>
      <c r="AQ120">
        <v>20.7</v>
      </c>
      <c r="AR120">
        <v>0</v>
      </c>
      <c r="AS120">
        <v>0</v>
      </c>
      <c r="AT120">
        <v>97</v>
      </c>
      <c r="AU120">
        <v>51</v>
      </c>
      <c r="AV120">
        <v>1.0469999999999999</v>
      </c>
      <c r="AW120">
        <v>1</v>
      </c>
      <c r="AZ120">
        <v>1</v>
      </c>
      <c r="BA120">
        <v>54.99</v>
      </c>
      <c r="BB120">
        <v>12.61</v>
      </c>
      <c r="BC120">
        <v>2.77</v>
      </c>
      <c r="BD120" t="s">
        <v>3</v>
      </c>
      <c r="BE120" t="s">
        <v>3</v>
      </c>
      <c r="BF120" t="s">
        <v>3</v>
      </c>
      <c r="BG120" t="s">
        <v>3</v>
      </c>
      <c r="BH120">
        <v>0</v>
      </c>
      <c r="BI120">
        <v>2</v>
      </c>
      <c r="BJ120" t="s">
        <v>202</v>
      </c>
      <c r="BM120">
        <v>67</v>
      </c>
      <c r="BN120">
        <v>0</v>
      </c>
      <c r="BO120" t="s">
        <v>200</v>
      </c>
      <c r="BP120">
        <v>1</v>
      </c>
      <c r="BQ120">
        <v>40</v>
      </c>
      <c r="BR120">
        <v>0</v>
      </c>
      <c r="BS120">
        <v>54.99</v>
      </c>
      <c r="BT120">
        <v>1</v>
      </c>
      <c r="BU120">
        <v>1</v>
      </c>
      <c r="BV120">
        <v>1</v>
      </c>
      <c r="BW120">
        <v>1</v>
      </c>
      <c r="BX120">
        <v>1</v>
      </c>
      <c r="BY120" t="s">
        <v>3</v>
      </c>
      <c r="BZ120">
        <v>97</v>
      </c>
      <c r="CA120">
        <v>51</v>
      </c>
      <c r="CB120" t="s">
        <v>3</v>
      </c>
      <c r="CE120">
        <v>30</v>
      </c>
      <c r="CF120">
        <v>0</v>
      </c>
      <c r="CG120">
        <v>0</v>
      </c>
      <c r="CM120">
        <v>0</v>
      </c>
      <c r="CN120" t="s">
        <v>3</v>
      </c>
      <c r="CO120">
        <v>0</v>
      </c>
      <c r="CP120">
        <f t="shared" si="80"/>
        <v>6746.8</v>
      </c>
      <c r="CQ120">
        <f t="shared" si="81"/>
        <v>2717.37</v>
      </c>
      <c r="CR120">
        <f>(ROUND((ROUND((((ET120*1.1))*AV120*1),2)*BB120),2)+ROUND((ROUND(((AE120-((EU120*1.1)))*AV120*1),2)*BS120),2))</f>
        <v>407.93</v>
      </c>
      <c r="CS120">
        <f t="shared" si="82"/>
        <v>79.739999999999995</v>
      </c>
      <c r="CT120">
        <f t="shared" si="83"/>
        <v>16151.11</v>
      </c>
      <c r="CU120">
        <f t="shared" si="84"/>
        <v>0</v>
      </c>
      <c r="CV120">
        <f t="shared" si="85"/>
        <v>23.840189999999996</v>
      </c>
      <c r="CW120">
        <f t="shared" si="86"/>
        <v>0</v>
      </c>
      <c r="CX120">
        <f t="shared" si="87"/>
        <v>0</v>
      </c>
      <c r="CY120">
        <f t="shared" si="88"/>
        <v>5510.5796999999993</v>
      </c>
      <c r="CZ120">
        <f t="shared" si="89"/>
        <v>2897.3151000000003</v>
      </c>
      <c r="DC120" t="s">
        <v>3</v>
      </c>
      <c r="DD120" t="s">
        <v>3</v>
      </c>
      <c r="DE120" t="s">
        <v>24</v>
      </c>
      <c r="DF120" t="s">
        <v>24</v>
      </c>
      <c r="DG120" t="s">
        <v>24</v>
      </c>
      <c r="DH120" t="s">
        <v>3</v>
      </c>
      <c r="DI120" t="s">
        <v>24</v>
      </c>
      <c r="DJ120" t="s">
        <v>24</v>
      </c>
      <c r="DK120" t="s">
        <v>3</v>
      </c>
      <c r="DL120" t="s">
        <v>3</v>
      </c>
      <c r="DM120" t="s">
        <v>3</v>
      </c>
      <c r="DN120">
        <v>0</v>
      </c>
      <c r="DO120">
        <v>0</v>
      </c>
      <c r="DP120">
        <v>1</v>
      </c>
      <c r="DQ120">
        <v>1</v>
      </c>
      <c r="DU120">
        <v>1003</v>
      </c>
      <c r="DV120" t="s">
        <v>158</v>
      </c>
      <c r="DW120" t="s">
        <v>158</v>
      </c>
      <c r="DX120">
        <v>100</v>
      </c>
      <c r="DZ120" t="s">
        <v>3</v>
      </c>
      <c r="EA120" t="s">
        <v>3</v>
      </c>
      <c r="EB120" t="s">
        <v>3</v>
      </c>
      <c r="EC120" t="s">
        <v>3</v>
      </c>
      <c r="EE120">
        <v>58162629</v>
      </c>
      <c r="EF120">
        <v>40</v>
      </c>
      <c r="EG120" t="s">
        <v>25</v>
      </c>
      <c r="EH120">
        <v>0</v>
      </c>
      <c r="EI120" t="s">
        <v>3</v>
      </c>
      <c r="EJ120">
        <v>2</v>
      </c>
      <c r="EK120">
        <v>67</v>
      </c>
      <c r="EL120" t="s">
        <v>198</v>
      </c>
      <c r="EM120" t="s">
        <v>199</v>
      </c>
      <c r="EO120" t="s">
        <v>28</v>
      </c>
      <c r="EQ120">
        <v>1024</v>
      </c>
      <c r="ER120">
        <v>1264.1099999999999</v>
      </c>
      <c r="ES120">
        <v>981</v>
      </c>
      <c r="ET120">
        <v>28.09</v>
      </c>
      <c r="EU120">
        <v>1.26</v>
      </c>
      <c r="EV120">
        <v>255.02</v>
      </c>
      <c r="EW120">
        <v>20.7</v>
      </c>
      <c r="EX120">
        <v>0</v>
      </c>
      <c r="EY120">
        <v>0</v>
      </c>
      <c r="FQ120">
        <v>0</v>
      </c>
      <c r="FR120">
        <v>0</v>
      </c>
      <c r="FS120">
        <v>0</v>
      </c>
      <c r="FX120">
        <v>97</v>
      </c>
      <c r="FY120">
        <v>51</v>
      </c>
      <c r="GA120" t="s">
        <v>3</v>
      </c>
      <c r="GD120">
        <v>1</v>
      </c>
      <c r="GF120">
        <v>242247751</v>
      </c>
      <c r="GG120">
        <v>2</v>
      </c>
      <c r="GH120">
        <v>1</v>
      </c>
      <c r="GI120">
        <v>2</v>
      </c>
      <c r="GJ120">
        <v>0</v>
      </c>
      <c r="GK120">
        <v>0</v>
      </c>
      <c r="GL120">
        <f t="shared" si="90"/>
        <v>0</v>
      </c>
      <c r="GM120">
        <f t="shared" si="91"/>
        <v>15154.7</v>
      </c>
      <c r="GN120">
        <f t="shared" si="92"/>
        <v>0</v>
      </c>
      <c r="GO120">
        <f t="shared" si="93"/>
        <v>15154.7</v>
      </c>
      <c r="GP120">
        <f t="shared" si="94"/>
        <v>0</v>
      </c>
      <c r="GR120">
        <v>0</v>
      </c>
      <c r="GS120">
        <v>3</v>
      </c>
      <c r="GT120">
        <v>0</v>
      </c>
      <c r="GU120" t="s">
        <v>3</v>
      </c>
      <c r="GV120">
        <f t="shared" si="95"/>
        <v>0</v>
      </c>
      <c r="GW120">
        <v>1</v>
      </c>
      <c r="GX120">
        <f t="shared" si="96"/>
        <v>0</v>
      </c>
      <c r="HA120">
        <v>0</v>
      </c>
      <c r="HB120">
        <v>0</v>
      </c>
      <c r="HC120">
        <f t="shared" si="97"/>
        <v>0</v>
      </c>
      <c r="HE120" t="s">
        <v>3</v>
      </c>
      <c r="HF120" t="s">
        <v>3</v>
      </c>
      <c r="HM120" t="s">
        <v>3</v>
      </c>
      <c r="HN120" t="s">
        <v>3</v>
      </c>
      <c r="HO120" t="s">
        <v>3</v>
      </c>
      <c r="HP120" t="s">
        <v>3</v>
      </c>
      <c r="HQ120" t="s">
        <v>3</v>
      </c>
      <c r="HS120">
        <v>0</v>
      </c>
      <c r="IK120">
        <v>0</v>
      </c>
    </row>
    <row r="121" spans="1:255" x14ac:dyDescent="0.3">
      <c r="A121" s="2">
        <v>18</v>
      </c>
      <c r="B121" s="2">
        <v>1</v>
      </c>
      <c r="C121" s="2"/>
      <c r="D121" s="2"/>
      <c r="E121" s="2" t="s">
        <v>3</v>
      </c>
      <c r="F121" s="2" t="s">
        <v>161</v>
      </c>
      <c r="G121" s="2" t="s">
        <v>162</v>
      </c>
      <c r="H121" s="2" t="s">
        <v>163</v>
      </c>
      <c r="I121" s="2">
        <f>I119*J121</f>
        <v>35.700000000000003</v>
      </c>
      <c r="J121" s="2">
        <v>102.00000000000001</v>
      </c>
      <c r="K121" s="2">
        <v>102</v>
      </c>
      <c r="L121" s="2"/>
      <c r="M121" s="2"/>
      <c r="N121" s="2"/>
      <c r="O121" s="2">
        <f t="shared" si="66"/>
        <v>163.86</v>
      </c>
      <c r="P121" s="2">
        <f t="shared" si="67"/>
        <v>163.86</v>
      </c>
      <c r="Q121" s="2">
        <f>(ROUND((ROUND(((ET121)*AV121*I121),2)*BB121),2)+ROUND((ROUND(((AE121-(EU121))*AV121*I121),2)*BS121),2))</f>
        <v>0</v>
      </c>
      <c r="R121" s="2">
        <f t="shared" si="68"/>
        <v>0</v>
      </c>
      <c r="S121" s="2">
        <f t="shared" si="69"/>
        <v>0</v>
      </c>
      <c r="T121" s="2">
        <f t="shared" si="70"/>
        <v>0</v>
      </c>
      <c r="U121" s="2">
        <f t="shared" si="71"/>
        <v>0</v>
      </c>
      <c r="V121" s="2">
        <f t="shared" si="72"/>
        <v>0</v>
      </c>
      <c r="W121" s="2">
        <f t="shared" si="73"/>
        <v>0</v>
      </c>
      <c r="X121" s="2">
        <f t="shared" si="74"/>
        <v>0</v>
      </c>
      <c r="Y121" s="2">
        <f t="shared" si="75"/>
        <v>0</v>
      </c>
      <c r="Z121" s="2"/>
      <c r="AA121" s="2">
        <v>-1</v>
      </c>
      <c r="AB121" s="2">
        <f t="shared" si="76"/>
        <v>4.59</v>
      </c>
      <c r="AC121" s="2">
        <f t="shared" si="77"/>
        <v>4.59</v>
      </c>
      <c r="AD121" s="2">
        <f>ROUND((((ET121)-(EU121))+AE121),6)</f>
        <v>0</v>
      </c>
      <c r="AE121" s="2">
        <f t="shared" ref="AE121:AF124" si="105">ROUND((EU121),6)</f>
        <v>0</v>
      </c>
      <c r="AF121" s="2">
        <f t="shared" si="105"/>
        <v>0</v>
      </c>
      <c r="AG121" s="2">
        <f t="shared" si="78"/>
        <v>0</v>
      </c>
      <c r="AH121" s="2">
        <f t="shared" ref="AH121:AI124" si="106">(EW121)</f>
        <v>0</v>
      </c>
      <c r="AI121" s="2">
        <f t="shared" si="106"/>
        <v>0</v>
      </c>
      <c r="AJ121" s="2">
        <f t="shared" si="79"/>
        <v>0</v>
      </c>
      <c r="AK121" s="2">
        <v>4.59</v>
      </c>
      <c r="AL121" s="2">
        <v>4.59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97</v>
      </c>
      <c r="AU121" s="2">
        <v>51</v>
      </c>
      <c r="AV121" s="2">
        <v>1</v>
      </c>
      <c r="AW121" s="2">
        <v>1</v>
      </c>
      <c r="AX121" s="2"/>
      <c r="AY121" s="2"/>
      <c r="AZ121" s="2">
        <v>1</v>
      </c>
      <c r="BA121" s="2">
        <v>1</v>
      </c>
      <c r="BB121" s="2">
        <v>1</v>
      </c>
      <c r="BC121" s="2">
        <v>1</v>
      </c>
      <c r="BD121" s="2" t="s">
        <v>3</v>
      </c>
      <c r="BE121" s="2" t="s">
        <v>3</v>
      </c>
      <c r="BF121" s="2" t="s">
        <v>3</v>
      </c>
      <c r="BG121" s="2" t="s">
        <v>3</v>
      </c>
      <c r="BH121" s="2">
        <v>3</v>
      </c>
      <c r="BI121" s="2">
        <v>2</v>
      </c>
      <c r="BJ121" s="2" t="s">
        <v>164</v>
      </c>
      <c r="BK121" s="2"/>
      <c r="BL121" s="2"/>
      <c r="BM121" s="2">
        <v>67</v>
      </c>
      <c r="BN121" s="2">
        <v>0</v>
      </c>
      <c r="BO121" s="2" t="s">
        <v>3</v>
      </c>
      <c r="BP121" s="2">
        <v>0</v>
      </c>
      <c r="BQ121" s="2">
        <v>40</v>
      </c>
      <c r="BR121" s="2">
        <v>0</v>
      </c>
      <c r="BS121" s="2">
        <v>1</v>
      </c>
      <c r="BT121" s="2">
        <v>1</v>
      </c>
      <c r="BU121" s="2">
        <v>1</v>
      </c>
      <c r="BV121" s="2">
        <v>1</v>
      </c>
      <c r="BW121" s="2">
        <v>1</v>
      </c>
      <c r="BX121" s="2">
        <v>1</v>
      </c>
      <c r="BY121" s="2" t="s">
        <v>3</v>
      </c>
      <c r="BZ121" s="2">
        <v>97</v>
      </c>
      <c r="CA121" s="2">
        <v>51</v>
      </c>
      <c r="CB121" s="2" t="s">
        <v>3</v>
      </c>
      <c r="CC121" s="2"/>
      <c r="CD121" s="2"/>
      <c r="CE121" s="2">
        <v>30</v>
      </c>
      <c r="CF121" s="2">
        <v>0</v>
      </c>
      <c r="CG121" s="2">
        <v>0</v>
      </c>
      <c r="CH121" s="2"/>
      <c r="CI121" s="2"/>
      <c r="CJ121" s="2"/>
      <c r="CK121" s="2"/>
      <c r="CL121" s="2"/>
      <c r="CM121" s="2">
        <v>0</v>
      </c>
      <c r="CN121" s="2" t="s">
        <v>3</v>
      </c>
      <c r="CO121" s="2">
        <v>0</v>
      </c>
      <c r="CP121" s="2">
        <f t="shared" si="80"/>
        <v>163.86</v>
      </c>
      <c r="CQ121" s="2">
        <f t="shared" si="81"/>
        <v>4.59</v>
      </c>
      <c r="CR121" s="2">
        <f>(ROUND((ROUND(((ET121)*AV121*1),2)*BB121),2)+ROUND((ROUND(((AE121-(EU121))*AV121*1),2)*BS121),2))</f>
        <v>0</v>
      </c>
      <c r="CS121" s="2">
        <f t="shared" si="82"/>
        <v>0</v>
      </c>
      <c r="CT121" s="2">
        <f t="shared" si="83"/>
        <v>0</v>
      </c>
      <c r="CU121" s="2">
        <f t="shared" si="84"/>
        <v>0</v>
      </c>
      <c r="CV121" s="2">
        <f t="shared" si="85"/>
        <v>0</v>
      </c>
      <c r="CW121" s="2">
        <f t="shared" si="86"/>
        <v>0</v>
      </c>
      <c r="CX121" s="2">
        <f t="shared" si="87"/>
        <v>0</v>
      </c>
      <c r="CY121" s="2">
        <f t="shared" si="88"/>
        <v>0</v>
      </c>
      <c r="CZ121" s="2">
        <f t="shared" si="89"/>
        <v>0</v>
      </c>
      <c r="DA121" s="2"/>
      <c r="DB121" s="2"/>
      <c r="DC121" s="2" t="s">
        <v>3</v>
      </c>
      <c r="DD121" s="2" t="s">
        <v>3</v>
      </c>
      <c r="DE121" s="2" t="s">
        <v>3</v>
      </c>
      <c r="DF121" s="2" t="s">
        <v>3</v>
      </c>
      <c r="DG121" s="2" t="s">
        <v>3</v>
      </c>
      <c r="DH121" s="2" t="s">
        <v>3</v>
      </c>
      <c r="DI121" s="2" t="s">
        <v>3</v>
      </c>
      <c r="DJ121" s="2" t="s">
        <v>3</v>
      </c>
      <c r="DK121" s="2" t="s">
        <v>3</v>
      </c>
      <c r="DL121" s="2" t="s">
        <v>3</v>
      </c>
      <c r="DM121" s="2" t="s">
        <v>3</v>
      </c>
      <c r="DN121" s="2">
        <v>0</v>
      </c>
      <c r="DO121" s="2">
        <v>0</v>
      </c>
      <c r="DP121" s="2">
        <v>1</v>
      </c>
      <c r="DQ121" s="2">
        <v>1</v>
      </c>
      <c r="DR121" s="2"/>
      <c r="DS121" s="2"/>
      <c r="DT121" s="2"/>
      <c r="DU121" s="2">
        <v>1003</v>
      </c>
      <c r="DV121" s="2" t="s">
        <v>163</v>
      </c>
      <c r="DW121" s="2" t="s">
        <v>163</v>
      </c>
      <c r="DX121" s="2">
        <v>1</v>
      </c>
      <c r="DY121" s="2"/>
      <c r="DZ121" s="2" t="s">
        <v>3</v>
      </c>
      <c r="EA121" s="2" t="s">
        <v>3</v>
      </c>
      <c r="EB121" s="2" t="s">
        <v>3</v>
      </c>
      <c r="EC121" s="2" t="s">
        <v>3</v>
      </c>
      <c r="ED121" s="2"/>
      <c r="EE121" s="2">
        <v>58162629</v>
      </c>
      <c r="EF121" s="2">
        <v>40</v>
      </c>
      <c r="EG121" s="2" t="s">
        <v>25</v>
      </c>
      <c r="EH121" s="2">
        <v>0</v>
      </c>
      <c r="EI121" s="2" t="s">
        <v>3</v>
      </c>
      <c r="EJ121" s="2">
        <v>2</v>
      </c>
      <c r="EK121" s="2">
        <v>67</v>
      </c>
      <c r="EL121" s="2" t="s">
        <v>198</v>
      </c>
      <c r="EM121" s="2" t="s">
        <v>199</v>
      </c>
      <c r="EN121" s="2"/>
      <c r="EO121" s="2" t="s">
        <v>3</v>
      </c>
      <c r="EP121" s="2"/>
      <c r="EQ121" s="2">
        <v>1024</v>
      </c>
      <c r="ER121" s="2">
        <v>4.59</v>
      </c>
      <c r="ES121" s="2">
        <v>4.59</v>
      </c>
      <c r="ET121" s="2">
        <v>0</v>
      </c>
      <c r="EU121" s="2">
        <v>0</v>
      </c>
      <c r="EV121" s="2">
        <v>0</v>
      </c>
      <c r="EW121" s="2">
        <v>0</v>
      </c>
      <c r="EX121" s="2">
        <v>0</v>
      </c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>
        <v>0</v>
      </c>
      <c r="FR121" s="2">
        <v>0</v>
      </c>
      <c r="FS121" s="2">
        <v>0</v>
      </c>
      <c r="FT121" s="2"/>
      <c r="FU121" s="2"/>
      <c r="FV121" s="2"/>
      <c r="FW121" s="2"/>
      <c r="FX121" s="2">
        <v>97</v>
      </c>
      <c r="FY121" s="2">
        <v>51</v>
      </c>
      <c r="FZ121" s="2"/>
      <c r="GA121" s="2" t="s">
        <v>3</v>
      </c>
      <c r="GB121" s="2"/>
      <c r="GC121" s="2"/>
      <c r="GD121" s="2">
        <v>1</v>
      </c>
      <c r="GE121" s="2"/>
      <c r="GF121" s="2">
        <v>1515925975</v>
      </c>
      <c r="GG121" s="2">
        <v>2</v>
      </c>
      <c r="GH121" s="2">
        <v>1</v>
      </c>
      <c r="GI121" s="2">
        <v>-2</v>
      </c>
      <c r="GJ121" s="2">
        <v>0</v>
      </c>
      <c r="GK121" s="2">
        <v>0</v>
      </c>
      <c r="GL121" s="2">
        <f t="shared" si="90"/>
        <v>0</v>
      </c>
      <c r="GM121" s="2">
        <f t="shared" si="91"/>
        <v>163.86</v>
      </c>
      <c r="GN121" s="2">
        <f t="shared" si="92"/>
        <v>0</v>
      </c>
      <c r="GO121" s="2">
        <f t="shared" si="93"/>
        <v>163.86</v>
      </c>
      <c r="GP121" s="2">
        <f t="shared" si="94"/>
        <v>0</v>
      </c>
      <c r="GQ121" s="2"/>
      <c r="GR121" s="2">
        <v>0</v>
      </c>
      <c r="GS121" s="2">
        <v>3</v>
      </c>
      <c r="GT121" s="2">
        <v>0</v>
      </c>
      <c r="GU121" s="2" t="s">
        <v>3</v>
      </c>
      <c r="GV121" s="2">
        <f t="shared" si="95"/>
        <v>0</v>
      </c>
      <c r="GW121" s="2">
        <v>1</v>
      </c>
      <c r="GX121" s="2">
        <f t="shared" si="96"/>
        <v>0</v>
      </c>
      <c r="GY121" s="2"/>
      <c r="GZ121" s="2"/>
      <c r="HA121" s="2">
        <v>0</v>
      </c>
      <c r="HB121" s="2">
        <v>0</v>
      </c>
      <c r="HC121" s="2">
        <f t="shared" si="97"/>
        <v>0</v>
      </c>
      <c r="HD121" s="2"/>
      <c r="HE121" s="2" t="s">
        <v>3</v>
      </c>
      <c r="HF121" s="2" t="s">
        <v>3</v>
      </c>
      <c r="HG121" s="2"/>
      <c r="HH121" s="2"/>
      <c r="HI121" s="2"/>
      <c r="HJ121" s="2"/>
      <c r="HK121" s="2"/>
      <c r="HL121" s="2"/>
      <c r="HM121" s="2" t="s">
        <v>3</v>
      </c>
      <c r="HN121" s="2" t="s">
        <v>3</v>
      </c>
      <c r="HO121" s="2" t="s">
        <v>3</v>
      </c>
      <c r="HP121" s="2" t="s">
        <v>3</v>
      </c>
      <c r="HQ121" s="2" t="s">
        <v>3</v>
      </c>
      <c r="HR121" s="2"/>
      <c r="HS121" s="2">
        <v>0</v>
      </c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>
        <v>0</v>
      </c>
      <c r="IL121" s="2"/>
      <c r="IM121" s="2"/>
      <c r="IN121" s="2"/>
      <c r="IO121" s="2"/>
      <c r="IP121" s="2"/>
      <c r="IQ121" s="2"/>
      <c r="IR121" s="2"/>
      <c r="IS121" s="2"/>
      <c r="IT121" s="2"/>
      <c r="IU121" s="2"/>
    </row>
    <row r="122" spans="1:255" x14ac:dyDescent="0.3">
      <c r="A122">
        <v>18</v>
      </c>
      <c r="B122">
        <v>1</v>
      </c>
      <c r="E122" t="s">
        <v>3</v>
      </c>
      <c r="F122" t="s">
        <v>161</v>
      </c>
      <c r="G122" t="s">
        <v>162</v>
      </c>
      <c r="H122" t="s">
        <v>163</v>
      </c>
      <c r="I122">
        <f>I120*J122</f>
        <v>35.700000000000003</v>
      </c>
      <c r="J122">
        <v>102.00000000000001</v>
      </c>
      <c r="K122">
        <v>102</v>
      </c>
      <c r="O122">
        <f t="shared" si="66"/>
        <v>961.86</v>
      </c>
      <c r="P122">
        <f t="shared" si="67"/>
        <v>961.86</v>
      </c>
      <c r="Q122">
        <f>(ROUND((ROUND(((ET122)*AV122*I122),2)*BB122),2)+ROUND((ROUND(((AE122-(EU122))*AV122*I122),2)*BS122),2))</f>
        <v>0</v>
      </c>
      <c r="R122">
        <f t="shared" si="68"/>
        <v>0</v>
      </c>
      <c r="S122">
        <f t="shared" si="69"/>
        <v>0</v>
      </c>
      <c r="T122">
        <f t="shared" si="70"/>
        <v>0</v>
      </c>
      <c r="U122">
        <f t="shared" si="71"/>
        <v>0</v>
      </c>
      <c r="V122">
        <f t="shared" si="72"/>
        <v>0</v>
      </c>
      <c r="W122">
        <f t="shared" si="73"/>
        <v>0</v>
      </c>
      <c r="X122">
        <f t="shared" si="74"/>
        <v>0</v>
      </c>
      <c r="Y122">
        <f t="shared" si="75"/>
        <v>0</v>
      </c>
      <c r="AA122">
        <v>-1</v>
      </c>
      <c r="AB122">
        <f t="shared" si="76"/>
        <v>4.59</v>
      </c>
      <c r="AC122">
        <f t="shared" si="77"/>
        <v>4.59</v>
      </c>
      <c r="AD122">
        <f>ROUND((((ET122)-(EU122))+AE122),6)</f>
        <v>0</v>
      </c>
      <c r="AE122">
        <f t="shared" si="105"/>
        <v>0</v>
      </c>
      <c r="AF122">
        <f t="shared" si="105"/>
        <v>0</v>
      </c>
      <c r="AG122">
        <f t="shared" si="78"/>
        <v>0</v>
      </c>
      <c r="AH122">
        <f t="shared" si="106"/>
        <v>0</v>
      </c>
      <c r="AI122">
        <f t="shared" si="106"/>
        <v>0</v>
      </c>
      <c r="AJ122">
        <f t="shared" si="79"/>
        <v>0</v>
      </c>
      <c r="AK122">
        <v>4.59</v>
      </c>
      <c r="AL122">
        <v>4.59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97</v>
      </c>
      <c r="AU122">
        <v>51</v>
      </c>
      <c r="AV122">
        <v>1</v>
      </c>
      <c r="AW122">
        <v>1</v>
      </c>
      <c r="AZ122">
        <v>1</v>
      </c>
      <c r="BA122">
        <v>1</v>
      </c>
      <c r="BB122">
        <v>1</v>
      </c>
      <c r="BC122">
        <v>5.87</v>
      </c>
      <c r="BD122" t="s">
        <v>3</v>
      </c>
      <c r="BE122" t="s">
        <v>3</v>
      </c>
      <c r="BF122" t="s">
        <v>3</v>
      </c>
      <c r="BG122" t="s">
        <v>3</v>
      </c>
      <c r="BH122">
        <v>3</v>
      </c>
      <c r="BI122">
        <v>2</v>
      </c>
      <c r="BJ122" t="s">
        <v>164</v>
      </c>
      <c r="BM122">
        <v>67</v>
      </c>
      <c r="BN122">
        <v>0</v>
      </c>
      <c r="BO122" t="s">
        <v>161</v>
      </c>
      <c r="BP122">
        <v>1</v>
      </c>
      <c r="BQ122">
        <v>40</v>
      </c>
      <c r="BR122">
        <v>0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 t="s">
        <v>3</v>
      </c>
      <c r="BZ122">
        <v>97</v>
      </c>
      <c r="CA122">
        <v>51</v>
      </c>
      <c r="CB122" t="s">
        <v>3</v>
      </c>
      <c r="CE122">
        <v>30</v>
      </c>
      <c r="CF122">
        <v>0</v>
      </c>
      <c r="CG122">
        <v>0</v>
      </c>
      <c r="CM122">
        <v>0</v>
      </c>
      <c r="CN122" t="s">
        <v>3</v>
      </c>
      <c r="CO122">
        <v>0</v>
      </c>
      <c r="CP122">
        <f t="shared" si="80"/>
        <v>961.86</v>
      </c>
      <c r="CQ122">
        <f t="shared" si="81"/>
        <v>26.94</v>
      </c>
      <c r="CR122">
        <f>(ROUND((ROUND(((ET122)*AV122*1),2)*BB122),2)+ROUND((ROUND(((AE122-(EU122))*AV122*1),2)*BS122),2))</f>
        <v>0</v>
      </c>
      <c r="CS122">
        <f t="shared" si="82"/>
        <v>0</v>
      </c>
      <c r="CT122">
        <f t="shared" si="83"/>
        <v>0</v>
      </c>
      <c r="CU122">
        <f t="shared" si="84"/>
        <v>0</v>
      </c>
      <c r="CV122">
        <f t="shared" si="85"/>
        <v>0</v>
      </c>
      <c r="CW122">
        <f t="shared" si="86"/>
        <v>0</v>
      </c>
      <c r="CX122">
        <f t="shared" si="87"/>
        <v>0</v>
      </c>
      <c r="CY122">
        <f t="shared" si="88"/>
        <v>0</v>
      </c>
      <c r="CZ122">
        <f t="shared" si="89"/>
        <v>0</v>
      </c>
      <c r="DC122" t="s">
        <v>3</v>
      </c>
      <c r="DD122" t="s">
        <v>3</v>
      </c>
      <c r="DE122" t="s">
        <v>3</v>
      </c>
      <c r="DF122" t="s">
        <v>3</v>
      </c>
      <c r="DG122" t="s">
        <v>3</v>
      </c>
      <c r="DH122" t="s">
        <v>3</v>
      </c>
      <c r="DI122" t="s">
        <v>3</v>
      </c>
      <c r="DJ122" t="s">
        <v>3</v>
      </c>
      <c r="DK122" t="s">
        <v>3</v>
      </c>
      <c r="DL122" t="s">
        <v>3</v>
      </c>
      <c r="DM122" t="s">
        <v>3</v>
      </c>
      <c r="DN122">
        <v>0</v>
      </c>
      <c r="DO122">
        <v>0</v>
      </c>
      <c r="DP122">
        <v>1</v>
      </c>
      <c r="DQ122">
        <v>1</v>
      </c>
      <c r="DU122">
        <v>1003</v>
      </c>
      <c r="DV122" t="s">
        <v>163</v>
      </c>
      <c r="DW122" t="s">
        <v>163</v>
      </c>
      <c r="DX122">
        <v>1</v>
      </c>
      <c r="DZ122" t="s">
        <v>3</v>
      </c>
      <c r="EA122" t="s">
        <v>3</v>
      </c>
      <c r="EB122" t="s">
        <v>3</v>
      </c>
      <c r="EC122" t="s">
        <v>3</v>
      </c>
      <c r="EE122">
        <v>58162629</v>
      </c>
      <c r="EF122">
        <v>40</v>
      </c>
      <c r="EG122" t="s">
        <v>25</v>
      </c>
      <c r="EH122">
        <v>0</v>
      </c>
      <c r="EI122" t="s">
        <v>3</v>
      </c>
      <c r="EJ122">
        <v>2</v>
      </c>
      <c r="EK122">
        <v>67</v>
      </c>
      <c r="EL122" t="s">
        <v>198</v>
      </c>
      <c r="EM122" t="s">
        <v>199</v>
      </c>
      <c r="EO122" t="s">
        <v>3</v>
      </c>
      <c r="EQ122">
        <v>1024</v>
      </c>
      <c r="ER122">
        <v>4.59</v>
      </c>
      <c r="ES122">
        <v>4.59</v>
      </c>
      <c r="ET122">
        <v>0</v>
      </c>
      <c r="EU122">
        <v>0</v>
      </c>
      <c r="EV122">
        <v>0</v>
      </c>
      <c r="EW122">
        <v>0</v>
      </c>
      <c r="EX122">
        <v>0</v>
      </c>
      <c r="FQ122">
        <v>0</v>
      </c>
      <c r="FR122">
        <v>0</v>
      </c>
      <c r="FS122">
        <v>0</v>
      </c>
      <c r="FX122">
        <v>97</v>
      </c>
      <c r="FY122">
        <v>51</v>
      </c>
      <c r="GA122" t="s">
        <v>3</v>
      </c>
      <c r="GD122">
        <v>1</v>
      </c>
      <c r="GF122">
        <v>1515925975</v>
      </c>
      <c r="GG122">
        <v>2</v>
      </c>
      <c r="GH122">
        <v>1</v>
      </c>
      <c r="GI122">
        <v>2</v>
      </c>
      <c r="GJ122">
        <v>0</v>
      </c>
      <c r="GK122">
        <v>0</v>
      </c>
      <c r="GL122">
        <f t="shared" si="90"/>
        <v>0</v>
      </c>
      <c r="GM122">
        <f t="shared" si="91"/>
        <v>961.86</v>
      </c>
      <c r="GN122">
        <f t="shared" si="92"/>
        <v>0</v>
      </c>
      <c r="GO122">
        <f t="shared" si="93"/>
        <v>961.86</v>
      </c>
      <c r="GP122">
        <f t="shared" si="94"/>
        <v>0</v>
      </c>
      <c r="GR122">
        <v>0</v>
      </c>
      <c r="GS122">
        <v>3</v>
      </c>
      <c r="GT122">
        <v>0</v>
      </c>
      <c r="GU122" t="s">
        <v>3</v>
      </c>
      <c r="GV122">
        <f t="shared" si="95"/>
        <v>0</v>
      </c>
      <c r="GW122">
        <v>1</v>
      </c>
      <c r="GX122">
        <f t="shared" si="96"/>
        <v>0</v>
      </c>
      <c r="HA122">
        <v>0</v>
      </c>
      <c r="HB122">
        <v>0</v>
      </c>
      <c r="HC122">
        <f t="shared" si="97"/>
        <v>0</v>
      </c>
      <c r="HE122" t="s">
        <v>3</v>
      </c>
      <c r="HF122" t="s">
        <v>3</v>
      </c>
      <c r="HM122" t="s">
        <v>3</v>
      </c>
      <c r="HN122" t="s">
        <v>3</v>
      </c>
      <c r="HO122" t="s">
        <v>3</v>
      </c>
      <c r="HP122" t="s">
        <v>3</v>
      </c>
      <c r="HQ122" t="s">
        <v>3</v>
      </c>
      <c r="HS122">
        <v>0</v>
      </c>
      <c r="IK122">
        <v>0</v>
      </c>
    </row>
    <row r="123" spans="1:255" x14ac:dyDescent="0.3">
      <c r="A123" s="2">
        <v>18</v>
      </c>
      <c r="B123" s="2">
        <v>1</v>
      </c>
      <c r="C123" s="2"/>
      <c r="D123" s="2"/>
      <c r="E123" s="2" t="s">
        <v>3</v>
      </c>
      <c r="F123" s="2" t="s">
        <v>170</v>
      </c>
      <c r="G123" s="2" t="s">
        <v>171</v>
      </c>
      <c r="H123" s="2" t="s">
        <v>172</v>
      </c>
      <c r="I123" s="2">
        <f>I119*J123</f>
        <v>1</v>
      </c>
      <c r="J123" s="2">
        <v>2.8571428571428572</v>
      </c>
      <c r="K123" s="2">
        <v>2.8571430000000002</v>
      </c>
      <c r="L123" s="2"/>
      <c r="M123" s="2"/>
      <c r="N123" s="2"/>
      <c r="O123" s="2">
        <f t="shared" si="66"/>
        <v>146.88999999999999</v>
      </c>
      <c r="P123" s="2">
        <f t="shared" si="67"/>
        <v>146.88999999999999</v>
      </c>
      <c r="Q123" s="2">
        <f>(ROUND((ROUND(((ET123)*AV123*I123),2)*BB123),2)+ROUND((ROUND(((AE123-(EU123))*AV123*I123),2)*BS123),2))</f>
        <v>0</v>
      </c>
      <c r="R123" s="2">
        <f t="shared" si="68"/>
        <v>0</v>
      </c>
      <c r="S123" s="2">
        <f t="shared" si="69"/>
        <v>0</v>
      </c>
      <c r="T123" s="2">
        <f t="shared" si="70"/>
        <v>0</v>
      </c>
      <c r="U123" s="2">
        <f t="shared" si="71"/>
        <v>0</v>
      </c>
      <c r="V123" s="2">
        <f t="shared" si="72"/>
        <v>0</v>
      </c>
      <c r="W123" s="2">
        <f t="shared" si="73"/>
        <v>0</v>
      </c>
      <c r="X123" s="2">
        <f t="shared" si="74"/>
        <v>0</v>
      </c>
      <c r="Y123" s="2">
        <f t="shared" si="75"/>
        <v>0</v>
      </c>
      <c r="Z123" s="2"/>
      <c r="AA123" s="2">
        <v>-1</v>
      </c>
      <c r="AB123" s="2">
        <f t="shared" si="76"/>
        <v>146.88999999999999</v>
      </c>
      <c r="AC123" s="2">
        <f t="shared" si="77"/>
        <v>146.88999999999999</v>
      </c>
      <c r="AD123" s="2">
        <f>ROUND((((ET123)-(EU123))+AE123),6)</f>
        <v>0</v>
      </c>
      <c r="AE123" s="2">
        <f t="shared" si="105"/>
        <v>0</v>
      </c>
      <c r="AF123" s="2">
        <f t="shared" si="105"/>
        <v>0</v>
      </c>
      <c r="AG123" s="2">
        <f t="shared" si="78"/>
        <v>0</v>
      </c>
      <c r="AH123" s="2">
        <f t="shared" si="106"/>
        <v>0</v>
      </c>
      <c r="AI123" s="2">
        <f t="shared" si="106"/>
        <v>0</v>
      </c>
      <c r="AJ123" s="2">
        <f t="shared" si="79"/>
        <v>0</v>
      </c>
      <c r="AK123" s="2">
        <v>146.88999999999999</v>
      </c>
      <c r="AL123" s="2">
        <v>146.88999999999999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97</v>
      </c>
      <c r="AU123" s="2">
        <v>51</v>
      </c>
      <c r="AV123" s="2">
        <v>1</v>
      </c>
      <c r="AW123" s="2">
        <v>1</v>
      </c>
      <c r="AX123" s="2"/>
      <c r="AY123" s="2"/>
      <c r="AZ123" s="2">
        <v>1</v>
      </c>
      <c r="BA123" s="2">
        <v>1</v>
      </c>
      <c r="BB123" s="2">
        <v>1</v>
      </c>
      <c r="BC123" s="2">
        <v>1</v>
      </c>
      <c r="BD123" s="2" t="s">
        <v>3</v>
      </c>
      <c r="BE123" s="2" t="s">
        <v>3</v>
      </c>
      <c r="BF123" s="2" t="s">
        <v>3</v>
      </c>
      <c r="BG123" s="2" t="s">
        <v>3</v>
      </c>
      <c r="BH123" s="2">
        <v>3</v>
      </c>
      <c r="BI123" s="2">
        <v>2</v>
      </c>
      <c r="BJ123" s="2" t="s">
        <v>173</v>
      </c>
      <c r="BK123" s="2"/>
      <c r="BL123" s="2"/>
      <c r="BM123" s="2">
        <v>67</v>
      </c>
      <c r="BN123" s="2">
        <v>0</v>
      </c>
      <c r="BO123" s="2" t="s">
        <v>3</v>
      </c>
      <c r="BP123" s="2">
        <v>0</v>
      </c>
      <c r="BQ123" s="2">
        <v>40</v>
      </c>
      <c r="BR123" s="2">
        <v>0</v>
      </c>
      <c r="BS123" s="2">
        <v>1</v>
      </c>
      <c r="BT123" s="2">
        <v>1</v>
      </c>
      <c r="BU123" s="2">
        <v>1</v>
      </c>
      <c r="BV123" s="2">
        <v>1</v>
      </c>
      <c r="BW123" s="2">
        <v>1</v>
      </c>
      <c r="BX123" s="2">
        <v>1</v>
      </c>
      <c r="BY123" s="2" t="s">
        <v>3</v>
      </c>
      <c r="BZ123" s="2">
        <v>97</v>
      </c>
      <c r="CA123" s="2">
        <v>51</v>
      </c>
      <c r="CB123" s="2" t="s">
        <v>3</v>
      </c>
      <c r="CC123" s="2"/>
      <c r="CD123" s="2"/>
      <c r="CE123" s="2">
        <v>30</v>
      </c>
      <c r="CF123" s="2">
        <v>0</v>
      </c>
      <c r="CG123" s="2">
        <v>0</v>
      </c>
      <c r="CH123" s="2"/>
      <c r="CI123" s="2"/>
      <c r="CJ123" s="2"/>
      <c r="CK123" s="2"/>
      <c r="CL123" s="2"/>
      <c r="CM123" s="2">
        <v>0</v>
      </c>
      <c r="CN123" s="2" t="s">
        <v>3</v>
      </c>
      <c r="CO123" s="2">
        <v>0</v>
      </c>
      <c r="CP123" s="2">
        <f t="shared" si="80"/>
        <v>146.88999999999999</v>
      </c>
      <c r="CQ123" s="2">
        <f t="shared" si="81"/>
        <v>146.88999999999999</v>
      </c>
      <c r="CR123" s="2">
        <f>(ROUND((ROUND(((ET123)*AV123*1),2)*BB123),2)+ROUND((ROUND(((AE123-(EU123))*AV123*1),2)*BS123),2))</f>
        <v>0</v>
      </c>
      <c r="CS123" s="2">
        <f t="shared" si="82"/>
        <v>0</v>
      </c>
      <c r="CT123" s="2">
        <f t="shared" si="83"/>
        <v>0</v>
      </c>
      <c r="CU123" s="2">
        <f t="shared" si="84"/>
        <v>0</v>
      </c>
      <c r="CV123" s="2">
        <f t="shared" si="85"/>
        <v>0</v>
      </c>
      <c r="CW123" s="2">
        <f t="shared" si="86"/>
        <v>0</v>
      </c>
      <c r="CX123" s="2">
        <f t="shared" si="87"/>
        <v>0</v>
      </c>
      <c r="CY123" s="2">
        <f t="shared" si="88"/>
        <v>0</v>
      </c>
      <c r="CZ123" s="2">
        <f t="shared" si="89"/>
        <v>0</v>
      </c>
      <c r="DA123" s="2"/>
      <c r="DB123" s="2"/>
      <c r="DC123" s="2" t="s">
        <v>3</v>
      </c>
      <c r="DD123" s="2" t="s">
        <v>3</v>
      </c>
      <c r="DE123" s="2" t="s">
        <v>3</v>
      </c>
      <c r="DF123" s="2" t="s">
        <v>3</v>
      </c>
      <c r="DG123" s="2" t="s">
        <v>3</v>
      </c>
      <c r="DH123" s="2" t="s">
        <v>3</v>
      </c>
      <c r="DI123" s="2" t="s">
        <v>3</v>
      </c>
      <c r="DJ123" s="2" t="s">
        <v>3</v>
      </c>
      <c r="DK123" s="2" t="s">
        <v>3</v>
      </c>
      <c r="DL123" s="2" t="s">
        <v>3</v>
      </c>
      <c r="DM123" s="2" t="s">
        <v>3</v>
      </c>
      <c r="DN123" s="2">
        <v>0</v>
      </c>
      <c r="DO123" s="2">
        <v>0</v>
      </c>
      <c r="DP123" s="2">
        <v>1</v>
      </c>
      <c r="DQ123" s="2">
        <v>1</v>
      </c>
      <c r="DR123" s="2"/>
      <c r="DS123" s="2"/>
      <c r="DT123" s="2"/>
      <c r="DU123" s="2">
        <v>1010</v>
      </c>
      <c r="DV123" s="2" t="s">
        <v>172</v>
      </c>
      <c r="DW123" s="2" t="s">
        <v>172</v>
      </c>
      <c r="DX123" s="2">
        <v>100</v>
      </c>
      <c r="DY123" s="2"/>
      <c r="DZ123" s="2" t="s">
        <v>3</v>
      </c>
      <c r="EA123" s="2" t="s">
        <v>3</v>
      </c>
      <c r="EB123" s="2" t="s">
        <v>3</v>
      </c>
      <c r="EC123" s="2" t="s">
        <v>3</v>
      </c>
      <c r="ED123" s="2"/>
      <c r="EE123" s="2">
        <v>58162629</v>
      </c>
      <c r="EF123" s="2">
        <v>40</v>
      </c>
      <c r="EG123" s="2" t="s">
        <v>25</v>
      </c>
      <c r="EH123" s="2">
        <v>0</v>
      </c>
      <c r="EI123" s="2" t="s">
        <v>3</v>
      </c>
      <c r="EJ123" s="2">
        <v>2</v>
      </c>
      <c r="EK123" s="2">
        <v>67</v>
      </c>
      <c r="EL123" s="2" t="s">
        <v>198</v>
      </c>
      <c r="EM123" s="2" t="s">
        <v>199</v>
      </c>
      <c r="EN123" s="2"/>
      <c r="EO123" s="2" t="s">
        <v>3</v>
      </c>
      <c r="EP123" s="2"/>
      <c r="EQ123" s="2">
        <v>1024</v>
      </c>
      <c r="ER123" s="2">
        <v>146.88999999999999</v>
      </c>
      <c r="ES123" s="2">
        <v>146.88999999999999</v>
      </c>
      <c r="ET123" s="2">
        <v>0</v>
      </c>
      <c r="EU123" s="2">
        <v>0</v>
      </c>
      <c r="EV123" s="2">
        <v>0</v>
      </c>
      <c r="EW123" s="2">
        <v>0</v>
      </c>
      <c r="EX123" s="2">
        <v>0</v>
      </c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>
        <v>0</v>
      </c>
      <c r="FR123" s="2">
        <v>0</v>
      </c>
      <c r="FS123" s="2">
        <v>0</v>
      </c>
      <c r="FT123" s="2"/>
      <c r="FU123" s="2"/>
      <c r="FV123" s="2"/>
      <c r="FW123" s="2"/>
      <c r="FX123" s="2">
        <v>97</v>
      </c>
      <c r="FY123" s="2">
        <v>51</v>
      </c>
      <c r="FZ123" s="2"/>
      <c r="GA123" s="2" t="s">
        <v>3</v>
      </c>
      <c r="GB123" s="2"/>
      <c r="GC123" s="2"/>
      <c r="GD123" s="2">
        <v>1</v>
      </c>
      <c r="GE123" s="2"/>
      <c r="GF123" s="2">
        <v>-1171050213</v>
      </c>
      <c r="GG123" s="2">
        <v>2</v>
      </c>
      <c r="GH123" s="2">
        <v>1</v>
      </c>
      <c r="GI123" s="2">
        <v>-2</v>
      </c>
      <c r="GJ123" s="2">
        <v>0</v>
      </c>
      <c r="GK123" s="2">
        <v>0</v>
      </c>
      <c r="GL123" s="2">
        <f t="shared" si="90"/>
        <v>0</v>
      </c>
      <c r="GM123" s="2">
        <f t="shared" si="91"/>
        <v>146.88999999999999</v>
      </c>
      <c r="GN123" s="2">
        <f t="shared" si="92"/>
        <v>0</v>
      </c>
      <c r="GO123" s="2">
        <f t="shared" si="93"/>
        <v>146.88999999999999</v>
      </c>
      <c r="GP123" s="2">
        <f t="shared" si="94"/>
        <v>0</v>
      </c>
      <c r="GQ123" s="2"/>
      <c r="GR123" s="2">
        <v>0</v>
      </c>
      <c r="GS123" s="2">
        <v>3</v>
      </c>
      <c r="GT123" s="2">
        <v>0</v>
      </c>
      <c r="GU123" s="2" t="s">
        <v>3</v>
      </c>
      <c r="GV123" s="2">
        <f t="shared" si="95"/>
        <v>0</v>
      </c>
      <c r="GW123" s="2">
        <v>1</v>
      </c>
      <c r="GX123" s="2">
        <f t="shared" si="96"/>
        <v>0</v>
      </c>
      <c r="GY123" s="2"/>
      <c r="GZ123" s="2"/>
      <c r="HA123" s="2">
        <v>0</v>
      </c>
      <c r="HB123" s="2">
        <v>0</v>
      </c>
      <c r="HC123" s="2">
        <f t="shared" si="97"/>
        <v>0</v>
      </c>
      <c r="HD123" s="2"/>
      <c r="HE123" s="2" t="s">
        <v>3</v>
      </c>
      <c r="HF123" s="2" t="s">
        <v>3</v>
      </c>
      <c r="HG123" s="2"/>
      <c r="HH123" s="2"/>
      <c r="HI123" s="2"/>
      <c r="HJ123" s="2"/>
      <c r="HK123" s="2"/>
      <c r="HL123" s="2"/>
      <c r="HM123" s="2" t="s">
        <v>3</v>
      </c>
      <c r="HN123" s="2" t="s">
        <v>3</v>
      </c>
      <c r="HO123" s="2" t="s">
        <v>3</v>
      </c>
      <c r="HP123" s="2" t="s">
        <v>3</v>
      </c>
      <c r="HQ123" s="2" t="s">
        <v>3</v>
      </c>
      <c r="HR123" s="2"/>
      <c r="HS123" s="2">
        <v>0</v>
      </c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>
        <v>0</v>
      </c>
      <c r="IL123" s="2"/>
      <c r="IM123" s="2"/>
      <c r="IN123" s="2"/>
      <c r="IO123" s="2"/>
      <c r="IP123" s="2"/>
      <c r="IQ123" s="2"/>
      <c r="IR123" s="2"/>
      <c r="IS123" s="2"/>
      <c r="IT123" s="2"/>
      <c r="IU123" s="2"/>
    </row>
    <row r="124" spans="1:255" x14ac:dyDescent="0.3">
      <c r="A124">
        <v>18</v>
      </c>
      <c r="B124">
        <v>1</v>
      </c>
      <c r="E124" t="s">
        <v>3</v>
      </c>
      <c r="F124" t="s">
        <v>170</v>
      </c>
      <c r="G124" t="s">
        <v>171</v>
      </c>
      <c r="H124" t="s">
        <v>172</v>
      </c>
      <c r="I124">
        <f>I120*J124</f>
        <v>1</v>
      </c>
      <c r="J124">
        <v>2.8571428571428572</v>
      </c>
      <c r="K124">
        <v>2.8571430000000002</v>
      </c>
      <c r="O124">
        <f t="shared" si="66"/>
        <v>298.19</v>
      </c>
      <c r="P124">
        <f t="shared" si="67"/>
        <v>298.19</v>
      </c>
      <c r="Q124">
        <f>(ROUND((ROUND(((ET124)*AV124*I124),2)*BB124),2)+ROUND((ROUND(((AE124-(EU124))*AV124*I124),2)*BS124),2))</f>
        <v>0</v>
      </c>
      <c r="R124">
        <f t="shared" si="68"/>
        <v>0</v>
      </c>
      <c r="S124">
        <f t="shared" si="69"/>
        <v>0</v>
      </c>
      <c r="T124">
        <f t="shared" si="70"/>
        <v>0</v>
      </c>
      <c r="U124">
        <f t="shared" si="71"/>
        <v>0</v>
      </c>
      <c r="V124">
        <f t="shared" si="72"/>
        <v>0</v>
      </c>
      <c r="W124">
        <f t="shared" si="73"/>
        <v>0</v>
      </c>
      <c r="X124">
        <f t="shared" si="74"/>
        <v>0</v>
      </c>
      <c r="Y124">
        <f t="shared" si="75"/>
        <v>0</v>
      </c>
      <c r="AA124">
        <v>-1</v>
      </c>
      <c r="AB124">
        <f t="shared" si="76"/>
        <v>146.88999999999999</v>
      </c>
      <c r="AC124">
        <f t="shared" si="77"/>
        <v>146.88999999999999</v>
      </c>
      <c r="AD124">
        <f>ROUND((((ET124)-(EU124))+AE124),6)</f>
        <v>0</v>
      </c>
      <c r="AE124">
        <f t="shared" si="105"/>
        <v>0</v>
      </c>
      <c r="AF124">
        <f t="shared" si="105"/>
        <v>0</v>
      </c>
      <c r="AG124">
        <f t="shared" si="78"/>
        <v>0</v>
      </c>
      <c r="AH124">
        <f t="shared" si="106"/>
        <v>0</v>
      </c>
      <c r="AI124">
        <f t="shared" si="106"/>
        <v>0</v>
      </c>
      <c r="AJ124">
        <f t="shared" si="79"/>
        <v>0</v>
      </c>
      <c r="AK124">
        <v>146.88999999999999</v>
      </c>
      <c r="AL124">
        <v>146.88999999999999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97</v>
      </c>
      <c r="AU124">
        <v>51</v>
      </c>
      <c r="AV124">
        <v>1</v>
      </c>
      <c r="AW124">
        <v>1</v>
      </c>
      <c r="AZ124">
        <v>1</v>
      </c>
      <c r="BA124">
        <v>1</v>
      </c>
      <c r="BB124">
        <v>1</v>
      </c>
      <c r="BC124">
        <v>2.0299999999999998</v>
      </c>
      <c r="BD124" t="s">
        <v>3</v>
      </c>
      <c r="BE124" t="s">
        <v>3</v>
      </c>
      <c r="BF124" t="s">
        <v>3</v>
      </c>
      <c r="BG124" t="s">
        <v>3</v>
      </c>
      <c r="BH124">
        <v>3</v>
      </c>
      <c r="BI124">
        <v>2</v>
      </c>
      <c r="BJ124" t="s">
        <v>173</v>
      </c>
      <c r="BM124">
        <v>67</v>
      </c>
      <c r="BN124">
        <v>0</v>
      </c>
      <c r="BO124" t="s">
        <v>170</v>
      </c>
      <c r="BP124">
        <v>1</v>
      </c>
      <c r="BQ124">
        <v>40</v>
      </c>
      <c r="BR124">
        <v>0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 t="s">
        <v>3</v>
      </c>
      <c r="BZ124">
        <v>97</v>
      </c>
      <c r="CA124">
        <v>51</v>
      </c>
      <c r="CB124" t="s">
        <v>3</v>
      </c>
      <c r="CE124">
        <v>30</v>
      </c>
      <c r="CF124">
        <v>0</v>
      </c>
      <c r="CG124">
        <v>0</v>
      </c>
      <c r="CM124">
        <v>0</v>
      </c>
      <c r="CN124" t="s">
        <v>3</v>
      </c>
      <c r="CO124">
        <v>0</v>
      </c>
      <c r="CP124">
        <f t="shared" si="80"/>
        <v>298.19</v>
      </c>
      <c r="CQ124">
        <f t="shared" si="81"/>
        <v>298.19</v>
      </c>
      <c r="CR124">
        <f>(ROUND((ROUND(((ET124)*AV124*1),2)*BB124),2)+ROUND((ROUND(((AE124-(EU124))*AV124*1),2)*BS124),2))</f>
        <v>0</v>
      </c>
      <c r="CS124">
        <f t="shared" si="82"/>
        <v>0</v>
      </c>
      <c r="CT124">
        <f t="shared" si="83"/>
        <v>0</v>
      </c>
      <c r="CU124">
        <f t="shared" si="84"/>
        <v>0</v>
      </c>
      <c r="CV124">
        <f t="shared" si="85"/>
        <v>0</v>
      </c>
      <c r="CW124">
        <f t="shared" si="86"/>
        <v>0</v>
      </c>
      <c r="CX124">
        <f t="shared" si="87"/>
        <v>0</v>
      </c>
      <c r="CY124">
        <f t="shared" si="88"/>
        <v>0</v>
      </c>
      <c r="CZ124">
        <f t="shared" si="89"/>
        <v>0</v>
      </c>
      <c r="DC124" t="s">
        <v>3</v>
      </c>
      <c r="DD124" t="s">
        <v>3</v>
      </c>
      <c r="DE124" t="s">
        <v>3</v>
      </c>
      <c r="DF124" t="s">
        <v>3</v>
      </c>
      <c r="DG124" t="s">
        <v>3</v>
      </c>
      <c r="DH124" t="s">
        <v>3</v>
      </c>
      <c r="DI124" t="s">
        <v>3</v>
      </c>
      <c r="DJ124" t="s">
        <v>3</v>
      </c>
      <c r="DK124" t="s">
        <v>3</v>
      </c>
      <c r="DL124" t="s">
        <v>3</v>
      </c>
      <c r="DM124" t="s">
        <v>3</v>
      </c>
      <c r="DN124">
        <v>0</v>
      </c>
      <c r="DO124">
        <v>0</v>
      </c>
      <c r="DP124">
        <v>1</v>
      </c>
      <c r="DQ124">
        <v>1</v>
      </c>
      <c r="DU124">
        <v>1010</v>
      </c>
      <c r="DV124" t="s">
        <v>172</v>
      </c>
      <c r="DW124" t="s">
        <v>172</v>
      </c>
      <c r="DX124">
        <v>100</v>
      </c>
      <c r="DZ124" t="s">
        <v>3</v>
      </c>
      <c r="EA124" t="s">
        <v>3</v>
      </c>
      <c r="EB124" t="s">
        <v>3</v>
      </c>
      <c r="EC124" t="s">
        <v>3</v>
      </c>
      <c r="EE124">
        <v>58162629</v>
      </c>
      <c r="EF124">
        <v>40</v>
      </c>
      <c r="EG124" t="s">
        <v>25</v>
      </c>
      <c r="EH124">
        <v>0</v>
      </c>
      <c r="EI124" t="s">
        <v>3</v>
      </c>
      <c r="EJ124">
        <v>2</v>
      </c>
      <c r="EK124">
        <v>67</v>
      </c>
      <c r="EL124" t="s">
        <v>198</v>
      </c>
      <c r="EM124" t="s">
        <v>199</v>
      </c>
      <c r="EO124" t="s">
        <v>3</v>
      </c>
      <c r="EQ124">
        <v>1024</v>
      </c>
      <c r="ER124">
        <v>146.88999999999999</v>
      </c>
      <c r="ES124">
        <v>146.88999999999999</v>
      </c>
      <c r="ET124">
        <v>0</v>
      </c>
      <c r="EU124">
        <v>0</v>
      </c>
      <c r="EV124">
        <v>0</v>
      </c>
      <c r="EW124">
        <v>0</v>
      </c>
      <c r="EX124">
        <v>0</v>
      </c>
      <c r="FQ124">
        <v>0</v>
      </c>
      <c r="FR124">
        <v>0</v>
      </c>
      <c r="FS124">
        <v>0</v>
      </c>
      <c r="FX124">
        <v>97</v>
      </c>
      <c r="FY124">
        <v>51</v>
      </c>
      <c r="GA124" t="s">
        <v>3</v>
      </c>
      <c r="GD124">
        <v>1</v>
      </c>
      <c r="GF124">
        <v>-1171050213</v>
      </c>
      <c r="GG124">
        <v>2</v>
      </c>
      <c r="GH124">
        <v>1</v>
      </c>
      <c r="GI124">
        <v>2</v>
      </c>
      <c r="GJ124">
        <v>0</v>
      </c>
      <c r="GK124">
        <v>0</v>
      </c>
      <c r="GL124">
        <f t="shared" si="90"/>
        <v>0</v>
      </c>
      <c r="GM124">
        <f t="shared" si="91"/>
        <v>298.19</v>
      </c>
      <c r="GN124">
        <f t="shared" si="92"/>
        <v>0</v>
      </c>
      <c r="GO124">
        <f t="shared" si="93"/>
        <v>298.19</v>
      </c>
      <c r="GP124">
        <f t="shared" si="94"/>
        <v>0</v>
      </c>
      <c r="GR124">
        <v>0</v>
      </c>
      <c r="GS124">
        <v>3</v>
      </c>
      <c r="GT124">
        <v>0</v>
      </c>
      <c r="GU124" t="s">
        <v>3</v>
      </c>
      <c r="GV124">
        <f t="shared" si="95"/>
        <v>0</v>
      </c>
      <c r="GW124">
        <v>1</v>
      </c>
      <c r="GX124">
        <f t="shared" si="96"/>
        <v>0</v>
      </c>
      <c r="HA124">
        <v>0</v>
      </c>
      <c r="HB124">
        <v>0</v>
      </c>
      <c r="HC124">
        <f t="shared" si="97"/>
        <v>0</v>
      </c>
      <c r="HE124" t="s">
        <v>3</v>
      </c>
      <c r="HF124" t="s">
        <v>3</v>
      </c>
      <c r="HM124" t="s">
        <v>3</v>
      </c>
      <c r="HN124" t="s">
        <v>3</v>
      </c>
      <c r="HO124" t="s">
        <v>3</v>
      </c>
      <c r="HP124" t="s">
        <v>3</v>
      </c>
      <c r="HQ124" t="s">
        <v>3</v>
      </c>
      <c r="HS124">
        <v>0</v>
      </c>
      <c r="IK124">
        <v>0</v>
      </c>
    </row>
    <row r="125" spans="1:255" x14ac:dyDescent="0.3">
      <c r="A125" s="2">
        <v>17</v>
      </c>
      <c r="B125" s="2">
        <v>1</v>
      </c>
      <c r="C125" s="2"/>
      <c r="D125" s="2">
        <f>ROW(EtalonRes!A176)</f>
        <v>176</v>
      </c>
      <c r="E125" s="2" t="s">
        <v>3</v>
      </c>
      <c r="F125" s="2" t="s">
        <v>195</v>
      </c>
      <c r="G125" s="2" t="s">
        <v>196</v>
      </c>
      <c r="H125" s="2" t="s">
        <v>158</v>
      </c>
      <c r="I125" s="2">
        <f>ROUND((300)/100,9)</f>
        <v>3</v>
      </c>
      <c r="J125" s="2">
        <v>0</v>
      </c>
      <c r="K125" s="2">
        <f>ROUND((300)/100,9)</f>
        <v>3</v>
      </c>
      <c r="L125" s="2"/>
      <c r="M125" s="2"/>
      <c r="N125" s="2"/>
      <c r="O125" s="2">
        <f t="shared" si="66"/>
        <v>374.33</v>
      </c>
      <c r="P125" s="2">
        <f t="shared" si="67"/>
        <v>174.45</v>
      </c>
      <c r="Q125" s="2">
        <f>(ROUND((ROUND((((ET125*1.1))*AV125*I125),2)*BB125),2)+ROUND((ROUND(((AE125-((EU125*1.1)))*AV125*I125),2)*BS125),2))</f>
        <v>9.0500000000000007</v>
      </c>
      <c r="R125" s="2">
        <f t="shared" si="68"/>
        <v>1.04</v>
      </c>
      <c r="S125" s="2">
        <f t="shared" si="69"/>
        <v>190.83</v>
      </c>
      <c r="T125" s="2">
        <f t="shared" si="70"/>
        <v>0</v>
      </c>
      <c r="U125" s="2">
        <f t="shared" si="71"/>
        <v>15.513399000000003</v>
      </c>
      <c r="V125" s="2">
        <f t="shared" si="72"/>
        <v>0</v>
      </c>
      <c r="W125" s="2">
        <f t="shared" si="73"/>
        <v>0</v>
      </c>
      <c r="X125" s="2">
        <f t="shared" si="74"/>
        <v>186.11</v>
      </c>
      <c r="Y125" s="2">
        <f t="shared" si="75"/>
        <v>97.85</v>
      </c>
      <c r="Z125" s="2"/>
      <c r="AA125" s="2">
        <v>-1</v>
      </c>
      <c r="AB125" s="2">
        <f t="shared" si="76"/>
        <v>121.785</v>
      </c>
      <c r="AC125" s="2">
        <f t="shared" si="77"/>
        <v>58.15</v>
      </c>
      <c r="AD125" s="2">
        <f>ROUND(((((ET125*1.1))-((EU125*1.1)))+AE125),6)</f>
        <v>2.8820000000000001</v>
      </c>
      <c r="AE125" s="2">
        <f t="shared" ref="AE125:AF128" si="107">ROUND(((EU125*1.1)),6)</f>
        <v>0.33</v>
      </c>
      <c r="AF125" s="2">
        <f t="shared" si="107"/>
        <v>60.753</v>
      </c>
      <c r="AG125" s="2">
        <f t="shared" si="78"/>
        <v>0</v>
      </c>
      <c r="AH125" s="2">
        <f t="shared" ref="AH125:AI128" si="108">((EW125*1.1))</f>
        <v>4.9390000000000009</v>
      </c>
      <c r="AI125" s="2">
        <f t="shared" si="108"/>
        <v>0</v>
      </c>
      <c r="AJ125" s="2">
        <f t="shared" si="79"/>
        <v>0</v>
      </c>
      <c r="AK125" s="2">
        <v>116</v>
      </c>
      <c r="AL125" s="2">
        <v>58.15</v>
      </c>
      <c r="AM125" s="2">
        <v>2.62</v>
      </c>
      <c r="AN125" s="2">
        <v>0.3</v>
      </c>
      <c r="AO125" s="2">
        <v>55.23</v>
      </c>
      <c r="AP125" s="2">
        <v>0</v>
      </c>
      <c r="AQ125" s="2">
        <v>4.49</v>
      </c>
      <c r="AR125" s="2">
        <v>0</v>
      </c>
      <c r="AS125" s="2">
        <v>0</v>
      </c>
      <c r="AT125" s="2">
        <v>97</v>
      </c>
      <c r="AU125" s="2">
        <v>51</v>
      </c>
      <c r="AV125" s="2">
        <v>1.0469999999999999</v>
      </c>
      <c r="AW125" s="2">
        <v>1</v>
      </c>
      <c r="AX125" s="2"/>
      <c r="AY125" s="2"/>
      <c r="AZ125" s="2">
        <v>1</v>
      </c>
      <c r="BA125" s="2">
        <v>1</v>
      </c>
      <c r="BB125" s="2">
        <v>1</v>
      </c>
      <c r="BC125" s="2">
        <v>1</v>
      </c>
      <c r="BD125" s="2" t="s">
        <v>3</v>
      </c>
      <c r="BE125" s="2" t="s">
        <v>3</v>
      </c>
      <c r="BF125" s="2" t="s">
        <v>3</v>
      </c>
      <c r="BG125" s="2" t="s">
        <v>3</v>
      </c>
      <c r="BH125" s="2">
        <v>0</v>
      </c>
      <c r="BI125" s="2">
        <v>2</v>
      </c>
      <c r="BJ125" s="2" t="s">
        <v>197</v>
      </c>
      <c r="BK125" s="2"/>
      <c r="BL125" s="2"/>
      <c r="BM125" s="2">
        <v>67</v>
      </c>
      <c r="BN125" s="2">
        <v>0</v>
      </c>
      <c r="BO125" s="2" t="s">
        <v>195</v>
      </c>
      <c r="BP125" s="2">
        <v>1</v>
      </c>
      <c r="BQ125" s="2">
        <v>40</v>
      </c>
      <c r="BR125" s="2">
        <v>0</v>
      </c>
      <c r="BS125" s="2">
        <v>1</v>
      </c>
      <c r="BT125" s="2">
        <v>1</v>
      </c>
      <c r="BU125" s="2">
        <v>1</v>
      </c>
      <c r="BV125" s="2">
        <v>1</v>
      </c>
      <c r="BW125" s="2">
        <v>1</v>
      </c>
      <c r="BX125" s="2">
        <v>1</v>
      </c>
      <c r="BY125" s="2" t="s">
        <v>3</v>
      </c>
      <c r="BZ125" s="2">
        <v>97</v>
      </c>
      <c r="CA125" s="2">
        <v>51</v>
      </c>
      <c r="CB125" s="2" t="s">
        <v>3</v>
      </c>
      <c r="CC125" s="2"/>
      <c r="CD125" s="2"/>
      <c r="CE125" s="2">
        <v>30</v>
      </c>
      <c r="CF125" s="2">
        <v>0</v>
      </c>
      <c r="CG125" s="2">
        <v>0</v>
      </c>
      <c r="CH125" s="2"/>
      <c r="CI125" s="2"/>
      <c r="CJ125" s="2"/>
      <c r="CK125" s="2"/>
      <c r="CL125" s="2"/>
      <c r="CM125" s="2">
        <v>0</v>
      </c>
      <c r="CN125" s="2" t="s">
        <v>3</v>
      </c>
      <c r="CO125" s="2">
        <v>0</v>
      </c>
      <c r="CP125" s="2">
        <f t="shared" si="80"/>
        <v>374.33000000000004</v>
      </c>
      <c r="CQ125" s="2">
        <f t="shared" si="81"/>
        <v>58.15</v>
      </c>
      <c r="CR125" s="2">
        <f>(ROUND((ROUND((((ET125*1.1))*AV125*1),2)*BB125),2)+ROUND((ROUND(((AE125-((EU125*1.1)))*AV125*1),2)*BS125),2))</f>
        <v>3.02</v>
      </c>
      <c r="CS125" s="2">
        <f t="shared" si="82"/>
        <v>0.35</v>
      </c>
      <c r="CT125" s="2">
        <f t="shared" si="83"/>
        <v>63.61</v>
      </c>
      <c r="CU125" s="2">
        <f t="shared" si="84"/>
        <v>0</v>
      </c>
      <c r="CV125" s="2">
        <f t="shared" si="85"/>
        <v>5.1711330000000011</v>
      </c>
      <c r="CW125" s="2">
        <f t="shared" si="86"/>
        <v>0</v>
      </c>
      <c r="CX125" s="2">
        <f t="shared" si="87"/>
        <v>0</v>
      </c>
      <c r="CY125" s="2">
        <f t="shared" si="88"/>
        <v>186.1139</v>
      </c>
      <c r="CZ125" s="2">
        <f t="shared" si="89"/>
        <v>97.853700000000003</v>
      </c>
      <c r="DA125" s="2"/>
      <c r="DB125" s="2"/>
      <c r="DC125" s="2" t="s">
        <v>3</v>
      </c>
      <c r="DD125" s="2" t="s">
        <v>3</v>
      </c>
      <c r="DE125" s="2" t="s">
        <v>24</v>
      </c>
      <c r="DF125" s="2" t="s">
        <v>24</v>
      </c>
      <c r="DG125" s="2" t="s">
        <v>24</v>
      </c>
      <c r="DH125" s="2" t="s">
        <v>3</v>
      </c>
      <c r="DI125" s="2" t="s">
        <v>24</v>
      </c>
      <c r="DJ125" s="2" t="s">
        <v>24</v>
      </c>
      <c r="DK125" s="2" t="s">
        <v>3</v>
      </c>
      <c r="DL125" s="2" t="s">
        <v>3</v>
      </c>
      <c r="DM125" s="2" t="s">
        <v>3</v>
      </c>
      <c r="DN125" s="2">
        <v>0</v>
      </c>
      <c r="DO125" s="2">
        <v>0</v>
      </c>
      <c r="DP125" s="2">
        <v>1</v>
      </c>
      <c r="DQ125" s="2">
        <v>1</v>
      </c>
      <c r="DR125" s="2"/>
      <c r="DS125" s="2"/>
      <c r="DT125" s="2"/>
      <c r="DU125" s="2">
        <v>1003</v>
      </c>
      <c r="DV125" s="2" t="s">
        <v>158</v>
      </c>
      <c r="DW125" s="2" t="s">
        <v>158</v>
      </c>
      <c r="DX125" s="2">
        <v>100</v>
      </c>
      <c r="DY125" s="2"/>
      <c r="DZ125" s="2" t="s">
        <v>3</v>
      </c>
      <c r="EA125" s="2" t="s">
        <v>3</v>
      </c>
      <c r="EB125" s="2" t="s">
        <v>3</v>
      </c>
      <c r="EC125" s="2" t="s">
        <v>3</v>
      </c>
      <c r="ED125" s="2"/>
      <c r="EE125" s="2">
        <v>58162629</v>
      </c>
      <c r="EF125" s="2">
        <v>40</v>
      </c>
      <c r="EG125" s="2" t="s">
        <v>25</v>
      </c>
      <c r="EH125" s="2">
        <v>0</v>
      </c>
      <c r="EI125" s="2" t="s">
        <v>3</v>
      </c>
      <c r="EJ125" s="2">
        <v>2</v>
      </c>
      <c r="EK125" s="2">
        <v>67</v>
      </c>
      <c r="EL125" s="2" t="s">
        <v>198</v>
      </c>
      <c r="EM125" s="2" t="s">
        <v>199</v>
      </c>
      <c r="EN125" s="2"/>
      <c r="EO125" s="2" t="s">
        <v>28</v>
      </c>
      <c r="EP125" s="2"/>
      <c r="EQ125" s="2">
        <v>1024</v>
      </c>
      <c r="ER125" s="2">
        <v>116</v>
      </c>
      <c r="ES125" s="2">
        <v>58.15</v>
      </c>
      <c r="ET125" s="2">
        <v>2.62</v>
      </c>
      <c r="EU125" s="2">
        <v>0.3</v>
      </c>
      <c r="EV125" s="2">
        <v>55.23</v>
      </c>
      <c r="EW125" s="2">
        <v>4.49</v>
      </c>
      <c r="EX125" s="2">
        <v>0</v>
      </c>
      <c r="EY125" s="2">
        <v>0</v>
      </c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>
        <v>0</v>
      </c>
      <c r="FR125" s="2">
        <v>0</v>
      </c>
      <c r="FS125" s="2">
        <v>0</v>
      </c>
      <c r="FT125" s="2"/>
      <c r="FU125" s="2"/>
      <c r="FV125" s="2"/>
      <c r="FW125" s="2"/>
      <c r="FX125" s="2">
        <v>97</v>
      </c>
      <c r="FY125" s="2">
        <v>51</v>
      </c>
      <c r="FZ125" s="2"/>
      <c r="GA125" s="2" t="s">
        <v>3</v>
      </c>
      <c r="GB125" s="2"/>
      <c r="GC125" s="2"/>
      <c r="GD125" s="2">
        <v>1</v>
      </c>
      <c r="GE125" s="2"/>
      <c r="GF125" s="2">
        <v>770559996</v>
      </c>
      <c r="GG125" s="2">
        <v>2</v>
      </c>
      <c r="GH125" s="2">
        <v>1</v>
      </c>
      <c r="GI125" s="2">
        <v>2</v>
      </c>
      <c r="GJ125" s="2">
        <v>0</v>
      </c>
      <c r="GK125" s="2">
        <v>0</v>
      </c>
      <c r="GL125" s="2">
        <f t="shared" si="90"/>
        <v>0</v>
      </c>
      <c r="GM125" s="2">
        <f t="shared" si="91"/>
        <v>658.29</v>
      </c>
      <c r="GN125" s="2">
        <f t="shared" si="92"/>
        <v>0</v>
      </c>
      <c r="GO125" s="2">
        <f t="shared" si="93"/>
        <v>658.29</v>
      </c>
      <c r="GP125" s="2">
        <f t="shared" si="94"/>
        <v>0</v>
      </c>
      <c r="GQ125" s="2"/>
      <c r="GR125" s="2">
        <v>0</v>
      </c>
      <c r="GS125" s="2">
        <v>3</v>
      </c>
      <c r="GT125" s="2">
        <v>0</v>
      </c>
      <c r="GU125" s="2" t="s">
        <v>3</v>
      </c>
      <c r="GV125" s="2">
        <f t="shared" si="95"/>
        <v>0</v>
      </c>
      <c r="GW125" s="2">
        <v>1</v>
      </c>
      <c r="GX125" s="2">
        <f t="shared" si="96"/>
        <v>0</v>
      </c>
      <c r="GY125" s="2"/>
      <c r="GZ125" s="2"/>
      <c r="HA125" s="2">
        <v>0</v>
      </c>
      <c r="HB125" s="2">
        <v>0</v>
      </c>
      <c r="HC125" s="2">
        <f t="shared" si="97"/>
        <v>0</v>
      </c>
      <c r="HD125" s="2"/>
      <c r="HE125" s="2" t="s">
        <v>3</v>
      </c>
      <c r="HF125" s="2" t="s">
        <v>3</v>
      </c>
      <c r="HG125" s="2"/>
      <c r="HH125" s="2"/>
      <c r="HI125" s="2"/>
      <c r="HJ125" s="2"/>
      <c r="HK125" s="2"/>
      <c r="HL125" s="2"/>
      <c r="HM125" s="2" t="s">
        <v>3</v>
      </c>
      <c r="HN125" s="2" t="s">
        <v>3</v>
      </c>
      <c r="HO125" s="2" t="s">
        <v>3</v>
      </c>
      <c r="HP125" s="2" t="s">
        <v>3</v>
      </c>
      <c r="HQ125" s="2" t="s">
        <v>3</v>
      </c>
      <c r="HR125" s="2"/>
      <c r="HS125" s="2">
        <v>0</v>
      </c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>
        <v>0</v>
      </c>
      <c r="IL125" s="2"/>
      <c r="IM125" s="2"/>
      <c r="IN125" s="2"/>
      <c r="IO125" s="2"/>
      <c r="IP125" s="2"/>
      <c r="IQ125" s="2"/>
      <c r="IR125" s="2"/>
      <c r="IS125" s="2"/>
      <c r="IT125" s="2"/>
      <c r="IU125" s="2"/>
    </row>
    <row r="126" spans="1:255" x14ac:dyDescent="0.3">
      <c r="A126">
        <v>17</v>
      </c>
      <c r="B126">
        <v>1</v>
      </c>
      <c r="D126">
        <f>ROW(EtalonRes!A186)</f>
        <v>186</v>
      </c>
      <c r="E126" t="s">
        <v>3</v>
      </c>
      <c r="F126" t="s">
        <v>195</v>
      </c>
      <c r="G126" t="s">
        <v>196</v>
      </c>
      <c r="H126" t="s">
        <v>158</v>
      </c>
      <c r="I126">
        <f>ROUND((300)/100,9)</f>
        <v>3</v>
      </c>
      <c r="J126">
        <v>0</v>
      </c>
      <c r="K126">
        <f>ROUND((300)/100,9)</f>
        <v>3</v>
      </c>
      <c r="O126">
        <f t="shared" si="66"/>
        <v>11271.07</v>
      </c>
      <c r="P126">
        <f t="shared" si="67"/>
        <v>645.47</v>
      </c>
      <c r="Q126">
        <f>(ROUND((ROUND((((ET126*1.1))*AV126*I126),2)*BB126),2)+ROUND((ROUND(((AE126-((EU126*1.1)))*AV126*I126),2)*BS126),2))</f>
        <v>131.86000000000001</v>
      </c>
      <c r="R126">
        <f t="shared" si="68"/>
        <v>57.19</v>
      </c>
      <c r="S126">
        <f t="shared" si="69"/>
        <v>10493.74</v>
      </c>
      <c r="T126">
        <f t="shared" si="70"/>
        <v>0</v>
      </c>
      <c r="U126">
        <f t="shared" si="71"/>
        <v>15.513399000000003</v>
      </c>
      <c r="V126">
        <f t="shared" si="72"/>
        <v>0</v>
      </c>
      <c r="W126">
        <f t="shared" si="73"/>
        <v>0</v>
      </c>
      <c r="X126">
        <f t="shared" si="74"/>
        <v>10234.4</v>
      </c>
      <c r="Y126">
        <f t="shared" si="75"/>
        <v>5380.97</v>
      </c>
      <c r="AA126">
        <v>-1</v>
      </c>
      <c r="AB126">
        <f t="shared" si="76"/>
        <v>121.785</v>
      </c>
      <c r="AC126">
        <f t="shared" si="77"/>
        <v>58.15</v>
      </c>
      <c r="AD126">
        <f>ROUND(((((ET126*1.1))-((EU126*1.1)))+AE126),6)</f>
        <v>2.8820000000000001</v>
      </c>
      <c r="AE126">
        <f t="shared" si="107"/>
        <v>0.33</v>
      </c>
      <c r="AF126">
        <f t="shared" si="107"/>
        <v>60.753</v>
      </c>
      <c r="AG126">
        <f t="shared" si="78"/>
        <v>0</v>
      </c>
      <c r="AH126">
        <f t="shared" si="108"/>
        <v>4.9390000000000009</v>
      </c>
      <c r="AI126">
        <f t="shared" si="108"/>
        <v>0</v>
      </c>
      <c r="AJ126">
        <f t="shared" si="79"/>
        <v>0</v>
      </c>
      <c r="AK126">
        <v>116</v>
      </c>
      <c r="AL126">
        <v>58.15</v>
      </c>
      <c r="AM126">
        <v>2.62</v>
      </c>
      <c r="AN126">
        <v>0.3</v>
      </c>
      <c r="AO126">
        <v>55.23</v>
      </c>
      <c r="AP126">
        <v>0</v>
      </c>
      <c r="AQ126">
        <v>4.49</v>
      </c>
      <c r="AR126">
        <v>0</v>
      </c>
      <c r="AS126">
        <v>0</v>
      </c>
      <c r="AT126">
        <v>97</v>
      </c>
      <c r="AU126">
        <v>51</v>
      </c>
      <c r="AV126">
        <v>1.0469999999999999</v>
      </c>
      <c r="AW126">
        <v>1</v>
      </c>
      <c r="AZ126">
        <v>1</v>
      </c>
      <c r="BA126">
        <v>54.99</v>
      </c>
      <c r="BB126">
        <v>14.57</v>
      </c>
      <c r="BC126">
        <v>3.7</v>
      </c>
      <c r="BD126" t="s">
        <v>3</v>
      </c>
      <c r="BE126" t="s">
        <v>3</v>
      </c>
      <c r="BF126" t="s">
        <v>3</v>
      </c>
      <c r="BG126" t="s">
        <v>3</v>
      </c>
      <c r="BH126">
        <v>0</v>
      </c>
      <c r="BI126">
        <v>2</v>
      </c>
      <c r="BJ126" t="s">
        <v>197</v>
      </c>
      <c r="BM126">
        <v>67</v>
      </c>
      <c r="BN126">
        <v>0</v>
      </c>
      <c r="BO126" t="s">
        <v>195</v>
      </c>
      <c r="BP126">
        <v>1</v>
      </c>
      <c r="BQ126">
        <v>40</v>
      </c>
      <c r="BR126">
        <v>0</v>
      </c>
      <c r="BS126">
        <v>54.99</v>
      </c>
      <c r="BT126">
        <v>1</v>
      </c>
      <c r="BU126">
        <v>1</v>
      </c>
      <c r="BV126">
        <v>1</v>
      </c>
      <c r="BW126">
        <v>1</v>
      </c>
      <c r="BX126">
        <v>1</v>
      </c>
      <c r="BY126" t="s">
        <v>3</v>
      </c>
      <c r="BZ126">
        <v>97</v>
      </c>
      <c r="CA126">
        <v>51</v>
      </c>
      <c r="CB126" t="s">
        <v>3</v>
      </c>
      <c r="CE126">
        <v>30</v>
      </c>
      <c r="CF126">
        <v>0</v>
      </c>
      <c r="CG126">
        <v>0</v>
      </c>
      <c r="CM126">
        <v>0</v>
      </c>
      <c r="CN126" t="s">
        <v>3</v>
      </c>
      <c r="CO126">
        <v>0</v>
      </c>
      <c r="CP126">
        <f t="shared" si="80"/>
        <v>11271.07</v>
      </c>
      <c r="CQ126">
        <f t="shared" si="81"/>
        <v>215.16</v>
      </c>
      <c r="CR126">
        <f>(ROUND((ROUND((((ET126*1.1))*AV126*1),2)*BB126),2)+ROUND((ROUND(((AE126-((EU126*1.1)))*AV126*1),2)*BS126),2))</f>
        <v>44</v>
      </c>
      <c r="CS126">
        <f t="shared" si="82"/>
        <v>19.25</v>
      </c>
      <c r="CT126">
        <f t="shared" si="83"/>
        <v>3497.91</v>
      </c>
      <c r="CU126">
        <f t="shared" si="84"/>
        <v>0</v>
      </c>
      <c r="CV126">
        <f t="shared" si="85"/>
        <v>5.1711330000000011</v>
      </c>
      <c r="CW126">
        <f t="shared" si="86"/>
        <v>0</v>
      </c>
      <c r="CX126">
        <f t="shared" si="87"/>
        <v>0</v>
      </c>
      <c r="CY126">
        <f t="shared" si="88"/>
        <v>10234.402100000001</v>
      </c>
      <c r="CZ126">
        <f t="shared" si="89"/>
        <v>5380.9743000000008</v>
      </c>
      <c r="DC126" t="s">
        <v>3</v>
      </c>
      <c r="DD126" t="s">
        <v>3</v>
      </c>
      <c r="DE126" t="s">
        <v>24</v>
      </c>
      <c r="DF126" t="s">
        <v>24</v>
      </c>
      <c r="DG126" t="s">
        <v>24</v>
      </c>
      <c r="DH126" t="s">
        <v>3</v>
      </c>
      <c r="DI126" t="s">
        <v>24</v>
      </c>
      <c r="DJ126" t="s">
        <v>24</v>
      </c>
      <c r="DK126" t="s">
        <v>3</v>
      </c>
      <c r="DL126" t="s">
        <v>3</v>
      </c>
      <c r="DM126" t="s">
        <v>3</v>
      </c>
      <c r="DN126">
        <v>0</v>
      </c>
      <c r="DO126">
        <v>0</v>
      </c>
      <c r="DP126">
        <v>1</v>
      </c>
      <c r="DQ126">
        <v>1</v>
      </c>
      <c r="DU126">
        <v>1003</v>
      </c>
      <c r="DV126" t="s">
        <v>158</v>
      </c>
      <c r="DW126" t="s">
        <v>158</v>
      </c>
      <c r="DX126">
        <v>100</v>
      </c>
      <c r="DZ126" t="s">
        <v>3</v>
      </c>
      <c r="EA126" t="s">
        <v>3</v>
      </c>
      <c r="EB126" t="s">
        <v>3</v>
      </c>
      <c r="EC126" t="s">
        <v>3</v>
      </c>
      <c r="EE126">
        <v>58162629</v>
      </c>
      <c r="EF126">
        <v>40</v>
      </c>
      <c r="EG126" t="s">
        <v>25</v>
      </c>
      <c r="EH126">
        <v>0</v>
      </c>
      <c r="EI126" t="s">
        <v>3</v>
      </c>
      <c r="EJ126">
        <v>2</v>
      </c>
      <c r="EK126">
        <v>67</v>
      </c>
      <c r="EL126" t="s">
        <v>198</v>
      </c>
      <c r="EM126" t="s">
        <v>199</v>
      </c>
      <c r="EO126" t="s">
        <v>28</v>
      </c>
      <c r="EQ126">
        <v>1024</v>
      </c>
      <c r="ER126">
        <v>116</v>
      </c>
      <c r="ES126">
        <v>58.15</v>
      </c>
      <c r="ET126">
        <v>2.62</v>
      </c>
      <c r="EU126">
        <v>0.3</v>
      </c>
      <c r="EV126">
        <v>55.23</v>
      </c>
      <c r="EW126">
        <v>4.49</v>
      </c>
      <c r="EX126">
        <v>0</v>
      </c>
      <c r="EY126">
        <v>0</v>
      </c>
      <c r="FQ126">
        <v>0</v>
      </c>
      <c r="FR126">
        <v>0</v>
      </c>
      <c r="FS126">
        <v>0</v>
      </c>
      <c r="FX126">
        <v>97</v>
      </c>
      <c r="FY126">
        <v>51</v>
      </c>
      <c r="GA126" t="s">
        <v>3</v>
      </c>
      <c r="GD126">
        <v>1</v>
      </c>
      <c r="GF126">
        <v>770559996</v>
      </c>
      <c r="GG126">
        <v>2</v>
      </c>
      <c r="GH126">
        <v>1</v>
      </c>
      <c r="GI126">
        <v>2</v>
      </c>
      <c r="GJ126">
        <v>0</v>
      </c>
      <c r="GK126">
        <v>0</v>
      </c>
      <c r="GL126">
        <f t="shared" si="90"/>
        <v>0</v>
      </c>
      <c r="GM126">
        <f t="shared" si="91"/>
        <v>26886.44</v>
      </c>
      <c r="GN126">
        <f t="shared" si="92"/>
        <v>0</v>
      </c>
      <c r="GO126">
        <f t="shared" si="93"/>
        <v>26886.44</v>
      </c>
      <c r="GP126">
        <f t="shared" si="94"/>
        <v>0</v>
      </c>
      <c r="GR126">
        <v>0</v>
      </c>
      <c r="GS126">
        <v>3</v>
      </c>
      <c r="GT126">
        <v>0</v>
      </c>
      <c r="GU126" t="s">
        <v>3</v>
      </c>
      <c r="GV126">
        <f t="shared" si="95"/>
        <v>0</v>
      </c>
      <c r="GW126">
        <v>1</v>
      </c>
      <c r="GX126">
        <f t="shared" si="96"/>
        <v>0</v>
      </c>
      <c r="HA126">
        <v>0</v>
      </c>
      <c r="HB126">
        <v>0</v>
      </c>
      <c r="HC126">
        <f t="shared" si="97"/>
        <v>0</v>
      </c>
      <c r="HE126" t="s">
        <v>3</v>
      </c>
      <c r="HF126" t="s">
        <v>3</v>
      </c>
      <c r="HM126" t="s">
        <v>3</v>
      </c>
      <c r="HN126" t="s">
        <v>3</v>
      </c>
      <c r="HO126" t="s">
        <v>3</v>
      </c>
      <c r="HP126" t="s">
        <v>3</v>
      </c>
      <c r="HQ126" t="s">
        <v>3</v>
      </c>
      <c r="HS126">
        <v>0</v>
      </c>
      <c r="IK126">
        <v>0</v>
      </c>
    </row>
    <row r="127" spans="1:255" x14ac:dyDescent="0.3">
      <c r="A127" s="2">
        <v>17</v>
      </c>
      <c r="B127" s="2">
        <v>1</v>
      </c>
      <c r="C127" s="2"/>
      <c r="D127" s="2">
        <f>ROW(EtalonRes!A195)</f>
        <v>195</v>
      </c>
      <c r="E127" s="2" t="s">
        <v>3</v>
      </c>
      <c r="F127" s="2" t="s">
        <v>203</v>
      </c>
      <c r="G127" s="2" t="s">
        <v>204</v>
      </c>
      <c r="H127" s="2" t="s">
        <v>158</v>
      </c>
      <c r="I127" s="2">
        <f>ROUND((35+895+15-300)/100,9)</f>
        <v>6.45</v>
      </c>
      <c r="J127" s="2">
        <v>0</v>
      </c>
      <c r="K127" s="2">
        <f>ROUND((35+895+15-300)/100,9)</f>
        <v>6.45</v>
      </c>
      <c r="L127" s="2"/>
      <c r="M127" s="2"/>
      <c r="N127" s="2"/>
      <c r="O127" s="2">
        <f t="shared" si="66"/>
        <v>544.45000000000005</v>
      </c>
      <c r="P127" s="2">
        <f t="shared" si="67"/>
        <v>357.78</v>
      </c>
      <c r="Q127" s="2">
        <f>(ROUND((ROUND((((ET127*1.1))*AV127*I127),2)*BB127),2)+ROUND((ROUND(((AE127-((EU127*1.1)))*AV127*I127),2)*BS127),2))</f>
        <v>19.46</v>
      </c>
      <c r="R127" s="2">
        <f t="shared" si="68"/>
        <v>2.23</v>
      </c>
      <c r="S127" s="2">
        <f t="shared" si="69"/>
        <v>167.21</v>
      </c>
      <c r="T127" s="2">
        <f t="shared" si="70"/>
        <v>0</v>
      </c>
      <c r="U127" s="2">
        <f t="shared" si="71"/>
        <v>13.594090950000002</v>
      </c>
      <c r="V127" s="2">
        <f t="shared" si="72"/>
        <v>0</v>
      </c>
      <c r="W127" s="2">
        <f t="shared" si="73"/>
        <v>0</v>
      </c>
      <c r="X127" s="2">
        <f t="shared" si="74"/>
        <v>164.36</v>
      </c>
      <c r="Y127" s="2">
        <f t="shared" si="75"/>
        <v>86.41</v>
      </c>
      <c r="Z127" s="2"/>
      <c r="AA127" s="2">
        <v>-1</v>
      </c>
      <c r="AB127" s="2">
        <f t="shared" si="76"/>
        <v>83.113</v>
      </c>
      <c r="AC127" s="2">
        <f t="shared" si="77"/>
        <v>55.47</v>
      </c>
      <c r="AD127" s="2">
        <f>ROUND(((((ET127*1.1))-((EU127*1.1)))+AE127),6)</f>
        <v>2.8820000000000001</v>
      </c>
      <c r="AE127" s="2">
        <f t="shared" si="107"/>
        <v>0.33</v>
      </c>
      <c r="AF127" s="2">
        <f t="shared" si="107"/>
        <v>24.760999999999999</v>
      </c>
      <c r="AG127" s="2">
        <f t="shared" si="78"/>
        <v>0</v>
      </c>
      <c r="AH127" s="2">
        <f t="shared" si="108"/>
        <v>2.0130000000000003</v>
      </c>
      <c r="AI127" s="2">
        <f t="shared" si="108"/>
        <v>0</v>
      </c>
      <c r="AJ127" s="2">
        <f t="shared" si="79"/>
        <v>0</v>
      </c>
      <c r="AK127" s="2">
        <v>80.599999999999994</v>
      </c>
      <c r="AL127" s="2">
        <v>55.47</v>
      </c>
      <c r="AM127" s="2">
        <v>2.62</v>
      </c>
      <c r="AN127" s="2">
        <v>0.3</v>
      </c>
      <c r="AO127" s="2">
        <v>22.51</v>
      </c>
      <c r="AP127" s="2">
        <v>0</v>
      </c>
      <c r="AQ127" s="2">
        <v>1.83</v>
      </c>
      <c r="AR127" s="2">
        <v>0</v>
      </c>
      <c r="AS127" s="2">
        <v>0</v>
      </c>
      <c r="AT127" s="2">
        <v>97</v>
      </c>
      <c r="AU127" s="2">
        <v>51</v>
      </c>
      <c r="AV127" s="2">
        <v>1.0469999999999999</v>
      </c>
      <c r="AW127" s="2">
        <v>1</v>
      </c>
      <c r="AX127" s="2"/>
      <c r="AY127" s="2"/>
      <c r="AZ127" s="2">
        <v>1</v>
      </c>
      <c r="BA127" s="2">
        <v>1</v>
      </c>
      <c r="BB127" s="2">
        <v>1</v>
      </c>
      <c r="BC127" s="2">
        <v>1</v>
      </c>
      <c r="BD127" s="2" t="s">
        <v>3</v>
      </c>
      <c r="BE127" s="2" t="s">
        <v>3</v>
      </c>
      <c r="BF127" s="2" t="s">
        <v>3</v>
      </c>
      <c r="BG127" s="2" t="s">
        <v>3</v>
      </c>
      <c r="BH127" s="2">
        <v>0</v>
      </c>
      <c r="BI127" s="2">
        <v>2</v>
      </c>
      <c r="BJ127" s="2" t="s">
        <v>205</v>
      </c>
      <c r="BK127" s="2"/>
      <c r="BL127" s="2"/>
      <c r="BM127" s="2">
        <v>67</v>
      </c>
      <c r="BN127" s="2">
        <v>0</v>
      </c>
      <c r="BO127" s="2" t="s">
        <v>203</v>
      </c>
      <c r="BP127" s="2">
        <v>1</v>
      </c>
      <c r="BQ127" s="2">
        <v>40</v>
      </c>
      <c r="BR127" s="2">
        <v>0</v>
      </c>
      <c r="BS127" s="2">
        <v>1</v>
      </c>
      <c r="BT127" s="2">
        <v>1</v>
      </c>
      <c r="BU127" s="2">
        <v>1</v>
      </c>
      <c r="BV127" s="2">
        <v>1</v>
      </c>
      <c r="BW127" s="2">
        <v>1</v>
      </c>
      <c r="BX127" s="2">
        <v>1</v>
      </c>
      <c r="BY127" s="2" t="s">
        <v>3</v>
      </c>
      <c r="BZ127" s="2">
        <v>97</v>
      </c>
      <c r="CA127" s="2">
        <v>51</v>
      </c>
      <c r="CB127" s="2" t="s">
        <v>3</v>
      </c>
      <c r="CC127" s="2"/>
      <c r="CD127" s="2"/>
      <c r="CE127" s="2">
        <v>30</v>
      </c>
      <c r="CF127" s="2">
        <v>0</v>
      </c>
      <c r="CG127" s="2">
        <v>0</v>
      </c>
      <c r="CH127" s="2"/>
      <c r="CI127" s="2"/>
      <c r="CJ127" s="2"/>
      <c r="CK127" s="2"/>
      <c r="CL127" s="2"/>
      <c r="CM127" s="2">
        <v>0</v>
      </c>
      <c r="CN127" s="2" t="s">
        <v>3</v>
      </c>
      <c r="CO127" s="2">
        <v>0</v>
      </c>
      <c r="CP127" s="2">
        <f t="shared" si="80"/>
        <v>544.44999999999993</v>
      </c>
      <c r="CQ127" s="2">
        <f t="shared" si="81"/>
        <v>55.47</v>
      </c>
      <c r="CR127" s="2">
        <f>(ROUND((ROUND((((ET127*1.1))*AV127*1),2)*BB127),2)+ROUND((ROUND(((AE127-((EU127*1.1)))*AV127*1),2)*BS127),2))</f>
        <v>3.02</v>
      </c>
      <c r="CS127" s="2">
        <f t="shared" si="82"/>
        <v>0.35</v>
      </c>
      <c r="CT127" s="2">
        <f t="shared" si="83"/>
        <v>25.92</v>
      </c>
      <c r="CU127" s="2">
        <f t="shared" si="84"/>
        <v>0</v>
      </c>
      <c r="CV127" s="2">
        <f t="shared" si="85"/>
        <v>2.1076110000000003</v>
      </c>
      <c r="CW127" s="2">
        <f t="shared" si="86"/>
        <v>0</v>
      </c>
      <c r="CX127" s="2">
        <f t="shared" si="87"/>
        <v>0</v>
      </c>
      <c r="CY127" s="2">
        <f t="shared" si="88"/>
        <v>164.35679999999999</v>
      </c>
      <c r="CZ127" s="2">
        <f t="shared" si="89"/>
        <v>86.414400000000001</v>
      </c>
      <c r="DA127" s="2"/>
      <c r="DB127" s="2"/>
      <c r="DC127" s="2" t="s">
        <v>3</v>
      </c>
      <c r="DD127" s="2" t="s">
        <v>3</v>
      </c>
      <c r="DE127" s="2" t="s">
        <v>24</v>
      </c>
      <c r="DF127" s="2" t="s">
        <v>24</v>
      </c>
      <c r="DG127" s="2" t="s">
        <v>24</v>
      </c>
      <c r="DH127" s="2" t="s">
        <v>3</v>
      </c>
      <c r="DI127" s="2" t="s">
        <v>24</v>
      </c>
      <c r="DJ127" s="2" t="s">
        <v>24</v>
      </c>
      <c r="DK127" s="2" t="s">
        <v>3</v>
      </c>
      <c r="DL127" s="2" t="s">
        <v>3</v>
      </c>
      <c r="DM127" s="2" t="s">
        <v>3</v>
      </c>
      <c r="DN127" s="2">
        <v>0</v>
      </c>
      <c r="DO127" s="2">
        <v>0</v>
      </c>
      <c r="DP127" s="2">
        <v>1</v>
      </c>
      <c r="DQ127" s="2">
        <v>1</v>
      </c>
      <c r="DR127" s="2"/>
      <c r="DS127" s="2"/>
      <c r="DT127" s="2"/>
      <c r="DU127" s="2">
        <v>1003</v>
      </c>
      <c r="DV127" s="2" t="s">
        <v>158</v>
      </c>
      <c r="DW127" s="2" t="s">
        <v>158</v>
      </c>
      <c r="DX127" s="2">
        <v>100</v>
      </c>
      <c r="DY127" s="2"/>
      <c r="DZ127" s="2" t="s">
        <v>3</v>
      </c>
      <c r="EA127" s="2" t="s">
        <v>3</v>
      </c>
      <c r="EB127" s="2" t="s">
        <v>3</v>
      </c>
      <c r="EC127" s="2" t="s">
        <v>3</v>
      </c>
      <c r="ED127" s="2"/>
      <c r="EE127" s="2">
        <v>58162629</v>
      </c>
      <c r="EF127" s="2">
        <v>40</v>
      </c>
      <c r="EG127" s="2" t="s">
        <v>25</v>
      </c>
      <c r="EH127" s="2">
        <v>0</v>
      </c>
      <c r="EI127" s="2" t="s">
        <v>3</v>
      </c>
      <c r="EJ127" s="2">
        <v>2</v>
      </c>
      <c r="EK127" s="2">
        <v>67</v>
      </c>
      <c r="EL127" s="2" t="s">
        <v>198</v>
      </c>
      <c r="EM127" s="2" t="s">
        <v>199</v>
      </c>
      <c r="EN127" s="2"/>
      <c r="EO127" s="2" t="s">
        <v>28</v>
      </c>
      <c r="EP127" s="2"/>
      <c r="EQ127" s="2">
        <v>1024</v>
      </c>
      <c r="ER127" s="2">
        <v>80.599999999999994</v>
      </c>
      <c r="ES127" s="2">
        <v>55.47</v>
      </c>
      <c r="ET127" s="2">
        <v>2.62</v>
      </c>
      <c r="EU127" s="2">
        <v>0.3</v>
      </c>
      <c r="EV127" s="2">
        <v>22.51</v>
      </c>
      <c r="EW127" s="2">
        <v>1.83</v>
      </c>
      <c r="EX127" s="2">
        <v>0</v>
      </c>
      <c r="EY127" s="2">
        <v>0</v>
      </c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>
        <v>0</v>
      </c>
      <c r="FR127" s="2">
        <v>0</v>
      </c>
      <c r="FS127" s="2">
        <v>0</v>
      </c>
      <c r="FT127" s="2"/>
      <c r="FU127" s="2"/>
      <c r="FV127" s="2"/>
      <c r="FW127" s="2"/>
      <c r="FX127" s="2">
        <v>97</v>
      </c>
      <c r="FY127" s="2">
        <v>51</v>
      </c>
      <c r="FZ127" s="2"/>
      <c r="GA127" s="2" t="s">
        <v>3</v>
      </c>
      <c r="GB127" s="2"/>
      <c r="GC127" s="2"/>
      <c r="GD127" s="2">
        <v>1</v>
      </c>
      <c r="GE127" s="2"/>
      <c r="GF127" s="2">
        <v>-938160609</v>
      </c>
      <c r="GG127" s="2">
        <v>2</v>
      </c>
      <c r="GH127" s="2">
        <v>1</v>
      </c>
      <c r="GI127" s="2">
        <v>2</v>
      </c>
      <c r="GJ127" s="2">
        <v>0</v>
      </c>
      <c r="GK127" s="2">
        <v>0</v>
      </c>
      <c r="GL127" s="2">
        <f t="shared" si="90"/>
        <v>0</v>
      </c>
      <c r="GM127" s="2">
        <f t="shared" si="91"/>
        <v>795.22</v>
      </c>
      <c r="GN127" s="2">
        <f t="shared" si="92"/>
        <v>0</v>
      </c>
      <c r="GO127" s="2">
        <f t="shared" si="93"/>
        <v>795.22</v>
      </c>
      <c r="GP127" s="2">
        <f t="shared" si="94"/>
        <v>0</v>
      </c>
      <c r="GQ127" s="2"/>
      <c r="GR127" s="2">
        <v>0</v>
      </c>
      <c r="GS127" s="2">
        <v>3</v>
      </c>
      <c r="GT127" s="2">
        <v>0</v>
      </c>
      <c r="GU127" s="2" t="s">
        <v>3</v>
      </c>
      <c r="GV127" s="2">
        <f t="shared" si="95"/>
        <v>0</v>
      </c>
      <c r="GW127" s="2">
        <v>1</v>
      </c>
      <c r="GX127" s="2">
        <f t="shared" si="96"/>
        <v>0</v>
      </c>
      <c r="GY127" s="2"/>
      <c r="GZ127" s="2"/>
      <c r="HA127" s="2">
        <v>0</v>
      </c>
      <c r="HB127" s="2">
        <v>0</v>
      </c>
      <c r="HC127" s="2">
        <f t="shared" si="97"/>
        <v>0</v>
      </c>
      <c r="HD127" s="2"/>
      <c r="HE127" s="2" t="s">
        <v>3</v>
      </c>
      <c r="HF127" s="2" t="s">
        <v>3</v>
      </c>
      <c r="HG127" s="2"/>
      <c r="HH127" s="2"/>
      <c r="HI127" s="2"/>
      <c r="HJ127" s="2"/>
      <c r="HK127" s="2"/>
      <c r="HL127" s="2"/>
      <c r="HM127" s="2" t="s">
        <v>3</v>
      </c>
      <c r="HN127" s="2" t="s">
        <v>3</v>
      </c>
      <c r="HO127" s="2" t="s">
        <v>3</v>
      </c>
      <c r="HP127" s="2" t="s">
        <v>3</v>
      </c>
      <c r="HQ127" s="2" t="s">
        <v>3</v>
      </c>
      <c r="HR127" s="2"/>
      <c r="HS127" s="2">
        <v>0</v>
      </c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>
        <v>0</v>
      </c>
      <c r="IL127" s="2"/>
      <c r="IM127" s="2"/>
      <c r="IN127" s="2"/>
      <c r="IO127" s="2"/>
      <c r="IP127" s="2"/>
      <c r="IQ127" s="2"/>
      <c r="IR127" s="2"/>
      <c r="IS127" s="2"/>
      <c r="IT127" s="2"/>
      <c r="IU127" s="2"/>
    </row>
    <row r="128" spans="1:255" x14ac:dyDescent="0.3">
      <c r="A128">
        <v>17</v>
      </c>
      <c r="B128">
        <v>1</v>
      </c>
      <c r="D128">
        <f>ROW(EtalonRes!A204)</f>
        <v>204</v>
      </c>
      <c r="E128" t="s">
        <v>3</v>
      </c>
      <c r="F128" t="s">
        <v>203</v>
      </c>
      <c r="G128" t="s">
        <v>204</v>
      </c>
      <c r="H128" t="s">
        <v>158</v>
      </c>
      <c r="I128">
        <f>ROUND((35+895+15-300)/100,9)</f>
        <v>6.45</v>
      </c>
      <c r="J128">
        <v>0</v>
      </c>
      <c r="K128">
        <f>ROUND((35+895+15-300)/100,9)</f>
        <v>6.45</v>
      </c>
      <c r="O128">
        <f t="shared" si="66"/>
        <v>10583.95</v>
      </c>
      <c r="P128">
        <f t="shared" si="67"/>
        <v>1105.54</v>
      </c>
      <c r="Q128">
        <f>(ROUND((ROUND((((ET128*1.1))*AV128*I128),2)*BB128),2)+ROUND((ROUND(((AE128-((EU128*1.1)))*AV128*I128),2)*BS128),2))</f>
        <v>283.52999999999997</v>
      </c>
      <c r="R128">
        <f t="shared" si="68"/>
        <v>122.63</v>
      </c>
      <c r="S128">
        <f t="shared" si="69"/>
        <v>9194.8799999999992</v>
      </c>
      <c r="T128">
        <f t="shared" si="70"/>
        <v>0</v>
      </c>
      <c r="U128">
        <f t="shared" si="71"/>
        <v>13.594090950000002</v>
      </c>
      <c r="V128">
        <f t="shared" si="72"/>
        <v>0</v>
      </c>
      <c r="W128">
        <f t="shared" si="73"/>
        <v>0</v>
      </c>
      <c r="X128">
        <f t="shared" si="74"/>
        <v>9037.98</v>
      </c>
      <c r="Y128">
        <f t="shared" si="75"/>
        <v>4751.93</v>
      </c>
      <c r="AA128">
        <v>-1</v>
      </c>
      <c r="AB128">
        <f t="shared" si="76"/>
        <v>83.113</v>
      </c>
      <c r="AC128">
        <f t="shared" si="77"/>
        <v>55.47</v>
      </c>
      <c r="AD128">
        <f>ROUND(((((ET128*1.1))-((EU128*1.1)))+AE128),6)</f>
        <v>2.8820000000000001</v>
      </c>
      <c r="AE128">
        <f t="shared" si="107"/>
        <v>0.33</v>
      </c>
      <c r="AF128">
        <f t="shared" si="107"/>
        <v>24.760999999999999</v>
      </c>
      <c r="AG128">
        <f t="shared" si="78"/>
        <v>0</v>
      </c>
      <c r="AH128">
        <f t="shared" si="108"/>
        <v>2.0130000000000003</v>
      </c>
      <c r="AI128">
        <f t="shared" si="108"/>
        <v>0</v>
      </c>
      <c r="AJ128">
        <f t="shared" si="79"/>
        <v>0</v>
      </c>
      <c r="AK128">
        <v>80.599999999999994</v>
      </c>
      <c r="AL128">
        <v>55.47</v>
      </c>
      <c r="AM128">
        <v>2.62</v>
      </c>
      <c r="AN128">
        <v>0.3</v>
      </c>
      <c r="AO128">
        <v>22.51</v>
      </c>
      <c r="AP128">
        <v>0</v>
      </c>
      <c r="AQ128">
        <v>1.83</v>
      </c>
      <c r="AR128">
        <v>0</v>
      </c>
      <c r="AS128">
        <v>0</v>
      </c>
      <c r="AT128">
        <v>97</v>
      </c>
      <c r="AU128">
        <v>51</v>
      </c>
      <c r="AV128">
        <v>1.0469999999999999</v>
      </c>
      <c r="AW128">
        <v>1</v>
      </c>
      <c r="AZ128">
        <v>1</v>
      </c>
      <c r="BA128">
        <v>54.99</v>
      </c>
      <c r="BB128">
        <v>14.57</v>
      </c>
      <c r="BC128">
        <v>3.09</v>
      </c>
      <c r="BD128" t="s">
        <v>3</v>
      </c>
      <c r="BE128" t="s">
        <v>3</v>
      </c>
      <c r="BF128" t="s">
        <v>3</v>
      </c>
      <c r="BG128" t="s">
        <v>3</v>
      </c>
      <c r="BH128">
        <v>0</v>
      </c>
      <c r="BI128">
        <v>2</v>
      </c>
      <c r="BJ128" t="s">
        <v>205</v>
      </c>
      <c r="BM128">
        <v>67</v>
      </c>
      <c r="BN128">
        <v>0</v>
      </c>
      <c r="BO128" t="s">
        <v>203</v>
      </c>
      <c r="BP128">
        <v>1</v>
      </c>
      <c r="BQ128">
        <v>40</v>
      </c>
      <c r="BR128">
        <v>0</v>
      </c>
      <c r="BS128">
        <v>54.99</v>
      </c>
      <c r="BT128">
        <v>1</v>
      </c>
      <c r="BU128">
        <v>1</v>
      </c>
      <c r="BV128">
        <v>1</v>
      </c>
      <c r="BW128">
        <v>1</v>
      </c>
      <c r="BX128">
        <v>1</v>
      </c>
      <c r="BY128" t="s">
        <v>3</v>
      </c>
      <c r="BZ128">
        <v>97</v>
      </c>
      <c r="CA128">
        <v>51</v>
      </c>
      <c r="CB128" t="s">
        <v>3</v>
      </c>
      <c r="CE128">
        <v>30</v>
      </c>
      <c r="CF128">
        <v>0</v>
      </c>
      <c r="CG128">
        <v>0</v>
      </c>
      <c r="CM128">
        <v>0</v>
      </c>
      <c r="CN128" t="s">
        <v>3</v>
      </c>
      <c r="CO128">
        <v>0</v>
      </c>
      <c r="CP128">
        <f t="shared" si="80"/>
        <v>10583.949999999999</v>
      </c>
      <c r="CQ128">
        <f t="shared" si="81"/>
        <v>171.4</v>
      </c>
      <c r="CR128">
        <f>(ROUND((ROUND((((ET128*1.1))*AV128*1),2)*BB128),2)+ROUND((ROUND(((AE128-((EU128*1.1)))*AV128*1),2)*BS128),2))</f>
        <v>44</v>
      </c>
      <c r="CS128">
        <f t="shared" si="82"/>
        <v>19.25</v>
      </c>
      <c r="CT128">
        <f t="shared" si="83"/>
        <v>1425.34</v>
      </c>
      <c r="CU128">
        <f t="shared" si="84"/>
        <v>0</v>
      </c>
      <c r="CV128">
        <f t="shared" si="85"/>
        <v>2.1076110000000003</v>
      </c>
      <c r="CW128">
        <f t="shared" si="86"/>
        <v>0</v>
      </c>
      <c r="CX128">
        <f t="shared" si="87"/>
        <v>0</v>
      </c>
      <c r="CY128">
        <f t="shared" si="88"/>
        <v>9037.9846999999991</v>
      </c>
      <c r="CZ128">
        <f t="shared" si="89"/>
        <v>4751.9300999999987</v>
      </c>
      <c r="DC128" t="s">
        <v>3</v>
      </c>
      <c r="DD128" t="s">
        <v>3</v>
      </c>
      <c r="DE128" t="s">
        <v>24</v>
      </c>
      <c r="DF128" t="s">
        <v>24</v>
      </c>
      <c r="DG128" t="s">
        <v>24</v>
      </c>
      <c r="DH128" t="s">
        <v>3</v>
      </c>
      <c r="DI128" t="s">
        <v>24</v>
      </c>
      <c r="DJ128" t="s">
        <v>24</v>
      </c>
      <c r="DK128" t="s">
        <v>3</v>
      </c>
      <c r="DL128" t="s">
        <v>3</v>
      </c>
      <c r="DM128" t="s">
        <v>3</v>
      </c>
      <c r="DN128">
        <v>0</v>
      </c>
      <c r="DO128">
        <v>0</v>
      </c>
      <c r="DP128">
        <v>1</v>
      </c>
      <c r="DQ128">
        <v>1</v>
      </c>
      <c r="DU128">
        <v>1003</v>
      </c>
      <c r="DV128" t="s">
        <v>158</v>
      </c>
      <c r="DW128" t="s">
        <v>158</v>
      </c>
      <c r="DX128">
        <v>100</v>
      </c>
      <c r="DZ128" t="s">
        <v>3</v>
      </c>
      <c r="EA128" t="s">
        <v>3</v>
      </c>
      <c r="EB128" t="s">
        <v>3</v>
      </c>
      <c r="EC128" t="s">
        <v>3</v>
      </c>
      <c r="EE128">
        <v>58162629</v>
      </c>
      <c r="EF128">
        <v>40</v>
      </c>
      <c r="EG128" t="s">
        <v>25</v>
      </c>
      <c r="EH128">
        <v>0</v>
      </c>
      <c r="EI128" t="s">
        <v>3</v>
      </c>
      <c r="EJ128">
        <v>2</v>
      </c>
      <c r="EK128">
        <v>67</v>
      </c>
      <c r="EL128" t="s">
        <v>198</v>
      </c>
      <c r="EM128" t="s">
        <v>199</v>
      </c>
      <c r="EO128" t="s">
        <v>28</v>
      </c>
      <c r="EQ128">
        <v>1024</v>
      </c>
      <c r="ER128">
        <v>80.599999999999994</v>
      </c>
      <c r="ES128">
        <v>55.47</v>
      </c>
      <c r="ET128">
        <v>2.62</v>
      </c>
      <c r="EU128">
        <v>0.3</v>
      </c>
      <c r="EV128">
        <v>22.51</v>
      </c>
      <c r="EW128">
        <v>1.83</v>
      </c>
      <c r="EX128">
        <v>0</v>
      </c>
      <c r="EY128">
        <v>0</v>
      </c>
      <c r="FQ128">
        <v>0</v>
      </c>
      <c r="FR128">
        <v>0</v>
      </c>
      <c r="FS128">
        <v>0</v>
      </c>
      <c r="FX128">
        <v>97</v>
      </c>
      <c r="FY128">
        <v>51</v>
      </c>
      <c r="GA128" t="s">
        <v>3</v>
      </c>
      <c r="GD128">
        <v>1</v>
      </c>
      <c r="GF128">
        <v>-938160609</v>
      </c>
      <c r="GG128">
        <v>2</v>
      </c>
      <c r="GH128">
        <v>1</v>
      </c>
      <c r="GI128">
        <v>2</v>
      </c>
      <c r="GJ128">
        <v>0</v>
      </c>
      <c r="GK128">
        <v>0</v>
      </c>
      <c r="GL128">
        <f t="shared" si="90"/>
        <v>0</v>
      </c>
      <c r="GM128">
        <f t="shared" si="91"/>
        <v>24373.86</v>
      </c>
      <c r="GN128">
        <f t="shared" si="92"/>
        <v>0</v>
      </c>
      <c r="GO128">
        <f t="shared" si="93"/>
        <v>24373.86</v>
      </c>
      <c r="GP128">
        <f t="shared" si="94"/>
        <v>0</v>
      </c>
      <c r="GR128">
        <v>0</v>
      </c>
      <c r="GS128">
        <v>3</v>
      </c>
      <c r="GT128">
        <v>0</v>
      </c>
      <c r="GU128" t="s">
        <v>3</v>
      </c>
      <c r="GV128">
        <f t="shared" si="95"/>
        <v>0</v>
      </c>
      <c r="GW128">
        <v>1</v>
      </c>
      <c r="GX128">
        <f t="shared" si="96"/>
        <v>0</v>
      </c>
      <c r="HA128">
        <v>0</v>
      </c>
      <c r="HB128">
        <v>0</v>
      </c>
      <c r="HC128">
        <f t="shared" si="97"/>
        <v>0</v>
      </c>
      <c r="HE128" t="s">
        <v>3</v>
      </c>
      <c r="HF128" t="s">
        <v>3</v>
      </c>
      <c r="HM128" t="s">
        <v>3</v>
      </c>
      <c r="HN128" t="s">
        <v>3</v>
      </c>
      <c r="HO128" t="s">
        <v>3</v>
      </c>
      <c r="HP128" t="s">
        <v>3</v>
      </c>
      <c r="HQ128" t="s">
        <v>3</v>
      </c>
      <c r="HS128">
        <v>0</v>
      </c>
      <c r="IK128">
        <v>0</v>
      </c>
    </row>
    <row r="129" spans="1:255" x14ac:dyDescent="0.3">
      <c r="A129" s="2">
        <v>18</v>
      </c>
      <c r="B129" s="2">
        <v>1</v>
      </c>
      <c r="C129" s="2"/>
      <c r="D129" s="2"/>
      <c r="E129" s="2" t="s">
        <v>3</v>
      </c>
      <c r="F129" s="2" t="s">
        <v>184</v>
      </c>
      <c r="G129" s="2" t="s">
        <v>185</v>
      </c>
      <c r="H129" s="2" t="s">
        <v>181</v>
      </c>
      <c r="I129" s="2">
        <f>I127*J129</f>
        <v>3.5700000000000003E-2</v>
      </c>
      <c r="J129" s="2">
        <v>5.534883720930233E-3</v>
      </c>
      <c r="K129" s="2">
        <v>5.5348999999999997E-3</v>
      </c>
      <c r="L129" s="2"/>
      <c r="M129" s="2"/>
      <c r="N129" s="2"/>
      <c r="O129" s="2">
        <f t="shared" si="66"/>
        <v>1869.14</v>
      </c>
      <c r="P129" s="2">
        <f t="shared" si="67"/>
        <v>1869.14</v>
      </c>
      <c r="Q129" s="2">
        <f t="shared" ref="Q129:Q134" si="109">(ROUND((ROUND(((ET129)*AV129*I129),2)*BB129),2)+ROUND((ROUND(((AE129-(EU129))*AV129*I129),2)*BS129),2))</f>
        <v>0</v>
      </c>
      <c r="R129" s="2">
        <f t="shared" si="68"/>
        <v>0</v>
      </c>
      <c r="S129" s="2">
        <f t="shared" si="69"/>
        <v>0</v>
      </c>
      <c r="T129" s="2">
        <f t="shared" si="70"/>
        <v>0</v>
      </c>
      <c r="U129" s="2">
        <f t="shared" si="71"/>
        <v>0</v>
      </c>
      <c r="V129" s="2">
        <f t="shared" si="72"/>
        <v>0</v>
      </c>
      <c r="W129" s="2">
        <f t="shared" si="73"/>
        <v>0</v>
      </c>
      <c r="X129" s="2">
        <f t="shared" si="74"/>
        <v>0</v>
      </c>
      <c r="Y129" s="2">
        <f t="shared" si="75"/>
        <v>0</v>
      </c>
      <c r="Z129" s="2"/>
      <c r="AA129" s="2">
        <v>-1</v>
      </c>
      <c r="AB129" s="2">
        <f t="shared" si="76"/>
        <v>52356.73</v>
      </c>
      <c r="AC129" s="2">
        <f t="shared" si="77"/>
        <v>52356.73</v>
      </c>
      <c r="AD129" s="2">
        <f t="shared" ref="AD129:AD134" si="110">ROUND((((ET129)-(EU129))+AE129),6)</f>
        <v>0</v>
      </c>
      <c r="AE129" s="2">
        <f t="shared" ref="AE129:AF134" si="111">ROUND((EU129),6)</f>
        <v>0</v>
      </c>
      <c r="AF129" s="2">
        <f t="shared" si="111"/>
        <v>0</v>
      </c>
      <c r="AG129" s="2">
        <f t="shared" si="78"/>
        <v>0</v>
      </c>
      <c r="AH129" s="2">
        <f t="shared" ref="AH129:AI134" si="112">(EW129)</f>
        <v>0</v>
      </c>
      <c r="AI129" s="2">
        <f t="shared" si="112"/>
        <v>0</v>
      </c>
      <c r="AJ129" s="2">
        <f t="shared" si="79"/>
        <v>0</v>
      </c>
      <c r="AK129" s="2">
        <v>52356.729999999996</v>
      </c>
      <c r="AL129" s="2">
        <v>52356.729999999996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97</v>
      </c>
      <c r="AU129" s="2">
        <v>51</v>
      </c>
      <c r="AV129" s="2">
        <v>1</v>
      </c>
      <c r="AW129" s="2">
        <v>1</v>
      </c>
      <c r="AX129" s="2"/>
      <c r="AY129" s="2"/>
      <c r="AZ129" s="2">
        <v>1</v>
      </c>
      <c r="BA129" s="2">
        <v>1</v>
      </c>
      <c r="BB129" s="2">
        <v>1</v>
      </c>
      <c r="BC129" s="2">
        <v>1</v>
      </c>
      <c r="BD129" s="2" t="s">
        <v>3</v>
      </c>
      <c r="BE129" s="2" t="s">
        <v>3</v>
      </c>
      <c r="BF129" s="2" t="s">
        <v>3</v>
      </c>
      <c r="BG129" s="2" t="s">
        <v>3</v>
      </c>
      <c r="BH129" s="2">
        <v>3</v>
      </c>
      <c r="BI129" s="2">
        <v>2</v>
      </c>
      <c r="BJ129" s="2" t="s">
        <v>3</v>
      </c>
      <c r="BK129" s="2"/>
      <c r="BL129" s="2"/>
      <c r="BM129" s="2">
        <v>67</v>
      </c>
      <c r="BN129" s="2">
        <v>0</v>
      </c>
      <c r="BO129" s="2" t="s">
        <v>3</v>
      </c>
      <c r="BP129" s="2">
        <v>0</v>
      </c>
      <c r="BQ129" s="2">
        <v>40</v>
      </c>
      <c r="BR129" s="2">
        <v>0</v>
      </c>
      <c r="BS129" s="2">
        <v>1</v>
      </c>
      <c r="BT129" s="2">
        <v>1</v>
      </c>
      <c r="BU129" s="2">
        <v>1</v>
      </c>
      <c r="BV129" s="2">
        <v>1</v>
      </c>
      <c r="BW129" s="2">
        <v>1</v>
      </c>
      <c r="BX129" s="2">
        <v>1</v>
      </c>
      <c r="BY129" s="2" t="s">
        <v>3</v>
      </c>
      <c r="BZ129" s="2">
        <v>97</v>
      </c>
      <c r="CA129" s="2">
        <v>51</v>
      </c>
      <c r="CB129" s="2" t="s">
        <v>3</v>
      </c>
      <c r="CC129" s="2"/>
      <c r="CD129" s="2"/>
      <c r="CE129" s="2">
        <v>30</v>
      </c>
      <c r="CF129" s="2">
        <v>0</v>
      </c>
      <c r="CG129" s="2">
        <v>0</v>
      </c>
      <c r="CH129" s="2"/>
      <c r="CI129" s="2"/>
      <c r="CJ129" s="2"/>
      <c r="CK129" s="2"/>
      <c r="CL129" s="2"/>
      <c r="CM129" s="2">
        <v>0</v>
      </c>
      <c r="CN129" s="2" t="s">
        <v>3</v>
      </c>
      <c r="CO129" s="2">
        <v>0</v>
      </c>
      <c r="CP129" s="2">
        <f t="shared" si="80"/>
        <v>1869.14</v>
      </c>
      <c r="CQ129" s="2">
        <f t="shared" si="81"/>
        <v>52356.73</v>
      </c>
      <c r="CR129" s="2">
        <f t="shared" ref="CR129:CR134" si="113">(ROUND((ROUND(((ET129)*AV129*1),2)*BB129),2)+ROUND((ROUND(((AE129-(EU129))*AV129*1),2)*BS129),2))</f>
        <v>0</v>
      </c>
      <c r="CS129" s="2">
        <f t="shared" si="82"/>
        <v>0</v>
      </c>
      <c r="CT129" s="2">
        <f t="shared" si="83"/>
        <v>0</v>
      </c>
      <c r="CU129" s="2">
        <f t="shared" si="84"/>
        <v>0</v>
      </c>
      <c r="CV129" s="2">
        <f t="shared" si="85"/>
        <v>0</v>
      </c>
      <c r="CW129" s="2">
        <f t="shared" si="86"/>
        <v>0</v>
      </c>
      <c r="CX129" s="2">
        <f t="shared" si="87"/>
        <v>0</v>
      </c>
      <c r="CY129" s="2">
        <f t="shared" si="88"/>
        <v>0</v>
      </c>
      <c r="CZ129" s="2">
        <f t="shared" si="89"/>
        <v>0</v>
      </c>
      <c r="DA129" s="2"/>
      <c r="DB129" s="2"/>
      <c r="DC129" s="2" t="s">
        <v>3</v>
      </c>
      <c r="DD129" s="2" t="s">
        <v>3</v>
      </c>
      <c r="DE129" s="2" t="s">
        <v>3</v>
      </c>
      <c r="DF129" s="2" t="s">
        <v>3</v>
      </c>
      <c r="DG129" s="2" t="s">
        <v>3</v>
      </c>
      <c r="DH129" s="2" t="s">
        <v>3</v>
      </c>
      <c r="DI129" s="2" t="s">
        <v>3</v>
      </c>
      <c r="DJ129" s="2" t="s">
        <v>3</v>
      </c>
      <c r="DK129" s="2" t="s">
        <v>3</v>
      </c>
      <c r="DL129" s="2" t="s">
        <v>3</v>
      </c>
      <c r="DM129" s="2" t="s">
        <v>3</v>
      </c>
      <c r="DN129" s="2">
        <v>0</v>
      </c>
      <c r="DO129" s="2">
        <v>0</v>
      </c>
      <c r="DP129" s="2">
        <v>1</v>
      </c>
      <c r="DQ129" s="2">
        <v>1</v>
      </c>
      <c r="DR129" s="2"/>
      <c r="DS129" s="2"/>
      <c r="DT129" s="2"/>
      <c r="DU129" s="2">
        <v>1003</v>
      </c>
      <c r="DV129" s="2" t="s">
        <v>181</v>
      </c>
      <c r="DW129" s="2" t="s">
        <v>181</v>
      </c>
      <c r="DX129" s="2">
        <v>1000</v>
      </c>
      <c r="DY129" s="2"/>
      <c r="DZ129" s="2" t="s">
        <v>3</v>
      </c>
      <c r="EA129" s="2" t="s">
        <v>3</v>
      </c>
      <c r="EB129" s="2" t="s">
        <v>3</v>
      </c>
      <c r="EC129" s="2" t="s">
        <v>3</v>
      </c>
      <c r="ED129" s="2"/>
      <c r="EE129" s="2">
        <v>58162629</v>
      </c>
      <c r="EF129" s="2">
        <v>40</v>
      </c>
      <c r="EG129" s="2" t="s">
        <v>25</v>
      </c>
      <c r="EH129" s="2">
        <v>0</v>
      </c>
      <c r="EI129" s="2" t="s">
        <v>3</v>
      </c>
      <c r="EJ129" s="2">
        <v>2</v>
      </c>
      <c r="EK129" s="2">
        <v>67</v>
      </c>
      <c r="EL129" s="2" t="s">
        <v>198</v>
      </c>
      <c r="EM129" s="2" t="s">
        <v>199</v>
      </c>
      <c r="EN129" s="2"/>
      <c r="EO129" s="2" t="s">
        <v>3</v>
      </c>
      <c r="EP129" s="2"/>
      <c r="EQ129" s="2">
        <v>1024</v>
      </c>
      <c r="ER129" s="2">
        <v>0</v>
      </c>
      <c r="ES129" s="2">
        <v>52356.729999999996</v>
      </c>
      <c r="ET129" s="2">
        <v>0</v>
      </c>
      <c r="EU129" s="2">
        <v>0</v>
      </c>
      <c r="EV129" s="2">
        <v>0</v>
      </c>
      <c r="EW129" s="2">
        <v>0</v>
      </c>
      <c r="EX129" s="2">
        <v>0</v>
      </c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>
        <v>0</v>
      </c>
      <c r="FR129" s="2">
        <v>0</v>
      </c>
      <c r="FS129" s="2">
        <v>0</v>
      </c>
      <c r="FT129" s="2"/>
      <c r="FU129" s="2"/>
      <c r="FV129" s="2"/>
      <c r="FW129" s="2"/>
      <c r="FX129" s="2">
        <v>97</v>
      </c>
      <c r="FY129" s="2">
        <v>51</v>
      </c>
      <c r="FZ129" s="2"/>
      <c r="GA129" s="2" t="s">
        <v>186</v>
      </c>
      <c r="GB129" s="2"/>
      <c r="GC129" s="2"/>
      <c r="GD129" s="2">
        <v>1</v>
      </c>
      <c r="GE129" s="2"/>
      <c r="GF129" s="2">
        <v>343940696</v>
      </c>
      <c r="GG129" s="2">
        <v>2</v>
      </c>
      <c r="GH129" s="2">
        <v>4</v>
      </c>
      <c r="GI129" s="2">
        <v>-2</v>
      </c>
      <c r="GJ129" s="2">
        <v>0</v>
      </c>
      <c r="GK129" s="2">
        <v>0</v>
      </c>
      <c r="GL129" s="2">
        <f t="shared" si="90"/>
        <v>0</v>
      </c>
      <c r="GM129" s="2">
        <f t="shared" si="91"/>
        <v>1869.14</v>
      </c>
      <c r="GN129" s="2">
        <f t="shared" si="92"/>
        <v>0</v>
      </c>
      <c r="GO129" s="2">
        <f t="shared" si="93"/>
        <v>1869.14</v>
      </c>
      <c r="GP129" s="2">
        <f t="shared" si="94"/>
        <v>0</v>
      </c>
      <c r="GQ129" s="2"/>
      <c r="GR129" s="2">
        <v>0</v>
      </c>
      <c r="GS129" s="2">
        <v>2</v>
      </c>
      <c r="GT129" s="2">
        <v>0</v>
      </c>
      <c r="GU129" s="2" t="s">
        <v>3</v>
      </c>
      <c r="GV129" s="2">
        <f t="shared" si="95"/>
        <v>0</v>
      </c>
      <c r="GW129" s="2">
        <v>1</v>
      </c>
      <c r="GX129" s="2">
        <f t="shared" si="96"/>
        <v>0</v>
      </c>
      <c r="GY129" s="2"/>
      <c r="GZ129" s="2"/>
      <c r="HA129" s="2">
        <v>0</v>
      </c>
      <c r="HB129" s="2">
        <v>0</v>
      </c>
      <c r="HC129" s="2">
        <f t="shared" si="97"/>
        <v>0</v>
      </c>
      <c r="HD129" s="2"/>
      <c r="HE129" s="2" t="s">
        <v>57</v>
      </c>
      <c r="HF129" s="2" t="s">
        <v>39</v>
      </c>
      <c r="HG129" s="2"/>
      <c r="HH129" s="2"/>
      <c r="HI129" s="2"/>
      <c r="HJ129" s="2"/>
      <c r="HK129" s="2"/>
      <c r="HL129" s="2"/>
      <c r="HM129" s="2" t="s">
        <v>3</v>
      </c>
      <c r="HN129" s="2" t="s">
        <v>3</v>
      </c>
      <c r="HO129" s="2" t="s">
        <v>3</v>
      </c>
      <c r="HP129" s="2" t="s">
        <v>3</v>
      </c>
      <c r="HQ129" s="2" t="s">
        <v>3</v>
      </c>
      <c r="HR129" s="2"/>
      <c r="HS129" s="2">
        <v>0</v>
      </c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>
        <v>0</v>
      </c>
      <c r="IL129" s="2"/>
      <c r="IM129" s="2"/>
      <c r="IN129" s="2"/>
      <c r="IO129" s="2"/>
      <c r="IP129" s="2"/>
      <c r="IQ129" s="2"/>
      <c r="IR129" s="2"/>
      <c r="IS129" s="2"/>
      <c r="IT129" s="2"/>
      <c r="IU129" s="2"/>
    </row>
    <row r="130" spans="1:255" x14ac:dyDescent="0.3">
      <c r="A130">
        <v>18</v>
      </c>
      <c r="B130">
        <v>1</v>
      </c>
      <c r="E130" t="s">
        <v>3</v>
      </c>
      <c r="F130" t="s">
        <v>184</v>
      </c>
      <c r="G130" t="s">
        <v>185</v>
      </c>
      <c r="H130" t="s">
        <v>181</v>
      </c>
      <c r="I130">
        <f>I128*J130</f>
        <v>3.5700000000000003E-2</v>
      </c>
      <c r="J130">
        <v>5.534883720930233E-3</v>
      </c>
      <c r="K130">
        <v>5.5348999999999997E-3</v>
      </c>
      <c r="O130">
        <f t="shared" si="66"/>
        <v>18467.099999999999</v>
      </c>
      <c r="P130">
        <f t="shared" si="67"/>
        <v>18467.099999999999</v>
      </c>
      <c r="Q130">
        <f t="shared" si="109"/>
        <v>0</v>
      </c>
      <c r="R130">
        <f t="shared" si="68"/>
        <v>0</v>
      </c>
      <c r="S130">
        <f t="shared" si="69"/>
        <v>0</v>
      </c>
      <c r="T130">
        <f t="shared" si="70"/>
        <v>0</v>
      </c>
      <c r="U130">
        <f t="shared" si="71"/>
        <v>0</v>
      </c>
      <c r="V130">
        <f t="shared" si="72"/>
        <v>0</v>
      </c>
      <c r="W130">
        <f t="shared" si="73"/>
        <v>0</v>
      </c>
      <c r="X130">
        <f t="shared" si="74"/>
        <v>0</v>
      </c>
      <c r="Y130">
        <f t="shared" si="75"/>
        <v>0</v>
      </c>
      <c r="AA130">
        <v>-1</v>
      </c>
      <c r="AB130">
        <f t="shared" si="76"/>
        <v>52356.73</v>
      </c>
      <c r="AC130">
        <f t="shared" si="77"/>
        <v>52356.73</v>
      </c>
      <c r="AD130">
        <f t="shared" si="110"/>
        <v>0</v>
      </c>
      <c r="AE130">
        <f t="shared" si="111"/>
        <v>0</v>
      </c>
      <c r="AF130">
        <f t="shared" si="111"/>
        <v>0</v>
      </c>
      <c r="AG130">
        <f t="shared" si="78"/>
        <v>0</v>
      </c>
      <c r="AH130">
        <f t="shared" si="112"/>
        <v>0</v>
      </c>
      <c r="AI130">
        <f t="shared" si="112"/>
        <v>0</v>
      </c>
      <c r="AJ130">
        <f t="shared" si="79"/>
        <v>0</v>
      </c>
      <c r="AK130">
        <v>52356.729999999996</v>
      </c>
      <c r="AL130">
        <v>52356.729999999996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97</v>
      </c>
      <c r="AU130">
        <v>51</v>
      </c>
      <c r="AV130">
        <v>1</v>
      </c>
      <c r="AW130">
        <v>1</v>
      </c>
      <c r="AZ130">
        <v>1</v>
      </c>
      <c r="BA130">
        <v>1</v>
      </c>
      <c r="BB130">
        <v>1</v>
      </c>
      <c r="BC130">
        <v>9.8800000000000008</v>
      </c>
      <c r="BD130" t="s">
        <v>3</v>
      </c>
      <c r="BE130" t="s">
        <v>3</v>
      </c>
      <c r="BF130" t="s">
        <v>3</v>
      </c>
      <c r="BG130" t="s">
        <v>3</v>
      </c>
      <c r="BH130">
        <v>3</v>
      </c>
      <c r="BI130">
        <v>2</v>
      </c>
      <c r="BJ130" t="s">
        <v>3</v>
      </c>
      <c r="BM130">
        <v>67</v>
      </c>
      <c r="BN130">
        <v>0</v>
      </c>
      <c r="BO130" t="s">
        <v>3</v>
      </c>
      <c r="BP130">
        <v>0</v>
      </c>
      <c r="BQ130">
        <v>40</v>
      </c>
      <c r="BR130">
        <v>0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 t="s">
        <v>3</v>
      </c>
      <c r="BZ130">
        <v>97</v>
      </c>
      <c r="CA130">
        <v>51</v>
      </c>
      <c r="CB130" t="s">
        <v>3</v>
      </c>
      <c r="CE130">
        <v>30</v>
      </c>
      <c r="CF130">
        <v>0</v>
      </c>
      <c r="CG130">
        <v>0</v>
      </c>
      <c r="CM130">
        <v>0</v>
      </c>
      <c r="CN130" t="s">
        <v>3</v>
      </c>
      <c r="CO130">
        <v>0</v>
      </c>
      <c r="CP130">
        <f t="shared" si="80"/>
        <v>18467.099999999999</v>
      </c>
      <c r="CQ130">
        <f t="shared" si="81"/>
        <v>517284.49</v>
      </c>
      <c r="CR130">
        <f t="shared" si="113"/>
        <v>0</v>
      </c>
      <c r="CS130">
        <f t="shared" si="82"/>
        <v>0</v>
      </c>
      <c r="CT130">
        <f t="shared" si="83"/>
        <v>0</v>
      </c>
      <c r="CU130">
        <f t="shared" si="84"/>
        <v>0</v>
      </c>
      <c r="CV130">
        <f t="shared" si="85"/>
        <v>0</v>
      </c>
      <c r="CW130">
        <f t="shared" si="86"/>
        <v>0</v>
      </c>
      <c r="CX130">
        <f t="shared" si="87"/>
        <v>0</v>
      </c>
      <c r="CY130">
        <f t="shared" si="88"/>
        <v>0</v>
      </c>
      <c r="CZ130">
        <f t="shared" si="89"/>
        <v>0</v>
      </c>
      <c r="DC130" t="s">
        <v>3</v>
      </c>
      <c r="DD130" t="s">
        <v>3</v>
      </c>
      <c r="DE130" t="s">
        <v>3</v>
      </c>
      <c r="DF130" t="s">
        <v>3</v>
      </c>
      <c r="DG130" t="s">
        <v>3</v>
      </c>
      <c r="DH130" t="s">
        <v>3</v>
      </c>
      <c r="DI130" t="s">
        <v>3</v>
      </c>
      <c r="DJ130" t="s">
        <v>3</v>
      </c>
      <c r="DK130" t="s">
        <v>3</v>
      </c>
      <c r="DL130" t="s">
        <v>3</v>
      </c>
      <c r="DM130" t="s">
        <v>3</v>
      </c>
      <c r="DN130">
        <v>0</v>
      </c>
      <c r="DO130">
        <v>0</v>
      </c>
      <c r="DP130">
        <v>1</v>
      </c>
      <c r="DQ130">
        <v>1</v>
      </c>
      <c r="DU130">
        <v>1003</v>
      </c>
      <c r="DV130" t="s">
        <v>181</v>
      </c>
      <c r="DW130" t="s">
        <v>181</v>
      </c>
      <c r="DX130">
        <v>1000</v>
      </c>
      <c r="DZ130" t="s">
        <v>3</v>
      </c>
      <c r="EA130" t="s">
        <v>3</v>
      </c>
      <c r="EB130" t="s">
        <v>3</v>
      </c>
      <c r="EC130" t="s">
        <v>3</v>
      </c>
      <c r="EE130">
        <v>58162629</v>
      </c>
      <c r="EF130">
        <v>40</v>
      </c>
      <c r="EG130" t="s">
        <v>25</v>
      </c>
      <c r="EH130">
        <v>0</v>
      </c>
      <c r="EI130" t="s">
        <v>3</v>
      </c>
      <c r="EJ130">
        <v>2</v>
      </c>
      <c r="EK130">
        <v>67</v>
      </c>
      <c r="EL130" t="s">
        <v>198</v>
      </c>
      <c r="EM130" t="s">
        <v>199</v>
      </c>
      <c r="EO130" t="s">
        <v>3</v>
      </c>
      <c r="EQ130">
        <v>1024</v>
      </c>
      <c r="ER130">
        <v>517284.5</v>
      </c>
      <c r="ES130">
        <v>52356.729999999996</v>
      </c>
      <c r="ET130">
        <v>0</v>
      </c>
      <c r="EU130">
        <v>0</v>
      </c>
      <c r="EV130">
        <v>0</v>
      </c>
      <c r="EW130">
        <v>0</v>
      </c>
      <c r="EX130">
        <v>0</v>
      </c>
      <c r="EZ130">
        <v>5</v>
      </c>
      <c r="FC130">
        <v>1</v>
      </c>
      <c r="FD130">
        <v>18</v>
      </c>
      <c r="FF130">
        <v>608570</v>
      </c>
      <c r="FQ130">
        <v>0</v>
      </c>
      <c r="FR130">
        <v>0</v>
      </c>
      <c r="FS130">
        <v>0</v>
      </c>
      <c r="FX130">
        <v>97</v>
      </c>
      <c r="FY130">
        <v>51</v>
      </c>
      <c r="GA130" t="s">
        <v>186</v>
      </c>
      <c r="GD130">
        <v>1</v>
      </c>
      <c r="GF130">
        <v>343940696</v>
      </c>
      <c r="GG130">
        <v>2</v>
      </c>
      <c r="GH130">
        <v>3</v>
      </c>
      <c r="GI130">
        <v>5</v>
      </c>
      <c r="GJ130">
        <v>0</v>
      </c>
      <c r="GK130">
        <v>0</v>
      </c>
      <c r="GL130">
        <f t="shared" si="90"/>
        <v>0</v>
      </c>
      <c r="GM130">
        <f t="shared" si="91"/>
        <v>18467.099999999999</v>
      </c>
      <c r="GN130">
        <f t="shared" si="92"/>
        <v>0</v>
      </c>
      <c r="GO130">
        <f t="shared" si="93"/>
        <v>18467.099999999999</v>
      </c>
      <c r="GP130">
        <f t="shared" si="94"/>
        <v>0</v>
      </c>
      <c r="GR130">
        <v>1</v>
      </c>
      <c r="GS130">
        <v>1</v>
      </c>
      <c r="GT130">
        <v>0</v>
      </c>
      <c r="GU130" t="s">
        <v>3</v>
      </c>
      <c r="GV130">
        <f t="shared" si="95"/>
        <v>0</v>
      </c>
      <c r="GW130">
        <v>1</v>
      </c>
      <c r="GX130">
        <f t="shared" si="96"/>
        <v>0</v>
      </c>
      <c r="HA130">
        <v>0</v>
      </c>
      <c r="HB130">
        <v>0</v>
      </c>
      <c r="HC130">
        <f t="shared" si="97"/>
        <v>0</v>
      </c>
      <c r="HE130" t="s">
        <v>57</v>
      </c>
      <c r="HF130" t="s">
        <v>39</v>
      </c>
      <c r="HM130" t="s">
        <v>3</v>
      </c>
      <c r="HN130" t="s">
        <v>3</v>
      </c>
      <c r="HO130" t="s">
        <v>3</v>
      </c>
      <c r="HP130" t="s">
        <v>3</v>
      </c>
      <c r="HQ130" t="s">
        <v>3</v>
      </c>
      <c r="HS130">
        <v>0</v>
      </c>
      <c r="IK130">
        <v>0</v>
      </c>
    </row>
    <row r="131" spans="1:255" x14ac:dyDescent="0.3">
      <c r="A131" s="2">
        <v>18</v>
      </c>
      <c r="B131" s="2">
        <v>1</v>
      </c>
      <c r="C131" s="2"/>
      <c r="D131" s="2"/>
      <c r="E131" s="2" t="s">
        <v>3</v>
      </c>
      <c r="F131" s="2" t="s">
        <v>188</v>
      </c>
      <c r="G131" s="2" t="s">
        <v>189</v>
      </c>
      <c r="H131" s="2" t="s">
        <v>181</v>
      </c>
      <c r="I131" s="2">
        <f>I127*J131</f>
        <v>0.91290000000000004</v>
      </c>
      <c r="J131" s="2">
        <v>0.14153488372093023</v>
      </c>
      <c r="K131" s="2">
        <v>0.14153489999999999</v>
      </c>
      <c r="L131" s="2"/>
      <c r="M131" s="2"/>
      <c r="N131" s="2"/>
      <c r="O131" s="2">
        <f t="shared" si="66"/>
        <v>24347.08</v>
      </c>
      <c r="P131" s="2">
        <f t="shared" si="67"/>
        <v>24347.08</v>
      </c>
      <c r="Q131" s="2">
        <f t="shared" si="109"/>
        <v>0</v>
      </c>
      <c r="R131" s="2">
        <f t="shared" si="68"/>
        <v>0</v>
      </c>
      <c r="S131" s="2">
        <f t="shared" si="69"/>
        <v>0</v>
      </c>
      <c r="T131" s="2">
        <f t="shared" si="70"/>
        <v>0</v>
      </c>
      <c r="U131" s="2">
        <f t="shared" si="71"/>
        <v>0</v>
      </c>
      <c r="V131" s="2">
        <f t="shared" si="72"/>
        <v>0</v>
      </c>
      <c r="W131" s="2">
        <f t="shared" si="73"/>
        <v>0</v>
      </c>
      <c r="X131" s="2">
        <f t="shared" si="74"/>
        <v>0</v>
      </c>
      <c r="Y131" s="2">
        <f t="shared" si="75"/>
        <v>0</v>
      </c>
      <c r="Z131" s="2"/>
      <c r="AA131" s="2">
        <v>-1</v>
      </c>
      <c r="AB131" s="2">
        <f t="shared" si="76"/>
        <v>26670.04</v>
      </c>
      <c r="AC131" s="2">
        <f t="shared" si="77"/>
        <v>26670.04</v>
      </c>
      <c r="AD131" s="2">
        <f t="shared" si="110"/>
        <v>0</v>
      </c>
      <c r="AE131" s="2">
        <f t="shared" si="111"/>
        <v>0</v>
      </c>
      <c r="AF131" s="2">
        <f t="shared" si="111"/>
        <v>0</v>
      </c>
      <c r="AG131" s="2">
        <f t="shared" si="78"/>
        <v>0</v>
      </c>
      <c r="AH131" s="2">
        <f t="shared" si="112"/>
        <v>0</v>
      </c>
      <c r="AI131" s="2">
        <f t="shared" si="112"/>
        <v>0</v>
      </c>
      <c r="AJ131" s="2">
        <f t="shared" si="79"/>
        <v>0</v>
      </c>
      <c r="AK131" s="2">
        <v>26670.039999999997</v>
      </c>
      <c r="AL131" s="2">
        <v>26670.039999999997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97</v>
      </c>
      <c r="AU131" s="2">
        <v>51</v>
      </c>
      <c r="AV131" s="2">
        <v>1</v>
      </c>
      <c r="AW131" s="2">
        <v>1</v>
      </c>
      <c r="AX131" s="2"/>
      <c r="AY131" s="2"/>
      <c r="AZ131" s="2">
        <v>1</v>
      </c>
      <c r="BA131" s="2">
        <v>1</v>
      </c>
      <c r="BB131" s="2">
        <v>1</v>
      </c>
      <c r="BC131" s="2">
        <v>1</v>
      </c>
      <c r="BD131" s="2" t="s">
        <v>3</v>
      </c>
      <c r="BE131" s="2" t="s">
        <v>3</v>
      </c>
      <c r="BF131" s="2" t="s">
        <v>3</v>
      </c>
      <c r="BG131" s="2" t="s">
        <v>3</v>
      </c>
      <c r="BH131" s="2">
        <v>3</v>
      </c>
      <c r="BI131" s="2">
        <v>2</v>
      </c>
      <c r="BJ131" s="2" t="s">
        <v>3</v>
      </c>
      <c r="BK131" s="2"/>
      <c r="BL131" s="2"/>
      <c r="BM131" s="2">
        <v>67</v>
      </c>
      <c r="BN131" s="2">
        <v>0</v>
      </c>
      <c r="BO131" s="2" t="s">
        <v>3</v>
      </c>
      <c r="BP131" s="2">
        <v>0</v>
      </c>
      <c r="BQ131" s="2">
        <v>40</v>
      </c>
      <c r="BR131" s="2">
        <v>0</v>
      </c>
      <c r="BS131" s="2">
        <v>1</v>
      </c>
      <c r="BT131" s="2">
        <v>1</v>
      </c>
      <c r="BU131" s="2">
        <v>1</v>
      </c>
      <c r="BV131" s="2">
        <v>1</v>
      </c>
      <c r="BW131" s="2">
        <v>1</v>
      </c>
      <c r="BX131" s="2">
        <v>1</v>
      </c>
      <c r="BY131" s="2" t="s">
        <v>3</v>
      </c>
      <c r="BZ131" s="2">
        <v>97</v>
      </c>
      <c r="CA131" s="2">
        <v>51</v>
      </c>
      <c r="CB131" s="2" t="s">
        <v>3</v>
      </c>
      <c r="CC131" s="2"/>
      <c r="CD131" s="2"/>
      <c r="CE131" s="2">
        <v>30</v>
      </c>
      <c r="CF131" s="2">
        <v>0</v>
      </c>
      <c r="CG131" s="2">
        <v>0</v>
      </c>
      <c r="CH131" s="2"/>
      <c r="CI131" s="2"/>
      <c r="CJ131" s="2"/>
      <c r="CK131" s="2"/>
      <c r="CL131" s="2"/>
      <c r="CM131" s="2">
        <v>0</v>
      </c>
      <c r="CN131" s="2" t="s">
        <v>3</v>
      </c>
      <c r="CO131" s="2">
        <v>0</v>
      </c>
      <c r="CP131" s="2">
        <f t="shared" si="80"/>
        <v>24347.08</v>
      </c>
      <c r="CQ131" s="2">
        <f t="shared" si="81"/>
        <v>26670.04</v>
      </c>
      <c r="CR131" s="2">
        <f t="shared" si="113"/>
        <v>0</v>
      </c>
      <c r="CS131" s="2">
        <f t="shared" si="82"/>
        <v>0</v>
      </c>
      <c r="CT131" s="2">
        <f t="shared" si="83"/>
        <v>0</v>
      </c>
      <c r="CU131" s="2">
        <f t="shared" si="84"/>
        <v>0</v>
      </c>
      <c r="CV131" s="2">
        <f t="shared" si="85"/>
        <v>0</v>
      </c>
      <c r="CW131" s="2">
        <f t="shared" si="86"/>
        <v>0</v>
      </c>
      <c r="CX131" s="2">
        <f t="shared" si="87"/>
        <v>0</v>
      </c>
      <c r="CY131" s="2">
        <f t="shared" si="88"/>
        <v>0</v>
      </c>
      <c r="CZ131" s="2">
        <f t="shared" si="89"/>
        <v>0</v>
      </c>
      <c r="DA131" s="2"/>
      <c r="DB131" s="2"/>
      <c r="DC131" s="2" t="s">
        <v>3</v>
      </c>
      <c r="DD131" s="2" t="s">
        <v>3</v>
      </c>
      <c r="DE131" s="2" t="s">
        <v>3</v>
      </c>
      <c r="DF131" s="2" t="s">
        <v>3</v>
      </c>
      <c r="DG131" s="2" t="s">
        <v>3</v>
      </c>
      <c r="DH131" s="2" t="s">
        <v>3</v>
      </c>
      <c r="DI131" s="2" t="s">
        <v>3</v>
      </c>
      <c r="DJ131" s="2" t="s">
        <v>3</v>
      </c>
      <c r="DK131" s="2" t="s">
        <v>3</v>
      </c>
      <c r="DL131" s="2" t="s">
        <v>3</v>
      </c>
      <c r="DM131" s="2" t="s">
        <v>3</v>
      </c>
      <c r="DN131" s="2">
        <v>0</v>
      </c>
      <c r="DO131" s="2">
        <v>0</v>
      </c>
      <c r="DP131" s="2">
        <v>1</v>
      </c>
      <c r="DQ131" s="2">
        <v>1</v>
      </c>
      <c r="DR131" s="2"/>
      <c r="DS131" s="2"/>
      <c r="DT131" s="2"/>
      <c r="DU131" s="2">
        <v>1003</v>
      </c>
      <c r="DV131" s="2" t="s">
        <v>181</v>
      </c>
      <c r="DW131" s="2" t="s">
        <v>181</v>
      </c>
      <c r="DX131" s="2">
        <v>1000</v>
      </c>
      <c r="DY131" s="2"/>
      <c r="DZ131" s="2" t="s">
        <v>3</v>
      </c>
      <c r="EA131" s="2" t="s">
        <v>3</v>
      </c>
      <c r="EB131" s="2" t="s">
        <v>3</v>
      </c>
      <c r="EC131" s="2" t="s">
        <v>3</v>
      </c>
      <c r="ED131" s="2"/>
      <c r="EE131" s="2">
        <v>58162629</v>
      </c>
      <c r="EF131" s="2">
        <v>40</v>
      </c>
      <c r="EG131" s="2" t="s">
        <v>25</v>
      </c>
      <c r="EH131" s="2">
        <v>0</v>
      </c>
      <c r="EI131" s="2" t="s">
        <v>3</v>
      </c>
      <c r="EJ131" s="2">
        <v>2</v>
      </c>
      <c r="EK131" s="2">
        <v>67</v>
      </c>
      <c r="EL131" s="2" t="s">
        <v>198</v>
      </c>
      <c r="EM131" s="2" t="s">
        <v>199</v>
      </c>
      <c r="EN131" s="2"/>
      <c r="EO131" s="2" t="s">
        <v>3</v>
      </c>
      <c r="EP131" s="2"/>
      <c r="EQ131" s="2">
        <v>1024</v>
      </c>
      <c r="ER131" s="2">
        <v>0</v>
      </c>
      <c r="ES131" s="2">
        <v>26670.039999999997</v>
      </c>
      <c r="ET131" s="2">
        <v>0</v>
      </c>
      <c r="EU131" s="2">
        <v>0</v>
      </c>
      <c r="EV131" s="2">
        <v>0</v>
      </c>
      <c r="EW131" s="2">
        <v>0</v>
      </c>
      <c r="EX131" s="2">
        <v>0</v>
      </c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>
        <v>0</v>
      </c>
      <c r="FR131" s="2">
        <v>0</v>
      </c>
      <c r="FS131" s="2">
        <v>0</v>
      </c>
      <c r="FT131" s="2"/>
      <c r="FU131" s="2"/>
      <c r="FV131" s="2"/>
      <c r="FW131" s="2"/>
      <c r="FX131" s="2">
        <v>97</v>
      </c>
      <c r="FY131" s="2">
        <v>51</v>
      </c>
      <c r="FZ131" s="2"/>
      <c r="GA131" s="2" t="s">
        <v>190</v>
      </c>
      <c r="GB131" s="2"/>
      <c r="GC131" s="2"/>
      <c r="GD131" s="2">
        <v>1</v>
      </c>
      <c r="GE131" s="2"/>
      <c r="GF131" s="2">
        <v>-407592442</v>
      </c>
      <c r="GG131" s="2">
        <v>2</v>
      </c>
      <c r="GH131" s="2">
        <v>4</v>
      </c>
      <c r="GI131" s="2">
        <v>-2</v>
      </c>
      <c r="GJ131" s="2">
        <v>0</v>
      </c>
      <c r="GK131" s="2">
        <v>0</v>
      </c>
      <c r="GL131" s="2">
        <f t="shared" si="90"/>
        <v>0</v>
      </c>
      <c r="GM131" s="2">
        <f t="shared" si="91"/>
        <v>24347.08</v>
      </c>
      <c r="GN131" s="2">
        <f t="shared" si="92"/>
        <v>0</v>
      </c>
      <c r="GO131" s="2">
        <f t="shared" si="93"/>
        <v>24347.08</v>
      </c>
      <c r="GP131" s="2">
        <f t="shared" si="94"/>
        <v>0</v>
      </c>
      <c r="GQ131" s="2"/>
      <c r="GR131" s="2">
        <v>0</v>
      </c>
      <c r="GS131" s="2">
        <v>2</v>
      </c>
      <c r="GT131" s="2">
        <v>0</v>
      </c>
      <c r="GU131" s="2" t="s">
        <v>3</v>
      </c>
      <c r="GV131" s="2">
        <f t="shared" si="95"/>
        <v>0</v>
      </c>
      <c r="GW131" s="2">
        <v>1</v>
      </c>
      <c r="GX131" s="2">
        <f t="shared" si="96"/>
        <v>0</v>
      </c>
      <c r="GY131" s="2"/>
      <c r="GZ131" s="2"/>
      <c r="HA131" s="2">
        <v>0</v>
      </c>
      <c r="HB131" s="2">
        <v>0</v>
      </c>
      <c r="HC131" s="2">
        <f t="shared" si="97"/>
        <v>0</v>
      </c>
      <c r="HD131" s="2"/>
      <c r="HE131" s="2" t="s">
        <v>57</v>
      </c>
      <c r="HF131" s="2" t="s">
        <v>39</v>
      </c>
      <c r="HG131" s="2"/>
      <c r="HH131" s="2"/>
      <c r="HI131" s="2"/>
      <c r="HJ131" s="2"/>
      <c r="HK131" s="2"/>
      <c r="HL131" s="2"/>
      <c r="HM131" s="2" t="s">
        <v>3</v>
      </c>
      <c r="HN131" s="2" t="s">
        <v>3</v>
      </c>
      <c r="HO131" s="2" t="s">
        <v>3</v>
      </c>
      <c r="HP131" s="2" t="s">
        <v>3</v>
      </c>
      <c r="HQ131" s="2" t="s">
        <v>3</v>
      </c>
      <c r="HR131" s="2"/>
      <c r="HS131" s="2">
        <v>0</v>
      </c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>
        <v>0</v>
      </c>
      <c r="IL131" s="2"/>
      <c r="IM131" s="2"/>
      <c r="IN131" s="2"/>
      <c r="IO131" s="2"/>
      <c r="IP131" s="2"/>
      <c r="IQ131" s="2"/>
      <c r="IR131" s="2"/>
      <c r="IS131" s="2"/>
      <c r="IT131" s="2"/>
      <c r="IU131" s="2"/>
    </row>
    <row r="132" spans="1:255" x14ac:dyDescent="0.3">
      <c r="A132">
        <v>18</v>
      </c>
      <c r="B132">
        <v>1</v>
      </c>
      <c r="E132" t="s">
        <v>3</v>
      </c>
      <c r="F132" t="s">
        <v>188</v>
      </c>
      <c r="G132" t="s">
        <v>189</v>
      </c>
      <c r="H132" t="s">
        <v>181</v>
      </c>
      <c r="I132">
        <f>I128*J132</f>
        <v>0.91290000000000004</v>
      </c>
      <c r="J132">
        <v>0.14153488372093023</v>
      </c>
      <c r="K132">
        <v>0.14153489999999999</v>
      </c>
      <c r="O132">
        <f t="shared" si="66"/>
        <v>240549.15</v>
      </c>
      <c r="P132">
        <f t="shared" si="67"/>
        <v>240549.15</v>
      </c>
      <c r="Q132">
        <f t="shared" si="109"/>
        <v>0</v>
      </c>
      <c r="R132">
        <f t="shared" si="68"/>
        <v>0</v>
      </c>
      <c r="S132">
        <f t="shared" si="69"/>
        <v>0</v>
      </c>
      <c r="T132">
        <f t="shared" si="70"/>
        <v>0</v>
      </c>
      <c r="U132">
        <f t="shared" si="71"/>
        <v>0</v>
      </c>
      <c r="V132">
        <f t="shared" si="72"/>
        <v>0</v>
      </c>
      <c r="W132">
        <f t="shared" si="73"/>
        <v>0</v>
      </c>
      <c r="X132">
        <f t="shared" si="74"/>
        <v>0</v>
      </c>
      <c r="Y132">
        <f t="shared" si="75"/>
        <v>0</v>
      </c>
      <c r="AA132">
        <v>-1</v>
      </c>
      <c r="AB132">
        <f t="shared" si="76"/>
        <v>26670.04</v>
      </c>
      <c r="AC132">
        <f t="shared" si="77"/>
        <v>26670.04</v>
      </c>
      <c r="AD132">
        <f t="shared" si="110"/>
        <v>0</v>
      </c>
      <c r="AE132">
        <f t="shared" si="111"/>
        <v>0</v>
      </c>
      <c r="AF132">
        <f t="shared" si="111"/>
        <v>0</v>
      </c>
      <c r="AG132">
        <f t="shared" si="78"/>
        <v>0</v>
      </c>
      <c r="AH132">
        <f t="shared" si="112"/>
        <v>0</v>
      </c>
      <c r="AI132">
        <f t="shared" si="112"/>
        <v>0</v>
      </c>
      <c r="AJ132">
        <f t="shared" si="79"/>
        <v>0</v>
      </c>
      <c r="AK132">
        <v>26670.039999999997</v>
      </c>
      <c r="AL132">
        <v>26670.039999999997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97</v>
      </c>
      <c r="AU132">
        <v>51</v>
      </c>
      <c r="AV132">
        <v>1</v>
      </c>
      <c r="AW132">
        <v>1</v>
      </c>
      <c r="AZ132">
        <v>1</v>
      </c>
      <c r="BA132">
        <v>1</v>
      </c>
      <c r="BB132">
        <v>1</v>
      </c>
      <c r="BC132">
        <v>9.8800000000000008</v>
      </c>
      <c r="BD132" t="s">
        <v>3</v>
      </c>
      <c r="BE132" t="s">
        <v>3</v>
      </c>
      <c r="BF132" t="s">
        <v>3</v>
      </c>
      <c r="BG132" t="s">
        <v>3</v>
      </c>
      <c r="BH132">
        <v>3</v>
      </c>
      <c r="BI132">
        <v>2</v>
      </c>
      <c r="BJ132" t="s">
        <v>3</v>
      </c>
      <c r="BM132">
        <v>67</v>
      </c>
      <c r="BN132">
        <v>0</v>
      </c>
      <c r="BO132" t="s">
        <v>3</v>
      </c>
      <c r="BP132">
        <v>0</v>
      </c>
      <c r="BQ132">
        <v>40</v>
      </c>
      <c r="BR132">
        <v>0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 t="s">
        <v>3</v>
      </c>
      <c r="BZ132">
        <v>97</v>
      </c>
      <c r="CA132">
        <v>51</v>
      </c>
      <c r="CB132" t="s">
        <v>3</v>
      </c>
      <c r="CE132">
        <v>30</v>
      </c>
      <c r="CF132">
        <v>0</v>
      </c>
      <c r="CG132">
        <v>0</v>
      </c>
      <c r="CM132">
        <v>0</v>
      </c>
      <c r="CN132" t="s">
        <v>3</v>
      </c>
      <c r="CO132">
        <v>0</v>
      </c>
      <c r="CP132">
        <f t="shared" si="80"/>
        <v>240549.15</v>
      </c>
      <c r="CQ132">
        <f t="shared" si="81"/>
        <v>263500</v>
      </c>
      <c r="CR132">
        <f t="shared" si="113"/>
        <v>0</v>
      </c>
      <c r="CS132">
        <f t="shared" si="82"/>
        <v>0</v>
      </c>
      <c r="CT132">
        <f t="shared" si="83"/>
        <v>0</v>
      </c>
      <c r="CU132">
        <f t="shared" si="84"/>
        <v>0</v>
      </c>
      <c r="CV132">
        <f t="shared" si="85"/>
        <v>0</v>
      </c>
      <c r="CW132">
        <f t="shared" si="86"/>
        <v>0</v>
      </c>
      <c r="CX132">
        <f t="shared" si="87"/>
        <v>0</v>
      </c>
      <c r="CY132">
        <f t="shared" si="88"/>
        <v>0</v>
      </c>
      <c r="CZ132">
        <f t="shared" si="89"/>
        <v>0</v>
      </c>
      <c r="DC132" t="s">
        <v>3</v>
      </c>
      <c r="DD132" t="s">
        <v>3</v>
      </c>
      <c r="DE132" t="s">
        <v>3</v>
      </c>
      <c r="DF132" t="s">
        <v>3</v>
      </c>
      <c r="DG132" t="s">
        <v>3</v>
      </c>
      <c r="DH132" t="s">
        <v>3</v>
      </c>
      <c r="DI132" t="s">
        <v>3</v>
      </c>
      <c r="DJ132" t="s">
        <v>3</v>
      </c>
      <c r="DK132" t="s">
        <v>3</v>
      </c>
      <c r="DL132" t="s">
        <v>3</v>
      </c>
      <c r="DM132" t="s">
        <v>3</v>
      </c>
      <c r="DN132">
        <v>0</v>
      </c>
      <c r="DO132">
        <v>0</v>
      </c>
      <c r="DP132">
        <v>1</v>
      </c>
      <c r="DQ132">
        <v>1</v>
      </c>
      <c r="DU132">
        <v>1003</v>
      </c>
      <c r="DV132" t="s">
        <v>181</v>
      </c>
      <c r="DW132" t="s">
        <v>181</v>
      </c>
      <c r="DX132">
        <v>1000</v>
      </c>
      <c r="DZ132" t="s">
        <v>3</v>
      </c>
      <c r="EA132" t="s">
        <v>3</v>
      </c>
      <c r="EB132" t="s">
        <v>3</v>
      </c>
      <c r="EC132" t="s">
        <v>3</v>
      </c>
      <c r="EE132">
        <v>58162629</v>
      </c>
      <c r="EF132">
        <v>40</v>
      </c>
      <c r="EG132" t="s">
        <v>25</v>
      </c>
      <c r="EH132">
        <v>0</v>
      </c>
      <c r="EI132" t="s">
        <v>3</v>
      </c>
      <c r="EJ132">
        <v>2</v>
      </c>
      <c r="EK132">
        <v>67</v>
      </c>
      <c r="EL132" t="s">
        <v>198</v>
      </c>
      <c r="EM132" t="s">
        <v>199</v>
      </c>
      <c r="EO132" t="s">
        <v>3</v>
      </c>
      <c r="EQ132">
        <v>1024</v>
      </c>
      <c r="ER132">
        <v>263500</v>
      </c>
      <c r="ES132">
        <v>26670.039999999997</v>
      </c>
      <c r="ET132">
        <v>0</v>
      </c>
      <c r="EU132">
        <v>0</v>
      </c>
      <c r="EV132">
        <v>0</v>
      </c>
      <c r="EW132">
        <v>0</v>
      </c>
      <c r="EX132">
        <v>0</v>
      </c>
      <c r="EZ132">
        <v>5</v>
      </c>
      <c r="FC132">
        <v>1</v>
      </c>
      <c r="FD132">
        <v>18</v>
      </c>
      <c r="FF132">
        <v>310000</v>
      </c>
      <c r="FQ132">
        <v>0</v>
      </c>
      <c r="FR132">
        <v>0</v>
      </c>
      <c r="FS132">
        <v>0</v>
      </c>
      <c r="FX132">
        <v>97</v>
      </c>
      <c r="FY132">
        <v>51</v>
      </c>
      <c r="GA132" t="s">
        <v>190</v>
      </c>
      <c r="GD132">
        <v>1</v>
      </c>
      <c r="GF132">
        <v>-407592442</v>
      </c>
      <c r="GG132">
        <v>2</v>
      </c>
      <c r="GH132">
        <v>3</v>
      </c>
      <c r="GI132">
        <v>5</v>
      </c>
      <c r="GJ132">
        <v>0</v>
      </c>
      <c r="GK132">
        <v>0</v>
      </c>
      <c r="GL132">
        <f t="shared" si="90"/>
        <v>0</v>
      </c>
      <c r="GM132">
        <f t="shared" si="91"/>
        <v>240549.15</v>
      </c>
      <c r="GN132">
        <f t="shared" si="92"/>
        <v>0</v>
      </c>
      <c r="GO132">
        <f t="shared" si="93"/>
        <v>240549.15</v>
      </c>
      <c r="GP132">
        <f t="shared" si="94"/>
        <v>0</v>
      </c>
      <c r="GR132">
        <v>1</v>
      </c>
      <c r="GS132">
        <v>1</v>
      </c>
      <c r="GT132">
        <v>0</v>
      </c>
      <c r="GU132" t="s">
        <v>3</v>
      </c>
      <c r="GV132">
        <f t="shared" si="95"/>
        <v>0</v>
      </c>
      <c r="GW132">
        <v>1</v>
      </c>
      <c r="GX132">
        <f t="shared" si="96"/>
        <v>0</v>
      </c>
      <c r="HA132">
        <v>0</v>
      </c>
      <c r="HB132">
        <v>0</v>
      </c>
      <c r="HC132">
        <f t="shared" si="97"/>
        <v>0</v>
      </c>
      <c r="HE132" t="s">
        <v>57</v>
      </c>
      <c r="HF132" t="s">
        <v>39</v>
      </c>
      <c r="HM132" t="s">
        <v>3</v>
      </c>
      <c r="HN132" t="s">
        <v>3</v>
      </c>
      <c r="HO132" t="s">
        <v>3</v>
      </c>
      <c r="HP132" t="s">
        <v>3</v>
      </c>
      <c r="HQ132" t="s">
        <v>3</v>
      </c>
      <c r="HS132">
        <v>0</v>
      </c>
      <c r="IK132">
        <v>0</v>
      </c>
    </row>
    <row r="133" spans="1:255" x14ac:dyDescent="0.3">
      <c r="A133" s="2">
        <v>18</v>
      </c>
      <c r="B133" s="2">
        <v>1</v>
      </c>
      <c r="C133" s="2"/>
      <c r="D133" s="2"/>
      <c r="E133" s="2" t="s">
        <v>3</v>
      </c>
      <c r="F133" s="2" t="s">
        <v>192</v>
      </c>
      <c r="G133" s="2" t="s">
        <v>193</v>
      </c>
      <c r="H133" s="2" t="s">
        <v>181</v>
      </c>
      <c r="I133" s="2">
        <f>I127*J133</f>
        <v>1.5300000000000001E-2</v>
      </c>
      <c r="J133" s="2">
        <v>2.372093023255814E-3</v>
      </c>
      <c r="K133" s="2">
        <v>2.3720999999999998E-3</v>
      </c>
      <c r="L133" s="2"/>
      <c r="M133" s="2"/>
      <c r="N133" s="2"/>
      <c r="O133" s="2">
        <f t="shared" si="66"/>
        <v>59.59</v>
      </c>
      <c r="P133" s="2">
        <f t="shared" si="67"/>
        <v>59.59</v>
      </c>
      <c r="Q133" s="2">
        <f t="shared" si="109"/>
        <v>0</v>
      </c>
      <c r="R133" s="2">
        <f t="shared" si="68"/>
        <v>0</v>
      </c>
      <c r="S133" s="2">
        <f t="shared" si="69"/>
        <v>0</v>
      </c>
      <c r="T133" s="2">
        <f t="shared" si="70"/>
        <v>0</v>
      </c>
      <c r="U133" s="2">
        <f t="shared" si="71"/>
        <v>0</v>
      </c>
      <c r="V133" s="2">
        <f t="shared" si="72"/>
        <v>0</v>
      </c>
      <c r="W133" s="2">
        <f t="shared" si="73"/>
        <v>0</v>
      </c>
      <c r="X133" s="2">
        <f t="shared" si="74"/>
        <v>0</v>
      </c>
      <c r="Y133" s="2">
        <f t="shared" si="75"/>
        <v>0</v>
      </c>
      <c r="Z133" s="2"/>
      <c r="AA133" s="2">
        <v>-1</v>
      </c>
      <c r="AB133" s="2">
        <f t="shared" si="76"/>
        <v>3894.69</v>
      </c>
      <c r="AC133" s="2">
        <f t="shared" si="77"/>
        <v>3894.69</v>
      </c>
      <c r="AD133" s="2">
        <f t="shared" si="110"/>
        <v>0</v>
      </c>
      <c r="AE133" s="2">
        <f t="shared" si="111"/>
        <v>0</v>
      </c>
      <c r="AF133" s="2">
        <f t="shared" si="111"/>
        <v>0</v>
      </c>
      <c r="AG133" s="2">
        <f t="shared" si="78"/>
        <v>0</v>
      </c>
      <c r="AH133" s="2">
        <f t="shared" si="112"/>
        <v>0</v>
      </c>
      <c r="AI133" s="2">
        <f t="shared" si="112"/>
        <v>0</v>
      </c>
      <c r="AJ133" s="2">
        <f t="shared" si="79"/>
        <v>0</v>
      </c>
      <c r="AK133" s="2">
        <v>3894.69</v>
      </c>
      <c r="AL133" s="2">
        <v>3894.69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97</v>
      </c>
      <c r="AU133" s="2">
        <v>51</v>
      </c>
      <c r="AV133" s="2">
        <v>1</v>
      </c>
      <c r="AW133" s="2">
        <v>1</v>
      </c>
      <c r="AX133" s="2"/>
      <c r="AY133" s="2"/>
      <c r="AZ133" s="2">
        <v>1</v>
      </c>
      <c r="BA133" s="2">
        <v>1</v>
      </c>
      <c r="BB133" s="2">
        <v>1</v>
      </c>
      <c r="BC133" s="2">
        <v>1</v>
      </c>
      <c r="BD133" s="2" t="s">
        <v>3</v>
      </c>
      <c r="BE133" s="2" t="s">
        <v>3</v>
      </c>
      <c r="BF133" s="2" t="s">
        <v>3</v>
      </c>
      <c r="BG133" s="2" t="s">
        <v>3</v>
      </c>
      <c r="BH133" s="2">
        <v>3</v>
      </c>
      <c r="BI133" s="2">
        <v>2</v>
      </c>
      <c r="BJ133" s="2" t="s">
        <v>3</v>
      </c>
      <c r="BK133" s="2"/>
      <c r="BL133" s="2"/>
      <c r="BM133" s="2">
        <v>67</v>
      </c>
      <c r="BN133" s="2">
        <v>0</v>
      </c>
      <c r="BO133" s="2" t="s">
        <v>3</v>
      </c>
      <c r="BP133" s="2">
        <v>0</v>
      </c>
      <c r="BQ133" s="2">
        <v>40</v>
      </c>
      <c r="BR133" s="2">
        <v>0</v>
      </c>
      <c r="BS133" s="2">
        <v>1</v>
      </c>
      <c r="BT133" s="2">
        <v>1</v>
      </c>
      <c r="BU133" s="2">
        <v>1</v>
      </c>
      <c r="BV133" s="2">
        <v>1</v>
      </c>
      <c r="BW133" s="2">
        <v>1</v>
      </c>
      <c r="BX133" s="2">
        <v>1</v>
      </c>
      <c r="BY133" s="2" t="s">
        <v>3</v>
      </c>
      <c r="BZ133" s="2">
        <v>97</v>
      </c>
      <c r="CA133" s="2">
        <v>51</v>
      </c>
      <c r="CB133" s="2" t="s">
        <v>3</v>
      </c>
      <c r="CC133" s="2"/>
      <c r="CD133" s="2"/>
      <c r="CE133" s="2">
        <v>30</v>
      </c>
      <c r="CF133" s="2">
        <v>0</v>
      </c>
      <c r="CG133" s="2">
        <v>0</v>
      </c>
      <c r="CH133" s="2"/>
      <c r="CI133" s="2"/>
      <c r="CJ133" s="2"/>
      <c r="CK133" s="2"/>
      <c r="CL133" s="2"/>
      <c r="CM133" s="2">
        <v>0</v>
      </c>
      <c r="CN133" s="2" t="s">
        <v>3</v>
      </c>
      <c r="CO133" s="2">
        <v>0</v>
      </c>
      <c r="CP133" s="2">
        <f t="shared" si="80"/>
        <v>59.59</v>
      </c>
      <c r="CQ133" s="2">
        <f t="shared" si="81"/>
        <v>3894.69</v>
      </c>
      <c r="CR133" s="2">
        <f t="shared" si="113"/>
        <v>0</v>
      </c>
      <c r="CS133" s="2">
        <f t="shared" si="82"/>
        <v>0</v>
      </c>
      <c r="CT133" s="2">
        <f t="shared" si="83"/>
        <v>0</v>
      </c>
      <c r="CU133" s="2">
        <f t="shared" si="84"/>
        <v>0</v>
      </c>
      <c r="CV133" s="2">
        <f t="shared" si="85"/>
        <v>0</v>
      </c>
      <c r="CW133" s="2">
        <f t="shared" si="86"/>
        <v>0</v>
      </c>
      <c r="CX133" s="2">
        <f t="shared" si="87"/>
        <v>0</v>
      </c>
      <c r="CY133" s="2">
        <f t="shared" si="88"/>
        <v>0</v>
      </c>
      <c r="CZ133" s="2">
        <f t="shared" si="89"/>
        <v>0</v>
      </c>
      <c r="DA133" s="2"/>
      <c r="DB133" s="2"/>
      <c r="DC133" s="2" t="s">
        <v>3</v>
      </c>
      <c r="DD133" s="2" t="s">
        <v>3</v>
      </c>
      <c r="DE133" s="2" t="s">
        <v>3</v>
      </c>
      <c r="DF133" s="2" t="s">
        <v>3</v>
      </c>
      <c r="DG133" s="2" t="s">
        <v>3</v>
      </c>
      <c r="DH133" s="2" t="s">
        <v>3</v>
      </c>
      <c r="DI133" s="2" t="s">
        <v>3</v>
      </c>
      <c r="DJ133" s="2" t="s">
        <v>3</v>
      </c>
      <c r="DK133" s="2" t="s">
        <v>3</v>
      </c>
      <c r="DL133" s="2" t="s">
        <v>3</v>
      </c>
      <c r="DM133" s="2" t="s">
        <v>3</v>
      </c>
      <c r="DN133" s="2">
        <v>0</v>
      </c>
      <c r="DO133" s="2">
        <v>0</v>
      </c>
      <c r="DP133" s="2">
        <v>1</v>
      </c>
      <c r="DQ133" s="2">
        <v>1</v>
      </c>
      <c r="DR133" s="2"/>
      <c r="DS133" s="2"/>
      <c r="DT133" s="2"/>
      <c r="DU133" s="2">
        <v>1003</v>
      </c>
      <c r="DV133" s="2" t="s">
        <v>181</v>
      </c>
      <c r="DW133" s="2" t="s">
        <v>181</v>
      </c>
      <c r="DX133" s="2">
        <v>1000</v>
      </c>
      <c r="DY133" s="2"/>
      <c r="DZ133" s="2" t="s">
        <v>3</v>
      </c>
      <c r="EA133" s="2" t="s">
        <v>3</v>
      </c>
      <c r="EB133" s="2" t="s">
        <v>3</v>
      </c>
      <c r="EC133" s="2" t="s">
        <v>3</v>
      </c>
      <c r="ED133" s="2"/>
      <c r="EE133" s="2">
        <v>58162629</v>
      </c>
      <c r="EF133" s="2">
        <v>40</v>
      </c>
      <c r="EG133" s="2" t="s">
        <v>25</v>
      </c>
      <c r="EH133" s="2">
        <v>0</v>
      </c>
      <c r="EI133" s="2" t="s">
        <v>3</v>
      </c>
      <c r="EJ133" s="2">
        <v>2</v>
      </c>
      <c r="EK133" s="2">
        <v>67</v>
      </c>
      <c r="EL133" s="2" t="s">
        <v>198</v>
      </c>
      <c r="EM133" s="2" t="s">
        <v>199</v>
      </c>
      <c r="EN133" s="2"/>
      <c r="EO133" s="2" t="s">
        <v>3</v>
      </c>
      <c r="EP133" s="2"/>
      <c r="EQ133" s="2">
        <v>1024</v>
      </c>
      <c r="ER133" s="2">
        <v>0</v>
      </c>
      <c r="ES133" s="2">
        <v>3894.69</v>
      </c>
      <c r="ET133" s="2">
        <v>0</v>
      </c>
      <c r="EU133" s="2">
        <v>0</v>
      </c>
      <c r="EV133" s="2">
        <v>0</v>
      </c>
      <c r="EW133" s="2">
        <v>0</v>
      </c>
      <c r="EX133" s="2">
        <v>0</v>
      </c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>
        <v>0</v>
      </c>
      <c r="FR133" s="2">
        <v>0</v>
      </c>
      <c r="FS133" s="2">
        <v>0</v>
      </c>
      <c r="FT133" s="2"/>
      <c r="FU133" s="2"/>
      <c r="FV133" s="2"/>
      <c r="FW133" s="2"/>
      <c r="FX133" s="2">
        <v>97</v>
      </c>
      <c r="FY133" s="2">
        <v>51</v>
      </c>
      <c r="FZ133" s="2"/>
      <c r="GA133" s="2" t="s">
        <v>194</v>
      </c>
      <c r="GB133" s="2"/>
      <c r="GC133" s="2"/>
      <c r="GD133" s="2">
        <v>1</v>
      </c>
      <c r="GE133" s="2"/>
      <c r="GF133" s="2">
        <v>-127249305</v>
      </c>
      <c r="GG133" s="2">
        <v>2</v>
      </c>
      <c r="GH133" s="2">
        <v>4</v>
      </c>
      <c r="GI133" s="2">
        <v>-2</v>
      </c>
      <c r="GJ133" s="2">
        <v>0</v>
      </c>
      <c r="GK133" s="2">
        <v>0</v>
      </c>
      <c r="GL133" s="2">
        <f t="shared" si="90"/>
        <v>0</v>
      </c>
      <c r="GM133" s="2">
        <f t="shared" si="91"/>
        <v>59.59</v>
      </c>
      <c r="GN133" s="2">
        <f t="shared" si="92"/>
        <v>0</v>
      </c>
      <c r="GO133" s="2">
        <f t="shared" si="93"/>
        <v>59.59</v>
      </c>
      <c r="GP133" s="2">
        <f t="shared" si="94"/>
        <v>0</v>
      </c>
      <c r="GQ133" s="2"/>
      <c r="GR133" s="2">
        <v>0</v>
      </c>
      <c r="GS133" s="2">
        <v>2</v>
      </c>
      <c r="GT133" s="2">
        <v>0</v>
      </c>
      <c r="GU133" s="2" t="s">
        <v>3</v>
      </c>
      <c r="GV133" s="2">
        <f t="shared" si="95"/>
        <v>0</v>
      </c>
      <c r="GW133" s="2">
        <v>1</v>
      </c>
      <c r="GX133" s="2">
        <f t="shared" si="96"/>
        <v>0</v>
      </c>
      <c r="GY133" s="2"/>
      <c r="GZ133" s="2"/>
      <c r="HA133" s="2">
        <v>0</v>
      </c>
      <c r="HB133" s="2">
        <v>0</v>
      </c>
      <c r="HC133" s="2">
        <f t="shared" si="97"/>
        <v>0</v>
      </c>
      <c r="HD133" s="2"/>
      <c r="HE133" s="2" t="s">
        <v>57</v>
      </c>
      <c r="HF133" s="2" t="s">
        <v>39</v>
      </c>
      <c r="HG133" s="2"/>
      <c r="HH133" s="2"/>
      <c r="HI133" s="2"/>
      <c r="HJ133" s="2"/>
      <c r="HK133" s="2"/>
      <c r="HL133" s="2"/>
      <c r="HM133" s="2" t="s">
        <v>3</v>
      </c>
      <c r="HN133" s="2" t="s">
        <v>3</v>
      </c>
      <c r="HO133" s="2" t="s">
        <v>3</v>
      </c>
      <c r="HP133" s="2" t="s">
        <v>3</v>
      </c>
      <c r="HQ133" s="2" t="s">
        <v>3</v>
      </c>
      <c r="HR133" s="2"/>
      <c r="HS133" s="2">
        <v>0</v>
      </c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>
        <v>0</v>
      </c>
      <c r="IL133" s="2"/>
      <c r="IM133" s="2"/>
      <c r="IN133" s="2"/>
      <c r="IO133" s="2"/>
      <c r="IP133" s="2"/>
      <c r="IQ133" s="2"/>
      <c r="IR133" s="2"/>
      <c r="IS133" s="2"/>
      <c r="IT133" s="2"/>
      <c r="IU133" s="2"/>
    </row>
    <row r="134" spans="1:255" x14ac:dyDescent="0.3">
      <c r="A134">
        <v>18</v>
      </c>
      <c r="B134">
        <v>1</v>
      </c>
      <c r="E134" t="s">
        <v>3</v>
      </c>
      <c r="F134" t="s">
        <v>192</v>
      </c>
      <c r="G134" t="s">
        <v>193</v>
      </c>
      <c r="H134" t="s">
        <v>181</v>
      </c>
      <c r="I134">
        <f>I128*J134</f>
        <v>1.5300000000000001E-2</v>
      </c>
      <c r="J134">
        <v>2.372093023255814E-3</v>
      </c>
      <c r="K134">
        <v>2.3720999999999998E-3</v>
      </c>
      <c r="O134">
        <f t="shared" si="66"/>
        <v>588.75</v>
      </c>
      <c r="P134">
        <f t="shared" si="67"/>
        <v>588.75</v>
      </c>
      <c r="Q134">
        <f t="shared" si="109"/>
        <v>0</v>
      </c>
      <c r="R134">
        <f t="shared" si="68"/>
        <v>0</v>
      </c>
      <c r="S134">
        <f t="shared" si="69"/>
        <v>0</v>
      </c>
      <c r="T134">
        <f t="shared" si="70"/>
        <v>0</v>
      </c>
      <c r="U134">
        <f t="shared" si="71"/>
        <v>0</v>
      </c>
      <c r="V134">
        <f t="shared" si="72"/>
        <v>0</v>
      </c>
      <c r="W134">
        <f t="shared" si="73"/>
        <v>0</v>
      </c>
      <c r="X134">
        <f t="shared" si="74"/>
        <v>0</v>
      </c>
      <c r="Y134">
        <f t="shared" si="75"/>
        <v>0</v>
      </c>
      <c r="AA134">
        <v>-1</v>
      </c>
      <c r="AB134">
        <f t="shared" si="76"/>
        <v>3894.69</v>
      </c>
      <c r="AC134">
        <f t="shared" si="77"/>
        <v>3894.69</v>
      </c>
      <c r="AD134">
        <f t="shared" si="110"/>
        <v>0</v>
      </c>
      <c r="AE134">
        <f t="shared" si="111"/>
        <v>0</v>
      </c>
      <c r="AF134">
        <f t="shared" si="111"/>
        <v>0</v>
      </c>
      <c r="AG134">
        <f t="shared" si="78"/>
        <v>0</v>
      </c>
      <c r="AH134">
        <f t="shared" si="112"/>
        <v>0</v>
      </c>
      <c r="AI134">
        <f t="shared" si="112"/>
        <v>0</v>
      </c>
      <c r="AJ134">
        <f t="shared" si="79"/>
        <v>0</v>
      </c>
      <c r="AK134">
        <v>3894.69</v>
      </c>
      <c r="AL134">
        <v>3894.69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97</v>
      </c>
      <c r="AU134">
        <v>51</v>
      </c>
      <c r="AV134">
        <v>1</v>
      </c>
      <c r="AW134">
        <v>1</v>
      </c>
      <c r="AZ134">
        <v>1</v>
      </c>
      <c r="BA134">
        <v>1</v>
      </c>
      <c r="BB134">
        <v>1</v>
      </c>
      <c r="BC134">
        <v>9.8800000000000008</v>
      </c>
      <c r="BD134" t="s">
        <v>3</v>
      </c>
      <c r="BE134" t="s">
        <v>3</v>
      </c>
      <c r="BF134" t="s">
        <v>3</v>
      </c>
      <c r="BG134" t="s">
        <v>3</v>
      </c>
      <c r="BH134">
        <v>3</v>
      </c>
      <c r="BI134">
        <v>2</v>
      </c>
      <c r="BJ134" t="s">
        <v>3</v>
      </c>
      <c r="BM134">
        <v>67</v>
      </c>
      <c r="BN134">
        <v>0</v>
      </c>
      <c r="BO134" t="s">
        <v>3</v>
      </c>
      <c r="BP134">
        <v>0</v>
      </c>
      <c r="BQ134">
        <v>40</v>
      </c>
      <c r="BR134">
        <v>0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 t="s">
        <v>3</v>
      </c>
      <c r="BZ134">
        <v>97</v>
      </c>
      <c r="CA134">
        <v>51</v>
      </c>
      <c r="CB134" t="s">
        <v>3</v>
      </c>
      <c r="CE134">
        <v>30</v>
      </c>
      <c r="CF134">
        <v>0</v>
      </c>
      <c r="CG134">
        <v>0</v>
      </c>
      <c r="CM134">
        <v>0</v>
      </c>
      <c r="CN134" t="s">
        <v>3</v>
      </c>
      <c r="CO134">
        <v>0</v>
      </c>
      <c r="CP134">
        <f t="shared" si="80"/>
        <v>588.75</v>
      </c>
      <c r="CQ134">
        <f t="shared" si="81"/>
        <v>38479.54</v>
      </c>
      <c r="CR134">
        <f t="shared" si="113"/>
        <v>0</v>
      </c>
      <c r="CS134">
        <f t="shared" si="82"/>
        <v>0</v>
      </c>
      <c r="CT134">
        <f t="shared" si="83"/>
        <v>0</v>
      </c>
      <c r="CU134">
        <f t="shared" si="84"/>
        <v>0</v>
      </c>
      <c r="CV134">
        <f t="shared" si="85"/>
        <v>0</v>
      </c>
      <c r="CW134">
        <f t="shared" si="86"/>
        <v>0</v>
      </c>
      <c r="CX134">
        <f t="shared" si="87"/>
        <v>0</v>
      </c>
      <c r="CY134">
        <f t="shared" si="88"/>
        <v>0</v>
      </c>
      <c r="CZ134">
        <f t="shared" si="89"/>
        <v>0</v>
      </c>
      <c r="DC134" t="s">
        <v>3</v>
      </c>
      <c r="DD134" t="s">
        <v>3</v>
      </c>
      <c r="DE134" t="s">
        <v>3</v>
      </c>
      <c r="DF134" t="s">
        <v>3</v>
      </c>
      <c r="DG134" t="s">
        <v>3</v>
      </c>
      <c r="DH134" t="s">
        <v>3</v>
      </c>
      <c r="DI134" t="s">
        <v>3</v>
      </c>
      <c r="DJ134" t="s">
        <v>3</v>
      </c>
      <c r="DK134" t="s">
        <v>3</v>
      </c>
      <c r="DL134" t="s">
        <v>3</v>
      </c>
      <c r="DM134" t="s">
        <v>3</v>
      </c>
      <c r="DN134">
        <v>0</v>
      </c>
      <c r="DO134">
        <v>0</v>
      </c>
      <c r="DP134">
        <v>1</v>
      </c>
      <c r="DQ134">
        <v>1</v>
      </c>
      <c r="DU134">
        <v>1003</v>
      </c>
      <c r="DV134" t="s">
        <v>181</v>
      </c>
      <c r="DW134" t="s">
        <v>181</v>
      </c>
      <c r="DX134">
        <v>1000</v>
      </c>
      <c r="DZ134" t="s">
        <v>3</v>
      </c>
      <c r="EA134" t="s">
        <v>3</v>
      </c>
      <c r="EB134" t="s">
        <v>3</v>
      </c>
      <c r="EC134" t="s">
        <v>3</v>
      </c>
      <c r="EE134">
        <v>58162629</v>
      </c>
      <c r="EF134">
        <v>40</v>
      </c>
      <c r="EG134" t="s">
        <v>25</v>
      </c>
      <c r="EH134">
        <v>0</v>
      </c>
      <c r="EI134" t="s">
        <v>3</v>
      </c>
      <c r="EJ134">
        <v>2</v>
      </c>
      <c r="EK134">
        <v>67</v>
      </c>
      <c r="EL134" t="s">
        <v>198</v>
      </c>
      <c r="EM134" t="s">
        <v>199</v>
      </c>
      <c r="EO134" t="s">
        <v>3</v>
      </c>
      <c r="EQ134">
        <v>1024</v>
      </c>
      <c r="ER134">
        <v>38479.5</v>
      </c>
      <c r="ES134">
        <v>3894.69</v>
      </c>
      <c r="ET134">
        <v>0</v>
      </c>
      <c r="EU134">
        <v>0</v>
      </c>
      <c r="EV134">
        <v>0</v>
      </c>
      <c r="EW134">
        <v>0</v>
      </c>
      <c r="EX134">
        <v>0</v>
      </c>
      <c r="EZ134">
        <v>5</v>
      </c>
      <c r="FC134">
        <v>1</v>
      </c>
      <c r="FD134">
        <v>18</v>
      </c>
      <c r="FF134">
        <v>45270</v>
      </c>
      <c r="FQ134">
        <v>0</v>
      </c>
      <c r="FR134">
        <v>0</v>
      </c>
      <c r="FS134">
        <v>0</v>
      </c>
      <c r="FX134">
        <v>97</v>
      </c>
      <c r="FY134">
        <v>51</v>
      </c>
      <c r="GA134" t="s">
        <v>194</v>
      </c>
      <c r="GD134">
        <v>1</v>
      </c>
      <c r="GF134">
        <v>-127249305</v>
      </c>
      <c r="GG134">
        <v>2</v>
      </c>
      <c r="GH134">
        <v>3</v>
      </c>
      <c r="GI134">
        <v>5</v>
      </c>
      <c r="GJ134">
        <v>0</v>
      </c>
      <c r="GK134">
        <v>0</v>
      </c>
      <c r="GL134">
        <f t="shared" si="90"/>
        <v>0</v>
      </c>
      <c r="GM134">
        <f t="shared" si="91"/>
        <v>588.75</v>
      </c>
      <c r="GN134">
        <f t="shared" si="92"/>
        <v>0</v>
      </c>
      <c r="GO134">
        <f t="shared" si="93"/>
        <v>588.75</v>
      </c>
      <c r="GP134">
        <f t="shared" si="94"/>
        <v>0</v>
      </c>
      <c r="GR134">
        <v>1</v>
      </c>
      <c r="GS134">
        <v>1</v>
      </c>
      <c r="GT134">
        <v>0</v>
      </c>
      <c r="GU134" t="s">
        <v>3</v>
      </c>
      <c r="GV134">
        <f t="shared" si="95"/>
        <v>0</v>
      </c>
      <c r="GW134">
        <v>1</v>
      </c>
      <c r="GX134">
        <f t="shared" si="96"/>
        <v>0</v>
      </c>
      <c r="HA134">
        <v>0</v>
      </c>
      <c r="HB134">
        <v>0</v>
      </c>
      <c r="HC134">
        <f t="shared" si="97"/>
        <v>0</v>
      </c>
      <c r="HE134" t="s">
        <v>57</v>
      </c>
      <c r="HF134" t="s">
        <v>39</v>
      </c>
      <c r="HM134" t="s">
        <v>3</v>
      </c>
      <c r="HN134" t="s">
        <v>3</v>
      </c>
      <c r="HO134" t="s">
        <v>3</v>
      </c>
      <c r="HP134" t="s">
        <v>3</v>
      </c>
      <c r="HQ134" t="s">
        <v>3</v>
      </c>
      <c r="HS134">
        <v>0</v>
      </c>
      <c r="IK134">
        <v>0</v>
      </c>
    </row>
    <row r="135" spans="1:255" x14ac:dyDescent="0.3">
      <c r="A135" s="2">
        <v>17</v>
      </c>
      <c r="B135" s="2">
        <v>1</v>
      </c>
      <c r="C135" s="2"/>
      <c r="D135" s="2">
        <f>ROW(EtalonRes!A218)</f>
        <v>218</v>
      </c>
      <c r="E135" s="2" t="s">
        <v>3</v>
      </c>
      <c r="F135" s="2" t="s">
        <v>206</v>
      </c>
      <c r="G135" s="2" t="s">
        <v>207</v>
      </c>
      <c r="H135" s="2" t="s">
        <v>158</v>
      </c>
      <c r="I135" s="2">
        <f>ROUND(300/100,9)</f>
        <v>3</v>
      </c>
      <c r="J135" s="2">
        <v>0</v>
      </c>
      <c r="K135" s="2">
        <f>ROUND(300/100,9)</f>
        <v>3</v>
      </c>
      <c r="L135" s="2"/>
      <c r="M135" s="2"/>
      <c r="N135" s="2"/>
      <c r="O135" s="2">
        <f t="shared" si="66"/>
        <v>3422.04</v>
      </c>
      <c r="P135" s="2">
        <f t="shared" si="67"/>
        <v>1989.93</v>
      </c>
      <c r="Q135" s="2">
        <f>(ROUND((ROUND((((ET135*1.1))*AV135*I135),2)*BB135),2)+ROUND((ROUND(((AE135-((EU135*1.1)))*AV135*I135),2)*BS135),2))</f>
        <v>159.35</v>
      </c>
      <c r="R135" s="2">
        <f t="shared" si="68"/>
        <v>13.09</v>
      </c>
      <c r="S135" s="2">
        <f t="shared" si="69"/>
        <v>1272.76</v>
      </c>
      <c r="T135" s="2">
        <f t="shared" si="70"/>
        <v>0</v>
      </c>
      <c r="U135" s="2">
        <f t="shared" si="71"/>
        <v>103.30748999999999</v>
      </c>
      <c r="V135" s="2">
        <f t="shared" si="72"/>
        <v>0</v>
      </c>
      <c r="W135" s="2">
        <f t="shared" si="73"/>
        <v>0</v>
      </c>
      <c r="X135" s="2">
        <f t="shared" si="74"/>
        <v>1247.27</v>
      </c>
      <c r="Y135" s="2">
        <f t="shared" si="75"/>
        <v>655.78</v>
      </c>
      <c r="Z135" s="2"/>
      <c r="AA135" s="2">
        <v>-1</v>
      </c>
      <c r="AB135" s="2">
        <f t="shared" si="76"/>
        <v>1119.249</v>
      </c>
      <c r="AC135" s="2">
        <f t="shared" si="77"/>
        <v>663.31</v>
      </c>
      <c r="AD135" s="2">
        <f>ROUND(((((ET135*1.1))-((EU135*1.1)))+AE135),6)</f>
        <v>50.731999999999999</v>
      </c>
      <c r="AE135" s="2">
        <f>ROUND(((EU135*1.1)),6)</f>
        <v>4.1689999999999996</v>
      </c>
      <c r="AF135" s="2">
        <f>ROUND(((EV135*1.1)),6)</f>
        <v>405.20699999999999</v>
      </c>
      <c r="AG135" s="2">
        <f t="shared" si="78"/>
        <v>0</v>
      </c>
      <c r="AH135" s="2">
        <f>((EW135*1.1))</f>
        <v>32.89</v>
      </c>
      <c r="AI135" s="2">
        <f>((EX135*1.1))</f>
        <v>0</v>
      </c>
      <c r="AJ135" s="2">
        <f t="shared" si="79"/>
        <v>0</v>
      </c>
      <c r="AK135" s="2">
        <v>1077.8</v>
      </c>
      <c r="AL135" s="2">
        <v>663.31</v>
      </c>
      <c r="AM135" s="2">
        <v>46.12</v>
      </c>
      <c r="AN135" s="2">
        <v>3.79</v>
      </c>
      <c r="AO135" s="2">
        <v>368.37</v>
      </c>
      <c r="AP135" s="2">
        <v>0</v>
      </c>
      <c r="AQ135" s="2">
        <v>29.9</v>
      </c>
      <c r="AR135" s="2">
        <v>0</v>
      </c>
      <c r="AS135" s="2">
        <v>0</v>
      </c>
      <c r="AT135" s="2">
        <v>97</v>
      </c>
      <c r="AU135" s="2">
        <v>51</v>
      </c>
      <c r="AV135" s="2">
        <v>1.0469999999999999</v>
      </c>
      <c r="AW135" s="2">
        <v>1</v>
      </c>
      <c r="AX135" s="2"/>
      <c r="AY135" s="2"/>
      <c r="AZ135" s="2">
        <v>1</v>
      </c>
      <c r="BA135" s="2">
        <v>1</v>
      </c>
      <c r="BB135" s="2">
        <v>1</v>
      </c>
      <c r="BC135" s="2">
        <v>1</v>
      </c>
      <c r="BD135" s="2" t="s">
        <v>3</v>
      </c>
      <c r="BE135" s="2" t="s">
        <v>3</v>
      </c>
      <c r="BF135" s="2" t="s">
        <v>3</v>
      </c>
      <c r="BG135" s="2" t="s">
        <v>3</v>
      </c>
      <c r="BH135" s="2">
        <v>0</v>
      </c>
      <c r="BI135" s="2">
        <v>2</v>
      </c>
      <c r="BJ135" s="2" t="s">
        <v>208</v>
      </c>
      <c r="BK135" s="2"/>
      <c r="BL135" s="2"/>
      <c r="BM135" s="2">
        <v>67</v>
      </c>
      <c r="BN135" s="2">
        <v>0</v>
      </c>
      <c r="BO135" s="2" t="s">
        <v>206</v>
      </c>
      <c r="BP135" s="2">
        <v>1</v>
      </c>
      <c r="BQ135" s="2">
        <v>40</v>
      </c>
      <c r="BR135" s="2">
        <v>0</v>
      </c>
      <c r="BS135" s="2">
        <v>1</v>
      </c>
      <c r="BT135" s="2">
        <v>1</v>
      </c>
      <c r="BU135" s="2">
        <v>1</v>
      </c>
      <c r="BV135" s="2">
        <v>1</v>
      </c>
      <c r="BW135" s="2">
        <v>1</v>
      </c>
      <c r="BX135" s="2">
        <v>1</v>
      </c>
      <c r="BY135" s="2" t="s">
        <v>3</v>
      </c>
      <c r="BZ135" s="2">
        <v>97</v>
      </c>
      <c r="CA135" s="2">
        <v>51</v>
      </c>
      <c r="CB135" s="2" t="s">
        <v>3</v>
      </c>
      <c r="CC135" s="2"/>
      <c r="CD135" s="2"/>
      <c r="CE135" s="2">
        <v>30</v>
      </c>
      <c r="CF135" s="2">
        <v>0</v>
      </c>
      <c r="CG135" s="2">
        <v>0</v>
      </c>
      <c r="CH135" s="2"/>
      <c r="CI135" s="2"/>
      <c r="CJ135" s="2"/>
      <c r="CK135" s="2"/>
      <c r="CL135" s="2"/>
      <c r="CM135" s="2">
        <v>0</v>
      </c>
      <c r="CN135" s="2" t="s">
        <v>3</v>
      </c>
      <c r="CO135" s="2">
        <v>0</v>
      </c>
      <c r="CP135" s="2">
        <f t="shared" si="80"/>
        <v>3422.04</v>
      </c>
      <c r="CQ135" s="2">
        <f t="shared" si="81"/>
        <v>663.31</v>
      </c>
      <c r="CR135" s="2">
        <f>(ROUND((ROUND((((ET135*1.1))*AV135*1),2)*BB135),2)+ROUND((ROUND(((AE135-((EU135*1.1)))*AV135*1),2)*BS135),2))</f>
        <v>53.12</v>
      </c>
      <c r="CS135" s="2">
        <f t="shared" si="82"/>
        <v>4.3600000000000003</v>
      </c>
      <c r="CT135" s="2">
        <f t="shared" si="83"/>
        <v>424.25</v>
      </c>
      <c r="CU135" s="2">
        <f t="shared" si="84"/>
        <v>0</v>
      </c>
      <c r="CV135" s="2">
        <f t="shared" si="85"/>
        <v>34.435829999999996</v>
      </c>
      <c r="CW135" s="2">
        <f t="shared" si="86"/>
        <v>0</v>
      </c>
      <c r="CX135" s="2">
        <f t="shared" si="87"/>
        <v>0</v>
      </c>
      <c r="CY135" s="2">
        <f t="shared" si="88"/>
        <v>1247.2745</v>
      </c>
      <c r="CZ135" s="2">
        <f t="shared" si="89"/>
        <v>655.78349999999989</v>
      </c>
      <c r="DA135" s="2"/>
      <c r="DB135" s="2"/>
      <c r="DC135" s="2" t="s">
        <v>3</v>
      </c>
      <c r="DD135" s="2" t="s">
        <v>3</v>
      </c>
      <c r="DE135" s="2" t="s">
        <v>24</v>
      </c>
      <c r="DF135" s="2" t="s">
        <v>24</v>
      </c>
      <c r="DG135" s="2" t="s">
        <v>24</v>
      </c>
      <c r="DH135" s="2" t="s">
        <v>3</v>
      </c>
      <c r="DI135" s="2" t="s">
        <v>24</v>
      </c>
      <c r="DJ135" s="2" t="s">
        <v>24</v>
      </c>
      <c r="DK135" s="2" t="s">
        <v>3</v>
      </c>
      <c r="DL135" s="2" t="s">
        <v>3</v>
      </c>
      <c r="DM135" s="2" t="s">
        <v>3</v>
      </c>
      <c r="DN135" s="2">
        <v>0</v>
      </c>
      <c r="DO135" s="2">
        <v>0</v>
      </c>
      <c r="DP135" s="2">
        <v>1</v>
      </c>
      <c r="DQ135" s="2">
        <v>1</v>
      </c>
      <c r="DR135" s="2"/>
      <c r="DS135" s="2"/>
      <c r="DT135" s="2"/>
      <c r="DU135" s="2">
        <v>1003</v>
      </c>
      <c r="DV135" s="2" t="s">
        <v>158</v>
      </c>
      <c r="DW135" s="2" t="s">
        <v>158</v>
      </c>
      <c r="DX135" s="2">
        <v>100</v>
      </c>
      <c r="DY135" s="2"/>
      <c r="DZ135" s="2" t="s">
        <v>3</v>
      </c>
      <c r="EA135" s="2" t="s">
        <v>3</v>
      </c>
      <c r="EB135" s="2" t="s">
        <v>3</v>
      </c>
      <c r="EC135" s="2" t="s">
        <v>3</v>
      </c>
      <c r="ED135" s="2"/>
      <c r="EE135" s="2">
        <v>58162629</v>
      </c>
      <c r="EF135" s="2">
        <v>40</v>
      </c>
      <c r="EG135" s="2" t="s">
        <v>25</v>
      </c>
      <c r="EH135" s="2">
        <v>0</v>
      </c>
      <c r="EI135" s="2" t="s">
        <v>3</v>
      </c>
      <c r="EJ135" s="2">
        <v>2</v>
      </c>
      <c r="EK135" s="2">
        <v>67</v>
      </c>
      <c r="EL135" s="2" t="s">
        <v>198</v>
      </c>
      <c r="EM135" s="2" t="s">
        <v>199</v>
      </c>
      <c r="EN135" s="2"/>
      <c r="EO135" s="2" t="s">
        <v>28</v>
      </c>
      <c r="EP135" s="2"/>
      <c r="EQ135" s="2">
        <v>1024</v>
      </c>
      <c r="ER135" s="2">
        <v>1077.8</v>
      </c>
      <c r="ES135" s="2">
        <v>663.31</v>
      </c>
      <c r="ET135" s="2">
        <v>46.12</v>
      </c>
      <c r="EU135" s="2">
        <v>3.79</v>
      </c>
      <c r="EV135" s="2">
        <v>368.37</v>
      </c>
      <c r="EW135" s="2">
        <v>29.9</v>
      </c>
      <c r="EX135" s="2">
        <v>0</v>
      </c>
      <c r="EY135" s="2">
        <v>0</v>
      </c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>
        <v>0</v>
      </c>
      <c r="FR135" s="2">
        <v>0</v>
      </c>
      <c r="FS135" s="2">
        <v>0</v>
      </c>
      <c r="FT135" s="2"/>
      <c r="FU135" s="2"/>
      <c r="FV135" s="2"/>
      <c r="FW135" s="2"/>
      <c r="FX135" s="2">
        <v>97</v>
      </c>
      <c r="FY135" s="2">
        <v>51</v>
      </c>
      <c r="FZ135" s="2"/>
      <c r="GA135" s="2" t="s">
        <v>3</v>
      </c>
      <c r="GB135" s="2"/>
      <c r="GC135" s="2"/>
      <c r="GD135" s="2">
        <v>1</v>
      </c>
      <c r="GE135" s="2"/>
      <c r="GF135" s="2">
        <v>408650857</v>
      </c>
      <c r="GG135" s="2">
        <v>2</v>
      </c>
      <c r="GH135" s="2">
        <v>1</v>
      </c>
      <c r="GI135" s="2">
        <v>2</v>
      </c>
      <c r="GJ135" s="2">
        <v>0</v>
      </c>
      <c r="GK135" s="2">
        <v>0</v>
      </c>
      <c r="GL135" s="2">
        <f t="shared" si="90"/>
        <v>0</v>
      </c>
      <c r="GM135" s="2">
        <f t="shared" si="91"/>
        <v>5325.09</v>
      </c>
      <c r="GN135" s="2">
        <f t="shared" si="92"/>
        <v>0</v>
      </c>
      <c r="GO135" s="2">
        <f t="shared" si="93"/>
        <v>5325.09</v>
      </c>
      <c r="GP135" s="2">
        <f t="shared" si="94"/>
        <v>0</v>
      </c>
      <c r="GQ135" s="2"/>
      <c r="GR135" s="2">
        <v>0</v>
      </c>
      <c r="GS135" s="2">
        <v>3</v>
      </c>
      <c r="GT135" s="2">
        <v>0</v>
      </c>
      <c r="GU135" s="2" t="s">
        <v>3</v>
      </c>
      <c r="GV135" s="2">
        <f t="shared" si="95"/>
        <v>0</v>
      </c>
      <c r="GW135" s="2">
        <v>1</v>
      </c>
      <c r="GX135" s="2">
        <f t="shared" si="96"/>
        <v>0</v>
      </c>
      <c r="GY135" s="2"/>
      <c r="GZ135" s="2"/>
      <c r="HA135" s="2">
        <v>0</v>
      </c>
      <c r="HB135" s="2">
        <v>0</v>
      </c>
      <c r="HC135" s="2">
        <f t="shared" si="97"/>
        <v>0</v>
      </c>
      <c r="HD135" s="2"/>
      <c r="HE135" s="2" t="s">
        <v>3</v>
      </c>
      <c r="HF135" s="2" t="s">
        <v>3</v>
      </c>
      <c r="HG135" s="2"/>
      <c r="HH135" s="2"/>
      <c r="HI135" s="2"/>
      <c r="HJ135" s="2"/>
      <c r="HK135" s="2"/>
      <c r="HL135" s="2"/>
      <c r="HM135" s="2" t="s">
        <v>3</v>
      </c>
      <c r="HN135" s="2" t="s">
        <v>3</v>
      </c>
      <c r="HO135" s="2" t="s">
        <v>3</v>
      </c>
      <c r="HP135" s="2" t="s">
        <v>3</v>
      </c>
      <c r="HQ135" s="2" t="s">
        <v>3</v>
      </c>
      <c r="HR135" s="2"/>
      <c r="HS135" s="2">
        <v>0</v>
      </c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>
        <v>0</v>
      </c>
      <c r="IL135" s="2"/>
      <c r="IM135" s="2"/>
      <c r="IN135" s="2"/>
      <c r="IO135" s="2"/>
      <c r="IP135" s="2"/>
      <c r="IQ135" s="2"/>
      <c r="IR135" s="2"/>
      <c r="IS135" s="2"/>
      <c r="IT135" s="2"/>
      <c r="IU135" s="2"/>
    </row>
    <row r="136" spans="1:255" x14ac:dyDescent="0.3">
      <c r="A136">
        <v>17</v>
      </c>
      <c r="B136">
        <v>1</v>
      </c>
      <c r="D136">
        <f>ROW(EtalonRes!A232)</f>
        <v>232</v>
      </c>
      <c r="E136" t="s">
        <v>3</v>
      </c>
      <c r="F136" t="s">
        <v>206</v>
      </c>
      <c r="G136" t="s">
        <v>207</v>
      </c>
      <c r="H136" t="s">
        <v>158</v>
      </c>
      <c r="I136">
        <f>ROUND(300/100,9)</f>
        <v>3</v>
      </c>
      <c r="J136">
        <v>0</v>
      </c>
      <c r="K136">
        <f>ROUND(300/100,9)</f>
        <v>3</v>
      </c>
      <c r="O136">
        <f t="shared" si="66"/>
        <v>78379.97</v>
      </c>
      <c r="P136">
        <f t="shared" si="67"/>
        <v>6188.68</v>
      </c>
      <c r="Q136">
        <f>(ROUND((ROUND((((ET136*1.1))*AV136*I136),2)*BB136),2)+ROUND((ROUND(((AE136-((EU136*1.1)))*AV136*I136),2)*BS136),2))</f>
        <v>2202.2199999999998</v>
      </c>
      <c r="R136">
        <f t="shared" si="68"/>
        <v>719.82</v>
      </c>
      <c r="S136">
        <f t="shared" si="69"/>
        <v>69989.070000000007</v>
      </c>
      <c r="T136">
        <f t="shared" si="70"/>
        <v>0</v>
      </c>
      <c r="U136">
        <f t="shared" si="71"/>
        <v>103.30748999999999</v>
      </c>
      <c r="V136">
        <f t="shared" si="72"/>
        <v>0</v>
      </c>
      <c r="W136">
        <f t="shared" si="73"/>
        <v>0</v>
      </c>
      <c r="X136">
        <f t="shared" si="74"/>
        <v>68587.62</v>
      </c>
      <c r="Y136">
        <f t="shared" si="75"/>
        <v>36061.53</v>
      </c>
      <c r="AA136">
        <v>-1</v>
      </c>
      <c r="AB136">
        <f t="shared" si="76"/>
        <v>1119.249</v>
      </c>
      <c r="AC136">
        <f t="shared" si="77"/>
        <v>663.31</v>
      </c>
      <c r="AD136">
        <f>ROUND(((((ET136*1.1))-((EU136*1.1)))+AE136),6)</f>
        <v>50.731999999999999</v>
      </c>
      <c r="AE136">
        <f>ROUND(((EU136*1.1)),6)</f>
        <v>4.1689999999999996</v>
      </c>
      <c r="AF136">
        <f>ROUND(((EV136*1.1)),6)</f>
        <v>405.20699999999999</v>
      </c>
      <c r="AG136">
        <f t="shared" si="78"/>
        <v>0</v>
      </c>
      <c r="AH136">
        <f>((EW136*1.1))</f>
        <v>32.89</v>
      </c>
      <c r="AI136">
        <f>((EX136*1.1))</f>
        <v>0</v>
      </c>
      <c r="AJ136">
        <f t="shared" si="79"/>
        <v>0</v>
      </c>
      <c r="AK136">
        <v>1077.8</v>
      </c>
      <c r="AL136">
        <v>663.31</v>
      </c>
      <c r="AM136">
        <v>46.12</v>
      </c>
      <c r="AN136">
        <v>3.79</v>
      </c>
      <c r="AO136">
        <v>368.37</v>
      </c>
      <c r="AP136">
        <v>0</v>
      </c>
      <c r="AQ136">
        <v>29.9</v>
      </c>
      <c r="AR136">
        <v>0</v>
      </c>
      <c r="AS136">
        <v>0</v>
      </c>
      <c r="AT136">
        <v>97</v>
      </c>
      <c r="AU136">
        <v>51</v>
      </c>
      <c r="AV136">
        <v>1.0469999999999999</v>
      </c>
      <c r="AW136">
        <v>1</v>
      </c>
      <c r="AZ136">
        <v>1</v>
      </c>
      <c r="BA136">
        <v>54.99</v>
      </c>
      <c r="BB136">
        <v>13.82</v>
      </c>
      <c r="BC136">
        <v>3.11</v>
      </c>
      <c r="BD136" t="s">
        <v>3</v>
      </c>
      <c r="BE136" t="s">
        <v>3</v>
      </c>
      <c r="BF136" t="s">
        <v>3</v>
      </c>
      <c r="BG136" t="s">
        <v>3</v>
      </c>
      <c r="BH136">
        <v>0</v>
      </c>
      <c r="BI136">
        <v>2</v>
      </c>
      <c r="BJ136" t="s">
        <v>208</v>
      </c>
      <c r="BM136">
        <v>67</v>
      </c>
      <c r="BN136">
        <v>0</v>
      </c>
      <c r="BO136" t="s">
        <v>206</v>
      </c>
      <c r="BP136">
        <v>1</v>
      </c>
      <c r="BQ136">
        <v>40</v>
      </c>
      <c r="BR136">
        <v>0</v>
      </c>
      <c r="BS136">
        <v>54.99</v>
      </c>
      <c r="BT136">
        <v>1</v>
      </c>
      <c r="BU136">
        <v>1</v>
      </c>
      <c r="BV136">
        <v>1</v>
      </c>
      <c r="BW136">
        <v>1</v>
      </c>
      <c r="BX136">
        <v>1</v>
      </c>
      <c r="BY136" t="s">
        <v>3</v>
      </c>
      <c r="BZ136">
        <v>97</v>
      </c>
      <c r="CA136">
        <v>51</v>
      </c>
      <c r="CB136" t="s">
        <v>3</v>
      </c>
      <c r="CE136">
        <v>30</v>
      </c>
      <c r="CF136">
        <v>0</v>
      </c>
      <c r="CG136">
        <v>0</v>
      </c>
      <c r="CM136">
        <v>0</v>
      </c>
      <c r="CN136" t="s">
        <v>3</v>
      </c>
      <c r="CO136">
        <v>0</v>
      </c>
      <c r="CP136">
        <f t="shared" si="80"/>
        <v>78379.97</v>
      </c>
      <c r="CQ136">
        <f t="shared" si="81"/>
        <v>2062.89</v>
      </c>
      <c r="CR136">
        <f>(ROUND((ROUND((((ET136*1.1))*AV136*1),2)*BB136),2)+ROUND((ROUND(((AE136-((EU136*1.1)))*AV136*1),2)*BS136),2))</f>
        <v>734.12</v>
      </c>
      <c r="CS136">
        <f t="shared" si="82"/>
        <v>239.76</v>
      </c>
      <c r="CT136">
        <f t="shared" si="83"/>
        <v>23329.51</v>
      </c>
      <c r="CU136">
        <f t="shared" si="84"/>
        <v>0</v>
      </c>
      <c r="CV136">
        <f t="shared" si="85"/>
        <v>34.435829999999996</v>
      </c>
      <c r="CW136">
        <f t="shared" si="86"/>
        <v>0</v>
      </c>
      <c r="CX136">
        <f t="shared" si="87"/>
        <v>0</v>
      </c>
      <c r="CY136">
        <f t="shared" si="88"/>
        <v>68587.623300000007</v>
      </c>
      <c r="CZ136">
        <f t="shared" si="89"/>
        <v>36061.533900000009</v>
      </c>
      <c r="DC136" t="s">
        <v>3</v>
      </c>
      <c r="DD136" t="s">
        <v>3</v>
      </c>
      <c r="DE136" t="s">
        <v>24</v>
      </c>
      <c r="DF136" t="s">
        <v>24</v>
      </c>
      <c r="DG136" t="s">
        <v>24</v>
      </c>
      <c r="DH136" t="s">
        <v>3</v>
      </c>
      <c r="DI136" t="s">
        <v>24</v>
      </c>
      <c r="DJ136" t="s">
        <v>24</v>
      </c>
      <c r="DK136" t="s">
        <v>3</v>
      </c>
      <c r="DL136" t="s">
        <v>3</v>
      </c>
      <c r="DM136" t="s">
        <v>3</v>
      </c>
      <c r="DN136">
        <v>0</v>
      </c>
      <c r="DO136">
        <v>0</v>
      </c>
      <c r="DP136">
        <v>1</v>
      </c>
      <c r="DQ136">
        <v>1</v>
      </c>
      <c r="DU136">
        <v>1003</v>
      </c>
      <c r="DV136" t="s">
        <v>158</v>
      </c>
      <c r="DW136" t="s">
        <v>158</v>
      </c>
      <c r="DX136">
        <v>100</v>
      </c>
      <c r="DZ136" t="s">
        <v>3</v>
      </c>
      <c r="EA136" t="s">
        <v>3</v>
      </c>
      <c r="EB136" t="s">
        <v>3</v>
      </c>
      <c r="EC136" t="s">
        <v>3</v>
      </c>
      <c r="EE136">
        <v>58162629</v>
      </c>
      <c r="EF136">
        <v>40</v>
      </c>
      <c r="EG136" t="s">
        <v>25</v>
      </c>
      <c r="EH136">
        <v>0</v>
      </c>
      <c r="EI136" t="s">
        <v>3</v>
      </c>
      <c r="EJ136">
        <v>2</v>
      </c>
      <c r="EK136">
        <v>67</v>
      </c>
      <c r="EL136" t="s">
        <v>198</v>
      </c>
      <c r="EM136" t="s">
        <v>199</v>
      </c>
      <c r="EO136" t="s">
        <v>28</v>
      </c>
      <c r="EQ136">
        <v>1024</v>
      </c>
      <c r="ER136">
        <v>1077.8</v>
      </c>
      <c r="ES136">
        <v>663.31</v>
      </c>
      <c r="ET136">
        <v>46.12</v>
      </c>
      <c r="EU136">
        <v>3.79</v>
      </c>
      <c r="EV136">
        <v>368.37</v>
      </c>
      <c r="EW136">
        <v>29.9</v>
      </c>
      <c r="EX136">
        <v>0</v>
      </c>
      <c r="EY136">
        <v>0</v>
      </c>
      <c r="FQ136">
        <v>0</v>
      </c>
      <c r="FR136">
        <v>0</v>
      </c>
      <c r="FS136">
        <v>0</v>
      </c>
      <c r="FX136">
        <v>97</v>
      </c>
      <c r="FY136">
        <v>51</v>
      </c>
      <c r="GA136" t="s">
        <v>3</v>
      </c>
      <c r="GD136">
        <v>1</v>
      </c>
      <c r="GF136">
        <v>408650857</v>
      </c>
      <c r="GG136">
        <v>2</v>
      </c>
      <c r="GH136">
        <v>1</v>
      </c>
      <c r="GI136">
        <v>2</v>
      </c>
      <c r="GJ136">
        <v>0</v>
      </c>
      <c r="GK136">
        <v>0</v>
      </c>
      <c r="GL136">
        <f t="shared" si="90"/>
        <v>0</v>
      </c>
      <c r="GM136">
        <f t="shared" si="91"/>
        <v>183029.12</v>
      </c>
      <c r="GN136">
        <f t="shared" si="92"/>
        <v>0</v>
      </c>
      <c r="GO136">
        <f t="shared" si="93"/>
        <v>183029.12</v>
      </c>
      <c r="GP136">
        <f t="shared" si="94"/>
        <v>0</v>
      </c>
      <c r="GR136">
        <v>0</v>
      </c>
      <c r="GS136">
        <v>3</v>
      </c>
      <c r="GT136">
        <v>0</v>
      </c>
      <c r="GU136" t="s">
        <v>3</v>
      </c>
      <c r="GV136">
        <f t="shared" si="95"/>
        <v>0</v>
      </c>
      <c r="GW136">
        <v>1</v>
      </c>
      <c r="GX136">
        <f t="shared" si="96"/>
        <v>0</v>
      </c>
      <c r="HA136">
        <v>0</v>
      </c>
      <c r="HB136">
        <v>0</v>
      </c>
      <c r="HC136">
        <f t="shared" si="97"/>
        <v>0</v>
      </c>
      <c r="HE136" t="s">
        <v>3</v>
      </c>
      <c r="HF136" t="s">
        <v>3</v>
      </c>
      <c r="HM136" t="s">
        <v>3</v>
      </c>
      <c r="HN136" t="s">
        <v>3</v>
      </c>
      <c r="HO136" t="s">
        <v>3</v>
      </c>
      <c r="HP136" t="s">
        <v>3</v>
      </c>
      <c r="HQ136" t="s">
        <v>3</v>
      </c>
      <c r="HS136">
        <v>0</v>
      </c>
      <c r="IK136">
        <v>0</v>
      </c>
    </row>
    <row r="137" spans="1:255" x14ac:dyDescent="0.3">
      <c r="A137" s="2">
        <v>18</v>
      </c>
      <c r="B137" s="2">
        <v>1</v>
      </c>
      <c r="C137" s="2"/>
      <c r="D137" s="2"/>
      <c r="E137" s="2" t="s">
        <v>3</v>
      </c>
      <c r="F137" s="2" t="s">
        <v>166</v>
      </c>
      <c r="G137" s="2" t="s">
        <v>167</v>
      </c>
      <c r="H137" s="2" t="s">
        <v>163</v>
      </c>
      <c r="I137" s="2">
        <f>I135*J137</f>
        <v>306</v>
      </c>
      <c r="J137" s="2">
        <v>102</v>
      </c>
      <c r="K137" s="2">
        <v>102</v>
      </c>
      <c r="L137" s="2"/>
      <c r="M137" s="2"/>
      <c r="N137" s="2"/>
      <c r="O137" s="2">
        <f t="shared" si="66"/>
        <v>1768.68</v>
      </c>
      <c r="P137" s="2">
        <f t="shared" si="67"/>
        <v>1768.68</v>
      </c>
      <c r="Q137" s="2">
        <f>(ROUND((ROUND(((ET137)*AV137*I137),2)*BB137),2)+ROUND((ROUND(((AE137-(EU137))*AV137*I137),2)*BS137),2))</f>
        <v>0</v>
      </c>
      <c r="R137" s="2">
        <f t="shared" si="68"/>
        <v>0</v>
      </c>
      <c r="S137" s="2">
        <f t="shared" si="69"/>
        <v>0</v>
      </c>
      <c r="T137" s="2">
        <f t="shared" si="70"/>
        <v>0</v>
      </c>
      <c r="U137" s="2">
        <f t="shared" si="71"/>
        <v>0</v>
      </c>
      <c r="V137" s="2">
        <f t="shared" si="72"/>
        <v>0</v>
      </c>
      <c r="W137" s="2">
        <f t="shared" si="73"/>
        <v>0</v>
      </c>
      <c r="X137" s="2">
        <f t="shared" si="74"/>
        <v>0</v>
      </c>
      <c r="Y137" s="2">
        <f t="shared" si="75"/>
        <v>0</v>
      </c>
      <c r="Z137" s="2"/>
      <c r="AA137" s="2">
        <v>-1</v>
      </c>
      <c r="AB137" s="2">
        <f t="shared" si="76"/>
        <v>5.78</v>
      </c>
      <c r="AC137" s="2">
        <f t="shared" si="77"/>
        <v>5.78</v>
      </c>
      <c r="AD137" s="2">
        <f>ROUND((((ET137)-(EU137))+AE137),6)</f>
        <v>0</v>
      </c>
      <c r="AE137" s="2">
        <f t="shared" ref="AE137:AF140" si="114">ROUND((EU137),6)</f>
        <v>0</v>
      </c>
      <c r="AF137" s="2">
        <f t="shared" si="114"/>
        <v>0</v>
      </c>
      <c r="AG137" s="2">
        <f t="shared" si="78"/>
        <v>0</v>
      </c>
      <c r="AH137" s="2">
        <f t="shared" ref="AH137:AI140" si="115">(EW137)</f>
        <v>0</v>
      </c>
      <c r="AI137" s="2">
        <f t="shared" si="115"/>
        <v>0</v>
      </c>
      <c r="AJ137" s="2">
        <f t="shared" si="79"/>
        <v>0</v>
      </c>
      <c r="AK137" s="2">
        <v>5.78</v>
      </c>
      <c r="AL137" s="2">
        <v>5.78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97</v>
      </c>
      <c r="AU137" s="2">
        <v>51</v>
      </c>
      <c r="AV137" s="2">
        <v>1</v>
      </c>
      <c r="AW137" s="2">
        <v>1</v>
      </c>
      <c r="AX137" s="2"/>
      <c r="AY137" s="2"/>
      <c r="AZ137" s="2">
        <v>1</v>
      </c>
      <c r="BA137" s="2">
        <v>1</v>
      </c>
      <c r="BB137" s="2">
        <v>1</v>
      </c>
      <c r="BC137" s="2">
        <v>1</v>
      </c>
      <c r="BD137" s="2" t="s">
        <v>3</v>
      </c>
      <c r="BE137" s="2" t="s">
        <v>3</v>
      </c>
      <c r="BF137" s="2" t="s">
        <v>3</v>
      </c>
      <c r="BG137" s="2" t="s">
        <v>3</v>
      </c>
      <c r="BH137" s="2">
        <v>3</v>
      </c>
      <c r="BI137" s="2">
        <v>2</v>
      </c>
      <c r="BJ137" s="2" t="s">
        <v>168</v>
      </c>
      <c r="BK137" s="2"/>
      <c r="BL137" s="2"/>
      <c r="BM137" s="2">
        <v>67</v>
      </c>
      <c r="BN137" s="2">
        <v>0</v>
      </c>
      <c r="BO137" s="2" t="s">
        <v>3</v>
      </c>
      <c r="BP137" s="2">
        <v>0</v>
      </c>
      <c r="BQ137" s="2">
        <v>40</v>
      </c>
      <c r="BR137" s="2">
        <v>0</v>
      </c>
      <c r="BS137" s="2">
        <v>1</v>
      </c>
      <c r="BT137" s="2">
        <v>1</v>
      </c>
      <c r="BU137" s="2">
        <v>1</v>
      </c>
      <c r="BV137" s="2">
        <v>1</v>
      </c>
      <c r="BW137" s="2">
        <v>1</v>
      </c>
      <c r="BX137" s="2">
        <v>1</v>
      </c>
      <c r="BY137" s="2" t="s">
        <v>3</v>
      </c>
      <c r="BZ137" s="2">
        <v>97</v>
      </c>
      <c r="CA137" s="2">
        <v>51</v>
      </c>
      <c r="CB137" s="2" t="s">
        <v>3</v>
      </c>
      <c r="CC137" s="2"/>
      <c r="CD137" s="2"/>
      <c r="CE137" s="2">
        <v>30</v>
      </c>
      <c r="CF137" s="2">
        <v>0</v>
      </c>
      <c r="CG137" s="2">
        <v>0</v>
      </c>
      <c r="CH137" s="2"/>
      <c r="CI137" s="2"/>
      <c r="CJ137" s="2"/>
      <c r="CK137" s="2"/>
      <c r="CL137" s="2"/>
      <c r="CM137" s="2">
        <v>0</v>
      </c>
      <c r="CN137" s="2" t="s">
        <v>3</v>
      </c>
      <c r="CO137" s="2">
        <v>0</v>
      </c>
      <c r="CP137" s="2">
        <f t="shared" si="80"/>
        <v>1768.68</v>
      </c>
      <c r="CQ137" s="2">
        <f t="shared" si="81"/>
        <v>5.78</v>
      </c>
      <c r="CR137" s="2">
        <f>(ROUND((ROUND(((ET137)*AV137*1),2)*BB137),2)+ROUND((ROUND(((AE137-(EU137))*AV137*1),2)*BS137),2))</f>
        <v>0</v>
      </c>
      <c r="CS137" s="2">
        <f t="shared" si="82"/>
        <v>0</v>
      </c>
      <c r="CT137" s="2">
        <f t="shared" si="83"/>
        <v>0</v>
      </c>
      <c r="CU137" s="2">
        <f t="shared" si="84"/>
        <v>0</v>
      </c>
      <c r="CV137" s="2">
        <f t="shared" si="85"/>
        <v>0</v>
      </c>
      <c r="CW137" s="2">
        <f t="shared" si="86"/>
        <v>0</v>
      </c>
      <c r="CX137" s="2">
        <f t="shared" si="87"/>
        <v>0</v>
      </c>
      <c r="CY137" s="2">
        <f t="shared" si="88"/>
        <v>0</v>
      </c>
      <c r="CZ137" s="2">
        <f t="shared" si="89"/>
        <v>0</v>
      </c>
      <c r="DA137" s="2"/>
      <c r="DB137" s="2"/>
      <c r="DC137" s="2" t="s">
        <v>3</v>
      </c>
      <c r="DD137" s="2" t="s">
        <v>3</v>
      </c>
      <c r="DE137" s="2" t="s">
        <v>3</v>
      </c>
      <c r="DF137" s="2" t="s">
        <v>3</v>
      </c>
      <c r="DG137" s="2" t="s">
        <v>3</v>
      </c>
      <c r="DH137" s="2" t="s">
        <v>3</v>
      </c>
      <c r="DI137" s="2" t="s">
        <v>3</v>
      </c>
      <c r="DJ137" s="2" t="s">
        <v>3</v>
      </c>
      <c r="DK137" s="2" t="s">
        <v>3</v>
      </c>
      <c r="DL137" s="2" t="s">
        <v>3</v>
      </c>
      <c r="DM137" s="2" t="s">
        <v>3</v>
      </c>
      <c r="DN137" s="2">
        <v>0</v>
      </c>
      <c r="DO137" s="2">
        <v>0</v>
      </c>
      <c r="DP137" s="2">
        <v>1</v>
      </c>
      <c r="DQ137" s="2">
        <v>1</v>
      </c>
      <c r="DR137" s="2"/>
      <c r="DS137" s="2"/>
      <c r="DT137" s="2"/>
      <c r="DU137" s="2">
        <v>1003</v>
      </c>
      <c r="DV137" s="2" t="s">
        <v>163</v>
      </c>
      <c r="DW137" s="2" t="s">
        <v>163</v>
      </c>
      <c r="DX137" s="2">
        <v>1</v>
      </c>
      <c r="DY137" s="2"/>
      <c r="DZ137" s="2" t="s">
        <v>3</v>
      </c>
      <c r="EA137" s="2" t="s">
        <v>3</v>
      </c>
      <c r="EB137" s="2" t="s">
        <v>3</v>
      </c>
      <c r="EC137" s="2" t="s">
        <v>3</v>
      </c>
      <c r="ED137" s="2"/>
      <c r="EE137" s="2">
        <v>58162629</v>
      </c>
      <c r="EF137" s="2">
        <v>40</v>
      </c>
      <c r="EG137" s="2" t="s">
        <v>25</v>
      </c>
      <c r="EH137" s="2">
        <v>0</v>
      </c>
      <c r="EI137" s="2" t="s">
        <v>3</v>
      </c>
      <c r="EJ137" s="2">
        <v>2</v>
      </c>
      <c r="EK137" s="2">
        <v>67</v>
      </c>
      <c r="EL137" s="2" t="s">
        <v>198</v>
      </c>
      <c r="EM137" s="2" t="s">
        <v>199</v>
      </c>
      <c r="EN137" s="2"/>
      <c r="EO137" s="2" t="s">
        <v>3</v>
      </c>
      <c r="EP137" s="2"/>
      <c r="EQ137" s="2">
        <v>1024</v>
      </c>
      <c r="ER137" s="2">
        <v>5.78</v>
      </c>
      <c r="ES137" s="2">
        <v>5.78</v>
      </c>
      <c r="ET137" s="2">
        <v>0</v>
      </c>
      <c r="EU137" s="2">
        <v>0</v>
      </c>
      <c r="EV137" s="2">
        <v>0</v>
      </c>
      <c r="EW137" s="2">
        <v>0</v>
      </c>
      <c r="EX137" s="2">
        <v>0</v>
      </c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>
        <v>0</v>
      </c>
      <c r="FR137" s="2">
        <v>0</v>
      </c>
      <c r="FS137" s="2">
        <v>0</v>
      </c>
      <c r="FT137" s="2"/>
      <c r="FU137" s="2"/>
      <c r="FV137" s="2"/>
      <c r="FW137" s="2"/>
      <c r="FX137" s="2">
        <v>97</v>
      </c>
      <c r="FY137" s="2">
        <v>51</v>
      </c>
      <c r="FZ137" s="2"/>
      <c r="GA137" s="2" t="s">
        <v>3</v>
      </c>
      <c r="GB137" s="2"/>
      <c r="GC137" s="2"/>
      <c r="GD137" s="2">
        <v>1</v>
      </c>
      <c r="GE137" s="2"/>
      <c r="GF137" s="2">
        <v>-2129111418</v>
      </c>
      <c r="GG137" s="2">
        <v>2</v>
      </c>
      <c r="GH137" s="2">
        <v>1</v>
      </c>
      <c r="GI137" s="2">
        <v>-2</v>
      </c>
      <c r="GJ137" s="2">
        <v>0</v>
      </c>
      <c r="GK137" s="2">
        <v>0</v>
      </c>
      <c r="GL137" s="2">
        <f t="shared" si="90"/>
        <v>0</v>
      </c>
      <c r="GM137" s="2">
        <f t="shared" si="91"/>
        <v>1768.68</v>
      </c>
      <c r="GN137" s="2">
        <f t="shared" si="92"/>
        <v>0</v>
      </c>
      <c r="GO137" s="2">
        <f t="shared" si="93"/>
        <v>1768.68</v>
      </c>
      <c r="GP137" s="2">
        <f t="shared" si="94"/>
        <v>0</v>
      </c>
      <c r="GQ137" s="2"/>
      <c r="GR137" s="2">
        <v>0</v>
      </c>
      <c r="GS137" s="2">
        <v>3</v>
      </c>
      <c r="GT137" s="2">
        <v>0</v>
      </c>
      <c r="GU137" s="2" t="s">
        <v>3</v>
      </c>
      <c r="GV137" s="2">
        <f t="shared" si="95"/>
        <v>0</v>
      </c>
      <c r="GW137" s="2">
        <v>1</v>
      </c>
      <c r="GX137" s="2">
        <f t="shared" si="96"/>
        <v>0</v>
      </c>
      <c r="GY137" s="2"/>
      <c r="GZ137" s="2"/>
      <c r="HA137" s="2">
        <v>0</v>
      </c>
      <c r="HB137" s="2">
        <v>0</v>
      </c>
      <c r="HC137" s="2">
        <f t="shared" si="97"/>
        <v>0</v>
      </c>
      <c r="HD137" s="2"/>
      <c r="HE137" s="2" t="s">
        <v>3</v>
      </c>
      <c r="HF137" s="2" t="s">
        <v>3</v>
      </c>
      <c r="HG137" s="2"/>
      <c r="HH137" s="2"/>
      <c r="HI137" s="2"/>
      <c r="HJ137" s="2"/>
      <c r="HK137" s="2"/>
      <c r="HL137" s="2"/>
      <c r="HM137" s="2" t="s">
        <v>3</v>
      </c>
      <c r="HN137" s="2" t="s">
        <v>3</v>
      </c>
      <c r="HO137" s="2" t="s">
        <v>3</v>
      </c>
      <c r="HP137" s="2" t="s">
        <v>3</v>
      </c>
      <c r="HQ137" s="2" t="s">
        <v>3</v>
      </c>
      <c r="HR137" s="2"/>
      <c r="HS137" s="2">
        <v>0</v>
      </c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>
        <v>0</v>
      </c>
      <c r="IL137" s="2"/>
      <c r="IM137" s="2"/>
      <c r="IN137" s="2"/>
      <c r="IO137" s="2"/>
      <c r="IP137" s="2"/>
      <c r="IQ137" s="2"/>
      <c r="IR137" s="2"/>
      <c r="IS137" s="2"/>
      <c r="IT137" s="2"/>
      <c r="IU137" s="2"/>
    </row>
    <row r="138" spans="1:255" x14ac:dyDescent="0.3">
      <c r="A138">
        <v>18</v>
      </c>
      <c r="B138">
        <v>1</v>
      </c>
      <c r="E138" t="s">
        <v>3</v>
      </c>
      <c r="F138" t="s">
        <v>166</v>
      </c>
      <c r="G138" t="s">
        <v>167</v>
      </c>
      <c r="H138" t="s">
        <v>163</v>
      </c>
      <c r="I138">
        <f>I136*J138</f>
        <v>306</v>
      </c>
      <c r="J138">
        <v>102</v>
      </c>
      <c r="K138">
        <v>102</v>
      </c>
      <c r="O138">
        <f t="shared" si="66"/>
        <v>10859.7</v>
      </c>
      <c r="P138">
        <f t="shared" si="67"/>
        <v>10859.7</v>
      </c>
      <c r="Q138">
        <f>(ROUND((ROUND(((ET138)*AV138*I138),2)*BB138),2)+ROUND((ROUND(((AE138-(EU138))*AV138*I138),2)*BS138),2))</f>
        <v>0</v>
      </c>
      <c r="R138">
        <f t="shared" si="68"/>
        <v>0</v>
      </c>
      <c r="S138">
        <f t="shared" si="69"/>
        <v>0</v>
      </c>
      <c r="T138">
        <f t="shared" si="70"/>
        <v>0</v>
      </c>
      <c r="U138">
        <f t="shared" si="71"/>
        <v>0</v>
      </c>
      <c r="V138">
        <f t="shared" si="72"/>
        <v>0</v>
      </c>
      <c r="W138">
        <f t="shared" si="73"/>
        <v>0</v>
      </c>
      <c r="X138">
        <f t="shared" si="74"/>
        <v>0</v>
      </c>
      <c r="Y138">
        <f t="shared" si="75"/>
        <v>0</v>
      </c>
      <c r="AA138">
        <v>-1</v>
      </c>
      <c r="AB138">
        <f t="shared" si="76"/>
        <v>5.78</v>
      </c>
      <c r="AC138">
        <f t="shared" si="77"/>
        <v>5.78</v>
      </c>
      <c r="AD138">
        <f>ROUND((((ET138)-(EU138))+AE138),6)</f>
        <v>0</v>
      </c>
      <c r="AE138">
        <f t="shared" si="114"/>
        <v>0</v>
      </c>
      <c r="AF138">
        <f t="shared" si="114"/>
        <v>0</v>
      </c>
      <c r="AG138">
        <f t="shared" si="78"/>
        <v>0</v>
      </c>
      <c r="AH138">
        <f t="shared" si="115"/>
        <v>0</v>
      </c>
      <c r="AI138">
        <f t="shared" si="115"/>
        <v>0</v>
      </c>
      <c r="AJ138">
        <f t="shared" si="79"/>
        <v>0</v>
      </c>
      <c r="AK138">
        <v>5.78</v>
      </c>
      <c r="AL138">
        <v>5.78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97</v>
      </c>
      <c r="AU138">
        <v>51</v>
      </c>
      <c r="AV138">
        <v>1</v>
      </c>
      <c r="AW138">
        <v>1</v>
      </c>
      <c r="AZ138">
        <v>1</v>
      </c>
      <c r="BA138">
        <v>1</v>
      </c>
      <c r="BB138">
        <v>1</v>
      </c>
      <c r="BC138">
        <v>6.14</v>
      </c>
      <c r="BD138" t="s">
        <v>3</v>
      </c>
      <c r="BE138" t="s">
        <v>3</v>
      </c>
      <c r="BF138" t="s">
        <v>3</v>
      </c>
      <c r="BG138" t="s">
        <v>3</v>
      </c>
      <c r="BH138">
        <v>3</v>
      </c>
      <c r="BI138">
        <v>2</v>
      </c>
      <c r="BJ138" t="s">
        <v>168</v>
      </c>
      <c r="BM138">
        <v>67</v>
      </c>
      <c r="BN138">
        <v>0</v>
      </c>
      <c r="BO138" t="s">
        <v>166</v>
      </c>
      <c r="BP138">
        <v>1</v>
      </c>
      <c r="BQ138">
        <v>40</v>
      </c>
      <c r="BR138">
        <v>0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 t="s">
        <v>3</v>
      </c>
      <c r="BZ138">
        <v>97</v>
      </c>
      <c r="CA138">
        <v>51</v>
      </c>
      <c r="CB138" t="s">
        <v>3</v>
      </c>
      <c r="CE138">
        <v>30</v>
      </c>
      <c r="CF138">
        <v>0</v>
      </c>
      <c r="CG138">
        <v>0</v>
      </c>
      <c r="CM138">
        <v>0</v>
      </c>
      <c r="CN138" t="s">
        <v>3</v>
      </c>
      <c r="CO138">
        <v>0</v>
      </c>
      <c r="CP138">
        <f t="shared" si="80"/>
        <v>10859.7</v>
      </c>
      <c r="CQ138">
        <f t="shared" si="81"/>
        <v>35.49</v>
      </c>
      <c r="CR138">
        <f>(ROUND((ROUND(((ET138)*AV138*1),2)*BB138),2)+ROUND((ROUND(((AE138-(EU138))*AV138*1),2)*BS138),2))</f>
        <v>0</v>
      </c>
      <c r="CS138">
        <f t="shared" si="82"/>
        <v>0</v>
      </c>
      <c r="CT138">
        <f t="shared" si="83"/>
        <v>0</v>
      </c>
      <c r="CU138">
        <f t="shared" si="84"/>
        <v>0</v>
      </c>
      <c r="CV138">
        <f t="shared" si="85"/>
        <v>0</v>
      </c>
      <c r="CW138">
        <f t="shared" si="86"/>
        <v>0</v>
      </c>
      <c r="CX138">
        <f t="shared" si="87"/>
        <v>0</v>
      </c>
      <c r="CY138">
        <f t="shared" si="88"/>
        <v>0</v>
      </c>
      <c r="CZ138">
        <f t="shared" si="89"/>
        <v>0</v>
      </c>
      <c r="DC138" t="s">
        <v>3</v>
      </c>
      <c r="DD138" t="s">
        <v>3</v>
      </c>
      <c r="DE138" t="s">
        <v>3</v>
      </c>
      <c r="DF138" t="s">
        <v>3</v>
      </c>
      <c r="DG138" t="s">
        <v>3</v>
      </c>
      <c r="DH138" t="s">
        <v>3</v>
      </c>
      <c r="DI138" t="s">
        <v>3</v>
      </c>
      <c r="DJ138" t="s">
        <v>3</v>
      </c>
      <c r="DK138" t="s">
        <v>3</v>
      </c>
      <c r="DL138" t="s">
        <v>3</v>
      </c>
      <c r="DM138" t="s">
        <v>3</v>
      </c>
      <c r="DN138">
        <v>0</v>
      </c>
      <c r="DO138">
        <v>0</v>
      </c>
      <c r="DP138">
        <v>1</v>
      </c>
      <c r="DQ138">
        <v>1</v>
      </c>
      <c r="DU138">
        <v>1003</v>
      </c>
      <c r="DV138" t="s">
        <v>163</v>
      </c>
      <c r="DW138" t="s">
        <v>163</v>
      </c>
      <c r="DX138">
        <v>1</v>
      </c>
      <c r="DZ138" t="s">
        <v>3</v>
      </c>
      <c r="EA138" t="s">
        <v>3</v>
      </c>
      <c r="EB138" t="s">
        <v>3</v>
      </c>
      <c r="EC138" t="s">
        <v>3</v>
      </c>
      <c r="EE138">
        <v>58162629</v>
      </c>
      <c r="EF138">
        <v>40</v>
      </c>
      <c r="EG138" t="s">
        <v>25</v>
      </c>
      <c r="EH138">
        <v>0</v>
      </c>
      <c r="EI138" t="s">
        <v>3</v>
      </c>
      <c r="EJ138">
        <v>2</v>
      </c>
      <c r="EK138">
        <v>67</v>
      </c>
      <c r="EL138" t="s">
        <v>198</v>
      </c>
      <c r="EM138" t="s">
        <v>199</v>
      </c>
      <c r="EO138" t="s">
        <v>3</v>
      </c>
      <c r="EQ138">
        <v>1024</v>
      </c>
      <c r="ER138">
        <v>5.78</v>
      </c>
      <c r="ES138">
        <v>5.78</v>
      </c>
      <c r="ET138">
        <v>0</v>
      </c>
      <c r="EU138">
        <v>0</v>
      </c>
      <c r="EV138">
        <v>0</v>
      </c>
      <c r="EW138">
        <v>0</v>
      </c>
      <c r="EX138">
        <v>0</v>
      </c>
      <c r="FQ138">
        <v>0</v>
      </c>
      <c r="FR138">
        <v>0</v>
      </c>
      <c r="FS138">
        <v>0</v>
      </c>
      <c r="FX138">
        <v>97</v>
      </c>
      <c r="FY138">
        <v>51</v>
      </c>
      <c r="GA138" t="s">
        <v>3</v>
      </c>
      <c r="GD138">
        <v>1</v>
      </c>
      <c r="GF138">
        <v>-2129111418</v>
      </c>
      <c r="GG138">
        <v>2</v>
      </c>
      <c r="GH138">
        <v>1</v>
      </c>
      <c r="GI138">
        <v>2</v>
      </c>
      <c r="GJ138">
        <v>0</v>
      </c>
      <c r="GK138">
        <v>0</v>
      </c>
      <c r="GL138">
        <f t="shared" si="90"/>
        <v>0</v>
      </c>
      <c r="GM138">
        <f t="shared" si="91"/>
        <v>10859.7</v>
      </c>
      <c r="GN138">
        <f t="shared" si="92"/>
        <v>0</v>
      </c>
      <c r="GO138">
        <f t="shared" si="93"/>
        <v>10859.7</v>
      </c>
      <c r="GP138">
        <f t="shared" si="94"/>
        <v>0</v>
      </c>
      <c r="GR138">
        <v>0</v>
      </c>
      <c r="GS138">
        <v>3</v>
      </c>
      <c r="GT138">
        <v>0</v>
      </c>
      <c r="GU138" t="s">
        <v>3</v>
      </c>
      <c r="GV138">
        <f t="shared" si="95"/>
        <v>0</v>
      </c>
      <c r="GW138">
        <v>1</v>
      </c>
      <c r="GX138">
        <f t="shared" si="96"/>
        <v>0</v>
      </c>
      <c r="HA138">
        <v>0</v>
      </c>
      <c r="HB138">
        <v>0</v>
      </c>
      <c r="HC138">
        <f t="shared" si="97"/>
        <v>0</v>
      </c>
      <c r="HE138" t="s">
        <v>3</v>
      </c>
      <c r="HF138" t="s">
        <v>3</v>
      </c>
      <c r="HM138" t="s">
        <v>3</v>
      </c>
      <c r="HN138" t="s">
        <v>3</v>
      </c>
      <c r="HO138" t="s">
        <v>3</v>
      </c>
      <c r="HP138" t="s">
        <v>3</v>
      </c>
      <c r="HQ138" t="s">
        <v>3</v>
      </c>
      <c r="HS138">
        <v>0</v>
      </c>
      <c r="IK138">
        <v>0</v>
      </c>
    </row>
    <row r="139" spans="1:255" x14ac:dyDescent="0.3">
      <c r="A139" s="2">
        <v>18</v>
      </c>
      <c r="B139" s="2">
        <v>1</v>
      </c>
      <c r="C139" s="2"/>
      <c r="D139" s="2"/>
      <c r="E139" s="2" t="s">
        <v>3</v>
      </c>
      <c r="F139" s="2" t="s">
        <v>175</v>
      </c>
      <c r="G139" s="2" t="s">
        <v>176</v>
      </c>
      <c r="H139" s="2" t="s">
        <v>172</v>
      </c>
      <c r="I139" s="2">
        <f>I135*J139</f>
        <v>2</v>
      </c>
      <c r="J139" s="2">
        <v>0.66666666666666663</v>
      </c>
      <c r="K139" s="2">
        <v>0.66666669999999995</v>
      </c>
      <c r="L139" s="2"/>
      <c r="M139" s="2"/>
      <c r="N139" s="2"/>
      <c r="O139" s="2">
        <f t="shared" si="66"/>
        <v>308.72000000000003</v>
      </c>
      <c r="P139" s="2">
        <f t="shared" si="67"/>
        <v>308.72000000000003</v>
      </c>
      <c r="Q139" s="2">
        <f>(ROUND((ROUND(((ET139)*AV139*I139),2)*BB139),2)+ROUND((ROUND(((AE139-(EU139))*AV139*I139),2)*BS139),2))</f>
        <v>0</v>
      </c>
      <c r="R139" s="2">
        <f t="shared" si="68"/>
        <v>0</v>
      </c>
      <c r="S139" s="2">
        <f t="shared" si="69"/>
        <v>0</v>
      </c>
      <c r="T139" s="2">
        <f t="shared" si="70"/>
        <v>0</v>
      </c>
      <c r="U139" s="2">
        <f t="shared" si="71"/>
        <v>0</v>
      </c>
      <c r="V139" s="2">
        <f t="shared" si="72"/>
        <v>0</v>
      </c>
      <c r="W139" s="2">
        <f t="shared" si="73"/>
        <v>0</v>
      </c>
      <c r="X139" s="2">
        <f t="shared" si="74"/>
        <v>0</v>
      </c>
      <c r="Y139" s="2">
        <f t="shared" si="75"/>
        <v>0</v>
      </c>
      <c r="Z139" s="2"/>
      <c r="AA139" s="2">
        <v>-1</v>
      </c>
      <c r="AB139" s="2">
        <f t="shared" si="76"/>
        <v>154.36000000000001</v>
      </c>
      <c r="AC139" s="2">
        <f t="shared" si="77"/>
        <v>154.36000000000001</v>
      </c>
      <c r="AD139" s="2">
        <f>ROUND((((ET139)-(EU139))+AE139),6)</f>
        <v>0</v>
      </c>
      <c r="AE139" s="2">
        <f t="shared" si="114"/>
        <v>0</v>
      </c>
      <c r="AF139" s="2">
        <f t="shared" si="114"/>
        <v>0</v>
      </c>
      <c r="AG139" s="2">
        <f t="shared" si="78"/>
        <v>0</v>
      </c>
      <c r="AH139" s="2">
        <f t="shared" si="115"/>
        <v>0</v>
      </c>
      <c r="AI139" s="2">
        <f t="shared" si="115"/>
        <v>0</v>
      </c>
      <c r="AJ139" s="2">
        <f t="shared" si="79"/>
        <v>0</v>
      </c>
      <c r="AK139" s="2">
        <v>154.36000000000001</v>
      </c>
      <c r="AL139" s="2">
        <v>154.36000000000001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97</v>
      </c>
      <c r="AU139" s="2">
        <v>51</v>
      </c>
      <c r="AV139" s="2">
        <v>1</v>
      </c>
      <c r="AW139" s="2">
        <v>1</v>
      </c>
      <c r="AX139" s="2"/>
      <c r="AY139" s="2"/>
      <c r="AZ139" s="2">
        <v>1</v>
      </c>
      <c r="BA139" s="2">
        <v>1</v>
      </c>
      <c r="BB139" s="2">
        <v>1</v>
      </c>
      <c r="BC139" s="2">
        <v>1</v>
      </c>
      <c r="BD139" s="2" t="s">
        <v>3</v>
      </c>
      <c r="BE139" s="2" t="s">
        <v>3</v>
      </c>
      <c r="BF139" s="2" t="s">
        <v>3</v>
      </c>
      <c r="BG139" s="2" t="s">
        <v>3</v>
      </c>
      <c r="BH139" s="2">
        <v>3</v>
      </c>
      <c r="BI139" s="2">
        <v>2</v>
      </c>
      <c r="BJ139" s="2" t="s">
        <v>177</v>
      </c>
      <c r="BK139" s="2"/>
      <c r="BL139" s="2"/>
      <c r="BM139" s="2">
        <v>67</v>
      </c>
      <c r="BN139" s="2">
        <v>0</v>
      </c>
      <c r="BO139" s="2" t="s">
        <v>3</v>
      </c>
      <c r="BP139" s="2">
        <v>0</v>
      </c>
      <c r="BQ139" s="2">
        <v>40</v>
      </c>
      <c r="BR139" s="2">
        <v>0</v>
      </c>
      <c r="BS139" s="2">
        <v>1</v>
      </c>
      <c r="BT139" s="2">
        <v>1</v>
      </c>
      <c r="BU139" s="2">
        <v>1</v>
      </c>
      <c r="BV139" s="2">
        <v>1</v>
      </c>
      <c r="BW139" s="2">
        <v>1</v>
      </c>
      <c r="BX139" s="2">
        <v>1</v>
      </c>
      <c r="BY139" s="2" t="s">
        <v>3</v>
      </c>
      <c r="BZ139" s="2">
        <v>97</v>
      </c>
      <c r="CA139" s="2">
        <v>51</v>
      </c>
      <c r="CB139" s="2" t="s">
        <v>3</v>
      </c>
      <c r="CC139" s="2"/>
      <c r="CD139" s="2"/>
      <c r="CE139" s="2">
        <v>30</v>
      </c>
      <c r="CF139" s="2">
        <v>0</v>
      </c>
      <c r="CG139" s="2">
        <v>0</v>
      </c>
      <c r="CH139" s="2"/>
      <c r="CI139" s="2"/>
      <c r="CJ139" s="2"/>
      <c r="CK139" s="2"/>
      <c r="CL139" s="2"/>
      <c r="CM139" s="2">
        <v>0</v>
      </c>
      <c r="CN139" s="2" t="s">
        <v>3</v>
      </c>
      <c r="CO139" s="2">
        <v>0</v>
      </c>
      <c r="CP139" s="2">
        <f t="shared" si="80"/>
        <v>308.72000000000003</v>
      </c>
      <c r="CQ139" s="2">
        <f t="shared" si="81"/>
        <v>154.36000000000001</v>
      </c>
      <c r="CR139" s="2">
        <f>(ROUND((ROUND(((ET139)*AV139*1),2)*BB139),2)+ROUND((ROUND(((AE139-(EU139))*AV139*1),2)*BS139),2))</f>
        <v>0</v>
      </c>
      <c r="CS139" s="2">
        <f t="shared" si="82"/>
        <v>0</v>
      </c>
      <c r="CT139" s="2">
        <f t="shared" si="83"/>
        <v>0</v>
      </c>
      <c r="CU139" s="2">
        <f t="shared" si="84"/>
        <v>0</v>
      </c>
      <c r="CV139" s="2">
        <f t="shared" si="85"/>
        <v>0</v>
      </c>
      <c r="CW139" s="2">
        <f t="shared" si="86"/>
        <v>0</v>
      </c>
      <c r="CX139" s="2">
        <f t="shared" si="87"/>
        <v>0</v>
      </c>
      <c r="CY139" s="2">
        <f t="shared" si="88"/>
        <v>0</v>
      </c>
      <c r="CZ139" s="2">
        <f t="shared" si="89"/>
        <v>0</v>
      </c>
      <c r="DA139" s="2"/>
      <c r="DB139" s="2"/>
      <c r="DC139" s="2" t="s">
        <v>3</v>
      </c>
      <c r="DD139" s="2" t="s">
        <v>3</v>
      </c>
      <c r="DE139" s="2" t="s">
        <v>3</v>
      </c>
      <c r="DF139" s="2" t="s">
        <v>3</v>
      </c>
      <c r="DG139" s="2" t="s">
        <v>3</v>
      </c>
      <c r="DH139" s="2" t="s">
        <v>3</v>
      </c>
      <c r="DI139" s="2" t="s">
        <v>3</v>
      </c>
      <c r="DJ139" s="2" t="s">
        <v>3</v>
      </c>
      <c r="DK139" s="2" t="s">
        <v>3</v>
      </c>
      <c r="DL139" s="2" t="s">
        <v>3</v>
      </c>
      <c r="DM139" s="2" t="s">
        <v>3</v>
      </c>
      <c r="DN139" s="2">
        <v>0</v>
      </c>
      <c r="DO139" s="2">
        <v>0</v>
      </c>
      <c r="DP139" s="2">
        <v>1</v>
      </c>
      <c r="DQ139" s="2">
        <v>1</v>
      </c>
      <c r="DR139" s="2"/>
      <c r="DS139" s="2"/>
      <c r="DT139" s="2"/>
      <c r="DU139" s="2">
        <v>1010</v>
      </c>
      <c r="DV139" s="2" t="s">
        <v>172</v>
      </c>
      <c r="DW139" s="2" t="s">
        <v>172</v>
      </c>
      <c r="DX139" s="2">
        <v>100</v>
      </c>
      <c r="DY139" s="2"/>
      <c r="DZ139" s="2" t="s">
        <v>3</v>
      </c>
      <c r="EA139" s="2" t="s">
        <v>3</v>
      </c>
      <c r="EB139" s="2" t="s">
        <v>3</v>
      </c>
      <c r="EC139" s="2" t="s">
        <v>3</v>
      </c>
      <c r="ED139" s="2"/>
      <c r="EE139" s="2">
        <v>58162629</v>
      </c>
      <c r="EF139" s="2">
        <v>40</v>
      </c>
      <c r="EG139" s="2" t="s">
        <v>25</v>
      </c>
      <c r="EH139" s="2">
        <v>0</v>
      </c>
      <c r="EI139" s="2" t="s">
        <v>3</v>
      </c>
      <c r="EJ139" s="2">
        <v>2</v>
      </c>
      <c r="EK139" s="2">
        <v>67</v>
      </c>
      <c r="EL139" s="2" t="s">
        <v>198</v>
      </c>
      <c r="EM139" s="2" t="s">
        <v>199</v>
      </c>
      <c r="EN139" s="2"/>
      <c r="EO139" s="2" t="s">
        <v>3</v>
      </c>
      <c r="EP139" s="2"/>
      <c r="EQ139" s="2">
        <v>1024</v>
      </c>
      <c r="ER139" s="2">
        <v>154.36000000000001</v>
      </c>
      <c r="ES139" s="2">
        <v>154.36000000000001</v>
      </c>
      <c r="ET139" s="2">
        <v>0</v>
      </c>
      <c r="EU139" s="2">
        <v>0</v>
      </c>
      <c r="EV139" s="2">
        <v>0</v>
      </c>
      <c r="EW139" s="2">
        <v>0</v>
      </c>
      <c r="EX139" s="2">
        <v>0</v>
      </c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>
        <v>0</v>
      </c>
      <c r="FR139" s="2">
        <v>0</v>
      </c>
      <c r="FS139" s="2">
        <v>0</v>
      </c>
      <c r="FT139" s="2"/>
      <c r="FU139" s="2"/>
      <c r="FV139" s="2"/>
      <c r="FW139" s="2"/>
      <c r="FX139" s="2">
        <v>97</v>
      </c>
      <c r="FY139" s="2">
        <v>51</v>
      </c>
      <c r="FZ139" s="2"/>
      <c r="GA139" s="2" t="s">
        <v>3</v>
      </c>
      <c r="GB139" s="2"/>
      <c r="GC139" s="2"/>
      <c r="GD139" s="2">
        <v>1</v>
      </c>
      <c r="GE139" s="2"/>
      <c r="GF139" s="2">
        <v>-171069705</v>
      </c>
      <c r="GG139" s="2">
        <v>2</v>
      </c>
      <c r="GH139" s="2">
        <v>1</v>
      </c>
      <c r="GI139" s="2">
        <v>-2</v>
      </c>
      <c r="GJ139" s="2">
        <v>0</v>
      </c>
      <c r="GK139" s="2">
        <v>0</v>
      </c>
      <c r="GL139" s="2">
        <f t="shared" si="90"/>
        <v>0</v>
      </c>
      <c r="GM139" s="2">
        <f t="shared" si="91"/>
        <v>308.72000000000003</v>
      </c>
      <c r="GN139" s="2">
        <f t="shared" si="92"/>
        <v>0</v>
      </c>
      <c r="GO139" s="2">
        <f t="shared" si="93"/>
        <v>308.72000000000003</v>
      </c>
      <c r="GP139" s="2">
        <f t="shared" si="94"/>
        <v>0</v>
      </c>
      <c r="GQ139" s="2"/>
      <c r="GR139" s="2">
        <v>0</v>
      </c>
      <c r="GS139" s="2">
        <v>3</v>
      </c>
      <c r="GT139" s="2">
        <v>0</v>
      </c>
      <c r="GU139" s="2" t="s">
        <v>3</v>
      </c>
      <c r="GV139" s="2">
        <f t="shared" si="95"/>
        <v>0</v>
      </c>
      <c r="GW139" s="2">
        <v>1</v>
      </c>
      <c r="GX139" s="2">
        <f t="shared" si="96"/>
        <v>0</v>
      </c>
      <c r="GY139" s="2"/>
      <c r="GZ139" s="2"/>
      <c r="HA139" s="2">
        <v>0</v>
      </c>
      <c r="HB139" s="2">
        <v>0</v>
      </c>
      <c r="HC139" s="2">
        <f t="shared" si="97"/>
        <v>0</v>
      </c>
      <c r="HD139" s="2"/>
      <c r="HE139" s="2" t="s">
        <v>3</v>
      </c>
      <c r="HF139" s="2" t="s">
        <v>3</v>
      </c>
      <c r="HG139" s="2"/>
      <c r="HH139" s="2"/>
      <c r="HI139" s="2"/>
      <c r="HJ139" s="2"/>
      <c r="HK139" s="2"/>
      <c r="HL139" s="2"/>
      <c r="HM139" s="2" t="s">
        <v>3</v>
      </c>
      <c r="HN139" s="2" t="s">
        <v>3</v>
      </c>
      <c r="HO139" s="2" t="s">
        <v>3</v>
      </c>
      <c r="HP139" s="2" t="s">
        <v>3</v>
      </c>
      <c r="HQ139" s="2" t="s">
        <v>3</v>
      </c>
      <c r="HR139" s="2"/>
      <c r="HS139" s="2">
        <v>0</v>
      </c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>
        <v>0</v>
      </c>
      <c r="IL139" s="2"/>
      <c r="IM139" s="2"/>
      <c r="IN139" s="2"/>
      <c r="IO139" s="2"/>
      <c r="IP139" s="2"/>
      <c r="IQ139" s="2"/>
      <c r="IR139" s="2"/>
      <c r="IS139" s="2"/>
      <c r="IT139" s="2"/>
      <c r="IU139" s="2"/>
    </row>
    <row r="140" spans="1:255" x14ac:dyDescent="0.3">
      <c r="A140">
        <v>18</v>
      </c>
      <c r="B140">
        <v>1</v>
      </c>
      <c r="E140" t="s">
        <v>3</v>
      </c>
      <c r="F140" t="s">
        <v>175</v>
      </c>
      <c r="G140" t="s">
        <v>176</v>
      </c>
      <c r="H140" t="s">
        <v>172</v>
      </c>
      <c r="I140">
        <f>I136*J140</f>
        <v>2</v>
      </c>
      <c r="J140">
        <v>0.66666666666666663</v>
      </c>
      <c r="K140">
        <v>0.66666669999999995</v>
      </c>
      <c r="O140">
        <f t="shared" si="66"/>
        <v>635.96</v>
      </c>
      <c r="P140">
        <f t="shared" si="67"/>
        <v>635.96</v>
      </c>
      <c r="Q140">
        <f>(ROUND((ROUND(((ET140)*AV140*I140),2)*BB140),2)+ROUND((ROUND(((AE140-(EU140))*AV140*I140),2)*BS140),2))</f>
        <v>0</v>
      </c>
      <c r="R140">
        <f t="shared" si="68"/>
        <v>0</v>
      </c>
      <c r="S140">
        <f t="shared" si="69"/>
        <v>0</v>
      </c>
      <c r="T140">
        <f t="shared" si="70"/>
        <v>0</v>
      </c>
      <c r="U140">
        <f t="shared" si="71"/>
        <v>0</v>
      </c>
      <c r="V140">
        <f t="shared" si="72"/>
        <v>0</v>
      </c>
      <c r="W140">
        <f t="shared" si="73"/>
        <v>0</v>
      </c>
      <c r="X140">
        <f t="shared" si="74"/>
        <v>0</v>
      </c>
      <c r="Y140">
        <f t="shared" si="75"/>
        <v>0</v>
      </c>
      <c r="AA140">
        <v>-1</v>
      </c>
      <c r="AB140">
        <f t="shared" si="76"/>
        <v>154.36000000000001</v>
      </c>
      <c r="AC140">
        <f t="shared" si="77"/>
        <v>154.36000000000001</v>
      </c>
      <c r="AD140">
        <f>ROUND((((ET140)-(EU140))+AE140),6)</f>
        <v>0</v>
      </c>
      <c r="AE140">
        <f t="shared" si="114"/>
        <v>0</v>
      </c>
      <c r="AF140">
        <f t="shared" si="114"/>
        <v>0</v>
      </c>
      <c r="AG140">
        <f t="shared" si="78"/>
        <v>0</v>
      </c>
      <c r="AH140">
        <f t="shared" si="115"/>
        <v>0</v>
      </c>
      <c r="AI140">
        <f t="shared" si="115"/>
        <v>0</v>
      </c>
      <c r="AJ140">
        <f t="shared" si="79"/>
        <v>0</v>
      </c>
      <c r="AK140">
        <v>154.36000000000001</v>
      </c>
      <c r="AL140">
        <v>154.36000000000001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97</v>
      </c>
      <c r="AU140">
        <v>51</v>
      </c>
      <c r="AV140">
        <v>1</v>
      </c>
      <c r="AW140">
        <v>1</v>
      </c>
      <c r="AZ140">
        <v>1</v>
      </c>
      <c r="BA140">
        <v>1</v>
      </c>
      <c r="BB140">
        <v>1</v>
      </c>
      <c r="BC140">
        <v>2.06</v>
      </c>
      <c r="BD140" t="s">
        <v>3</v>
      </c>
      <c r="BE140" t="s">
        <v>3</v>
      </c>
      <c r="BF140" t="s">
        <v>3</v>
      </c>
      <c r="BG140" t="s">
        <v>3</v>
      </c>
      <c r="BH140">
        <v>3</v>
      </c>
      <c r="BI140">
        <v>2</v>
      </c>
      <c r="BJ140" t="s">
        <v>177</v>
      </c>
      <c r="BM140">
        <v>67</v>
      </c>
      <c r="BN140">
        <v>0</v>
      </c>
      <c r="BO140" t="s">
        <v>175</v>
      </c>
      <c r="BP140">
        <v>1</v>
      </c>
      <c r="BQ140">
        <v>40</v>
      </c>
      <c r="BR140">
        <v>0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 t="s">
        <v>3</v>
      </c>
      <c r="BZ140">
        <v>97</v>
      </c>
      <c r="CA140">
        <v>51</v>
      </c>
      <c r="CB140" t="s">
        <v>3</v>
      </c>
      <c r="CE140">
        <v>30</v>
      </c>
      <c r="CF140">
        <v>0</v>
      </c>
      <c r="CG140">
        <v>0</v>
      </c>
      <c r="CM140">
        <v>0</v>
      </c>
      <c r="CN140" t="s">
        <v>3</v>
      </c>
      <c r="CO140">
        <v>0</v>
      </c>
      <c r="CP140">
        <f t="shared" si="80"/>
        <v>635.96</v>
      </c>
      <c r="CQ140">
        <f t="shared" si="81"/>
        <v>317.98</v>
      </c>
      <c r="CR140">
        <f>(ROUND((ROUND(((ET140)*AV140*1),2)*BB140),2)+ROUND((ROUND(((AE140-(EU140))*AV140*1),2)*BS140),2))</f>
        <v>0</v>
      </c>
      <c r="CS140">
        <f t="shared" si="82"/>
        <v>0</v>
      </c>
      <c r="CT140">
        <f t="shared" si="83"/>
        <v>0</v>
      </c>
      <c r="CU140">
        <f t="shared" si="84"/>
        <v>0</v>
      </c>
      <c r="CV140">
        <f t="shared" si="85"/>
        <v>0</v>
      </c>
      <c r="CW140">
        <f t="shared" si="86"/>
        <v>0</v>
      </c>
      <c r="CX140">
        <f t="shared" si="87"/>
        <v>0</v>
      </c>
      <c r="CY140">
        <f t="shared" si="88"/>
        <v>0</v>
      </c>
      <c r="CZ140">
        <f t="shared" si="89"/>
        <v>0</v>
      </c>
      <c r="DC140" t="s">
        <v>3</v>
      </c>
      <c r="DD140" t="s">
        <v>3</v>
      </c>
      <c r="DE140" t="s">
        <v>3</v>
      </c>
      <c r="DF140" t="s">
        <v>3</v>
      </c>
      <c r="DG140" t="s">
        <v>3</v>
      </c>
      <c r="DH140" t="s">
        <v>3</v>
      </c>
      <c r="DI140" t="s">
        <v>3</v>
      </c>
      <c r="DJ140" t="s">
        <v>3</v>
      </c>
      <c r="DK140" t="s">
        <v>3</v>
      </c>
      <c r="DL140" t="s">
        <v>3</v>
      </c>
      <c r="DM140" t="s">
        <v>3</v>
      </c>
      <c r="DN140">
        <v>0</v>
      </c>
      <c r="DO140">
        <v>0</v>
      </c>
      <c r="DP140">
        <v>1</v>
      </c>
      <c r="DQ140">
        <v>1</v>
      </c>
      <c r="DU140">
        <v>1010</v>
      </c>
      <c r="DV140" t="s">
        <v>172</v>
      </c>
      <c r="DW140" t="s">
        <v>172</v>
      </c>
      <c r="DX140">
        <v>100</v>
      </c>
      <c r="DZ140" t="s">
        <v>3</v>
      </c>
      <c r="EA140" t="s">
        <v>3</v>
      </c>
      <c r="EB140" t="s">
        <v>3</v>
      </c>
      <c r="EC140" t="s">
        <v>3</v>
      </c>
      <c r="EE140">
        <v>58162629</v>
      </c>
      <c r="EF140">
        <v>40</v>
      </c>
      <c r="EG140" t="s">
        <v>25</v>
      </c>
      <c r="EH140">
        <v>0</v>
      </c>
      <c r="EI140" t="s">
        <v>3</v>
      </c>
      <c r="EJ140">
        <v>2</v>
      </c>
      <c r="EK140">
        <v>67</v>
      </c>
      <c r="EL140" t="s">
        <v>198</v>
      </c>
      <c r="EM140" t="s">
        <v>199</v>
      </c>
      <c r="EO140" t="s">
        <v>3</v>
      </c>
      <c r="EQ140">
        <v>1024</v>
      </c>
      <c r="ER140">
        <v>154.36000000000001</v>
      </c>
      <c r="ES140">
        <v>154.36000000000001</v>
      </c>
      <c r="ET140">
        <v>0</v>
      </c>
      <c r="EU140">
        <v>0</v>
      </c>
      <c r="EV140">
        <v>0</v>
      </c>
      <c r="EW140">
        <v>0</v>
      </c>
      <c r="EX140">
        <v>0</v>
      </c>
      <c r="FQ140">
        <v>0</v>
      </c>
      <c r="FR140">
        <v>0</v>
      </c>
      <c r="FS140">
        <v>0</v>
      </c>
      <c r="FX140">
        <v>97</v>
      </c>
      <c r="FY140">
        <v>51</v>
      </c>
      <c r="GA140" t="s">
        <v>3</v>
      </c>
      <c r="GD140">
        <v>1</v>
      </c>
      <c r="GF140">
        <v>-171069705</v>
      </c>
      <c r="GG140">
        <v>2</v>
      </c>
      <c r="GH140">
        <v>1</v>
      </c>
      <c r="GI140">
        <v>2</v>
      </c>
      <c r="GJ140">
        <v>0</v>
      </c>
      <c r="GK140">
        <v>0</v>
      </c>
      <c r="GL140">
        <f t="shared" si="90"/>
        <v>0</v>
      </c>
      <c r="GM140">
        <f t="shared" si="91"/>
        <v>635.96</v>
      </c>
      <c r="GN140">
        <f t="shared" si="92"/>
        <v>0</v>
      </c>
      <c r="GO140">
        <f t="shared" si="93"/>
        <v>635.96</v>
      </c>
      <c r="GP140">
        <f t="shared" si="94"/>
        <v>0</v>
      </c>
      <c r="GR140">
        <v>0</v>
      </c>
      <c r="GS140">
        <v>3</v>
      </c>
      <c r="GT140">
        <v>0</v>
      </c>
      <c r="GU140" t="s">
        <v>3</v>
      </c>
      <c r="GV140">
        <f t="shared" si="95"/>
        <v>0</v>
      </c>
      <c r="GW140">
        <v>1</v>
      </c>
      <c r="GX140">
        <f t="shared" si="96"/>
        <v>0</v>
      </c>
      <c r="HA140">
        <v>0</v>
      </c>
      <c r="HB140">
        <v>0</v>
      </c>
      <c r="HC140">
        <f t="shared" si="97"/>
        <v>0</v>
      </c>
      <c r="HE140" t="s">
        <v>3</v>
      </c>
      <c r="HF140" t="s">
        <v>3</v>
      </c>
      <c r="HM140" t="s">
        <v>3</v>
      </c>
      <c r="HN140" t="s">
        <v>3</v>
      </c>
      <c r="HO140" t="s">
        <v>3</v>
      </c>
      <c r="HP140" t="s">
        <v>3</v>
      </c>
      <c r="HQ140" t="s">
        <v>3</v>
      </c>
      <c r="HS140">
        <v>0</v>
      </c>
      <c r="IK140">
        <v>0</v>
      </c>
    </row>
    <row r="142" spans="1:255" x14ac:dyDescent="0.3">
      <c r="A142" s="3">
        <v>51</v>
      </c>
      <c r="B142" s="3">
        <f>B93</f>
        <v>1</v>
      </c>
      <c r="C142" s="3">
        <f>A93</f>
        <v>4</v>
      </c>
      <c r="D142" s="3">
        <f>ROW(A93)</f>
        <v>93</v>
      </c>
      <c r="E142" s="3"/>
      <c r="F142" s="3" t="str">
        <f>IF(F93&lt;&gt;"",F93,"")</f>
        <v/>
      </c>
      <c r="G142" s="3" t="str">
        <f>IF(G93&lt;&gt;"",G93,"")</f>
        <v>Кабельные изделия и материалы</v>
      </c>
      <c r="H142" s="3">
        <v>0</v>
      </c>
      <c r="I142" s="3"/>
      <c r="J142" s="3"/>
      <c r="K142" s="3"/>
      <c r="L142" s="3"/>
      <c r="M142" s="3"/>
      <c r="N142" s="3"/>
      <c r="O142" s="3">
        <f t="shared" ref="O142:T142" si="116">ROUND(AB142,2)</f>
        <v>29908.59</v>
      </c>
      <c r="P142" s="3">
        <f t="shared" si="116"/>
        <v>29140.78</v>
      </c>
      <c r="Q142" s="3">
        <f t="shared" si="116"/>
        <v>6.67</v>
      </c>
      <c r="R142" s="3">
        <f t="shared" si="116"/>
        <v>0</v>
      </c>
      <c r="S142" s="3">
        <f t="shared" si="116"/>
        <v>761.14</v>
      </c>
      <c r="T142" s="3">
        <f t="shared" si="116"/>
        <v>0</v>
      </c>
      <c r="U142" s="3">
        <f>AH142</f>
        <v>64.046036999999998</v>
      </c>
      <c r="V142" s="3">
        <f>AI142</f>
        <v>0</v>
      </c>
      <c r="W142" s="3">
        <f>ROUND(AJ142,2)</f>
        <v>0</v>
      </c>
      <c r="X142" s="3">
        <f>ROUND(AK142,2)</f>
        <v>685.03</v>
      </c>
      <c r="Y142" s="3">
        <f>ROUND(AL142,2)</f>
        <v>350.12</v>
      </c>
      <c r="Z142" s="3"/>
      <c r="AA142" s="3"/>
      <c r="AB142" s="3">
        <f>ROUND(SUMIF(AA97:AA140,"=56511233",O97:O140),2)</f>
        <v>29908.59</v>
      </c>
      <c r="AC142" s="3">
        <f>ROUND(SUMIF(AA97:AA140,"=56511233",P97:P140),2)</f>
        <v>29140.78</v>
      </c>
      <c r="AD142" s="3">
        <f>ROUND(SUMIF(AA97:AA140,"=56511233",Q97:Q140),2)</f>
        <v>6.67</v>
      </c>
      <c r="AE142" s="3">
        <f>ROUND(SUMIF(AA97:AA140,"=56511233",R97:R140),2)</f>
        <v>0</v>
      </c>
      <c r="AF142" s="3">
        <f>ROUND(SUMIF(AA97:AA140,"=56511233",S97:S140),2)</f>
        <v>761.14</v>
      </c>
      <c r="AG142" s="3">
        <f>ROUND(SUMIF(AA97:AA140,"=56511233",T97:T140),2)</f>
        <v>0</v>
      </c>
      <c r="AH142" s="3">
        <f>SUMIF(AA97:AA140,"=56511233",U97:U140)</f>
        <v>64.046036999999998</v>
      </c>
      <c r="AI142" s="3">
        <f>SUMIF(AA97:AA140,"=56511233",V97:V140)</f>
        <v>0</v>
      </c>
      <c r="AJ142" s="3">
        <f>ROUND(SUMIF(AA97:AA140,"=56511233",W97:W140),2)</f>
        <v>0</v>
      </c>
      <c r="AK142" s="3">
        <f>ROUND(SUMIF(AA97:AA140,"=56511233",X97:X140),2)</f>
        <v>685.03</v>
      </c>
      <c r="AL142" s="3">
        <f>ROUND(SUMIF(AA97:AA140,"=56511233",Y97:Y140),2)</f>
        <v>350.12</v>
      </c>
      <c r="AM142" s="3"/>
      <c r="AN142" s="3"/>
      <c r="AO142" s="3">
        <f t="shared" ref="AO142:BD142" si="117">ROUND(BX142,2)</f>
        <v>0</v>
      </c>
      <c r="AP142" s="3">
        <f t="shared" si="117"/>
        <v>0</v>
      </c>
      <c r="AQ142" s="3">
        <f t="shared" si="117"/>
        <v>0</v>
      </c>
      <c r="AR142" s="3">
        <f t="shared" si="117"/>
        <v>30943.74</v>
      </c>
      <c r="AS142" s="3">
        <f t="shared" si="117"/>
        <v>0</v>
      </c>
      <c r="AT142" s="3">
        <f t="shared" si="117"/>
        <v>30943.74</v>
      </c>
      <c r="AU142" s="3">
        <f t="shared" si="117"/>
        <v>0</v>
      </c>
      <c r="AV142" s="3">
        <f t="shared" si="117"/>
        <v>29140.78</v>
      </c>
      <c r="AW142" s="3">
        <f t="shared" si="117"/>
        <v>29140.78</v>
      </c>
      <c r="AX142" s="3">
        <f t="shared" si="117"/>
        <v>0</v>
      </c>
      <c r="AY142" s="3">
        <f t="shared" si="117"/>
        <v>29140.78</v>
      </c>
      <c r="AZ142" s="3">
        <f t="shared" si="117"/>
        <v>0</v>
      </c>
      <c r="BA142" s="3">
        <f t="shared" si="117"/>
        <v>0</v>
      </c>
      <c r="BB142" s="3">
        <f t="shared" si="117"/>
        <v>0</v>
      </c>
      <c r="BC142" s="3">
        <f t="shared" si="117"/>
        <v>0</v>
      </c>
      <c r="BD142" s="3">
        <f t="shared" si="117"/>
        <v>0</v>
      </c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>
        <f>ROUND(SUMIF(AA97:AA140,"=56511233",FQ97:FQ140),2)</f>
        <v>0</v>
      </c>
      <c r="BY142" s="3">
        <f>ROUND(SUMIF(AA97:AA140,"=56511233",FR97:FR140),2)</f>
        <v>0</v>
      </c>
      <c r="BZ142" s="3">
        <f>ROUND(SUMIF(AA97:AA140,"=56511233",GL97:GL140),2)</f>
        <v>0</v>
      </c>
      <c r="CA142" s="3">
        <f>ROUND(SUMIF(AA97:AA140,"=56511233",GM97:GM140),2)</f>
        <v>30943.74</v>
      </c>
      <c r="CB142" s="3">
        <f>ROUND(SUMIF(AA97:AA140,"=56511233",GN97:GN140),2)</f>
        <v>0</v>
      </c>
      <c r="CC142" s="3">
        <f>ROUND(SUMIF(AA97:AA140,"=56511233",GO97:GO140),2)</f>
        <v>30943.74</v>
      </c>
      <c r="CD142" s="3">
        <f>ROUND(SUMIF(AA97:AA140,"=56511233",GP97:GP140),2)</f>
        <v>0</v>
      </c>
      <c r="CE142" s="3">
        <f>AC142-BX142</f>
        <v>29140.78</v>
      </c>
      <c r="CF142" s="3">
        <f>AC142-BY142</f>
        <v>29140.78</v>
      </c>
      <c r="CG142" s="3">
        <f>BX142-BZ142</f>
        <v>0</v>
      </c>
      <c r="CH142" s="3">
        <f>AC142-BX142-BY142+BZ142</f>
        <v>29140.78</v>
      </c>
      <c r="CI142" s="3">
        <f>BY142-BZ142</f>
        <v>0</v>
      </c>
      <c r="CJ142" s="3">
        <f>ROUND(SUMIF(AA97:AA140,"=56511233",GX97:GX140),2)</f>
        <v>0</v>
      </c>
      <c r="CK142" s="3">
        <f>ROUND(SUMIF(AA97:AA140,"=56511233",GY97:GY140),2)</f>
        <v>0</v>
      </c>
      <c r="CL142" s="3">
        <f>ROUND(SUMIF(AA97:AA140,"=56511233",GZ97:GZ140),2)</f>
        <v>0</v>
      </c>
      <c r="CM142" s="3">
        <f>ROUND(SUMIF(AA97:AA140,"=56511233",HD97:HD140),2)</f>
        <v>0</v>
      </c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4">
        <f t="shared" ref="DG142:DL142" si="118">ROUND(DT142,2)</f>
        <v>316792.63</v>
      </c>
      <c r="DH142" s="4">
        <f t="shared" si="118"/>
        <v>274879.44</v>
      </c>
      <c r="DI142" s="4">
        <f t="shared" si="118"/>
        <v>58.1</v>
      </c>
      <c r="DJ142" s="4">
        <f t="shared" si="118"/>
        <v>0</v>
      </c>
      <c r="DK142" s="4">
        <f t="shared" si="118"/>
        <v>41855.089999999997</v>
      </c>
      <c r="DL142" s="4">
        <f t="shared" si="118"/>
        <v>0</v>
      </c>
      <c r="DM142" s="4">
        <f>DZ142</f>
        <v>64.046036999999998</v>
      </c>
      <c r="DN142" s="4">
        <f>EA142</f>
        <v>0</v>
      </c>
      <c r="DO142" s="4">
        <f>ROUND(EB142,2)</f>
        <v>0</v>
      </c>
      <c r="DP142" s="4">
        <f>ROUND(EC142,2)</f>
        <v>37669.58</v>
      </c>
      <c r="DQ142" s="4">
        <f>ROUND(ED142,2)</f>
        <v>19253.34</v>
      </c>
      <c r="DR142" s="4"/>
      <c r="DS142" s="4"/>
      <c r="DT142" s="4">
        <f>ROUND(SUMIF(AA97:AA140,"=56511235",O97:O140),2)</f>
        <v>316792.63</v>
      </c>
      <c r="DU142" s="4">
        <f>ROUND(SUMIF(AA97:AA140,"=56511235",P97:P140),2)</f>
        <v>274879.44</v>
      </c>
      <c r="DV142" s="4">
        <f>ROUND(SUMIF(AA97:AA140,"=56511235",Q97:Q140),2)</f>
        <v>58.1</v>
      </c>
      <c r="DW142" s="4">
        <f>ROUND(SUMIF(AA97:AA140,"=56511235",R97:R140),2)</f>
        <v>0</v>
      </c>
      <c r="DX142" s="4">
        <f>ROUND(SUMIF(AA97:AA140,"=56511235",S97:S140),2)</f>
        <v>41855.089999999997</v>
      </c>
      <c r="DY142" s="4">
        <f>ROUND(SUMIF(AA97:AA140,"=56511235",T97:T140),2)</f>
        <v>0</v>
      </c>
      <c r="DZ142" s="4">
        <f>SUMIF(AA97:AA140,"=56511235",U97:U140)</f>
        <v>64.046036999999998</v>
      </c>
      <c r="EA142" s="4">
        <f>SUMIF(AA97:AA140,"=56511235",V97:V140)</f>
        <v>0</v>
      </c>
      <c r="EB142" s="4">
        <f>ROUND(SUMIF(AA97:AA140,"=56511235",W97:W140),2)</f>
        <v>0</v>
      </c>
      <c r="EC142" s="4">
        <f>ROUND(SUMIF(AA97:AA140,"=56511235",X97:X140),2)</f>
        <v>37669.58</v>
      </c>
      <c r="ED142" s="4">
        <f>ROUND(SUMIF(AA97:AA140,"=56511235",Y97:Y140),2)</f>
        <v>19253.34</v>
      </c>
      <c r="EE142" s="4"/>
      <c r="EF142" s="4"/>
      <c r="EG142" s="4">
        <f t="shared" ref="EG142:EV142" si="119">ROUND(FP142,2)</f>
        <v>0</v>
      </c>
      <c r="EH142" s="4">
        <f t="shared" si="119"/>
        <v>0</v>
      </c>
      <c r="EI142" s="4">
        <f t="shared" si="119"/>
        <v>0</v>
      </c>
      <c r="EJ142" s="4">
        <f t="shared" si="119"/>
        <v>373715.55</v>
      </c>
      <c r="EK142" s="4">
        <f t="shared" si="119"/>
        <v>0</v>
      </c>
      <c r="EL142" s="4">
        <f t="shared" si="119"/>
        <v>373715.55</v>
      </c>
      <c r="EM142" s="4">
        <f t="shared" si="119"/>
        <v>0</v>
      </c>
      <c r="EN142" s="4">
        <f t="shared" si="119"/>
        <v>274879.44</v>
      </c>
      <c r="EO142" s="4">
        <f t="shared" si="119"/>
        <v>274879.44</v>
      </c>
      <c r="EP142" s="4">
        <f t="shared" si="119"/>
        <v>0</v>
      </c>
      <c r="EQ142" s="4">
        <f t="shared" si="119"/>
        <v>274879.44</v>
      </c>
      <c r="ER142" s="4">
        <f t="shared" si="119"/>
        <v>0</v>
      </c>
      <c r="ES142" s="4">
        <f t="shared" si="119"/>
        <v>0</v>
      </c>
      <c r="ET142" s="4">
        <f t="shared" si="119"/>
        <v>0</v>
      </c>
      <c r="EU142" s="4">
        <f t="shared" si="119"/>
        <v>0</v>
      </c>
      <c r="EV142" s="4">
        <f t="shared" si="119"/>
        <v>0</v>
      </c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>
        <f>ROUND(SUMIF(AA97:AA140,"=56511235",FQ97:FQ140),2)</f>
        <v>0</v>
      </c>
      <c r="FQ142" s="4">
        <f>ROUND(SUMIF(AA97:AA140,"=56511235",FR97:FR140),2)</f>
        <v>0</v>
      </c>
      <c r="FR142" s="4">
        <f>ROUND(SUMIF(AA97:AA140,"=56511235",GL97:GL140),2)</f>
        <v>0</v>
      </c>
      <c r="FS142" s="4">
        <f>ROUND(SUMIF(AA97:AA140,"=56511235",GM97:GM140),2)</f>
        <v>373715.55</v>
      </c>
      <c r="FT142" s="4">
        <f>ROUND(SUMIF(AA97:AA140,"=56511235",GN97:GN140),2)</f>
        <v>0</v>
      </c>
      <c r="FU142" s="4">
        <f>ROUND(SUMIF(AA97:AA140,"=56511235",GO97:GO140),2)</f>
        <v>373715.55</v>
      </c>
      <c r="FV142" s="4">
        <f>ROUND(SUMIF(AA97:AA140,"=56511235",GP97:GP140),2)</f>
        <v>0</v>
      </c>
      <c r="FW142" s="4">
        <f>DU142-FP142</f>
        <v>274879.44</v>
      </c>
      <c r="FX142" s="4">
        <f>DU142-FQ142</f>
        <v>274879.44</v>
      </c>
      <c r="FY142" s="4">
        <f>FP142-FR142</f>
        <v>0</v>
      </c>
      <c r="FZ142" s="4">
        <f>DU142-FP142-FQ142+FR142</f>
        <v>274879.44</v>
      </c>
      <c r="GA142" s="4">
        <f>FQ142-FR142</f>
        <v>0</v>
      </c>
      <c r="GB142" s="4">
        <f>ROUND(SUMIF(AA97:AA140,"=56511235",GX97:GX140),2)</f>
        <v>0</v>
      </c>
      <c r="GC142" s="4">
        <f>ROUND(SUMIF(AA97:AA140,"=56511235",GY97:GY140),2)</f>
        <v>0</v>
      </c>
      <c r="GD142" s="4">
        <f>ROUND(SUMIF(AA97:AA140,"=56511235",GZ97:GZ140),2)</f>
        <v>0</v>
      </c>
      <c r="GE142" s="4">
        <f>ROUND(SUMIF(AA97:AA140,"=56511235",HD97:HD140),2)</f>
        <v>0</v>
      </c>
      <c r="GF142" s="4"/>
      <c r="GG142" s="4"/>
      <c r="GH142" s="4"/>
      <c r="GI142" s="4"/>
      <c r="GJ142" s="4"/>
      <c r="GK142" s="4"/>
      <c r="GL142" s="4"/>
      <c r="GM142" s="4"/>
      <c r="GN142" s="4"/>
      <c r="GO142" s="4"/>
      <c r="GP142" s="4"/>
      <c r="GQ142" s="4"/>
      <c r="GR142" s="4"/>
      <c r="GS142" s="4"/>
      <c r="GT142" s="4"/>
      <c r="GU142" s="4"/>
      <c r="GV142" s="4"/>
      <c r="GW142" s="4"/>
      <c r="GX142" s="4">
        <v>0</v>
      </c>
    </row>
    <row r="144" spans="1:255" x14ac:dyDescent="0.3">
      <c r="A144" s="5">
        <v>50</v>
      </c>
      <c r="B144" s="5">
        <v>0</v>
      </c>
      <c r="C144" s="5">
        <v>0</v>
      </c>
      <c r="D144" s="5">
        <v>1</v>
      </c>
      <c r="E144" s="5">
        <v>201</v>
      </c>
      <c r="F144" s="5">
        <f>ROUND(Source!O142,O144)</f>
        <v>29908.59</v>
      </c>
      <c r="G144" s="5" t="s">
        <v>100</v>
      </c>
      <c r="H144" s="5" t="s">
        <v>101</v>
      </c>
      <c r="I144" s="5"/>
      <c r="J144" s="5"/>
      <c r="K144" s="5">
        <v>201</v>
      </c>
      <c r="L144" s="5">
        <v>1</v>
      </c>
      <c r="M144" s="5">
        <v>3</v>
      </c>
      <c r="N144" s="5" t="s">
        <v>3</v>
      </c>
      <c r="O144" s="5">
        <v>2</v>
      </c>
      <c r="P144" s="5">
        <f>ROUND(Source!DG142,O144)</f>
        <v>316792.63</v>
      </c>
      <c r="Q144" s="5"/>
      <c r="R144" s="5"/>
      <c r="S144" s="5"/>
      <c r="T144" s="5"/>
      <c r="U144" s="5"/>
      <c r="V144" s="5"/>
      <c r="W144" s="5">
        <v>29908.59</v>
      </c>
      <c r="X144" s="5">
        <v>1</v>
      </c>
      <c r="Y144" s="5">
        <v>29908.59</v>
      </c>
      <c r="Z144" s="5">
        <v>316792.63</v>
      </c>
      <c r="AA144" s="5">
        <v>1</v>
      </c>
      <c r="AB144" s="5">
        <v>316792.63</v>
      </c>
    </row>
    <row r="145" spans="1:28" x14ac:dyDescent="0.3">
      <c r="A145" s="5">
        <v>50</v>
      </c>
      <c r="B145" s="5">
        <v>0</v>
      </c>
      <c r="C145" s="5">
        <v>0</v>
      </c>
      <c r="D145" s="5">
        <v>1</v>
      </c>
      <c r="E145" s="5">
        <v>202</v>
      </c>
      <c r="F145" s="5">
        <f>ROUND(Source!P142,O145)</f>
        <v>29140.78</v>
      </c>
      <c r="G145" s="5" t="s">
        <v>102</v>
      </c>
      <c r="H145" s="5" t="s">
        <v>103</v>
      </c>
      <c r="I145" s="5"/>
      <c r="J145" s="5"/>
      <c r="K145" s="5">
        <v>202</v>
      </c>
      <c r="L145" s="5">
        <v>2</v>
      </c>
      <c r="M145" s="5">
        <v>3</v>
      </c>
      <c r="N145" s="5" t="s">
        <v>3</v>
      </c>
      <c r="O145" s="5">
        <v>2</v>
      </c>
      <c r="P145" s="5">
        <f>ROUND(Source!DH142,O145)</f>
        <v>274879.44</v>
      </c>
      <c r="Q145" s="5"/>
      <c r="R145" s="5"/>
      <c r="S145" s="5"/>
      <c r="T145" s="5"/>
      <c r="U145" s="5"/>
      <c r="V145" s="5"/>
      <c r="W145" s="5">
        <v>29140.78</v>
      </c>
      <c r="X145" s="5">
        <v>1</v>
      </c>
      <c r="Y145" s="5">
        <v>29140.78</v>
      </c>
      <c r="Z145" s="5">
        <v>274879.44</v>
      </c>
      <c r="AA145" s="5">
        <v>1</v>
      </c>
      <c r="AB145" s="5">
        <v>274879.44</v>
      </c>
    </row>
    <row r="146" spans="1:28" x14ac:dyDescent="0.3">
      <c r="A146" s="5">
        <v>50</v>
      </c>
      <c r="B146" s="5">
        <v>0</v>
      </c>
      <c r="C146" s="5">
        <v>0</v>
      </c>
      <c r="D146" s="5">
        <v>1</v>
      </c>
      <c r="E146" s="5">
        <v>222</v>
      </c>
      <c r="F146" s="5">
        <f>ROUND(Source!AO142,O146)</f>
        <v>0</v>
      </c>
      <c r="G146" s="5" t="s">
        <v>104</v>
      </c>
      <c r="H146" s="5" t="s">
        <v>105</v>
      </c>
      <c r="I146" s="5"/>
      <c r="J146" s="5"/>
      <c r="K146" s="5">
        <v>222</v>
      </c>
      <c r="L146" s="5">
        <v>3</v>
      </c>
      <c r="M146" s="5">
        <v>3</v>
      </c>
      <c r="N146" s="5" t="s">
        <v>3</v>
      </c>
      <c r="O146" s="5">
        <v>2</v>
      </c>
      <c r="P146" s="5">
        <f>ROUND(Source!EG142,O146)</f>
        <v>0</v>
      </c>
      <c r="Q146" s="5"/>
      <c r="R146" s="5"/>
      <c r="S146" s="5"/>
      <c r="T146" s="5"/>
      <c r="U146" s="5"/>
      <c r="V146" s="5"/>
      <c r="W146" s="5">
        <v>0</v>
      </c>
      <c r="X146" s="5">
        <v>1</v>
      </c>
      <c r="Y146" s="5">
        <v>0</v>
      </c>
      <c r="Z146" s="5">
        <v>0</v>
      </c>
      <c r="AA146" s="5">
        <v>1</v>
      </c>
      <c r="AB146" s="5">
        <v>0</v>
      </c>
    </row>
    <row r="147" spans="1:28" x14ac:dyDescent="0.3">
      <c r="A147" s="5">
        <v>50</v>
      </c>
      <c r="B147" s="5">
        <v>0</v>
      </c>
      <c r="C147" s="5">
        <v>0</v>
      </c>
      <c r="D147" s="5">
        <v>1</v>
      </c>
      <c r="E147" s="5">
        <v>225</v>
      </c>
      <c r="F147" s="5">
        <f>ROUND(Source!AV142,O147)</f>
        <v>29140.78</v>
      </c>
      <c r="G147" s="5" t="s">
        <v>106</v>
      </c>
      <c r="H147" s="5" t="s">
        <v>107</v>
      </c>
      <c r="I147" s="5"/>
      <c r="J147" s="5"/>
      <c r="K147" s="5">
        <v>225</v>
      </c>
      <c r="L147" s="5">
        <v>4</v>
      </c>
      <c r="M147" s="5">
        <v>3</v>
      </c>
      <c r="N147" s="5" t="s">
        <v>3</v>
      </c>
      <c r="O147" s="5">
        <v>2</v>
      </c>
      <c r="P147" s="5">
        <f>ROUND(Source!EN142,O147)</f>
        <v>274879.44</v>
      </c>
      <c r="Q147" s="5"/>
      <c r="R147" s="5"/>
      <c r="S147" s="5"/>
      <c r="T147" s="5"/>
      <c r="U147" s="5"/>
      <c r="V147" s="5"/>
      <c r="W147" s="5">
        <v>29140.78</v>
      </c>
      <c r="X147" s="5">
        <v>1</v>
      </c>
      <c r="Y147" s="5">
        <v>29140.78</v>
      </c>
      <c r="Z147" s="5">
        <v>274879.44</v>
      </c>
      <c r="AA147" s="5">
        <v>1</v>
      </c>
      <c r="AB147" s="5">
        <v>274879.44</v>
      </c>
    </row>
    <row r="148" spans="1:28" x14ac:dyDescent="0.3">
      <c r="A148" s="5">
        <v>50</v>
      </c>
      <c r="B148" s="5">
        <v>0</v>
      </c>
      <c r="C148" s="5">
        <v>0</v>
      </c>
      <c r="D148" s="5">
        <v>1</v>
      </c>
      <c r="E148" s="5">
        <v>226</v>
      </c>
      <c r="F148" s="5">
        <f>ROUND(Source!AW142,O148)</f>
        <v>29140.78</v>
      </c>
      <c r="G148" s="5" t="s">
        <v>108</v>
      </c>
      <c r="H148" s="5" t="s">
        <v>109</v>
      </c>
      <c r="I148" s="5"/>
      <c r="J148" s="5"/>
      <c r="K148" s="5">
        <v>226</v>
      </c>
      <c r="L148" s="5">
        <v>5</v>
      </c>
      <c r="M148" s="5">
        <v>3</v>
      </c>
      <c r="N148" s="5" t="s">
        <v>3</v>
      </c>
      <c r="O148" s="5">
        <v>2</v>
      </c>
      <c r="P148" s="5">
        <f>ROUND(Source!EO142,O148)</f>
        <v>274879.44</v>
      </c>
      <c r="Q148" s="5"/>
      <c r="R148" s="5"/>
      <c r="S148" s="5"/>
      <c r="T148" s="5"/>
      <c r="U148" s="5"/>
      <c r="V148" s="5"/>
      <c r="W148" s="5">
        <v>29140.78</v>
      </c>
      <c r="X148" s="5">
        <v>1</v>
      </c>
      <c r="Y148" s="5">
        <v>29140.78</v>
      </c>
      <c r="Z148" s="5">
        <v>274879.44</v>
      </c>
      <c r="AA148" s="5">
        <v>1</v>
      </c>
      <c r="AB148" s="5">
        <v>274879.44</v>
      </c>
    </row>
    <row r="149" spans="1:28" x14ac:dyDescent="0.3">
      <c r="A149" s="5">
        <v>50</v>
      </c>
      <c r="B149" s="5">
        <v>0</v>
      </c>
      <c r="C149" s="5">
        <v>0</v>
      </c>
      <c r="D149" s="5">
        <v>1</v>
      </c>
      <c r="E149" s="5">
        <v>227</v>
      </c>
      <c r="F149" s="5">
        <f>ROUND(Source!AX142,O149)</f>
        <v>0</v>
      </c>
      <c r="G149" s="5" t="s">
        <v>110</v>
      </c>
      <c r="H149" s="5" t="s">
        <v>111</v>
      </c>
      <c r="I149" s="5"/>
      <c r="J149" s="5"/>
      <c r="K149" s="5">
        <v>227</v>
      </c>
      <c r="L149" s="5">
        <v>6</v>
      </c>
      <c r="M149" s="5">
        <v>3</v>
      </c>
      <c r="N149" s="5" t="s">
        <v>3</v>
      </c>
      <c r="O149" s="5">
        <v>2</v>
      </c>
      <c r="P149" s="5">
        <f>ROUND(Source!EP142,O149)</f>
        <v>0</v>
      </c>
      <c r="Q149" s="5"/>
      <c r="R149" s="5"/>
      <c r="S149" s="5"/>
      <c r="T149" s="5"/>
      <c r="U149" s="5"/>
      <c r="V149" s="5"/>
      <c r="W149" s="5">
        <v>0</v>
      </c>
      <c r="X149" s="5">
        <v>1</v>
      </c>
      <c r="Y149" s="5">
        <v>0</v>
      </c>
      <c r="Z149" s="5">
        <v>0</v>
      </c>
      <c r="AA149" s="5">
        <v>1</v>
      </c>
      <c r="AB149" s="5">
        <v>0</v>
      </c>
    </row>
    <row r="150" spans="1:28" x14ac:dyDescent="0.3">
      <c r="A150" s="5">
        <v>50</v>
      </c>
      <c r="B150" s="5">
        <v>0</v>
      </c>
      <c r="C150" s="5">
        <v>0</v>
      </c>
      <c r="D150" s="5">
        <v>1</v>
      </c>
      <c r="E150" s="5">
        <v>228</v>
      </c>
      <c r="F150" s="5">
        <f>ROUND(Source!AY142,O150)</f>
        <v>29140.78</v>
      </c>
      <c r="G150" s="5" t="s">
        <v>112</v>
      </c>
      <c r="H150" s="5" t="s">
        <v>113</v>
      </c>
      <c r="I150" s="5"/>
      <c r="J150" s="5"/>
      <c r="K150" s="5">
        <v>228</v>
      </c>
      <c r="L150" s="5">
        <v>7</v>
      </c>
      <c r="M150" s="5">
        <v>3</v>
      </c>
      <c r="N150" s="5" t="s">
        <v>3</v>
      </c>
      <c r="O150" s="5">
        <v>2</v>
      </c>
      <c r="P150" s="5">
        <f>ROUND(Source!EQ142,O150)</f>
        <v>274879.44</v>
      </c>
      <c r="Q150" s="5"/>
      <c r="R150" s="5"/>
      <c r="S150" s="5"/>
      <c r="T150" s="5"/>
      <c r="U150" s="5"/>
      <c r="V150" s="5"/>
      <c r="W150" s="5">
        <v>29140.78</v>
      </c>
      <c r="X150" s="5">
        <v>1</v>
      </c>
      <c r="Y150" s="5">
        <v>29140.78</v>
      </c>
      <c r="Z150" s="5">
        <v>274879.44</v>
      </c>
      <c r="AA150" s="5">
        <v>1</v>
      </c>
      <c r="AB150" s="5">
        <v>274879.44</v>
      </c>
    </row>
    <row r="151" spans="1:28" x14ac:dyDescent="0.3">
      <c r="A151" s="5">
        <v>50</v>
      </c>
      <c r="B151" s="5">
        <v>0</v>
      </c>
      <c r="C151" s="5">
        <v>0</v>
      </c>
      <c r="D151" s="5">
        <v>1</v>
      </c>
      <c r="E151" s="5">
        <v>216</v>
      </c>
      <c r="F151" s="5">
        <f>ROUND(Source!AP142,O151)</f>
        <v>0</v>
      </c>
      <c r="G151" s="5" t="s">
        <v>114</v>
      </c>
      <c r="H151" s="5" t="s">
        <v>115</v>
      </c>
      <c r="I151" s="5"/>
      <c r="J151" s="5"/>
      <c r="K151" s="5">
        <v>216</v>
      </c>
      <c r="L151" s="5">
        <v>8</v>
      </c>
      <c r="M151" s="5">
        <v>3</v>
      </c>
      <c r="N151" s="5" t="s">
        <v>3</v>
      </c>
      <c r="O151" s="5">
        <v>2</v>
      </c>
      <c r="P151" s="5">
        <f>ROUND(Source!EH142,O151)</f>
        <v>0</v>
      </c>
      <c r="Q151" s="5"/>
      <c r="R151" s="5"/>
      <c r="S151" s="5"/>
      <c r="T151" s="5"/>
      <c r="U151" s="5"/>
      <c r="V151" s="5"/>
      <c r="W151" s="5">
        <v>0</v>
      </c>
      <c r="X151" s="5">
        <v>1</v>
      </c>
      <c r="Y151" s="5">
        <v>0</v>
      </c>
      <c r="Z151" s="5">
        <v>0</v>
      </c>
      <c r="AA151" s="5">
        <v>1</v>
      </c>
      <c r="AB151" s="5">
        <v>0</v>
      </c>
    </row>
    <row r="152" spans="1:28" x14ac:dyDescent="0.3">
      <c r="A152" s="5">
        <v>50</v>
      </c>
      <c r="B152" s="5">
        <v>0</v>
      </c>
      <c r="C152" s="5">
        <v>0</v>
      </c>
      <c r="D152" s="5">
        <v>1</v>
      </c>
      <c r="E152" s="5">
        <v>223</v>
      </c>
      <c r="F152" s="5">
        <f>ROUND(Source!AQ142,O152)</f>
        <v>0</v>
      </c>
      <c r="G152" s="5" t="s">
        <v>116</v>
      </c>
      <c r="H152" s="5" t="s">
        <v>117</v>
      </c>
      <c r="I152" s="5"/>
      <c r="J152" s="5"/>
      <c r="K152" s="5">
        <v>223</v>
      </c>
      <c r="L152" s="5">
        <v>9</v>
      </c>
      <c r="M152" s="5">
        <v>3</v>
      </c>
      <c r="N152" s="5" t="s">
        <v>3</v>
      </c>
      <c r="O152" s="5">
        <v>2</v>
      </c>
      <c r="P152" s="5">
        <f>ROUND(Source!EI142,O152)</f>
        <v>0</v>
      </c>
      <c r="Q152" s="5"/>
      <c r="R152" s="5"/>
      <c r="S152" s="5"/>
      <c r="T152" s="5"/>
      <c r="U152" s="5"/>
      <c r="V152" s="5"/>
      <c r="W152" s="5">
        <v>0</v>
      </c>
      <c r="X152" s="5">
        <v>1</v>
      </c>
      <c r="Y152" s="5">
        <v>0</v>
      </c>
      <c r="Z152" s="5">
        <v>0</v>
      </c>
      <c r="AA152" s="5">
        <v>1</v>
      </c>
      <c r="AB152" s="5">
        <v>0</v>
      </c>
    </row>
    <row r="153" spans="1:28" x14ac:dyDescent="0.3">
      <c r="A153" s="5">
        <v>50</v>
      </c>
      <c r="B153" s="5">
        <v>0</v>
      </c>
      <c r="C153" s="5">
        <v>0</v>
      </c>
      <c r="D153" s="5">
        <v>1</v>
      </c>
      <c r="E153" s="5">
        <v>229</v>
      </c>
      <c r="F153" s="5">
        <f>ROUND(Source!AZ142,O153)</f>
        <v>0</v>
      </c>
      <c r="G153" s="5" t="s">
        <v>118</v>
      </c>
      <c r="H153" s="5" t="s">
        <v>119</v>
      </c>
      <c r="I153" s="5"/>
      <c r="J153" s="5"/>
      <c r="K153" s="5">
        <v>229</v>
      </c>
      <c r="L153" s="5">
        <v>10</v>
      </c>
      <c r="M153" s="5">
        <v>3</v>
      </c>
      <c r="N153" s="5" t="s">
        <v>3</v>
      </c>
      <c r="O153" s="5">
        <v>2</v>
      </c>
      <c r="P153" s="5">
        <f>ROUND(Source!ER142,O153)</f>
        <v>0</v>
      </c>
      <c r="Q153" s="5"/>
      <c r="R153" s="5"/>
      <c r="S153" s="5"/>
      <c r="T153" s="5"/>
      <c r="U153" s="5"/>
      <c r="V153" s="5"/>
      <c r="W153" s="5">
        <v>0</v>
      </c>
      <c r="X153" s="5">
        <v>1</v>
      </c>
      <c r="Y153" s="5">
        <v>0</v>
      </c>
      <c r="Z153" s="5">
        <v>0</v>
      </c>
      <c r="AA153" s="5">
        <v>1</v>
      </c>
      <c r="AB153" s="5">
        <v>0</v>
      </c>
    </row>
    <row r="154" spans="1:28" x14ac:dyDescent="0.3">
      <c r="A154" s="5">
        <v>50</v>
      </c>
      <c r="B154" s="5">
        <v>0</v>
      </c>
      <c r="C154" s="5">
        <v>0</v>
      </c>
      <c r="D154" s="5">
        <v>1</v>
      </c>
      <c r="E154" s="5">
        <v>203</v>
      </c>
      <c r="F154" s="5">
        <f>ROUND(Source!Q142,O154)</f>
        <v>6.67</v>
      </c>
      <c r="G154" s="5" t="s">
        <v>120</v>
      </c>
      <c r="H154" s="5" t="s">
        <v>121</v>
      </c>
      <c r="I154" s="5"/>
      <c r="J154" s="5"/>
      <c r="K154" s="5">
        <v>203</v>
      </c>
      <c r="L154" s="5">
        <v>11</v>
      </c>
      <c r="M154" s="5">
        <v>3</v>
      </c>
      <c r="N154" s="5" t="s">
        <v>3</v>
      </c>
      <c r="O154" s="5">
        <v>2</v>
      </c>
      <c r="P154" s="5">
        <f>ROUND(Source!DI142,O154)</f>
        <v>58.1</v>
      </c>
      <c r="Q154" s="5"/>
      <c r="R154" s="5"/>
      <c r="S154" s="5"/>
      <c r="T154" s="5"/>
      <c r="U154" s="5"/>
      <c r="V154" s="5"/>
      <c r="W154" s="5">
        <v>6.67</v>
      </c>
      <c r="X154" s="5">
        <v>1</v>
      </c>
      <c r="Y154" s="5">
        <v>6.67</v>
      </c>
      <c r="Z154" s="5">
        <v>58.1</v>
      </c>
      <c r="AA154" s="5">
        <v>1</v>
      </c>
      <c r="AB154" s="5">
        <v>58.1</v>
      </c>
    </row>
    <row r="155" spans="1:28" x14ac:dyDescent="0.3">
      <c r="A155" s="5">
        <v>50</v>
      </c>
      <c r="B155" s="5">
        <v>0</v>
      </c>
      <c r="C155" s="5">
        <v>0</v>
      </c>
      <c r="D155" s="5">
        <v>1</v>
      </c>
      <c r="E155" s="5">
        <v>231</v>
      </c>
      <c r="F155" s="5">
        <f>ROUND(Source!BB142,O155)</f>
        <v>0</v>
      </c>
      <c r="G155" s="5" t="s">
        <v>122</v>
      </c>
      <c r="H155" s="5" t="s">
        <v>123</v>
      </c>
      <c r="I155" s="5"/>
      <c r="J155" s="5"/>
      <c r="K155" s="5">
        <v>231</v>
      </c>
      <c r="L155" s="5">
        <v>12</v>
      </c>
      <c r="M155" s="5">
        <v>3</v>
      </c>
      <c r="N155" s="5" t="s">
        <v>3</v>
      </c>
      <c r="O155" s="5">
        <v>2</v>
      </c>
      <c r="P155" s="5">
        <f>ROUND(Source!ET142,O155)</f>
        <v>0</v>
      </c>
      <c r="Q155" s="5"/>
      <c r="R155" s="5"/>
      <c r="S155" s="5"/>
      <c r="T155" s="5"/>
      <c r="U155" s="5"/>
      <c r="V155" s="5"/>
      <c r="W155" s="5">
        <v>0</v>
      </c>
      <c r="X155" s="5">
        <v>1</v>
      </c>
      <c r="Y155" s="5">
        <v>0</v>
      </c>
      <c r="Z155" s="5">
        <v>0</v>
      </c>
      <c r="AA155" s="5">
        <v>1</v>
      </c>
      <c r="AB155" s="5">
        <v>0</v>
      </c>
    </row>
    <row r="156" spans="1:28" x14ac:dyDescent="0.3">
      <c r="A156" s="5">
        <v>50</v>
      </c>
      <c r="B156" s="5">
        <v>0</v>
      </c>
      <c r="C156" s="5">
        <v>0</v>
      </c>
      <c r="D156" s="5">
        <v>1</v>
      </c>
      <c r="E156" s="5">
        <v>204</v>
      </c>
      <c r="F156" s="5">
        <f>ROUND(Source!R142,O156)</f>
        <v>0</v>
      </c>
      <c r="G156" s="5" t="s">
        <v>124</v>
      </c>
      <c r="H156" s="5" t="s">
        <v>125</v>
      </c>
      <c r="I156" s="5"/>
      <c r="J156" s="5"/>
      <c r="K156" s="5">
        <v>204</v>
      </c>
      <c r="L156" s="5">
        <v>13</v>
      </c>
      <c r="M156" s="5">
        <v>3</v>
      </c>
      <c r="N156" s="5" t="s">
        <v>3</v>
      </c>
      <c r="O156" s="5">
        <v>2</v>
      </c>
      <c r="P156" s="5">
        <f>ROUND(Source!DJ142,O156)</f>
        <v>0</v>
      </c>
      <c r="Q156" s="5"/>
      <c r="R156" s="5"/>
      <c r="S156" s="5"/>
      <c r="T156" s="5"/>
      <c r="U156" s="5"/>
      <c r="V156" s="5"/>
      <c r="W156" s="5">
        <v>0</v>
      </c>
      <c r="X156" s="5">
        <v>1</v>
      </c>
      <c r="Y156" s="5">
        <v>0</v>
      </c>
      <c r="Z156" s="5">
        <v>0</v>
      </c>
      <c r="AA156" s="5">
        <v>1</v>
      </c>
      <c r="AB156" s="5">
        <v>0</v>
      </c>
    </row>
    <row r="157" spans="1:28" x14ac:dyDescent="0.3">
      <c r="A157" s="5">
        <v>50</v>
      </c>
      <c r="B157" s="5">
        <v>0</v>
      </c>
      <c r="C157" s="5">
        <v>0</v>
      </c>
      <c r="D157" s="5">
        <v>1</v>
      </c>
      <c r="E157" s="5">
        <v>205</v>
      </c>
      <c r="F157" s="5">
        <f>ROUND(Source!S142,O157)</f>
        <v>761.14</v>
      </c>
      <c r="G157" s="5" t="s">
        <v>126</v>
      </c>
      <c r="H157" s="5" t="s">
        <v>127</v>
      </c>
      <c r="I157" s="5"/>
      <c r="J157" s="5"/>
      <c r="K157" s="5">
        <v>205</v>
      </c>
      <c r="L157" s="5">
        <v>14</v>
      </c>
      <c r="M157" s="5">
        <v>3</v>
      </c>
      <c r="N157" s="5" t="s">
        <v>3</v>
      </c>
      <c r="O157" s="5">
        <v>2</v>
      </c>
      <c r="P157" s="5">
        <f>ROUND(Source!DK142,O157)</f>
        <v>41855.089999999997</v>
      </c>
      <c r="Q157" s="5"/>
      <c r="R157" s="5"/>
      <c r="S157" s="5"/>
      <c r="T157" s="5"/>
      <c r="U157" s="5"/>
      <c r="V157" s="5"/>
      <c r="W157" s="5">
        <v>761.14</v>
      </c>
      <c r="X157" s="5">
        <v>1</v>
      </c>
      <c r="Y157" s="5">
        <v>761.14</v>
      </c>
      <c r="Z157" s="5">
        <v>41855.089999999997</v>
      </c>
      <c r="AA157" s="5">
        <v>1</v>
      </c>
      <c r="AB157" s="5">
        <v>41855.089999999997</v>
      </c>
    </row>
    <row r="158" spans="1:28" x14ac:dyDescent="0.3">
      <c r="A158" s="5">
        <v>50</v>
      </c>
      <c r="B158" s="5">
        <v>0</v>
      </c>
      <c r="C158" s="5">
        <v>0</v>
      </c>
      <c r="D158" s="5">
        <v>1</v>
      </c>
      <c r="E158" s="5">
        <v>232</v>
      </c>
      <c r="F158" s="5">
        <f>ROUND(Source!BC142,O158)</f>
        <v>0</v>
      </c>
      <c r="G158" s="5" t="s">
        <v>128</v>
      </c>
      <c r="H158" s="5" t="s">
        <v>129</v>
      </c>
      <c r="I158" s="5"/>
      <c r="J158" s="5"/>
      <c r="K158" s="5">
        <v>232</v>
      </c>
      <c r="L158" s="5">
        <v>15</v>
      </c>
      <c r="M158" s="5">
        <v>3</v>
      </c>
      <c r="N158" s="5" t="s">
        <v>3</v>
      </c>
      <c r="O158" s="5">
        <v>2</v>
      </c>
      <c r="P158" s="5">
        <f>ROUND(Source!EU142,O158)</f>
        <v>0</v>
      </c>
      <c r="Q158" s="5"/>
      <c r="R158" s="5"/>
      <c r="S158" s="5"/>
      <c r="T158" s="5"/>
      <c r="U158" s="5"/>
      <c r="V158" s="5"/>
      <c r="W158" s="5">
        <v>0</v>
      </c>
      <c r="X158" s="5">
        <v>1</v>
      </c>
      <c r="Y158" s="5">
        <v>0</v>
      </c>
      <c r="Z158" s="5">
        <v>0</v>
      </c>
      <c r="AA158" s="5">
        <v>1</v>
      </c>
      <c r="AB158" s="5">
        <v>0</v>
      </c>
    </row>
    <row r="159" spans="1:28" x14ac:dyDescent="0.3">
      <c r="A159" s="5">
        <v>50</v>
      </c>
      <c r="B159" s="5">
        <v>0</v>
      </c>
      <c r="C159" s="5">
        <v>0</v>
      </c>
      <c r="D159" s="5">
        <v>1</v>
      </c>
      <c r="E159" s="5">
        <v>214</v>
      </c>
      <c r="F159" s="5">
        <f>ROUND(Source!AS142,O159)</f>
        <v>0</v>
      </c>
      <c r="G159" s="5" t="s">
        <v>130</v>
      </c>
      <c r="H159" s="5" t="s">
        <v>131</v>
      </c>
      <c r="I159" s="5"/>
      <c r="J159" s="5"/>
      <c r="K159" s="5">
        <v>214</v>
      </c>
      <c r="L159" s="5">
        <v>16</v>
      </c>
      <c r="M159" s="5">
        <v>3</v>
      </c>
      <c r="N159" s="5" t="s">
        <v>3</v>
      </c>
      <c r="O159" s="5">
        <v>2</v>
      </c>
      <c r="P159" s="5">
        <f>ROUND(Source!EK142,O159)</f>
        <v>0</v>
      </c>
      <c r="Q159" s="5"/>
      <c r="R159" s="5"/>
      <c r="S159" s="5"/>
      <c r="T159" s="5"/>
      <c r="U159" s="5"/>
      <c r="V159" s="5"/>
      <c r="W159" s="5">
        <v>0</v>
      </c>
      <c r="X159" s="5">
        <v>1</v>
      </c>
      <c r="Y159" s="5">
        <v>0</v>
      </c>
      <c r="Z159" s="5">
        <v>0</v>
      </c>
      <c r="AA159" s="5">
        <v>1</v>
      </c>
      <c r="AB159" s="5">
        <v>0</v>
      </c>
    </row>
    <row r="160" spans="1:28" x14ac:dyDescent="0.3">
      <c r="A160" s="5">
        <v>50</v>
      </c>
      <c r="B160" s="5">
        <v>0</v>
      </c>
      <c r="C160" s="5">
        <v>0</v>
      </c>
      <c r="D160" s="5">
        <v>1</v>
      </c>
      <c r="E160" s="5">
        <v>215</v>
      </c>
      <c r="F160" s="5">
        <f>ROUND(Source!AT142,O160)</f>
        <v>30943.74</v>
      </c>
      <c r="G160" s="5" t="s">
        <v>132</v>
      </c>
      <c r="H160" s="5" t="s">
        <v>133</v>
      </c>
      <c r="I160" s="5"/>
      <c r="J160" s="5"/>
      <c r="K160" s="5">
        <v>215</v>
      </c>
      <c r="L160" s="5">
        <v>17</v>
      </c>
      <c r="M160" s="5">
        <v>3</v>
      </c>
      <c r="N160" s="5" t="s">
        <v>3</v>
      </c>
      <c r="O160" s="5">
        <v>2</v>
      </c>
      <c r="P160" s="5">
        <f>ROUND(Source!EL142,O160)</f>
        <v>373715.55</v>
      </c>
      <c r="Q160" s="5"/>
      <c r="R160" s="5"/>
      <c r="S160" s="5"/>
      <c r="T160" s="5"/>
      <c r="U160" s="5"/>
      <c r="V160" s="5"/>
      <c r="W160" s="5">
        <v>30943.74</v>
      </c>
      <c r="X160" s="5">
        <v>1</v>
      </c>
      <c r="Y160" s="5">
        <v>30943.74</v>
      </c>
      <c r="Z160" s="5">
        <v>373715.55</v>
      </c>
      <c r="AA160" s="5">
        <v>1</v>
      </c>
      <c r="AB160" s="5">
        <v>373715.55</v>
      </c>
    </row>
    <row r="161" spans="1:206" x14ac:dyDescent="0.3">
      <c r="A161" s="5">
        <v>50</v>
      </c>
      <c r="B161" s="5">
        <v>0</v>
      </c>
      <c r="C161" s="5">
        <v>0</v>
      </c>
      <c r="D161" s="5">
        <v>1</v>
      </c>
      <c r="E161" s="5">
        <v>217</v>
      </c>
      <c r="F161" s="5">
        <f>ROUND(Source!AU142,O161)</f>
        <v>0</v>
      </c>
      <c r="G161" s="5" t="s">
        <v>134</v>
      </c>
      <c r="H161" s="5" t="s">
        <v>135</v>
      </c>
      <c r="I161" s="5"/>
      <c r="J161" s="5"/>
      <c r="K161" s="5">
        <v>217</v>
      </c>
      <c r="L161" s="5">
        <v>18</v>
      </c>
      <c r="M161" s="5">
        <v>3</v>
      </c>
      <c r="N161" s="5" t="s">
        <v>3</v>
      </c>
      <c r="O161" s="5">
        <v>2</v>
      </c>
      <c r="P161" s="5">
        <f>ROUND(Source!EM142,O161)</f>
        <v>0</v>
      </c>
      <c r="Q161" s="5"/>
      <c r="R161" s="5"/>
      <c r="S161" s="5"/>
      <c r="T161" s="5"/>
      <c r="U161" s="5"/>
      <c r="V161" s="5"/>
      <c r="W161" s="5">
        <v>0</v>
      </c>
      <c r="X161" s="5">
        <v>1</v>
      </c>
      <c r="Y161" s="5">
        <v>0</v>
      </c>
      <c r="Z161" s="5">
        <v>0</v>
      </c>
      <c r="AA161" s="5">
        <v>1</v>
      </c>
      <c r="AB161" s="5">
        <v>0</v>
      </c>
    </row>
    <row r="162" spans="1:206" x14ac:dyDescent="0.3">
      <c r="A162" s="5">
        <v>50</v>
      </c>
      <c r="B162" s="5">
        <v>0</v>
      </c>
      <c r="C162" s="5">
        <v>0</v>
      </c>
      <c r="D162" s="5">
        <v>1</v>
      </c>
      <c r="E162" s="5">
        <v>230</v>
      </c>
      <c r="F162" s="5">
        <f>ROUND(Source!BA142,O162)</f>
        <v>0</v>
      </c>
      <c r="G162" s="5" t="s">
        <v>136</v>
      </c>
      <c r="H162" s="5" t="s">
        <v>137</v>
      </c>
      <c r="I162" s="5"/>
      <c r="J162" s="5"/>
      <c r="K162" s="5">
        <v>230</v>
      </c>
      <c r="L162" s="5">
        <v>19</v>
      </c>
      <c r="M162" s="5">
        <v>3</v>
      </c>
      <c r="N162" s="5" t="s">
        <v>3</v>
      </c>
      <c r="O162" s="5">
        <v>2</v>
      </c>
      <c r="P162" s="5">
        <f>ROUND(Source!ES142,O162)</f>
        <v>0</v>
      </c>
      <c r="Q162" s="5"/>
      <c r="R162" s="5"/>
      <c r="S162" s="5"/>
      <c r="T162" s="5"/>
      <c r="U162" s="5"/>
      <c r="V162" s="5"/>
      <c r="W162" s="5">
        <v>0</v>
      </c>
      <c r="X162" s="5">
        <v>1</v>
      </c>
      <c r="Y162" s="5">
        <v>0</v>
      </c>
      <c r="Z162" s="5">
        <v>0</v>
      </c>
      <c r="AA162" s="5">
        <v>1</v>
      </c>
      <c r="AB162" s="5">
        <v>0</v>
      </c>
    </row>
    <row r="163" spans="1:206" x14ac:dyDescent="0.3">
      <c r="A163" s="5">
        <v>50</v>
      </c>
      <c r="B163" s="5">
        <v>0</v>
      </c>
      <c r="C163" s="5">
        <v>0</v>
      </c>
      <c r="D163" s="5">
        <v>1</v>
      </c>
      <c r="E163" s="5">
        <v>206</v>
      </c>
      <c r="F163" s="5">
        <f>ROUND(Source!T142,O163)</f>
        <v>0</v>
      </c>
      <c r="G163" s="5" t="s">
        <v>138</v>
      </c>
      <c r="H163" s="5" t="s">
        <v>139</v>
      </c>
      <c r="I163" s="5"/>
      <c r="J163" s="5"/>
      <c r="K163" s="5">
        <v>206</v>
      </c>
      <c r="L163" s="5">
        <v>20</v>
      </c>
      <c r="M163" s="5">
        <v>3</v>
      </c>
      <c r="N163" s="5" t="s">
        <v>3</v>
      </c>
      <c r="O163" s="5">
        <v>2</v>
      </c>
      <c r="P163" s="5">
        <f>ROUND(Source!DL142,O163)</f>
        <v>0</v>
      </c>
      <c r="Q163" s="5"/>
      <c r="R163" s="5"/>
      <c r="S163" s="5"/>
      <c r="T163" s="5"/>
      <c r="U163" s="5"/>
      <c r="V163" s="5"/>
      <c r="W163" s="5">
        <v>0</v>
      </c>
      <c r="X163" s="5">
        <v>1</v>
      </c>
      <c r="Y163" s="5">
        <v>0</v>
      </c>
      <c r="Z163" s="5">
        <v>0</v>
      </c>
      <c r="AA163" s="5">
        <v>1</v>
      </c>
      <c r="AB163" s="5">
        <v>0</v>
      </c>
    </row>
    <row r="164" spans="1:206" x14ac:dyDescent="0.3">
      <c r="A164" s="5">
        <v>50</v>
      </c>
      <c r="B164" s="5">
        <v>0</v>
      </c>
      <c r="C164" s="5">
        <v>0</v>
      </c>
      <c r="D164" s="5">
        <v>1</v>
      </c>
      <c r="E164" s="5">
        <v>207</v>
      </c>
      <c r="F164" s="5">
        <f>Source!U142</f>
        <v>64.046036999999998</v>
      </c>
      <c r="G164" s="5" t="s">
        <v>140</v>
      </c>
      <c r="H164" s="5" t="s">
        <v>141</v>
      </c>
      <c r="I164" s="5"/>
      <c r="J164" s="5"/>
      <c r="K164" s="5">
        <v>207</v>
      </c>
      <c r="L164" s="5">
        <v>21</v>
      </c>
      <c r="M164" s="5">
        <v>3</v>
      </c>
      <c r="N164" s="5" t="s">
        <v>3</v>
      </c>
      <c r="O164" s="5">
        <v>-1</v>
      </c>
      <c r="P164" s="5">
        <f>Source!DM142</f>
        <v>64.046036999999998</v>
      </c>
      <c r="Q164" s="5"/>
      <c r="R164" s="5"/>
      <c r="S164" s="5"/>
      <c r="T164" s="5"/>
      <c r="U164" s="5"/>
      <c r="V164" s="5"/>
      <c r="W164" s="5">
        <v>64.046036999999998</v>
      </c>
      <c r="X164" s="5">
        <v>1</v>
      </c>
      <c r="Y164" s="5">
        <v>64.046036999999998</v>
      </c>
      <c r="Z164" s="5">
        <v>64.046036999999998</v>
      </c>
      <c r="AA164" s="5">
        <v>1</v>
      </c>
      <c r="AB164" s="5">
        <v>64.046036999999998</v>
      </c>
    </row>
    <row r="165" spans="1:206" x14ac:dyDescent="0.3">
      <c r="A165" s="5">
        <v>50</v>
      </c>
      <c r="B165" s="5">
        <v>0</v>
      </c>
      <c r="C165" s="5">
        <v>0</v>
      </c>
      <c r="D165" s="5">
        <v>1</v>
      </c>
      <c r="E165" s="5">
        <v>208</v>
      </c>
      <c r="F165" s="5">
        <f>Source!V142</f>
        <v>0</v>
      </c>
      <c r="G165" s="5" t="s">
        <v>142</v>
      </c>
      <c r="H165" s="5" t="s">
        <v>143</v>
      </c>
      <c r="I165" s="5"/>
      <c r="J165" s="5"/>
      <c r="K165" s="5">
        <v>208</v>
      </c>
      <c r="L165" s="5">
        <v>22</v>
      </c>
      <c r="M165" s="5">
        <v>3</v>
      </c>
      <c r="N165" s="5" t="s">
        <v>3</v>
      </c>
      <c r="O165" s="5">
        <v>-1</v>
      </c>
      <c r="P165" s="5">
        <f>Source!DN142</f>
        <v>0</v>
      </c>
      <c r="Q165" s="5"/>
      <c r="R165" s="5"/>
      <c r="S165" s="5"/>
      <c r="T165" s="5"/>
      <c r="U165" s="5"/>
      <c r="V165" s="5"/>
      <c r="W165" s="5">
        <v>0</v>
      </c>
      <c r="X165" s="5">
        <v>1</v>
      </c>
      <c r="Y165" s="5">
        <v>0</v>
      </c>
      <c r="Z165" s="5">
        <v>0</v>
      </c>
      <c r="AA165" s="5">
        <v>1</v>
      </c>
      <c r="AB165" s="5">
        <v>0</v>
      </c>
    </row>
    <row r="166" spans="1:206" x14ac:dyDescent="0.3">
      <c r="A166" s="5">
        <v>50</v>
      </c>
      <c r="B166" s="5">
        <v>0</v>
      </c>
      <c r="C166" s="5">
        <v>0</v>
      </c>
      <c r="D166" s="5">
        <v>1</v>
      </c>
      <c r="E166" s="5">
        <v>209</v>
      </c>
      <c r="F166" s="5">
        <f>ROUND(Source!W142,O166)</f>
        <v>0</v>
      </c>
      <c r="G166" s="5" t="s">
        <v>144</v>
      </c>
      <c r="H166" s="5" t="s">
        <v>145</v>
      </c>
      <c r="I166" s="5"/>
      <c r="J166" s="5"/>
      <c r="K166" s="5">
        <v>209</v>
      </c>
      <c r="L166" s="5">
        <v>23</v>
      </c>
      <c r="M166" s="5">
        <v>3</v>
      </c>
      <c r="N166" s="5" t="s">
        <v>3</v>
      </c>
      <c r="O166" s="5">
        <v>2</v>
      </c>
      <c r="P166" s="5">
        <f>ROUND(Source!DO142,O166)</f>
        <v>0</v>
      </c>
      <c r="Q166" s="5"/>
      <c r="R166" s="5"/>
      <c r="S166" s="5"/>
      <c r="T166" s="5"/>
      <c r="U166" s="5"/>
      <c r="V166" s="5"/>
      <c r="W166" s="5">
        <v>0</v>
      </c>
      <c r="X166" s="5">
        <v>1</v>
      </c>
      <c r="Y166" s="5">
        <v>0</v>
      </c>
      <c r="Z166" s="5">
        <v>0</v>
      </c>
      <c r="AA166" s="5">
        <v>1</v>
      </c>
      <c r="AB166" s="5">
        <v>0</v>
      </c>
    </row>
    <row r="167" spans="1:206" x14ac:dyDescent="0.3">
      <c r="A167" s="5">
        <v>50</v>
      </c>
      <c r="B167" s="5">
        <v>0</v>
      </c>
      <c r="C167" s="5">
        <v>0</v>
      </c>
      <c r="D167" s="5">
        <v>1</v>
      </c>
      <c r="E167" s="5">
        <v>233</v>
      </c>
      <c r="F167" s="5">
        <f>ROUND(Source!BD142,O167)</f>
        <v>0</v>
      </c>
      <c r="G167" s="5" t="s">
        <v>146</v>
      </c>
      <c r="H167" s="5" t="s">
        <v>147</v>
      </c>
      <c r="I167" s="5"/>
      <c r="J167" s="5"/>
      <c r="K167" s="5">
        <v>233</v>
      </c>
      <c r="L167" s="5">
        <v>24</v>
      </c>
      <c r="M167" s="5">
        <v>3</v>
      </c>
      <c r="N167" s="5" t="s">
        <v>3</v>
      </c>
      <c r="O167" s="5">
        <v>2</v>
      </c>
      <c r="P167" s="5">
        <f>ROUND(Source!EV142,O167)</f>
        <v>0</v>
      </c>
      <c r="Q167" s="5"/>
      <c r="R167" s="5"/>
      <c r="S167" s="5"/>
      <c r="T167" s="5"/>
      <c r="U167" s="5"/>
      <c r="V167" s="5"/>
      <c r="W167" s="5">
        <v>0</v>
      </c>
      <c r="X167" s="5">
        <v>1</v>
      </c>
      <c r="Y167" s="5">
        <v>0</v>
      </c>
      <c r="Z167" s="5">
        <v>0</v>
      </c>
      <c r="AA167" s="5">
        <v>1</v>
      </c>
      <c r="AB167" s="5">
        <v>0</v>
      </c>
    </row>
    <row r="168" spans="1:206" x14ac:dyDescent="0.3">
      <c r="A168" s="5">
        <v>50</v>
      </c>
      <c r="B168" s="5">
        <v>0</v>
      </c>
      <c r="C168" s="5">
        <v>0</v>
      </c>
      <c r="D168" s="5">
        <v>1</v>
      </c>
      <c r="E168" s="5">
        <v>210</v>
      </c>
      <c r="F168" s="5">
        <f>ROUND(Source!X142,O168)</f>
        <v>685.03</v>
      </c>
      <c r="G168" s="5" t="s">
        <v>148</v>
      </c>
      <c r="H168" s="5" t="s">
        <v>149</v>
      </c>
      <c r="I168" s="5"/>
      <c r="J168" s="5"/>
      <c r="K168" s="5">
        <v>210</v>
      </c>
      <c r="L168" s="5">
        <v>25</v>
      </c>
      <c r="M168" s="5">
        <v>3</v>
      </c>
      <c r="N168" s="5" t="s">
        <v>3</v>
      </c>
      <c r="O168" s="5">
        <v>2</v>
      </c>
      <c r="P168" s="5">
        <f>ROUND(Source!DP142,O168)</f>
        <v>37669.58</v>
      </c>
      <c r="Q168" s="5"/>
      <c r="R168" s="5"/>
      <c r="S168" s="5"/>
      <c r="T168" s="5"/>
      <c r="U168" s="5"/>
      <c r="V168" s="5"/>
      <c r="W168" s="5">
        <v>685.03</v>
      </c>
      <c r="X168" s="5">
        <v>1</v>
      </c>
      <c r="Y168" s="5">
        <v>685.03</v>
      </c>
      <c r="Z168" s="5">
        <v>37669.58</v>
      </c>
      <c r="AA168" s="5">
        <v>1</v>
      </c>
      <c r="AB168" s="5">
        <v>37669.58</v>
      </c>
    </row>
    <row r="169" spans="1:206" x14ac:dyDescent="0.3">
      <c r="A169" s="5">
        <v>50</v>
      </c>
      <c r="B169" s="5">
        <v>0</v>
      </c>
      <c r="C169" s="5">
        <v>0</v>
      </c>
      <c r="D169" s="5">
        <v>1</v>
      </c>
      <c r="E169" s="5">
        <v>211</v>
      </c>
      <c r="F169" s="5">
        <f>ROUND(Source!Y142,O169)</f>
        <v>350.12</v>
      </c>
      <c r="G169" s="5" t="s">
        <v>150</v>
      </c>
      <c r="H169" s="5" t="s">
        <v>151</v>
      </c>
      <c r="I169" s="5"/>
      <c r="J169" s="5"/>
      <c r="K169" s="5">
        <v>211</v>
      </c>
      <c r="L169" s="5">
        <v>26</v>
      </c>
      <c r="M169" s="5">
        <v>3</v>
      </c>
      <c r="N169" s="5" t="s">
        <v>3</v>
      </c>
      <c r="O169" s="5">
        <v>2</v>
      </c>
      <c r="P169" s="5">
        <f>ROUND(Source!DQ142,O169)</f>
        <v>19253.34</v>
      </c>
      <c r="Q169" s="5"/>
      <c r="R169" s="5"/>
      <c r="S169" s="5"/>
      <c r="T169" s="5"/>
      <c r="U169" s="5"/>
      <c r="V169" s="5"/>
      <c r="W169" s="5">
        <v>350.12</v>
      </c>
      <c r="X169" s="5">
        <v>1</v>
      </c>
      <c r="Y169" s="5">
        <v>350.12</v>
      </c>
      <c r="Z169" s="5">
        <v>19253.34</v>
      </c>
      <c r="AA169" s="5">
        <v>1</v>
      </c>
      <c r="AB169" s="5">
        <v>19253.34</v>
      </c>
    </row>
    <row r="170" spans="1:206" x14ac:dyDescent="0.3">
      <c r="A170" s="5">
        <v>50</v>
      </c>
      <c r="B170" s="5">
        <v>0</v>
      </c>
      <c r="C170" s="5">
        <v>0</v>
      </c>
      <c r="D170" s="5">
        <v>1</v>
      </c>
      <c r="E170" s="5">
        <v>224</v>
      </c>
      <c r="F170" s="5">
        <f>ROUND(Source!AR142,O170)</f>
        <v>30943.74</v>
      </c>
      <c r="G170" s="5" t="s">
        <v>152</v>
      </c>
      <c r="H170" s="5" t="s">
        <v>153</v>
      </c>
      <c r="I170" s="5"/>
      <c r="J170" s="5"/>
      <c r="K170" s="5">
        <v>224</v>
      </c>
      <c r="L170" s="5">
        <v>27</v>
      </c>
      <c r="M170" s="5">
        <v>3</v>
      </c>
      <c r="N170" s="5" t="s">
        <v>3</v>
      </c>
      <c r="O170" s="5">
        <v>2</v>
      </c>
      <c r="P170" s="5">
        <f>ROUND(Source!EJ142,O170)</f>
        <v>373715.55</v>
      </c>
      <c r="Q170" s="5"/>
      <c r="R170" s="5"/>
      <c r="S170" s="5"/>
      <c r="T170" s="5"/>
      <c r="U170" s="5"/>
      <c r="V170" s="5"/>
      <c r="W170" s="5">
        <v>30943.74</v>
      </c>
      <c r="X170" s="5">
        <v>1</v>
      </c>
      <c r="Y170" s="5">
        <v>30943.74</v>
      </c>
      <c r="Z170" s="5">
        <v>373715.55</v>
      </c>
      <c r="AA170" s="5">
        <v>1</v>
      </c>
      <c r="AB170" s="5">
        <v>373715.55</v>
      </c>
    </row>
    <row r="172" spans="1:206" x14ac:dyDescent="0.3">
      <c r="A172" s="3">
        <v>51</v>
      </c>
      <c r="B172" s="3">
        <f>B20</f>
        <v>1</v>
      </c>
      <c r="C172" s="3">
        <f>A20</f>
        <v>3</v>
      </c>
      <c r="D172" s="3">
        <f>ROW(A20)</f>
        <v>20</v>
      </c>
      <c r="E172" s="3"/>
      <c r="F172" s="3" t="str">
        <f>IF(F20&lt;&gt;"",F20,"")</f>
        <v>02-01-17</v>
      </c>
      <c r="G172" s="3" t="str">
        <f>IF(G20&lt;&gt;"",G20,"")</f>
        <v>Система двусторонней связи</v>
      </c>
      <c r="H172" s="3">
        <v>0</v>
      </c>
      <c r="I172" s="3"/>
      <c r="J172" s="3"/>
      <c r="K172" s="3"/>
      <c r="L172" s="3"/>
      <c r="M172" s="3"/>
      <c r="N172" s="3"/>
      <c r="O172" s="3">
        <f t="shared" ref="O172:T172" si="120">ROUND(O63+O142+AB172,2)</f>
        <v>113436.02</v>
      </c>
      <c r="P172" s="3">
        <f t="shared" si="120"/>
        <v>111647.03999999999</v>
      </c>
      <c r="Q172" s="3">
        <f t="shared" si="120"/>
        <v>26.69</v>
      </c>
      <c r="R172" s="3">
        <f t="shared" si="120"/>
        <v>3.15</v>
      </c>
      <c r="S172" s="3">
        <f t="shared" si="120"/>
        <v>1762.29</v>
      </c>
      <c r="T172" s="3">
        <f t="shared" si="120"/>
        <v>0</v>
      </c>
      <c r="U172" s="3">
        <f>U63+U142+AH172</f>
        <v>136.2944814</v>
      </c>
      <c r="V172" s="3">
        <f>V63+V142+AI172</f>
        <v>0</v>
      </c>
      <c r="W172" s="3">
        <f>ROUND(W63+W142+AJ172,2)</f>
        <v>0</v>
      </c>
      <c r="X172" s="3">
        <f>ROUND(X63+X142+AK172,2)</f>
        <v>1589.6</v>
      </c>
      <c r="Y172" s="3">
        <f>ROUND(Y63+Y142+AL172,2)</f>
        <v>813.06</v>
      </c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>
        <f t="shared" ref="AO172:BD172" si="121">ROUND(AO63+AO142+BX172,2)</f>
        <v>0</v>
      </c>
      <c r="AP172" s="3">
        <f t="shared" si="121"/>
        <v>81880.2</v>
      </c>
      <c r="AQ172" s="3">
        <f t="shared" si="121"/>
        <v>0</v>
      </c>
      <c r="AR172" s="3">
        <f t="shared" si="121"/>
        <v>115838.68</v>
      </c>
      <c r="AS172" s="3">
        <f t="shared" si="121"/>
        <v>0</v>
      </c>
      <c r="AT172" s="3">
        <f t="shared" si="121"/>
        <v>33958.480000000003</v>
      </c>
      <c r="AU172" s="3">
        <f t="shared" si="121"/>
        <v>0</v>
      </c>
      <c r="AV172" s="3">
        <f t="shared" si="121"/>
        <v>111647.03999999999</v>
      </c>
      <c r="AW172" s="3">
        <f t="shared" si="121"/>
        <v>29766.84</v>
      </c>
      <c r="AX172" s="3">
        <f t="shared" si="121"/>
        <v>0</v>
      </c>
      <c r="AY172" s="3">
        <f t="shared" si="121"/>
        <v>29766.84</v>
      </c>
      <c r="AZ172" s="3">
        <f t="shared" si="121"/>
        <v>81880.2</v>
      </c>
      <c r="BA172" s="3">
        <f t="shared" si="121"/>
        <v>0</v>
      </c>
      <c r="BB172" s="3">
        <f t="shared" si="121"/>
        <v>0</v>
      </c>
      <c r="BC172" s="3">
        <f t="shared" si="121"/>
        <v>0</v>
      </c>
      <c r="BD172" s="3">
        <f t="shared" si="121"/>
        <v>0</v>
      </c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4">
        <f t="shared" ref="DG172:DL172" si="122">ROUND(DG63+DG142+DT172,2)</f>
        <v>1005754.17</v>
      </c>
      <c r="DH172" s="4">
        <f t="shared" si="122"/>
        <v>908449.45</v>
      </c>
      <c r="DI172" s="4">
        <f t="shared" si="122"/>
        <v>396.4</v>
      </c>
      <c r="DJ172" s="4">
        <f t="shared" si="122"/>
        <v>173.23</v>
      </c>
      <c r="DK172" s="4">
        <f t="shared" si="122"/>
        <v>96908.32</v>
      </c>
      <c r="DL172" s="4">
        <f t="shared" si="122"/>
        <v>0</v>
      </c>
      <c r="DM172" s="4">
        <f>DM63+DM142+DZ172</f>
        <v>136.2944814</v>
      </c>
      <c r="DN172" s="4">
        <f>DN63+DN142+EA172</f>
        <v>0</v>
      </c>
      <c r="DO172" s="4">
        <f>ROUND(DO63+DO142+EB172,2)</f>
        <v>0</v>
      </c>
      <c r="DP172" s="4">
        <f>ROUND(DP63+DP142+EC172,2)</f>
        <v>87411.04</v>
      </c>
      <c r="DQ172" s="4">
        <f>ROUND(DQ63+DQ142+ED172,2)</f>
        <v>44710.2</v>
      </c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>
        <f t="shared" ref="EG172:EV172" si="123">ROUND(EG63+EG142+FP172,2)</f>
        <v>0</v>
      </c>
      <c r="EH172" s="4">
        <f t="shared" si="123"/>
        <v>627397.21</v>
      </c>
      <c r="EI172" s="4">
        <f t="shared" si="123"/>
        <v>0</v>
      </c>
      <c r="EJ172" s="4">
        <f t="shared" si="123"/>
        <v>1137875.4099999999</v>
      </c>
      <c r="EK172" s="4">
        <f t="shared" si="123"/>
        <v>0</v>
      </c>
      <c r="EL172" s="4">
        <f t="shared" si="123"/>
        <v>510478.2</v>
      </c>
      <c r="EM172" s="4">
        <f t="shared" si="123"/>
        <v>0</v>
      </c>
      <c r="EN172" s="4">
        <f t="shared" si="123"/>
        <v>908449.45</v>
      </c>
      <c r="EO172" s="4">
        <f t="shared" si="123"/>
        <v>281052.24</v>
      </c>
      <c r="EP172" s="4">
        <f t="shared" si="123"/>
        <v>0</v>
      </c>
      <c r="EQ172" s="4">
        <f t="shared" si="123"/>
        <v>281052.24</v>
      </c>
      <c r="ER172" s="4">
        <f t="shared" si="123"/>
        <v>627397.21</v>
      </c>
      <c r="ES172" s="4">
        <f t="shared" si="123"/>
        <v>0</v>
      </c>
      <c r="ET172" s="4">
        <f t="shared" si="123"/>
        <v>0</v>
      </c>
      <c r="EU172" s="4">
        <f t="shared" si="123"/>
        <v>0</v>
      </c>
      <c r="EV172" s="4">
        <f t="shared" si="123"/>
        <v>0</v>
      </c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  <c r="FU172" s="4"/>
      <c r="FV172" s="4"/>
      <c r="FW172" s="4"/>
      <c r="FX172" s="4"/>
      <c r="FY172" s="4"/>
      <c r="FZ172" s="4"/>
      <c r="GA172" s="4"/>
      <c r="GB172" s="4"/>
      <c r="GC172" s="4"/>
      <c r="GD172" s="4"/>
      <c r="GE172" s="4"/>
      <c r="GF172" s="4"/>
      <c r="GG172" s="4"/>
      <c r="GH172" s="4"/>
      <c r="GI172" s="4"/>
      <c r="GJ172" s="4"/>
      <c r="GK172" s="4"/>
      <c r="GL172" s="4"/>
      <c r="GM172" s="4"/>
      <c r="GN172" s="4"/>
      <c r="GO172" s="4"/>
      <c r="GP172" s="4"/>
      <c r="GQ172" s="4"/>
      <c r="GR172" s="4"/>
      <c r="GS172" s="4"/>
      <c r="GT172" s="4"/>
      <c r="GU172" s="4"/>
      <c r="GV172" s="4"/>
      <c r="GW172" s="4"/>
      <c r="GX172" s="4">
        <v>0</v>
      </c>
    </row>
    <row r="174" spans="1:206" x14ac:dyDescent="0.3">
      <c r="A174" s="5">
        <v>50</v>
      </c>
      <c r="B174" s="5">
        <v>0</v>
      </c>
      <c r="C174" s="5">
        <v>0</v>
      </c>
      <c r="D174" s="5">
        <v>1</v>
      </c>
      <c r="E174" s="5">
        <v>201</v>
      </c>
      <c r="F174" s="5">
        <f>ROUND(Source!O172,O174)</f>
        <v>113436.02</v>
      </c>
      <c r="G174" s="5" t="s">
        <v>100</v>
      </c>
      <c r="H174" s="5" t="s">
        <v>101</v>
      </c>
      <c r="I174" s="5"/>
      <c r="J174" s="5"/>
      <c r="K174" s="5">
        <v>201</v>
      </c>
      <c r="L174" s="5">
        <v>1</v>
      </c>
      <c r="M174" s="5">
        <v>3</v>
      </c>
      <c r="N174" s="5" t="s">
        <v>3</v>
      </c>
      <c r="O174" s="5">
        <v>2</v>
      </c>
      <c r="P174" s="5">
        <f>ROUND(Source!DG172,O174)</f>
        <v>1005754.17</v>
      </c>
      <c r="Q174" s="5"/>
      <c r="R174" s="5"/>
      <c r="S174" s="5"/>
      <c r="T174" s="5"/>
      <c r="U174" s="5"/>
      <c r="V174" s="5"/>
      <c r="W174" s="5">
        <v>113436.02</v>
      </c>
      <c r="X174" s="5">
        <v>1</v>
      </c>
      <c r="Y174" s="5">
        <v>113436.02</v>
      </c>
      <c r="Z174" s="5">
        <v>1005754.17</v>
      </c>
      <c r="AA174" s="5">
        <v>1</v>
      </c>
      <c r="AB174" s="5">
        <v>1005754.17</v>
      </c>
    </row>
    <row r="175" spans="1:206" x14ac:dyDescent="0.3">
      <c r="A175" s="5">
        <v>50</v>
      </c>
      <c r="B175" s="5">
        <v>0</v>
      </c>
      <c r="C175" s="5">
        <v>0</v>
      </c>
      <c r="D175" s="5">
        <v>1</v>
      </c>
      <c r="E175" s="5">
        <v>202</v>
      </c>
      <c r="F175" s="5">
        <f>ROUND(Source!P172,O175)</f>
        <v>111647.03999999999</v>
      </c>
      <c r="G175" s="5" t="s">
        <v>102</v>
      </c>
      <c r="H175" s="5" t="s">
        <v>103</v>
      </c>
      <c r="I175" s="5"/>
      <c r="J175" s="5"/>
      <c r="K175" s="5">
        <v>202</v>
      </c>
      <c r="L175" s="5">
        <v>2</v>
      </c>
      <c r="M175" s="5">
        <v>3</v>
      </c>
      <c r="N175" s="5" t="s">
        <v>3</v>
      </c>
      <c r="O175" s="5">
        <v>2</v>
      </c>
      <c r="P175" s="5">
        <f>ROUND(Source!DH172,O175)</f>
        <v>908449.45</v>
      </c>
      <c r="Q175" s="5"/>
      <c r="R175" s="5"/>
      <c r="S175" s="5"/>
      <c r="T175" s="5"/>
      <c r="U175" s="5"/>
      <c r="V175" s="5"/>
      <c r="W175" s="5">
        <v>111647.03999999999</v>
      </c>
      <c r="X175" s="5">
        <v>1</v>
      </c>
      <c r="Y175" s="5">
        <v>111647.03999999999</v>
      </c>
      <c r="Z175" s="5">
        <v>908449.45</v>
      </c>
      <c r="AA175" s="5">
        <v>1</v>
      </c>
      <c r="AB175" s="5">
        <v>908449.45</v>
      </c>
    </row>
    <row r="176" spans="1:206" x14ac:dyDescent="0.3">
      <c r="A176" s="5">
        <v>50</v>
      </c>
      <c r="B176" s="5">
        <v>0</v>
      </c>
      <c r="C176" s="5">
        <v>0</v>
      </c>
      <c r="D176" s="5">
        <v>1</v>
      </c>
      <c r="E176" s="5">
        <v>222</v>
      </c>
      <c r="F176" s="5">
        <f>ROUND(Source!AO172,O176)</f>
        <v>0</v>
      </c>
      <c r="G176" s="5" t="s">
        <v>104</v>
      </c>
      <c r="H176" s="5" t="s">
        <v>105</v>
      </c>
      <c r="I176" s="5"/>
      <c r="J176" s="5"/>
      <c r="K176" s="5">
        <v>222</v>
      </c>
      <c r="L176" s="5">
        <v>3</v>
      </c>
      <c r="M176" s="5">
        <v>3</v>
      </c>
      <c r="N176" s="5" t="s">
        <v>3</v>
      </c>
      <c r="O176" s="5">
        <v>2</v>
      </c>
      <c r="P176" s="5">
        <f>ROUND(Source!EG172,O176)</f>
        <v>0</v>
      </c>
      <c r="Q176" s="5"/>
      <c r="R176" s="5"/>
      <c r="S176" s="5"/>
      <c r="T176" s="5"/>
      <c r="U176" s="5"/>
      <c r="V176" s="5"/>
      <c r="W176" s="5">
        <v>0</v>
      </c>
      <c r="X176" s="5">
        <v>1</v>
      </c>
      <c r="Y176" s="5">
        <v>0</v>
      </c>
      <c r="Z176" s="5">
        <v>0</v>
      </c>
      <c r="AA176" s="5">
        <v>1</v>
      </c>
      <c r="AB176" s="5">
        <v>0</v>
      </c>
    </row>
    <row r="177" spans="1:28" x14ac:dyDescent="0.3">
      <c r="A177" s="5">
        <v>50</v>
      </c>
      <c r="B177" s="5">
        <v>0</v>
      </c>
      <c r="C177" s="5">
        <v>0</v>
      </c>
      <c r="D177" s="5">
        <v>1</v>
      </c>
      <c r="E177" s="5">
        <v>225</v>
      </c>
      <c r="F177" s="5">
        <f>ROUND(Source!AV172,O177)</f>
        <v>111647.03999999999</v>
      </c>
      <c r="G177" s="5" t="s">
        <v>106</v>
      </c>
      <c r="H177" s="5" t="s">
        <v>107</v>
      </c>
      <c r="I177" s="5"/>
      <c r="J177" s="5"/>
      <c r="K177" s="5">
        <v>225</v>
      </c>
      <c r="L177" s="5">
        <v>4</v>
      </c>
      <c r="M177" s="5">
        <v>3</v>
      </c>
      <c r="N177" s="5" t="s">
        <v>3</v>
      </c>
      <c r="O177" s="5">
        <v>2</v>
      </c>
      <c r="P177" s="5">
        <f>ROUND(Source!EN172,O177)</f>
        <v>908449.45</v>
      </c>
      <c r="Q177" s="5"/>
      <c r="R177" s="5"/>
      <c r="S177" s="5"/>
      <c r="T177" s="5"/>
      <c r="U177" s="5"/>
      <c r="V177" s="5"/>
      <c r="W177" s="5">
        <v>111647.03999999999</v>
      </c>
      <c r="X177" s="5">
        <v>1</v>
      </c>
      <c r="Y177" s="5">
        <v>111647.03999999999</v>
      </c>
      <c r="Z177" s="5">
        <v>908449.45</v>
      </c>
      <c r="AA177" s="5">
        <v>1</v>
      </c>
      <c r="AB177" s="5">
        <v>908449.45</v>
      </c>
    </row>
    <row r="178" spans="1:28" x14ac:dyDescent="0.3">
      <c r="A178" s="5">
        <v>50</v>
      </c>
      <c r="B178" s="5">
        <v>0</v>
      </c>
      <c r="C178" s="5">
        <v>0</v>
      </c>
      <c r="D178" s="5">
        <v>1</v>
      </c>
      <c r="E178" s="5">
        <v>226</v>
      </c>
      <c r="F178" s="5">
        <f>ROUND(Source!AW172,O178)</f>
        <v>29766.84</v>
      </c>
      <c r="G178" s="5" t="s">
        <v>108</v>
      </c>
      <c r="H178" s="5" t="s">
        <v>109</v>
      </c>
      <c r="I178" s="5"/>
      <c r="J178" s="5"/>
      <c r="K178" s="5">
        <v>226</v>
      </c>
      <c r="L178" s="5">
        <v>5</v>
      </c>
      <c r="M178" s="5">
        <v>3</v>
      </c>
      <c r="N178" s="5" t="s">
        <v>3</v>
      </c>
      <c r="O178" s="5">
        <v>2</v>
      </c>
      <c r="P178" s="5">
        <f>ROUND(Source!EO172,O178)</f>
        <v>281052.24</v>
      </c>
      <c r="Q178" s="5"/>
      <c r="R178" s="5"/>
      <c r="S178" s="5"/>
      <c r="T178" s="5"/>
      <c r="U178" s="5"/>
      <c r="V178" s="5"/>
      <c r="W178" s="5">
        <v>29766.84</v>
      </c>
      <c r="X178" s="5">
        <v>1</v>
      </c>
      <c r="Y178" s="5">
        <v>29766.84</v>
      </c>
      <c r="Z178" s="5">
        <v>281052.24</v>
      </c>
      <c r="AA178" s="5">
        <v>1</v>
      </c>
      <c r="AB178" s="5">
        <v>281052.24</v>
      </c>
    </row>
    <row r="179" spans="1:28" x14ac:dyDescent="0.3">
      <c r="A179" s="5">
        <v>50</v>
      </c>
      <c r="B179" s="5">
        <v>0</v>
      </c>
      <c r="C179" s="5">
        <v>0</v>
      </c>
      <c r="D179" s="5">
        <v>1</v>
      </c>
      <c r="E179" s="5">
        <v>227</v>
      </c>
      <c r="F179" s="5">
        <f>ROUND(Source!AX172,O179)</f>
        <v>0</v>
      </c>
      <c r="G179" s="5" t="s">
        <v>110</v>
      </c>
      <c r="H179" s="5" t="s">
        <v>111</v>
      </c>
      <c r="I179" s="5"/>
      <c r="J179" s="5"/>
      <c r="K179" s="5">
        <v>227</v>
      </c>
      <c r="L179" s="5">
        <v>6</v>
      </c>
      <c r="M179" s="5">
        <v>3</v>
      </c>
      <c r="N179" s="5" t="s">
        <v>3</v>
      </c>
      <c r="O179" s="5">
        <v>2</v>
      </c>
      <c r="P179" s="5">
        <f>ROUND(Source!EP172,O179)</f>
        <v>0</v>
      </c>
      <c r="Q179" s="5"/>
      <c r="R179" s="5"/>
      <c r="S179" s="5"/>
      <c r="T179" s="5"/>
      <c r="U179" s="5"/>
      <c r="V179" s="5"/>
      <c r="W179" s="5">
        <v>0</v>
      </c>
      <c r="X179" s="5">
        <v>1</v>
      </c>
      <c r="Y179" s="5">
        <v>0</v>
      </c>
      <c r="Z179" s="5">
        <v>0</v>
      </c>
      <c r="AA179" s="5">
        <v>1</v>
      </c>
      <c r="AB179" s="5">
        <v>0</v>
      </c>
    </row>
    <row r="180" spans="1:28" x14ac:dyDescent="0.3">
      <c r="A180" s="5">
        <v>50</v>
      </c>
      <c r="B180" s="5">
        <v>0</v>
      </c>
      <c r="C180" s="5">
        <v>0</v>
      </c>
      <c r="D180" s="5">
        <v>1</v>
      </c>
      <c r="E180" s="5">
        <v>228</v>
      </c>
      <c r="F180" s="5">
        <f>ROUND(Source!AY172,O180)</f>
        <v>29766.84</v>
      </c>
      <c r="G180" s="5" t="s">
        <v>112</v>
      </c>
      <c r="H180" s="5" t="s">
        <v>113</v>
      </c>
      <c r="I180" s="5"/>
      <c r="J180" s="5"/>
      <c r="K180" s="5">
        <v>228</v>
      </c>
      <c r="L180" s="5">
        <v>7</v>
      </c>
      <c r="M180" s="5">
        <v>3</v>
      </c>
      <c r="N180" s="5" t="s">
        <v>3</v>
      </c>
      <c r="O180" s="5">
        <v>2</v>
      </c>
      <c r="P180" s="5">
        <f>ROUND(Source!EQ172,O180)</f>
        <v>281052.24</v>
      </c>
      <c r="Q180" s="5"/>
      <c r="R180" s="5"/>
      <c r="S180" s="5"/>
      <c r="T180" s="5"/>
      <c r="U180" s="5"/>
      <c r="V180" s="5"/>
      <c r="W180" s="5">
        <v>29766.84</v>
      </c>
      <c r="X180" s="5">
        <v>1</v>
      </c>
      <c r="Y180" s="5">
        <v>29766.84</v>
      </c>
      <c r="Z180" s="5">
        <v>281052.24</v>
      </c>
      <c r="AA180" s="5">
        <v>1</v>
      </c>
      <c r="AB180" s="5">
        <v>281052.24</v>
      </c>
    </row>
    <row r="181" spans="1:28" x14ac:dyDescent="0.3">
      <c r="A181" s="5">
        <v>50</v>
      </c>
      <c r="B181" s="5">
        <v>0</v>
      </c>
      <c r="C181" s="5">
        <v>0</v>
      </c>
      <c r="D181" s="5">
        <v>1</v>
      </c>
      <c r="E181" s="5">
        <v>216</v>
      </c>
      <c r="F181" s="5">
        <f>ROUND(Source!AP172,O181)</f>
        <v>81880.2</v>
      </c>
      <c r="G181" s="5" t="s">
        <v>114</v>
      </c>
      <c r="H181" s="5" t="s">
        <v>115</v>
      </c>
      <c r="I181" s="5"/>
      <c r="J181" s="5"/>
      <c r="K181" s="5">
        <v>216</v>
      </c>
      <c r="L181" s="5">
        <v>8</v>
      </c>
      <c r="M181" s="5">
        <v>3</v>
      </c>
      <c r="N181" s="5" t="s">
        <v>3</v>
      </c>
      <c r="O181" s="5">
        <v>2</v>
      </c>
      <c r="P181" s="5">
        <f>ROUND(Source!EH172,O181)</f>
        <v>627397.21</v>
      </c>
      <c r="Q181" s="5"/>
      <c r="R181" s="5"/>
      <c r="S181" s="5"/>
      <c r="T181" s="5"/>
      <c r="U181" s="5"/>
      <c r="V181" s="5"/>
      <c r="W181" s="5">
        <v>81880.2</v>
      </c>
      <c r="X181" s="5">
        <v>1</v>
      </c>
      <c r="Y181" s="5">
        <v>81880.2</v>
      </c>
      <c r="Z181" s="5">
        <v>627397.21</v>
      </c>
      <c r="AA181" s="5">
        <v>1</v>
      </c>
      <c r="AB181" s="5">
        <v>627397.21</v>
      </c>
    </row>
    <row r="182" spans="1:28" x14ac:dyDescent="0.3">
      <c r="A182" s="5">
        <v>50</v>
      </c>
      <c r="B182" s="5">
        <v>0</v>
      </c>
      <c r="C182" s="5">
        <v>0</v>
      </c>
      <c r="D182" s="5">
        <v>1</v>
      </c>
      <c r="E182" s="5">
        <v>223</v>
      </c>
      <c r="F182" s="5">
        <f>ROUND(Source!AQ172,O182)</f>
        <v>0</v>
      </c>
      <c r="G182" s="5" t="s">
        <v>116</v>
      </c>
      <c r="H182" s="5" t="s">
        <v>117</v>
      </c>
      <c r="I182" s="5"/>
      <c r="J182" s="5"/>
      <c r="K182" s="5">
        <v>223</v>
      </c>
      <c r="L182" s="5">
        <v>9</v>
      </c>
      <c r="M182" s="5">
        <v>3</v>
      </c>
      <c r="N182" s="5" t="s">
        <v>3</v>
      </c>
      <c r="O182" s="5">
        <v>2</v>
      </c>
      <c r="P182" s="5">
        <f>ROUND(Source!EI172,O182)</f>
        <v>0</v>
      </c>
      <c r="Q182" s="5"/>
      <c r="R182" s="5"/>
      <c r="S182" s="5"/>
      <c r="T182" s="5"/>
      <c r="U182" s="5"/>
      <c r="V182" s="5"/>
      <c r="W182" s="5">
        <v>0</v>
      </c>
      <c r="X182" s="5">
        <v>1</v>
      </c>
      <c r="Y182" s="5">
        <v>0</v>
      </c>
      <c r="Z182" s="5">
        <v>0</v>
      </c>
      <c r="AA182" s="5">
        <v>1</v>
      </c>
      <c r="AB182" s="5">
        <v>0</v>
      </c>
    </row>
    <row r="183" spans="1:28" x14ac:dyDescent="0.3">
      <c r="A183" s="5">
        <v>50</v>
      </c>
      <c r="B183" s="5">
        <v>0</v>
      </c>
      <c r="C183" s="5">
        <v>0</v>
      </c>
      <c r="D183" s="5">
        <v>1</v>
      </c>
      <c r="E183" s="5">
        <v>229</v>
      </c>
      <c r="F183" s="5">
        <f>ROUND(Source!AZ172,O183)</f>
        <v>81880.2</v>
      </c>
      <c r="G183" s="5" t="s">
        <v>118</v>
      </c>
      <c r="H183" s="5" t="s">
        <v>119</v>
      </c>
      <c r="I183" s="5"/>
      <c r="J183" s="5"/>
      <c r="K183" s="5">
        <v>229</v>
      </c>
      <c r="L183" s="5">
        <v>10</v>
      </c>
      <c r="M183" s="5">
        <v>3</v>
      </c>
      <c r="N183" s="5" t="s">
        <v>3</v>
      </c>
      <c r="O183" s="5">
        <v>2</v>
      </c>
      <c r="P183" s="5">
        <f>ROUND(Source!ER172,O183)</f>
        <v>627397.21</v>
      </c>
      <c r="Q183" s="5"/>
      <c r="R183" s="5"/>
      <c r="S183" s="5"/>
      <c r="T183" s="5"/>
      <c r="U183" s="5"/>
      <c r="V183" s="5"/>
      <c r="W183" s="5">
        <v>81880.2</v>
      </c>
      <c r="X183" s="5">
        <v>1</v>
      </c>
      <c r="Y183" s="5">
        <v>81880.2</v>
      </c>
      <c r="Z183" s="5">
        <v>627397.21</v>
      </c>
      <c r="AA183" s="5">
        <v>1</v>
      </c>
      <c r="AB183" s="5">
        <v>627397.21</v>
      </c>
    </row>
    <row r="184" spans="1:28" x14ac:dyDescent="0.3">
      <c r="A184" s="5">
        <v>50</v>
      </c>
      <c r="B184" s="5">
        <v>0</v>
      </c>
      <c r="C184" s="5">
        <v>0</v>
      </c>
      <c r="D184" s="5">
        <v>1</v>
      </c>
      <c r="E184" s="5">
        <v>203</v>
      </c>
      <c r="F184" s="5">
        <f>ROUND(Source!Q172,O184)</f>
        <v>26.69</v>
      </c>
      <c r="G184" s="5" t="s">
        <v>120</v>
      </c>
      <c r="H184" s="5" t="s">
        <v>121</v>
      </c>
      <c r="I184" s="5"/>
      <c r="J184" s="5"/>
      <c r="K184" s="5">
        <v>203</v>
      </c>
      <c r="L184" s="5">
        <v>11</v>
      </c>
      <c r="M184" s="5">
        <v>3</v>
      </c>
      <c r="N184" s="5" t="s">
        <v>3</v>
      </c>
      <c r="O184" s="5">
        <v>2</v>
      </c>
      <c r="P184" s="5">
        <f>ROUND(Source!DI172,O184)</f>
        <v>396.4</v>
      </c>
      <c r="Q184" s="5"/>
      <c r="R184" s="5"/>
      <c r="S184" s="5"/>
      <c r="T184" s="5"/>
      <c r="U184" s="5"/>
      <c r="V184" s="5"/>
      <c r="W184" s="5">
        <v>26.69</v>
      </c>
      <c r="X184" s="5">
        <v>1</v>
      </c>
      <c r="Y184" s="5">
        <v>26.69</v>
      </c>
      <c r="Z184" s="5">
        <v>396.4</v>
      </c>
      <c r="AA184" s="5">
        <v>1</v>
      </c>
      <c r="AB184" s="5">
        <v>396.4</v>
      </c>
    </row>
    <row r="185" spans="1:28" x14ac:dyDescent="0.3">
      <c r="A185" s="5">
        <v>50</v>
      </c>
      <c r="B185" s="5">
        <v>0</v>
      </c>
      <c r="C185" s="5">
        <v>0</v>
      </c>
      <c r="D185" s="5">
        <v>1</v>
      </c>
      <c r="E185" s="5">
        <v>231</v>
      </c>
      <c r="F185" s="5">
        <f>ROUND(Source!BB172,O185)</f>
        <v>0</v>
      </c>
      <c r="G185" s="5" t="s">
        <v>122</v>
      </c>
      <c r="H185" s="5" t="s">
        <v>123</v>
      </c>
      <c r="I185" s="5"/>
      <c r="J185" s="5"/>
      <c r="K185" s="5">
        <v>231</v>
      </c>
      <c r="L185" s="5">
        <v>12</v>
      </c>
      <c r="M185" s="5">
        <v>3</v>
      </c>
      <c r="N185" s="5" t="s">
        <v>3</v>
      </c>
      <c r="O185" s="5">
        <v>2</v>
      </c>
      <c r="P185" s="5">
        <f>ROUND(Source!ET172,O185)</f>
        <v>0</v>
      </c>
      <c r="Q185" s="5"/>
      <c r="R185" s="5"/>
      <c r="S185" s="5"/>
      <c r="T185" s="5"/>
      <c r="U185" s="5"/>
      <c r="V185" s="5"/>
      <c r="W185" s="5">
        <v>0</v>
      </c>
      <c r="X185" s="5">
        <v>1</v>
      </c>
      <c r="Y185" s="5">
        <v>0</v>
      </c>
      <c r="Z185" s="5">
        <v>0</v>
      </c>
      <c r="AA185" s="5">
        <v>1</v>
      </c>
      <c r="AB185" s="5">
        <v>0</v>
      </c>
    </row>
    <row r="186" spans="1:28" x14ac:dyDescent="0.3">
      <c r="A186" s="5">
        <v>50</v>
      </c>
      <c r="B186" s="5">
        <v>0</v>
      </c>
      <c r="C186" s="5">
        <v>0</v>
      </c>
      <c r="D186" s="5">
        <v>1</v>
      </c>
      <c r="E186" s="5">
        <v>204</v>
      </c>
      <c r="F186" s="5">
        <f>ROUND(Source!R172,O186)</f>
        <v>3.15</v>
      </c>
      <c r="G186" s="5" t="s">
        <v>124</v>
      </c>
      <c r="H186" s="5" t="s">
        <v>125</v>
      </c>
      <c r="I186" s="5"/>
      <c r="J186" s="5"/>
      <c r="K186" s="5">
        <v>204</v>
      </c>
      <c r="L186" s="5">
        <v>13</v>
      </c>
      <c r="M186" s="5">
        <v>3</v>
      </c>
      <c r="N186" s="5" t="s">
        <v>3</v>
      </c>
      <c r="O186" s="5">
        <v>2</v>
      </c>
      <c r="P186" s="5">
        <f>ROUND(Source!DJ172,O186)</f>
        <v>173.23</v>
      </c>
      <c r="Q186" s="5"/>
      <c r="R186" s="5"/>
      <c r="S186" s="5"/>
      <c r="T186" s="5"/>
      <c r="U186" s="5"/>
      <c r="V186" s="5"/>
      <c r="W186" s="5">
        <v>3.15</v>
      </c>
      <c r="X186" s="5">
        <v>1</v>
      </c>
      <c r="Y186" s="5">
        <v>3.15</v>
      </c>
      <c r="Z186" s="5">
        <v>173.23</v>
      </c>
      <c r="AA186" s="5">
        <v>1</v>
      </c>
      <c r="AB186" s="5">
        <v>173.23</v>
      </c>
    </row>
    <row r="187" spans="1:28" x14ac:dyDescent="0.3">
      <c r="A187" s="5">
        <v>50</v>
      </c>
      <c r="B187" s="5">
        <v>0</v>
      </c>
      <c r="C187" s="5">
        <v>0</v>
      </c>
      <c r="D187" s="5">
        <v>1</v>
      </c>
      <c r="E187" s="5">
        <v>205</v>
      </c>
      <c r="F187" s="5">
        <f>ROUND(Source!S172,O187)</f>
        <v>1762.29</v>
      </c>
      <c r="G187" s="5" t="s">
        <v>126</v>
      </c>
      <c r="H187" s="5" t="s">
        <v>127</v>
      </c>
      <c r="I187" s="5"/>
      <c r="J187" s="5"/>
      <c r="K187" s="5">
        <v>205</v>
      </c>
      <c r="L187" s="5">
        <v>14</v>
      </c>
      <c r="M187" s="5">
        <v>3</v>
      </c>
      <c r="N187" s="5" t="s">
        <v>3</v>
      </c>
      <c r="O187" s="5">
        <v>2</v>
      </c>
      <c r="P187" s="5">
        <f>ROUND(Source!DK172,O187)</f>
        <v>96908.32</v>
      </c>
      <c r="Q187" s="5"/>
      <c r="R187" s="5"/>
      <c r="S187" s="5"/>
      <c r="T187" s="5"/>
      <c r="U187" s="5"/>
      <c r="V187" s="5"/>
      <c r="W187" s="5">
        <v>1762.29</v>
      </c>
      <c r="X187" s="5">
        <v>1</v>
      </c>
      <c r="Y187" s="5">
        <v>1762.29</v>
      </c>
      <c r="Z187" s="5">
        <v>96908.32</v>
      </c>
      <c r="AA187" s="5">
        <v>1</v>
      </c>
      <c r="AB187" s="5">
        <v>96908.32</v>
      </c>
    </row>
    <row r="188" spans="1:28" x14ac:dyDescent="0.3">
      <c r="A188" s="5">
        <v>50</v>
      </c>
      <c r="B188" s="5">
        <v>0</v>
      </c>
      <c r="C188" s="5">
        <v>0</v>
      </c>
      <c r="D188" s="5">
        <v>1</v>
      </c>
      <c r="E188" s="5">
        <v>232</v>
      </c>
      <c r="F188" s="5">
        <f>ROUND(Source!BC172,O188)</f>
        <v>0</v>
      </c>
      <c r="G188" s="5" t="s">
        <v>128</v>
      </c>
      <c r="H188" s="5" t="s">
        <v>129</v>
      </c>
      <c r="I188" s="5"/>
      <c r="J188" s="5"/>
      <c r="K188" s="5">
        <v>232</v>
      </c>
      <c r="L188" s="5">
        <v>15</v>
      </c>
      <c r="M188" s="5">
        <v>3</v>
      </c>
      <c r="N188" s="5" t="s">
        <v>3</v>
      </c>
      <c r="O188" s="5">
        <v>2</v>
      </c>
      <c r="P188" s="5">
        <f>ROUND(Source!EU172,O188)</f>
        <v>0</v>
      </c>
      <c r="Q188" s="5"/>
      <c r="R188" s="5"/>
      <c r="S188" s="5"/>
      <c r="T188" s="5"/>
      <c r="U188" s="5"/>
      <c r="V188" s="5"/>
      <c r="W188" s="5">
        <v>0</v>
      </c>
      <c r="X188" s="5">
        <v>1</v>
      </c>
      <c r="Y188" s="5">
        <v>0</v>
      </c>
      <c r="Z188" s="5">
        <v>0</v>
      </c>
      <c r="AA188" s="5">
        <v>1</v>
      </c>
      <c r="AB188" s="5">
        <v>0</v>
      </c>
    </row>
    <row r="189" spans="1:28" x14ac:dyDescent="0.3">
      <c r="A189" s="5">
        <v>50</v>
      </c>
      <c r="B189" s="5">
        <v>0</v>
      </c>
      <c r="C189" s="5">
        <v>0</v>
      </c>
      <c r="D189" s="5">
        <v>1</v>
      </c>
      <c r="E189" s="5">
        <v>214</v>
      </c>
      <c r="F189" s="5">
        <f>ROUND(Source!AS172,O189)</f>
        <v>0</v>
      </c>
      <c r="G189" s="5" t="s">
        <v>130</v>
      </c>
      <c r="H189" s="5" t="s">
        <v>131</v>
      </c>
      <c r="I189" s="5"/>
      <c r="J189" s="5"/>
      <c r="K189" s="5">
        <v>214</v>
      </c>
      <c r="L189" s="5">
        <v>16</v>
      </c>
      <c r="M189" s="5">
        <v>3</v>
      </c>
      <c r="N189" s="5" t="s">
        <v>3</v>
      </c>
      <c r="O189" s="5">
        <v>2</v>
      </c>
      <c r="P189" s="5">
        <f>ROUND(Source!EK172,O189)</f>
        <v>0</v>
      </c>
      <c r="Q189" s="5"/>
      <c r="R189" s="5"/>
      <c r="S189" s="5"/>
      <c r="T189" s="5"/>
      <c r="U189" s="5"/>
      <c r="V189" s="5"/>
      <c r="W189" s="5">
        <v>0</v>
      </c>
      <c r="X189" s="5">
        <v>1</v>
      </c>
      <c r="Y189" s="5">
        <v>0</v>
      </c>
      <c r="Z189" s="5">
        <v>0</v>
      </c>
      <c r="AA189" s="5">
        <v>1</v>
      </c>
      <c r="AB189" s="5">
        <v>0</v>
      </c>
    </row>
    <row r="190" spans="1:28" x14ac:dyDescent="0.3">
      <c r="A190" s="5">
        <v>50</v>
      </c>
      <c r="B190" s="5">
        <v>0</v>
      </c>
      <c r="C190" s="5">
        <v>0</v>
      </c>
      <c r="D190" s="5">
        <v>1</v>
      </c>
      <c r="E190" s="5">
        <v>215</v>
      </c>
      <c r="F190" s="5">
        <f>ROUND(Source!AT172,O190)</f>
        <v>33958.480000000003</v>
      </c>
      <c r="G190" s="5" t="s">
        <v>132</v>
      </c>
      <c r="H190" s="5" t="s">
        <v>133</v>
      </c>
      <c r="I190" s="5"/>
      <c r="J190" s="5"/>
      <c r="K190" s="5">
        <v>215</v>
      </c>
      <c r="L190" s="5">
        <v>17</v>
      </c>
      <c r="M190" s="5">
        <v>3</v>
      </c>
      <c r="N190" s="5" t="s">
        <v>3</v>
      </c>
      <c r="O190" s="5">
        <v>2</v>
      </c>
      <c r="P190" s="5">
        <f>ROUND(Source!EL172,O190)</f>
        <v>510478.2</v>
      </c>
      <c r="Q190" s="5"/>
      <c r="R190" s="5"/>
      <c r="S190" s="5"/>
      <c r="T190" s="5"/>
      <c r="U190" s="5"/>
      <c r="V190" s="5"/>
      <c r="W190" s="5">
        <v>33958.480000000003</v>
      </c>
      <c r="X190" s="5">
        <v>1</v>
      </c>
      <c r="Y190" s="5">
        <v>33958.480000000003</v>
      </c>
      <c r="Z190" s="5">
        <v>510478.2</v>
      </c>
      <c r="AA190" s="5">
        <v>1</v>
      </c>
      <c r="AB190" s="5">
        <v>510478.2</v>
      </c>
    </row>
    <row r="191" spans="1:28" x14ac:dyDescent="0.3">
      <c r="A191" s="5">
        <v>50</v>
      </c>
      <c r="B191" s="5">
        <v>0</v>
      </c>
      <c r="C191" s="5">
        <v>0</v>
      </c>
      <c r="D191" s="5">
        <v>1</v>
      </c>
      <c r="E191" s="5">
        <v>217</v>
      </c>
      <c r="F191" s="5">
        <f>ROUND(Source!AU172,O191)</f>
        <v>0</v>
      </c>
      <c r="G191" s="5" t="s">
        <v>134</v>
      </c>
      <c r="H191" s="5" t="s">
        <v>135</v>
      </c>
      <c r="I191" s="5"/>
      <c r="J191" s="5"/>
      <c r="K191" s="5">
        <v>217</v>
      </c>
      <c r="L191" s="5">
        <v>18</v>
      </c>
      <c r="M191" s="5">
        <v>3</v>
      </c>
      <c r="N191" s="5" t="s">
        <v>3</v>
      </c>
      <c r="O191" s="5">
        <v>2</v>
      </c>
      <c r="P191" s="5">
        <f>ROUND(Source!EM172,O191)</f>
        <v>0</v>
      </c>
      <c r="Q191" s="5"/>
      <c r="R191" s="5"/>
      <c r="S191" s="5"/>
      <c r="T191" s="5"/>
      <c r="U191" s="5"/>
      <c r="V191" s="5"/>
      <c r="W191" s="5">
        <v>0</v>
      </c>
      <c r="X191" s="5">
        <v>1</v>
      </c>
      <c r="Y191" s="5">
        <v>0</v>
      </c>
      <c r="Z191" s="5">
        <v>0</v>
      </c>
      <c r="AA191" s="5">
        <v>1</v>
      </c>
      <c r="AB191" s="5">
        <v>0</v>
      </c>
    </row>
    <row r="192" spans="1:28" x14ac:dyDescent="0.3">
      <c r="A192" s="5">
        <v>50</v>
      </c>
      <c r="B192" s="5">
        <v>0</v>
      </c>
      <c r="C192" s="5">
        <v>0</v>
      </c>
      <c r="D192" s="5">
        <v>1</v>
      </c>
      <c r="E192" s="5">
        <v>230</v>
      </c>
      <c r="F192" s="5">
        <f>ROUND(Source!BA172,O192)</f>
        <v>0</v>
      </c>
      <c r="G192" s="5" t="s">
        <v>136</v>
      </c>
      <c r="H192" s="5" t="s">
        <v>137</v>
      </c>
      <c r="I192" s="5"/>
      <c r="J192" s="5"/>
      <c r="K192" s="5">
        <v>230</v>
      </c>
      <c r="L192" s="5">
        <v>19</v>
      </c>
      <c r="M192" s="5">
        <v>3</v>
      </c>
      <c r="N192" s="5" t="s">
        <v>3</v>
      </c>
      <c r="O192" s="5">
        <v>2</v>
      </c>
      <c r="P192" s="5">
        <f>ROUND(Source!ES172,O192)</f>
        <v>0</v>
      </c>
      <c r="Q192" s="5"/>
      <c r="R192" s="5"/>
      <c r="S192" s="5"/>
      <c r="T192" s="5"/>
      <c r="U192" s="5"/>
      <c r="V192" s="5"/>
      <c r="W192" s="5">
        <v>0</v>
      </c>
      <c r="X192" s="5">
        <v>1</v>
      </c>
      <c r="Y192" s="5">
        <v>0</v>
      </c>
      <c r="Z192" s="5">
        <v>0</v>
      </c>
      <c r="AA192" s="5">
        <v>1</v>
      </c>
      <c r="AB192" s="5">
        <v>0</v>
      </c>
    </row>
    <row r="193" spans="1:206" x14ac:dyDescent="0.3">
      <c r="A193" s="5">
        <v>50</v>
      </c>
      <c r="B193" s="5">
        <v>0</v>
      </c>
      <c r="C193" s="5">
        <v>0</v>
      </c>
      <c r="D193" s="5">
        <v>1</v>
      </c>
      <c r="E193" s="5">
        <v>206</v>
      </c>
      <c r="F193" s="5">
        <f>ROUND(Source!T172,O193)</f>
        <v>0</v>
      </c>
      <c r="G193" s="5" t="s">
        <v>138</v>
      </c>
      <c r="H193" s="5" t="s">
        <v>139</v>
      </c>
      <c r="I193" s="5"/>
      <c r="J193" s="5"/>
      <c r="K193" s="5">
        <v>206</v>
      </c>
      <c r="L193" s="5">
        <v>20</v>
      </c>
      <c r="M193" s="5">
        <v>3</v>
      </c>
      <c r="N193" s="5" t="s">
        <v>3</v>
      </c>
      <c r="O193" s="5">
        <v>2</v>
      </c>
      <c r="P193" s="5">
        <f>ROUND(Source!DL172,O193)</f>
        <v>0</v>
      </c>
      <c r="Q193" s="5"/>
      <c r="R193" s="5"/>
      <c r="S193" s="5"/>
      <c r="T193" s="5"/>
      <c r="U193" s="5"/>
      <c r="V193" s="5"/>
      <c r="W193" s="5">
        <v>0</v>
      </c>
      <c r="X193" s="5">
        <v>1</v>
      </c>
      <c r="Y193" s="5">
        <v>0</v>
      </c>
      <c r="Z193" s="5">
        <v>0</v>
      </c>
      <c r="AA193" s="5">
        <v>1</v>
      </c>
      <c r="AB193" s="5">
        <v>0</v>
      </c>
    </row>
    <row r="194" spans="1:206" x14ac:dyDescent="0.3">
      <c r="A194" s="5">
        <v>50</v>
      </c>
      <c r="B194" s="5">
        <v>0</v>
      </c>
      <c r="C194" s="5">
        <v>0</v>
      </c>
      <c r="D194" s="5">
        <v>1</v>
      </c>
      <c r="E194" s="5">
        <v>207</v>
      </c>
      <c r="F194" s="5">
        <f>Source!U172</f>
        <v>136.2944814</v>
      </c>
      <c r="G194" s="5" t="s">
        <v>140</v>
      </c>
      <c r="H194" s="5" t="s">
        <v>141</v>
      </c>
      <c r="I194" s="5"/>
      <c r="J194" s="5"/>
      <c r="K194" s="5">
        <v>207</v>
      </c>
      <c r="L194" s="5">
        <v>21</v>
      </c>
      <c r="M194" s="5">
        <v>3</v>
      </c>
      <c r="N194" s="5" t="s">
        <v>3</v>
      </c>
      <c r="O194" s="5">
        <v>-1</v>
      </c>
      <c r="P194" s="5">
        <f>Source!DM172</f>
        <v>136.2944814</v>
      </c>
      <c r="Q194" s="5"/>
      <c r="R194" s="5"/>
      <c r="S194" s="5"/>
      <c r="T194" s="5"/>
      <c r="U194" s="5"/>
      <c r="V194" s="5"/>
      <c r="W194" s="5">
        <v>136.2944814</v>
      </c>
      <c r="X194" s="5">
        <v>1</v>
      </c>
      <c r="Y194" s="5">
        <v>136.2944814</v>
      </c>
      <c r="Z194" s="5">
        <v>136.2944814</v>
      </c>
      <c r="AA194" s="5">
        <v>1</v>
      </c>
      <c r="AB194" s="5">
        <v>136.2944814</v>
      </c>
    </row>
    <row r="195" spans="1:206" x14ac:dyDescent="0.3">
      <c r="A195" s="5">
        <v>50</v>
      </c>
      <c r="B195" s="5">
        <v>0</v>
      </c>
      <c r="C195" s="5">
        <v>0</v>
      </c>
      <c r="D195" s="5">
        <v>1</v>
      </c>
      <c r="E195" s="5">
        <v>208</v>
      </c>
      <c r="F195" s="5">
        <f>Source!V172</f>
        <v>0</v>
      </c>
      <c r="G195" s="5" t="s">
        <v>142</v>
      </c>
      <c r="H195" s="5" t="s">
        <v>143</v>
      </c>
      <c r="I195" s="5"/>
      <c r="J195" s="5"/>
      <c r="K195" s="5">
        <v>208</v>
      </c>
      <c r="L195" s="5">
        <v>22</v>
      </c>
      <c r="M195" s="5">
        <v>3</v>
      </c>
      <c r="N195" s="5" t="s">
        <v>3</v>
      </c>
      <c r="O195" s="5">
        <v>-1</v>
      </c>
      <c r="P195" s="5">
        <f>Source!DN172</f>
        <v>0</v>
      </c>
      <c r="Q195" s="5"/>
      <c r="R195" s="5"/>
      <c r="S195" s="5"/>
      <c r="T195" s="5"/>
      <c r="U195" s="5"/>
      <c r="V195" s="5"/>
      <c r="W195" s="5">
        <v>0</v>
      </c>
      <c r="X195" s="5">
        <v>1</v>
      </c>
      <c r="Y195" s="5">
        <v>0</v>
      </c>
      <c r="Z195" s="5">
        <v>0</v>
      </c>
      <c r="AA195" s="5">
        <v>1</v>
      </c>
      <c r="AB195" s="5">
        <v>0</v>
      </c>
    </row>
    <row r="196" spans="1:206" x14ac:dyDescent="0.3">
      <c r="A196" s="5">
        <v>50</v>
      </c>
      <c r="B196" s="5">
        <v>0</v>
      </c>
      <c r="C196" s="5">
        <v>0</v>
      </c>
      <c r="D196" s="5">
        <v>1</v>
      </c>
      <c r="E196" s="5">
        <v>209</v>
      </c>
      <c r="F196" s="5">
        <f>ROUND(Source!W172,O196)</f>
        <v>0</v>
      </c>
      <c r="G196" s="5" t="s">
        <v>144</v>
      </c>
      <c r="H196" s="5" t="s">
        <v>145</v>
      </c>
      <c r="I196" s="5"/>
      <c r="J196" s="5"/>
      <c r="K196" s="5">
        <v>209</v>
      </c>
      <c r="L196" s="5">
        <v>23</v>
      </c>
      <c r="M196" s="5">
        <v>3</v>
      </c>
      <c r="N196" s="5" t="s">
        <v>3</v>
      </c>
      <c r="O196" s="5">
        <v>2</v>
      </c>
      <c r="P196" s="5">
        <f>ROUND(Source!DO172,O196)</f>
        <v>0</v>
      </c>
      <c r="Q196" s="5"/>
      <c r="R196" s="5"/>
      <c r="S196" s="5"/>
      <c r="T196" s="5"/>
      <c r="U196" s="5"/>
      <c r="V196" s="5"/>
      <c r="W196" s="5">
        <v>0</v>
      </c>
      <c r="X196" s="5">
        <v>1</v>
      </c>
      <c r="Y196" s="5">
        <v>0</v>
      </c>
      <c r="Z196" s="5">
        <v>0</v>
      </c>
      <c r="AA196" s="5">
        <v>1</v>
      </c>
      <c r="AB196" s="5">
        <v>0</v>
      </c>
    </row>
    <row r="197" spans="1:206" x14ac:dyDescent="0.3">
      <c r="A197" s="5">
        <v>50</v>
      </c>
      <c r="B197" s="5">
        <v>0</v>
      </c>
      <c r="C197" s="5">
        <v>0</v>
      </c>
      <c r="D197" s="5">
        <v>1</v>
      </c>
      <c r="E197" s="5">
        <v>233</v>
      </c>
      <c r="F197" s="5">
        <f>ROUND(Source!BD172,O197)</f>
        <v>0</v>
      </c>
      <c r="G197" s="5" t="s">
        <v>146</v>
      </c>
      <c r="H197" s="5" t="s">
        <v>147</v>
      </c>
      <c r="I197" s="5"/>
      <c r="J197" s="5"/>
      <c r="K197" s="5">
        <v>233</v>
      </c>
      <c r="L197" s="5">
        <v>24</v>
      </c>
      <c r="M197" s="5">
        <v>3</v>
      </c>
      <c r="N197" s="5" t="s">
        <v>3</v>
      </c>
      <c r="O197" s="5">
        <v>2</v>
      </c>
      <c r="P197" s="5">
        <f>ROUND(Source!EV172,O197)</f>
        <v>0</v>
      </c>
      <c r="Q197" s="5"/>
      <c r="R197" s="5"/>
      <c r="S197" s="5"/>
      <c r="T197" s="5"/>
      <c r="U197" s="5"/>
      <c r="V197" s="5"/>
      <c r="W197" s="5">
        <v>0</v>
      </c>
      <c r="X197" s="5">
        <v>1</v>
      </c>
      <c r="Y197" s="5">
        <v>0</v>
      </c>
      <c r="Z197" s="5">
        <v>0</v>
      </c>
      <c r="AA197" s="5">
        <v>1</v>
      </c>
      <c r="AB197" s="5">
        <v>0</v>
      </c>
    </row>
    <row r="198" spans="1:206" x14ac:dyDescent="0.3">
      <c r="A198" s="5">
        <v>50</v>
      </c>
      <c r="B198" s="5">
        <v>0</v>
      </c>
      <c r="C198" s="5">
        <v>0</v>
      </c>
      <c r="D198" s="5">
        <v>1</v>
      </c>
      <c r="E198" s="5">
        <v>210</v>
      </c>
      <c r="F198" s="5">
        <f>ROUND(Source!X172,O198)</f>
        <v>1589.6</v>
      </c>
      <c r="G198" s="5" t="s">
        <v>148</v>
      </c>
      <c r="H198" s="5" t="s">
        <v>149</v>
      </c>
      <c r="I198" s="5"/>
      <c r="J198" s="5"/>
      <c r="K198" s="5">
        <v>210</v>
      </c>
      <c r="L198" s="5">
        <v>25</v>
      </c>
      <c r="M198" s="5">
        <v>3</v>
      </c>
      <c r="N198" s="5" t="s">
        <v>3</v>
      </c>
      <c r="O198" s="5">
        <v>2</v>
      </c>
      <c r="P198" s="5">
        <f>ROUND(Source!DP172,O198)</f>
        <v>87411.04</v>
      </c>
      <c r="Q198" s="5"/>
      <c r="R198" s="5"/>
      <c r="S198" s="5"/>
      <c r="T198" s="5"/>
      <c r="U198" s="5"/>
      <c r="V198" s="5"/>
      <c r="W198" s="5">
        <v>1589.6</v>
      </c>
      <c r="X198" s="5">
        <v>1</v>
      </c>
      <c r="Y198" s="5">
        <v>1589.6</v>
      </c>
      <c r="Z198" s="5">
        <v>87411.04</v>
      </c>
      <c r="AA198" s="5">
        <v>1</v>
      </c>
      <c r="AB198" s="5">
        <v>87411.04</v>
      </c>
    </row>
    <row r="199" spans="1:206" x14ac:dyDescent="0.3">
      <c r="A199" s="5">
        <v>50</v>
      </c>
      <c r="B199" s="5">
        <v>0</v>
      </c>
      <c r="C199" s="5">
        <v>0</v>
      </c>
      <c r="D199" s="5">
        <v>1</v>
      </c>
      <c r="E199" s="5">
        <v>211</v>
      </c>
      <c r="F199" s="5">
        <f>ROUND(Source!Y172,O199)</f>
        <v>813.06</v>
      </c>
      <c r="G199" s="5" t="s">
        <v>150</v>
      </c>
      <c r="H199" s="5" t="s">
        <v>151</v>
      </c>
      <c r="I199" s="5"/>
      <c r="J199" s="5"/>
      <c r="K199" s="5">
        <v>211</v>
      </c>
      <c r="L199" s="5">
        <v>26</v>
      </c>
      <c r="M199" s="5">
        <v>3</v>
      </c>
      <c r="N199" s="5" t="s">
        <v>3</v>
      </c>
      <c r="O199" s="5">
        <v>2</v>
      </c>
      <c r="P199" s="5">
        <f>ROUND(Source!DQ172,O199)</f>
        <v>44710.2</v>
      </c>
      <c r="Q199" s="5"/>
      <c r="R199" s="5"/>
      <c r="S199" s="5"/>
      <c r="T199" s="5"/>
      <c r="U199" s="5"/>
      <c r="V199" s="5"/>
      <c r="W199" s="5">
        <v>813.06</v>
      </c>
      <c r="X199" s="5">
        <v>1</v>
      </c>
      <c r="Y199" s="5">
        <v>813.06</v>
      </c>
      <c r="Z199" s="5">
        <v>44710.2</v>
      </c>
      <c r="AA199" s="5">
        <v>1</v>
      </c>
      <c r="AB199" s="5">
        <v>44710.2</v>
      </c>
    </row>
    <row r="200" spans="1:206" x14ac:dyDescent="0.3">
      <c r="A200" s="5">
        <v>50</v>
      </c>
      <c r="B200" s="5">
        <v>0</v>
      </c>
      <c r="C200" s="5">
        <v>0</v>
      </c>
      <c r="D200" s="5">
        <v>1</v>
      </c>
      <c r="E200" s="5">
        <v>224</v>
      </c>
      <c r="F200" s="5">
        <f>ROUND(Source!AR172,O200)</f>
        <v>115838.68</v>
      </c>
      <c r="G200" s="5" t="s">
        <v>152</v>
      </c>
      <c r="H200" s="5" t="s">
        <v>153</v>
      </c>
      <c r="I200" s="5"/>
      <c r="J200" s="5"/>
      <c r="K200" s="5">
        <v>224</v>
      </c>
      <c r="L200" s="5">
        <v>27</v>
      </c>
      <c r="M200" s="5">
        <v>3</v>
      </c>
      <c r="N200" s="5" t="s">
        <v>3</v>
      </c>
      <c r="O200" s="5">
        <v>2</v>
      </c>
      <c r="P200" s="5">
        <f>ROUND(Source!EJ172,O200)</f>
        <v>1137875.4099999999</v>
      </c>
      <c r="Q200" s="5"/>
      <c r="R200" s="5"/>
      <c r="S200" s="5"/>
      <c r="T200" s="5"/>
      <c r="U200" s="5"/>
      <c r="V200" s="5"/>
      <c r="W200" s="5">
        <v>115838.68</v>
      </c>
      <c r="X200" s="5">
        <v>1</v>
      </c>
      <c r="Y200" s="5">
        <v>115838.68</v>
      </c>
      <c r="Z200" s="5">
        <v>1137875.4099999999</v>
      </c>
      <c r="AA200" s="5">
        <v>1</v>
      </c>
      <c r="AB200" s="5">
        <v>1137875.4099999999</v>
      </c>
    </row>
    <row r="202" spans="1:206" x14ac:dyDescent="0.3">
      <c r="A202" s="3">
        <v>51</v>
      </c>
      <c r="B202" s="3">
        <f>B12</f>
        <v>241</v>
      </c>
      <c r="C202" s="3">
        <f>A12</f>
        <v>1</v>
      </c>
      <c r="D202" s="3">
        <f>ROW(A12)</f>
        <v>12</v>
      </c>
      <c r="E202" s="3"/>
      <c r="F202" s="3" t="str">
        <f>IF(F12&lt;&gt;"",F12,"")</f>
        <v>02-01-17</v>
      </c>
      <c r="G202" s="3" t="str">
        <f>IF(G12&lt;&gt;"",G12,"")</f>
        <v>02-01-17 СДС</v>
      </c>
      <c r="H202" s="3">
        <v>0</v>
      </c>
      <c r="I202" s="3"/>
      <c r="J202" s="3"/>
      <c r="K202" s="3"/>
      <c r="L202" s="3"/>
      <c r="M202" s="3"/>
      <c r="N202" s="3"/>
      <c r="O202" s="3">
        <f t="shared" ref="O202:T202" si="124">ROUND(O172,2)</f>
        <v>113436.02</v>
      </c>
      <c r="P202" s="3">
        <f t="shared" si="124"/>
        <v>111647.03999999999</v>
      </c>
      <c r="Q202" s="3">
        <f t="shared" si="124"/>
        <v>26.69</v>
      </c>
      <c r="R202" s="3">
        <f t="shared" si="124"/>
        <v>3.15</v>
      </c>
      <c r="S202" s="3">
        <f t="shared" si="124"/>
        <v>1762.29</v>
      </c>
      <c r="T202" s="3">
        <f t="shared" si="124"/>
        <v>0</v>
      </c>
      <c r="U202" s="3">
        <f>U172</f>
        <v>136.2944814</v>
      </c>
      <c r="V202" s="3">
        <f>V172</f>
        <v>0</v>
      </c>
      <c r="W202" s="3">
        <f>ROUND(W172,2)</f>
        <v>0</v>
      </c>
      <c r="X202" s="3">
        <f>ROUND(X172,2)</f>
        <v>1589.6</v>
      </c>
      <c r="Y202" s="3">
        <f>ROUND(Y172,2)</f>
        <v>813.06</v>
      </c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>
        <f t="shared" ref="AO202:BD202" si="125">ROUND(AO172,2)</f>
        <v>0</v>
      </c>
      <c r="AP202" s="3">
        <f t="shared" si="125"/>
        <v>81880.2</v>
      </c>
      <c r="AQ202" s="3">
        <f t="shared" si="125"/>
        <v>0</v>
      </c>
      <c r="AR202" s="3">
        <f t="shared" si="125"/>
        <v>115838.68</v>
      </c>
      <c r="AS202" s="3">
        <f t="shared" si="125"/>
        <v>0</v>
      </c>
      <c r="AT202" s="3">
        <f t="shared" si="125"/>
        <v>33958.480000000003</v>
      </c>
      <c r="AU202" s="3">
        <f t="shared" si="125"/>
        <v>0</v>
      </c>
      <c r="AV202" s="3">
        <f t="shared" si="125"/>
        <v>111647.03999999999</v>
      </c>
      <c r="AW202" s="3">
        <f t="shared" si="125"/>
        <v>29766.84</v>
      </c>
      <c r="AX202" s="3">
        <f t="shared" si="125"/>
        <v>0</v>
      </c>
      <c r="AY202" s="3">
        <f t="shared" si="125"/>
        <v>29766.84</v>
      </c>
      <c r="AZ202" s="3">
        <f t="shared" si="125"/>
        <v>81880.2</v>
      </c>
      <c r="BA202" s="3">
        <f t="shared" si="125"/>
        <v>0</v>
      </c>
      <c r="BB202" s="3">
        <f t="shared" si="125"/>
        <v>0</v>
      </c>
      <c r="BC202" s="3">
        <f t="shared" si="125"/>
        <v>0</v>
      </c>
      <c r="BD202" s="3">
        <f t="shared" si="125"/>
        <v>0</v>
      </c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4">
        <f t="shared" ref="DG202:DL202" si="126">ROUND(DG172,2)</f>
        <v>1005754.17</v>
      </c>
      <c r="DH202" s="4">
        <f t="shared" si="126"/>
        <v>908449.45</v>
      </c>
      <c r="DI202" s="4">
        <f t="shared" si="126"/>
        <v>396.4</v>
      </c>
      <c r="DJ202" s="4">
        <f t="shared" si="126"/>
        <v>173.23</v>
      </c>
      <c r="DK202" s="4">
        <f t="shared" si="126"/>
        <v>96908.32</v>
      </c>
      <c r="DL202" s="4">
        <f t="shared" si="126"/>
        <v>0</v>
      </c>
      <c r="DM202" s="4">
        <f>DM172</f>
        <v>136.2944814</v>
      </c>
      <c r="DN202" s="4">
        <f>DN172</f>
        <v>0</v>
      </c>
      <c r="DO202" s="4">
        <f>ROUND(DO172,2)</f>
        <v>0</v>
      </c>
      <c r="DP202" s="4">
        <f>ROUND(DP172,2)</f>
        <v>87411.04</v>
      </c>
      <c r="DQ202" s="4">
        <f>ROUND(DQ172,2)</f>
        <v>44710.2</v>
      </c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>
        <f t="shared" ref="EG202:EV202" si="127">ROUND(EG172,2)</f>
        <v>0</v>
      </c>
      <c r="EH202" s="4">
        <f t="shared" si="127"/>
        <v>627397.21</v>
      </c>
      <c r="EI202" s="4">
        <f t="shared" si="127"/>
        <v>0</v>
      </c>
      <c r="EJ202" s="4">
        <f t="shared" si="127"/>
        <v>1137875.4099999999</v>
      </c>
      <c r="EK202" s="4">
        <f t="shared" si="127"/>
        <v>0</v>
      </c>
      <c r="EL202" s="4">
        <f t="shared" si="127"/>
        <v>510478.2</v>
      </c>
      <c r="EM202" s="4">
        <f t="shared" si="127"/>
        <v>0</v>
      </c>
      <c r="EN202" s="4">
        <f t="shared" si="127"/>
        <v>908449.45</v>
      </c>
      <c r="EO202" s="4">
        <f t="shared" si="127"/>
        <v>281052.24</v>
      </c>
      <c r="EP202" s="4">
        <f t="shared" si="127"/>
        <v>0</v>
      </c>
      <c r="EQ202" s="4">
        <f t="shared" si="127"/>
        <v>281052.24</v>
      </c>
      <c r="ER202" s="4">
        <f t="shared" si="127"/>
        <v>627397.21</v>
      </c>
      <c r="ES202" s="4">
        <f t="shared" si="127"/>
        <v>0</v>
      </c>
      <c r="ET202" s="4">
        <f t="shared" si="127"/>
        <v>0</v>
      </c>
      <c r="EU202" s="4">
        <f t="shared" si="127"/>
        <v>0</v>
      </c>
      <c r="EV202" s="4">
        <f t="shared" si="127"/>
        <v>0</v>
      </c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  <c r="FU202" s="4"/>
      <c r="FV202" s="4"/>
      <c r="FW202" s="4"/>
      <c r="FX202" s="4"/>
      <c r="FY202" s="4"/>
      <c r="FZ202" s="4"/>
      <c r="GA202" s="4"/>
      <c r="GB202" s="4"/>
      <c r="GC202" s="4"/>
      <c r="GD202" s="4"/>
      <c r="GE202" s="4"/>
      <c r="GF202" s="4"/>
      <c r="GG202" s="4"/>
      <c r="GH202" s="4"/>
      <c r="GI202" s="4"/>
      <c r="GJ202" s="4"/>
      <c r="GK202" s="4"/>
      <c r="GL202" s="4"/>
      <c r="GM202" s="4"/>
      <c r="GN202" s="4"/>
      <c r="GO202" s="4"/>
      <c r="GP202" s="4"/>
      <c r="GQ202" s="4"/>
      <c r="GR202" s="4"/>
      <c r="GS202" s="4"/>
      <c r="GT202" s="4"/>
      <c r="GU202" s="4"/>
      <c r="GV202" s="4"/>
      <c r="GW202" s="4"/>
      <c r="GX202" s="4">
        <v>0</v>
      </c>
    </row>
    <row r="204" spans="1:206" x14ac:dyDescent="0.3">
      <c r="A204" s="5">
        <v>50</v>
      </c>
      <c r="B204" s="5">
        <v>0</v>
      </c>
      <c r="C204" s="5">
        <v>0</v>
      </c>
      <c r="D204" s="5">
        <v>1</v>
      </c>
      <c r="E204" s="5">
        <v>201</v>
      </c>
      <c r="F204" s="5">
        <f>ROUND(Source!O202,O204)</f>
        <v>113436.02</v>
      </c>
      <c r="G204" s="5" t="s">
        <v>100</v>
      </c>
      <c r="H204" s="5" t="s">
        <v>101</v>
      </c>
      <c r="I204" s="5"/>
      <c r="J204" s="5"/>
      <c r="K204" s="5">
        <v>201</v>
      </c>
      <c r="L204" s="5">
        <v>1</v>
      </c>
      <c r="M204" s="5">
        <v>3</v>
      </c>
      <c r="N204" s="5" t="s">
        <v>3</v>
      </c>
      <c r="O204" s="5">
        <v>2</v>
      </c>
      <c r="P204" s="5">
        <f>ROUND(Source!DG202,O204)</f>
        <v>1005754.17</v>
      </c>
      <c r="Q204" s="5"/>
      <c r="R204" s="5"/>
      <c r="S204" s="5"/>
      <c r="T204" s="5"/>
      <c r="U204" s="5"/>
      <c r="V204" s="5"/>
      <c r="W204" s="5">
        <v>113436.02</v>
      </c>
      <c r="X204" s="5">
        <v>1</v>
      </c>
      <c r="Y204" s="5">
        <v>113436.02</v>
      </c>
      <c r="Z204" s="5">
        <v>1005754.17</v>
      </c>
      <c r="AA204" s="5">
        <v>1</v>
      </c>
      <c r="AB204" s="5">
        <v>1005754.17</v>
      </c>
    </row>
    <row r="205" spans="1:206" x14ac:dyDescent="0.3">
      <c r="A205" s="5">
        <v>50</v>
      </c>
      <c r="B205" s="5">
        <v>0</v>
      </c>
      <c r="C205" s="5">
        <v>0</v>
      </c>
      <c r="D205" s="5">
        <v>1</v>
      </c>
      <c r="E205" s="5">
        <v>202</v>
      </c>
      <c r="F205" s="5">
        <f>ROUND(Source!P202,O205)</f>
        <v>111647.03999999999</v>
      </c>
      <c r="G205" s="5" t="s">
        <v>102</v>
      </c>
      <c r="H205" s="5" t="s">
        <v>103</v>
      </c>
      <c r="I205" s="5"/>
      <c r="J205" s="5"/>
      <c r="K205" s="5">
        <v>202</v>
      </c>
      <c r="L205" s="5">
        <v>2</v>
      </c>
      <c r="M205" s="5">
        <v>3</v>
      </c>
      <c r="N205" s="5" t="s">
        <v>3</v>
      </c>
      <c r="O205" s="5">
        <v>2</v>
      </c>
      <c r="P205" s="5">
        <f>ROUND(Source!DH202,O205)</f>
        <v>908449.45</v>
      </c>
      <c r="Q205" s="5"/>
      <c r="R205" s="5"/>
      <c r="S205" s="5"/>
      <c r="T205" s="5"/>
      <c r="U205" s="5"/>
      <c r="V205" s="5"/>
      <c r="W205" s="5">
        <v>111647.03999999999</v>
      </c>
      <c r="X205" s="5">
        <v>1</v>
      </c>
      <c r="Y205" s="5">
        <v>111647.03999999999</v>
      </c>
      <c r="Z205" s="5">
        <v>908449.45</v>
      </c>
      <c r="AA205" s="5">
        <v>1</v>
      </c>
      <c r="AB205" s="5">
        <v>908449.45</v>
      </c>
    </row>
    <row r="206" spans="1:206" x14ac:dyDescent="0.3">
      <c r="A206" s="5">
        <v>50</v>
      </c>
      <c r="B206" s="5">
        <v>0</v>
      </c>
      <c r="C206" s="5">
        <v>0</v>
      </c>
      <c r="D206" s="5">
        <v>1</v>
      </c>
      <c r="E206" s="5">
        <v>222</v>
      </c>
      <c r="F206" s="5">
        <f>ROUND(Source!AO202,O206)</f>
        <v>0</v>
      </c>
      <c r="G206" s="5" t="s">
        <v>104</v>
      </c>
      <c r="H206" s="5" t="s">
        <v>105</v>
      </c>
      <c r="I206" s="5"/>
      <c r="J206" s="5"/>
      <c r="K206" s="5">
        <v>222</v>
      </c>
      <c r="L206" s="5">
        <v>3</v>
      </c>
      <c r="M206" s="5">
        <v>3</v>
      </c>
      <c r="N206" s="5" t="s">
        <v>3</v>
      </c>
      <c r="O206" s="5">
        <v>2</v>
      </c>
      <c r="P206" s="5">
        <f>ROUND(Source!EG202,O206)</f>
        <v>0</v>
      </c>
      <c r="Q206" s="5"/>
      <c r="R206" s="5"/>
      <c r="S206" s="5"/>
      <c r="T206" s="5"/>
      <c r="U206" s="5"/>
      <c r="V206" s="5"/>
      <c r="W206" s="5">
        <v>0</v>
      </c>
      <c r="X206" s="5">
        <v>1</v>
      </c>
      <c r="Y206" s="5">
        <v>0</v>
      </c>
      <c r="Z206" s="5">
        <v>0</v>
      </c>
      <c r="AA206" s="5">
        <v>1</v>
      </c>
      <c r="AB206" s="5">
        <v>0</v>
      </c>
    </row>
    <row r="207" spans="1:206" x14ac:dyDescent="0.3">
      <c r="A207" s="5">
        <v>50</v>
      </c>
      <c r="B207" s="5">
        <v>0</v>
      </c>
      <c r="C207" s="5">
        <v>0</v>
      </c>
      <c r="D207" s="5">
        <v>1</v>
      </c>
      <c r="E207" s="5">
        <v>225</v>
      </c>
      <c r="F207" s="5">
        <f>ROUND(Source!AV202,O207)</f>
        <v>111647.03999999999</v>
      </c>
      <c r="G207" s="5" t="s">
        <v>106</v>
      </c>
      <c r="H207" s="5" t="s">
        <v>107</v>
      </c>
      <c r="I207" s="5"/>
      <c r="J207" s="5"/>
      <c r="K207" s="5">
        <v>225</v>
      </c>
      <c r="L207" s="5">
        <v>4</v>
      </c>
      <c r="M207" s="5">
        <v>3</v>
      </c>
      <c r="N207" s="5" t="s">
        <v>3</v>
      </c>
      <c r="O207" s="5">
        <v>2</v>
      </c>
      <c r="P207" s="5">
        <f>ROUND(Source!EN202,O207)</f>
        <v>908449.45</v>
      </c>
      <c r="Q207" s="5"/>
      <c r="R207" s="5"/>
      <c r="S207" s="5"/>
      <c r="T207" s="5"/>
      <c r="U207" s="5"/>
      <c r="V207" s="5"/>
      <c r="W207" s="5">
        <v>111647.03999999999</v>
      </c>
      <c r="X207" s="5">
        <v>1</v>
      </c>
      <c r="Y207" s="5">
        <v>111647.03999999999</v>
      </c>
      <c r="Z207" s="5">
        <v>908449.45</v>
      </c>
      <c r="AA207" s="5">
        <v>1</v>
      </c>
      <c r="AB207" s="5">
        <v>908449.45</v>
      </c>
    </row>
    <row r="208" spans="1:206" x14ac:dyDescent="0.3">
      <c r="A208" s="5">
        <v>50</v>
      </c>
      <c r="B208" s="5">
        <v>0</v>
      </c>
      <c r="C208" s="5">
        <v>0</v>
      </c>
      <c r="D208" s="5">
        <v>1</v>
      </c>
      <c r="E208" s="5">
        <v>226</v>
      </c>
      <c r="F208" s="5">
        <f>ROUND(Source!AW202,O208)</f>
        <v>29766.84</v>
      </c>
      <c r="G208" s="5" t="s">
        <v>108</v>
      </c>
      <c r="H208" s="5" t="s">
        <v>109</v>
      </c>
      <c r="I208" s="5"/>
      <c r="J208" s="5"/>
      <c r="K208" s="5">
        <v>226</v>
      </c>
      <c r="L208" s="5">
        <v>5</v>
      </c>
      <c r="M208" s="5">
        <v>3</v>
      </c>
      <c r="N208" s="5" t="s">
        <v>3</v>
      </c>
      <c r="O208" s="5">
        <v>2</v>
      </c>
      <c r="P208" s="5">
        <f>ROUND(Source!EO202,O208)</f>
        <v>281052.24</v>
      </c>
      <c r="Q208" s="5"/>
      <c r="R208" s="5"/>
      <c r="S208" s="5"/>
      <c r="T208" s="5"/>
      <c r="U208" s="5"/>
      <c r="V208" s="5"/>
      <c r="W208" s="5">
        <v>29766.84</v>
      </c>
      <c r="X208" s="5">
        <v>1</v>
      </c>
      <c r="Y208" s="5">
        <v>29766.84</v>
      </c>
      <c r="Z208" s="5">
        <v>281052.24</v>
      </c>
      <c r="AA208" s="5">
        <v>1</v>
      </c>
      <c r="AB208" s="5">
        <v>281052.24</v>
      </c>
    </row>
    <row r="209" spans="1:28" x14ac:dyDescent="0.3">
      <c r="A209" s="5">
        <v>50</v>
      </c>
      <c r="B209" s="5">
        <v>0</v>
      </c>
      <c r="C209" s="5">
        <v>0</v>
      </c>
      <c r="D209" s="5">
        <v>1</v>
      </c>
      <c r="E209" s="5">
        <v>227</v>
      </c>
      <c r="F209" s="5">
        <f>ROUND(Source!AX202,O209)</f>
        <v>0</v>
      </c>
      <c r="G209" s="5" t="s">
        <v>110</v>
      </c>
      <c r="H209" s="5" t="s">
        <v>111</v>
      </c>
      <c r="I209" s="5"/>
      <c r="J209" s="5"/>
      <c r="K209" s="5">
        <v>227</v>
      </c>
      <c r="L209" s="5">
        <v>6</v>
      </c>
      <c r="M209" s="5">
        <v>3</v>
      </c>
      <c r="N209" s="5" t="s">
        <v>3</v>
      </c>
      <c r="O209" s="5">
        <v>2</v>
      </c>
      <c r="P209" s="5">
        <f>ROUND(Source!EP202,O209)</f>
        <v>0</v>
      </c>
      <c r="Q209" s="5"/>
      <c r="R209" s="5"/>
      <c r="S209" s="5"/>
      <c r="T209" s="5"/>
      <c r="U209" s="5"/>
      <c r="V209" s="5"/>
      <c r="W209" s="5">
        <v>0</v>
      </c>
      <c r="X209" s="5">
        <v>1</v>
      </c>
      <c r="Y209" s="5">
        <v>0</v>
      </c>
      <c r="Z209" s="5">
        <v>0</v>
      </c>
      <c r="AA209" s="5">
        <v>1</v>
      </c>
      <c r="AB209" s="5">
        <v>0</v>
      </c>
    </row>
    <row r="210" spans="1:28" x14ac:dyDescent="0.3">
      <c r="A210" s="5">
        <v>50</v>
      </c>
      <c r="B210" s="5">
        <v>0</v>
      </c>
      <c r="C210" s="5">
        <v>0</v>
      </c>
      <c r="D210" s="5">
        <v>1</v>
      </c>
      <c r="E210" s="5">
        <v>228</v>
      </c>
      <c r="F210" s="5">
        <f>ROUND(Source!AY202,O210)</f>
        <v>29766.84</v>
      </c>
      <c r="G210" s="5" t="s">
        <v>112</v>
      </c>
      <c r="H210" s="5" t="s">
        <v>113</v>
      </c>
      <c r="I210" s="5"/>
      <c r="J210" s="5"/>
      <c r="K210" s="5">
        <v>228</v>
      </c>
      <c r="L210" s="5">
        <v>7</v>
      </c>
      <c r="M210" s="5">
        <v>3</v>
      </c>
      <c r="N210" s="5" t="s">
        <v>3</v>
      </c>
      <c r="O210" s="5">
        <v>2</v>
      </c>
      <c r="P210" s="5">
        <f>ROUND(Source!EQ202,O210)</f>
        <v>281052.24</v>
      </c>
      <c r="Q210" s="5"/>
      <c r="R210" s="5"/>
      <c r="S210" s="5"/>
      <c r="T210" s="5"/>
      <c r="U210" s="5"/>
      <c r="V210" s="5"/>
      <c r="W210" s="5">
        <v>29766.84</v>
      </c>
      <c r="X210" s="5">
        <v>1</v>
      </c>
      <c r="Y210" s="5">
        <v>29766.84</v>
      </c>
      <c r="Z210" s="5">
        <v>281052.24</v>
      </c>
      <c r="AA210" s="5">
        <v>1</v>
      </c>
      <c r="AB210" s="5">
        <v>281052.24</v>
      </c>
    </row>
    <row r="211" spans="1:28" x14ac:dyDescent="0.3">
      <c r="A211" s="5">
        <v>50</v>
      </c>
      <c r="B211" s="5">
        <v>0</v>
      </c>
      <c r="C211" s="5">
        <v>0</v>
      </c>
      <c r="D211" s="5">
        <v>1</v>
      </c>
      <c r="E211" s="5">
        <v>216</v>
      </c>
      <c r="F211" s="5">
        <f>ROUND(Source!AP202,O211)</f>
        <v>81880.2</v>
      </c>
      <c r="G211" s="5" t="s">
        <v>114</v>
      </c>
      <c r="H211" s="5" t="s">
        <v>115</v>
      </c>
      <c r="I211" s="5"/>
      <c r="J211" s="5"/>
      <c r="K211" s="5">
        <v>216</v>
      </c>
      <c r="L211" s="5">
        <v>8</v>
      </c>
      <c r="M211" s="5">
        <v>3</v>
      </c>
      <c r="N211" s="5" t="s">
        <v>3</v>
      </c>
      <c r="O211" s="5">
        <v>2</v>
      </c>
      <c r="P211" s="5">
        <f>ROUND(Source!EH202,O211)</f>
        <v>627397.21</v>
      </c>
      <c r="Q211" s="5"/>
      <c r="R211" s="5"/>
      <c r="S211" s="5"/>
      <c r="T211" s="5"/>
      <c r="U211" s="5"/>
      <c r="V211" s="5"/>
      <c r="W211" s="5">
        <v>81880.2</v>
      </c>
      <c r="X211" s="5">
        <v>1</v>
      </c>
      <c r="Y211" s="5">
        <v>81880.2</v>
      </c>
      <c r="Z211" s="5">
        <v>627397.21</v>
      </c>
      <c r="AA211" s="5">
        <v>1</v>
      </c>
      <c r="AB211" s="5">
        <v>627397.21</v>
      </c>
    </row>
    <row r="212" spans="1:28" x14ac:dyDescent="0.3">
      <c r="A212" s="5">
        <v>50</v>
      </c>
      <c r="B212" s="5">
        <v>0</v>
      </c>
      <c r="C212" s="5">
        <v>0</v>
      </c>
      <c r="D212" s="5">
        <v>1</v>
      </c>
      <c r="E212" s="5">
        <v>223</v>
      </c>
      <c r="F212" s="5">
        <f>ROUND(Source!AQ202,O212)</f>
        <v>0</v>
      </c>
      <c r="G212" s="5" t="s">
        <v>116</v>
      </c>
      <c r="H212" s="5" t="s">
        <v>117</v>
      </c>
      <c r="I212" s="5"/>
      <c r="J212" s="5"/>
      <c r="K212" s="5">
        <v>223</v>
      </c>
      <c r="L212" s="5">
        <v>9</v>
      </c>
      <c r="M212" s="5">
        <v>3</v>
      </c>
      <c r="N212" s="5" t="s">
        <v>3</v>
      </c>
      <c r="O212" s="5">
        <v>2</v>
      </c>
      <c r="P212" s="5">
        <f>ROUND(Source!EI202,O212)</f>
        <v>0</v>
      </c>
      <c r="Q212" s="5"/>
      <c r="R212" s="5"/>
      <c r="S212" s="5"/>
      <c r="T212" s="5"/>
      <c r="U212" s="5"/>
      <c r="V212" s="5"/>
      <c r="W212" s="5">
        <v>0</v>
      </c>
      <c r="X212" s="5">
        <v>1</v>
      </c>
      <c r="Y212" s="5">
        <v>0</v>
      </c>
      <c r="Z212" s="5">
        <v>0</v>
      </c>
      <c r="AA212" s="5">
        <v>1</v>
      </c>
      <c r="AB212" s="5">
        <v>0</v>
      </c>
    </row>
    <row r="213" spans="1:28" x14ac:dyDescent="0.3">
      <c r="A213" s="5">
        <v>50</v>
      </c>
      <c r="B213" s="5">
        <v>0</v>
      </c>
      <c r="C213" s="5">
        <v>0</v>
      </c>
      <c r="D213" s="5">
        <v>1</v>
      </c>
      <c r="E213" s="5">
        <v>229</v>
      </c>
      <c r="F213" s="5">
        <f>ROUND(Source!AZ202,O213)</f>
        <v>81880.2</v>
      </c>
      <c r="G213" s="5" t="s">
        <v>118</v>
      </c>
      <c r="H213" s="5" t="s">
        <v>119</v>
      </c>
      <c r="I213" s="5"/>
      <c r="J213" s="5"/>
      <c r="K213" s="5">
        <v>229</v>
      </c>
      <c r="L213" s="5">
        <v>10</v>
      </c>
      <c r="M213" s="5">
        <v>3</v>
      </c>
      <c r="N213" s="5" t="s">
        <v>3</v>
      </c>
      <c r="O213" s="5">
        <v>2</v>
      </c>
      <c r="P213" s="5">
        <f>ROUND(Source!ER202,O213)</f>
        <v>627397.21</v>
      </c>
      <c r="Q213" s="5"/>
      <c r="R213" s="5"/>
      <c r="S213" s="5"/>
      <c r="T213" s="5"/>
      <c r="U213" s="5"/>
      <c r="V213" s="5"/>
      <c r="W213" s="5">
        <v>81880.2</v>
      </c>
      <c r="X213" s="5">
        <v>1</v>
      </c>
      <c r="Y213" s="5">
        <v>81880.2</v>
      </c>
      <c r="Z213" s="5">
        <v>627397.21</v>
      </c>
      <c r="AA213" s="5">
        <v>1</v>
      </c>
      <c r="AB213" s="5">
        <v>627397.21</v>
      </c>
    </row>
    <row r="214" spans="1:28" x14ac:dyDescent="0.3">
      <c r="A214" s="5">
        <v>50</v>
      </c>
      <c r="B214" s="5">
        <v>0</v>
      </c>
      <c r="C214" s="5">
        <v>0</v>
      </c>
      <c r="D214" s="5">
        <v>1</v>
      </c>
      <c r="E214" s="5">
        <v>203</v>
      </c>
      <c r="F214" s="5">
        <f>ROUND(Source!Q202,O214)</f>
        <v>26.69</v>
      </c>
      <c r="G214" s="5" t="s">
        <v>120</v>
      </c>
      <c r="H214" s="5" t="s">
        <v>121</v>
      </c>
      <c r="I214" s="5"/>
      <c r="J214" s="5"/>
      <c r="K214" s="5">
        <v>203</v>
      </c>
      <c r="L214" s="5">
        <v>11</v>
      </c>
      <c r="M214" s="5">
        <v>3</v>
      </c>
      <c r="N214" s="5" t="s">
        <v>3</v>
      </c>
      <c r="O214" s="5">
        <v>2</v>
      </c>
      <c r="P214" s="5">
        <f>ROUND(Source!DI202,O214)</f>
        <v>396.4</v>
      </c>
      <c r="Q214" s="5"/>
      <c r="R214" s="5"/>
      <c r="S214" s="5"/>
      <c r="T214" s="5"/>
      <c r="U214" s="5"/>
      <c r="V214" s="5"/>
      <c r="W214" s="5">
        <v>26.69</v>
      </c>
      <c r="X214" s="5">
        <v>1</v>
      </c>
      <c r="Y214" s="5">
        <v>26.69</v>
      </c>
      <c r="Z214" s="5">
        <v>396.4</v>
      </c>
      <c r="AA214" s="5">
        <v>1</v>
      </c>
      <c r="AB214" s="5">
        <v>396.4</v>
      </c>
    </row>
    <row r="215" spans="1:28" x14ac:dyDescent="0.3">
      <c r="A215" s="5">
        <v>50</v>
      </c>
      <c r="B215" s="5">
        <v>0</v>
      </c>
      <c r="C215" s="5">
        <v>0</v>
      </c>
      <c r="D215" s="5">
        <v>1</v>
      </c>
      <c r="E215" s="5">
        <v>231</v>
      </c>
      <c r="F215" s="5">
        <f>ROUND(Source!BB202,O215)</f>
        <v>0</v>
      </c>
      <c r="G215" s="5" t="s">
        <v>122</v>
      </c>
      <c r="H215" s="5" t="s">
        <v>123</v>
      </c>
      <c r="I215" s="5"/>
      <c r="J215" s="5"/>
      <c r="K215" s="5">
        <v>231</v>
      </c>
      <c r="L215" s="5">
        <v>12</v>
      </c>
      <c r="M215" s="5">
        <v>3</v>
      </c>
      <c r="N215" s="5" t="s">
        <v>3</v>
      </c>
      <c r="O215" s="5">
        <v>2</v>
      </c>
      <c r="P215" s="5">
        <f>ROUND(Source!ET202,O215)</f>
        <v>0</v>
      </c>
      <c r="Q215" s="5"/>
      <c r="R215" s="5"/>
      <c r="S215" s="5"/>
      <c r="T215" s="5"/>
      <c r="U215" s="5"/>
      <c r="V215" s="5"/>
      <c r="W215" s="5">
        <v>0</v>
      </c>
      <c r="X215" s="5">
        <v>1</v>
      </c>
      <c r="Y215" s="5">
        <v>0</v>
      </c>
      <c r="Z215" s="5">
        <v>0</v>
      </c>
      <c r="AA215" s="5">
        <v>1</v>
      </c>
      <c r="AB215" s="5">
        <v>0</v>
      </c>
    </row>
    <row r="216" spans="1:28" x14ac:dyDescent="0.3">
      <c r="A216" s="5">
        <v>50</v>
      </c>
      <c r="B216" s="5">
        <v>0</v>
      </c>
      <c r="C216" s="5">
        <v>0</v>
      </c>
      <c r="D216" s="5">
        <v>1</v>
      </c>
      <c r="E216" s="5">
        <v>204</v>
      </c>
      <c r="F216" s="5">
        <f>ROUND(Source!R202,O216)</f>
        <v>3.15</v>
      </c>
      <c r="G216" s="5" t="s">
        <v>124</v>
      </c>
      <c r="H216" s="5" t="s">
        <v>125</v>
      </c>
      <c r="I216" s="5"/>
      <c r="J216" s="5"/>
      <c r="K216" s="5">
        <v>204</v>
      </c>
      <c r="L216" s="5">
        <v>13</v>
      </c>
      <c r="M216" s="5">
        <v>3</v>
      </c>
      <c r="N216" s="5" t="s">
        <v>3</v>
      </c>
      <c r="O216" s="5">
        <v>2</v>
      </c>
      <c r="P216" s="5">
        <f>ROUND(Source!DJ202,O216)</f>
        <v>173.23</v>
      </c>
      <c r="Q216" s="5"/>
      <c r="R216" s="5"/>
      <c r="S216" s="5"/>
      <c r="T216" s="5"/>
      <c r="U216" s="5"/>
      <c r="V216" s="5"/>
      <c r="W216" s="5">
        <v>3.15</v>
      </c>
      <c r="X216" s="5">
        <v>1</v>
      </c>
      <c r="Y216" s="5">
        <v>3.15</v>
      </c>
      <c r="Z216" s="5">
        <v>173.23</v>
      </c>
      <c r="AA216" s="5">
        <v>1</v>
      </c>
      <c r="AB216" s="5">
        <v>173.23</v>
      </c>
    </row>
    <row r="217" spans="1:28" x14ac:dyDescent="0.3">
      <c r="A217" s="5">
        <v>50</v>
      </c>
      <c r="B217" s="5">
        <v>0</v>
      </c>
      <c r="C217" s="5">
        <v>0</v>
      </c>
      <c r="D217" s="5">
        <v>1</v>
      </c>
      <c r="E217" s="5">
        <v>205</v>
      </c>
      <c r="F217" s="5">
        <f>ROUND(Source!S202,O217)</f>
        <v>1762.29</v>
      </c>
      <c r="G217" s="5" t="s">
        <v>126</v>
      </c>
      <c r="H217" s="5" t="s">
        <v>127</v>
      </c>
      <c r="I217" s="5"/>
      <c r="J217" s="5"/>
      <c r="K217" s="5">
        <v>205</v>
      </c>
      <c r="L217" s="5">
        <v>14</v>
      </c>
      <c r="M217" s="5">
        <v>3</v>
      </c>
      <c r="N217" s="5" t="s">
        <v>3</v>
      </c>
      <c r="O217" s="5">
        <v>2</v>
      </c>
      <c r="P217" s="5">
        <f>ROUND(Source!DK202,O217)</f>
        <v>96908.32</v>
      </c>
      <c r="Q217" s="5"/>
      <c r="R217" s="5"/>
      <c r="S217" s="5"/>
      <c r="T217" s="5"/>
      <c r="U217" s="5"/>
      <c r="V217" s="5"/>
      <c r="W217" s="5">
        <v>1762.29</v>
      </c>
      <c r="X217" s="5">
        <v>1</v>
      </c>
      <c r="Y217" s="5">
        <v>1762.29</v>
      </c>
      <c r="Z217" s="5">
        <v>96908.32</v>
      </c>
      <c r="AA217" s="5">
        <v>1</v>
      </c>
      <c r="AB217" s="5">
        <v>96908.32</v>
      </c>
    </row>
    <row r="218" spans="1:28" x14ac:dyDescent="0.3">
      <c r="A218" s="5">
        <v>50</v>
      </c>
      <c r="B218" s="5">
        <v>0</v>
      </c>
      <c r="C218" s="5">
        <v>0</v>
      </c>
      <c r="D218" s="5">
        <v>1</v>
      </c>
      <c r="E218" s="5">
        <v>232</v>
      </c>
      <c r="F218" s="5">
        <f>ROUND(Source!BC202,O218)</f>
        <v>0</v>
      </c>
      <c r="G218" s="5" t="s">
        <v>128</v>
      </c>
      <c r="H218" s="5" t="s">
        <v>129</v>
      </c>
      <c r="I218" s="5"/>
      <c r="J218" s="5"/>
      <c r="K218" s="5">
        <v>232</v>
      </c>
      <c r="L218" s="5">
        <v>15</v>
      </c>
      <c r="M218" s="5">
        <v>3</v>
      </c>
      <c r="N218" s="5" t="s">
        <v>3</v>
      </c>
      <c r="O218" s="5">
        <v>2</v>
      </c>
      <c r="P218" s="5">
        <f>ROUND(Source!EU202,O218)</f>
        <v>0</v>
      </c>
      <c r="Q218" s="5"/>
      <c r="R218" s="5"/>
      <c r="S218" s="5"/>
      <c r="T218" s="5"/>
      <c r="U218" s="5"/>
      <c r="V218" s="5"/>
      <c r="W218" s="5">
        <v>0</v>
      </c>
      <c r="X218" s="5">
        <v>1</v>
      </c>
      <c r="Y218" s="5">
        <v>0</v>
      </c>
      <c r="Z218" s="5">
        <v>0</v>
      </c>
      <c r="AA218" s="5">
        <v>1</v>
      </c>
      <c r="AB218" s="5">
        <v>0</v>
      </c>
    </row>
    <row r="219" spans="1:28" x14ac:dyDescent="0.3">
      <c r="A219" s="5">
        <v>50</v>
      </c>
      <c r="B219" s="5">
        <v>0</v>
      </c>
      <c r="C219" s="5">
        <v>0</v>
      </c>
      <c r="D219" s="5">
        <v>1</v>
      </c>
      <c r="E219" s="5">
        <v>214</v>
      </c>
      <c r="F219" s="5">
        <f>ROUND(Source!AS202,O219)</f>
        <v>0</v>
      </c>
      <c r="G219" s="5" t="s">
        <v>130</v>
      </c>
      <c r="H219" s="5" t="s">
        <v>131</v>
      </c>
      <c r="I219" s="5"/>
      <c r="J219" s="5"/>
      <c r="K219" s="5">
        <v>214</v>
      </c>
      <c r="L219" s="5">
        <v>16</v>
      </c>
      <c r="M219" s="5">
        <v>3</v>
      </c>
      <c r="N219" s="5" t="s">
        <v>3</v>
      </c>
      <c r="O219" s="5">
        <v>2</v>
      </c>
      <c r="P219" s="5">
        <f>ROUND(Source!EK202,O219)</f>
        <v>0</v>
      </c>
      <c r="Q219" s="5"/>
      <c r="R219" s="5"/>
      <c r="S219" s="5"/>
      <c r="T219" s="5"/>
      <c r="U219" s="5"/>
      <c r="V219" s="5"/>
      <c r="W219" s="5">
        <v>0</v>
      </c>
      <c r="X219" s="5">
        <v>1</v>
      </c>
      <c r="Y219" s="5">
        <v>0</v>
      </c>
      <c r="Z219" s="5">
        <v>0</v>
      </c>
      <c r="AA219" s="5">
        <v>1</v>
      </c>
      <c r="AB219" s="5">
        <v>0</v>
      </c>
    </row>
    <row r="220" spans="1:28" x14ac:dyDescent="0.3">
      <c r="A220" s="5">
        <v>50</v>
      </c>
      <c r="B220" s="5">
        <v>0</v>
      </c>
      <c r="C220" s="5">
        <v>0</v>
      </c>
      <c r="D220" s="5">
        <v>1</v>
      </c>
      <c r="E220" s="5">
        <v>215</v>
      </c>
      <c r="F220" s="5">
        <f>ROUND(Source!AT202,O220)</f>
        <v>33958.480000000003</v>
      </c>
      <c r="G220" s="5" t="s">
        <v>132</v>
      </c>
      <c r="H220" s="5" t="s">
        <v>133</v>
      </c>
      <c r="I220" s="5"/>
      <c r="J220" s="5"/>
      <c r="K220" s="5">
        <v>215</v>
      </c>
      <c r="L220" s="5">
        <v>17</v>
      </c>
      <c r="M220" s="5">
        <v>3</v>
      </c>
      <c r="N220" s="5" t="s">
        <v>3</v>
      </c>
      <c r="O220" s="5">
        <v>2</v>
      </c>
      <c r="P220" s="5">
        <f>ROUND(Source!EL202,O220)</f>
        <v>510478.2</v>
      </c>
      <c r="Q220" s="5"/>
      <c r="R220" s="5"/>
      <c r="S220" s="5"/>
      <c r="T220" s="5"/>
      <c r="U220" s="5"/>
      <c r="V220" s="5"/>
      <c r="W220" s="5">
        <v>33958.480000000003</v>
      </c>
      <c r="X220" s="5">
        <v>1</v>
      </c>
      <c r="Y220" s="5">
        <v>33958.480000000003</v>
      </c>
      <c r="Z220" s="5">
        <v>510478.2</v>
      </c>
      <c r="AA220" s="5">
        <v>1</v>
      </c>
      <c r="AB220" s="5">
        <v>510478.2</v>
      </c>
    </row>
    <row r="221" spans="1:28" x14ac:dyDescent="0.3">
      <c r="A221" s="5">
        <v>50</v>
      </c>
      <c r="B221" s="5">
        <v>0</v>
      </c>
      <c r="C221" s="5">
        <v>0</v>
      </c>
      <c r="D221" s="5">
        <v>1</v>
      </c>
      <c r="E221" s="5">
        <v>217</v>
      </c>
      <c r="F221" s="5">
        <f>ROUND(Source!AU202,O221)</f>
        <v>0</v>
      </c>
      <c r="G221" s="5" t="s">
        <v>134</v>
      </c>
      <c r="H221" s="5" t="s">
        <v>135</v>
      </c>
      <c r="I221" s="5"/>
      <c r="J221" s="5"/>
      <c r="K221" s="5">
        <v>217</v>
      </c>
      <c r="L221" s="5">
        <v>18</v>
      </c>
      <c r="M221" s="5">
        <v>3</v>
      </c>
      <c r="N221" s="5" t="s">
        <v>3</v>
      </c>
      <c r="O221" s="5">
        <v>2</v>
      </c>
      <c r="P221" s="5">
        <f>ROUND(Source!EM202,O221)</f>
        <v>0</v>
      </c>
      <c r="Q221" s="5"/>
      <c r="R221" s="5"/>
      <c r="S221" s="5"/>
      <c r="T221" s="5"/>
      <c r="U221" s="5"/>
      <c r="V221" s="5"/>
      <c r="W221" s="5">
        <v>0</v>
      </c>
      <c r="X221" s="5">
        <v>1</v>
      </c>
      <c r="Y221" s="5">
        <v>0</v>
      </c>
      <c r="Z221" s="5">
        <v>0</v>
      </c>
      <c r="AA221" s="5">
        <v>1</v>
      </c>
      <c r="AB221" s="5">
        <v>0</v>
      </c>
    </row>
    <row r="222" spans="1:28" x14ac:dyDescent="0.3">
      <c r="A222" s="5">
        <v>50</v>
      </c>
      <c r="B222" s="5">
        <v>0</v>
      </c>
      <c r="C222" s="5">
        <v>0</v>
      </c>
      <c r="D222" s="5">
        <v>1</v>
      </c>
      <c r="E222" s="5">
        <v>230</v>
      </c>
      <c r="F222" s="5">
        <f>ROUND(Source!BA202,O222)</f>
        <v>0</v>
      </c>
      <c r="G222" s="5" t="s">
        <v>136</v>
      </c>
      <c r="H222" s="5" t="s">
        <v>137</v>
      </c>
      <c r="I222" s="5"/>
      <c r="J222" s="5"/>
      <c r="K222" s="5">
        <v>230</v>
      </c>
      <c r="L222" s="5">
        <v>19</v>
      </c>
      <c r="M222" s="5">
        <v>3</v>
      </c>
      <c r="N222" s="5" t="s">
        <v>3</v>
      </c>
      <c r="O222" s="5">
        <v>2</v>
      </c>
      <c r="P222" s="5">
        <f>ROUND(Source!ES202,O222)</f>
        <v>0</v>
      </c>
      <c r="Q222" s="5"/>
      <c r="R222" s="5"/>
      <c r="S222" s="5"/>
      <c r="T222" s="5"/>
      <c r="U222" s="5"/>
      <c r="V222" s="5"/>
      <c r="W222" s="5">
        <v>0</v>
      </c>
      <c r="X222" s="5">
        <v>1</v>
      </c>
      <c r="Y222" s="5">
        <v>0</v>
      </c>
      <c r="Z222" s="5">
        <v>0</v>
      </c>
      <c r="AA222" s="5">
        <v>1</v>
      </c>
      <c r="AB222" s="5">
        <v>0</v>
      </c>
    </row>
    <row r="223" spans="1:28" x14ac:dyDescent="0.3">
      <c r="A223" s="5">
        <v>50</v>
      </c>
      <c r="B223" s="5">
        <v>0</v>
      </c>
      <c r="C223" s="5">
        <v>0</v>
      </c>
      <c r="D223" s="5">
        <v>1</v>
      </c>
      <c r="E223" s="5">
        <v>206</v>
      </c>
      <c r="F223" s="5">
        <f>ROUND(Source!T202,O223)</f>
        <v>0</v>
      </c>
      <c r="G223" s="5" t="s">
        <v>138</v>
      </c>
      <c r="H223" s="5" t="s">
        <v>139</v>
      </c>
      <c r="I223" s="5"/>
      <c r="J223" s="5"/>
      <c r="K223" s="5">
        <v>206</v>
      </c>
      <c r="L223" s="5">
        <v>20</v>
      </c>
      <c r="M223" s="5">
        <v>3</v>
      </c>
      <c r="N223" s="5" t="s">
        <v>3</v>
      </c>
      <c r="O223" s="5">
        <v>2</v>
      </c>
      <c r="P223" s="5">
        <f>ROUND(Source!DL202,O223)</f>
        <v>0</v>
      </c>
      <c r="Q223" s="5"/>
      <c r="R223" s="5"/>
      <c r="S223" s="5"/>
      <c r="T223" s="5"/>
      <c r="U223" s="5"/>
      <c r="V223" s="5"/>
      <c r="W223" s="5">
        <v>0</v>
      </c>
      <c r="X223" s="5">
        <v>1</v>
      </c>
      <c r="Y223" s="5">
        <v>0</v>
      </c>
      <c r="Z223" s="5">
        <v>0</v>
      </c>
      <c r="AA223" s="5">
        <v>1</v>
      </c>
      <c r="AB223" s="5">
        <v>0</v>
      </c>
    </row>
    <row r="224" spans="1:28" x14ac:dyDescent="0.3">
      <c r="A224" s="5">
        <v>50</v>
      </c>
      <c r="B224" s="5">
        <v>0</v>
      </c>
      <c r="C224" s="5">
        <v>0</v>
      </c>
      <c r="D224" s="5">
        <v>1</v>
      </c>
      <c r="E224" s="5">
        <v>207</v>
      </c>
      <c r="F224" s="5">
        <f>Source!U202</f>
        <v>136.2944814</v>
      </c>
      <c r="G224" s="5" t="s">
        <v>140</v>
      </c>
      <c r="H224" s="5" t="s">
        <v>141</v>
      </c>
      <c r="I224" s="5"/>
      <c r="J224" s="5"/>
      <c r="K224" s="5">
        <v>207</v>
      </c>
      <c r="L224" s="5">
        <v>21</v>
      </c>
      <c r="M224" s="5">
        <v>3</v>
      </c>
      <c r="N224" s="5" t="s">
        <v>3</v>
      </c>
      <c r="O224" s="5">
        <v>-1</v>
      </c>
      <c r="P224" s="5">
        <f>Source!DM202</f>
        <v>136.2944814</v>
      </c>
      <c r="Q224" s="5"/>
      <c r="R224" s="5"/>
      <c r="S224" s="5"/>
      <c r="T224" s="5"/>
      <c r="U224" s="5"/>
      <c r="V224" s="5"/>
      <c r="W224" s="5">
        <v>136.2944814</v>
      </c>
      <c r="X224" s="5">
        <v>1</v>
      </c>
      <c r="Y224" s="5">
        <v>136.2944814</v>
      </c>
      <c r="Z224" s="5">
        <v>136.2944814</v>
      </c>
      <c r="AA224" s="5">
        <v>1</v>
      </c>
      <c r="AB224" s="5">
        <v>136.2944814</v>
      </c>
    </row>
    <row r="225" spans="1:28" x14ac:dyDescent="0.3">
      <c r="A225" s="5">
        <v>50</v>
      </c>
      <c r="B225" s="5">
        <v>0</v>
      </c>
      <c r="C225" s="5">
        <v>0</v>
      </c>
      <c r="D225" s="5">
        <v>1</v>
      </c>
      <c r="E225" s="5">
        <v>208</v>
      </c>
      <c r="F225" s="5">
        <f>Source!V202</f>
        <v>0</v>
      </c>
      <c r="G225" s="5" t="s">
        <v>142</v>
      </c>
      <c r="H225" s="5" t="s">
        <v>143</v>
      </c>
      <c r="I225" s="5"/>
      <c r="J225" s="5"/>
      <c r="K225" s="5">
        <v>208</v>
      </c>
      <c r="L225" s="5">
        <v>22</v>
      </c>
      <c r="M225" s="5">
        <v>3</v>
      </c>
      <c r="N225" s="5" t="s">
        <v>3</v>
      </c>
      <c r="O225" s="5">
        <v>-1</v>
      </c>
      <c r="P225" s="5">
        <f>Source!DN202</f>
        <v>0</v>
      </c>
      <c r="Q225" s="5"/>
      <c r="R225" s="5"/>
      <c r="S225" s="5"/>
      <c r="T225" s="5"/>
      <c r="U225" s="5"/>
      <c r="V225" s="5"/>
      <c r="W225" s="5">
        <v>0</v>
      </c>
      <c r="X225" s="5">
        <v>1</v>
      </c>
      <c r="Y225" s="5">
        <v>0</v>
      </c>
      <c r="Z225" s="5">
        <v>0</v>
      </c>
      <c r="AA225" s="5">
        <v>1</v>
      </c>
      <c r="AB225" s="5">
        <v>0</v>
      </c>
    </row>
    <row r="226" spans="1:28" x14ac:dyDescent="0.3">
      <c r="A226" s="5">
        <v>50</v>
      </c>
      <c r="B226" s="5">
        <v>0</v>
      </c>
      <c r="C226" s="5">
        <v>0</v>
      </c>
      <c r="D226" s="5">
        <v>1</v>
      </c>
      <c r="E226" s="5">
        <v>209</v>
      </c>
      <c r="F226" s="5">
        <f>ROUND(Source!W202,O226)</f>
        <v>0</v>
      </c>
      <c r="G226" s="5" t="s">
        <v>144</v>
      </c>
      <c r="H226" s="5" t="s">
        <v>145</v>
      </c>
      <c r="I226" s="5"/>
      <c r="J226" s="5"/>
      <c r="K226" s="5">
        <v>209</v>
      </c>
      <c r="L226" s="5">
        <v>23</v>
      </c>
      <c r="M226" s="5">
        <v>3</v>
      </c>
      <c r="N226" s="5" t="s">
        <v>3</v>
      </c>
      <c r="O226" s="5">
        <v>2</v>
      </c>
      <c r="P226" s="5">
        <f>ROUND(Source!DO202,O226)</f>
        <v>0</v>
      </c>
      <c r="Q226" s="5"/>
      <c r="R226" s="5"/>
      <c r="S226" s="5"/>
      <c r="T226" s="5"/>
      <c r="U226" s="5"/>
      <c r="V226" s="5"/>
      <c r="W226" s="5">
        <v>0</v>
      </c>
      <c r="X226" s="5">
        <v>1</v>
      </c>
      <c r="Y226" s="5">
        <v>0</v>
      </c>
      <c r="Z226" s="5">
        <v>0</v>
      </c>
      <c r="AA226" s="5">
        <v>1</v>
      </c>
      <c r="AB226" s="5">
        <v>0</v>
      </c>
    </row>
    <row r="227" spans="1:28" x14ac:dyDescent="0.3">
      <c r="A227" s="5">
        <v>50</v>
      </c>
      <c r="B227" s="5">
        <v>0</v>
      </c>
      <c r="C227" s="5">
        <v>0</v>
      </c>
      <c r="D227" s="5">
        <v>1</v>
      </c>
      <c r="E227" s="5">
        <v>233</v>
      </c>
      <c r="F227" s="5">
        <f>ROUND(Source!BD202,O227)</f>
        <v>0</v>
      </c>
      <c r="G227" s="5" t="s">
        <v>146</v>
      </c>
      <c r="H227" s="5" t="s">
        <v>147</v>
      </c>
      <c r="I227" s="5"/>
      <c r="J227" s="5"/>
      <c r="K227" s="5">
        <v>233</v>
      </c>
      <c r="L227" s="5">
        <v>24</v>
      </c>
      <c r="M227" s="5">
        <v>3</v>
      </c>
      <c r="N227" s="5" t="s">
        <v>3</v>
      </c>
      <c r="O227" s="5">
        <v>2</v>
      </c>
      <c r="P227" s="5">
        <f>ROUND(Source!EV202,O227)</f>
        <v>0</v>
      </c>
      <c r="Q227" s="5"/>
      <c r="R227" s="5"/>
      <c r="S227" s="5"/>
      <c r="T227" s="5"/>
      <c r="U227" s="5"/>
      <c r="V227" s="5"/>
      <c r="W227" s="5">
        <v>0</v>
      </c>
      <c r="X227" s="5">
        <v>1</v>
      </c>
      <c r="Y227" s="5">
        <v>0</v>
      </c>
      <c r="Z227" s="5">
        <v>0</v>
      </c>
      <c r="AA227" s="5">
        <v>1</v>
      </c>
      <c r="AB227" s="5">
        <v>0</v>
      </c>
    </row>
    <row r="228" spans="1:28" x14ac:dyDescent="0.3">
      <c r="A228" s="5">
        <v>50</v>
      </c>
      <c r="B228" s="5">
        <v>0</v>
      </c>
      <c r="C228" s="5">
        <v>0</v>
      </c>
      <c r="D228" s="5">
        <v>1</v>
      </c>
      <c r="E228" s="5">
        <v>210</v>
      </c>
      <c r="F228" s="5">
        <f>ROUND(Source!X202,O228)</f>
        <v>1589.6</v>
      </c>
      <c r="G228" s="5" t="s">
        <v>148</v>
      </c>
      <c r="H228" s="5" t="s">
        <v>149</v>
      </c>
      <c r="I228" s="5"/>
      <c r="J228" s="5"/>
      <c r="K228" s="5">
        <v>210</v>
      </c>
      <c r="L228" s="5">
        <v>25</v>
      </c>
      <c r="M228" s="5">
        <v>3</v>
      </c>
      <c r="N228" s="5" t="s">
        <v>3</v>
      </c>
      <c r="O228" s="5">
        <v>2</v>
      </c>
      <c r="P228" s="5">
        <f>ROUND(Source!DP202,O228)</f>
        <v>87411.04</v>
      </c>
      <c r="Q228" s="5"/>
      <c r="R228" s="5"/>
      <c r="S228" s="5"/>
      <c r="T228" s="5"/>
      <c r="U228" s="5"/>
      <c r="V228" s="5"/>
      <c r="W228" s="5">
        <v>1589.6</v>
      </c>
      <c r="X228" s="5">
        <v>1</v>
      </c>
      <c r="Y228" s="5">
        <v>1589.6</v>
      </c>
      <c r="Z228" s="5">
        <v>87411.04</v>
      </c>
      <c r="AA228" s="5">
        <v>1</v>
      </c>
      <c r="AB228" s="5">
        <v>87411.04</v>
      </c>
    </row>
    <row r="229" spans="1:28" x14ac:dyDescent="0.3">
      <c r="A229" s="5">
        <v>50</v>
      </c>
      <c r="B229" s="5">
        <v>0</v>
      </c>
      <c r="C229" s="5">
        <v>0</v>
      </c>
      <c r="D229" s="5">
        <v>1</v>
      </c>
      <c r="E229" s="5">
        <v>211</v>
      </c>
      <c r="F229" s="5">
        <f>ROUND(Source!Y202,O229)</f>
        <v>813.06</v>
      </c>
      <c r="G229" s="5" t="s">
        <v>150</v>
      </c>
      <c r="H229" s="5" t="s">
        <v>151</v>
      </c>
      <c r="I229" s="5"/>
      <c r="J229" s="5"/>
      <c r="K229" s="5">
        <v>211</v>
      </c>
      <c r="L229" s="5">
        <v>26</v>
      </c>
      <c r="M229" s="5">
        <v>3</v>
      </c>
      <c r="N229" s="5" t="s">
        <v>3</v>
      </c>
      <c r="O229" s="5">
        <v>2</v>
      </c>
      <c r="P229" s="5">
        <f>ROUND(Source!DQ202,O229)</f>
        <v>44710.2</v>
      </c>
      <c r="Q229" s="5"/>
      <c r="R229" s="5"/>
      <c r="S229" s="5"/>
      <c r="T229" s="5"/>
      <c r="U229" s="5"/>
      <c r="V229" s="5"/>
      <c r="W229" s="5">
        <v>813.06</v>
      </c>
      <c r="X229" s="5">
        <v>1</v>
      </c>
      <c r="Y229" s="5">
        <v>813.06</v>
      </c>
      <c r="Z229" s="5">
        <v>44710.2</v>
      </c>
      <c r="AA229" s="5">
        <v>1</v>
      </c>
      <c r="AB229" s="5">
        <v>44710.2</v>
      </c>
    </row>
    <row r="230" spans="1:28" x14ac:dyDescent="0.3">
      <c r="A230" s="5">
        <v>50</v>
      </c>
      <c r="B230" s="5">
        <v>0</v>
      </c>
      <c r="C230" s="5">
        <v>0</v>
      </c>
      <c r="D230" s="5">
        <v>1</v>
      </c>
      <c r="E230" s="5">
        <v>224</v>
      </c>
      <c r="F230" s="5">
        <f>ROUND(Source!AR202,O230)</f>
        <v>115838.68</v>
      </c>
      <c r="G230" s="5" t="s">
        <v>152</v>
      </c>
      <c r="H230" s="5" t="s">
        <v>153</v>
      </c>
      <c r="I230" s="5"/>
      <c r="J230" s="5"/>
      <c r="K230" s="5">
        <v>224</v>
      </c>
      <c r="L230" s="5">
        <v>27</v>
      </c>
      <c r="M230" s="5">
        <v>3</v>
      </c>
      <c r="N230" s="5" t="s">
        <v>3</v>
      </c>
      <c r="O230" s="5">
        <v>2</v>
      </c>
      <c r="P230" s="5">
        <f>ROUND(Source!EJ202,O230)</f>
        <v>1137875.4099999999</v>
      </c>
      <c r="Q230" s="5"/>
      <c r="R230" s="5"/>
      <c r="S230" s="5"/>
      <c r="T230" s="5"/>
      <c r="U230" s="5"/>
      <c r="V230" s="5"/>
      <c r="W230" s="5">
        <v>115838.68</v>
      </c>
      <c r="X230" s="5">
        <v>1</v>
      </c>
      <c r="Y230" s="5">
        <v>115838.68</v>
      </c>
      <c r="Z230" s="5">
        <v>1137875.4099999999</v>
      </c>
      <c r="AA230" s="5">
        <v>1</v>
      </c>
      <c r="AB230" s="5">
        <v>1137875.4099999999</v>
      </c>
    </row>
    <row r="233" spans="1:28" x14ac:dyDescent="0.3">
      <c r="A233">
        <v>70</v>
      </c>
      <c r="B233">
        <v>1</v>
      </c>
      <c r="D233">
        <v>1</v>
      </c>
      <c r="E233" t="s">
        <v>209</v>
      </c>
      <c r="F233" t="s">
        <v>210</v>
      </c>
      <c r="G233">
        <v>0</v>
      </c>
      <c r="H233">
        <v>0</v>
      </c>
      <c r="I233" t="s">
        <v>3</v>
      </c>
      <c r="J233">
        <v>1</v>
      </c>
      <c r="K233">
        <v>0</v>
      </c>
      <c r="L233" t="s">
        <v>3</v>
      </c>
      <c r="M233" t="s">
        <v>3</v>
      </c>
      <c r="N233">
        <v>0</v>
      </c>
      <c r="O233">
        <v>0</v>
      </c>
      <c r="P233" t="s">
        <v>3</v>
      </c>
    </row>
    <row r="234" spans="1:28" x14ac:dyDescent="0.3">
      <c r="A234">
        <v>70</v>
      </c>
      <c r="B234">
        <v>1</v>
      </c>
      <c r="D234">
        <v>2</v>
      </c>
      <c r="E234" t="s">
        <v>211</v>
      </c>
      <c r="F234" t="s">
        <v>212</v>
      </c>
      <c r="G234">
        <v>1</v>
      </c>
      <c r="H234">
        <v>0</v>
      </c>
      <c r="I234" t="s">
        <v>3</v>
      </c>
      <c r="J234">
        <v>1</v>
      </c>
      <c r="K234">
        <v>0</v>
      </c>
      <c r="L234" t="s">
        <v>3</v>
      </c>
      <c r="M234" t="s">
        <v>3</v>
      </c>
      <c r="N234">
        <v>0</v>
      </c>
      <c r="O234">
        <v>1</v>
      </c>
      <c r="P234" t="s">
        <v>3</v>
      </c>
    </row>
    <row r="235" spans="1:28" x14ac:dyDescent="0.3">
      <c r="A235">
        <v>70</v>
      </c>
      <c r="B235">
        <v>1</v>
      </c>
      <c r="D235">
        <v>3</v>
      </c>
      <c r="E235" t="s">
        <v>213</v>
      </c>
      <c r="F235" t="s">
        <v>214</v>
      </c>
      <c r="G235">
        <v>1</v>
      </c>
      <c r="H235">
        <v>0</v>
      </c>
      <c r="I235" t="s">
        <v>3</v>
      </c>
      <c r="J235">
        <v>0</v>
      </c>
      <c r="K235">
        <v>0</v>
      </c>
      <c r="L235" t="s">
        <v>3</v>
      </c>
      <c r="M235" t="s">
        <v>3</v>
      </c>
      <c r="N235">
        <v>0</v>
      </c>
      <c r="O235">
        <v>1</v>
      </c>
      <c r="P235" t="s">
        <v>3</v>
      </c>
    </row>
    <row r="236" spans="1:28" x14ac:dyDescent="0.3">
      <c r="A236">
        <v>70</v>
      </c>
      <c r="B236">
        <v>1</v>
      </c>
      <c r="D236">
        <v>4</v>
      </c>
      <c r="E236" t="s">
        <v>215</v>
      </c>
      <c r="F236" t="s">
        <v>216</v>
      </c>
      <c r="G236">
        <v>1</v>
      </c>
      <c r="H236">
        <v>0</v>
      </c>
      <c r="I236" t="s">
        <v>3</v>
      </c>
      <c r="J236">
        <v>0</v>
      </c>
      <c r="K236">
        <v>0</v>
      </c>
      <c r="L236" t="s">
        <v>3</v>
      </c>
      <c r="M236" t="s">
        <v>3</v>
      </c>
      <c r="N236">
        <v>0</v>
      </c>
      <c r="O236">
        <v>1</v>
      </c>
      <c r="P236" t="s">
        <v>3</v>
      </c>
    </row>
    <row r="237" spans="1:28" x14ac:dyDescent="0.3">
      <c r="A237">
        <v>70</v>
      </c>
      <c r="B237">
        <v>1</v>
      </c>
      <c r="D237">
        <v>5</v>
      </c>
      <c r="E237" t="s">
        <v>217</v>
      </c>
      <c r="F237" t="s">
        <v>218</v>
      </c>
      <c r="G237">
        <v>0</v>
      </c>
      <c r="H237">
        <v>0</v>
      </c>
      <c r="I237" t="s">
        <v>3</v>
      </c>
      <c r="J237">
        <v>0</v>
      </c>
      <c r="K237">
        <v>0</v>
      </c>
      <c r="L237" t="s">
        <v>3</v>
      </c>
      <c r="M237" t="s">
        <v>3</v>
      </c>
      <c r="N237">
        <v>0</v>
      </c>
      <c r="O237">
        <v>0</v>
      </c>
      <c r="P237" t="s">
        <v>3</v>
      </c>
    </row>
    <row r="239" spans="1:28" x14ac:dyDescent="0.3">
      <c r="A239">
        <v>-1</v>
      </c>
    </row>
    <row r="241" spans="1:50" x14ac:dyDescent="0.3">
      <c r="A241" s="4">
        <v>75</v>
      </c>
      <c r="B241" s="4" t="s">
        <v>219</v>
      </c>
      <c r="C241" s="4">
        <v>2025</v>
      </c>
      <c r="D241" s="4">
        <v>3</v>
      </c>
      <c r="E241" s="4">
        <v>0</v>
      </c>
      <c r="F241" s="4"/>
      <c r="G241" s="4">
        <v>0</v>
      </c>
      <c r="H241" s="4">
        <v>1</v>
      </c>
      <c r="I241" s="4">
        <v>1</v>
      </c>
      <c r="J241" s="4">
        <v>3</v>
      </c>
      <c r="K241" s="4">
        <v>0</v>
      </c>
      <c r="L241" s="4">
        <v>0</v>
      </c>
      <c r="M241" s="4">
        <v>1</v>
      </c>
      <c r="N241" s="4">
        <v>56511235</v>
      </c>
      <c r="O241" s="4">
        <v>1</v>
      </c>
    </row>
    <row r="242" spans="1:50" x14ac:dyDescent="0.3">
      <c r="A242" s="6">
        <v>1</v>
      </c>
      <c r="B242" s="6" t="s">
        <v>220</v>
      </c>
      <c r="C242" s="6" t="s">
        <v>221</v>
      </c>
      <c r="D242" s="6">
        <v>2025</v>
      </c>
      <c r="E242" s="6">
        <v>9</v>
      </c>
      <c r="F242" s="6">
        <v>1</v>
      </c>
      <c r="G242" s="6">
        <v>1</v>
      </c>
      <c r="H242" s="6">
        <v>0</v>
      </c>
      <c r="I242" s="6">
        <v>2</v>
      </c>
      <c r="J242" s="6">
        <v>1</v>
      </c>
      <c r="K242" s="6">
        <v>9.8800000000000008</v>
      </c>
      <c r="L242" s="6">
        <v>7.66</v>
      </c>
      <c r="M242" s="6">
        <v>1</v>
      </c>
      <c r="N242" s="6">
        <v>1</v>
      </c>
      <c r="O242" s="6">
        <v>9.8800000000000008</v>
      </c>
      <c r="P242" s="6">
        <v>7.66</v>
      </c>
      <c r="Q242" s="6">
        <v>1</v>
      </c>
      <c r="R242" s="6" t="s">
        <v>3</v>
      </c>
      <c r="S242" s="6" t="s">
        <v>3</v>
      </c>
      <c r="T242" s="6" t="s">
        <v>3</v>
      </c>
      <c r="U242" s="6" t="s">
        <v>3</v>
      </c>
      <c r="V242" s="6" t="s">
        <v>3</v>
      </c>
      <c r="W242" s="6" t="s">
        <v>3</v>
      </c>
      <c r="X242" s="6" t="s">
        <v>3</v>
      </c>
      <c r="Y242" s="6" t="s">
        <v>3</v>
      </c>
      <c r="Z242" s="6" t="s">
        <v>3</v>
      </c>
      <c r="AA242" s="6" t="s">
        <v>222</v>
      </c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>
        <v>56511236</v>
      </c>
      <c r="AO242" s="6"/>
      <c r="AP242" s="6"/>
      <c r="AQ242" s="6"/>
      <c r="AR242" s="6"/>
      <c r="AS242" s="6"/>
      <c r="AT242" s="6"/>
      <c r="AU242" s="6"/>
      <c r="AV242" s="6"/>
      <c r="AW242" s="6"/>
      <c r="AX242" s="6"/>
    </row>
    <row r="243" spans="1:50" x14ac:dyDescent="0.3">
      <c r="A243" s="6">
        <v>1</v>
      </c>
      <c r="B243" s="6" t="s">
        <v>220</v>
      </c>
      <c r="C243" s="6" t="s">
        <v>223</v>
      </c>
      <c r="D243" s="6">
        <v>2025</v>
      </c>
      <c r="E243" s="6">
        <v>7</v>
      </c>
      <c r="F243" s="6">
        <v>1</v>
      </c>
      <c r="G243" s="6">
        <v>1</v>
      </c>
      <c r="H243" s="6">
        <v>0</v>
      </c>
      <c r="I243" s="6">
        <v>2</v>
      </c>
      <c r="J243" s="6">
        <v>1</v>
      </c>
      <c r="K243" s="6">
        <v>1</v>
      </c>
      <c r="L243" s="6">
        <v>1</v>
      </c>
      <c r="M243" s="6">
        <v>1</v>
      </c>
      <c r="N243" s="6">
        <v>1</v>
      </c>
      <c r="O243" s="6">
        <v>1</v>
      </c>
      <c r="P243" s="6">
        <v>1</v>
      </c>
      <c r="Q243" s="6">
        <v>1</v>
      </c>
      <c r="R243" s="6" t="s">
        <v>3</v>
      </c>
      <c r="S243" s="6" t="s">
        <v>3</v>
      </c>
      <c r="T243" s="6" t="s">
        <v>3</v>
      </c>
      <c r="U243" s="6" t="s">
        <v>3</v>
      </c>
      <c r="V243" s="6" t="s">
        <v>3</v>
      </c>
      <c r="W243" s="6" t="s">
        <v>3</v>
      </c>
      <c r="X243" s="6" t="s">
        <v>3</v>
      </c>
      <c r="Y243" s="6" t="s">
        <v>3</v>
      </c>
      <c r="Z243" s="6" t="s">
        <v>3</v>
      </c>
      <c r="AA243" s="6" t="s">
        <v>224</v>
      </c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>
        <v>56511237</v>
      </c>
      <c r="AO243" s="6"/>
      <c r="AP243" s="6"/>
      <c r="AQ243" s="6"/>
      <c r="AR243" s="6"/>
      <c r="AS243" s="6"/>
      <c r="AT243" s="6"/>
      <c r="AU243" s="6"/>
      <c r="AV243" s="6"/>
      <c r="AW243" s="6"/>
      <c r="AX243" s="6"/>
    </row>
    <row r="244" spans="1:50" x14ac:dyDescent="0.3">
      <c r="A244" s="4">
        <v>75</v>
      </c>
      <c r="B244" s="4" t="s">
        <v>225</v>
      </c>
      <c r="C244" s="4">
        <v>2000</v>
      </c>
      <c r="D244" s="4">
        <v>0</v>
      </c>
      <c r="E244" s="4">
        <v>1</v>
      </c>
      <c r="F244" s="4">
        <v>0</v>
      </c>
      <c r="G244" s="4">
        <v>0</v>
      </c>
      <c r="H244" s="4">
        <v>1</v>
      </c>
      <c r="I244" s="4">
        <v>1</v>
      </c>
      <c r="J244" s="4">
        <v>3</v>
      </c>
      <c r="K244" s="4">
        <v>0</v>
      </c>
      <c r="L244" s="4">
        <v>0</v>
      </c>
      <c r="M244" s="4">
        <v>0</v>
      </c>
      <c r="N244" s="4">
        <v>56511233</v>
      </c>
      <c r="O244" s="4">
        <v>2</v>
      </c>
    </row>
    <row r="245" spans="1:50" x14ac:dyDescent="0.3">
      <c r="A245" s="6">
        <v>1</v>
      </c>
      <c r="B245" s="6" t="s">
        <v>220</v>
      </c>
      <c r="C245" s="6" t="s">
        <v>221</v>
      </c>
      <c r="D245" s="6">
        <v>2000</v>
      </c>
      <c r="E245" s="6">
        <v>1</v>
      </c>
      <c r="F245" s="6">
        <v>1</v>
      </c>
      <c r="G245" s="6">
        <v>1</v>
      </c>
      <c r="H245" s="6">
        <v>0</v>
      </c>
      <c r="I245" s="6">
        <v>2</v>
      </c>
      <c r="J245" s="6">
        <v>1</v>
      </c>
      <c r="K245" s="6">
        <v>1</v>
      </c>
      <c r="L245" s="6">
        <v>1</v>
      </c>
      <c r="M245" s="6">
        <v>1</v>
      </c>
      <c r="N245" s="6">
        <v>1</v>
      </c>
      <c r="O245" s="6">
        <v>1</v>
      </c>
      <c r="P245" s="6">
        <v>1</v>
      </c>
      <c r="Q245" s="6">
        <v>1</v>
      </c>
      <c r="R245" s="6" t="s">
        <v>3</v>
      </c>
      <c r="S245" s="6" t="s">
        <v>3</v>
      </c>
      <c r="T245" s="6" t="s">
        <v>3</v>
      </c>
      <c r="U245" s="6" t="s">
        <v>3</v>
      </c>
      <c r="V245" s="6" t="s">
        <v>3</v>
      </c>
      <c r="W245" s="6" t="s">
        <v>3</v>
      </c>
      <c r="X245" s="6" t="s">
        <v>3</v>
      </c>
      <c r="Y245" s="6" t="s">
        <v>3</v>
      </c>
      <c r="Z245" s="6" t="s">
        <v>3</v>
      </c>
      <c r="AA245" s="6" t="s">
        <v>57</v>
      </c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>
        <v>58689499</v>
      </c>
      <c r="AO245" s="6"/>
      <c r="AP245" s="6"/>
      <c r="AQ245" s="6"/>
      <c r="AR245" s="6"/>
      <c r="AS245" s="6"/>
      <c r="AT245" s="6"/>
      <c r="AU245" s="6"/>
      <c r="AV245" s="6"/>
      <c r="AW245" s="6"/>
      <c r="AX245" s="6"/>
    </row>
    <row r="249" spans="1:50" x14ac:dyDescent="0.3">
      <c r="A249">
        <v>65</v>
      </c>
      <c r="C249">
        <v>1</v>
      </c>
      <c r="D249">
        <v>0</v>
      </c>
      <c r="E249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55"/>
  <sheetViews>
    <sheetView workbookViewId="0"/>
  </sheetViews>
  <sheetFormatPr defaultColWidth="9.15234375" defaultRowHeight="12.45" x14ac:dyDescent="0.3"/>
  <cols>
    <col min="1" max="256" width="9.15234375" customWidth="1"/>
  </cols>
  <sheetData>
    <row r="1" spans="1:133" x14ac:dyDescent="0.3">
      <c r="A1">
        <v>0</v>
      </c>
      <c r="B1" t="s">
        <v>0</v>
      </c>
      <c r="D1" t="s">
        <v>226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74562</v>
      </c>
      <c r="M1">
        <v>10</v>
      </c>
      <c r="N1">
        <v>12</v>
      </c>
      <c r="O1">
        <v>0</v>
      </c>
      <c r="P1">
        <v>0</v>
      </c>
      <c r="Q1">
        <v>3</v>
      </c>
    </row>
    <row r="4" spans="1:133" x14ac:dyDescent="0.3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12" spans="1:133" x14ac:dyDescent="0.3">
      <c r="A12" s="1">
        <v>1</v>
      </c>
      <c r="B12" s="1">
        <v>51</v>
      </c>
      <c r="C12" s="1">
        <v>0</v>
      </c>
      <c r="D12" s="1"/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7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8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9</v>
      </c>
      <c r="BI12" s="1" t="s">
        <v>10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1</v>
      </c>
      <c r="BU12" s="1">
        <v>0</v>
      </c>
      <c r="BV12" s="1">
        <v>1</v>
      </c>
      <c r="BW12" s="1">
        <v>0</v>
      </c>
      <c r="BX12" s="1">
        <v>0</v>
      </c>
      <c r="BY12" s="1" t="s">
        <v>11</v>
      </c>
      <c r="BZ12" s="1" t="s">
        <v>12</v>
      </c>
      <c r="CA12" s="1" t="s">
        <v>13</v>
      </c>
      <c r="CB12" s="1" t="s">
        <v>13</v>
      </c>
      <c r="CC12" s="1" t="s">
        <v>13</v>
      </c>
      <c r="CD12" s="1" t="s">
        <v>13</v>
      </c>
      <c r="CE12" s="1" t="s">
        <v>14</v>
      </c>
      <c r="CF12" s="1">
        <v>0</v>
      </c>
      <c r="CG12" s="1">
        <v>0</v>
      </c>
      <c r="CH12" s="1">
        <v>8202</v>
      </c>
      <c r="CI12" s="1" t="s">
        <v>3</v>
      </c>
      <c r="CJ12" s="1" t="s">
        <v>3</v>
      </c>
      <c r="CK12" s="1">
        <v>80</v>
      </c>
      <c r="CL12" s="1"/>
      <c r="CM12" s="1"/>
      <c r="CN12" s="1"/>
      <c r="CO12" s="1"/>
      <c r="CP12" s="1"/>
      <c r="CQ12" s="1" t="s">
        <v>15</v>
      </c>
      <c r="CR12" s="1" t="s">
        <v>16</v>
      </c>
      <c r="CS12" s="1">
        <v>41660</v>
      </c>
      <c r="CT12" s="1">
        <v>1</v>
      </c>
      <c r="CU12" s="1">
        <v>80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x14ac:dyDescent="0.3">
      <c r="A14" s="1">
        <v>22</v>
      </c>
      <c r="B14" s="1">
        <v>1</v>
      </c>
      <c r="C14" s="1">
        <v>0</v>
      </c>
      <c r="D14" s="1">
        <v>56511235</v>
      </c>
      <c r="E14" s="1">
        <v>56511233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3">
      <c r="A16" s="7">
        <v>3</v>
      </c>
      <c r="B16" s="7">
        <v>1</v>
      </c>
      <c r="C16" s="7" t="s">
        <v>5</v>
      </c>
      <c r="D16" s="7" t="s">
        <v>17</v>
      </c>
      <c r="E16" s="8">
        <f>ROUND((Source!P189)/1000,2)</f>
        <v>0</v>
      </c>
      <c r="F16" s="8">
        <f>ROUND((Source!P190)/1000,2)</f>
        <v>510.48</v>
      </c>
      <c r="G16" s="8">
        <f>ROUND((Source!P181)/1000,2)</f>
        <v>627.4</v>
      </c>
      <c r="H16" s="8">
        <f>ROUND((Source!P191)/1000+(Source!P192)/1000,2)</f>
        <v>0</v>
      </c>
      <c r="I16" s="8">
        <f>E16+F16+G16+H16</f>
        <v>1137.8800000000001</v>
      </c>
      <c r="J16" s="8">
        <f>ROUND((Source!P187+Source!P186)/1000,2)</f>
        <v>97.08</v>
      </c>
      <c r="K16" s="8">
        <v>1914.2</v>
      </c>
      <c r="L16" s="8">
        <v>0</v>
      </c>
      <c r="M16" s="8">
        <v>0</v>
      </c>
      <c r="N16" s="8">
        <f>I16+L16+M16</f>
        <v>1137.8800000000001</v>
      </c>
      <c r="T16" s="9">
        <f>ROUND((Source!F189)/1000,2)</f>
        <v>0</v>
      </c>
      <c r="U16" s="9">
        <f>ROUND((Source!F190)/1000,2)</f>
        <v>33.96</v>
      </c>
      <c r="V16" s="9">
        <f>ROUND((Source!F181)/1000,2)</f>
        <v>81.88</v>
      </c>
      <c r="W16" s="9">
        <f>ROUND((Source!F191)/1000+(Source!F192)/1000,2)</f>
        <v>0</v>
      </c>
      <c r="X16" s="9">
        <f>T16+U16+V16+W16</f>
        <v>115.84</v>
      </c>
      <c r="Y16" s="9">
        <f>ROUND((Source!F187+Source!F186)/1000,2)</f>
        <v>1.77</v>
      </c>
      <c r="Z16" s="9">
        <v>225.08</v>
      </c>
      <c r="AA16" s="9">
        <v>0</v>
      </c>
      <c r="AB16" s="9">
        <v>0</v>
      </c>
      <c r="AC16" s="9">
        <f>X16+AA16+AB16</f>
        <v>115.84</v>
      </c>
      <c r="AI16" s="7">
        <v>0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1005754.17</v>
      </c>
      <c r="AU16" s="8">
        <v>908449.45</v>
      </c>
      <c r="AV16" s="8">
        <v>0</v>
      </c>
      <c r="AW16" s="8">
        <v>627397.21</v>
      </c>
      <c r="AX16" s="8">
        <v>0</v>
      </c>
      <c r="AY16" s="8">
        <v>396.4</v>
      </c>
      <c r="AZ16" s="8">
        <v>173.23</v>
      </c>
      <c r="BA16" s="8">
        <v>96908.32</v>
      </c>
      <c r="BB16" s="8">
        <v>0</v>
      </c>
      <c r="BC16" s="8">
        <v>510478.2</v>
      </c>
      <c r="BD16" s="8">
        <v>0</v>
      </c>
      <c r="BE16" s="8">
        <v>0</v>
      </c>
      <c r="BF16" s="8">
        <v>136.2944814</v>
      </c>
      <c r="BG16" s="8">
        <v>0</v>
      </c>
      <c r="BH16" s="8">
        <v>0</v>
      </c>
      <c r="BI16" s="8">
        <v>87411.04</v>
      </c>
      <c r="BJ16" s="8">
        <v>44710.2</v>
      </c>
      <c r="BK16" s="8">
        <v>1137875.4099999999</v>
      </c>
      <c r="BR16" s="9">
        <v>113436.02</v>
      </c>
      <c r="BS16" s="9">
        <v>111647.03999999999</v>
      </c>
      <c r="BT16" s="9">
        <v>0</v>
      </c>
      <c r="BU16" s="9">
        <v>81880.2</v>
      </c>
      <c r="BV16" s="9">
        <v>0</v>
      </c>
      <c r="BW16" s="9">
        <v>26.69</v>
      </c>
      <c r="BX16" s="9">
        <v>3.15</v>
      </c>
      <c r="BY16" s="9">
        <v>1762.29</v>
      </c>
      <c r="BZ16" s="9">
        <v>0</v>
      </c>
      <c r="CA16" s="9">
        <v>33958.480000000003</v>
      </c>
      <c r="CB16" s="9">
        <v>0</v>
      </c>
      <c r="CC16" s="9">
        <v>0</v>
      </c>
      <c r="CD16" s="9">
        <v>136.2944814</v>
      </c>
      <c r="CE16" s="9">
        <v>0</v>
      </c>
      <c r="CF16" s="9">
        <v>0</v>
      </c>
      <c r="CG16" s="9">
        <v>1589.6</v>
      </c>
      <c r="CH16" s="9">
        <v>813.06</v>
      </c>
      <c r="CI16" s="9">
        <v>115838.68</v>
      </c>
    </row>
    <row r="18" spans="1:29" x14ac:dyDescent="0.3">
      <c r="A18">
        <v>51</v>
      </c>
      <c r="E18">
        <v>0</v>
      </c>
      <c r="F18">
        <v>510.48</v>
      </c>
      <c r="G18">
        <v>627.4</v>
      </c>
      <c r="H18">
        <v>0</v>
      </c>
      <c r="I18">
        <v>1137.8800000000001</v>
      </c>
      <c r="J18">
        <v>97.08</v>
      </c>
      <c r="K18">
        <v>1914.2</v>
      </c>
      <c r="L18">
        <v>0</v>
      </c>
      <c r="M18">
        <v>0</v>
      </c>
      <c r="N18">
        <v>1137.8800000000001</v>
      </c>
      <c r="T18">
        <v>0</v>
      </c>
      <c r="U18">
        <v>33.96</v>
      </c>
      <c r="V18">
        <v>81.88</v>
      </c>
      <c r="W18">
        <v>0</v>
      </c>
      <c r="X18">
        <v>115.84</v>
      </c>
      <c r="Y18">
        <v>1.77</v>
      </c>
      <c r="Z18">
        <v>225.08</v>
      </c>
      <c r="AA18">
        <v>0</v>
      </c>
      <c r="AB18">
        <v>0</v>
      </c>
      <c r="AC18">
        <v>115.84</v>
      </c>
    </row>
    <row r="20" spans="1:29" x14ac:dyDescent="0.3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1005754.17</v>
      </c>
      <c r="G20" s="5" t="s">
        <v>100</v>
      </c>
      <c r="H20" s="5" t="s">
        <v>101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113436.02</v>
      </c>
    </row>
    <row r="21" spans="1:29" x14ac:dyDescent="0.3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908449.45</v>
      </c>
      <c r="G21" s="5" t="s">
        <v>102</v>
      </c>
      <c r="H21" s="5" t="s">
        <v>103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111647.03999999999</v>
      </c>
    </row>
    <row r="22" spans="1:29" x14ac:dyDescent="0.3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104</v>
      </c>
      <c r="H22" s="5" t="s">
        <v>105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x14ac:dyDescent="0.3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908449.45</v>
      </c>
      <c r="G23" s="5" t="s">
        <v>106</v>
      </c>
      <c r="H23" s="5" t="s">
        <v>107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111647.03999999999</v>
      </c>
    </row>
    <row r="24" spans="1:29" x14ac:dyDescent="0.3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281052.24</v>
      </c>
      <c r="G24" s="5" t="s">
        <v>108</v>
      </c>
      <c r="H24" s="5" t="s">
        <v>109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29766.84</v>
      </c>
    </row>
    <row r="25" spans="1:29" x14ac:dyDescent="0.3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110</v>
      </c>
      <c r="H25" s="5" t="s">
        <v>111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x14ac:dyDescent="0.3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281052.24</v>
      </c>
      <c r="G26" s="5" t="s">
        <v>112</v>
      </c>
      <c r="H26" s="5" t="s">
        <v>113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29766.84</v>
      </c>
    </row>
    <row r="27" spans="1:29" x14ac:dyDescent="0.3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627397.21</v>
      </c>
      <c r="G27" s="5" t="s">
        <v>114</v>
      </c>
      <c r="H27" s="5" t="s">
        <v>115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81880.2</v>
      </c>
    </row>
    <row r="28" spans="1:29" x14ac:dyDescent="0.3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116</v>
      </c>
      <c r="H28" s="5" t="s">
        <v>117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x14ac:dyDescent="0.3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627397.21</v>
      </c>
      <c r="G29" s="5" t="s">
        <v>118</v>
      </c>
      <c r="H29" s="5" t="s">
        <v>119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81880.2</v>
      </c>
    </row>
    <row r="30" spans="1:29" x14ac:dyDescent="0.3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396.4</v>
      </c>
      <c r="G30" s="5" t="s">
        <v>120</v>
      </c>
      <c r="H30" s="5" t="s">
        <v>121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26.69</v>
      </c>
    </row>
    <row r="31" spans="1:29" x14ac:dyDescent="0.3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122</v>
      </c>
      <c r="H31" s="5" t="s">
        <v>123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x14ac:dyDescent="0.3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173.23</v>
      </c>
      <c r="G32" s="5" t="s">
        <v>124</v>
      </c>
      <c r="H32" s="5" t="s">
        <v>125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3.15</v>
      </c>
    </row>
    <row r="33" spans="1:16" x14ac:dyDescent="0.3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96908.32</v>
      </c>
      <c r="G33" s="5" t="s">
        <v>126</v>
      </c>
      <c r="H33" s="5" t="s">
        <v>127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1762.29</v>
      </c>
    </row>
    <row r="34" spans="1:16" x14ac:dyDescent="0.3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128</v>
      </c>
      <c r="H34" s="5" t="s">
        <v>129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x14ac:dyDescent="0.3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0</v>
      </c>
      <c r="G35" s="5" t="s">
        <v>130</v>
      </c>
      <c r="H35" s="5" t="s">
        <v>131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0</v>
      </c>
    </row>
    <row r="36" spans="1:16" x14ac:dyDescent="0.3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510478.2</v>
      </c>
      <c r="G36" s="5" t="s">
        <v>132</v>
      </c>
      <c r="H36" s="5" t="s">
        <v>133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33958.480000000003</v>
      </c>
    </row>
    <row r="37" spans="1:16" x14ac:dyDescent="0.3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134</v>
      </c>
      <c r="H37" s="5" t="s">
        <v>135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x14ac:dyDescent="0.3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136</v>
      </c>
      <c r="H38" s="5" t="s">
        <v>137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x14ac:dyDescent="0.3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138</v>
      </c>
      <c r="H39" s="5" t="s">
        <v>139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x14ac:dyDescent="0.3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136.2944814</v>
      </c>
      <c r="G40" s="5" t="s">
        <v>140</v>
      </c>
      <c r="H40" s="5" t="s">
        <v>141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136.2944814</v>
      </c>
    </row>
    <row r="41" spans="1:16" x14ac:dyDescent="0.3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142</v>
      </c>
      <c r="H41" s="5" t="s">
        <v>143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x14ac:dyDescent="0.3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144</v>
      </c>
      <c r="H42" s="5" t="s">
        <v>145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x14ac:dyDescent="0.3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146</v>
      </c>
      <c r="H43" s="5" t="s">
        <v>147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x14ac:dyDescent="0.3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87411.04</v>
      </c>
      <c r="G44" s="5" t="s">
        <v>148</v>
      </c>
      <c r="H44" s="5" t="s">
        <v>149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1589.6</v>
      </c>
    </row>
    <row r="45" spans="1:16" x14ac:dyDescent="0.3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44710.2</v>
      </c>
      <c r="G45" s="5" t="s">
        <v>150</v>
      </c>
      <c r="H45" s="5" t="s">
        <v>151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813.06</v>
      </c>
    </row>
    <row r="46" spans="1:16" x14ac:dyDescent="0.3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1137875.4099999999</v>
      </c>
      <c r="G46" s="5" t="s">
        <v>152</v>
      </c>
      <c r="H46" s="5" t="s">
        <v>153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115838.68</v>
      </c>
    </row>
    <row r="48" spans="1:16" x14ac:dyDescent="0.3">
      <c r="A48">
        <v>-1</v>
      </c>
    </row>
    <row r="51" spans="1:50" x14ac:dyDescent="0.3">
      <c r="A51" s="4">
        <v>75</v>
      </c>
      <c r="B51" s="4" t="s">
        <v>219</v>
      </c>
      <c r="C51" s="4">
        <v>2025</v>
      </c>
      <c r="D51" s="4">
        <v>3</v>
      </c>
      <c r="E51" s="4">
        <v>0</v>
      </c>
      <c r="F51" s="4"/>
      <c r="G51" s="4">
        <v>0</v>
      </c>
      <c r="H51" s="4">
        <v>1</v>
      </c>
      <c r="I51" s="4">
        <v>1</v>
      </c>
      <c r="J51" s="4">
        <v>3</v>
      </c>
      <c r="K51" s="4">
        <v>0</v>
      </c>
      <c r="L51" s="4">
        <v>0</v>
      </c>
      <c r="M51" s="4">
        <v>1</v>
      </c>
      <c r="N51" s="4">
        <v>56511235</v>
      </c>
      <c r="O51" s="4">
        <v>1</v>
      </c>
    </row>
    <row r="52" spans="1:50" x14ac:dyDescent="0.3">
      <c r="A52" s="6">
        <v>1</v>
      </c>
      <c r="B52" s="6" t="s">
        <v>220</v>
      </c>
      <c r="C52" s="6" t="s">
        <v>221</v>
      </c>
      <c r="D52" s="6">
        <v>2025</v>
      </c>
      <c r="E52" s="6">
        <v>9</v>
      </c>
      <c r="F52" s="6">
        <v>1</v>
      </c>
      <c r="G52" s="6">
        <v>1</v>
      </c>
      <c r="H52" s="6">
        <v>0</v>
      </c>
      <c r="I52" s="6">
        <v>2</v>
      </c>
      <c r="J52" s="6">
        <v>1</v>
      </c>
      <c r="K52" s="6">
        <v>9.8800000000000008</v>
      </c>
      <c r="L52" s="6">
        <v>7.66</v>
      </c>
      <c r="M52" s="6">
        <v>1</v>
      </c>
      <c r="N52" s="6">
        <v>1</v>
      </c>
      <c r="O52" s="6">
        <v>9.8800000000000008</v>
      </c>
      <c r="P52" s="6">
        <v>7.66</v>
      </c>
      <c r="Q52" s="6">
        <v>1</v>
      </c>
      <c r="R52" s="6" t="s">
        <v>3</v>
      </c>
      <c r="S52" s="6" t="s">
        <v>3</v>
      </c>
      <c r="T52" s="6" t="s">
        <v>3</v>
      </c>
      <c r="U52" s="6" t="s">
        <v>3</v>
      </c>
      <c r="V52" s="6" t="s">
        <v>3</v>
      </c>
      <c r="W52" s="6" t="s">
        <v>3</v>
      </c>
      <c r="X52" s="6" t="s">
        <v>3</v>
      </c>
      <c r="Y52" s="6" t="s">
        <v>3</v>
      </c>
      <c r="Z52" s="6" t="s">
        <v>3</v>
      </c>
      <c r="AA52" s="6" t="s">
        <v>222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>
        <v>56511236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x14ac:dyDescent="0.3">
      <c r="A53" s="6">
        <v>1</v>
      </c>
      <c r="B53" s="6" t="s">
        <v>220</v>
      </c>
      <c r="C53" s="6" t="s">
        <v>223</v>
      </c>
      <c r="D53" s="6">
        <v>2025</v>
      </c>
      <c r="E53" s="6">
        <v>7</v>
      </c>
      <c r="F53" s="6">
        <v>1</v>
      </c>
      <c r="G53" s="6">
        <v>1</v>
      </c>
      <c r="H53" s="6">
        <v>0</v>
      </c>
      <c r="I53" s="6">
        <v>2</v>
      </c>
      <c r="J53" s="6">
        <v>1</v>
      </c>
      <c r="K53" s="6">
        <v>1</v>
      </c>
      <c r="L53" s="6">
        <v>1</v>
      </c>
      <c r="M53" s="6">
        <v>1</v>
      </c>
      <c r="N53" s="6">
        <v>1</v>
      </c>
      <c r="O53" s="6">
        <v>1</v>
      </c>
      <c r="P53" s="6">
        <v>1</v>
      </c>
      <c r="Q53" s="6">
        <v>1</v>
      </c>
      <c r="R53" s="6" t="s">
        <v>3</v>
      </c>
      <c r="S53" s="6" t="s">
        <v>3</v>
      </c>
      <c r="T53" s="6" t="s">
        <v>3</v>
      </c>
      <c r="U53" s="6" t="s">
        <v>3</v>
      </c>
      <c r="V53" s="6" t="s">
        <v>3</v>
      </c>
      <c r="W53" s="6" t="s">
        <v>3</v>
      </c>
      <c r="X53" s="6" t="s">
        <v>3</v>
      </c>
      <c r="Y53" s="6" t="s">
        <v>3</v>
      </c>
      <c r="Z53" s="6" t="s">
        <v>3</v>
      </c>
      <c r="AA53" s="6" t="s">
        <v>224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>
        <v>56511237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1:50" x14ac:dyDescent="0.3">
      <c r="A54" s="4">
        <v>75</v>
      </c>
      <c r="B54" s="4" t="s">
        <v>225</v>
      </c>
      <c r="C54" s="4">
        <v>2000</v>
      </c>
      <c r="D54" s="4">
        <v>0</v>
      </c>
      <c r="E54" s="4">
        <v>1</v>
      </c>
      <c r="F54" s="4">
        <v>0</v>
      </c>
      <c r="G54" s="4">
        <v>0</v>
      </c>
      <c r="H54" s="4">
        <v>1</v>
      </c>
      <c r="I54" s="4">
        <v>1</v>
      </c>
      <c r="J54" s="4">
        <v>3</v>
      </c>
      <c r="K54" s="4">
        <v>0</v>
      </c>
      <c r="L54" s="4">
        <v>0</v>
      </c>
      <c r="M54" s="4">
        <v>0</v>
      </c>
      <c r="N54" s="4">
        <v>56511233</v>
      </c>
      <c r="O54" s="4">
        <v>2</v>
      </c>
    </row>
    <row r="55" spans="1:50" x14ac:dyDescent="0.3">
      <c r="A55" s="6">
        <v>1</v>
      </c>
      <c r="B55" s="6" t="s">
        <v>220</v>
      </c>
      <c r="C55" s="6" t="s">
        <v>221</v>
      </c>
      <c r="D55" s="6">
        <v>2000</v>
      </c>
      <c r="E55" s="6">
        <v>1</v>
      </c>
      <c r="F55" s="6">
        <v>1</v>
      </c>
      <c r="G55" s="6">
        <v>1</v>
      </c>
      <c r="H55" s="6">
        <v>0</v>
      </c>
      <c r="I55" s="6">
        <v>2</v>
      </c>
      <c r="J55" s="6">
        <v>1</v>
      </c>
      <c r="K55" s="6">
        <v>1</v>
      </c>
      <c r="L55" s="6">
        <v>1</v>
      </c>
      <c r="M55" s="6">
        <v>1</v>
      </c>
      <c r="N55" s="6">
        <v>1</v>
      </c>
      <c r="O55" s="6">
        <v>1</v>
      </c>
      <c r="P55" s="6">
        <v>1</v>
      </c>
      <c r="Q55" s="6">
        <v>1</v>
      </c>
      <c r="R55" s="6" t="s">
        <v>3</v>
      </c>
      <c r="S55" s="6" t="s">
        <v>3</v>
      </c>
      <c r="T55" s="6" t="s">
        <v>3</v>
      </c>
      <c r="U55" s="6" t="s">
        <v>3</v>
      </c>
      <c r="V55" s="6" t="s">
        <v>3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57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58689499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5234375" defaultRowHeight="12.45" x14ac:dyDescent="0.3"/>
  <cols>
    <col min="1" max="256" width="9.15234375" customWidth="1"/>
  </cols>
  <sheetData/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32"/>
  <sheetViews>
    <sheetView workbookViewId="0"/>
  </sheetViews>
  <sheetFormatPr defaultColWidth="9.15234375" defaultRowHeight="12.45" x14ac:dyDescent="0.3"/>
  <cols>
    <col min="1" max="256" width="9.15234375" customWidth="1"/>
  </cols>
  <sheetData>
    <row r="1" spans="1:44" x14ac:dyDescent="0.3">
      <c r="A1">
        <f>ROW(Source!A28)</f>
        <v>28</v>
      </c>
      <c r="B1">
        <v>58754226</v>
      </c>
      <c r="C1">
        <v>56511487</v>
      </c>
      <c r="D1">
        <v>57621905</v>
      </c>
      <c r="E1">
        <v>1080</v>
      </c>
      <c r="F1">
        <v>1</v>
      </c>
      <c r="G1">
        <v>1080</v>
      </c>
      <c r="H1">
        <v>1</v>
      </c>
      <c r="I1" t="s">
        <v>227</v>
      </c>
      <c r="J1" t="s">
        <v>3</v>
      </c>
      <c r="K1" t="s">
        <v>228</v>
      </c>
      <c r="L1">
        <v>1191</v>
      </c>
      <c r="N1">
        <v>1013</v>
      </c>
      <c r="O1" t="s">
        <v>229</v>
      </c>
      <c r="P1" t="s">
        <v>229</v>
      </c>
      <c r="Q1">
        <v>1</v>
      </c>
      <c r="X1">
        <v>1.35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24</v>
      </c>
      <c r="AG1">
        <v>1.4850000000000003</v>
      </c>
      <c r="AH1">
        <v>3</v>
      </c>
      <c r="AI1">
        <v>-1</v>
      </c>
      <c r="AJ1" t="s">
        <v>3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3">
      <c r="A2">
        <f>ROW(Source!A28)</f>
        <v>28</v>
      </c>
      <c r="B2">
        <v>58754227</v>
      </c>
      <c r="C2">
        <v>56511487</v>
      </c>
      <c r="D2">
        <v>57696079</v>
      </c>
      <c r="E2">
        <v>1</v>
      </c>
      <c r="F2">
        <v>1</v>
      </c>
      <c r="G2">
        <v>1080</v>
      </c>
      <c r="H2">
        <v>2</v>
      </c>
      <c r="I2" t="s">
        <v>230</v>
      </c>
      <c r="J2" t="s">
        <v>231</v>
      </c>
      <c r="K2" t="s">
        <v>232</v>
      </c>
      <c r="L2">
        <v>1368</v>
      </c>
      <c r="N2">
        <v>1011</v>
      </c>
      <c r="O2" t="s">
        <v>233</v>
      </c>
      <c r="P2" t="s">
        <v>233</v>
      </c>
      <c r="Q2">
        <v>1</v>
      </c>
      <c r="X2">
        <v>0.01</v>
      </c>
      <c r="Y2">
        <v>0</v>
      </c>
      <c r="Z2">
        <v>83.1</v>
      </c>
      <c r="AA2">
        <v>12.62</v>
      </c>
      <c r="AB2">
        <v>0</v>
      </c>
      <c r="AC2">
        <v>0</v>
      </c>
      <c r="AD2">
        <v>1</v>
      </c>
      <c r="AE2">
        <v>0</v>
      </c>
      <c r="AF2" t="s">
        <v>24</v>
      </c>
      <c r="AG2">
        <v>1.1000000000000001E-2</v>
      </c>
      <c r="AH2">
        <v>3</v>
      </c>
      <c r="AI2">
        <v>-1</v>
      </c>
      <c r="AJ2" t="s">
        <v>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3">
      <c r="A3">
        <f>ROW(Source!A28)</f>
        <v>28</v>
      </c>
      <c r="B3">
        <v>58754228</v>
      </c>
      <c r="C3">
        <v>56511487</v>
      </c>
      <c r="D3">
        <v>57696164</v>
      </c>
      <c r="E3">
        <v>1</v>
      </c>
      <c r="F3">
        <v>1</v>
      </c>
      <c r="G3">
        <v>1080</v>
      </c>
      <c r="H3">
        <v>2</v>
      </c>
      <c r="I3" t="s">
        <v>234</v>
      </c>
      <c r="J3" t="s">
        <v>235</v>
      </c>
      <c r="K3" t="s">
        <v>236</v>
      </c>
      <c r="L3">
        <v>1368</v>
      </c>
      <c r="N3">
        <v>1011</v>
      </c>
      <c r="O3" t="s">
        <v>233</v>
      </c>
      <c r="P3" t="s">
        <v>233</v>
      </c>
      <c r="Q3">
        <v>1</v>
      </c>
      <c r="X3">
        <v>0.17</v>
      </c>
      <c r="Y3">
        <v>0</v>
      </c>
      <c r="Z3">
        <v>0.47</v>
      </c>
      <c r="AA3">
        <v>0</v>
      </c>
      <c r="AB3">
        <v>0</v>
      </c>
      <c r="AC3">
        <v>0</v>
      </c>
      <c r="AD3">
        <v>1</v>
      </c>
      <c r="AE3">
        <v>0</v>
      </c>
      <c r="AF3" t="s">
        <v>24</v>
      </c>
      <c r="AG3">
        <v>0.18700000000000003</v>
      </c>
      <c r="AH3">
        <v>3</v>
      </c>
      <c r="AI3">
        <v>-1</v>
      </c>
      <c r="AJ3" t="s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3">
      <c r="A4">
        <f>ROW(Source!A28)</f>
        <v>28</v>
      </c>
      <c r="B4">
        <v>58754229</v>
      </c>
      <c r="C4">
        <v>56511487</v>
      </c>
      <c r="D4">
        <v>57665961</v>
      </c>
      <c r="E4">
        <v>1</v>
      </c>
      <c r="F4">
        <v>1</v>
      </c>
      <c r="G4">
        <v>1080</v>
      </c>
      <c r="H4">
        <v>3</v>
      </c>
      <c r="I4" t="s">
        <v>237</v>
      </c>
      <c r="J4" t="s">
        <v>238</v>
      </c>
      <c r="K4" t="s">
        <v>239</v>
      </c>
      <c r="L4">
        <v>1348</v>
      </c>
      <c r="N4">
        <v>1009</v>
      </c>
      <c r="O4" t="s">
        <v>240</v>
      </c>
      <c r="P4" t="s">
        <v>240</v>
      </c>
      <c r="Q4">
        <v>1000</v>
      </c>
      <c r="X4">
        <v>3.0000000000000001E-5</v>
      </c>
      <c r="Y4">
        <v>14327.51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 t="s">
        <v>3</v>
      </c>
      <c r="AG4">
        <v>3.0000000000000001E-5</v>
      </c>
      <c r="AH4">
        <v>3</v>
      </c>
      <c r="AI4">
        <v>-1</v>
      </c>
      <c r="AJ4" t="s">
        <v>3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3">
      <c r="A5">
        <f>ROW(Source!A28)</f>
        <v>28</v>
      </c>
      <c r="B5">
        <v>58754230</v>
      </c>
      <c r="C5">
        <v>56511487</v>
      </c>
      <c r="D5">
        <v>57664873</v>
      </c>
      <c r="E5">
        <v>1</v>
      </c>
      <c r="F5">
        <v>1</v>
      </c>
      <c r="G5">
        <v>1080</v>
      </c>
      <c r="H5">
        <v>3</v>
      </c>
      <c r="I5" t="s">
        <v>241</v>
      </c>
      <c r="J5" t="s">
        <v>242</v>
      </c>
      <c r="K5" t="s">
        <v>243</v>
      </c>
      <c r="L5">
        <v>1348</v>
      </c>
      <c r="N5">
        <v>1009</v>
      </c>
      <c r="O5" t="s">
        <v>240</v>
      </c>
      <c r="P5" t="s">
        <v>240</v>
      </c>
      <c r="Q5">
        <v>1000</v>
      </c>
      <c r="X5">
        <v>1.0000000000000001E-5</v>
      </c>
      <c r="Y5">
        <v>78558.289999999994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 t="s">
        <v>3</v>
      </c>
      <c r="AG5">
        <v>1.0000000000000001E-5</v>
      </c>
      <c r="AH5">
        <v>3</v>
      </c>
      <c r="AI5">
        <v>-1</v>
      </c>
      <c r="AJ5" t="s">
        <v>3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3">
      <c r="A6">
        <f>ROW(Source!A28)</f>
        <v>28</v>
      </c>
      <c r="B6">
        <v>58754231</v>
      </c>
      <c r="C6">
        <v>56511487</v>
      </c>
      <c r="D6">
        <v>57643970</v>
      </c>
      <c r="E6">
        <v>1080</v>
      </c>
      <c r="F6">
        <v>1</v>
      </c>
      <c r="G6">
        <v>1080</v>
      </c>
      <c r="H6">
        <v>3</v>
      </c>
      <c r="I6" t="s">
        <v>244</v>
      </c>
      <c r="J6" t="s">
        <v>3</v>
      </c>
      <c r="K6" t="s">
        <v>245</v>
      </c>
      <c r="L6">
        <v>1354</v>
      </c>
      <c r="N6">
        <v>1010</v>
      </c>
      <c r="O6" t="s">
        <v>32</v>
      </c>
      <c r="P6" t="s">
        <v>32</v>
      </c>
      <c r="Q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 t="s">
        <v>3</v>
      </c>
      <c r="AG6">
        <v>1</v>
      </c>
      <c r="AH6">
        <v>3</v>
      </c>
      <c r="AI6">
        <v>-1</v>
      </c>
      <c r="AJ6" t="s">
        <v>3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3">
      <c r="A7">
        <f>ROW(Source!A29)</f>
        <v>29</v>
      </c>
      <c r="B7">
        <v>58754226</v>
      </c>
      <c r="C7">
        <v>56511487</v>
      </c>
      <c r="D7">
        <v>57621905</v>
      </c>
      <c r="E7">
        <v>1080</v>
      </c>
      <c r="F7">
        <v>1</v>
      </c>
      <c r="G7">
        <v>1080</v>
      </c>
      <c r="H7">
        <v>1</v>
      </c>
      <c r="I7" t="s">
        <v>227</v>
      </c>
      <c r="J7" t="s">
        <v>3</v>
      </c>
      <c r="K7" t="s">
        <v>228</v>
      </c>
      <c r="L7">
        <v>1191</v>
      </c>
      <c r="N7">
        <v>1013</v>
      </c>
      <c r="O7" t="s">
        <v>229</v>
      </c>
      <c r="P7" t="s">
        <v>229</v>
      </c>
      <c r="Q7">
        <v>1</v>
      </c>
      <c r="X7">
        <v>1.35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1</v>
      </c>
      <c r="AF7" t="s">
        <v>24</v>
      </c>
      <c r="AG7">
        <v>1.4850000000000003</v>
      </c>
      <c r="AH7">
        <v>3</v>
      </c>
      <c r="AI7">
        <v>-1</v>
      </c>
      <c r="AJ7" t="s">
        <v>3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3">
      <c r="A8">
        <f>ROW(Source!A29)</f>
        <v>29</v>
      </c>
      <c r="B8">
        <v>58754227</v>
      </c>
      <c r="C8">
        <v>56511487</v>
      </c>
      <c r="D8">
        <v>57696079</v>
      </c>
      <c r="E8">
        <v>1</v>
      </c>
      <c r="F8">
        <v>1</v>
      </c>
      <c r="G8">
        <v>1080</v>
      </c>
      <c r="H8">
        <v>2</v>
      </c>
      <c r="I8" t="s">
        <v>230</v>
      </c>
      <c r="J8" t="s">
        <v>231</v>
      </c>
      <c r="K8" t="s">
        <v>232</v>
      </c>
      <c r="L8">
        <v>1368</v>
      </c>
      <c r="N8">
        <v>1011</v>
      </c>
      <c r="O8" t="s">
        <v>233</v>
      </c>
      <c r="P8" t="s">
        <v>233</v>
      </c>
      <c r="Q8">
        <v>1</v>
      </c>
      <c r="X8">
        <v>0.01</v>
      </c>
      <c r="Y8">
        <v>0</v>
      </c>
      <c r="Z8">
        <v>83.1</v>
      </c>
      <c r="AA8">
        <v>12.62</v>
      </c>
      <c r="AB8">
        <v>0</v>
      </c>
      <c r="AC8">
        <v>0</v>
      </c>
      <c r="AD8">
        <v>1</v>
      </c>
      <c r="AE8">
        <v>0</v>
      </c>
      <c r="AF8" t="s">
        <v>24</v>
      </c>
      <c r="AG8">
        <v>1.1000000000000001E-2</v>
      </c>
      <c r="AH8">
        <v>3</v>
      </c>
      <c r="AI8">
        <v>-1</v>
      </c>
      <c r="AJ8" t="s">
        <v>3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3">
      <c r="A9">
        <f>ROW(Source!A29)</f>
        <v>29</v>
      </c>
      <c r="B9">
        <v>58754228</v>
      </c>
      <c r="C9">
        <v>56511487</v>
      </c>
      <c r="D9">
        <v>57696164</v>
      </c>
      <c r="E9">
        <v>1</v>
      </c>
      <c r="F9">
        <v>1</v>
      </c>
      <c r="G9">
        <v>1080</v>
      </c>
      <c r="H9">
        <v>2</v>
      </c>
      <c r="I9" t="s">
        <v>234</v>
      </c>
      <c r="J9" t="s">
        <v>235</v>
      </c>
      <c r="K9" t="s">
        <v>236</v>
      </c>
      <c r="L9">
        <v>1368</v>
      </c>
      <c r="N9">
        <v>1011</v>
      </c>
      <c r="O9" t="s">
        <v>233</v>
      </c>
      <c r="P9" t="s">
        <v>233</v>
      </c>
      <c r="Q9">
        <v>1</v>
      </c>
      <c r="X9">
        <v>0.17</v>
      </c>
      <c r="Y9">
        <v>0</v>
      </c>
      <c r="Z9">
        <v>0.47</v>
      </c>
      <c r="AA9">
        <v>0</v>
      </c>
      <c r="AB9">
        <v>0</v>
      </c>
      <c r="AC9">
        <v>0</v>
      </c>
      <c r="AD9">
        <v>1</v>
      </c>
      <c r="AE9">
        <v>0</v>
      </c>
      <c r="AF9" t="s">
        <v>24</v>
      </c>
      <c r="AG9">
        <v>0.18700000000000003</v>
      </c>
      <c r="AH9">
        <v>3</v>
      </c>
      <c r="AI9">
        <v>-1</v>
      </c>
      <c r="AJ9" t="s">
        <v>3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3">
      <c r="A10">
        <f>ROW(Source!A29)</f>
        <v>29</v>
      </c>
      <c r="B10">
        <v>58754229</v>
      </c>
      <c r="C10">
        <v>56511487</v>
      </c>
      <c r="D10">
        <v>57665961</v>
      </c>
      <c r="E10">
        <v>1</v>
      </c>
      <c r="F10">
        <v>1</v>
      </c>
      <c r="G10">
        <v>1080</v>
      </c>
      <c r="H10">
        <v>3</v>
      </c>
      <c r="I10" t="s">
        <v>237</v>
      </c>
      <c r="J10" t="s">
        <v>238</v>
      </c>
      <c r="K10" t="s">
        <v>239</v>
      </c>
      <c r="L10">
        <v>1348</v>
      </c>
      <c r="N10">
        <v>1009</v>
      </c>
      <c r="O10" t="s">
        <v>240</v>
      </c>
      <c r="P10" t="s">
        <v>240</v>
      </c>
      <c r="Q10">
        <v>1000</v>
      </c>
      <c r="X10">
        <v>3.0000000000000001E-5</v>
      </c>
      <c r="Y10">
        <v>14327.51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 t="s">
        <v>3</v>
      </c>
      <c r="AG10">
        <v>3.0000000000000001E-5</v>
      </c>
      <c r="AH10">
        <v>3</v>
      </c>
      <c r="AI10">
        <v>-1</v>
      </c>
      <c r="AJ10" t="s">
        <v>3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3">
      <c r="A11">
        <f>ROW(Source!A29)</f>
        <v>29</v>
      </c>
      <c r="B11">
        <v>58754230</v>
      </c>
      <c r="C11">
        <v>56511487</v>
      </c>
      <c r="D11">
        <v>57664873</v>
      </c>
      <c r="E11">
        <v>1</v>
      </c>
      <c r="F11">
        <v>1</v>
      </c>
      <c r="G11">
        <v>1080</v>
      </c>
      <c r="H11">
        <v>3</v>
      </c>
      <c r="I11" t="s">
        <v>241</v>
      </c>
      <c r="J11" t="s">
        <v>242</v>
      </c>
      <c r="K11" t="s">
        <v>243</v>
      </c>
      <c r="L11">
        <v>1348</v>
      </c>
      <c r="N11">
        <v>1009</v>
      </c>
      <c r="O11" t="s">
        <v>240</v>
      </c>
      <c r="P11" t="s">
        <v>240</v>
      </c>
      <c r="Q11">
        <v>1000</v>
      </c>
      <c r="X11">
        <v>1.0000000000000001E-5</v>
      </c>
      <c r="Y11">
        <v>78558.289999999994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 t="s">
        <v>3</v>
      </c>
      <c r="AG11">
        <v>1.0000000000000001E-5</v>
      </c>
      <c r="AH11">
        <v>3</v>
      </c>
      <c r="AI11">
        <v>-1</v>
      </c>
      <c r="AJ11" t="s">
        <v>3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3">
      <c r="A12">
        <f>ROW(Source!A29)</f>
        <v>29</v>
      </c>
      <c r="B12">
        <v>58754231</v>
      </c>
      <c r="C12">
        <v>56511487</v>
      </c>
      <c r="D12">
        <v>57643970</v>
      </c>
      <c r="E12">
        <v>1080</v>
      </c>
      <c r="F12">
        <v>1</v>
      </c>
      <c r="G12">
        <v>1080</v>
      </c>
      <c r="H12">
        <v>3</v>
      </c>
      <c r="I12" t="s">
        <v>244</v>
      </c>
      <c r="J12" t="s">
        <v>3</v>
      </c>
      <c r="K12" t="s">
        <v>245</v>
      </c>
      <c r="L12">
        <v>1354</v>
      </c>
      <c r="N12">
        <v>1010</v>
      </c>
      <c r="O12" t="s">
        <v>32</v>
      </c>
      <c r="P12" t="s">
        <v>32</v>
      </c>
      <c r="Q12">
        <v>1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 t="s">
        <v>3</v>
      </c>
      <c r="AG12">
        <v>1</v>
      </c>
      <c r="AH12">
        <v>3</v>
      </c>
      <c r="AI12">
        <v>-1</v>
      </c>
      <c r="AJ12" t="s">
        <v>3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3">
      <c r="A13">
        <f>ROW(Source!A32)</f>
        <v>32</v>
      </c>
      <c r="B13">
        <v>58754232</v>
      </c>
      <c r="C13">
        <v>56511510</v>
      </c>
      <c r="D13">
        <v>57621905</v>
      </c>
      <c r="E13">
        <v>1080</v>
      </c>
      <c r="F13">
        <v>1</v>
      </c>
      <c r="G13">
        <v>1080</v>
      </c>
      <c r="H13">
        <v>1</v>
      </c>
      <c r="I13" t="s">
        <v>227</v>
      </c>
      <c r="J13" t="s">
        <v>3</v>
      </c>
      <c r="K13" t="s">
        <v>228</v>
      </c>
      <c r="L13">
        <v>1191</v>
      </c>
      <c r="N13">
        <v>1013</v>
      </c>
      <c r="O13" t="s">
        <v>229</v>
      </c>
      <c r="P13" t="s">
        <v>229</v>
      </c>
      <c r="Q13">
        <v>1</v>
      </c>
      <c r="X13">
        <v>14.64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1</v>
      </c>
      <c r="AF13" t="s">
        <v>24</v>
      </c>
      <c r="AG13">
        <v>16.104000000000003</v>
      </c>
      <c r="AH13">
        <v>3</v>
      </c>
      <c r="AI13">
        <v>-1</v>
      </c>
      <c r="AJ13" t="s">
        <v>3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3">
      <c r="A14">
        <f>ROW(Source!A32)</f>
        <v>32</v>
      </c>
      <c r="B14">
        <v>58754233</v>
      </c>
      <c r="C14">
        <v>56511510</v>
      </c>
      <c r="D14">
        <v>57696079</v>
      </c>
      <c r="E14">
        <v>1</v>
      </c>
      <c r="F14">
        <v>1</v>
      </c>
      <c r="G14">
        <v>1080</v>
      </c>
      <c r="H14">
        <v>2</v>
      </c>
      <c r="I14" t="s">
        <v>230</v>
      </c>
      <c r="J14" t="s">
        <v>231</v>
      </c>
      <c r="K14" t="s">
        <v>232</v>
      </c>
      <c r="L14">
        <v>1368</v>
      </c>
      <c r="N14">
        <v>1011</v>
      </c>
      <c r="O14" t="s">
        <v>233</v>
      </c>
      <c r="P14" t="s">
        <v>233</v>
      </c>
      <c r="Q14">
        <v>1</v>
      </c>
      <c r="X14">
        <v>0.06</v>
      </c>
      <c r="Y14">
        <v>0</v>
      </c>
      <c r="Z14">
        <v>83.1</v>
      </c>
      <c r="AA14">
        <v>12.62</v>
      </c>
      <c r="AB14">
        <v>0</v>
      </c>
      <c r="AC14">
        <v>0</v>
      </c>
      <c r="AD14">
        <v>1</v>
      </c>
      <c r="AE14">
        <v>0</v>
      </c>
      <c r="AF14" t="s">
        <v>24</v>
      </c>
      <c r="AG14">
        <v>6.6000000000000003E-2</v>
      </c>
      <c r="AH14">
        <v>3</v>
      </c>
      <c r="AI14">
        <v>-1</v>
      </c>
      <c r="AJ14" t="s">
        <v>3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3">
      <c r="A15">
        <f>ROW(Source!A32)</f>
        <v>32</v>
      </c>
      <c r="B15">
        <v>58754234</v>
      </c>
      <c r="C15">
        <v>56511510</v>
      </c>
      <c r="D15">
        <v>57696198</v>
      </c>
      <c r="E15">
        <v>1</v>
      </c>
      <c r="F15">
        <v>1</v>
      </c>
      <c r="G15">
        <v>1080</v>
      </c>
      <c r="H15">
        <v>2</v>
      </c>
      <c r="I15" t="s">
        <v>246</v>
      </c>
      <c r="J15" t="s">
        <v>247</v>
      </c>
      <c r="K15" t="s">
        <v>248</v>
      </c>
      <c r="L15">
        <v>1368</v>
      </c>
      <c r="N15">
        <v>1011</v>
      </c>
      <c r="O15" t="s">
        <v>233</v>
      </c>
      <c r="P15" t="s">
        <v>233</v>
      </c>
      <c r="Q15">
        <v>1</v>
      </c>
      <c r="X15">
        <v>0.81</v>
      </c>
      <c r="Y15">
        <v>0</v>
      </c>
      <c r="Z15">
        <v>0.8</v>
      </c>
      <c r="AA15">
        <v>0</v>
      </c>
      <c r="AB15">
        <v>0</v>
      </c>
      <c r="AC15">
        <v>0</v>
      </c>
      <c r="AD15">
        <v>1</v>
      </c>
      <c r="AE15">
        <v>0</v>
      </c>
      <c r="AF15" t="s">
        <v>24</v>
      </c>
      <c r="AG15">
        <v>0.89100000000000013</v>
      </c>
      <c r="AH15">
        <v>3</v>
      </c>
      <c r="AI15">
        <v>-1</v>
      </c>
      <c r="AJ15" t="s">
        <v>3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3">
      <c r="A16">
        <f>ROW(Source!A32)</f>
        <v>32</v>
      </c>
      <c r="B16">
        <v>58754235</v>
      </c>
      <c r="C16">
        <v>56511510</v>
      </c>
      <c r="D16">
        <v>57696164</v>
      </c>
      <c r="E16">
        <v>1</v>
      </c>
      <c r="F16">
        <v>1</v>
      </c>
      <c r="G16">
        <v>1080</v>
      </c>
      <c r="H16">
        <v>2</v>
      </c>
      <c r="I16" t="s">
        <v>234</v>
      </c>
      <c r="J16" t="s">
        <v>235</v>
      </c>
      <c r="K16" t="s">
        <v>236</v>
      </c>
      <c r="L16">
        <v>1368</v>
      </c>
      <c r="N16">
        <v>1011</v>
      </c>
      <c r="O16" t="s">
        <v>233</v>
      </c>
      <c r="P16" t="s">
        <v>233</v>
      </c>
      <c r="Q16">
        <v>1</v>
      </c>
      <c r="X16">
        <v>0.93</v>
      </c>
      <c r="Y16">
        <v>0</v>
      </c>
      <c r="Z16">
        <v>0.47</v>
      </c>
      <c r="AA16">
        <v>0</v>
      </c>
      <c r="AB16">
        <v>0</v>
      </c>
      <c r="AC16">
        <v>0</v>
      </c>
      <c r="AD16">
        <v>1</v>
      </c>
      <c r="AE16">
        <v>0</v>
      </c>
      <c r="AF16" t="s">
        <v>24</v>
      </c>
      <c r="AG16">
        <v>1.0230000000000001</v>
      </c>
      <c r="AH16">
        <v>3</v>
      </c>
      <c r="AI16">
        <v>-1</v>
      </c>
      <c r="AJ16" t="s">
        <v>3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3">
      <c r="A17">
        <f>ROW(Source!A32)</f>
        <v>32</v>
      </c>
      <c r="B17">
        <v>58754236</v>
      </c>
      <c r="C17">
        <v>56511510</v>
      </c>
      <c r="D17">
        <v>57665961</v>
      </c>
      <c r="E17">
        <v>1</v>
      </c>
      <c r="F17">
        <v>1</v>
      </c>
      <c r="G17">
        <v>1080</v>
      </c>
      <c r="H17">
        <v>3</v>
      </c>
      <c r="I17" t="s">
        <v>237</v>
      </c>
      <c r="J17" t="s">
        <v>238</v>
      </c>
      <c r="K17" t="s">
        <v>239</v>
      </c>
      <c r="L17">
        <v>1348</v>
      </c>
      <c r="N17">
        <v>1009</v>
      </c>
      <c r="O17" t="s">
        <v>240</v>
      </c>
      <c r="P17" t="s">
        <v>240</v>
      </c>
      <c r="Q17">
        <v>1000</v>
      </c>
      <c r="X17">
        <v>1.7000000000000001E-4</v>
      </c>
      <c r="Y17">
        <v>14327.51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 t="s">
        <v>3</v>
      </c>
      <c r="AG17">
        <v>1.7000000000000001E-4</v>
      </c>
      <c r="AH17">
        <v>3</v>
      </c>
      <c r="AI17">
        <v>-1</v>
      </c>
      <c r="AJ17" t="s">
        <v>3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3">
      <c r="A18">
        <f>ROW(Source!A32)</f>
        <v>32</v>
      </c>
      <c r="B18">
        <v>58754237</v>
      </c>
      <c r="C18">
        <v>56511510</v>
      </c>
      <c r="D18">
        <v>57643963</v>
      </c>
      <c r="E18">
        <v>1080</v>
      </c>
      <c r="F18">
        <v>1</v>
      </c>
      <c r="G18">
        <v>1080</v>
      </c>
      <c r="H18">
        <v>3</v>
      </c>
      <c r="I18" t="s">
        <v>249</v>
      </c>
      <c r="J18" t="s">
        <v>3</v>
      </c>
      <c r="K18" t="s">
        <v>250</v>
      </c>
      <c r="L18">
        <v>1358</v>
      </c>
      <c r="N18">
        <v>1010</v>
      </c>
      <c r="O18" t="s">
        <v>42</v>
      </c>
      <c r="P18" t="s">
        <v>42</v>
      </c>
      <c r="Q18">
        <v>10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 t="s">
        <v>3</v>
      </c>
      <c r="AG18">
        <v>1</v>
      </c>
      <c r="AH18">
        <v>3</v>
      </c>
      <c r="AI18">
        <v>-1</v>
      </c>
      <c r="AJ18" t="s">
        <v>3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3">
      <c r="A19">
        <f>ROW(Source!A33)</f>
        <v>33</v>
      </c>
      <c r="B19">
        <v>58754232</v>
      </c>
      <c r="C19">
        <v>56511510</v>
      </c>
      <c r="D19">
        <v>57621905</v>
      </c>
      <c r="E19">
        <v>1080</v>
      </c>
      <c r="F19">
        <v>1</v>
      </c>
      <c r="G19">
        <v>1080</v>
      </c>
      <c r="H19">
        <v>1</v>
      </c>
      <c r="I19" t="s">
        <v>227</v>
      </c>
      <c r="J19" t="s">
        <v>3</v>
      </c>
      <c r="K19" t="s">
        <v>228</v>
      </c>
      <c r="L19">
        <v>1191</v>
      </c>
      <c r="N19">
        <v>1013</v>
      </c>
      <c r="O19" t="s">
        <v>229</v>
      </c>
      <c r="P19" t="s">
        <v>229</v>
      </c>
      <c r="Q19">
        <v>1</v>
      </c>
      <c r="X19">
        <v>14.64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1</v>
      </c>
      <c r="AF19" t="s">
        <v>24</v>
      </c>
      <c r="AG19">
        <v>16.104000000000003</v>
      </c>
      <c r="AH19">
        <v>3</v>
      </c>
      <c r="AI19">
        <v>-1</v>
      </c>
      <c r="AJ19" t="s">
        <v>3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3">
      <c r="A20">
        <f>ROW(Source!A33)</f>
        <v>33</v>
      </c>
      <c r="B20">
        <v>58754233</v>
      </c>
      <c r="C20">
        <v>56511510</v>
      </c>
      <c r="D20">
        <v>57696079</v>
      </c>
      <c r="E20">
        <v>1</v>
      </c>
      <c r="F20">
        <v>1</v>
      </c>
      <c r="G20">
        <v>1080</v>
      </c>
      <c r="H20">
        <v>2</v>
      </c>
      <c r="I20" t="s">
        <v>230</v>
      </c>
      <c r="J20" t="s">
        <v>231</v>
      </c>
      <c r="K20" t="s">
        <v>232</v>
      </c>
      <c r="L20">
        <v>1368</v>
      </c>
      <c r="N20">
        <v>1011</v>
      </c>
      <c r="O20" t="s">
        <v>233</v>
      </c>
      <c r="P20" t="s">
        <v>233</v>
      </c>
      <c r="Q20">
        <v>1</v>
      </c>
      <c r="X20">
        <v>0.06</v>
      </c>
      <c r="Y20">
        <v>0</v>
      </c>
      <c r="Z20">
        <v>83.1</v>
      </c>
      <c r="AA20">
        <v>12.62</v>
      </c>
      <c r="AB20">
        <v>0</v>
      </c>
      <c r="AC20">
        <v>0</v>
      </c>
      <c r="AD20">
        <v>1</v>
      </c>
      <c r="AE20">
        <v>0</v>
      </c>
      <c r="AF20" t="s">
        <v>24</v>
      </c>
      <c r="AG20">
        <v>6.6000000000000003E-2</v>
      </c>
      <c r="AH20">
        <v>3</v>
      </c>
      <c r="AI20">
        <v>-1</v>
      </c>
      <c r="AJ20" t="s">
        <v>3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3">
      <c r="A21">
        <f>ROW(Source!A33)</f>
        <v>33</v>
      </c>
      <c r="B21">
        <v>58754234</v>
      </c>
      <c r="C21">
        <v>56511510</v>
      </c>
      <c r="D21">
        <v>57696198</v>
      </c>
      <c r="E21">
        <v>1</v>
      </c>
      <c r="F21">
        <v>1</v>
      </c>
      <c r="G21">
        <v>1080</v>
      </c>
      <c r="H21">
        <v>2</v>
      </c>
      <c r="I21" t="s">
        <v>246</v>
      </c>
      <c r="J21" t="s">
        <v>247</v>
      </c>
      <c r="K21" t="s">
        <v>248</v>
      </c>
      <c r="L21">
        <v>1368</v>
      </c>
      <c r="N21">
        <v>1011</v>
      </c>
      <c r="O21" t="s">
        <v>233</v>
      </c>
      <c r="P21" t="s">
        <v>233</v>
      </c>
      <c r="Q21">
        <v>1</v>
      </c>
      <c r="X21">
        <v>0.81</v>
      </c>
      <c r="Y21">
        <v>0</v>
      </c>
      <c r="Z21">
        <v>0.8</v>
      </c>
      <c r="AA21">
        <v>0</v>
      </c>
      <c r="AB21">
        <v>0</v>
      </c>
      <c r="AC21">
        <v>0</v>
      </c>
      <c r="AD21">
        <v>1</v>
      </c>
      <c r="AE21">
        <v>0</v>
      </c>
      <c r="AF21" t="s">
        <v>24</v>
      </c>
      <c r="AG21">
        <v>0.89100000000000013</v>
      </c>
      <c r="AH21">
        <v>3</v>
      </c>
      <c r="AI21">
        <v>-1</v>
      </c>
      <c r="AJ21" t="s">
        <v>3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3">
      <c r="A22">
        <f>ROW(Source!A33)</f>
        <v>33</v>
      </c>
      <c r="B22">
        <v>58754235</v>
      </c>
      <c r="C22">
        <v>56511510</v>
      </c>
      <c r="D22">
        <v>57696164</v>
      </c>
      <c r="E22">
        <v>1</v>
      </c>
      <c r="F22">
        <v>1</v>
      </c>
      <c r="G22">
        <v>1080</v>
      </c>
      <c r="H22">
        <v>2</v>
      </c>
      <c r="I22" t="s">
        <v>234</v>
      </c>
      <c r="J22" t="s">
        <v>235</v>
      </c>
      <c r="K22" t="s">
        <v>236</v>
      </c>
      <c r="L22">
        <v>1368</v>
      </c>
      <c r="N22">
        <v>1011</v>
      </c>
      <c r="O22" t="s">
        <v>233</v>
      </c>
      <c r="P22" t="s">
        <v>233</v>
      </c>
      <c r="Q22">
        <v>1</v>
      </c>
      <c r="X22">
        <v>0.93</v>
      </c>
      <c r="Y22">
        <v>0</v>
      </c>
      <c r="Z22">
        <v>0.47</v>
      </c>
      <c r="AA22">
        <v>0</v>
      </c>
      <c r="AB22">
        <v>0</v>
      </c>
      <c r="AC22">
        <v>0</v>
      </c>
      <c r="AD22">
        <v>1</v>
      </c>
      <c r="AE22">
        <v>0</v>
      </c>
      <c r="AF22" t="s">
        <v>24</v>
      </c>
      <c r="AG22">
        <v>1.0230000000000001</v>
      </c>
      <c r="AH22">
        <v>3</v>
      </c>
      <c r="AI22">
        <v>-1</v>
      </c>
      <c r="AJ22" t="s">
        <v>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3">
      <c r="A23">
        <f>ROW(Source!A33)</f>
        <v>33</v>
      </c>
      <c r="B23">
        <v>58754236</v>
      </c>
      <c r="C23">
        <v>56511510</v>
      </c>
      <c r="D23">
        <v>57665961</v>
      </c>
      <c r="E23">
        <v>1</v>
      </c>
      <c r="F23">
        <v>1</v>
      </c>
      <c r="G23">
        <v>1080</v>
      </c>
      <c r="H23">
        <v>3</v>
      </c>
      <c r="I23" t="s">
        <v>237</v>
      </c>
      <c r="J23" t="s">
        <v>238</v>
      </c>
      <c r="K23" t="s">
        <v>239</v>
      </c>
      <c r="L23">
        <v>1348</v>
      </c>
      <c r="N23">
        <v>1009</v>
      </c>
      <c r="O23" t="s">
        <v>240</v>
      </c>
      <c r="P23" t="s">
        <v>240</v>
      </c>
      <c r="Q23">
        <v>1000</v>
      </c>
      <c r="X23">
        <v>1.7000000000000001E-4</v>
      </c>
      <c r="Y23">
        <v>14327.51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 t="s">
        <v>3</v>
      </c>
      <c r="AG23">
        <v>1.7000000000000001E-4</v>
      </c>
      <c r="AH23">
        <v>3</v>
      </c>
      <c r="AI23">
        <v>-1</v>
      </c>
      <c r="AJ23" t="s">
        <v>3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3">
      <c r="A24">
        <f>ROW(Source!A33)</f>
        <v>33</v>
      </c>
      <c r="B24">
        <v>58754237</v>
      </c>
      <c r="C24">
        <v>56511510</v>
      </c>
      <c r="D24">
        <v>57643963</v>
      </c>
      <c r="E24">
        <v>1080</v>
      </c>
      <c r="F24">
        <v>1</v>
      </c>
      <c r="G24">
        <v>1080</v>
      </c>
      <c r="H24">
        <v>3</v>
      </c>
      <c r="I24" t="s">
        <v>249</v>
      </c>
      <c r="J24" t="s">
        <v>3</v>
      </c>
      <c r="K24" t="s">
        <v>250</v>
      </c>
      <c r="L24">
        <v>1358</v>
      </c>
      <c r="N24">
        <v>1010</v>
      </c>
      <c r="O24" t="s">
        <v>42</v>
      </c>
      <c r="P24" t="s">
        <v>42</v>
      </c>
      <c r="Q24">
        <v>10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 t="s">
        <v>3</v>
      </c>
      <c r="AG24">
        <v>1</v>
      </c>
      <c r="AH24">
        <v>3</v>
      </c>
      <c r="AI24">
        <v>-1</v>
      </c>
      <c r="AJ24" t="s">
        <v>3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3">
      <c r="A25">
        <f>ROW(Source!A36)</f>
        <v>36</v>
      </c>
      <c r="B25">
        <v>58754238</v>
      </c>
      <c r="C25">
        <v>56511533</v>
      </c>
      <c r="D25">
        <v>57621905</v>
      </c>
      <c r="E25">
        <v>1080</v>
      </c>
      <c r="F25">
        <v>1</v>
      </c>
      <c r="G25">
        <v>1080</v>
      </c>
      <c r="H25">
        <v>1</v>
      </c>
      <c r="I25" t="s">
        <v>227</v>
      </c>
      <c r="J25" t="s">
        <v>3</v>
      </c>
      <c r="K25" t="s">
        <v>228</v>
      </c>
      <c r="L25">
        <v>1191</v>
      </c>
      <c r="N25">
        <v>1013</v>
      </c>
      <c r="O25" t="s">
        <v>229</v>
      </c>
      <c r="P25" t="s">
        <v>229</v>
      </c>
      <c r="Q25">
        <v>1</v>
      </c>
      <c r="X25">
        <v>1.03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1</v>
      </c>
      <c r="AF25" t="s">
        <v>24</v>
      </c>
      <c r="AG25">
        <v>1.1330000000000002</v>
      </c>
      <c r="AH25">
        <v>3</v>
      </c>
      <c r="AI25">
        <v>-1</v>
      </c>
      <c r="AJ25" t="s">
        <v>3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3">
      <c r="A26">
        <f>ROW(Source!A36)</f>
        <v>36</v>
      </c>
      <c r="B26">
        <v>58754239</v>
      </c>
      <c r="C26">
        <v>56511533</v>
      </c>
      <c r="D26">
        <v>57695780</v>
      </c>
      <c r="E26">
        <v>1</v>
      </c>
      <c r="F26">
        <v>1</v>
      </c>
      <c r="G26">
        <v>1080</v>
      </c>
      <c r="H26">
        <v>2</v>
      </c>
      <c r="I26" t="s">
        <v>251</v>
      </c>
      <c r="J26" t="s">
        <v>252</v>
      </c>
      <c r="K26" t="s">
        <v>253</v>
      </c>
      <c r="L26">
        <v>1368</v>
      </c>
      <c r="N26">
        <v>1011</v>
      </c>
      <c r="O26" t="s">
        <v>233</v>
      </c>
      <c r="P26" t="s">
        <v>233</v>
      </c>
      <c r="Q26">
        <v>1</v>
      </c>
      <c r="X26">
        <v>0.2</v>
      </c>
      <c r="Y26">
        <v>0</v>
      </c>
      <c r="Z26">
        <v>7.11</v>
      </c>
      <c r="AA26">
        <v>0</v>
      </c>
      <c r="AB26">
        <v>0</v>
      </c>
      <c r="AC26">
        <v>0</v>
      </c>
      <c r="AD26">
        <v>1</v>
      </c>
      <c r="AE26">
        <v>0</v>
      </c>
      <c r="AF26" t="s">
        <v>24</v>
      </c>
      <c r="AG26">
        <v>0.22000000000000003</v>
      </c>
      <c r="AH26">
        <v>3</v>
      </c>
      <c r="AI26">
        <v>-1</v>
      </c>
      <c r="AJ26" t="s">
        <v>3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3">
      <c r="A27">
        <f>ROW(Source!A36)</f>
        <v>36</v>
      </c>
      <c r="B27">
        <v>58754240</v>
      </c>
      <c r="C27">
        <v>56511533</v>
      </c>
      <c r="D27">
        <v>57695812</v>
      </c>
      <c r="E27">
        <v>1</v>
      </c>
      <c r="F27">
        <v>1</v>
      </c>
      <c r="G27">
        <v>1080</v>
      </c>
      <c r="H27">
        <v>2</v>
      </c>
      <c r="I27" t="s">
        <v>254</v>
      </c>
      <c r="J27" t="s">
        <v>255</v>
      </c>
      <c r="K27" t="s">
        <v>256</v>
      </c>
      <c r="L27">
        <v>1368</v>
      </c>
      <c r="N27">
        <v>1011</v>
      </c>
      <c r="O27" t="s">
        <v>233</v>
      </c>
      <c r="P27" t="s">
        <v>233</v>
      </c>
      <c r="Q27">
        <v>1</v>
      </c>
      <c r="X27">
        <v>0.09</v>
      </c>
      <c r="Y27">
        <v>0</v>
      </c>
      <c r="Z27">
        <v>0.46</v>
      </c>
      <c r="AA27">
        <v>0</v>
      </c>
      <c r="AB27">
        <v>0</v>
      </c>
      <c r="AC27">
        <v>0</v>
      </c>
      <c r="AD27">
        <v>1</v>
      </c>
      <c r="AE27">
        <v>0</v>
      </c>
      <c r="AF27" t="s">
        <v>24</v>
      </c>
      <c r="AG27">
        <v>9.9000000000000005E-2</v>
      </c>
      <c r="AH27">
        <v>3</v>
      </c>
      <c r="AI27">
        <v>-1</v>
      </c>
      <c r="AJ27" t="s">
        <v>3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3">
      <c r="A28">
        <f>ROW(Source!A36)</f>
        <v>36</v>
      </c>
      <c r="B28">
        <v>58754241</v>
      </c>
      <c r="C28">
        <v>56511533</v>
      </c>
      <c r="D28">
        <v>57696079</v>
      </c>
      <c r="E28">
        <v>1</v>
      </c>
      <c r="F28">
        <v>1</v>
      </c>
      <c r="G28">
        <v>1080</v>
      </c>
      <c r="H28">
        <v>2</v>
      </c>
      <c r="I28" t="s">
        <v>230</v>
      </c>
      <c r="J28" t="s">
        <v>231</v>
      </c>
      <c r="K28" t="s">
        <v>232</v>
      </c>
      <c r="L28">
        <v>1368</v>
      </c>
      <c r="N28">
        <v>1011</v>
      </c>
      <c r="O28" t="s">
        <v>233</v>
      </c>
      <c r="P28" t="s">
        <v>233</v>
      </c>
      <c r="Q28">
        <v>1</v>
      </c>
      <c r="X28">
        <v>3.0000000000000001E-3</v>
      </c>
      <c r="Y28">
        <v>0</v>
      </c>
      <c r="Z28">
        <v>83.1</v>
      </c>
      <c r="AA28">
        <v>12.62</v>
      </c>
      <c r="AB28">
        <v>0</v>
      </c>
      <c r="AC28">
        <v>0</v>
      </c>
      <c r="AD28">
        <v>1</v>
      </c>
      <c r="AE28">
        <v>0</v>
      </c>
      <c r="AF28" t="s">
        <v>24</v>
      </c>
      <c r="AG28">
        <v>3.3000000000000004E-3</v>
      </c>
      <c r="AH28">
        <v>3</v>
      </c>
      <c r="AI28">
        <v>-1</v>
      </c>
      <c r="AJ28" t="s">
        <v>3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3">
      <c r="A29">
        <f>ROW(Source!A36)</f>
        <v>36</v>
      </c>
      <c r="B29">
        <v>58754242</v>
      </c>
      <c r="C29">
        <v>56511533</v>
      </c>
      <c r="D29">
        <v>57696153</v>
      </c>
      <c r="E29">
        <v>1</v>
      </c>
      <c r="F29">
        <v>1</v>
      </c>
      <c r="G29">
        <v>1080</v>
      </c>
      <c r="H29">
        <v>2</v>
      </c>
      <c r="I29" t="s">
        <v>257</v>
      </c>
      <c r="J29" t="s">
        <v>258</v>
      </c>
      <c r="K29" t="s">
        <v>259</v>
      </c>
      <c r="L29">
        <v>1368</v>
      </c>
      <c r="N29">
        <v>1011</v>
      </c>
      <c r="O29" t="s">
        <v>233</v>
      </c>
      <c r="P29" t="s">
        <v>233</v>
      </c>
      <c r="Q29">
        <v>1</v>
      </c>
      <c r="X29">
        <v>0.05</v>
      </c>
      <c r="Y29">
        <v>0</v>
      </c>
      <c r="Z29">
        <v>0.78</v>
      </c>
      <c r="AA29">
        <v>0</v>
      </c>
      <c r="AB29">
        <v>0</v>
      </c>
      <c r="AC29">
        <v>0</v>
      </c>
      <c r="AD29">
        <v>1</v>
      </c>
      <c r="AE29">
        <v>0</v>
      </c>
      <c r="AF29" t="s">
        <v>24</v>
      </c>
      <c r="AG29">
        <v>5.5000000000000007E-2</v>
      </c>
      <c r="AH29">
        <v>3</v>
      </c>
      <c r="AI29">
        <v>-1</v>
      </c>
      <c r="AJ29" t="s">
        <v>3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3">
      <c r="A30">
        <f>ROW(Source!A36)</f>
        <v>36</v>
      </c>
      <c r="B30">
        <v>58754243</v>
      </c>
      <c r="C30">
        <v>56511533</v>
      </c>
      <c r="D30">
        <v>57696169</v>
      </c>
      <c r="E30">
        <v>1</v>
      </c>
      <c r="F30">
        <v>1</v>
      </c>
      <c r="G30">
        <v>1080</v>
      </c>
      <c r="H30">
        <v>2</v>
      </c>
      <c r="I30" t="s">
        <v>260</v>
      </c>
      <c r="J30" t="s">
        <v>261</v>
      </c>
      <c r="K30" t="s">
        <v>262</v>
      </c>
      <c r="L30">
        <v>1368</v>
      </c>
      <c r="N30">
        <v>1011</v>
      </c>
      <c r="O30" t="s">
        <v>233</v>
      </c>
      <c r="P30" t="s">
        <v>233</v>
      </c>
      <c r="Q30">
        <v>1</v>
      </c>
      <c r="X30">
        <v>0.05</v>
      </c>
      <c r="Y30">
        <v>0</v>
      </c>
      <c r="Z30">
        <v>2.59</v>
      </c>
      <c r="AA30">
        <v>0</v>
      </c>
      <c r="AB30">
        <v>0</v>
      </c>
      <c r="AC30">
        <v>0</v>
      </c>
      <c r="AD30">
        <v>1</v>
      </c>
      <c r="AE30">
        <v>0</v>
      </c>
      <c r="AF30" t="s">
        <v>24</v>
      </c>
      <c r="AG30">
        <v>5.5000000000000007E-2</v>
      </c>
      <c r="AH30">
        <v>3</v>
      </c>
      <c r="AI30">
        <v>-1</v>
      </c>
      <c r="AJ30" t="s">
        <v>3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3">
      <c r="A31">
        <f>ROW(Source!A36)</f>
        <v>36</v>
      </c>
      <c r="B31">
        <v>58754244</v>
      </c>
      <c r="C31">
        <v>56511533</v>
      </c>
      <c r="D31">
        <v>57696172</v>
      </c>
      <c r="E31">
        <v>1</v>
      </c>
      <c r="F31">
        <v>1</v>
      </c>
      <c r="G31">
        <v>1080</v>
      </c>
      <c r="H31">
        <v>2</v>
      </c>
      <c r="I31" t="s">
        <v>263</v>
      </c>
      <c r="J31" t="s">
        <v>264</v>
      </c>
      <c r="K31" t="s">
        <v>265</v>
      </c>
      <c r="L31">
        <v>1368</v>
      </c>
      <c r="N31">
        <v>1011</v>
      </c>
      <c r="O31" t="s">
        <v>233</v>
      </c>
      <c r="P31" t="s">
        <v>233</v>
      </c>
      <c r="Q31">
        <v>1</v>
      </c>
      <c r="X31">
        <v>0.05</v>
      </c>
      <c r="Y31">
        <v>0</v>
      </c>
      <c r="Z31">
        <v>17.41</v>
      </c>
      <c r="AA31">
        <v>11.18</v>
      </c>
      <c r="AB31">
        <v>0</v>
      </c>
      <c r="AC31">
        <v>0</v>
      </c>
      <c r="AD31">
        <v>1</v>
      </c>
      <c r="AE31">
        <v>0</v>
      </c>
      <c r="AF31" t="s">
        <v>24</v>
      </c>
      <c r="AG31">
        <v>5.5000000000000007E-2</v>
      </c>
      <c r="AH31">
        <v>3</v>
      </c>
      <c r="AI31">
        <v>-1</v>
      </c>
      <c r="AJ31" t="s">
        <v>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3">
      <c r="A32">
        <f>ROW(Source!A36)</f>
        <v>36</v>
      </c>
      <c r="B32">
        <v>58754245</v>
      </c>
      <c r="C32">
        <v>56511533</v>
      </c>
      <c r="D32">
        <v>57696173</v>
      </c>
      <c r="E32">
        <v>1</v>
      </c>
      <c r="F32">
        <v>1</v>
      </c>
      <c r="G32">
        <v>1080</v>
      </c>
      <c r="H32">
        <v>2</v>
      </c>
      <c r="I32" t="s">
        <v>266</v>
      </c>
      <c r="J32" t="s">
        <v>267</v>
      </c>
      <c r="K32" t="s">
        <v>268</v>
      </c>
      <c r="L32">
        <v>1368</v>
      </c>
      <c r="N32">
        <v>1011</v>
      </c>
      <c r="O32" t="s">
        <v>233</v>
      </c>
      <c r="P32" t="s">
        <v>233</v>
      </c>
      <c r="Q32">
        <v>1</v>
      </c>
      <c r="X32">
        <v>0.05</v>
      </c>
      <c r="Y32">
        <v>0</v>
      </c>
      <c r="Z32">
        <v>52.3</v>
      </c>
      <c r="AA32">
        <v>12.62</v>
      </c>
      <c r="AB32">
        <v>0</v>
      </c>
      <c r="AC32">
        <v>0</v>
      </c>
      <c r="AD32">
        <v>1</v>
      </c>
      <c r="AE32">
        <v>0</v>
      </c>
      <c r="AF32" t="s">
        <v>24</v>
      </c>
      <c r="AG32">
        <v>5.5000000000000007E-2</v>
      </c>
      <c r="AH32">
        <v>3</v>
      </c>
      <c r="AI32">
        <v>-1</v>
      </c>
      <c r="AJ32" t="s">
        <v>3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3">
      <c r="A33">
        <f>ROW(Source!A36)</f>
        <v>36</v>
      </c>
      <c r="B33">
        <v>58754246</v>
      </c>
      <c r="C33">
        <v>56511533</v>
      </c>
      <c r="D33">
        <v>57664991</v>
      </c>
      <c r="E33">
        <v>1</v>
      </c>
      <c r="F33">
        <v>1</v>
      </c>
      <c r="G33">
        <v>1080</v>
      </c>
      <c r="H33">
        <v>3</v>
      </c>
      <c r="I33" t="s">
        <v>269</v>
      </c>
      <c r="J33" t="s">
        <v>270</v>
      </c>
      <c r="K33" t="s">
        <v>271</v>
      </c>
      <c r="L33">
        <v>1348</v>
      </c>
      <c r="N33">
        <v>1009</v>
      </c>
      <c r="O33" t="s">
        <v>240</v>
      </c>
      <c r="P33" t="s">
        <v>240</v>
      </c>
      <c r="Q33">
        <v>1000</v>
      </c>
      <c r="X33">
        <v>3.0000000000000001E-3</v>
      </c>
      <c r="Y33">
        <v>7512.16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 t="s">
        <v>3</v>
      </c>
      <c r="AG33">
        <v>3.0000000000000001E-3</v>
      </c>
      <c r="AH33">
        <v>3</v>
      </c>
      <c r="AI33">
        <v>-1</v>
      </c>
      <c r="AJ33" t="s">
        <v>3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3">
      <c r="A34">
        <f>ROW(Source!A36)</f>
        <v>36</v>
      </c>
      <c r="B34">
        <v>58754247</v>
      </c>
      <c r="C34">
        <v>56511533</v>
      </c>
      <c r="D34">
        <v>57665379</v>
      </c>
      <c r="E34">
        <v>1</v>
      </c>
      <c r="F34">
        <v>1</v>
      </c>
      <c r="G34">
        <v>1080</v>
      </c>
      <c r="H34">
        <v>3</v>
      </c>
      <c r="I34" t="s">
        <v>272</v>
      </c>
      <c r="J34" t="s">
        <v>273</v>
      </c>
      <c r="K34" t="s">
        <v>274</v>
      </c>
      <c r="L34">
        <v>1348</v>
      </c>
      <c r="N34">
        <v>1009</v>
      </c>
      <c r="O34" t="s">
        <v>240</v>
      </c>
      <c r="P34" t="s">
        <v>240</v>
      </c>
      <c r="Q34">
        <v>1000</v>
      </c>
      <c r="X34">
        <v>2.1000000000000001E-4</v>
      </c>
      <c r="Y34">
        <v>7185.82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 t="s">
        <v>3</v>
      </c>
      <c r="AG34">
        <v>2.1000000000000001E-4</v>
      </c>
      <c r="AH34">
        <v>3</v>
      </c>
      <c r="AI34">
        <v>-1</v>
      </c>
      <c r="AJ34" t="s">
        <v>3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3">
      <c r="A35">
        <f>ROW(Source!A36)</f>
        <v>36</v>
      </c>
      <c r="B35">
        <v>58754248</v>
      </c>
      <c r="C35">
        <v>56511533</v>
      </c>
      <c r="D35">
        <v>57664358</v>
      </c>
      <c r="E35">
        <v>1</v>
      </c>
      <c r="F35">
        <v>1</v>
      </c>
      <c r="G35">
        <v>1080</v>
      </c>
      <c r="H35">
        <v>3</v>
      </c>
      <c r="I35" t="s">
        <v>275</v>
      </c>
      <c r="J35" t="s">
        <v>276</v>
      </c>
      <c r="K35" t="s">
        <v>277</v>
      </c>
      <c r="L35">
        <v>1348</v>
      </c>
      <c r="N35">
        <v>1009</v>
      </c>
      <c r="O35" t="s">
        <v>240</v>
      </c>
      <c r="P35" t="s">
        <v>240</v>
      </c>
      <c r="Q35">
        <v>1000</v>
      </c>
      <c r="X35">
        <v>1.1E-4</v>
      </c>
      <c r="Y35">
        <v>18653.07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 t="s">
        <v>3</v>
      </c>
      <c r="AG35">
        <v>1.1E-4</v>
      </c>
      <c r="AH35">
        <v>3</v>
      </c>
      <c r="AI35">
        <v>-1</v>
      </c>
      <c r="AJ35" t="s">
        <v>3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3">
      <c r="A36">
        <f>ROW(Source!A36)</f>
        <v>36</v>
      </c>
      <c r="B36">
        <v>58754249</v>
      </c>
      <c r="C36">
        <v>56511533</v>
      </c>
      <c r="D36">
        <v>57664418</v>
      </c>
      <c r="E36">
        <v>1</v>
      </c>
      <c r="F36">
        <v>1</v>
      </c>
      <c r="G36">
        <v>1080</v>
      </c>
      <c r="H36">
        <v>3</v>
      </c>
      <c r="I36" t="s">
        <v>278</v>
      </c>
      <c r="J36" t="s">
        <v>279</v>
      </c>
      <c r="K36" t="s">
        <v>280</v>
      </c>
      <c r="L36">
        <v>1354</v>
      </c>
      <c r="N36">
        <v>1010</v>
      </c>
      <c r="O36" t="s">
        <v>32</v>
      </c>
      <c r="P36" t="s">
        <v>32</v>
      </c>
      <c r="Q36">
        <v>1</v>
      </c>
      <c r="X36">
        <v>2</v>
      </c>
      <c r="Y36">
        <v>0.89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 t="s">
        <v>3</v>
      </c>
      <c r="AG36">
        <v>2</v>
      </c>
      <c r="AH36">
        <v>3</v>
      </c>
      <c r="AI36">
        <v>-1</v>
      </c>
      <c r="AJ36" t="s">
        <v>3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3">
      <c r="A37">
        <f>ROW(Source!A36)</f>
        <v>36</v>
      </c>
      <c r="B37">
        <v>58754250</v>
      </c>
      <c r="C37">
        <v>56511533</v>
      </c>
      <c r="D37">
        <v>57666792</v>
      </c>
      <c r="E37">
        <v>1</v>
      </c>
      <c r="F37">
        <v>1</v>
      </c>
      <c r="G37">
        <v>1080</v>
      </c>
      <c r="H37">
        <v>3</v>
      </c>
      <c r="I37" t="s">
        <v>281</v>
      </c>
      <c r="J37" t="s">
        <v>282</v>
      </c>
      <c r="K37" t="s">
        <v>283</v>
      </c>
      <c r="L37">
        <v>1346</v>
      </c>
      <c r="N37">
        <v>1009</v>
      </c>
      <c r="O37" t="s">
        <v>284</v>
      </c>
      <c r="P37" t="s">
        <v>284</v>
      </c>
      <c r="Q37">
        <v>1</v>
      </c>
      <c r="X37">
        <v>0.14000000000000001</v>
      </c>
      <c r="Y37">
        <v>35.090000000000003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 t="s">
        <v>3</v>
      </c>
      <c r="AG37">
        <v>0.14000000000000001</v>
      </c>
      <c r="AH37">
        <v>3</v>
      </c>
      <c r="AI37">
        <v>-1</v>
      </c>
      <c r="AJ37" t="s">
        <v>3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3">
      <c r="A38">
        <f>ROW(Source!A36)</f>
        <v>36</v>
      </c>
      <c r="B38">
        <v>58754251</v>
      </c>
      <c r="C38">
        <v>56511533</v>
      </c>
      <c r="D38">
        <v>57664910</v>
      </c>
      <c r="E38">
        <v>1</v>
      </c>
      <c r="F38">
        <v>1</v>
      </c>
      <c r="G38">
        <v>1080</v>
      </c>
      <c r="H38">
        <v>3</v>
      </c>
      <c r="I38" t="s">
        <v>285</v>
      </c>
      <c r="J38" t="s">
        <v>286</v>
      </c>
      <c r="K38" t="s">
        <v>287</v>
      </c>
      <c r="L38">
        <v>1348</v>
      </c>
      <c r="N38">
        <v>1009</v>
      </c>
      <c r="O38" t="s">
        <v>240</v>
      </c>
      <c r="P38" t="s">
        <v>240</v>
      </c>
      <c r="Q38">
        <v>1000</v>
      </c>
      <c r="X38">
        <v>6.0000000000000002E-5</v>
      </c>
      <c r="Y38">
        <v>8582.42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 t="s">
        <v>3</v>
      </c>
      <c r="AG38">
        <v>6.0000000000000002E-5</v>
      </c>
      <c r="AH38">
        <v>3</v>
      </c>
      <c r="AI38">
        <v>-1</v>
      </c>
      <c r="AJ38" t="s">
        <v>3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3">
      <c r="A39">
        <f>ROW(Source!A36)</f>
        <v>36</v>
      </c>
      <c r="B39">
        <v>58754252</v>
      </c>
      <c r="C39">
        <v>56511533</v>
      </c>
      <c r="D39">
        <v>57664914</v>
      </c>
      <c r="E39">
        <v>1</v>
      </c>
      <c r="F39">
        <v>1</v>
      </c>
      <c r="G39">
        <v>1080</v>
      </c>
      <c r="H39">
        <v>3</v>
      </c>
      <c r="I39" t="s">
        <v>288</v>
      </c>
      <c r="J39" t="s">
        <v>289</v>
      </c>
      <c r="K39" t="s">
        <v>290</v>
      </c>
      <c r="L39">
        <v>1348</v>
      </c>
      <c r="N39">
        <v>1009</v>
      </c>
      <c r="O39" t="s">
        <v>240</v>
      </c>
      <c r="P39" t="s">
        <v>240</v>
      </c>
      <c r="Q39">
        <v>1000</v>
      </c>
      <c r="X39">
        <v>1.0000000000000001E-5</v>
      </c>
      <c r="Y39">
        <v>12521.99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 t="s">
        <v>3</v>
      </c>
      <c r="AG39">
        <v>1.0000000000000001E-5</v>
      </c>
      <c r="AH39">
        <v>3</v>
      </c>
      <c r="AI39">
        <v>-1</v>
      </c>
      <c r="AJ39" t="s">
        <v>3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3">
      <c r="A40">
        <f>ROW(Source!A36)</f>
        <v>36</v>
      </c>
      <c r="B40">
        <v>58754253</v>
      </c>
      <c r="C40">
        <v>56511533</v>
      </c>
      <c r="D40">
        <v>57687786</v>
      </c>
      <c r="E40">
        <v>1</v>
      </c>
      <c r="F40">
        <v>1</v>
      </c>
      <c r="G40">
        <v>1080</v>
      </c>
      <c r="H40">
        <v>3</v>
      </c>
      <c r="I40" t="s">
        <v>291</v>
      </c>
      <c r="J40" t="s">
        <v>292</v>
      </c>
      <c r="K40" t="s">
        <v>293</v>
      </c>
      <c r="L40">
        <v>1354</v>
      </c>
      <c r="N40">
        <v>1010</v>
      </c>
      <c r="O40" t="s">
        <v>32</v>
      </c>
      <c r="P40" t="s">
        <v>32</v>
      </c>
      <c r="Q40">
        <v>1</v>
      </c>
      <c r="X40">
        <v>0.41499999999999998</v>
      </c>
      <c r="Y40">
        <v>42.42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 t="s">
        <v>3</v>
      </c>
      <c r="AG40">
        <v>0.41499999999999998</v>
      </c>
      <c r="AH40">
        <v>3</v>
      </c>
      <c r="AI40">
        <v>-1</v>
      </c>
      <c r="AJ40" t="s">
        <v>3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3">
      <c r="A41">
        <f>ROW(Source!A36)</f>
        <v>36</v>
      </c>
      <c r="B41">
        <v>58754254</v>
      </c>
      <c r="C41">
        <v>56511533</v>
      </c>
      <c r="D41">
        <v>57619133</v>
      </c>
      <c r="E41">
        <v>1080</v>
      </c>
      <c r="F41">
        <v>1</v>
      </c>
      <c r="G41">
        <v>1080</v>
      </c>
      <c r="H41">
        <v>3</v>
      </c>
      <c r="I41" t="s">
        <v>294</v>
      </c>
      <c r="J41" t="s">
        <v>3</v>
      </c>
      <c r="K41" t="s">
        <v>295</v>
      </c>
      <c r="L41">
        <v>1346</v>
      </c>
      <c r="N41">
        <v>1009</v>
      </c>
      <c r="O41" t="s">
        <v>284</v>
      </c>
      <c r="P41" t="s">
        <v>284</v>
      </c>
      <c r="Q41">
        <v>1</v>
      </c>
      <c r="X41">
        <v>0.01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 t="s">
        <v>3</v>
      </c>
      <c r="AG41">
        <v>0.01</v>
      </c>
      <c r="AH41">
        <v>3</v>
      </c>
      <c r="AI41">
        <v>-1</v>
      </c>
      <c r="AJ41" t="s">
        <v>3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3">
      <c r="A42">
        <f>ROW(Source!A37)</f>
        <v>37</v>
      </c>
      <c r="B42">
        <v>58754238</v>
      </c>
      <c r="C42">
        <v>56511533</v>
      </c>
      <c r="D42">
        <v>57621905</v>
      </c>
      <c r="E42">
        <v>1080</v>
      </c>
      <c r="F42">
        <v>1</v>
      </c>
      <c r="G42">
        <v>1080</v>
      </c>
      <c r="H42">
        <v>1</v>
      </c>
      <c r="I42" t="s">
        <v>227</v>
      </c>
      <c r="J42" t="s">
        <v>3</v>
      </c>
      <c r="K42" t="s">
        <v>228</v>
      </c>
      <c r="L42">
        <v>1191</v>
      </c>
      <c r="N42">
        <v>1013</v>
      </c>
      <c r="O42" t="s">
        <v>229</v>
      </c>
      <c r="P42" t="s">
        <v>229</v>
      </c>
      <c r="Q42">
        <v>1</v>
      </c>
      <c r="X42">
        <v>1.03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1</v>
      </c>
      <c r="AF42" t="s">
        <v>24</v>
      </c>
      <c r="AG42">
        <v>1.1330000000000002</v>
      </c>
      <c r="AH42">
        <v>3</v>
      </c>
      <c r="AI42">
        <v>-1</v>
      </c>
      <c r="AJ42" t="s">
        <v>3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3">
      <c r="A43">
        <f>ROW(Source!A37)</f>
        <v>37</v>
      </c>
      <c r="B43">
        <v>58754239</v>
      </c>
      <c r="C43">
        <v>56511533</v>
      </c>
      <c r="D43">
        <v>57695780</v>
      </c>
      <c r="E43">
        <v>1</v>
      </c>
      <c r="F43">
        <v>1</v>
      </c>
      <c r="G43">
        <v>1080</v>
      </c>
      <c r="H43">
        <v>2</v>
      </c>
      <c r="I43" t="s">
        <v>251</v>
      </c>
      <c r="J43" t="s">
        <v>252</v>
      </c>
      <c r="K43" t="s">
        <v>253</v>
      </c>
      <c r="L43">
        <v>1368</v>
      </c>
      <c r="N43">
        <v>1011</v>
      </c>
      <c r="O43" t="s">
        <v>233</v>
      </c>
      <c r="P43" t="s">
        <v>233</v>
      </c>
      <c r="Q43">
        <v>1</v>
      </c>
      <c r="X43">
        <v>0.2</v>
      </c>
      <c r="Y43">
        <v>0</v>
      </c>
      <c r="Z43">
        <v>7.11</v>
      </c>
      <c r="AA43">
        <v>0</v>
      </c>
      <c r="AB43">
        <v>0</v>
      </c>
      <c r="AC43">
        <v>0</v>
      </c>
      <c r="AD43">
        <v>1</v>
      </c>
      <c r="AE43">
        <v>0</v>
      </c>
      <c r="AF43" t="s">
        <v>24</v>
      </c>
      <c r="AG43">
        <v>0.22000000000000003</v>
      </c>
      <c r="AH43">
        <v>3</v>
      </c>
      <c r="AI43">
        <v>-1</v>
      </c>
      <c r="AJ43" t="s">
        <v>3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3">
      <c r="A44">
        <f>ROW(Source!A37)</f>
        <v>37</v>
      </c>
      <c r="B44">
        <v>58754240</v>
      </c>
      <c r="C44">
        <v>56511533</v>
      </c>
      <c r="D44">
        <v>57695812</v>
      </c>
      <c r="E44">
        <v>1</v>
      </c>
      <c r="F44">
        <v>1</v>
      </c>
      <c r="G44">
        <v>1080</v>
      </c>
      <c r="H44">
        <v>2</v>
      </c>
      <c r="I44" t="s">
        <v>254</v>
      </c>
      <c r="J44" t="s">
        <v>255</v>
      </c>
      <c r="K44" t="s">
        <v>256</v>
      </c>
      <c r="L44">
        <v>1368</v>
      </c>
      <c r="N44">
        <v>1011</v>
      </c>
      <c r="O44" t="s">
        <v>233</v>
      </c>
      <c r="P44" t="s">
        <v>233</v>
      </c>
      <c r="Q44">
        <v>1</v>
      </c>
      <c r="X44">
        <v>0.09</v>
      </c>
      <c r="Y44">
        <v>0</v>
      </c>
      <c r="Z44">
        <v>0.46</v>
      </c>
      <c r="AA44">
        <v>0</v>
      </c>
      <c r="AB44">
        <v>0</v>
      </c>
      <c r="AC44">
        <v>0</v>
      </c>
      <c r="AD44">
        <v>1</v>
      </c>
      <c r="AE44">
        <v>0</v>
      </c>
      <c r="AF44" t="s">
        <v>24</v>
      </c>
      <c r="AG44">
        <v>9.9000000000000005E-2</v>
      </c>
      <c r="AH44">
        <v>3</v>
      </c>
      <c r="AI44">
        <v>-1</v>
      </c>
      <c r="AJ44" t="s">
        <v>3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3">
      <c r="A45">
        <f>ROW(Source!A37)</f>
        <v>37</v>
      </c>
      <c r="B45">
        <v>58754241</v>
      </c>
      <c r="C45">
        <v>56511533</v>
      </c>
      <c r="D45">
        <v>57696079</v>
      </c>
      <c r="E45">
        <v>1</v>
      </c>
      <c r="F45">
        <v>1</v>
      </c>
      <c r="G45">
        <v>1080</v>
      </c>
      <c r="H45">
        <v>2</v>
      </c>
      <c r="I45" t="s">
        <v>230</v>
      </c>
      <c r="J45" t="s">
        <v>231</v>
      </c>
      <c r="K45" t="s">
        <v>232</v>
      </c>
      <c r="L45">
        <v>1368</v>
      </c>
      <c r="N45">
        <v>1011</v>
      </c>
      <c r="O45" t="s">
        <v>233</v>
      </c>
      <c r="P45" t="s">
        <v>233</v>
      </c>
      <c r="Q45">
        <v>1</v>
      </c>
      <c r="X45">
        <v>3.0000000000000001E-3</v>
      </c>
      <c r="Y45">
        <v>0</v>
      </c>
      <c r="Z45">
        <v>83.1</v>
      </c>
      <c r="AA45">
        <v>12.62</v>
      </c>
      <c r="AB45">
        <v>0</v>
      </c>
      <c r="AC45">
        <v>0</v>
      </c>
      <c r="AD45">
        <v>1</v>
      </c>
      <c r="AE45">
        <v>0</v>
      </c>
      <c r="AF45" t="s">
        <v>24</v>
      </c>
      <c r="AG45">
        <v>3.3000000000000004E-3</v>
      </c>
      <c r="AH45">
        <v>3</v>
      </c>
      <c r="AI45">
        <v>-1</v>
      </c>
      <c r="AJ45" t="s">
        <v>3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3">
      <c r="A46">
        <f>ROW(Source!A37)</f>
        <v>37</v>
      </c>
      <c r="B46">
        <v>58754242</v>
      </c>
      <c r="C46">
        <v>56511533</v>
      </c>
      <c r="D46">
        <v>57696153</v>
      </c>
      <c r="E46">
        <v>1</v>
      </c>
      <c r="F46">
        <v>1</v>
      </c>
      <c r="G46">
        <v>1080</v>
      </c>
      <c r="H46">
        <v>2</v>
      </c>
      <c r="I46" t="s">
        <v>257</v>
      </c>
      <c r="J46" t="s">
        <v>258</v>
      </c>
      <c r="K46" t="s">
        <v>259</v>
      </c>
      <c r="L46">
        <v>1368</v>
      </c>
      <c r="N46">
        <v>1011</v>
      </c>
      <c r="O46" t="s">
        <v>233</v>
      </c>
      <c r="P46" t="s">
        <v>233</v>
      </c>
      <c r="Q46">
        <v>1</v>
      </c>
      <c r="X46">
        <v>0.05</v>
      </c>
      <c r="Y46">
        <v>0</v>
      </c>
      <c r="Z46">
        <v>0.78</v>
      </c>
      <c r="AA46">
        <v>0</v>
      </c>
      <c r="AB46">
        <v>0</v>
      </c>
      <c r="AC46">
        <v>0</v>
      </c>
      <c r="AD46">
        <v>1</v>
      </c>
      <c r="AE46">
        <v>0</v>
      </c>
      <c r="AF46" t="s">
        <v>24</v>
      </c>
      <c r="AG46">
        <v>5.5000000000000007E-2</v>
      </c>
      <c r="AH46">
        <v>3</v>
      </c>
      <c r="AI46">
        <v>-1</v>
      </c>
      <c r="AJ46" t="s">
        <v>3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3">
      <c r="A47">
        <f>ROW(Source!A37)</f>
        <v>37</v>
      </c>
      <c r="B47">
        <v>58754243</v>
      </c>
      <c r="C47">
        <v>56511533</v>
      </c>
      <c r="D47">
        <v>57696169</v>
      </c>
      <c r="E47">
        <v>1</v>
      </c>
      <c r="F47">
        <v>1</v>
      </c>
      <c r="G47">
        <v>1080</v>
      </c>
      <c r="H47">
        <v>2</v>
      </c>
      <c r="I47" t="s">
        <v>260</v>
      </c>
      <c r="J47" t="s">
        <v>261</v>
      </c>
      <c r="K47" t="s">
        <v>262</v>
      </c>
      <c r="L47">
        <v>1368</v>
      </c>
      <c r="N47">
        <v>1011</v>
      </c>
      <c r="O47" t="s">
        <v>233</v>
      </c>
      <c r="P47" t="s">
        <v>233</v>
      </c>
      <c r="Q47">
        <v>1</v>
      </c>
      <c r="X47">
        <v>0.05</v>
      </c>
      <c r="Y47">
        <v>0</v>
      </c>
      <c r="Z47">
        <v>2.59</v>
      </c>
      <c r="AA47">
        <v>0</v>
      </c>
      <c r="AB47">
        <v>0</v>
      </c>
      <c r="AC47">
        <v>0</v>
      </c>
      <c r="AD47">
        <v>1</v>
      </c>
      <c r="AE47">
        <v>0</v>
      </c>
      <c r="AF47" t="s">
        <v>24</v>
      </c>
      <c r="AG47">
        <v>5.5000000000000007E-2</v>
      </c>
      <c r="AH47">
        <v>3</v>
      </c>
      <c r="AI47">
        <v>-1</v>
      </c>
      <c r="AJ47" t="s">
        <v>3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3">
      <c r="A48">
        <f>ROW(Source!A37)</f>
        <v>37</v>
      </c>
      <c r="B48">
        <v>58754244</v>
      </c>
      <c r="C48">
        <v>56511533</v>
      </c>
      <c r="D48">
        <v>57696172</v>
      </c>
      <c r="E48">
        <v>1</v>
      </c>
      <c r="F48">
        <v>1</v>
      </c>
      <c r="G48">
        <v>1080</v>
      </c>
      <c r="H48">
        <v>2</v>
      </c>
      <c r="I48" t="s">
        <v>263</v>
      </c>
      <c r="J48" t="s">
        <v>264</v>
      </c>
      <c r="K48" t="s">
        <v>265</v>
      </c>
      <c r="L48">
        <v>1368</v>
      </c>
      <c r="N48">
        <v>1011</v>
      </c>
      <c r="O48" t="s">
        <v>233</v>
      </c>
      <c r="P48" t="s">
        <v>233</v>
      </c>
      <c r="Q48">
        <v>1</v>
      </c>
      <c r="X48">
        <v>0.05</v>
      </c>
      <c r="Y48">
        <v>0</v>
      </c>
      <c r="Z48">
        <v>17.41</v>
      </c>
      <c r="AA48">
        <v>11.18</v>
      </c>
      <c r="AB48">
        <v>0</v>
      </c>
      <c r="AC48">
        <v>0</v>
      </c>
      <c r="AD48">
        <v>1</v>
      </c>
      <c r="AE48">
        <v>0</v>
      </c>
      <c r="AF48" t="s">
        <v>24</v>
      </c>
      <c r="AG48">
        <v>5.5000000000000007E-2</v>
      </c>
      <c r="AH48">
        <v>3</v>
      </c>
      <c r="AI48">
        <v>-1</v>
      </c>
      <c r="AJ48" t="s">
        <v>3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3">
      <c r="A49">
        <f>ROW(Source!A37)</f>
        <v>37</v>
      </c>
      <c r="B49">
        <v>58754245</v>
      </c>
      <c r="C49">
        <v>56511533</v>
      </c>
      <c r="D49">
        <v>57696173</v>
      </c>
      <c r="E49">
        <v>1</v>
      </c>
      <c r="F49">
        <v>1</v>
      </c>
      <c r="G49">
        <v>1080</v>
      </c>
      <c r="H49">
        <v>2</v>
      </c>
      <c r="I49" t="s">
        <v>266</v>
      </c>
      <c r="J49" t="s">
        <v>267</v>
      </c>
      <c r="K49" t="s">
        <v>268</v>
      </c>
      <c r="L49">
        <v>1368</v>
      </c>
      <c r="N49">
        <v>1011</v>
      </c>
      <c r="O49" t="s">
        <v>233</v>
      </c>
      <c r="P49" t="s">
        <v>233</v>
      </c>
      <c r="Q49">
        <v>1</v>
      </c>
      <c r="X49">
        <v>0.05</v>
      </c>
      <c r="Y49">
        <v>0</v>
      </c>
      <c r="Z49">
        <v>52.3</v>
      </c>
      <c r="AA49">
        <v>12.62</v>
      </c>
      <c r="AB49">
        <v>0</v>
      </c>
      <c r="AC49">
        <v>0</v>
      </c>
      <c r="AD49">
        <v>1</v>
      </c>
      <c r="AE49">
        <v>0</v>
      </c>
      <c r="AF49" t="s">
        <v>24</v>
      </c>
      <c r="AG49">
        <v>5.5000000000000007E-2</v>
      </c>
      <c r="AH49">
        <v>3</v>
      </c>
      <c r="AI49">
        <v>-1</v>
      </c>
      <c r="AJ49" t="s">
        <v>3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3">
      <c r="A50">
        <f>ROW(Source!A37)</f>
        <v>37</v>
      </c>
      <c r="B50">
        <v>58754246</v>
      </c>
      <c r="C50">
        <v>56511533</v>
      </c>
      <c r="D50">
        <v>57664991</v>
      </c>
      <c r="E50">
        <v>1</v>
      </c>
      <c r="F50">
        <v>1</v>
      </c>
      <c r="G50">
        <v>1080</v>
      </c>
      <c r="H50">
        <v>3</v>
      </c>
      <c r="I50" t="s">
        <v>269</v>
      </c>
      <c r="J50" t="s">
        <v>270</v>
      </c>
      <c r="K50" t="s">
        <v>271</v>
      </c>
      <c r="L50">
        <v>1348</v>
      </c>
      <c r="N50">
        <v>1009</v>
      </c>
      <c r="O50" t="s">
        <v>240</v>
      </c>
      <c r="P50" t="s">
        <v>240</v>
      </c>
      <c r="Q50">
        <v>1000</v>
      </c>
      <c r="X50">
        <v>3.0000000000000001E-3</v>
      </c>
      <c r="Y50">
        <v>7512.16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 t="s">
        <v>3</v>
      </c>
      <c r="AG50">
        <v>3.0000000000000001E-3</v>
      </c>
      <c r="AH50">
        <v>3</v>
      </c>
      <c r="AI50">
        <v>-1</v>
      </c>
      <c r="AJ50" t="s">
        <v>3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3">
      <c r="A51">
        <f>ROW(Source!A37)</f>
        <v>37</v>
      </c>
      <c r="B51">
        <v>58754247</v>
      </c>
      <c r="C51">
        <v>56511533</v>
      </c>
      <c r="D51">
        <v>57665379</v>
      </c>
      <c r="E51">
        <v>1</v>
      </c>
      <c r="F51">
        <v>1</v>
      </c>
      <c r="G51">
        <v>1080</v>
      </c>
      <c r="H51">
        <v>3</v>
      </c>
      <c r="I51" t="s">
        <v>272</v>
      </c>
      <c r="J51" t="s">
        <v>273</v>
      </c>
      <c r="K51" t="s">
        <v>274</v>
      </c>
      <c r="L51">
        <v>1348</v>
      </c>
      <c r="N51">
        <v>1009</v>
      </c>
      <c r="O51" t="s">
        <v>240</v>
      </c>
      <c r="P51" t="s">
        <v>240</v>
      </c>
      <c r="Q51">
        <v>1000</v>
      </c>
      <c r="X51">
        <v>2.1000000000000001E-4</v>
      </c>
      <c r="Y51">
        <v>7185.82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 t="s">
        <v>3</v>
      </c>
      <c r="AG51">
        <v>2.1000000000000001E-4</v>
      </c>
      <c r="AH51">
        <v>3</v>
      </c>
      <c r="AI51">
        <v>-1</v>
      </c>
      <c r="AJ51" t="s">
        <v>3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3">
      <c r="A52">
        <f>ROW(Source!A37)</f>
        <v>37</v>
      </c>
      <c r="B52">
        <v>58754248</v>
      </c>
      <c r="C52">
        <v>56511533</v>
      </c>
      <c r="D52">
        <v>57664358</v>
      </c>
      <c r="E52">
        <v>1</v>
      </c>
      <c r="F52">
        <v>1</v>
      </c>
      <c r="G52">
        <v>1080</v>
      </c>
      <c r="H52">
        <v>3</v>
      </c>
      <c r="I52" t="s">
        <v>275</v>
      </c>
      <c r="J52" t="s">
        <v>276</v>
      </c>
      <c r="K52" t="s">
        <v>277</v>
      </c>
      <c r="L52">
        <v>1348</v>
      </c>
      <c r="N52">
        <v>1009</v>
      </c>
      <c r="O52" t="s">
        <v>240</v>
      </c>
      <c r="P52" t="s">
        <v>240</v>
      </c>
      <c r="Q52">
        <v>1000</v>
      </c>
      <c r="X52">
        <v>1.1E-4</v>
      </c>
      <c r="Y52">
        <v>18653.07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 t="s">
        <v>3</v>
      </c>
      <c r="AG52">
        <v>1.1E-4</v>
      </c>
      <c r="AH52">
        <v>3</v>
      </c>
      <c r="AI52">
        <v>-1</v>
      </c>
      <c r="AJ52" t="s">
        <v>3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3">
      <c r="A53">
        <f>ROW(Source!A37)</f>
        <v>37</v>
      </c>
      <c r="B53">
        <v>58754249</v>
      </c>
      <c r="C53">
        <v>56511533</v>
      </c>
      <c r="D53">
        <v>57664418</v>
      </c>
      <c r="E53">
        <v>1</v>
      </c>
      <c r="F53">
        <v>1</v>
      </c>
      <c r="G53">
        <v>1080</v>
      </c>
      <c r="H53">
        <v>3</v>
      </c>
      <c r="I53" t="s">
        <v>278</v>
      </c>
      <c r="J53" t="s">
        <v>279</v>
      </c>
      <c r="K53" t="s">
        <v>280</v>
      </c>
      <c r="L53">
        <v>1354</v>
      </c>
      <c r="N53">
        <v>1010</v>
      </c>
      <c r="O53" t="s">
        <v>32</v>
      </c>
      <c r="P53" t="s">
        <v>32</v>
      </c>
      <c r="Q53">
        <v>1</v>
      </c>
      <c r="X53">
        <v>2</v>
      </c>
      <c r="Y53">
        <v>0.89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 t="s">
        <v>3</v>
      </c>
      <c r="AG53">
        <v>2</v>
      </c>
      <c r="AH53">
        <v>3</v>
      </c>
      <c r="AI53">
        <v>-1</v>
      </c>
      <c r="AJ53" t="s">
        <v>3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3">
      <c r="A54">
        <f>ROW(Source!A37)</f>
        <v>37</v>
      </c>
      <c r="B54">
        <v>58754250</v>
      </c>
      <c r="C54">
        <v>56511533</v>
      </c>
      <c r="D54">
        <v>57666792</v>
      </c>
      <c r="E54">
        <v>1</v>
      </c>
      <c r="F54">
        <v>1</v>
      </c>
      <c r="G54">
        <v>1080</v>
      </c>
      <c r="H54">
        <v>3</v>
      </c>
      <c r="I54" t="s">
        <v>281</v>
      </c>
      <c r="J54" t="s">
        <v>282</v>
      </c>
      <c r="K54" t="s">
        <v>283</v>
      </c>
      <c r="L54">
        <v>1346</v>
      </c>
      <c r="N54">
        <v>1009</v>
      </c>
      <c r="O54" t="s">
        <v>284</v>
      </c>
      <c r="P54" t="s">
        <v>284</v>
      </c>
      <c r="Q54">
        <v>1</v>
      </c>
      <c r="X54">
        <v>0.14000000000000001</v>
      </c>
      <c r="Y54">
        <v>35.090000000000003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 t="s">
        <v>3</v>
      </c>
      <c r="AG54">
        <v>0.14000000000000001</v>
      </c>
      <c r="AH54">
        <v>3</v>
      </c>
      <c r="AI54">
        <v>-1</v>
      </c>
      <c r="AJ54" t="s">
        <v>3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3">
      <c r="A55">
        <f>ROW(Source!A37)</f>
        <v>37</v>
      </c>
      <c r="B55">
        <v>58754251</v>
      </c>
      <c r="C55">
        <v>56511533</v>
      </c>
      <c r="D55">
        <v>57664910</v>
      </c>
      <c r="E55">
        <v>1</v>
      </c>
      <c r="F55">
        <v>1</v>
      </c>
      <c r="G55">
        <v>1080</v>
      </c>
      <c r="H55">
        <v>3</v>
      </c>
      <c r="I55" t="s">
        <v>285</v>
      </c>
      <c r="J55" t="s">
        <v>286</v>
      </c>
      <c r="K55" t="s">
        <v>287</v>
      </c>
      <c r="L55">
        <v>1348</v>
      </c>
      <c r="N55">
        <v>1009</v>
      </c>
      <c r="O55" t="s">
        <v>240</v>
      </c>
      <c r="P55" t="s">
        <v>240</v>
      </c>
      <c r="Q55">
        <v>1000</v>
      </c>
      <c r="X55">
        <v>6.0000000000000002E-5</v>
      </c>
      <c r="Y55">
        <v>8582.42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 t="s">
        <v>3</v>
      </c>
      <c r="AG55">
        <v>6.0000000000000002E-5</v>
      </c>
      <c r="AH55">
        <v>3</v>
      </c>
      <c r="AI55">
        <v>-1</v>
      </c>
      <c r="AJ55" t="s">
        <v>3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3">
      <c r="A56">
        <f>ROW(Source!A37)</f>
        <v>37</v>
      </c>
      <c r="B56">
        <v>58754252</v>
      </c>
      <c r="C56">
        <v>56511533</v>
      </c>
      <c r="D56">
        <v>57664914</v>
      </c>
      <c r="E56">
        <v>1</v>
      </c>
      <c r="F56">
        <v>1</v>
      </c>
      <c r="G56">
        <v>1080</v>
      </c>
      <c r="H56">
        <v>3</v>
      </c>
      <c r="I56" t="s">
        <v>288</v>
      </c>
      <c r="J56" t="s">
        <v>289</v>
      </c>
      <c r="K56" t="s">
        <v>290</v>
      </c>
      <c r="L56">
        <v>1348</v>
      </c>
      <c r="N56">
        <v>1009</v>
      </c>
      <c r="O56" t="s">
        <v>240</v>
      </c>
      <c r="P56" t="s">
        <v>240</v>
      </c>
      <c r="Q56">
        <v>1000</v>
      </c>
      <c r="X56">
        <v>1.0000000000000001E-5</v>
      </c>
      <c r="Y56">
        <v>12521.99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 t="s">
        <v>3</v>
      </c>
      <c r="AG56">
        <v>1.0000000000000001E-5</v>
      </c>
      <c r="AH56">
        <v>3</v>
      </c>
      <c r="AI56">
        <v>-1</v>
      </c>
      <c r="AJ56" t="s">
        <v>3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3">
      <c r="A57">
        <f>ROW(Source!A37)</f>
        <v>37</v>
      </c>
      <c r="B57">
        <v>58754253</v>
      </c>
      <c r="C57">
        <v>56511533</v>
      </c>
      <c r="D57">
        <v>57687786</v>
      </c>
      <c r="E57">
        <v>1</v>
      </c>
      <c r="F57">
        <v>1</v>
      </c>
      <c r="G57">
        <v>1080</v>
      </c>
      <c r="H57">
        <v>3</v>
      </c>
      <c r="I57" t="s">
        <v>291</v>
      </c>
      <c r="J57" t="s">
        <v>292</v>
      </c>
      <c r="K57" t="s">
        <v>293</v>
      </c>
      <c r="L57">
        <v>1354</v>
      </c>
      <c r="N57">
        <v>1010</v>
      </c>
      <c r="O57" t="s">
        <v>32</v>
      </c>
      <c r="P57" t="s">
        <v>32</v>
      </c>
      <c r="Q57">
        <v>1</v>
      </c>
      <c r="X57">
        <v>0.41499999999999998</v>
      </c>
      <c r="Y57">
        <v>42.42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 t="s">
        <v>3</v>
      </c>
      <c r="AG57">
        <v>0.41499999999999998</v>
      </c>
      <c r="AH57">
        <v>3</v>
      </c>
      <c r="AI57">
        <v>-1</v>
      </c>
      <c r="AJ57" t="s">
        <v>3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3">
      <c r="A58">
        <f>ROW(Source!A37)</f>
        <v>37</v>
      </c>
      <c r="B58">
        <v>58754254</v>
      </c>
      <c r="C58">
        <v>56511533</v>
      </c>
      <c r="D58">
        <v>57619133</v>
      </c>
      <c r="E58">
        <v>1080</v>
      </c>
      <c r="F58">
        <v>1</v>
      </c>
      <c r="G58">
        <v>1080</v>
      </c>
      <c r="H58">
        <v>3</v>
      </c>
      <c r="I58" t="s">
        <v>294</v>
      </c>
      <c r="J58" t="s">
        <v>3</v>
      </c>
      <c r="K58" t="s">
        <v>295</v>
      </c>
      <c r="L58">
        <v>1346</v>
      </c>
      <c r="N58">
        <v>1009</v>
      </c>
      <c r="O58" t="s">
        <v>284</v>
      </c>
      <c r="P58" t="s">
        <v>284</v>
      </c>
      <c r="Q58">
        <v>1</v>
      </c>
      <c r="X58">
        <v>0.01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 t="s">
        <v>3</v>
      </c>
      <c r="AG58">
        <v>0.01</v>
      </c>
      <c r="AH58">
        <v>3</v>
      </c>
      <c r="AI58">
        <v>-1</v>
      </c>
      <c r="AJ58" t="s">
        <v>3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3">
      <c r="A59">
        <f>ROW(Source!A40)</f>
        <v>40</v>
      </c>
      <c r="B59">
        <v>58754255</v>
      </c>
      <c r="C59">
        <v>56511728</v>
      </c>
      <c r="D59">
        <v>57621905</v>
      </c>
      <c r="E59">
        <v>1080</v>
      </c>
      <c r="F59">
        <v>1</v>
      </c>
      <c r="G59">
        <v>1080</v>
      </c>
      <c r="H59">
        <v>1</v>
      </c>
      <c r="I59" t="s">
        <v>227</v>
      </c>
      <c r="J59" t="s">
        <v>3</v>
      </c>
      <c r="K59" t="s">
        <v>228</v>
      </c>
      <c r="L59">
        <v>1191</v>
      </c>
      <c r="N59">
        <v>1013</v>
      </c>
      <c r="O59" t="s">
        <v>229</v>
      </c>
      <c r="P59" t="s">
        <v>229</v>
      </c>
      <c r="Q59">
        <v>1</v>
      </c>
      <c r="X59">
        <v>24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1</v>
      </c>
      <c r="AF59" t="s">
        <v>24</v>
      </c>
      <c r="AG59">
        <v>26.400000000000002</v>
      </c>
      <c r="AH59">
        <v>3</v>
      </c>
      <c r="AI59">
        <v>-1</v>
      </c>
      <c r="AJ59" t="s">
        <v>3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3">
      <c r="A60">
        <f>ROW(Source!A41)</f>
        <v>41</v>
      </c>
      <c r="B60">
        <v>58754255</v>
      </c>
      <c r="C60">
        <v>56511728</v>
      </c>
      <c r="D60">
        <v>57621905</v>
      </c>
      <c r="E60">
        <v>1080</v>
      </c>
      <c r="F60">
        <v>1</v>
      </c>
      <c r="G60">
        <v>1080</v>
      </c>
      <c r="H60">
        <v>1</v>
      </c>
      <c r="I60" t="s">
        <v>227</v>
      </c>
      <c r="J60" t="s">
        <v>3</v>
      </c>
      <c r="K60" t="s">
        <v>228</v>
      </c>
      <c r="L60">
        <v>1191</v>
      </c>
      <c r="N60">
        <v>1013</v>
      </c>
      <c r="O60" t="s">
        <v>229</v>
      </c>
      <c r="P60" t="s">
        <v>229</v>
      </c>
      <c r="Q60">
        <v>1</v>
      </c>
      <c r="X60">
        <v>24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1</v>
      </c>
      <c r="AF60" t="s">
        <v>24</v>
      </c>
      <c r="AG60">
        <v>26.400000000000002</v>
      </c>
      <c r="AH60">
        <v>3</v>
      </c>
      <c r="AI60">
        <v>-1</v>
      </c>
      <c r="AJ60" t="s">
        <v>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3">
      <c r="A61">
        <f>ROW(Source!A46)</f>
        <v>46</v>
      </c>
      <c r="B61">
        <v>58754256</v>
      </c>
      <c r="C61">
        <v>56511736</v>
      </c>
      <c r="D61">
        <v>57621905</v>
      </c>
      <c r="E61">
        <v>1080</v>
      </c>
      <c r="F61">
        <v>1</v>
      </c>
      <c r="G61">
        <v>1080</v>
      </c>
      <c r="H61">
        <v>1</v>
      </c>
      <c r="I61" t="s">
        <v>227</v>
      </c>
      <c r="J61" t="s">
        <v>3</v>
      </c>
      <c r="K61" t="s">
        <v>228</v>
      </c>
      <c r="L61">
        <v>1191</v>
      </c>
      <c r="N61">
        <v>1013</v>
      </c>
      <c r="O61" t="s">
        <v>229</v>
      </c>
      <c r="P61" t="s">
        <v>229</v>
      </c>
      <c r="Q61">
        <v>1</v>
      </c>
      <c r="X61">
        <v>5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1</v>
      </c>
      <c r="AF61" t="s">
        <v>24</v>
      </c>
      <c r="AG61">
        <v>5.5</v>
      </c>
      <c r="AH61">
        <v>3</v>
      </c>
      <c r="AI61">
        <v>-1</v>
      </c>
      <c r="AJ61" t="s">
        <v>3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3">
      <c r="A62">
        <f>ROW(Source!A46)</f>
        <v>46</v>
      </c>
      <c r="B62">
        <v>58754257</v>
      </c>
      <c r="C62">
        <v>56511736</v>
      </c>
      <c r="D62">
        <v>57696198</v>
      </c>
      <c r="E62">
        <v>1</v>
      </c>
      <c r="F62">
        <v>1</v>
      </c>
      <c r="G62">
        <v>1080</v>
      </c>
      <c r="H62">
        <v>2</v>
      </c>
      <c r="I62" t="s">
        <v>246</v>
      </c>
      <c r="J62" t="s">
        <v>247</v>
      </c>
      <c r="K62" t="s">
        <v>248</v>
      </c>
      <c r="L62">
        <v>1368</v>
      </c>
      <c r="N62">
        <v>1011</v>
      </c>
      <c r="O62" t="s">
        <v>233</v>
      </c>
      <c r="P62" t="s">
        <v>233</v>
      </c>
      <c r="Q62">
        <v>1</v>
      </c>
      <c r="X62">
        <v>0.13</v>
      </c>
      <c r="Y62">
        <v>0</v>
      </c>
      <c r="Z62">
        <v>0.8</v>
      </c>
      <c r="AA62">
        <v>0</v>
      </c>
      <c r="AB62">
        <v>0</v>
      </c>
      <c r="AC62">
        <v>0</v>
      </c>
      <c r="AD62">
        <v>1</v>
      </c>
      <c r="AE62">
        <v>0</v>
      </c>
      <c r="AF62" t="s">
        <v>24</v>
      </c>
      <c r="AG62">
        <v>0.14300000000000002</v>
      </c>
      <c r="AH62">
        <v>3</v>
      </c>
      <c r="AI62">
        <v>-1</v>
      </c>
      <c r="AJ62" t="s">
        <v>3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3">
      <c r="A63">
        <f>ROW(Source!A46)</f>
        <v>46</v>
      </c>
      <c r="B63">
        <v>58754258</v>
      </c>
      <c r="C63">
        <v>56511736</v>
      </c>
      <c r="D63">
        <v>57664418</v>
      </c>
      <c r="E63">
        <v>1</v>
      </c>
      <c r="F63">
        <v>1</v>
      </c>
      <c r="G63">
        <v>1080</v>
      </c>
      <c r="H63">
        <v>3</v>
      </c>
      <c r="I63" t="s">
        <v>278</v>
      </c>
      <c r="J63" t="s">
        <v>279</v>
      </c>
      <c r="K63" t="s">
        <v>280</v>
      </c>
      <c r="L63">
        <v>1354</v>
      </c>
      <c r="N63">
        <v>1010</v>
      </c>
      <c r="O63" t="s">
        <v>32</v>
      </c>
      <c r="P63" t="s">
        <v>32</v>
      </c>
      <c r="Q63">
        <v>1</v>
      </c>
      <c r="X63">
        <v>3</v>
      </c>
      <c r="Y63">
        <v>0.89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 t="s">
        <v>3</v>
      </c>
      <c r="AG63">
        <v>3</v>
      </c>
      <c r="AH63">
        <v>3</v>
      </c>
      <c r="AI63">
        <v>-1</v>
      </c>
      <c r="AJ63" t="s">
        <v>3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3">
      <c r="A64">
        <f>ROW(Source!A46)</f>
        <v>46</v>
      </c>
      <c r="B64">
        <v>58754259</v>
      </c>
      <c r="C64">
        <v>56511736</v>
      </c>
      <c r="D64">
        <v>57660053</v>
      </c>
      <c r="E64">
        <v>1080</v>
      </c>
      <c r="F64">
        <v>1</v>
      </c>
      <c r="G64">
        <v>1080</v>
      </c>
      <c r="H64">
        <v>3</v>
      </c>
      <c r="I64" t="s">
        <v>296</v>
      </c>
      <c r="J64" t="s">
        <v>3</v>
      </c>
      <c r="K64" t="s">
        <v>297</v>
      </c>
      <c r="L64">
        <v>1354</v>
      </c>
      <c r="N64">
        <v>1010</v>
      </c>
      <c r="O64" t="s">
        <v>32</v>
      </c>
      <c r="P64" t="s">
        <v>32</v>
      </c>
      <c r="Q64">
        <v>1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 t="s">
        <v>3</v>
      </c>
      <c r="AG64">
        <v>1</v>
      </c>
      <c r="AH64">
        <v>3</v>
      </c>
      <c r="AI64">
        <v>-1</v>
      </c>
      <c r="AJ64" t="s">
        <v>3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3">
      <c r="A65">
        <f>ROW(Source!A47)</f>
        <v>47</v>
      </c>
      <c r="B65">
        <v>58754256</v>
      </c>
      <c r="C65">
        <v>56511736</v>
      </c>
      <c r="D65">
        <v>57621905</v>
      </c>
      <c r="E65">
        <v>1080</v>
      </c>
      <c r="F65">
        <v>1</v>
      </c>
      <c r="G65">
        <v>1080</v>
      </c>
      <c r="H65">
        <v>1</v>
      </c>
      <c r="I65" t="s">
        <v>227</v>
      </c>
      <c r="J65" t="s">
        <v>3</v>
      </c>
      <c r="K65" t="s">
        <v>228</v>
      </c>
      <c r="L65">
        <v>1191</v>
      </c>
      <c r="N65">
        <v>1013</v>
      </c>
      <c r="O65" t="s">
        <v>229</v>
      </c>
      <c r="P65" t="s">
        <v>229</v>
      </c>
      <c r="Q65">
        <v>1</v>
      </c>
      <c r="X65">
        <v>5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1</v>
      </c>
      <c r="AF65" t="s">
        <v>24</v>
      </c>
      <c r="AG65">
        <v>5.5</v>
      </c>
      <c r="AH65">
        <v>3</v>
      </c>
      <c r="AI65">
        <v>-1</v>
      </c>
      <c r="AJ65" t="s">
        <v>3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3">
      <c r="A66">
        <f>ROW(Source!A47)</f>
        <v>47</v>
      </c>
      <c r="B66">
        <v>58754257</v>
      </c>
      <c r="C66">
        <v>56511736</v>
      </c>
      <c r="D66">
        <v>57696198</v>
      </c>
      <c r="E66">
        <v>1</v>
      </c>
      <c r="F66">
        <v>1</v>
      </c>
      <c r="G66">
        <v>1080</v>
      </c>
      <c r="H66">
        <v>2</v>
      </c>
      <c r="I66" t="s">
        <v>246</v>
      </c>
      <c r="J66" t="s">
        <v>247</v>
      </c>
      <c r="K66" t="s">
        <v>248</v>
      </c>
      <c r="L66">
        <v>1368</v>
      </c>
      <c r="N66">
        <v>1011</v>
      </c>
      <c r="O66" t="s">
        <v>233</v>
      </c>
      <c r="P66" t="s">
        <v>233</v>
      </c>
      <c r="Q66">
        <v>1</v>
      </c>
      <c r="X66">
        <v>0.13</v>
      </c>
      <c r="Y66">
        <v>0</v>
      </c>
      <c r="Z66">
        <v>0.8</v>
      </c>
      <c r="AA66">
        <v>0</v>
      </c>
      <c r="AB66">
        <v>0</v>
      </c>
      <c r="AC66">
        <v>0</v>
      </c>
      <c r="AD66">
        <v>1</v>
      </c>
      <c r="AE66">
        <v>0</v>
      </c>
      <c r="AF66" t="s">
        <v>24</v>
      </c>
      <c r="AG66">
        <v>0.14300000000000002</v>
      </c>
      <c r="AH66">
        <v>3</v>
      </c>
      <c r="AI66">
        <v>-1</v>
      </c>
      <c r="AJ66" t="s">
        <v>3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3">
      <c r="A67">
        <f>ROW(Source!A47)</f>
        <v>47</v>
      </c>
      <c r="B67">
        <v>58754258</v>
      </c>
      <c r="C67">
        <v>56511736</v>
      </c>
      <c r="D67">
        <v>57664418</v>
      </c>
      <c r="E67">
        <v>1</v>
      </c>
      <c r="F67">
        <v>1</v>
      </c>
      <c r="G67">
        <v>1080</v>
      </c>
      <c r="H67">
        <v>3</v>
      </c>
      <c r="I67" t="s">
        <v>278</v>
      </c>
      <c r="J67" t="s">
        <v>279</v>
      </c>
      <c r="K67" t="s">
        <v>280</v>
      </c>
      <c r="L67">
        <v>1354</v>
      </c>
      <c r="N67">
        <v>1010</v>
      </c>
      <c r="O67" t="s">
        <v>32</v>
      </c>
      <c r="P67" t="s">
        <v>32</v>
      </c>
      <c r="Q67">
        <v>1</v>
      </c>
      <c r="X67">
        <v>3</v>
      </c>
      <c r="Y67">
        <v>0.89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 t="s">
        <v>3</v>
      </c>
      <c r="AG67">
        <v>3</v>
      </c>
      <c r="AH67">
        <v>3</v>
      </c>
      <c r="AI67">
        <v>-1</v>
      </c>
      <c r="AJ67" t="s">
        <v>3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3">
      <c r="A68">
        <f>ROW(Source!A47)</f>
        <v>47</v>
      </c>
      <c r="B68">
        <v>58754259</v>
      </c>
      <c r="C68">
        <v>56511736</v>
      </c>
      <c r="D68">
        <v>57660053</v>
      </c>
      <c r="E68">
        <v>1080</v>
      </c>
      <c r="F68">
        <v>1</v>
      </c>
      <c r="G68">
        <v>1080</v>
      </c>
      <c r="H68">
        <v>3</v>
      </c>
      <c r="I68" t="s">
        <v>296</v>
      </c>
      <c r="J68" t="s">
        <v>3</v>
      </c>
      <c r="K68" t="s">
        <v>297</v>
      </c>
      <c r="L68">
        <v>1354</v>
      </c>
      <c r="N68">
        <v>1010</v>
      </c>
      <c r="O68" t="s">
        <v>32</v>
      </c>
      <c r="P68" t="s">
        <v>32</v>
      </c>
      <c r="Q68">
        <v>1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 t="s">
        <v>3</v>
      </c>
      <c r="AG68">
        <v>1</v>
      </c>
      <c r="AH68">
        <v>3</v>
      </c>
      <c r="AI68">
        <v>-1</v>
      </c>
      <c r="AJ68" t="s">
        <v>3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3">
      <c r="A69">
        <f>ROW(Source!A50)</f>
        <v>50</v>
      </c>
      <c r="B69">
        <v>58754260</v>
      </c>
      <c r="C69">
        <v>56511753</v>
      </c>
      <c r="D69">
        <v>57621905</v>
      </c>
      <c r="E69">
        <v>1080</v>
      </c>
      <c r="F69">
        <v>1</v>
      </c>
      <c r="G69">
        <v>1080</v>
      </c>
      <c r="H69">
        <v>1</v>
      </c>
      <c r="I69" t="s">
        <v>227</v>
      </c>
      <c r="J69" t="s">
        <v>3</v>
      </c>
      <c r="K69" t="s">
        <v>228</v>
      </c>
      <c r="L69">
        <v>1191</v>
      </c>
      <c r="N69">
        <v>1013</v>
      </c>
      <c r="O69" t="s">
        <v>229</v>
      </c>
      <c r="P69" t="s">
        <v>229</v>
      </c>
      <c r="Q69">
        <v>1</v>
      </c>
      <c r="X69">
        <v>14.64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1</v>
      </c>
      <c r="AF69" t="s">
        <v>24</v>
      </c>
      <c r="AG69">
        <v>16.104000000000003</v>
      </c>
      <c r="AH69">
        <v>3</v>
      </c>
      <c r="AI69">
        <v>-1</v>
      </c>
      <c r="AJ69" t="s">
        <v>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3">
      <c r="A70">
        <f>ROW(Source!A50)</f>
        <v>50</v>
      </c>
      <c r="B70">
        <v>58754261</v>
      </c>
      <c r="C70">
        <v>56511753</v>
      </c>
      <c r="D70">
        <v>57696079</v>
      </c>
      <c r="E70">
        <v>1</v>
      </c>
      <c r="F70">
        <v>1</v>
      </c>
      <c r="G70">
        <v>1080</v>
      </c>
      <c r="H70">
        <v>2</v>
      </c>
      <c r="I70" t="s">
        <v>230</v>
      </c>
      <c r="J70" t="s">
        <v>231</v>
      </c>
      <c r="K70" t="s">
        <v>232</v>
      </c>
      <c r="L70">
        <v>1368</v>
      </c>
      <c r="N70">
        <v>1011</v>
      </c>
      <c r="O70" t="s">
        <v>233</v>
      </c>
      <c r="P70" t="s">
        <v>233</v>
      </c>
      <c r="Q70">
        <v>1</v>
      </c>
      <c r="X70">
        <v>0.06</v>
      </c>
      <c r="Y70">
        <v>0</v>
      </c>
      <c r="Z70">
        <v>83.1</v>
      </c>
      <c r="AA70">
        <v>12.62</v>
      </c>
      <c r="AB70">
        <v>0</v>
      </c>
      <c r="AC70">
        <v>0</v>
      </c>
      <c r="AD70">
        <v>1</v>
      </c>
      <c r="AE70">
        <v>0</v>
      </c>
      <c r="AF70" t="s">
        <v>24</v>
      </c>
      <c r="AG70">
        <v>6.6000000000000003E-2</v>
      </c>
      <c r="AH70">
        <v>3</v>
      </c>
      <c r="AI70">
        <v>-1</v>
      </c>
      <c r="AJ70" t="s">
        <v>3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3">
      <c r="A71">
        <f>ROW(Source!A50)</f>
        <v>50</v>
      </c>
      <c r="B71">
        <v>58754262</v>
      </c>
      <c r="C71">
        <v>56511753</v>
      </c>
      <c r="D71">
        <v>57696198</v>
      </c>
      <c r="E71">
        <v>1</v>
      </c>
      <c r="F71">
        <v>1</v>
      </c>
      <c r="G71">
        <v>1080</v>
      </c>
      <c r="H71">
        <v>2</v>
      </c>
      <c r="I71" t="s">
        <v>246</v>
      </c>
      <c r="J71" t="s">
        <v>247</v>
      </c>
      <c r="K71" t="s">
        <v>248</v>
      </c>
      <c r="L71">
        <v>1368</v>
      </c>
      <c r="N71">
        <v>1011</v>
      </c>
      <c r="O71" t="s">
        <v>233</v>
      </c>
      <c r="P71" t="s">
        <v>233</v>
      </c>
      <c r="Q71">
        <v>1</v>
      </c>
      <c r="X71">
        <v>0.81</v>
      </c>
      <c r="Y71">
        <v>0</v>
      </c>
      <c r="Z71">
        <v>0.8</v>
      </c>
      <c r="AA71">
        <v>0</v>
      </c>
      <c r="AB71">
        <v>0</v>
      </c>
      <c r="AC71">
        <v>0</v>
      </c>
      <c r="AD71">
        <v>1</v>
      </c>
      <c r="AE71">
        <v>0</v>
      </c>
      <c r="AF71" t="s">
        <v>24</v>
      </c>
      <c r="AG71">
        <v>0.89100000000000013</v>
      </c>
      <c r="AH71">
        <v>3</v>
      </c>
      <c r="AI71">
        <v>-1</v>
      </c>
      <c r="AJ71" t="s">
        <v>3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3">
      <c r="A72">
        <f>ROW(Source!A50)</f>
        <v>50</v>
      </c>
      <c r="B72">
        <v>58754263</v>
      </c>
      <c r="C72">
        <v>56511753</v>
      </c>
      <c r="D72">
        <v>57696164</v>
      </c>
      <c r="E72">
        <v>1</v>
      </c>
      <c r="F72">
        <v>1</v>
      </c>
      <c r="G72">
        <v>1080</v>
      </c>
      <c r="H72">
        <v>2</v>
      </c>
      <c r="I72" t="s">
        <v>234</v>
      </c>
      <c r="J72" t="s">
        <v>235</v>
      </c>
      <c r="K72" t="s">
        <v>236</v>
      </c>
      <c r="L72">
        <v>1368</v>
      </c>
      <c r="N72">
        <v>1011</v>
      </c>
      <c r="O72" t="s">
        <v>233</v>
      </c>
      <c r="P72" t="s">
        <v>233</v>
      </c>
      <c r="Q72">
        <v>1</v>
      </c>
      <c r="X72">
        <v>0.93</v>
      </c>
      <c r="Y72">
        <v>0</v>
      </c>
      <c r="Z72">
        <v>0.47</v>
      </c>
      <c r="AA72">
        <v>0</v>
      </c>
      <c r="AB72">
        <v>0</v>
      </c>
      <c r="AC72">
        <v>0</v>
      </c>
      <c r="AD72">
        <v>1</v>
      </c>
      <c r="AE72">
        <v>0</v>
      </c>
      <c r="AF72" t="s">
        <v>24</v>
      </c>
      <c r="AG72">
        <v>1.0230000000000001</v>
      </c>
      <c r="AH72">
        <v>3</v>
      </c>
      <c r="AI72">
        <v>-1</v>
      </c>
      <c r="AJ72" t="s">
        <v>3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3">
      <c r="A73">
        <f>ROW(Source!A50)</f>
        <v>50</v>
      </c>
      <c r="B73">
        <v>58754264</v>
      </c>
      <c r="C73">
        <v>56511753</v>
      </c>
      <c r="D73">
        <v>57665961</v>
      </c>
      <c r="E73">
        <v>1</v>
      </c>
      <c r="F73">
        <v>1</v>
      </c>
      <c r="G73">
        <v>1080</v>
      </c>
      <c r="H73">
        <v>3</v>
      </c>
      <c r="I73" t="s">
        <v>237</v>
      </c>
      <c r="J73" t="s">
        <v>238</v>
      </c>
      <c r="K73" t="s">
        <v>239</v>
      </c>
      <c r="L73">
        <v>1348</v>
      </c>
      <c r="N73">
        <v>1009</v>
      </c>
      <c r="O73" t="s">
        <v>240</v>
      </c>
      <c r="P73" t="s">
        <v>240</v>
      </c>
      <c r="Q73">
        <v>1000</v>
      </c>
      <c r="X73">
        <v>1.7000000000000001E-4</v>
      </c>
      <c r="Y73">
        <v>14327.51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0</v>
      </c>
      <c r="AF73" t="s">
        <v>3</v>
      </c>
      <c r="AG73">
        <v>1.7000000000000001E-4</v>
      </c>
      <c r="AH73">
        <v>3</v>
      </c>
      <c r="AI73">
        <v>-1</v>
      </c>
      <c r="AJ73" t="s">
        <v>3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3">
      <c r="A74">
        <f>ROW(Source!A50)</f>
        <v>50</v>
      </c>
      <c r="B74">
        <v>58754265</v>
      </c>
      <c r="C74">
        <v>56511753</v>
      </c>
      <c r="D74">
        <v>57643963</v>
      </c>
      <c r="E74">
        <v>1080</v>
      </c>
      <c r="F74">
        <v>1</v>
      </c>
      <c r="G74">
        <v>1080</v>
      </c>
      <c r="H74">
        <v>3</v>
      </c>
      <c r="I74" t="s">
        <v>249</v>
      </c>
      <c r="J74" t="s">
        <v>3</v>
      </c>
      <c r="K74" t="s">
        <v>250</v>
      </c>
      <c r="L74">
        <v>1358</v>
      </c>
      <c r="N74">
        <v>1010</v>
      </c>
      <c r="O74" t="s">
        <v>42</v>
      </c>
      <c r="P74" t="s">
        <v>42</v>
      </c>
      <c r="Q74">
        <v>10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 t="s">
        <v>3</v>
      </c>
      <c r="AG74">
        <v>1</v>
      </c>
      <c r="AH74">
        <v>3</v>
      </c>
      <c r="AI74">
        <v>-1</v>
      </c>
      <c r="AJ74" t="s">
        <v>3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3">
      <c r="A75">
        <f>ROW(Source!A51)</f>
        <v>51</v>
      </c>
      <c r="B75">
        <v>58754260</v>
      </c>
      <c r="C75">
        <v>56511753</v>
      </c>
      <c r="D75">
        <v>57621905</v>
      </c>
      <c r="E75">
        <v>1080</v>
      </c>
      <c r="F75">
        <v>1</v>
      </c>
      <c r="G75">
        <v>1080</v>
      </c>
      <c r="H75">
        <v>1</v>
      </c>
      <c r="I75" t="s">
        <v>227</v>
      </c>
      <c r="J75" t="s">
        <v>3</v>
      </c>
      <c r="K75" t="s">
        <v>228</v>
      </c>
      <c r="L75">
        <v>1191</v>
      </c>
      <c r="N75">
        <v>1013</v>
      </c>
      <c r="O75" t="s">
        <v>229</v>
      </c>
      <c r="P75" t="s">
        <v>229</v>
      </c>
      <c r="Q75">
        <v>1</v>
      </c>
      <c r="X75">
        <v>14.64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1</v>
      </c>
      <c r="AF75" t="s">
        <v>24</v>
      </c>
      <c r="AG75">
        <v>16.104000000000003</v>
      </c>
      <c r="AH75">
        <v>3</v>
      </c>
      <c r="AI75">
        <v>-1</v>
      </c>
      <c r="AJ75" t="s">
        <v>3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3">
      <c r="A76">
        <f>ROW(Source!A51)</f>
        <v>51</v>
      </c>
      <c r="B76">
        <v>58754261</v>
      </c>
      <c r="C76">
        <v>56511753</v>
      </c>
      <c r="D76">
        <v>57696079</v>
      </c>
      <c r="E76">
        <v>1</v>
      </c>
      <c r="F76">
        <v>1</v>
      </c>
      <c r="G76">
        <v>1080</v>
      </c>
      <c r="H76">
        <v>2</v>
      </c>
      <c r="I76" t="s">
        <v>230</v>
      </c>
      <c r="J76" t="s">
        <v>231</v>
      </c>
      <c r="K76" t="s">
        <v>232</v>
      </c>
      <c r="L76">
        <v>1368</v>
      </c>
      <c r="N76">
        <v>1011</v>
      </c>
      <c r="O76" t="s">
        <v>233</v>
      </c>
      <c r="P76" t="s">
        <v>233</v>
      </c>
      <c r="Q76">
        <v>1</v>
      </c>
      <c r="X76">
        <v>0.06</v>
      </c>
      <c r="Y76">
        <v>0</v>
      </c>
      <c r="Z76">
        <v>83.1</v>
      </c>
      <c r="AA76">
        <v>12.62</v>
      </c>
      <c r="AB76">
        <v>0</v>
      </c>
      <c r="AC76">
        <v>0</v>
      </c>
      <c r="AD76">
        <v>1</v>
      </c>
      <c r="AE76">
        <v>0</v>
      </c>
      <c r="AF76" t="s">
        <v>24</v>
      </c>
      <c r="AG76">
        <v>6.6000000000000003E-2</v>
      </c>
      <c r="AH76">
        <v>3</v>
      </c>
      <c r="AI76">
        <v>-1</v>
      </c>
      <c r="AJ76" t="s">
        <v>3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3">
      <c r="A77">
        <f>ROW(Source!A51)</f>
        <v>51</v>
      </c>
      <c r="B77">
        <v>58754262</v>
      </c>
      <c r="C77">
        <v>56511753</v>
      </c>
      <c r="D77">
        <v>57696198</v>
      </c>
      <c r="E77">
        <v>1</v>
      </c>
      <c r="F77">
        <v>1</v>
      </c>
      <c r="G77">
        <v>1080</v>
      </c>
      <c r="H77">
        <v>2</v>
      </c>
      <c r="I77" t="s">
        <v>246</v>
      </c>
      <c r="J77" t="s">
        <v>247</v>
      </c>
      <c r="K77" t="s">
        <v>248</v>
      </c>
      <c r="L77">
        <v>1368</v>
      </c>
      <c r="N77">
        <v>1011</v>
      </c>
      <c r="O77" t="s">
        <v>233</v>
      </c>
      <c r="P77" t="s">
        <v>233</v>
      </c>
      <c r="Q77">
        <v>1</v>
      </c>
      <c r="X77">
        <v>0.81</v>
      </c>
      <c r="Y77">
        <v>0</v>
      </c>
      <c r="Z77">
        <v>0.8</v>
      </c>
      <c r="AA77">
        <v>0</v>
      </c>
      <c r="AB77">
        <v>0</v>
      </c>
      <c r="AC77">
        <v>0</v>
      </c>
      <c r="AD77">
        <v>1</v>
      </c>
      <c r="AE77">
        <v>0</v>
      </c>
      <c r="AF77" t="s">
        <v>24</v>
      </c>
      <c r="AG77">
        <v>0.89100000000000013</v>
      </c>
      <c r="AH77">
        <v>3</v>
      </c>
      <c r="AI77">
        <v>-1</v>
      </c>
      <c r="AJ77" t="s">
        <v>3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3">
      <c r="A78">
        <f>ROW(Source!A51)</f>
        <v>51</v>
      </c>
      <c r="B78">
        <v>58754263</v>
      </c>
      <c r="C78">
        <v>56511753</v>
      </c>
      <c r="D78">
        <v>57696164</v>
      </c>
      <c r="E78">
        <v>1</v>
      </c>
      <c r="F78">
        <v>1</v>
      </c>
      <c r="G78">
        <v>1080</v>
      </c>
      <c r="H78">
        <v>2</v>
      </c>
      <c r="I78" t="s">
        <v>234</v>
      </c>
      <c r="J78" t="s">
        <v>235</v>
      </c>
      <c r="K78" t="s">
        <v>236</v>
      </c>
      <c r="L78">
        <v>1368</v>
      </c>
      <c r="N78">
        <v>1011</v>
      </c>
      <c r="O78" t="s">
        <v>233</v>
      </c>
      <c r="P78" t="s">
        <v>233</v>
      </c>
      <c r="Q78">
        <v>1</v>
      </c>
      <c r="X78">
        <v>0.93</v>
      </c>
      <c r="Y78">
        <v>0</v>
      </c>
      <c r="Z78">
        <v>0.47</v>
      </c>
      <c r="AA78">
        <v>0</v>
      </c>
      <c r="AB78">
        <v>0</v>
      </c>
      <c r="AC78">
        <v>0</v>
      </c>
      <c r="AD78">
        <v>1</v>
      </c>
      <c r="AE78">
        <v>0</v>
      </c>
      <c r="AF78" t="s">
        <v>24</v>
      </c>
      <c r="AG78">
        <v>1.0230000000000001</v>
      </c>
      <c r="AH78">
        <v>3</v>
      </c>
      <c r="AI78">
        <v>-1</v>
      </c>
      <c r="AJ78" t="s">
        <v>3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3">
      <c r="A79">
        <f>ROW(Source!A51)</f>
        <v>51</v>
      </c>
      <c r="B79">
        <v>58754264</v>
      </c>
      <c r="C79">
        <v>56511753</v>
      </c>
      <c r="D79">
        <v>57665961</v>
      </c>
      <c r="E79">
        <v>1</v>
      </c>
      <c r="F79">
        <v>1</v>
      </c>
      <c r="G79">
        <v>1080</v>
      </c>
      <c r="H79">
        <v>3</v>
      </c>
      <c r="I79" t="s">
        <v>237</v>
      </c>
      <c r="J79" t="s">
        <v>238</v>
      </c>
      <c r="K79" t="s">
        <v>239</v>
      </c>
      <c r="L79">
        <v>1348</v>
      </c>
      <c r="N79">
        <v>1009</v>
      </c>
      <c r="O79" t="s">
        <v>240</v>
      </c>
      <c r="P79" t="s">
        <v>240</v>
      </c>
      <c r="Q79">
        <v>1000</v>
      </c>
      <c r="X79">
        <v>1.7000000000000001E-4</v>
      </c>
      <c r="Y79">
        <v>14327.51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 t="s">
        <v>3</v>
      </c>
      <c r="AG79">
        <v>1.7000000000000001E-4</v>
      </c>
      <c r="AH79">
        <v>3</v>
      </c>
      <c r="AI79">
        <v>-1</v>
      </c>
      <c r="AJ79" t="s">
        <v>3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3">
      <c r="A80">
        <f>ROW(Source!A51)</f>
        <v>51</v>
      </c>
      <c r="B80">
        <v>58754265</v>
      </c>
      <c r="C80">
        <v>56511753</v>
      </c>
      <c r="D80">
        <v>57643963</v>
      </c>
      <c r="E80">
        <v>1080</v>
      </c>
      <c r="F80">
        <v>1</v>
      </c>
      <c r="G80">
        <v>1080</v>
      </c>
      <c r="H80">
        <v>3</v>
      </c>
      <c r="I80" t="s">
        <v>249</v>
      </c>
      <c r="J80" t="s">
        <v>3</v>
      </c>
      <c r="K80" t="s">
        <v>250</v>
      </c>
      <c r="L80">
        <v>1358</v>
      </c>
      <c r="N80">
        <v>1010</v>
      </c>
      <c r="O80" t="s">
        <v>42</v>
      </c>
      <c r="P80" t="s">
        <v>42</v>
      </c>
      <c r="Q80">
        <v>10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 t="s">
        <v>3</v>
      </c>
      <c r="AG80">
        <v>1</v>
      </c>
      <c r="AH80">
        <v>3</v>
      </c>
      <c r="AI80">
        <v>-1</v>
      </c>
      <c r="AJ80" t="s">
        <v>3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3">
      <c r="A81">
        <f>ROW(Source!A54)</f>
        <v>54</v>
      </c>
      <c r="B81">
        <v>58754266</v>
      </c>
      <c r="C81">
        <v>56511780</v>
      </c>
      <c r="D81">
        <v>57621905</v>
      </c>
      <c r="E81">
        <v>1080</v>
      </c>
      <c r="F81">
        <v>1</v>
      </c>
      <c r="G81">
        <v>1080</v>
      </c>
      <c r="H81">
        <v>1</v>
      </c>
      <c r="I81" t="s">
        <v>227</v>
      </c>
      <c r="J81" t="s">
        <v>3</v>
      </c>
      <c r="K81" t="s">
        <v>228</v>
      </c>
      <c r="L81">
        <v>1191</v>
      </c>
      <c r="N81">
        <v>1013</v>
      </c>
      <c r="O81" t="s">
        <v>229</v>
      </c>
      <c r="P81" t="s">
        <v>229</v>
      </c>
      <c r="Q81">
        <v>1</v>
      </c>
      <c r="X81">
        <v>4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1</v>
      </c>
      <c r="AF81" t="s">
        <v>24</v>
      </c>
      <c r="AG81">
        <v>4.4000000000000004</v>
      </c>
      <c r="AH81">
        <v>3</v>
      </c>
      <c r="AI81">
        <v>-1</v>
      </c>
      <c r="AJ81" t="s">
        <v>3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3">
      <c r="A82">
        <f>ROW(Source!A54)</f>
        <v>54</v>
      </c>
      <c r="B82">
        <v>58754267</v>
      </c>
      <c r="C82">
        <v>56511780</v>
      </c>
      <c r="D82">
        <v>57696198</v>
      </c>
      <c r="E82">
        <v>1</v>
      </c>
      <c r="F82">
        <v>1</v>
      </c>
      <c r="G82">
        <v>1080</v>
      </c>
      <c r="H82">
        <v>2</v>
      </c>
      <c r="I82" t="s">
        <v>246</v>
      </c>
      <c r="J82" t="s">
        <v>247</v>
      </c>
      <c r="K82" t="s">
        <v>248</v>
      </c>
      <c r="L82">
        <v>1368</v>
      </c>
      <c r="N82">
        <v>1011</v>
      </c>
      <c r="O82" t="s">
        <v>233</v>
      </c>
      <c r="P82" t="s">
        <v>233</v>
      </c>
      <c r="Q82">
        <v>1</v>
      </c>
      <c r="X82">
        <v>0.1</v>
      </c>
      <c r="Y82">
        <v>0</v>
      </c>
      <c r="Z82">
        <v>0.8</v>
      </c>
      <c r="AA82">
        <v>0</v>
      </c>
      <c r="AB82">
        <v>0</v>
      </c>
      <c r="AC82">
        <v>0</v>
      </c>
      <c r="AD82">
        <v>1</v>
      </c>
      <c r="AE82">
        <v>0</v>
      </c>
      <c r="AF82" t="s">
        <v>24</v>
      </c>
      <c r="AG82">
        <v>0.11000000000000001</v>
      </c>
      <c r="AH82">
        <v>3</v>
      </c>
      <c r="AI82">
        <v>-1</v>
      </c>
      <c r="AJ82" t="s">
        <v>3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3">
      <c r="A83">
        <f>ROW(Source!A54)</f>
        <v>54</v>
      </c>
      <c r="B83">
        <v>58754268</v>
      </c>
      <c r="C83">
        <v>56511780</v>
      </c>
      <c r="D83">
        <v>57664418</v>
      </c>
      <c r="E83">
        <v>1</v>
      </c>
      <c r="F83">
        <v>1</v>
      </c>
      <c r="G83">
        <v>1080</v>
      </c>
      <c r="H83">
        <v>3</v>
      </c>
      <c r="I83" t="s">
        <v>278</v>
      </c>
      <c r="J83" t="s">
        <v>279</v>
      </c>
      <c r="K83" t="s">
        <v>280</v>
      </c>
      <c r="L83">
        <v>1354</v>
      </c>
      <c r="N83">
        <v>1010</v>
      </c>
      <c r="O83" t="s">
        <v>32</v>
      </c>
      <c r="P83" t="s">
        <v>32</v>
      </c>
      <c r="Q83">
        <v>1</v>
      </c>
      <c r="X83">
        <v>2</v>
      </c>
      <c r="Y83">
        <v>0.89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 t="s">
        <v>3</v>
      </c>
      <c r="AG83">
        <v>2</v>
      </c>
      <c r="AH83">
        <v>3</v>
      </c>
      <c r="AI83">
        <v>-1</v>
      </c>
      <c r="AJ83" t="s">
        <v>3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3">
      <c r="A84">
        <f>ROW(Source!A54)</f>
        <v>54</v>
      </c>
      <c r="B84">
        <v>58754269</v>
      </c>
      <c r="C84">
        <v>56511780</v>
      </c>
      <c r="D84">
        <v>57660053</v>
      </c>
      <c r="E84">
        <v>1080</v>
      </c>
      <c r="F84">
        <v>1</v>
      </c>
      <c r="G84">
        <v>1080</v>
      </c>
      <c r="H84">
        <v>3</v>
      </c>
      <c r="I84" t="s">
        <v>296</v>
      </c>
      <c r="J84" t="s">
        <v>3</v>
      </c>
      <c r="K84" t="s">
        <v>297</v>
      </c>
      <c r="L84">
        <v>1354</v>
      </c>
      <c r="N84">
        <v>1010</v>
      </c>
      <c r="O84" t="s">
        <v>32</v>
      </c>
      <c r="P84" t="s">
        <v>32</v>
      </c>
      <c r="Q84">
        <v>1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 t="s">
        <v>3</v>
      </c>
      <c r="AG84">
        <v>1</v>
      </c>
      <c r="AH84">
        <v>3</v>
      </c>
      <c r="AI84">
        <v>-1</v>
      </c>
      <c r="AJ84" t="s">
        <v>3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3">
      <c r="A85">
        <f>ROW(Source!A55)</f>
        <v>55</v>
      </c>
      <c r="B85">
        <v>58754266</v>
      </c>
      <c r="C85">
        <v>56511780</v>
      </c>
      <c r="D85">
        <v>57621905</v>
      </c>
      <c r="E85">
        <v>1080</v>
      </c>
      <c r="F85">
        <v>1</v>
      </c>
      <c r="G85">
        <v>1080</v>
      </c>
      <c r="H85">
        <v>1</v>
      </c>
      <c r="I85" t="s">
        <v>227</v>
      </c>
      <c r="J85" t="s">
        <v>3</v>
      </c>
      <c r="K85" t="s">
        <v>228</v>
      </c>
      <c r="L85">
        <v>1191</v>
      </c>
      <c r="N85">
        <v>1013</v>
      </c>
      <c r="O85" t="s">
        <v>229</v>
      </c>
      <c r="P85" t="s">
        <v>229</v>
      </c>
      <c r="Q85">
        <v>1</v>
      </c>
      <c r="X85">
        <v>4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1</v>
      </c>
      <c r="AF85" t="s">
        <v>24</v>
      </c>
      <c r="AG85">
        <v>4.4000000000000004</v>
      </c>
      <c r="AH85">
        <v>3</v>
      </c>
      <c r="AI85">
        <v>-1</v>
      </c>
      <c r="AJ85" t="s">
        <v>3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3">
      <c r="A86">
        <f>ROW(Source!A55)</f>
        <v>55</v>
      </c>
      <c r="B86">
        <v>58754267</v>
      </c>
      <c r="C86">
        <v>56511780</v>
      </c>
      <c r="D86">
        <v>57696198</v>
      </c>
      <c r="E86">
        <v>1</v>
      </c>
      <c r="F86">
        <v>1</v>
      </c>
      <c r="G86">
        <v>1080</v>
      </c>
      <c r="H86">
        <v>2</v>
      </c>
      <c r="I86" t="s">
        <v>246</v>
      </c>
      <c r="J86" t="s">
        <v>247</v>
      </c>
      <c r="K86" t="s">
        <v>248</v>
      </c>
      <c r="L86">
        <v>1368</v>
      </c>
      <c r="N86">
        <v>1011</v>
      </c>
      <c r="O86" t="s">
        <v>233</v>
      </c>
      <c r="P86" t="s">
        <v>233</v>
      </c>
      <c r="Q86">
        <v>1</v>
      </c>
      <c r="X86">
        <v>0.1</v>
      </c>
      <c r="Y86">
        <v>0</v>
      </c>
      <c r="Z86">
        <v>0.8</v>
      </c>
      <c r="AA86">
        <v>0</v>
      </c>
      <c r="AB86">
        <v>0</v>
      </c>
      <c r="AC86">
        <v>0</v>
      </c>
      <c r="AD86">
        <v>1</v>
      </c>
      <c r="AE86">
        <v>0</v>
      </c>
      <c r="AF86" t="s">
        <v>24</v>
      </c>
      <c r="AG86">
        <v>0.11000000000000001</v>
      </c>
      <c r="AH86">
        <v>3</v>
      </c>
      <c r="AI86">
        <v>-1</v>
      </c>
      <c r="AJ86" t="s">
        <v>3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3">
      <c r="A87">
        <f>ROW(Source!A55)</f>
        <v>55</v>
      </c>
      <c r="B87">
        <v>58754268</v>
      </c>
      <c r="C87">
        <v>56511780</v>
      </c>
      <c r="D87">
        <v>57664418</v>
      </c>
      <c r="E87">
        <v>1</v>
      </c>
      <c r="F87">
        <v>1</v>
      </c>
      <c r="G87">
        <v>1080</v>
      </c>
      <c r="H87">
        <v>3</v>
      </c>
      <c r="I87" t="s">
        <v>278</v>
      </c>
      <c r="J87" t="s">
        <v>279</v>
      </c>
      <c r="K87" t="s">
        <v>280</v>
      </c>
      <c r="L87">
        <v>1354</v>
      </c>
      <c r="N87">
        <v>1010</v>
      </c>
      <c r="O87" t="s">
        <v>32</v>
      </c>
      <c r="P87" t="s">
        <v>32</v>
      </c>
      <c r="Q87">
        <v>1</v>
      </c>
      <c r="X87">
        <v>2</v>
      </c>
      <c r="Y87">
        <v>0.89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 t="s">
        <v>3</v>
      </c>
      <c r="AG87">
        <v>2</v>
      </c>
      <c r="AH87">
        <v>3</v>
      </c>
      <c r="AI87">
        <v>-1</v>
      </c>
      <c r="AJ87" t="s">
        <v>3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3">
      <c r="A88">
        <f>ROW(Source!A55)</f>
        <v>55</v>
      </c>
      <c r="B88">
        <v>58754269</v>
      </c>
      <c r="C88">
        <v>56511780</v>
      </c>
      <c r="D88">
        <v>57660053</v>
      </c>
      <c r="E88">
        <v>1080</v>
      </c>
      <c r="F88">
        <v>1</v>
      </c>
      <c r="G88">
        <v>1080</v>
      </c>
      <c r="H88">
        <v>3</v>
      </c>
      <c r="I88" t="s">
        <v>296</v>
      </c>
      <c r="J88" t="s">
        <v>3</v>
      </c>
      <c r="K88" t="s">
        <v>297</v>
      </c>
      <c r="L88">
        <v>1354</v>
      </c>
      <c r="N88">
        <v>1010</v>
      </c>
      <c r="O88" t="s">
        <v>32</v>
      </c>
      <c r="P88" t="s">
        <v>32</v>
      </c>
      <c r="Q88">
        <v>1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 t="s">
        <v>3</v>
      </c>
      <c r="AG88">
        <v>1</v>
      </c>
      <c r="AH88">
        <v>3</v>
      </c>
      <c r="AI88">
        <v>-1</v>
      </c>
      <c r="AJ88" t="s">
        <v>3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3">
      <c r="A89">
        <f>ROW(Source!A58)</f>
        <v>58</v>
      </c>
      <c r="B89">
        <v>58754270</v>
      </c>
      <c r="C89">
        <v>56511797</v>
      </c>
      <c r="D89">
        <v>57621905</v>
      </c>
      <c r="E89">
        <v>1080</v>
      </c>
      <c r="F89">
        <v>1</v>
      </c>
      <c r="G89">
        <v>1080</v>
      </c>
      <c r="H89">
        <v>1</v>
      </c>
      <c r="I89" t="s">
        <v>227</v>
      </c>
      <c r="J89" t="s">
        <v>3</v>
      </c>
      <c r="K89" t="s">
        <v>228</v>
      </c>
      <c r="L89">
        <v>1191</v>
      </c>
      <c r="N89">
        <v>1013</v>
      </c>
      <c r="O89" t="s">
        <v>229</v>
      </c>
      <c r="P89" t="s">
        <v>229</v>
      </c>
      <c r="Q89">
        <v>1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1</v>
      </c>
      <c r="AF89" t="s">
        <v>24</v>
      </c>
      <c r="AG89">
        <v>1.1000000000000001</v>
      </c>
      <c r="AH89">
        <v>3</v>
      </c>
      <c r="AI89">
        <v>-1</v>
      </c>
      <c r="AJ89" t="s">
        <v>3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3">
      <c r="A90">
        <f>ROW(Source!A58)</f>
        <v>58</v>
      </c>
      <c r="B90">
        <v>58754271</v>
      </c>
      <c r="C90">
        <v>56511797</v>
      </c>
      <c r="D90">
        <v>57664872</v>
      </c>
      <c r="E90">
        <v>1</v>
      </c>
      <c r="F90">
        <v>1</v>
      </c>
      <c r="G90">
        <v>1080</v>
      </c>
      <c r="H90">
        <v>3</v>
      </c>
      <c r="I90" t="s">
        <v>298</v>
      </c>
      <c r="J90" t="s">
        <v>299</v>
      </c>
      <c r="K90" t="s">
        <v>300</v>
      </c>
      <c r="L90">
        <v>1348</v>
      </c>
      <c r="N90">
        <v>1009</v>
      </c>
      <c r="O90" t="s">
        <v>240</v>
      </c>
      <c r="P90" t="s">
        <v>240</v>
      </c>
      <c r="Q90">
        <v>1000</v>
      </c>
      <c r="X90">
        <v>1.0000000000000001E-5</v>
      </c>
      <c r="Y90">
        <v>64123.05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 t="s">
        <v>3</v>
      </c>
      <c r="AG90">
        <v>1.0000000000000001E-5</v>
      </c>
      <c r="AH90">
        <v>3</v>
      </c>
      <c r="AI90">
        <v>-1</v>
      </c>
      <c r="AJ90" t="s">
        <v>3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3">
      <c r="A91">
        <f>ROW(Source!A58)</f>
        <v>58</v>
      </c>
      <c r="B91">
        <v>58754272</v>
      </c>
      <c r="C91">
        <v>56511797</v>
      </c>
      <c r="D91">
        <v>57693812</v>
      </c>
      <c r="E91">
        <v>1</v>
      </c>
      <c r="F91">
        <v>1</v>
      </c>
      <c r="G91">
        <v>1080</v>
      </c>
      <c r="H91">
        <v>3</v>
      </c>
      <c r="I91" t="s">
        <v>301</v>
      </c>
      <c r="J91" t="s">
        <v>302</v>
      </c>
      <c r="K91" t="s">
        <v>303</v>
      </c>
      <c r="L91">
        <v>1303</v>
      </c>
      <c r="N91">
        <v>1003</v>
      </c>
      <c r="O91" t="s">
        <v>181</v>
      </c>
      <c r="P91" t="s">
        <v>181</v>
      </c>
      <c r="Q91">
        <v>1000</v>
      </c>
      <c r="X91">
        <v>2E-3</v>
      </c>
      <c r="Y91">
        <v>516.63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 t="s">
        <v>3</v>
      </c>
      <c r="AG91">
        <v>2E-3</v>
      </c>
      <c r="AH91">
        <v>3</v>
      </c>
      <c r="AI91">
        <v>-1</v>
      </c>
      <c r="AJ91" t="s">
        <v>3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3">
      <c r="A92">
        <f>ROW(Source!A58)</f>
        <v>58</v>
      </c>
      <c r="B92">
        <v>58754273</v>
      </c>
      <c r="C92">
        <v>56511797</v>
      </c>
      <c r="D92">
        <v>57634361</v>
      </c>
      <c r="E92">
        <v>1080</v>
      </c>
      <c r="F92">
        <v>1</v>
      </c>
      <c r="G92">
        <v>1080</v>
      </c>
      <c r="H92">
        <v>3</v>
      </c>
      <c r="I92" t="s">
        <v>304</v>
      </c>
      <c r="J92" t="s">
        <v>3</v>
      </c>
      <c r="K92" t="s">
        <v>305</v>
      </c>
      <c r="L92">
        <v>1354</v>
      </c>
      <c r="N92">
        <v>1010</v>
      </c>
      <c r="O92" t="s">
        <v>32</v>
      </c>
      <c r="P92" t="s">
        <v>32</v>
      </c>
      <c r="Q92">
        <v>1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 t="s">
        <v>3</v>
      </c>
      <c r="AG92">
        <v>1</v>
      </c>
      <c r="AH92">
        <v>3</v>
      </c>
      <c r="AI92">
        <v>-1</v>
      </c>
      <c r="AJ92" t="s">
        <v>3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3">
      <c r="A93">
        <f>ROW(Source!A59)</f>
        <v>59</v>
      </c>
      <c r="B93">
        <v>58754270</v>
      </c>
      <c r="C93">
        <v>56511797</v>
      </c>
      <c r="D93">
        <v>57621905</v>
      </c>
      <c r="E93">
        <v>1080</v>
      </c>
      <c r="F93">
        <v>1</v>
      </c>
      <c r="G93">
        <v>1080</v>
      </c>
      <c r="H93">
        <v>1</v>
      </c>
      <c r="I93" t="s">
        <v>227</v>
      </c>
      <c r="J93" t="s">
        <v>3</v>
      </c>
      <c r="K93" t="s">
        <v>228</v>
      </c>
      <c r="L93">
        <v>1191</v>
      </c>
      <c r="N93">
        <v>1013</v>
      </c>
      <c r="O93" t="s">
        <v>229</v>
      </c>
      <c r="P93" t="s">
        <v>229</v>
      </c>
      <c r="Q93">
        <v>1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1</v>
      </c>
      <c r="AF93" t="s">
        <v>24</v>
      </c>
      <c r="AG93">
        <v>1.1000000000000001</v>
      </c>
      <c r="AH93">
        <v>3</v>
      </c>
      <c r="AI93">
        <v>-1</v>
      </c>
      <c r="AJ93" t="s">
        <v>3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3">
      <c r="A94">
        <f>ROW(Source!A59)</f>
        <v>59</v>
      </c>
      <c r="B94">
        <v>58754271</v>
      </c>
      <c r="C94">
        <v>56511797</v>
      </c>
      <c r="D94">
        <v>57664872</v>
      </c>
      <c r="E94">
        <v>1</v>
      </c>
      <c r="F94">
        <v>1</v>
      </c>
      <c r="G94">
        <v>1080</v>
      </c>
      <c r="H94">
        <v>3</v>
      </c>
      <c r="I94" t="s">
        <v>298</v>
      </c>
      <c r="J94" t="s">
        <v>299</v>
      </c>
      <c r="K94" t="s">
        <v>300</v>
      </c>
      <c r="L94">
        <v>1348</v>
      </c>
      <c r="N94">
        <v>1009</v>
      </c>
      <c r="O94" t="s">
        <v>240</v>
      </c>
      <c r="P94" t="s">
        <v>240</v>
      </c>
      <c r="Q94">
        <v>1000</v>
      </c>
      <c r="X94">
        <v>1.0000000000000001E-5</v>
      </c>
      <c r="Y94">
        <v>64123.05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 t="s">
        <v>3</v>
      </c>
      <c r="AG94">
        <v>1.0000000000000001E-5</v>
      </c>
      <c r="AH94">
        <v>3</v>
      </c>
      <c r="AI94">
        <v>-1</v>
      </c>
      <c r="AJ94" t="s">
        <v>3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3">
      <c r="A95">
        <f>ROW(Source!A59)</f>
        <v>59</v>
      </c>
      <c r="B95">
        <v>58754272</v>
      </c>
      <c r="C95">
        <v>56511797</v>
      </c>
      <c r="D95">
        <v>57693812</v>
      </c>
      <c r="E95">
        <v>1</v>
      </c>
      <c r="F95">
        <v>1</v>
      </c>
      <c r="G95">
        <v>1080</v>
      </c>
      <c r="H95">
        <v>3</v>
      </c>
      <c r="I95" t="s">
        <v>301</v>
      </c>
      <c r="J95" t="s">
        <v>302</v>
      </c>
      <c r="K95" t="s">
        <v>303</v>
      </c>
      <c r="L95">
        <v>1303</v>
      </c>
      <c r="N95">
        <v>1003</v>
      </c>
      <c r="O95" t="s">
        <v>181</v>
      </c>
      <c r="P95" t="s">
        <v>181</v>
      </c>
      <c r="Q95">
        <v>1000</v>
      </c>
      <c r="X95">
        <v>2E-3</v>
      </c>
      <c r="Y95">
        <v>516.63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 t="s">
        <v>3</v>
      </c>
      <c r="AG95">
        <v>2E-3</v>
      </c>
      <c r="AH95">
        <v>3</v>
      </c>
      <c r="AI95">
        <v>-1</v>
      </c>
      <c r="AJ95" t="s">
        <v>3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3">
      <c r="A96">
        <f>ROW(Source!A59)</f>
        <v>59</v>
      </c>
      <c r="B96">
        <v>58754273</v>
      </c>
      <c r="C96">
        <v>56511797</v>
      </c>
      <c r="D96">
        <v>57634361</v>
      </c>
      <c r="E96">
        <v>1080</v>
      </c>
      <c r="F96">
        <v>1</v>
      </c>
      <c r="G96">
        <v>1080</v>
      </c>
      <c r="H96">
        <v>3</v>
      </c>
      <c r="I96" t="s">
        <v>304</v>
      </c>
      <c r="J96" t="s">
        <v>3</v>
      </c>
      <c r="K96" t="s">
        <v>305</v>
      </c>
      <c r="L96">
        <v>1354</v>
      </c>
      <c r="N96">
        <v>1010</v>
      </c>
      <c r="O96" t="s">
        <v>32</v>
      </c>
      <c r="P96" t="s">
        <v>32</v>
      </c>
      <c r="Q96">
        <v>1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 t="s">
        <v>3</v>
      </c>
      <c r="AG96">
        <v>1</v>
      </c>
      <c r="AH96">
        <v>3</v>
      </c>
      <c r="AI96">
        <v>-1</v>
      </c>
      <c r="AJ96" t="s">
        <v>3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3">
      <c r="A97">
        <f>ROW(Source!A97)</f>
        <v>97</v>
      </c>
      <c r="B97">
        <v>58754274</v>
      </c>
      <c r="C97">
        <v>58312412</v>
      </c>
      <c r="D97">
        <v>57621905</v>
      </c>
      <c r="E97">
        <v>1080</v>
      </c>
      <c r="F97">
        <v>1</v>
      </c>
      <c r="G97">
        <v>1080</v>
      </c>
      <c r="H97">
        <v>1</v>
      </c>
      <c r="I97" t="s">
        <v>227</v>
      </c>
      <c r="J97" t="s">
        <v>3</v>
      </c>
      <c r="K97" t="s">
        <v>228</v>
      </c>
      <c r="L97">
        <v>1191</v>
      </c>
      <c r="N97">
        <v>1013</v>
      </c>
      <c r="O97" t="s">
        <v>229</v>
      </c>
      <c r="P97" t="s">
        <v>229</v>
      </c>
      <c r="Q97">
        <v>1</v>
      </c>
      <c r="X97">
        <v>16.600000000000001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1</v>
      </c>
      <c r="AF97" t="s">
        <v>24</v>
      </c>
      <c r="AG97">
        <v>18.260000000000002</v>
      </c>
      <c r="AH97">
        <v>3</v>
      </c>
      <c r="AI97">
        <v>-1</v>
      </c>
      <c r="AJ97" t="s">
        <v>3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3">
      <c r="A98">
        <f>ROW(Source!A97)</f>
        <v>97</v>
      </c>
      <c r="B98">
        <v>58754275</v>
      </c>
      <c r="C98">
        <v>58312412</v>
      </c>
      <c r="D98">
        <v>57696131</v>
      </c>
      <c r="E98">
        <v>1</v>
      </c>
      <c r="F98">
        <v>1</v>
      </c>
      <c r="G98">
        <v>1080</v>
      </c>
      <c r="H98">
        <v>2</v>
      </c>
      <c r="I98" t="s">
        <v>306</v>
      </c>
      <c r="J98" t="s">
        <v>307</v>
      </c>
      <c r="K98" t="s">
        <v>308</v>
      </c>
      <c r="L98">
        <v>1368</v>
      </c>
      <c r="N98">
        <v>1011</v>
      </c>
      <c r="O98" t="s">
        <v>233</v>
      </c>
      <c r="P98" t="s">
        <v>233</v>
      </c>
      <c r="Q98">
        <v>1</v>
      </c>
      <c r="X98">
        <v>1.1499999999999999</v>
      </c>
      <c r="Y98">
        <v>0</v>
      </c>
      <c r="Z98">
        <v>0.77</v>
      </c>
      <c r="AA98">
        <v>0</v>
      </c>
      <c r="AB98">
        <v>0</v>
      </c>
      <c r="AC98">
        <v>0</v>
      </c>
      <c r="AD98">
        <v>1</v>
      </c>
      <c r="AE98">
        <v>0</v>
      </c>
      <c r="AF98" t="s">
        <v>24</v>
      </c>
      <c r="AG98">
        <v>1.2649999999999999</v>
      </c>
      <c r="AH98">
        <v>3</v>
      </c>
      <c r="AI98">
        <v>-1</v>
      </c>
      <c r="AJ98" t="s">
        <v>3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3">
      <c r="A99">
        <f>ROW(Source!A97)</f>
        <v>97</v>
      </c>
      <c r="B99">
        <v>58754276</v>
      </c>
      <c r="C99">
        <v>58312412</v>
      </c>
      <c r="D99">
        <v>57696164</v>
      </c>
      <c r="E99">
        <v>1</v>
      </c>
      <c r="F99">
        <v>1</v>
      </c>
      <c r="G99">
        <v>1080</v>
      </c>
      <c r="H99">
        <v>2</v>
      </c>
      <c r="I99" t="s">
        <v>234</v>
      </c>
      <c r="J99" t="s">
        <v>235</v>
      </c>
      <c r="K99" t="s">
        <v>236</v>
      </c>
      <c r="L99">
        <v>1368</v>
      </c>
      <c r="N99">
        <v>1011</v>
      </c>
      <c r="O99" t="s">
        <v>233</v>
      </c>
      <c r="P99" t="s">
        <v>233</v>
      </c>
      <c r="Q99">
        <v>1</v>
      </c>
      <c r="X99">
        <v>1.8</v>
      </c>
      <c r="Y99">
        <v>0</v>
      </c>
      <c r="Z99">
        <v>0.47</v>
      </c>
      <c r="AA99">
        <v>0</v>
      </c>
      <c r="AB99">
        <v>0</v>
      </c>
      <c r="AC99">
        <v>0</v>
      </c>
      <c r="AD99">
        <v>1</v>
      </c>
      <c r="AE99">
        <v>0</v>
      </c>
      <c r="AF99" t="s">
        <v>24</v>
      </c>
      <c r="AG99">
        <v>1.9800000000000002</v>
      </c>
      <c r="AH99">
        <v>3</v>
      </c>
      <c r="AI99">
        <v>-1</v>
      </c>
      <c r="AJ99" t="s">
        <v>3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3">
      <c r="A100">
        <f>ROW(Source!A97)</f>
        <v>97</v>
      </c>
      <c r="B100">
        <v>58754277</v>
      </c>
      <c r="C100">
        <v>58312412</v>
      </c>
      <c r="D100">
        <v>57666039</v>
      </c>
      <c r="E100">
        <v>1</v>
      </c>
      <c r="F100">
        <v>1</v>
      </c>
      <c r="G100">
        <v>1080</v>
      </c>
      <c r="H100">
        <v>3</v>
      </c>
      <c r="I100" t="s">
        <v>309</v>
      </c>
      <c r="J100" t="s">
        <v>310</v>
      </c>
      <c r="K100" t="s">
        <v>311</v>
      </c>
      <c r="L100">
        <v>1348</v>
      </c>
      <c r="N100">
        <v>1009</v>
      </c>
      <c r="O100" t="s">
        <v>240</v>
      </c>
      <c r="P100" t="s">
        <v>240</v>
      </c>
      <c r="Q100">
        <v>1000</v>
      </c>
      <c r="X100">
        <v>1E-3</v>
      </c>
      <c r="Y100">
        <v>58463.58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 t="s">
        <v>3</v>
      </c>
      <c r="AG100">
        <v>1E-3</v>
      </c>
      <c r="AH100">
        <v>3</v>
      </c>
      <c r="AI100">
        <v>-1</v>
      </c>
      <c r="AJ100" t="s">
        <v>3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3">
      <c r="A101">
        <f>ROW(Source!A97)</f>
        <v>97</v>
      </c>
      <c r="B101">
        <v>58754278</v>
      </c>
      <c r="C101">
        <v>58312412</v>
      </c>
      <c r="D101">
        <v>57666871</v>
      </c>
      <c r="E101">
        <v>1</v>
      </c>
      <c r="F101">
        <v>1</v>
      </c>
      <c r="G101">
        <v>1080</v>
      </c>
      <c r="H101">
        <v>3</v>
      </c>
      <c r="I101" t="s">
        <v>312</v>
      </c>
      <c r="J101" t="s">
        <v>313</v>
      </c>
      <c r="K101" t="s">
        <v>314</v>
      </c>
      <c r="L101">
        <v>1355</v>
      </c>
      <c r="N101">
        <v>1010</v>
      </c>
      <c r="O101" t="s">
        <v>172</v>
      </c>
      <c r="P101" t="s">
        <v>172</v>
      </c>
      <c r="Q101">
        <v>100</v>
      </c>
      <c r="X101">
        <v>2.1419999999999999</v>
      </c>
      <c r="Y101">
        <v>10.6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 t="s">
        <v>3</v>
      </c>
      <c r="AG101">
        <v>2.1419999999999999</v>
      </c>
      <c r="AH101">
        <v>3</v>
      </c>
      <c r="AI101">
        <v>-1</v>
      </c>
      <c r="AJ101" t="s">
        <v>3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3">
      <c r="A102">
        <f>ROW(Source!A97)</f>
        <v>97</v>
      </c>
      <c r="B102">
        <v>58754279</v>
      </c>
      <c r="C102">
        <v>58312412</v>
      </c>
      <c r="D102">
        <v>57688144</v>
      </c>
      <c r="E102">
        <v>1</v>
      </c>
      <c r="F102">
        <v>1</v>
      </c>
      <c r="G102">
        <v>1080</v>
      </c>
      <c r="H102">
        <v>3</v>
      </c>
      <c r="I102" t="s">
        <v>315</v>
      </c>
      <c r="J102" t="s">
        <v>316</v>
      </c>
      <c r="K102" t="s">
        <v>317</v>
      </c>
      <c r="L102">
        <v>1356</v>
      </c>
      <c r="N102">
        <v>1010</v>
      </c>
      <c r="O102" t="s">
        <v>318</v>
      </c>
      <c r="P102" t="s">
        <v>318</v>
      </c>
      <c r="Q102">
        <v>1000</v>
      </c>
      <c r="X102">
        <v>1.7000000000000001E-2</v>
      </c>
      <c r="Y102">
        <v>226.66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 t="s">
        <v>3</v>
      </c>
      <c r="AG102">
        <v>1.7000000000000001E-2</v>
      </c>
      <c r="AH102">
        <v>3</v>
      </c>
      <c r="AI102">
        <v>-1</v>
      </c>
      <c r="AJ102" t="s">
        <v>3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3">
      <c r="A103">
        <f>ROW(Source!A97)</f>
        <v>97</v>
      </c>
      <c r="B103">
        <v>58754280</v>
      </c>
      <c r="C103">
        <v>58312412</v>
      </c>
      <c r="D103">
        <v>57687918</v>
      </c>
      <c r="E103">
        <v>1</v>
      </c>
      <c r="F103">
        <v>1</v>
      </c>
      <c r="G103">
        <v>1080</v>
      </c>
      <c r="H103">
        <v>3</v>
      </c>
      <c r="I103" t="s">
        <v>319</v>
      </c>
      <c r="J103" t="s">
        <v>320</v>
      </c>
      <c r="K103" t="s">
        <v>321</v>
      </c>
      <c r="L103">
        <v>1355</v>
      </c>
      <c r="N103">
        <v>1010</v>
      </c>
      <c r="O103" t="s">
        <v>172</v>
      </c>
      <c r="P103" t="s">
        <v>172</v>
      </c>
      <c r="Q103">
        <v>100</v>
      </c>
      <c r="X103">
        <v>0.17</v>
      </c>
      <c r="Y103">
        <v>26.71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0</v>
      </c>
      <c r="AF103" t="s">
        <v>3</v>
      </c>
      <c r="AG103">
        <v>0.17</v>
      </c>
      <c r="AH103">
        <v>3</v>
      </c>
      <c r="AI103">
        <v>-1</v>
      </c>
      <c r="AJ103" t="s">
        <v>3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3">
      <c r="A104">
        <f>ROW(Source!A97)</f>
        <v>97</v>
      </c>
      <c r="B104">
        <v>58754281</v>
      </c>
      <c r="C104">
        <v>58312412</v>
      </c>
      <c r="D104">
        <v>57674782</v>
      </c>
      <c r="E104">
        <v>1</v>
      </c>
      <c r="F104">
        <v>1</v>
      </c>
      <c r="G104">
        <v>1080</v>
      </c>
      <c r="H104">
        <v>3</v>
      </c>
      <c r="I104" t="s">
        <v>322</v>
      </c>
      <c r="J104" t="s">
        <v>323</v>
      </c>
      <c r="K104" t="s">
        <v>324</v>
      </c>
      <c r="L104">
        <v>1354</v>
      </c>
      <c r="N104">
        <v>1010</v>
      </c>
      <c r="O104" t="s">
        <v>32</v>
      </c>
      <c r="P104" t="s">
        <v>32</v>
      </c>
      <c r="Q104">
        <v>1</v>
      </c>
      <c r="X104">
        <v>0.161</v>
      </c>
      <c r="Y104">
        <v>14.56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 t="s">
        <v>3</v>
      </c>
      <c r="AG104">
        <v>0.161</v>
      </c>
      <c r="AH104">
        <v>3</v>
      </c>
      <c r="AI104">
        <v>-1</v>
      </c>
      <c r="AJ104" t="s">
        <v>3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3">
      <c r="A105">
        <f>ROW(Source!A97)</f>
        <v>97</v>
      </c>
      <c r="B105">
        <v>58754282</v>
      </c>
      <c r="C105">
        <v>58312412</v>
      </c>
      <c r="D105">
        <v>57631310</v>
      </c>
      <c r="E105">
        <v>1080</v>
      </c>
      <c r="F105">
        <v>1</v>
      </c>
      <c r="G105">
        <v>1080</v>
      </c>
      <c r="H105">
        <v>3</v>
      </c>
      <c r="I105" t="s">
        <v>325</v>
      </c>
      <c r="J105" t="s">
        <v>3</v>
      </c>
      <c r="K105" t="s">
        <v>326</v>
      </c>
      <c r="L105">
        <v>1301</v>
      </c>
      <c r="N105">
        <v>1003</v>
      </c>
      <c r="O105" t="s">
        <v>163</v>
      </c>
      <c r="P105" t="s">
        <v>163</v>
      </c>
      <c r="Q105">
        <v>1</v>
      </c>
      <c r="X105">
        <v>102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 t="s">
        <v>3</v>
      </c>
      <c r="AG105">
        <v>102</v>
      </c>
      <c r="AH105">
        <v>3</v>
      </c>
      <c r="AI105">
        <v>-1</v>
      </c>
      <c r="AJ105" t="s">
        <v>3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3">
      <c r="A106">
        <f>ROW(Source!A97)</f>
        <v>97</v>
      </c>
      <c r="B106">
        <v>58754283</v>
      </c>
      <c r="C106">
        <v>58312412</v>
      </c>
      <c r="D106">
        <v>57635045</v>
      </c>
      <c r="E106">
        <v>1080</v>
      </c>
      <c r="F106">
        <v>1</v>
      </c>
      <c r="G106">
        <v>1080</v>
      </c>
      <c r="H106">
        <v>3</v>
      </c>
      <c r="I106" t="s">
        <v>327</v>
      </c>
      <c r="J106" t="s">
        <v>3</v>
      </c>
      <c r="K106" t="s">
        <v>328</v>
      </c>
      <c r="L106">
        <v>1355</v>
      </c>
      <c r="N106">
        <v>1010</v>
      </c>
      <c r="O106" t="s">
        <v>172</v>
      </c>
      <c r="P106" t="s">
        <v>172</v>
      </c>
      <c r="Q106">
        <v>100</v>
      </c>
      <c r="X106">
        <v>2.1640000000000001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3</v>
      </c>
      <c r="AG106">
        <v>2.1640000000000001</v>
      </c>
      <c r="AH106">
        <v>3</v>
      </c>
      <c r="AI106">
        <v>-1</v>
      </c>
      <c r="AJ106" t="s">
        <v>3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3">
      <c r="A107">
        <f>ROW(Source!A97)</f>
        <v>97</v>
      </c>
      <c r="B107">
        <v>58754284</v>
      </c>
      <c r="C107">
        <v>58312412</v>
      </c>
      <c r="D107">
        <v>57641916</v>
      </c>
      <c r="E107">
        <v>1080</v>
      </c>
      <c r="F107">
        <v>1</v>
      </c>
      <c r="G107">
        <v>1080</v>
      </c>
      <c r="H107">
        <v>3</v>
      </c>
      <c r="I107" t="s">
        <v>329</v>
      </c>
      <c r="J107" t="s">
        <v>3</v>
      </c>
      <c r="K107" t="s">
        <v>330</v>
      </c>
      <c r="L107">
        <v>1303</v>
      </c>
      <c r="N107">
        <v>1003</v>
      </c>
      <c r="O107" t="s">
        <v>181</v>
      </c>
      <c r="P107" t="s">
        <v>181</v>
      </c>
      <c r="Q107">
        <v>1000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3</v>
      </c>
      <c r="AG107">
        <v>0</v>
      </c>
      <c r="AH107">
        <v>3</v>
      </c>
      <c r="AI107">
        <v>-1</v>
      </c>
      <c r="AJ107" t="s">
        <v>3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3">
      <c r="A108">
        <f>ROW(Source!A98)</f>
        <v>98</v>
      </c>
      <c r="B108">
        <v>58754274</v>
      </c>
      <c r="C108">
        <v>58312412</v>
      </c>
      <c r="D108">
        <v>57621905</v>
      </c>
      <c r="E108">
        <v>1080</v>
      </c>
      <c r="F108">
        <v>1</v>
      </c>
      <c r="G108">
        <v>1080</v>
      </c>
      <c r="H108">
        <v>1</v>
      </c>
      <c r="I108" t="s">
        <v>227</v>
      </c>
      <c r="J108" t="s">
        <v>3</v>
      </c>
      <c r="K108" t="s">
        <v>228</v>
      </c>
      <c r="L108">
        <v>1191</v>
      </c>
      <c r="N108">
        <v>1013</v>
      </c>
      <c r="O108" t="s">
        <v>229</v>
      </c>
      <c r="P108" t="s">
        <v>229</v>
      </c>
      <c r="Q108">
        <v>1</v>
      </c>
      <c r="X108">
        <v>16.600000000000001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1</v>
      </c>
      <c r="AF108" t="s">
        <v>24</v>
      </c>
      <c r="AG108">
        <v>18.260000000000002</v>
      </c>
      <c r="AH108">
        <v>3</v>
      </c>
      <c r="AI108">
        <v>-1</v>
      </c>
      <c r="AJ108" t="s">
        <v>3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3">
      <c r="A109">
        <f>ROW(Source!A98)</f>
        <v>98</v>
      </c>
      <c r="B109">
        <v>58754275</v>
      </c>
      <c r="C109">
        <v>58312412</v>
      </c>
      <c r="D109">
        <v>57696131</v>
      </c>
      <c r="E109">
        <v>1</v>
      </c>
      <c r="F109">
        <v>1</v>
      </c>
      <c r="G109">
        <v>1080</v>
      </c>
      <c r="H109">
        <v>2</v>
      </c>
      <c r="I109" t="s">
        <v>306</v>
      </c>
      <c r="J109" t="s">
        <v>307</v>
      </c>
      <c r="K109" t="s">
        <v>308</v>
      </c>
      <c r="L109">
        <v>1368</v>
      </c>
      <c r="N109">
        <v>1011</v>
      </c>
      <c r="O109" t="s">
        <v>233</v>
      </c>
      <c r="P109" t="s">
        <v>233</v>
      </c>
      <c r="Q109">
        <v>1</v>
      </c>
      <c r="X109">
        <v>1.1499999999999999</v>
      </c>
      <c r="Y109">
        <v>0</v>
      </c>
      <c r="Z109">
        <v>0.77</v>
      </c>
      <c r="AA109">
        <v>0</v>
      </c>
      <c r="AB109">
        <v>0</v>
      </c>
      <c r="AC109">
        <v>0</v>
      </c>
      <c r="AD109">
        <v>1</v>
      </c>
      <c r="AE109">
        <v>0</v>
      </c>
      <c r="AF109" t="s">
        <v>24</v>
      </c>
      <c r="AG109">
        <v>1.2649999999999999</v>
      </c>
      <c r="AH109">
        <v>3</v>
      </c>
      <c r="AI109">
        <v>-1</v>
      </c>
      <c r="AJ109" t="s">
        <v>3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3">
      <c r="A110">
        <f>ROW(Source!A98)</f>
        <v>98</v>
      </c>
      <c r="B110">
        <v>58754276</v>
      </c>
      <c r="C110">
        <v>58312412</v>
      </c>
      <c r="D110">
        <v>57696164</v>
      </c>
      <c r="E110">
        <v>1</v>
      </c>
      <c r="F110">
        <v>1</v>
      </c>
      <c r="G110">
        <v>1080</v>
      </c>
      <c r="H110">
        <v>2</v>
      </c>
      <c r="I110" t="s">
        <v>234</v>
      </c>
      <c r="J110" t="s">
        <v>235</v>
      </c>
      <c r="K110" t="s">
        <v>236</v>
      </c>
      <c r="L110">
        <v>1368</v>
      </c>
      <c r="N110">
        <v>1011</v>
      </c>
      <c r="O110" t="s">
        <v>233</v>
      </c>
      <c r="P110" t="s">
        <v>233</v>
      </c>
      <c r="Q110">
        <v>1</v>
      </c>
      <c r="X110">
        <v>1.8</v>
      </c>
      <c r="Y110">
        <v>0</v>
      </c>
      <c r="Z110">
        <v>0.47</v>
      </c>
      <c r="AA110">
        <v>0</v>
      </c>
      <c r="AB110">
        <v>0</v>
      </c>
      <c r="AC110">
        <v>0</v>
      </c>
      <c r="AD110">
        <v>1</v>
      </c>
      <c r="AE110">
        <v>0</v>
      </c>
      <c r="AF110" t="s">
        <v>24</v>
      </c>
      <c r="AG110">
        <v>1.9800000000000002</v>
      </c>
      <c r="AH110">
        <v>3</v>
      </c>
      <c r="AI110">
        <v>-1</v>
      </c>
      <c r="AJ110" t="s">
        <v>3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3">
      <c r="A111">
        <f>ROW(Source!A98)</f>
        <v>98</v>
      </c>
      <c r="B111">
        <v>58754277</v>
      </c>
      <c r="C111">
        <v>58312412</v>
      </c>
      <c r="D111">
        <v>57666039</v>
      </c>
      <c r="E111">
        <v>1</v>
      </c>
      <c r="F111">
        <v>1</v>
      </c>
      <c r="G111">
        <v>1080</v>
      </c>
      <c r="H111">
        <v>3</v>
      </c>
      <c r="I111" t="s">
        <v>309</v>
      </c>
      <c r="J111" t="s">
        <v>310</v>
      </c>
      <c r="K111" t="s">
        <v>311</v>
      </c>
      <c r="L111">
        <v>1348</v>
      </c>
      <c r="N111">
        <v>1009</v>
      </c>
      <c r="O111" t="s">
        <v>240</v>
      </c>
      <c r="P111" t="s">
        <v>240</v>
      </c>
      <c r="Q111">
        <v>1000</v>
      </c>
      <c r="X111">
        <v>1E-3</v>
      </c>
      <c r="Y111">
        <v>58463.58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 t="s">
        <v>3</v>
      </c>
      <c r="AG111">
        <v>1E-3</v>
      </c>
      <c r="AH111">
        <v>3</v>
      </c>
      <c r="AI111">
        <v>-1</v>
      </c>
      <c r="AJ111" t="s">
        <v>3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3">
      <c r="A112">
        <f>ROW(Source!A98)</f>
        <v>98</v>
      </c>
      <c r="B112">
        <v>58754278</v>
      </c>
      <c r="C112">
        <v>58312412</v>
      </c>
      <c r="D112">
        <v>57666871</v>
      </c>
      <c r="E112">
        <v>1</v>
      </c>
      <c r="F112">
        <v>1</v>
      </c>
      <c r="G112">
        <v>1080</v>
      </c>
      <c r="H112">
        <v>3</v>
      </c>
      <c r="I112" t="s">
        <v>312</v>
      </c>
      <c r="J112" t="s">
        <v>313</v>
      </c>
      <c r="K112" t="s">
        <v>314</v>
      </c>
      <c r="L112">
        <v>1355</v>
      </c>
      <c r="N112">
        <v>1010</v>
      </c>
      <c r="O112" t="s">
        <v>172</v>
      </c>
      <c r="P112" t="s">
        <v>172</v>
      </c>
      <c r="Q112">
        <v>100</v>
      </c>
      <c r="X112">
        <v>2.1419999999999999</v>
      </c>
      <c r="Y112">
        <v>10.6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 t="s">
        <v>3</v>
      </c>
      <c r="AG112">
        <v>2.1419999999999999</v>
      </c>
      <c r="AH112">
        <v>3</v>
      </c>
      <c r="AI112">
        <v>-1</v>
      </c>
      <c r="AJ112" t="s">
        <v>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3">
      <c r="A113">
        <f>ROW(Source!A98)</f>
        <v>98</v>
      </c>
      <c r="B113">
        <v>58754279</v>
      </c>
      <c r="C113">
        <v>58312412</v>
      </c>
      <c r="D113">
        <v>57688144</v>
      </c>
      <c r="E113">
        <v>1</v>
      </c>
      <c r="F113">
        <v>1</v>
      </c>
      <c r="G113">
        <v>1080</v>
      </c>
      <c r="H113">
        <v>3</v>
      </c>
      <c r="I113" t="s">
        <v>315</v>
      </c>
      <c r="J113" t="s">
        <v>316</v>
      </c>
      <c r="K113" t="s">
        <v>317</v>
      </c>
      <c r="L113">
        <v>1356</v>
      </c>
      <c r="N113">
        <v>1010</v>
      </c>
      <c r="O113" t="s">
        <v>318</v>
      </c>
      <c r="P113" t="s">
        <v>318</v>
      </c>
      <c r="Q113">
        <v>1000</v>
      </c>
      <c r="X113">
        <v>1.7000000000000001E-2</v>
      </c>
      <c r="Y113">
        <v>226.66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 t="s">
        <v>3</v>
      </c>
      <c r="AG113">
        <v>1.7000000000000001E-2</v>
      </c>
      <c r="AH113">
        <v>3</v>
      </c>
      <c r="AI113">
        <v>-1</v>
      </c>
      <c r="AJ113" t="s">
        <v>3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3">
      <c r="A114">
        <f>ROW(Source!A98)</f>
        <v>98</v>
      </c>
      <c r="B114">
        <v>58754280</v>
      </c>
      <c r="C114">
        <v>58312412</v>
      </c>
      <c r="D114">
        <v>57687918</v>
      </c>
      <c r="E114">
        <v>1</v>
      </c>
      <c r="F114">
        <v>1</v>
      </c>
      <c r="G114">
        <v>1080</v>
      </c>
      <c r="H114">
        <v>3</v>
      </c>
      <c r="I114" t="s">
        <v>319</v>
      </c>
      <c r="J114" t="s">
        <v>320</v>
      </c>
      <c r="K114" t="s">
        <v>321</v>
      </c>
      <c r="L114">
        <v>1355</v>
      </c>
      <c r="N114">
        <v>1010</v>
      </c>
      <c r="O114" t="s">
        <v>172</v>
      </c>
      <c r="P114" t="s">
        <v>172</v>
      </c>
      <c r="Q114">
        <v>100</v>
      </c>
      <c r="X114">
        <v>0.17</v>
      </c>
      <c r="Y114">
        <v>26.71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 t="s">
        <v>3</v>
      </c>
      <c r="AG114">
        <v>0.17</v>
      </c>
      <c r="AH114">
        <v>3</v>
      </c>
      <c r="AI114">
        <v>-1</v>
      </c>
      <c r="AJ114" t="s">
        <v>3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3">
      <c r="A115">
        <f>ROW(Source!A98)</f>
        <v>98</v>
      </c>
      <c r="B115">
        <v>58754281</v>
      </c>
      <c r="C115">
        <v>58312412</v>
      </c>
      <c r="D115">
        <v>57674782</v>
      </c>
      <c r="E115">
        <v>1</v>
      </c>
      <c r="F115">
        <v>1</v>
      </c>
      <c r="G115">
        <v>1080</v>
      </c>
      <c r="H115">
        <v>3</v>
      </c>
      <c r="I115" t="s">
        <v>322</v>
      </c>
      <c r="J115" t="s">
        <v>323</v>
      </c>
      <c r="K115" t="s">
        <v>324</v>
      </c>
      <c r="L115">
        <v>1354</v>
      </c>
      <c r="N115">
        <v>1010</v>
      </c>
      <c r="O115" t="s">
        <v>32</v>
      </c>
      <c r="P115" t="s">
        <v>32</v>
      </c>
      <c r="Q115">
        <v>1</v>
      </c>
      <c r="X115">
        <v>0.161</v>
      </c>
      <c r="Y115">
        <v>14.56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 t="s">
        <v>3</v>
      </c>
      <c r="AG115">
        <v>0.161</v>
      </c>
      <c r="AH115">
        <v>3</v>
      </c>
      <c r="AI115">
        <v>-1</v>
      </c>
      <c r="AJ115" t="s">
        <v>3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3">
      <c r="A116">
        <f>ROW(Source!A98)</f>
        <v>98</v>
      </c>
      <c r="B116">
        <v>58754282</v>
      </c>
      <c r="C116">
        <v>58312412</v>
      </c>
      <c r="D116">
        <v>57631310</v>
      </c>
      <c r="E116">
        <v>1080</v>
      </c>
      <c r="F116">
        <v>1</v>
      </c>
      <c r="G116">
        <v>1080</v>
      </c>
      <c r="H116">
        <v>3</v>
      </c>
      <c r="I116" t="s">
        <v>325</v>
      </c>
      <c r="J116" t="s">
        <v>3</v>
      </c>
      <c r="K116" t="s">
        <v>326</v>
      </c>
      <c r="L116">
        <v>1301</v>
      </c>
      <c r="N116">
        <v>1003</v>
      </c>
      <c r="O116" t="s">
        <v>163</v>
      </c>
      <c r="P116" t="s">
        <v>163</v>
      </c>
      <c r="Q116">
        <v>1</v>
      </c>
      <c r="X116">
        <v>102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 t="s">
        <v>3</v>
      </c>
      <c r="AG116">
        <v>102</v>
      </c>
      <c r="AH116">
        <v>3</v>
      </c>
      <c r="AI116">
        <v>-1</v>
      </c>
      <c r="AJ116" t="s">
        <v>3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3">
      <c r="A117">
        <f>ROW(Source!A98)</f>
        <v>98</v>
      </c>
      <c r="B117">
        <v>58754283</v>
      </c>
      <c r="C117">
        <v>58312412</v>
      </c>
      <c r="D117">
        <v>57635045</v>
      </c>
      <c r="E117">
        <v>1080</v>
      </c>
      <c r="F117">
        <v>1</v>
      </c>
      <c r="G117">
        <v>1080</v>
      </c>
      <c r="H117">
        <v>3</v>
      </c>
      <c r="I117" t="s">
        <v>327</v>
      </c>
      <c r="J117" t="s">
        <v>3</v>
      </c>
      <c r="K117" t="s">
        <v>328</v>
      </c>
      <c r="L117">
        <v>1355</v>
      </c>
      <c r="N117">
        <v>1010</v>
      </c>
      <c r="O117" t="s">
        <v>172</v>
      </c>
      <c r="P117" t="s">
        <v>172</v>
      </c>
      <c r="Q117">
        <v>100</v>
      </c>
      <c r="X117">
        <v>2.1640000000000001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 t="s">
        <v>3</v>
      </c>
      <c r="AG117">
        <v>2.1640000000000001</v>
      </c>
      <c r="AH117">
        <v>3</v>
      </c>
      <c r="AI117">
        <v>-1</v>
      </c>
      <c r="AJ117" t="s">
        <v>3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3">
      <c r="A118">
        <f>ROW(Source!A98)</f>
        <v>98</v>
      </c>
      <c r="B118">
        <v>58754284</v>
      </c>
      <c r="C118">
        <v>58312412</v>
      </c>
      <c r="D118">
        <v>57641916</v>
      </c>
      <c r="E118">
        <v>1080</v>
      </c>
      <c r="F118">
        <v>1</v>
      </c>
      <c r="G118">
        <v>1080</v>
      </c>
      <c r="H118">
        <v>3</v>
      </c>
      <c r="I118" t="s">
        <v>329</v>
      </c>
      <c r="J118" t="s">
        <v>3</v>
      </c>
      <c r="K118" t="s">
        <v>330</v>
      </c>
      <c r="L118">
        <v>1303</v>
      </c>
      <c r="N118">
        <v>1003</v>
      </c>
      <c r="O118" t="s">
        <v>181</v>
      </c>
      <c r="P118" t="s">
        <v>181</v>
      </c>
      <c r="Q118">
        <v>1000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 t="s">
        <v>3</v>
      </c>
      <c r="AG118">
        <v>0</v>
      </c>
      <c r="AH118">
        <v>3</v>
      </c>
      <c r="AI118">
        <v>-1</v>
      </c>
      <c r="AJ118" t="s">
        <v>3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3">
      <c r="A119">
        <f>ROW(Source!A115)</f>
        <v>115</v>
      </c>
      <c r="B119">
        <v>58754285</v>
      </c>
      <c r="C119">
        <v>56511589</v>
      </c>
      <c r="D119">
        <v>57621905</v>
      </c>
      <c r="E119">
        <v>1080</v>
      </c>
      <c r="F119">
        <v>1</v>
      </c>
      <c r="G119">
        <v>1080</v>
      </c>
      <c r="H119">
        <v>1</v>
      </c>
      <c r="I119" t="s">
        <v>227</v>
      </c>
      <c r="J119" t="s">
        <v>3</v>
      </c>
      <c r="K119" t="s">
        <v>228</v>
      </c>
      <c r="L119">
        <v>1191</v>
      </c>
      <c r="N119">
        <v>1013</v>
      </c>
      <c r="O119" t="s">
        <v>229</v>
      </c>
      <c r="P119" t="s">
        <v>229</v>
      </c>
      <c r="Q119">
        <v>1</v>
      </c>
      <c r="X119">
        <v>4.49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1</v>
      </c>
      <c r="AF119" t="s">
        <v>24</v>
      </c>
      <c r="AG119">
        <v>4.9390000000000009</v>
      </c>
      <c r="AH119">
        <v>3</v>
      </c>
      <c r="AI119">
        <v>-1</v>
      </c>
      <c r="AJ119" t="s">
        <v>3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3">
      <c r="A120">
        <f>ROW(Source!A115)</f>
        <v>115</v>
      </c>
      <c r="B120">
        <v>58754286</v>
      </c>
      <c r="C120">
        <v>56511589</v>
      </c>
      <c r="D120">
        <v>57696079</v>
      </c>
      <c r="E120">
        <v>1</v>
      </c>
      <c r="F120">
        <v>1</v>
      </c>
      <c r="G120">
        <v>1080</v>
      </c>
      <c r="H120">
        <v>2</v>
      </c>
      <c r="I120" t="s">
        <v>230</v>
      </c>
      <c r="J120" t="s">
        <v>231</v>
      </c>
      <c r="K120" t="s">
        <v>232</v>
      </c>
      <c r="L120">
        <v>1368</v>
      </c>
      <c r="N120">
        <v>1011</v>
      </c>
      <c r="O120" t="s">
        <v>233</v>
      </c>
      <c r="P120" t="s">
        <v>233</v>
      </c>
      <c r="Q120">
        <v>1</v>
      </c>
      <c r="X120">
        <v>0.01</v>
      </c>
      <c r="Y120">
        <v>0</v>
      </c>
      <c r="Z120">
        <v>83.1</v>
      </c>
      <c r="AA120">
        <v>12.62</v>
      </c>
      <c r="AB120">
        <v>0</v>
      </c>
      <c r="AC120">
        <v>0</v>
      </c>
      <c r="AD120">
        <v>1</v>
      </c>
      <c r="AE120">
        <v>0</v>
      </c>
      <c r="AF120" t="s">
        <v>24</v>
      </c>
      <c r="AG120">
        <v>1.1000000000000001E-2</v>
      </c>
      <c r="AH120">
        <v>3</v>
      </c>
      <c r="AI120">
        <v>-1</v>
      </c>
      <c r="AJ120" t="s">
        <v>3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3">
      <c r="A121">
        <f>ROW(Source!A115)</f>
        <v>115</v>
      </c>
      <c r="B121">
        <v>58754287</v>
      </c>
      <c r="C121">
        <v>56511589</v>
      </c>
      <c r="D121">
        <v>57695315</v>
      </c>
      <c r="E121">
        <v>1</v>
      </c>
      <c r="F121">
        <v>1</v>
      </c>
      <c r="G121">
        <v>1080</v>
      </c>
      <c r="H121">
        <v>2</v>
      </c>
      <c r="I121" t="s">
        <v>331</v>
      </c>
      <c r="J121" t="s">
        <v>332</v>
      </c>
      <c r="K121" t="s">
        <v>333</v>
      </c>
      <c r="L121">
        <v>1368</v>
      </c>
      <c r="N121">
        <v>1011</v>
      </c>
      <c r="O121" t="s">
        <v>233</v>
      </c>
      <c r="P121" t="s">
        <v>233</v>
      </c>
      <c r="Q121">
        <v>1</v>
      </c>
      <c r="X121">
        <v>0.01</v>
      </c>
      <c r="Y121">
        <v>0</v>
      </c>
      <c r="Z121">
        <v>179.17</v>
      </c>
      <c r="AA121">
        <v>16.93</v>
      </c>
      <c r="AB121">
        <v>0</v>
      </c>
      <c r="AC121">
        <v>0</v>
      </c>
      <c r="AD121">
        <v>1</v>
      </c>
      <c r="AE121">
        <v>0</v>
      </c>
      <c r="AF121" t="s">
        <v>24</v>
      </c>
      <c r="AG121">
        <v>1.1000000000000001E-2</v>
      </c>
      <c r="AH121">
        <v>3</v>
      </c>
      <c r="AI121">
        <v>-1</v>
      </c>
      <c r="AJ121" t="s">
        <v>3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3">
      <c r="A122">
        <f>ROW(Source!A115)</f>
        <v>115</v>
      </c>
      <c r="B122">
        <v>58754288</v>
      </c>
      <c r="C122">
        <v>56511589</v>
      </c>
      <c r="D122">
        <v>57665112</v>
      </c>
      <c r="E122">
        <v>1</v>
      </c>
      <c r="F122">
        <v>1</v>
      </c>
      <c r="G122">
        <v>1080</v>
      </c>
      <c r="H122">
        <v>3</v>
      </c>
      <c r="I122" t="s">
        <v>334</v>
      </c>
      <c r="J122" t="s">
        <v>335</v>
      </c>
      <c r="K122" t="s">
        <v>336</v>
      </c>
      <c r="L122">
        <v>1346</v>
      </c>
      <c r="N122">
        <v>1009</v>
      </c>
      <c r="O122" t="s">
        <v>284</v>
      </c>
      <c r="P122" t="s">
        <v>284</v>
      </c>
      <c r="Q122">
        <v>1</v>
      </c>
      <c r="X122">
        <v>0.43</v>
      </c>
      <c r="Y122">
        <v>1.38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 t="s">
        <v>3</v>
      </c>
      <c r="AG122">
        <v>0.43</v>
      </c>
      <c r="AH122">
        <v>3</v>
      </c>
      <c r="AI122">
        <v>-1</v>
      </c>
      <c r="AJ122" t="s">
        <v>3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3">
      <c r="A123">
        <f>ROW(Source!A115)</f>
        <v>115</v>
      </c>
      <c r="B123">
        <v>58754289</v>
      </c>
      <c r="C123">
        <v>56511589</v>
      </c>
      <c r="D123">
        <v>57665503</v>
      </c>
      <c r="E123">
        <v>1</v>
      </c>
      <c r="F123">
        <v>1</v>
      </c>
      <c r="G123">
        <v>1080</v>
      </c>
      <c r="H123">
        <v>3</v>
      </c>
      <c r="I123" t="s">
        <v>337</v>
      </c>
      <c r="J123" t="s">
        <v>338</v>
      </c>
      <c r="K123" t="s">
        <v>339</v>
      </c>
      <c r="L123">
        <v>1346</v>
      </c>
      <c r="N123">
        <v>1009</v>
      </c>
      <c r="O123" t="s">
        <v>284</v>
      </c>
      <c r="P123" t="s">
        <v>284</v>
      </c>
      <c r="Q123">
        <v>1</v>
      </c>
      <c r="X123">
        <v>0.16</v>
      </c>
      <c r="Y123">
        <v>159.06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 t="s">
        <v>3</v>
      </c>
      <c r="AG123">
        <v>0.16</v>
      </c>
      <c r="AH123">
        <v>3</v>
      </c>
      <c r="AI123">
        <v>-1</v>
      </c>
      <c r="AJ123" t="s">
        <v>3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3">
      <c r="A124">
        <f>ROW(Source!A115)</f>
        <v>115</v>
      </c>
      <c r="B124">
        <v>58754290</v>
      </c>
      <c r="C124">
        <v>56511589</v>
      </c>
      <c r="D124">
        <v>57688446</v>
      </c>
      <c r="E124">
        <v>1</v>
      </c>
      <c r="F124">
        <v>1</v>
      </c>
      <c r="G124">
        <v>1080</v>
      </c>
      <c r="H124">
        <v>3</v>
      </c>
      <c r="I124" t="s">
        <v>340</v>
      </c>
      <c r="J124" t="s">
        <v>341</v>
      </c>
      <c r="K124" t="s">
        <v>342</v>
      </c>
      <c r="L124">
        <v>1355</v>
      </c>
      <c r="N124">
        <v>1010</v>
      </c>
      <c r="O124" t="s">
        <v>172</v>
      </c>
      <c r="P124" t="s">
        <v>172</v>
      </c>
      <c r="Q124">
        <v>100</v>
      </c>
      <c r="X124">
        <v>0.05</v>
      </c>
      <c r="Y124">
        <v>68.819999999999993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0</v>
      </c>
      <c r="AF124" t="s">
        <v>3</v>
      </c>
      <c r="AG124">
        <v>0.05</v>
      </c>
      <c r="AH124">
        <v>3</v>
      </c>
      <c r="AI124">
        <v>-1</v>
      </c>
      <c r="AJ124" t="s">
        <v>3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3">
      <c r="A125">
        <f>ROW(Source!A115)</f>
        <v>115</v>
      </c>
      <c r="B125">
        <v>58754291</v>
      </c>
      <c r="C125">
        <v>56511589</v>
      </c>
      <c r="D125">
        <v>57688457</v>
      </c>
      <c r="E125">
        <v>1</v>
      </c>
      <c r="F125">
        <v>1</v>
      </c>
      <c r="G125">
        <v>1080</v>
      </c>
      <c r="H125">
        <v>3</v>
      </c>
      <c r="I125" t="s">
        <v>343</v>
      </c>
      <c r="J125" t="s">
        <v>344</v>
      </c>
      <c r="K125" t="s">
        <v>345</v>
      </c>
      <c r="L125">
        <v>1356</v>
      </c>
      <c r="N125">
        <v>1010</v>
      </c>
      <c r="O125" t="s">
        <v>318</v>
      </c>
      <c r="P125" t="s">
        <v>318</v>
      </c>
      <c r="Q125">
        <v>1000</v>
      </c>
      <c r="X125">
        <v>1.2200000000000001E-2</v>
      </c>
      <c r="Y125">
        <v>183.4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 t="s">
        <v>3</v>
      </c>
      <c r="AG125">
        <v>1.2200000000000001E-2</v>
      </c>
      <c r="AH125">
        <v>3</v>
      </c>
      <c r="AI125">
        <v>-1</v>
      </c>
      <c r="AJ125" t="s">
        <v>3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3">
      <c r="A126">
        <f>ROW(Source!A115)</f>
        <v>115</v>
      </c>
      <c r="B126">
        <v>58754292</v>
      </c>
      <c r="C126">
        <v>56511589</v>
      </c>
      <c r="D126">
        <v>57687783</v>
      </c>
      <c r="E126">
        <v>1</v>
      </c>
      <c r="F126">
        <v>1</v>
      </c>
      <c r="G126">
        <v>1080</v>
      </c>
      <c r="H126">
        <v>3</v>
      </c>
      <c r="I126" t="s">
        <v>346</v>
      </c>
      <c r="J126" t="s">
        <v>347</v>
      </c>
      <c r="K126" t="s">
        <v>348</v>
      </c>
      <c r="L126">
        <v>1354</v>
      </c>
      <c r="N126">
        <v>1010</v>
      </c>
      <c r="O126" t="s">
        <v>32</v>
      </c>
      <c r="P126" t="s">
        <v>32</v>
      </c>
      <c r="Q126">
        <v>1</v>
      </c>
      <c r="X126">
        <v>3.1</v>
      </c>
      <c r="Y126">
        <v>6.94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 t="s">
        <v>3</v>
      </c>
      <c r="AG126">
        <v>3.1</v>
      </c>
      <c r="AH126">
        <v>3</v>
      </c>
      <c r="AI126">
        <v>-1</v>
      </c>
      <c r="AJ126" t="s">
        <v>3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3">
      <c r="A127">
        <f>ROW(Source!A115)</f>
        <v>115</v>
      </c>
      <c r="B127">
        <v>58754293</v>
      </c>
      <c r="C127">
        <v>56511589</v>
      </c>
      <c r="D127">
        <v>57687790</v>
      </c>
      <c r="E127">
        <v>1</v>
      </c>
      <c r="F127">
        <v>1</v>
      </c>
      <c r="G127">
        <v>1080</v>
      </c>
      <c r="H127">
        <v>3</v>
      </c>
      <c r="I127" t="s">
        <v>349</v>
      </c>
      <c r="J127" t="s">
        <v>350</v>
      </c>
      <c r="K127" t="s">
        <v>351</v>
      </c>
      <c r="L127">
        <v>1356</v>
      </c>
      <c r="N127">
        <v>1010</v>
      </c>
      <c r="O127" t="s">
        <v>318</v>
      </c>
      <c r="P127" t="s">
        <v>318</v>
      </c>
      <c r="Q127">
        <v>1000</v>
      </c>
      <c r="X127">
        <v>8.0000000000000002E-3</v>
      </c>
      <c r="Y127">
        <v>614.09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 t="s">
        <v>3</v>
      </c>
      <c r="AG127">
        <v>8.0000000000000002E-3</v>
      </c>
      <c r="AH127">
        <v>3</v>
      </c>
      <c r="AI127">
        <v>-1</v>
      </c>
      <c r="AJ127" t="s">
        <v>3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3">
      <c r="A128">
        <f>ROW(Source!A115)</f>
        <v>115</v>
      </c>
      <c r="B128">
        <v>58754294</v>
      </c>
      <c r="C128">
        <v>56511589</v>
      </c>
      <c r="D128">
        <v>57637375</v>
      </c>
      <c r="E128">
        <v>1080</v>
      </c>
      <c r="F128">
        <v>1</v>
      </c>
      <c r="G128">
        <v>1080</v>
      </c>
      <c r="H128">
        <v>3</v>
      </c>
      <c r="I128" t="s">
        <v>352</v>
      </c>
      <c r="J128" t="s">
        <v>3</v>
      </c>
      <c r="K128" t="s">
        <v>353</v>
      </c>
      <c r="L128">
        <v>1303</v>
      </c>
      <c r="N128">
        <v>1003</v>
      </c>
      <c r="O128" t="s">
        <v>181</v>
      </c>
      <c r="P128" t="s">
        <v>181</v>
      </c>
      <c r="Q128">
        <v>1000</v>
      </c>
      <c r="X128">
        <v>0.10299999999999999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 t="s">
        <v>3</v>
      </c>
      <c r="AG128">
        <v>0.10299999999999999</v>
      </c>
      <c r="AH128">
        <v>3</v>
      </c>
      <c r="AI128">
        <v>-1</v>
      </c>
      <c r="AJ128" t="s">
        <v>3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3">
      <c r="A129">
        <f>ROW(Source!A116)</f>
        <v>116</v>
      </c>
      <c r="B129">
        <v>58754285</v>
      </c>
      <c r="C129">
        <v>56511589</v>
      </c>
      <c r="D129">
        <v>57621905</v>
      </c>
      <c r="E129">
        <v>1080</v>
      </c>
      <c r="F129">
        <v>1</v>
      </c>
      <c r="G129">
        <v>1080</v>
      </c>
      <c r="H129">
        <v>1</v>
      </c>
      <c r="I129" t="s">
        <v>227</v>
      </c>
      <c r="J129" t="s">
        <v>3</v>
      </c>
      <c r="K129" t="s">
        <v>228</v>
      </c>
      <c r="L129">
        <v>1191</v>
      </c>
      <c r="N129">
        <v>1013</v>
      </c>
      <c r="O129" t="s">
        <v>229</v>
      </c>
      <c r="P129" t="s">
        <v>229</v>
      </c>
      <c r="Q129">
        <v>1</v>
      </c>
      <c r="X129">
        <v>4.49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1</v>
      </c>
      <c r="AF129" t="s">
        <v>24</v>
      </c>
      <c r="AG129">
        <v>4.9390000000000009</v>
      </c>
      <c r="AH129">
        <v>3</v>
      </c>
      <c r="AI129">
        <v>-1</v>
      </c>
      <c r="AJ129" t="s">
        <v>3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3">
      <c r="A130">
        <f>ROW(Source!A116)</f>
        <v>116</v>
      </c>
      <c r="B130">
        <v>58754286</v>
      </c>
      <c r="C130">
        <v>56511589</v>
      </c>
      <c r="D130">
        <v>57696079</v>
      </c>
      <c r="E130">
        <v>1</v>
      </c>
      <c r="F130">
        <v>1</v>
      </c>
      <c r="G130">
        <v>1080</v>
      </c>
      <c r="H130">
        <v>2</v>
      </c>
      <c r="I130" t="s">
        <v>230</v>
      </c>
      <c r="J130" t="s">
        <v>231</v>
      </c>
      <c r="K130" t="s">
        <v>232</v>
      </c>
      <c r="L130">
        <v>1368</v>
      </c>
      <c r="N130">
        <v>1011</v>
      </c>
      <c r="O130" t="s">
        <v>233</v>
      </c>
      <c r="P130" t="s">
        <v>233</v>
      </c>
      <c r="Q130">
        <v>1</v>
      </c>
      <c r="X130">
        <v>0.01</v>
      </c>
      <c r="Y130">
        <v>0</v>
      </c>
      <c r="Z130">
        <v>83.1</v>
      </c>
      <c r="AA130">
        <v>12.62</v>
      </c>
      <c r="AB130">
        <v>0</v>
      </c>
      <c r="AC130">
        <v>0</v>
      </c>
      <c r="AD130">
        <v>1</v>
      </c>
      <c r="AE130">
        <v>0</v>
      </c>
      <c r="AF130" t="s">
        <v>24</v>
      </c>
      <c r="AG130">
        <v>1.1000000000000001E-2</v>
      </c>
      <c r="AH130">
        <v>3</v>
      </c>
      <c r="AI130">
        <v>-1</v>
      </c>
      <c r="AJ130" t="s">
        <v>3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3">
      <c r="A131">
        <f>ROW(Source!A116)</f>
        <v>116</v>
      </c>
      <c r="B131">
        <v>58754287</v>
      </c>
      <c r="C131">
        <v>56511589</v>
      </c>
      <c r="D131">
        <v>57695315</v>
      </c>
      <c r="E131">
        <v>1</v>
      </c>
      <c r="F131">
        <v>1</v>
      </c>
      <c r="G131">
        <v>1080</v>
      </c>
      <c r="H131">
        <v>2</v>
      </c>
      <c r="I131" t="s">
        <v>331</v>
      </c>
      <c r="J131" t="s">
        <v>332</v>
      </c>
      <c r="K131" t="s">
        <v>333</v>
      </c>
      <c r="L131">
        <v>1368</v>
      </c>
      <c r="N131">
        <v>1011</v>
      </c>
      <c r="O131" t="s">
        <v>233</v>
      </c>
      <c r="P131" t="s">
        <v>233</v>
      </c>
      <c r="Q131">
        <v>1</v>
      </c>
      <c r="X131">
        <v>0.01</v>
      </c>
      <c r="Y131">
        <v>0</v>
      </c>
      <c r="Z131">
        <v>179.17</v>
      </c>
      <c r="AA131">
        <v>16.93</v>
      </c>
      <c r="AB131">
        <v>0</v>
      </c>
      <c r="AC131">
        <v>0</v>
      </c>
      <c r="AD131">
        <v>1</v>
      </c>
      <c r="AE131">
        <v>0</v>
      </c>
      <c r="AF131" t="s">
        <v>24</v>
      </c>
      <c r="AG131">
        <v>1.1000000000000001E-2</v>
      </c>
      <c r="AH131">
        <v>3</v>
      </c>
      <c r="AI131">
        <v>-1</v>
      </c>
      <c r="AJ131" t="s">
        <v>3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3">
      <c r="A132">
        <f>ROW(Source!A116)</f>
        <v>116</v>
      </c>
      <c r="B132">
        <v>58754288</v>
      </c>
      <c r="C132">
        <v>56511589</v>
      </c>
      <c r="D132">
        <v>57665112</v>
      </c>
      <c r="E132">
        <v>1</v>
      </c>
      <c r="F132">
        <v>1</v>
      </c>
      <c r="G132">
        <v>1080</v>
      </c>
      <c r="H132">
        <v>3</v>
      </c>
      <c r="I132" t="s">
        <v>334</v>
      </c>
      <c r="J132" t="s">
        <v>335</v>
      </c>
      <c r="K132" t="s">
        <v>336</v>
      </c>
      <c r="L132">
        <v>1346</v>
      </c>
      <c r="N132">
        <v>1009</v>
      </c>
      <c r="O132" t="s">
        <v>284</v>
      </c>
      <c r="P132" t="s">
        <v>284</v>
      </c>
      <c r="Q132">
        <v>1</v>
      </c>
      <c r="X132">
        <v>0.43</v>
      </c>
      <c r="Y132">
        <v>1.38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 t="s">
        <v>3</v>
      </c>
      <c r="AG132">
        <v>0.43</v>
      </c>
      <c r="AH132">
        <v>3</v>
      </c>
      <c r="AI132">
        <v>-1</v>
      </c>
      <c r="AJ132" t="s">
        <v>3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3">
      <c r="A133">
        <f>ROW(Source!A116)</f>
        <v>116</v>
      </c>
      <c r="B133">
        <v>58754289</v>
      </c>
      <c r="C133">
        <v>56511589</v>
      </c>
      <c r="D133">
        <v>57665503</v>
      </c>
      <c r="E133">
        <v>1</v>
      </c>
      <c r="F133">
        <v>1</v>
      </c>
      <c r="G133">
        <v>1080</v>
      </c>
      <c r="H133">
        <v>3</v>
      </c>
      <c r="I133" t="s">
        <v>337</v>
      </c>
      <c r="J133" t="s">
        <v>338</v>
      </c>
      <c r="K133" t="s">
        <v>339</v>
      </c>
      <c r="L133">
        <v>1346</v>
      </c>
      <c r="N133">
        <v>1009</v>
      </c>
      <c r="O133" t="s">
        <v>284</v>
      </c>
      <c r="P133" t="s">
        <v>284</v>
      </c>
      <c r="Q133">
        <v>1</v>
      </c>
      <c r="X133">
        <v>0.16</v>
      </c>
      <c r="Y133">
        <v>159.06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 t="s">
        <v>3</v>
      </c>
      <c r="AG133">
        <v>0.16</v>
      </c>
      <c r="AH133">
        <v>3</v>
      </c>
      <c r="AI133">
        <v>-1</v>
      </c>
      <c r="AJ133" t="s">
        <v>3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3">
      <c r="A134">
        <f>ROW(Source!A116)</f>
        <v>116</v>
      </c>
      <c r="B134">
        <v>58754290</v>
      </c>
      <c r="C134">
        <v>56511589</v>
      </c>
      <c r="D134">
        <v>57688446</v>
      </c>
      <c r="E134">
        <v>1</v>
      </c>
      <c r="F134">
        <v>1</v>
      </c>
      <c r="G134">
        <v>1080</v>
      </c>
      <c r="H134">
        <v>3</v>
      </c>
      <c r="I134" t="s">
        <v>340</v>
      </c>
      <c r="J134" t="s">
        <v>341</v>
      </c>
      <c r="K134" t="s">
        <v>342</v>
      </c>
      <c r="L134">
        <v>1355</v>
      </c>
      <c r="N134">
        <v>1010</v>
      </c>
      <c r="O134" t="s">
        <v>172</v>
      </c>
      <c r="P134" t="s">
        <v>172</v>
      </c>
      <c r="Q134">
        <v>100</v>
      </c>
      <c r="X134">
        <v>0.05</v>
      </c>
      <c r="Y134">
        <v>68.819999999999993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 t="s">
        <v>3</v>
      </c>
      <c r="AG134">
        <v>0.05</v>
      </c>
      <c r="AH134">
        <v>3</v>
      </c>
      <c r="AI134">
        <v>-1</v>
      </c>
      <c r="AJ134" t="s">
        <v>3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3">
      <c r="A135">
        <f>ROW(Source!A116)</f>
        <v>116</v>
      </c>
      <c r="B135">
        <v>58754291</v>
      </c>
      <c r="C135">
        <v>56511589</v>
      </c>
      <c r="D135">
        <v>57688457</v>
      </c>
      <c r="E135">
        <v>1</v>
      </c>
      <c r="F135">
        <v>1</v>
      </c>
      <c r="G135">
        <v>1080</v>
      </c>
      <c r="H135">
        <v>3</v>
      </c>
      <c r="I135" t="s">
        <v>343</v>
      </c>
      <c r="J135" t="s">
        <v>344</v>
      </c>
      <c r="K135" t="s">
        <v>345</v>
      </c>
      <c r="L135">
        <v>1356</v>
      </c>
      <c r="N135">
        <v>1010</v>
      </c>
      <c r="O135" t="s">
        <v>318</v>
      </c>
      <c r="P135" t="s">
        <v>318</v>
      </c>
      <c r="Q135">
        <v>1000</v>
      </c>
      <c r="X135">
        <v>1.2200000000000001E-2</v>
      </c>
      <c r="Y135">
        <v>183.4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 t="s">
        <v>3</v>
      </c>
      <c r="AG135">
        <v>1.2200000000000001E-2</v>
      </c>
      <c r="AH135">
        <v>3</v>
      </c>
      <c r="AI135">
        <v>-1</v>
      </c>
      <c r="AJ135" t="s">
        <v>3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3">
      <c r="A136">
        <f>ROW(Source!A116)</f>
        <v>116</v>
      </c>
      <c r="B136">
        <v>58754292</v>
      </c>
      <c r="C136">
        <v>56511589</v>
      </c>
      <c r="D136">
        <v>57687783</v>
      </c>
      <c r="E136">
        <v>1</v>
      </c>
      <c r="F136">
        <v>1</v>
      </c>
      <c r="G136">
        <v>1080</v>
      </c>
      <c r="H136">
        <v>3</v>
      </c>
      <c r="I136" t="s">
        <v>346</v>
      </c>
      <c r="J136" t="s">
        <v>347</v>
      </c>
      <c r="K136" t="s">
        <v>348</v>
      </c>
      <c r="L136">
        <v>1354</v>
      </c>
      <c r="N136">
        <v>1010</v>
      </c>
      <c r="O136" t="s">
        <v>32</v>
      </c>
      <c r="P136" t="s">
        <v>32</v>
      </c>
      <c r="Q136">
        <v>1</v>
      </c>
      <c r="X136">
        <v>3.1</v>
      </c>
      <c r="Y136">
        <v>6.94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 t="s">
        <v>3</v>
      </c>
      <c r="AG136">
        <v>3.1</v>
      </c>
      <c r="AH136">
        <v>3</v>
      </c>
      <c r="AI136">
        <v>-1</v>
      </c>
      <c r="AJ136" t="s">
        <v>3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3">
      <c r="A137">
        <f>ROW(Source!A116)</f>
        <v>116</v>
      </c>
      <c r="B137">
        <v>58754293</v>
      </c>
      <c r="C137">
        <v>56511589</v>
      </c>
      <c r="D137">
        <v>57687790</v>
      </c>
      <c r="E137">
        <v>1</v>
      </c>
      <c r="F137">
        <v>1</v>
      </c>
      <c r="G137">
        <v>1080</v>
      </c>
      <c r="H137">
        <v>3</v>
      </c>
      <c r="I137" t="s">
        <v>349</v>
      </c>
      <c r="J137" t="s">
        <v>350</v>
      </c>
      <c r="K137" t="s">
        <v>351</v>
      </c>
      <c r="L137">
        <v>1356</v>
      </c>
      <c r="N137">
        <v>1010</v>
      </c>
      <c r="O137" t="s">
        <v>318</v>
      </c>
      <c r="P137" t="s">
        <v>318</v>
      </c>
      <c r="Q137">
        <v>1000</v>
      </c>
      <c r="X137">
        <v>8.0000000000000002E-3</v>
      </c>
      <c r="Y137">
        <v>614.09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 t="s">
        <v>3</v>
      </c>
      <c r="AG137">
        <v>8.0000000000000002E-3</v>
      </c>
      <c r="AH137">
        <v>3</v>
      </c>
      <c r="AI137">
        <v>-1</v>
      </c>
      <c r="AJ137" t="s">
        <v>3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3">
      <c r="A138">
        <f>ROW(Source!A116)</f>
        <v>116</v>
      </c>
      <c r="B138">
        <v>58754294</v>
      </c>
      <c r="C138">
        <v>56511589</v>
      </c>
      <c r="D138">
        <v>57637375</v>
      </c>
      <c r="E138">
        <v>1080</v>
      </c>
      <c r="F138">
        <v>1</v>
      </c>
      <c r="G138">
        <v>1080</v>
      </c>
      <c r="H138">
        <v>3</v>
      </c>
      <c r="I138" t="s">
        <v>352</v>
      </c>
      <c r="J138" t="s">
        <v>3</v>
      </c>
      <c r="K138" t="s">
        <v>353</v>
      </c>
      <c r="L138">
        <v>1303</v>
      </c>
      <c r="N138">
        <v>1003</v>
      </c>
      <c r="O138" t="s">
        <v>181</v>
      </c>
      <c r="P138" t="s">
        <v>181</v>
      </c>
      <c r="Q138">
        <v>1000</v>
      </c>
      <c r="X138">
        <v>0.10299999999999999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 t="s">
        <v>3</v>
      </c>
      <c r="AG138">
        <v>0.10299999999999999</v>
      </c>
      <c r="AH138">
        <v>3</v>
      </c>
      <c r="AI138">
        <v>-1</v>
      </c>
      <c r="AJ138" t="s">
        <v>3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3">
      <c r="A139">
        <f>ROW(Source!A119)</f>
        <v>119</v>
      </c>
      <c r="B139">
        <v>58754295</v>
      </c>
      <c r="C139">
        <v>56511631</v>
      </c>
      <c r="D139">
        <v>57621905</v>
      </c>
      <c r="E139">
        <v>1080</v>
      </c>
      <c r="F139">
        <v>1</v>
      </c>
      <c r="G139">
        <v>1080</v>
      </c>
      <c r="H139">
        <v>1</v>
      </c>
      <c r="I139" t="s">
        <v>227</v>
      </c>
      <c r="J139" t="s">
        <v>3</v>
      </c>
      <c r="K139" t="s">
        <v>228</v>
      </c>
      <c r="L139">
        <v>1191</v>
      </c>
      <c r="N139">
        <v>1013</v>
      </c>
      <c r="O139" t="s">
        <v>229</v>
      </c>
      <c r="P139" t="s">
        <v>229</v>
      </c>
      <c r="Q139">
        <v>1</v>
      </c>
      <c r="X139">
        <v>20.7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1</v>
      </c>
      <c r="AF139" t="s">
        <v>24</v>
      </c>
      <c r="AG139">
        <v>22.77</v>
      </c>
      <c r="AH139">
        <v>3</v>
      </c>
      <c r="AI139">
        <v>-1</v>
      </c>
      <c r="AJ139" t="s">
        <v>3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3">
      <c r="A140">
        <f>ROW(Source!A119)</f>
        <v>119</v>
      </c>
      <c r="B140">
        <v>58754296</v>
      </c>
      <c r="C140">
        <v>56511631</v>
      </c>
      <c r="D140">
        <v>57695780</v>
      </c>
      <c r="E140">
        <v>1</v>
      </c>
      <c r="F140">
        <v>1</v>
      </c>
      <c r="G140">
        <v>1080</v>
      </c>
      <c r="H140">
        <v>2</v>
      </c>
      <c r="I140" t="s">
        <v>251</v>
      </c>
      <c r="J140" t="s">
        <v>252</v>
      </c>
      <c r="K140" t="s">
        <v>253</v>
      </c>
      <c r="L140">
        <v>1368</v>
      </c>
      <c r="N140">
        <v>1011</v>
      </c>
      <c r="O140" t="s">
        <v>233</v>
      </c>
      <c r="P140" t="s">
        <v>233</v>
      </c>
      <c r="Q140">
        <v>1</v>
      </c>
      <c r="X140">
        <v>2.33</v>
      </c>
      <c r="Y140">
        <v>0</v>
      </c>
      <c r="Z140">
        <v>7.11</v>
      </c>
      <c r="AA140">
        <v>0</v>
      </c>
      <c r="AB140">
        <v>0</v>
      </c>
      <c r="AC140">
        <v>0</v>
      </c>
      <c r="AD140">
        <v>1</v>
      </c>
      <c r="AE140">
        <v>0</v>
      </c>
      <c r="AF140" t="s">
        <v>24</v>
      </c>
      <c r="AG140">
        <v>2.5630000000000002</v>
      </c>
      <c r="AH140">
        <v>3</v>
      </c>
      <c r="AI140">
        <v>-1</v>
      </c>
      <c r="AJ140" t="s">
        <v>3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3">
      <c r="A141">
        <f>ROW(Source!A119)</f>
        <v>119</v>
      </c>
      <c r="B141">
        <v>58754297</v>
      </c>
      <c r="C141">
        <v>56511631</v>
      </c>
      <c r="D141">
        <v>57696079</v>
      </c>
      <c r="E141">
        <v>1</v>
      </c>
      <c r="F141">
        <v>1</v>
      </c>
      <c r="G141">
        <v>1080</v>
      </c>
      <c r="H141">
        <v>2</v>
      </c>
      <c r="I141" t="s">
        <v>230</v>
      </c>
      <c r="J141" t="s">
        <v>231</v>
      </c>
      <c r="K141" t="s">
        <v>232</v>
      </c>
      <c r="L141">
        <v>1368</v>
      </c>
      <c r="N141">
        <v>1011</v>
      </c>
      <c r="O141" t="s">
        <v>233</v>
      </c>
      <c r="P141" t="s">
        <v>233</v>
      </c>
      <c r="Q141">
        <v>1</v>
      </c>
      <c r="X141">
        <v>0.1</v>
      </c>
      <c r="Y141">
        <v>0</v>
      </c>
      <c r="Z141">
        <v>83.1</v>
      </c>
      <c r="AA141">
        <v>12.62</v>
      </c>
      <c r="AB141">
        <v>0</v>
      </c>
      <c r="AC141">
        <v>0</v>
      </c>
      <c r="AD141">
        <v>1</v>
      </c>
      <c r="AE141">
        <v>0</v>
      </c>
      <c r="AF141" t="s">
        <v>24</v>
      </c>
      <c r="AG141">
        <v>0.11000000000000001</v>
      </c>
      <c r="AH141">
        <v>3</v>
      </c>
      <c r="AI141">
        <v>-1</v>
      </c>
      <c r="AJ141" t="s">
        <v>3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3">
      <c r="A142">
        <f>ROW(Source!A119)</f>
        <v>119</v>
      </c>
      <c r="B142">
        <v>58754298</v>
      </c>
      <c r="C142">
        <v>56511631</v>
      </c>
      <c r="D142">
        <v>57696131</v>
      </c>
      <c r="E142">
        <v>1</v>
      </c>
      <c r="F142">
        <v>1</v>
      </c>
      <c r="G142">
        <v>1080</v>
      </c>
      <c r="H142">
        <v>2</v>
      </c>
      <c r="I142" t="s">
        <v>306</v>
      </c>
      <c r="J142" t="s">
        <v>307</v>
      </c>
      <c r="K142" t="s">
        <v>308</v>
      </c>
      <c r="L142">
        <v>1368</v>
      </c>
      <c r="N142">
        <v>1011</v>
      </c>
      <c r="O142" t="s">
        <v>233</v>
      </c>
      <c r="P142" t="s">
        <v>233</v>
      </c>
      <c r="Q142">
        <v>1</v>
      </c>
      <c r="X142">
        <v>4.17</v>
      </c>
      <c r="Y142">
        <v>0</v>
      </c>
      <c r="Z142">
        <v>0.77</v>
      </c>
      <c r="AA142">
        <v>0</v>
      </c>
      <c r="AB142">
        <v>0</v>
      </c>
      <c r="AC142">
        <v>0</v>
      </c>
      <c r="AD142">
        <v>1</v>
      </c>
      <c r="AE142">
        <v>0</v>
      </c>
      <c r="AF142" t="s">
        <v>24</v>
      </c>
      <c r="AG142">
        <v>4.5870000000000006</v>
      </c>
      <c r="AH142">
        <v>3</v>
      </c>
      <c r="AI142">
        <v>-1</v>
      </c>
      <c r="AJ142" t="s">
        <v>3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3">
      <c r="A143">
        <f>ROW(Source!A119)</f>
        <v>119</v>
      </c>
      <c r="B143">
        <v>58754299</v>
      </c>
      <c r="C143">
        <v>56511631</v>
      </c>
      <c r="D143">
        <v>57665459</v>
      </c>
      <c r="E143">
        <v>1</v>
      </c>
      <c r="F143">
        <v>1</v>
      </c>
      <c r="G143">
        <v>1080</v>
      </c>
      <c r="H143">
        <v>3</v>
      </c>
      <c r="I143" t="s">
        <v>354</v>
      </c>
      <c r="J143" t="s">
        <v>355</v>
      </c>
      <c r="K143" t="s">
        <v>356</v>
      </c>
      <c r="L143">
        <v>1348</v>
      </c>
      <c r="N143">
        <v>1009</v>
      </c>
      <c r="O143" t="s">
        <v>240</v>
      </c>
      <c r="P143" t="s">
        <v>240</v>
      </c>
      <c r="Q143">
        <v>1000</v>
      </c>
      <c r="X143">
        <v>9.6000000000000002E-4</v>
      </c>
      <c r="Y143">
        <v>8590.86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 t="s">
        <v>3</v>
      </c>
      <c r="AG143">
        <v>9.6000000000000002E-4</v>
      </c>
      <c r="AH143">
        <v>3</v>
      </c>
      <c r="AI143">
        <v>-1</v>
      </c>
      <c r="AJ143" t="s">
        <v>3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3">
      <c r="A144">
        <f>ROW(Source!A119)</f>
        <v>119</v>
      </c>
      <c r="B144">
        <v>58754300</v>
      </c>
      <c r="C144">
        <v>56511631</v>
      </c>
      <c r="D144">
        <v>57664417</v>
      </c>
      <c r="E144">
        <v>1</v>
      </c>
      <c r="F144">
        <v>1</v>
      </c>
      <c r="G144">
        <v>1080</v>
      </c>
      <c r="H144">
        <v>3</v>
      </c>
      <c r="I144" t="s">
        <v>357</v>
      </c>
      <c r="J144" t="s">
        <v>358</v>
      </c>
      <c r="K144" t="s">
        <v>359</v>
      </c>
      <c r="L144">
        <v>1354</v>
      </c>
      <c r="N144">
        <v>1010</v>
      </c>
      <c r="O144" t="s">
        <v>32</v>
      </c>
      <c r="P144" t="s">
        <v>32</v>
      </c>
      <c r="Q144">
        <v>1</v>
      </c>
      <c r="X144">
        <v>220</v>
      </c>
      <c r="Y144">
        <v>3.86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 t="s">
        <v>3</v>
      </c>
      <c r="AG144">
        <v>220</v>
      </c>
      <c r="AH144">
        <v>3</v>
      </c>
      <c r="AI144">
        <v>-1</v>
      </c>
      <c r="AJ144" t="s">
        <v>3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3">
      <c r="A145">
        <f>ROW(Source!A119)</f>
        <v>119</v>
      </c>
      <c r="B145">
        <v>58754301</v>
      </c>
      <c r="C145">
        <v>56511631</v>
      </c>
      <c r="D145">
        <v>57666737</v>
      </c>
      <c r="E145">
        <v>1</v>
      </c>
      <c r="F145">
        <v>1</v>
      </c>
      <c r="G145">
        <v>1080</v>
      </c>
      <c r="H145">
        <v>3</v>
      </c>
      <c r="I145" t="s">
        <v>360</v>
      </c>
      <c r="J145" t="s">
        <v>361</v>
      </c>
      <c r="K145" t="s">
        <v>362</v>
      </c>
      <c r="L145">
        <v>1296</v>
      </c>
      <c r="N145">
        <v>1002</v>
      </c>
      <c r="O145" t="s">
        <v>363</v>
      </c>
      <c r="P145" t="s">
        <v>363</v>
      </c>
      <c r="Q145">
        <v>1</v>
      </c>
      <c r="X145">
        <v>0.157</v>
      </c>
      <c r="Y145">
        <v>35.4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 t="s">
        <v>3</v>
      </c>
      <c r="AG145">
        <v>0.157</v>
      </c>
      <c r="AH145">
        <v>3</v>
      </c>
      <c r="AI145">
        <v>-1</v>
      </c>
      <c r="AJ145" t="s">
        <v>3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3">
      <c r="A146">
        <f>ROW(Source!A119)</f>
        <v>119</v>
      </c>
      <c r="B146">
        <v>58754302</v>
      </c>
      <c r="C146">
        <v>56511631</v>
      </c>
      <c r="D146">
        <v>57664894</v>
      </c>
      <c r="E146">
        <v>1</v>
      </c>
      <c r="F146">
        <v>1</v>
      </c>
      <c r="G146">
        <v>1080</v>
      </c>
      <c r="H146">
        <v>3</v>
      </c>
      <c r="I146" t="s">
        <v>364</v>
      </c>
      <c r="J146" t="s">
        <v>365</v>
      </c>
      <c r="K146" t="s">
        <v>366</v>
      </c>
      <c r="L146">
        <v>1348</v>
      </c>
      <c r="N146">
        <v>1009</v>
      </c>
      <c r="O146" t="s">
        <v>240</v>
      </c>
      <c r="P146" t="s">
        <v>240</v>
      </c>
      <c r="Q146">
        <v>1000</v>
      </c>
      <c r="X146">
        <v>2.0999999999999999E-3</v>
      </c>
      <c r="Y146">
        <v>7973.67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 t="s">
        <v>3</v>
      </c>
      <c r="AG146">
        <v>2.0999999999999999E-3</v>
      </c>
      <c r="AH146">
        <v>3</v>
      </c>
      <c r="AI146">
        <v>-1</v>
      </c>
      <c r="AJ146" t="s">
        <v>3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3">
      <c r="A147">
        <f>ROW(Source!A119)</f>
        <v>119</v>
      </c>
      <c r="B147">
        <v>58754303</v>
      </c>
      <c r="C147">
        <v>56511631</v>
      </c>
      <c r="D147">
        <v>57688464</v>
      </c>
      <c r="E147">
        <v>1</v>
      </c>
      <c r="F147">
        <v>1</v>
      </c>
      <c r="G147">
        <v>1080</v>
      </c>
      <c r="H147">
        <v>3</v>
      </c>
      <c r="I147" t="s">
        <v>367</v>
      </c>
      <c r="J147" t="s">
        <v>368</v>
      </c>
      <c r="K147" t="s">
        <v>369</v>
      </c>
      <c r="L147">
        <v>1358</v>
      </c>
      <c r="N147">
        <v>1010</v>
      </c>
      <c r="O147" t="s">
        <v>42</v>
      </c>
      <c r="P147" t="s">
        <v>42</v>
      </c>
      <c r="Q147">
        <v>10</v>
      </c>
      <c r="X147">
        <v>0.01</v>
      </c>
      <c r="Y147">
        <v>5.46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 t="s">
        <v>3</v>
      </c>
      <c r="AG147">
        <v>0.01</v>
      </c>
      <c r="AH147">
        <v>3</v>
      </c>
      <c r="AI147">
        <v>-1</v>
      </c>
      <c r="AJ147" t="s">
        <v>3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3">
      <c r="A148">
        <f>ROW(Source!A119)</f>
        <v>119</v>
      </c>
      <c r="B148">
        <v>58754304</v>
      </c>
      <c r="C148">
        <v>56511631</v>
      </c>
      <c r="D148">
        <v>57687873</v>
      </c>
      <c r="E148">
        <v>1</v>
      </c>
      <c r="F148">
        <v>1</v>
      </c>
      <c r="G148">
        <v>1080</v>
      </c>
      <c r="H148">
        <v>3</v>
      </c>
      <c r="I148" t="s">
        <v>370</v>
      </c>
      <c r="J148" t="s">
        <v>371</v>
      </c>
      <c r="K148" t="s">
        <v>372</v>
      </c>
      <c r="L148">
        <v>1356</v>
      </c>
      <c r="N148">
        <v>1010</v>
      </c>
      <c r="O148" t="s">
        <v>318</v>
      </c>
      <c r="P148" t="s">
        <v>318</v>
      </c>
      <c r="Q148">
        <v>1000</v>
      </c>
      <c r="X148">
        <v>0.11</v>
      </c>
      <c r="Y148">
        <v>919.92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 t="s">
        <v>3</v>
      </c>
      <c r="AG148">
        <v>0.11</v>
      </c>
      <c r="AH148">
        <v>3</v>
      </c>
      <c r="AI148">
        <v>-1</v>
      </c>
      <c r="AJ148" t="s">
        <v>3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3">
      <c r="A149">
        <f>ROW(Source!A119)</f>
        <v>119</v>
      </c>
      <c r="B149">
        <v>58754305</v>
      </c>
      <c r="C149">
        <v>56511631</v>
      </c>
      <c r="D149">
        <v>57631403</v>
      </c>
      <c r="E149">
        <v>1080</v>
      </c>
      <c r="F149">
        <v>1</v>
      </c>
      <c r="G149">
        <v>1080</v>
      </c>
      <c r="H149">
        <v>3</v>
      </c>
      <c r="I149" t="s">
        <v>373</v>
      </c>
      <c r="J149" t="s">
        <v>3</v>
      </c>
      <c r="K149" t="s">
        <v>374</v>
      </c>
      <c r="L149">
        <v>1301</v>
      </c>
      <c r="N149">
        <v>1003</v>
      </c>
      <c r="O149" t="s">
        <v>163</v>
      </c>
      <c r="P149" t="s">
        <v>163</v>
      </c>
      <c r="Q149">
        <v>1</v>
      </c>
      <c r="X149">
        <v>102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 t="s">
        <v>3</v>
      </c>
      <c r="AG149">
        <v>102</v>
      </c>
      <c r="AH149">
        <v>3</v>
      </c>
      <c r="AI149">
        <v>-1</v>
      </c>
      <c r="AJ149" t="s">
        <v>3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3">
      <c r="A150">
        <f>ROW(Source!A119)</f>
        <v>119</v>
      </c>
      <c r="B150">
        <v>58754306</v>
      </c>
      <c r="C150">
        <v>56511631</v>
      </c>
      <c r="D150">
        <v>57635042</v>
      </c>
      <c r="E150">
        <v>1080</v>
      </c>
      <c r="F150">
        <v>1</v>
      </c>
      <c r="G150">
        <v>1080</v>
      </c>
      <c r="H150">
        <v>3</v>
      </c>
      <c r="I150" t="s">
        <v>375</v>
      </c>
      <c r="J150" t="s">
        <v>3</v>
      </c>
      <c r="K150" t="s">
        <v>376</v>
      </c>
      <c r="L150">
        <v>1354</v>
      </c>
      <c r="N150">
        <v>1010</v>
      </c>
      <c r="O150" t="s">
        <v>32</v>
      </c>
      <c r="P150" t="s">
        <v>32</v>
      </c>
      <c r="Q150">
        <v>1</v>
      </c>
      <c r="X150">
        <v>18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 t="s">
        <v>3</v>
      </c>
      <c r="AG150">
        <v>18</v>
      </c>
      <c r="AH150">
        <v>3</v>
      </c>
      <c r="AI150">
        <v>-1</v>
      </c>
      <c r="AJ150" t="s">
        <v>3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3">
      <c r="A151">
        <f>ROW(Source!A119)</f>
        <v>119</v>
      </c>
      <c r="B151">
        <v>58754307</v>
      </c>
      <c r="C151">
        <v>56511631</v>
      </c>
      <c r="D151">
        <v>57635054</v>
      </c>
      <c r="E151">
        <v>1080</v>
      </c>
      <c r="F151">
        <v>1</v>
      </c>
      <c r="G151">
        <v>1080</v>
      </c>
      <c r="H151">
        <v>3</v>
      </c>
      <c r="I151" t="s">
        <v>377</v>
      </c>
      <c r="J151" t="s">
        <v>3</v>
      </c>
      <c r="K151" t="s">
        <v>378</v>
      </c>
      <c r="L151">
        <v>1356</v>
      </c>
      <c r="N151">
        <v>1010</v>
      </c>
      <c r="O151" t="s">
        <v>318</v>
      </c>
      <c r="P151" t="s">
        <v>318</v>
      </c>
      <c r="Q151">
        <v>1000</v>
      </c>
      <c r="X151">
        <v>1.7999999999999999E-2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 t="s">
        <v>3</v>
      </c>
      <c r="AG151">
        <v>1.7999999999999999E-2</v>
      </c>
      <c r="AH151">
        <v>3</v>
      </c>
      <c r="AI151">
        <v>-1</v>
      </c>
      <c r="AJ151" t="s">
        <v>3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3">
      <c r="A152">
        <f>ROW(Source!A119)</f>
        <v>119</v>
      </c>
      <c r="B152">
        <v>58754308</v>
      </c>
      <c r="C152">
        <v>56511631</v>
      </c>
      <c r="D152">
        <v>57637110</v>
      </c>
      <c r="E152">
        <v>1080</v>
      </c>
      <c r="F152">
        <v>1</v>
      </c>
      <c r="G152">
        <v>1080</v>
      </c>
      <c r="H152">
        <v>3</v>
      </c>
      <c r="I152" t="s">
        <v>379</v>
      </c>
      <c r="J152" t="s">
        <v>3</v>
      </c>
      <c r="K152" t="s">
        <v>380</v>
      </c>
      <c r="L152">
        <v>1354</v>
      </c>
      <c r="N152">
        <v>1010</v>
      </c>
      <c r="O152" t="s">
        <v>32</v>
      </c>
      <c r="P152" t="s">
        <v>32</v>
      </c>
      <c r="Q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 t="s">
        <v>3</v>
      </c>
      <c r="AG152">
        <v>0</v>
      </c>
      <c r="AH152">
        <v>3</v>
      </c>
      <c r="AI152">
        <v>-1</v>
      </c>
      <c r="AJ152" t="s">
        <v>3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3">
      <c r="A153">
        <f>ROW(Source!A120)</f>
        <v>120</v>
      </c>
      <c r="B153">
        <v>58754295</v>
      </c>
      <c r="C153">
        <v>56511631</v>
      </c>
      <c r="D153">
        <v>57621905</v>
      </c>
      <c r="E153">
        <v>1080</v>
      </c>
      <c r="F153">
        <v>1</v>
      </c>
      <c r="G153">
        <v>1080</v>
      </c>
      <c r="H153">
        <v>1</v>
      </c>
      <c r="I153" t="s">
        <v>227</v>
      </c>
      <c r="J153" t="s">
        <v>3</v>
      </c>
      <c r="K153" t="s">
        <v>228</v>
      </c>
      <c r="L153">
        <v>1191</v>
      </c>
      <c r="N153">
        <v>1013</v>
      </c>
      <c r="O153" t="s">
        <v>229</v>
      </c>
      <c r="P153" t="s">
        <v>229</v>
      </c>
      <c r="Q153">
        <v>1</v>
      </c>
      <c r="X153">
        <v>20.7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1</v>
      </c>
      <c r="AF153" t="s">
        <v>24</v>
      </c>
      <c r="AG153">
        <v>22.77</v>
      </c>
      <c r="AH153">
        <v>3</v>
      </c>
      <c r="AI153">
        <v>-1</v>
      </c>
      <c r="AJ153" t="s">
        <v>3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3">
      <c r="A154">
        <f>ROW(Source!A120)</f>
        <v>120</v>
      </c>
      <c r="B154">
        <v>58754296</v>
      </c>
      <c r="C154">
        <v>56511631</v>
      </c>
      <c r="D154">
        <v>57695780</v>
      </c>
      <c r="E154">
        <v>1</v>
      </c>
      <c r="F154">
        <v>1</v>
      </c>
      <c r="G154">
        <v>1080</v>
      </c>
      <c r="H154">
        <v>2</v>
      </c>
      <c r="I154" t="s">
        <v>251</v>
      </c>
      <c r="J154" t="s">
        <v>252</v>
      </c>
      <c r="K154" t="s">
        <v>253</v>
      </c>
      <c r="L154">
        <v>1368</v>
      </c>
      <c r="N154">
        <v>1011</v>
      </c>
      <c r="O154" t="s">
        <v>233</v>
      </c>
      <c r="P154" t="s">
        <v>233</v>
      </c>
      <c r="Q154">
        <v>1</v>
      </c>
      <c r="X154">
        <v>2.33</v>
      </c>
      <c r="Y154">
        <v>0</v>
      </c>
      <c r="Z154">
        <v>7.11</v>
      </c>
      <c r="AA154">
        <v>0</v>
      </c>
      <c r="AB154">
        <v>0</v>
      </c>
      <c r="AC154">
        <v>0</v>
      </c>
      <c r="AD154">
        <v>1</v>
      </c>
      <c r="AE154">
        <v>0</v>
      </c>
      <c r="AF154" t="s">
        <v>24</v>
      </c>
      <c r="AG154">
        <v>2.5630000000000002</v>
      </c>
      <c r="AH154">
        <v>3</v>
      </c>
      <c r="AI154">
        <v>-1</v>
      </c>
      <c r="AJ154" t="s">
        <v>3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3">
      <c r="A155">
        <f>ROW(Source!A120)</f>
        <v>120</v>
      </c>
      <c r="B155">
        <v>58754297</v>
      </c>
      <c r="C155">
        <v>56511631</v>
      </c>
      <c r="D155">
        <v>57696079</v>
      </c>
      <c r="E155">
        <v>1</v>
      </c>
      <c r="F155">
        <v>1</v>
      </c>
      <c r="G155">
        <v>1080</v>
      </c>
      <c r="H155">
        <v>2</v>
      </c>
      <c r="I155" t="s">
        <v>230</v>
      </c>
      <c r="J155" t="s">
        <v>231</v>
      </c>
      <c r="K155" t="s">
        <v>232</v>
      </c>
      <c r="L155">
        <v>1368</v>
      </c>
      <c r="N155">
        <v>1011</v>
      </c>
      <c r="O155" t="s">
        <v>233</v>
      </c>
      <c r="P155" t="s">
        <v>233</v>
      </c>
      <c r="Q155">
        <v>1</v>
      </c>
      <c r="X155">
        <v>0.1</v>
      </c>
      <c r="Y155">
        <v>0</v>
      </c>
      <c r="Z155">
        <v>83.1</v>
      </c>
      <c r="AA155">
        <v>12.62</v>
      </c>
      <c r="AB155">
        <v>0</v>
      </c>
      <c r="AC155">
        <v>0</v>
      </c>
      <c r="AD155">
        <v>1</v>
      </c>
      <c r="AE155">
        <v>0</v>
      </c>
      <c r="AF155" t="s">
        <v>24</v>
      </c>
      <c r="AG155">
        <v>0.11000000000000001</v>
      </c>
      <c r="AH155">
        <v>3</v>
      </c>
      <c r="AI155">
        <v>-1</v>
      </c>
      <c r="AJ155" t="s">
        <v>3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3">
      <c r="A156">
        <f>ROW(Source!A120)</f>
        <v>120</v>
      </c>
      <c r="B156">
        <v>58754298</v>
      </c>
      <c r="C156">
        <v>56511631</v>
      </c>
      <c r="D156">
        <v>57696131</v>
      </c>
      <c r="E156">
        <v>1</v>
      </c>
      <c r="F156">
        <v>1</v>
      </c>
      <c r="G156">
        <v>1080</v>
      </c>
      <c r="H156">
        <v>2</v>
      </c>
      <c r="I156" t="s">
        <v>306</v>
      </c>
      <c r="J156" t="s">
        <v>307</v>
      </c>
      <c r="K156" t="s">
        <v>308</v>
      </c>
      <c r="L156">
        <v>1368</v>
      </c>
      <c r="N156">
        <v>1011</v>
      </c>
      <c r="O156" t="s">
        <v>233</v>
      </c>
      <c r="P156" t="s">
        <v>233</v>
      </c>
      <c r="Q156">
        <v>1</v>
      </c>
      <c r="X156">
        <v>4.17</v>
      </c>
      <c r="Y156">
        <v>0</v>
      </c>
      <c r="Z156">
        <v>0.77</v>
      </c>
      <c r="AA156">
        <v>0</v>
      </c>
      <c r="AB156">
        <v>0</v>
      </c>
      <c r="AC156">
        <v>0</v>
      </c>
      <c r="AD156">
        <v>1</v>
      </c>
      <c r="AE156">
        <v>0</v>
      </c>
      <c r="AF156" t="s">
        <v>24</v>
      </c>
      <c r="AG156">
        <v>4.5870000000000006</v>
      </c>
      <c r="AH156">
        <v>3</v>
      </c>
      <c r="AI156">
        <v>-1</v>
      </c>
      <c r="AJ156" t="s">
        <v>3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3">
      <c r="A157">
        <f>ROW(Source!A120)</f>
        <v>120</v>
      </c>
      <c r="B157">
        <v>58754299</v>
      </c>
      <c r="C157">
        <v>56511631</v>
      </c>
      <c r="D157">
        <v>57665459</v>
      </c>
      <c r="E157">
        <v>1</v>
      </c>
      <c r="F157">
        <v>1</v>
      </c>
      <c r="G157">
        <v>1080</v>
      </c>
      <c r="H157">
        <v>3</v>
      </c>
      <c r="I157" t="s">
        <v>354</v>
      </c>
      <c r="J157" t="s">
        <v>355</v>
      </c>
      <c r="K157" t="s">
        <v>356</v>
      </c>
      <c r="L157">
        <v>1348</v>
      </c>
      <c r="N157">
        <v>1009</v>
      </c>
      <c r="O157" t="s">
        <v>240</v>
      </c>
      <c r="P157" t="s">
        <v>240</v>
      </c>
      <c r="Q157">
        <v>1000</v>
      </c>
      <c r="X157">
        <v>9.6000000000000002E-4</v>
      </c>
      <c r="Y157">
        <v>8590.86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 t="s">
        <v>3</v>
      </c>
      <c r="AG157">
        <v>9.6000000000000002E-4</v>
      </c>
      <c r="AH157">
        <v>3</v>
      </c>
      <c r="AI157">
        <v>-1</v>
      </c>
      <c r="AJ157" t="s">
        <v>3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3">
      <c r="A158">
        <f>ROW(Source!A120)</f>
        <v>120</v>
      </c>
      <c r="B158">
        <v>58754300</v>
      </c>
      <c r="C158">
        <v>56511631</v>
      </c>
      <c r="D158">
        <v>57664417</v>
      </c>
      <c r="E158">
        <v>1</v>
      </c>
      <c r="F158">
        <v>1</v>
      </c>
      <c r="G158">
        <v>1080</v>
      </c>
      <c r="H158">
        <v>3</v>
      </c>
      <c r="I158" t="s">
        <v>357</v>
      </c>
      <c r="J158" t="s">
        <v>358</v>
      </c>
      <c r="K158" t="s">
        <v>359</v>
      </c>
      <c r="L158">
        <v>1354</v>
      </c>
      <c r="N158">
        <v>1010</v>
      </c>
      <c r="O158" t="s">
        <v>32</v>
      </c>
      <c r="P158" t="s">
        <v>32</v>
      </c>
      <c r="Q158">
        <v>1</v>
      </c>
      <c r="X158">
        <v>220</v>
      </c>
      <c r="Y158">
        <v>3.86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 t="s">
        <v>3</v>
      </c>
      <c r="AG158">
        <v>220</v>
      </c>
      <c r="AH158">
        <v>3</v>
      </c>
      <c r="AI158">
        <v>-1</v>
      </c>
      <c r="AJ158" t="s">
        <v>3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3">
      <c r="A159">
        <f>ROW(Source!A120)</f>
        <v>120</v>
      </c>
      <c r="B159">
        <v>58754301</v>
      </c>
      <c r="C159">
        <v>56511631</v>
      </c>
      <c r="D159">
        <v>57666737</v>
      </c>
      <c r="E159">
        <v>1</v>
      </c>
      <c r="F159">
        <v>1</v>
      </c>
      <c r="G159">
        <v>1080</v>
      </c>
      <c r="H159">
        <v>3</v>
      </c>
      <c r="I159" t="s">
        <v>360</v>
      </c>
      <c r="J159" t="s">
        <v>361</v>
      </c>
      <c r="K159" t="s">
        <v>362</v>
      </c>
      <c r="L159">
        <v>1296</v>
      </c>
      <c r="N159">
        <v>1002</v>
      </c>
      <c r="O159" t="s">
        <v>363</v>
      </c>
      <c r="P159" t="s">
        <v>363</v>
      </c>
      <c r="Q159">
        <v>1</v>
      </c>
      <c r="X159">
        <v>0.157</v>
      </c>
      <c r="Y159">
        <v>35.4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 t="s">
        <v>3</v>
      </c>
      <c r="AG159">
        <v>0.157</v>
      </c>
      <c r="AH159">
        <v>3</v>
      </c>
      <c r="AI159">
        <v>-1</v>
      </c>
      <c r="AJ159" t="s">
        <v>3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3">
      <c r="A160">
        <f>ROW(Source!A120)</f>
        <v>120</v>
      </c>
      <c r="B160">
        <v>58754302</v>
      </c>
      <c r="C160">
        <v>56511631</v>
      </c>
      <c r="D160">
        <v>57664894</v>
      </c>
      <c r="E160">
        <v>1</v>
      </c>
      <c r="F160">
        <v>1</v>
      </c>
      <c r="G160">
        <v>1080</v>
      </c>
      <c r="H160">
        <v>3</v>
      </c>
      <c r="I160" t="s">
        <v>364</v>
      </c>
      <c r="J160" t="s">
        <v>365</v>
      </c>
      <c r="K160" t="s">
        <v>366</v>
      </c>
      <c r="L160">
        <v>1348</v>
      </c>
      <c r="N160">
        <v>1009</v>
      </c>
      <c r="O160" t="s">
        <v>240</v>
      </c>
      <c r="P160" t="s">
        <v>240</v>
      </c>
      <c r="Q160">
        <v>1000</v>
      </c>
      <c r="X160">
        <v>2.0999999999999999E-3</v>
      </c>
      <c r="Y160">
        <v>7973.67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 t="s">
        <v>3</v>
      </c>
      <c r="AG160">
        <v>2.0999999999999999E-3</v>
      </c>
      <c r="AH160">
        <v>3</v>
      </c>
      <c r="AI160">
        <v>-1</v>
      </c>
      <c r="AJ160" t="s">
        <v>3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3">
      <c r="A161">
        <f>ROW(Source!A120)</f>
        <v>120</v>
      </c>
      <c r="B161">
        <v>58754303</v>
      </c>
      <c r="C161">
        <v>56511631</v>
      </c>
      <c r="D161">
        <v>57688464</v>
      </c>
      <c r="E161">
        <v>1</v>
      </c>
      <c r="F161">
        <v>1</v>
      </c>
      <c r="G161">
        <v>1080</v>
      </c>
      <c r="H161">
        <v>3</v>
      </c>
      <c r="I161" t="s">
        <v>367</v>
      </c>
      <c r="J161" t="s">
        <v>368</v>
      </c>
      <c r="K161" t="s">
        <v>369</v>
      </c>
      <c r="L161">
        <v>1358</v>
      </c>
      <c r="N161">
        <v>1010</v>
      </c>
      <c r="O161" t="s">
        <v>42</v>
      </c>
      <c r="P161" t="s">
        <v>42</v>
      </c>
      <c r="Q161">
        <v>10</v>
      </c>
      <c r="X161">
        <v>0.01</v>
      </c>
      <c r="Y161">
        <v>5.46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0</v>
      </c>
      <c r="AF161" t="s">
        <v>3</v>
      </c>
      <c r="AG161">
        <v>0.01</v>
      </c>
      <c r="AH161">
        <v>3</v>
      </c>
      <c r="AI161">
        <v>-1</v>
      </c>
      <c r="AJ161" t="s">
        <v>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3">
      <c r="A162">
        <f>ROW(Source!A120)</f>
        <v>120</v>
      </c>
      <c r="B162">
        <v>58754304</v>
      </c>
      <c r="C162">
        <v>56511631</v>
      </c>
      <c r="D162">
        <v>57687873</v>
      </c>
      <c r="E162">
        <v>1</v>
      </c>
      <c r="F162">
        <v>1</v>
      </c>
      <c r="G162">
        <v>1080</v>
      </c>
      <c r="H162">
        <v>3</v>
      </c>
      <c r="I162" t="s">
        <v>370</v>
      </c>
      <c r="J162" t="s">
        <v>371</v>
      </c>
      <c r="K162" t="s">
        <v>372</v>
      </c>
      <c r="L162">
        <v>1356</v>
      </c>
      <c r="N162">
        <v>1010</v>
      </c>
      <c r="O162" t="s">
        <v>318</v>
      </c>
      <c r="P162" t="s">
        <v>318</v>
      </c>
      <c r="Q162">
        <v>1000</v>
      </c>
      <c r="X162">
        <v>0.11</v>
      </c>
      <c r="Y162">
        <v>919.92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 t="s">
        <v>3</v>
      </c>
      <c r="AG162">
        <v>0.11</v>
      </c>
      <c r="AH162">
        <v>3</v>
      </c>
      <c r="AI162">
        <v>-1</v>
      </c>
      <c r="AJ162" t="s">
        <v>3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3">
      <c r="A163">
        <f>ROW(Source!A120)</f>
        <v>120</v>
      </c>
      <c r="B163">
        <v>58754305</v>
      </c>
      <c r="C163">
        <v>56511631</v>
      </c>
      <c r="D163">
        <v>57631403</v>
      </c>
      <c r="E163">
        <v>1080</v>
      </c>
      <c r="F163">
        <v>1</v>
      </c>
      <c r="G163">
        <v>1080</v>
      </c>
      <c r="H163">
        <v>3</v>
      </c>
      <c r="I163" t="s">
        <v>373</v>
      </c>
      <c r="J163" t="s">
        <v>3</v>
      </c>
      <c r="K163" t="s">
        <v>374</v>
      </c>
      <c r="L163">
        <v>1301</v>
      </c>
      <c r="N163">
        <v>1003</v>
      </c>
      <c r="O163" t="s">
        <v>163</v>
      </c>
      <c r="P163" t="s">
        <v>163</v>
      </c>
      <c r="Q163">
        <v>1</v>
      </c>
      <c r="X163">
        <v>102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 t="s">
        <v>3</v>
      </c>
      <c r="AG163">
        <v>102</v>
      </c>
      <c r="AH163">
        <v>3</v>
      </c>
      <c r="AI163">
        <v>-1</v>
      </c>
      <c r="AJ163" t="s">
        <v>3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3">
      <c r="A164">
        <f>ROW(Source!A120)</f>
        <v>120</v>
      </c>
      <c r="B164">
        <v>58754306</v>
      </c>
      <c r="C164">
        <v>56511631</v>
      </c>
      <c r="D164">
        <v>57635042</v>
      </c>
      <c r="E164">
        <v>1080</v>
      </c>
      <c r="F164">
        <v>1</v>
      </c>
      <c r="G164">
        <v>1080</v>
      </c>
      <c r="H164">
        <v>3</v>
      </c>
      <c r="I164" t="s">
        <v>375</v>
      </c>
      <c r="J164" t="s">
        <v>3</v>
      </c>
      <c r="K164" t="s">
        <v>376</v>
      </c>
      <c r="L164">
        <v>1354</v>
      </c>
      <c r="N164">
        <v>1010</v>
      </c>
      <c r="O164" t="s">
        <v>32</v>
      </c>
      <c r="P164" t="s">
        <v>32</v>
      </c>
      <c r="Q164">
        <v>1</v>
      </c>
      <c r="X164">
        <v>18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 t="s">
        <v>3</v>
      </c>
      <c r="AG164">
        <v>18</v>
      </c>
      <c r="AH164">
        <v>3</v>
      </c>
      <c r="AI164">
        <v>-1</v>
      </c>
      <c r="AJ164" t="s">
        <v>3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3">
      <c r="A165">
        <f>ROW(Source!A120)</f>
        <v>120</v>
      </c>
      <c r="B165">
        <v>58754307</v>
      </c>
      <c r="C165">
        <v>56511631</v>
      </c>
      <c r="D165">
        <v>57635054</v>
      </c>
      <c r="E165">
        <v>1080</v>
      </c>
      <c r="F165">
        <v>1</v>
      </c>
      <c r="G165">
        <v>1080</v>
      </c>
      <c r="H165">
        <v>3</v>
      </c>
      <c r="I165" t="s">
        <v>377</v>
      </c>
      <c r="J165" t="s">
        <v>3</v>
      </c>
      <c r="K165" t="s">
        <v>378</v>
      </c>
      <c r="L165">
        <v>1356</v>
      </c>
      <c r="N165">
        <v>1010</v>
      </c>
      <c r="O165" t="s">
        <v>318</v>
      </c>
      <c r="P165" t="s">
        <v>318</v>
      </c>
      <c r="Q165">
        <v>1000</v>
      </c>
      <c r="X165">
        <v>1.7999999999999999E-2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 t="s">
        <v>3</v>
      </c>
      <c r="AG165">
        <v>1.7999999999999999E-2</v>
      </c>
      <c r="AH165">
        <v>3</v>
      </c>
      <c r="AI165">
        <v>-1</v>
      </c>
      <c r="AJ165" t="s">
        <v>3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3">
      <c r="A166">
        <f>ROW(Source!A120)</f>
        <v>120</v>
      </c>
      <c r="B166">
        <v>58754308</v>
      </c>
      <c r="C166">
        <v>56511631</v>
      </c>
      <c r="D166">
        <v>57637110</v>
      </c>
      <c r="E166">
        <v>1080</v>
      </c>
      <c r="F166">
        <v>1</v>
      </c>
      <c r="G166">
        <v>1080</v>
      </c>
      <c r="H166">
        <v>3</v>
      </c>
      <c r="I166" t="s">
        <v>379</v>
      </c>
      <c r="J166" t="s">
        <v>3</v>
      </c>
      <c r="K166" t="s">
        <v>380</v>
      </c>
      <c r="L166">
        <v>1354</v>
      </c>
      <c r="N166">
        <v>1010</v>
      </c>
      <c r="O166" t="s">
        <v>32</v>
      </c>
      <c r="P166" t="s">
        <v>32</v>
      </c>
      <c r="Q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 t="s">
        <v>3</v>
      </c>
      <c r="AG166">
        <v>0</v>
      </c>
      <c r="AH166">
        <v>3</v>
      </c>
      <c r="AI166">
        <v>-1</v>
      </c>
      <c r="AJ166" t="s">
        <v>3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3">
      <c r="A167">
        <f>ROW(Source!A125)</f>
        <v>125</v>
      </c>
      <c r="B167">
        <v>58754309</v>
      </c>
      <c r="C167">
        <v>56511814</v>
      </c>
      <c r="D167">
        <v>57621905</v>
      </c>
      <c r="E167">
        <v>1080</v>
      </c>
      <c r="F167">
        <v>1</v>
      </c>
      <c r="G167">
        <v>1080</v>
      </c>
      <c r="H167">
        <v>1</v>
      </c>
      <c r="I167" t="s">
        <v>227</v>
      </c>
      <c r="J167" t="s">
        <v>3</v>
      </c>
      <c r="K167" t="s">
        <v>228</v>
      </c>
      <c r="L167">
        <v>1191</v>
      </c>
      <c r="N167">
        <v>1013</v>
      </c>
      <c r="O167" t="s">
        <v>229</v>
      </c>
      <c r="P167" t="s">
        <v>229</v>
      </c>
      <c r="Q167">
        <v>1</v>
      </c>
      <c r="X167">
        <v>4.49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1</v>
      </c>
      <c r="AF167" t="s">
        <v>24</v>
      </c>
      <c r="AG167">
        <v>4.9390000000000009</v>
      </c>
      <c r="AH167">
        <v>3</v>
      </c>
      <c r="AI167">
        <v>-1</v>
      </c>
      <c r="AJ167" t="s">
        <v>3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3">
      <c r="A168">
        <f>ROW(Source!A125)</f>
        <v>125</v>
      </c>
      <c r="B168">
        <v>58754310</v>
      </c>
      <c r="C168">
        <v>56511814</v>
      </c>
      <c r="D168">
        <v>57696079</v>
      </c>
      <c r="E168">
        <v>1</v>
      </c>
      <c r="F168">
        <v>1</v>
      </c>
      <c r="G168">
        <v>1080</v>
      </c>
      <c r="H168">
        <v>2</v>
      </c>
      <c r="I168" t="s">
        <v>230</v>
      </c>
      <c r="J168" t="s">
        <v>231</v>
      </c>
      <c r="K168" t="s">
        <v>232</v>
      </c>
      <c r="L168">
        <v>1368</v>
      </c>
      <c r="N168">
        <v>1011</v>
      </c>
      <c r="O168" t="s">
        <v>233</v>
      </c>
      <c r="P168" t="s">
        <v>233</v>
      </c>
      <c r="Q168">
        <v>1</v>
      </c>
      <c r="X168">
        <v>0.01</v>
      </c>
      <c r="Y168">
        <v>0</v>
      </c>
      <c r="Z168">
        <v>83.1</v>
      </c>
      <c r="AA168">
        <v>12.62</v>
      </c>
      <c r="AB168">
        <v>0</v>
      </c>
      <c r="AC168">
        <v>0</v>
      </c>
      <c r="AD168">
        <v>1</v>
      </c>
      <c r="AE168">
        <v>0</v>
      </c>
      <c r="AF168" t="s">
        <v>24</v>
      </c>
      <c r="AG168">
        <v>1.1000000000000001E-2</v>
      </c>
      <c r="AH168">
        <v>3</v>
      </c>
      <c r="AI168">
        <v>-1</v>
      </c>
      <c r="AJ168" t="s">
        <v>3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3">
      <c r="A169">
        <f>ROW(Source!A125)</f>
        <v>125</v>
      </c>
      <c r="B169">
        <v>58754311</v>
      </c>
      <c r="C169">
        <v>56511814</v>
      </c>
      <c r="D169">
        <v>57695315</v>
      </c>
      <c r="E169">
        <v>1</v>
      </c>
      <c r="F169">
        <v>1</v>
      </c>
      <c r="G169">
        <v>1080</v>
      </c>
      <c r="H169">
        <v>2</v>
      </c>
      <c r="I169" t="s">
        <v>331</v>
      </c>
      <c r="J169" t="s">
        <v>332</v>
      </c>
      <c r="K169" t="s">
        <v>333</v>
      </c>
      <c r="L169">
        <v>1368</v>
      </c>
      <c r="N169">
        <v>1011</v>
      </c>
      <c r="O169" t="s">
        <v>233</v>
      </c>
      <c r="P169" t="s">
        <v>233</v>
      </c>
      <c r="Q169">
        <v>1</v>
      </c>
      <c r="X169">
        <v>0.01</v>
      </c>
      <c r="Y169">
        <v>0</v>
      </c>
      <c r="Z169">
        <v>179.17</v>
      </c>
      <c r="AA169">
        <v>16.93</v>
      </c>
      <c r="AB169">
        <v>0</v>
      </c>
      <c r="AC169">
        <v>0</v>
      </c>
      <c r="AD169">
        <v>1</v>
      </c>
      <c r="AE169">
        <v>0</v>
      </c>
      <c r="AF169" t="s">
        <v>24</v>
      </c>
      <c r="AG169">
        <v>1.1000000000000001E-2</v>
      </c>
      <c r="AH169">
        <v>3</v>
      </c>
      <c r="AI169">
        <v>-1</v>
      </c>
      <c r="AJ169" t="s">
        <v>3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3">
      <c r="A170">
        <f>ROW(Source!A125)</f>
        <v>125</v>
      </c>
      <c r="B170">
        <v>58754312</v>
      </c>
      <c r="C170">
        <v>56511814</v>
      </c>
      <c r="D170">
        <v>57665112</v>
      </c>
      <c r="E170">
        <v>1</v>
      </c>
      <c r="F170">
        <v>1</v>
      </c>
      <c r="G170">
        <v>1080</v>
      </c>
      <c r="H170">
        <v>3</v>
      </c>
      <c r="I170" t="s">
        <v>334</v>
      </c>
      <c r="J170" t="s">
        <v>335</v>
      </c>
      <c r="K170" t="s">
        <v>336</v>
      </c>
      <c r="L170">
        <v>1346</v>
      </c>
      <c r="N170">
        <v>1009</v>
      </c>
      <c r="O170" t="s">
        <v>284</v>
      </c>
      <c r="P170" t="s">
        <v>284</v>
      </c>
      <c r="Q170">
        <v>1</v>
      </c>
      <c r="X170">
        <v>0.43</v>
      </c>
      <c r="Y170">
        <v>1.38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 t="s">
        <v>3</v>
      </c>
      <c r="AG170">
        <v>0.43</v>
      </c>
      <c r="AH170">
        <v>3</v>
      </c>
      <c r="AI170">
        <v>-1</v>
      </c>
      <c r="AJ170" t="s">
        <v>3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3">
      <c r="A171">
        <f>ROW(Source!A125)</f>
        <v>125</v>
      </c>
      <c r="B171">
        <v>58754313</v>
      </c>
      <c r="C171">
        <v>56511814</v>
      </c>
      <c r="D171">
        <v>57665503</v>
      </c>
      <c r="E171">
        <v>1</v>
      </c>
      <c r="F171">
        <v>1</v>
      </c>
      <c r="G171">
        <v>1080</v>
      </c>
      <c r="H171">
        <v>3</v>
      </c>
      <c r="I171" t="s">
        <v>337</v>
      </c>
      <c r="J171" t="s">
        <v>338</v>
      </c>
      <c r="K171" t="s">
        <v>339</v>
      </c>
      <c r="L171">
        <v>1346</v>
      </c>
      <c r="N171">
        <v>1009</v>
      </c>
      <c r="O171" t="s">
        <v>284</v>
      </c>
      <c r="P171" t="s">
        <v>284</v>
      </c>
      <c r="Q171">
        <v>1</v>
      </c>
      <c r="X171">
        <v>0.16</v>
      </c>
      <c r="Y171">
        <v>159.06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 t="s">
        <v>3</v>
      </c>
      <c r="AG171">
        <v>0.16</v>
      </c>
      <c r="AH171">
        <v>3</v>
      </c>
      <c r="AI171">
        <v>-1</v>
      </c>
      <c r="AJ171" t="s">
        <v>3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3">
      <c r="A172">
        <f>ROW(Source!A125)</f>
        <v>125</v>
      </c>
      <c r="B172">
        <v>58754314</v>
      </c>
      <c r="C172">
        <v>56511814</v>
      </c>
      <c r="D172">
        <v>57688446</v>
      </c>
      <c r="E172">
        <v>1</v>
      </c>
      <c r="F172">
        <v>1</v>
      </c>
      <c r="G172">
        <v>1080</v>
      </c>
      <c r="H172">
        <v>3</v>
      </c>
      <c r="I172" t="s">
        <v>340</v>
      </c>
      <c r="J172" t="s">
        <v>341</v>
      </c>
      <c r="K172" t="s">
        <v>342</v>
      </c>
      <c r="L172">
        <v>1355</v>
      </c>
      <c r="N172">
        <v>1010</v>
      </c>
      <c r="O172" t="s">
        <v>172</v>
      </c>
      <c r="P172" t="s">
        <v>172</v>
      </c>
      <c r="Q172">
        <v>100</v>
      </c>
      <c r="X172">
        <v>0.05</v>
      </c>
      <c r="Y172">
        <v>68.819999999999993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 t="s">
        <v>3</v>
      </c>
      <c r="AG172">
        <v>0.05</v>
      </c>
      <c r="AH172">
        <v>3</v>
      </c>
      <c r="AI172">
        <v>-1</v>
      </c>
      <c r="AJ172" t="s">
        <v>3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3">
      <c r="A173">
        <f>ROW(Source!A125)</f>
        <v>125</v>
      </c>
      <c r="B173">
        <v>58754315</v>
      </c>
      <c r="C173">
        <v>56511814</v>
      </c>
      <c r="D173">
        <v>57688457</v>
      </c>
      <c r="E173">
        <v>1</v>
      </c>
      <c r="F173">
        <v>1</v>
      </c>
      <c r="G173">
        <v>1080</v>
      </c>
      <c r="H173">
        <v>3</v>
      </c>
      <c r="I173" t="s">
        <v>343</v>
      </c>
      <c r="J173" t="s">
        <v>344</v>
      </c>
      <c r="K173" t="s">
        <v>345</v>
      </c>
      <c r="L173">
        <v>1356</v>
      </c>
      <c r="N173">
        <v>1010</v>
      </c>
      <c r="O173" t="s">
        <v>318</v>
      </c>
      <c r="P173" t="s">
        <v>318</v>
      </c>
      <c r="Q173">
        <v>1000</v>
      </c>
      <c r="X173">
        <v>1.2200000000000001E-2</v>
      </c>
      <c r="Y173">
        <v>183.4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0</v>
      </c>
      <c r="AF173" t="s">
        <v>3</v>
      </c>
      <c r="AG173">
        <v>1.2200000000000001E-2</v>
      </c>
      <c r="AH173">
        <v>3</v>
      </c>
      <c r="AI173">
        <v>-1</v>
      </c>
      <c r="AJ173" t="s">
        <v>3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3">
      <c r="A174">
        <f>ROW(Source!A125)</f>
        <v>125</v>
      </c>
      <c r="B174">
        <v>58754316</v>
      </c>
      <c r="C174">
        <v>56511814</v>
      </c>
      <c r="D174">
        <v>57687783</v>
      </c>
      <c r="E174">
        <v>1</v>
      </c>
      <c r="F174">
        <v>1</v>
      </c>
      <c r="G174">
        <v>1080</v>
      </c>
      <c r="H174">
        <v>3</v>
      </c>
      <c r="I174" t="s">
        <v>346</v>
      </c>
      <c r="J174" t="s">
        <v>347</v>
      </c>
      <c r="K174" t="s">
        <v>348</v>
      </c>
      <c r="L174">
        <v>1354</v>
      </c>
      <c r="N174">
        <v>1010</v>
      </c>
      <c r="O174" t="s">
        <v>32</v>
      </c>
      <c r="P174" t="s">
        <v>32</v>
      </c>
      <c r="Q174">
        <v>1</v>
      </c>
      <c r="X174">
        <v>3.1</v>
      </c>
      <c r="Y174">
        <v>6.94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 t="s">
        <v>3</v>
      </c>
      <c r="AG174">
        <v>3.1</v>
      </c>
      <c r="AH174">
        <v>3</v>
      </c>
      <c r="AI174">
        <v>-1</v>
      </c>
      <c r="AJ174" t="s">
        <v>3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3">
      <c r="A175">
        <f>ROW(Source!A125)</f>
        <v>125</v>
      </c>
      <c r="B175">
        <v>58754317</v>
      </c>
      <c r="C175">
        <v>56511814</v>
      </c>
      <c r="D175">
        <v>57687790</v>
      </c>
      <c r="E175">
        <v>1</v>
      </c>
      <c r="F175">
        <v>1</v>
      </c>
      <c r="G175">
        <v>1080</v>
      </c>
      <c r="H175">
        <v>3</v>
      </c>
      <c r="I175" t="s">
        <v>349</v>
      </c>
      <c r="J175" t="s">
        <v>350</v>
      </c>
      <c r="K175" t="s">
        <v>351</v>
      </c>
      <c r="L175">
        <v>1356</v>
      </c>
      <c r="N175">
        <v>1010</v>
      </c>
      <c r="O175" t="s">
        <v>318</v>
      </c>
      <c r="P175" t="s">
        <v>318</v>
      </c>
      <c r="Q175">
        <v>1000</v>
      </c>
      <c r="X175">
        <v>8.0000000000000002E-3</v>
      </c>
      <c r="Y175">
        <v>614.09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 t="s">
        <v>3</v>
      </c>
      <c r="AG175">
        <v>8.0000000000000002E-3</v>
      </c>
      <c r="AH175">
        <v>3</v>
      </c>
      <c r="AI175">
        <v>-1</v>
      </c>
      <c r="AJ175" t="s">
        <v>3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3">
      <c r="A176">
        <f>ROW(Source!A125)</f>
        <v>125</v>
      </c>
      <c r="B176">
        <v>58754318</v>
      </c>
      <c r="C176">
        <v>56511814</v>
      </c>
      <c r="D176">
        <v>57637375</v>
      </c>
      <c r="E176">
        <v>1080</v>
      </c>
      <c r="F176">
        <v>1</v>
      </c>
      <c r="G176">
        <v>1080</v>
      </c>
      <c r="H176">
        <v>3</v>
      </c>
      <c r="I176" t="s">
        <v>352</v>
      </c>
      <c r="J176" t="s">
        <v>3</v>
      </c>
      <c r="K176" t="s">
        <v>353</v>
      </c>
      <c r="L176">
        <v>1303</v>
      </c>
      <c r="N176">
        <v>1003</v>
      </c>
      <c r="O176" t="s">
        <v>181</v>
      </c>
      <c r="P176" t="s">
        <v>181</v>
      </c>
      <c r="Q176">
        <v>1000</v>
      </c>
      <c r="X176">
        <v>0.10299999999999999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 t="s">
        <v>3</v>
      </c>
      <c r="AG176">
        <v>0.10299999999999999</v>
      </c>
      <c r="AH176">
        <v>3</v>
      </c>
      <c r="AI176">
        <v>-1</v>
      </c>
      <c r="AJ176" t="s">
        <v>3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3">
      <c r="A177">
        <f>ROW(Source!A126)</f>
        <v>126</v>
      </c>
      <c r="B177">
        <v>58754309</v>
      </c>
      <c r="C177">
        <v>56511814</v>
      </c>
      <c r="D177">
        <v>57621905</v>
      </c>
      <c r="E177">
        <v>1080</v>
      </c>
      <c r="F177">
        <v>1</v>
      </c>
      <c r="G177">
        <v>1080</v>
      </c>
      <c r="H177">
        <v>1</v>
      </c>
      <c r="I177" t="s">
        <v>227</v>
      </c>
      <c r="J177" t="s">
        <v>3</v>
      </c>
      <c r="K177" t="s">
        <v>228</v>
      </c>
      <c r="L177">
        <v>1191</v>
      </c>
      <c r="N177">
        <v>1013</v>
      </c>
      <c r="O177" t="s">
        <v>229</v>
      </c>
      <c r="P177" t="s">
        <v>229</v>
      </c>
      <c r="Q177">
        <v>1</v>
      </c>
      <c r="X177">
        <v>4.49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1</v>
      </c>
      <c r="AF177" t="s">
        <v>24</v>
      </c>
      <c r="AG177">
        <v>4.9390000000000009</v>
      </c>
      <c r="AH177">
        <v>3</v>
      </c>
      <c r="AI177">
        <v>-1</v>
      </c>
      <c r="AJ177" t="s">
        <v>3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3">
      <c r="A178">
        <f>ROW(Source!A126)</f>
        <v>126</v>
      </c>
      <c r="B178">
        <v>58754310</v>
      </c>
      <c r="C178">
        <v>56511814</v>
      </c>
      <c r="D178">
        <v>57696079</v>
      </c>
      <c r="E178">
        <v>1</v>
      </c>
      <c r="F178">
        <v>1</v>
      </c>
      <c r="G178">
        <v>1080</v>
      </c>
      <c r="H178">
        <v>2</v>
      </c>
      <c r="I178" t="s">
        <v>230</v>
      </c>
      <c r="J178" t="s">
        <v>231</v>
      </c>
      <c r="K178" t="s">
        <v>232</v>
      </c>
      <c r="L178">
        <v>1368</v>
      </c>
      <c r="N178">
        <v>1011</v>
      </c>
      <c r="O178" t="s">
        <v>233</v>
      </c>
      <c r="P178" t="s">
        <v>233</v>
      </c>
      <c r="Q178">
        <v>1</v>
      </c>
      <c r="X178">
        <v>0.01</v>
      </c>
      <c r="Y178">
        <v>0</v>
      </c>
      <c r="Z178">
        <v>83.1</v>
      </c>
      <c r="AA178">
        <v>12.62</v>
      </c>
      <c r="AB178">
        <v>0</v>
      </c>
      <c r="AC178">
        <v>0</v>
      </c>
      <c r="AD178">
        <v>1</v>
      </c>
      <c r="AE178">
        <v>0</v>
      </c>
      <c r="AF178" t="s">
        <v>24</v>
      </c>
      <c r="AG178">
        <v>1.1000000000000001E-2</v>
      </c>
      <c r="AH178">
        <v>3</v>
      </c>
      <c r="AI178">
        <v>-1</v>
      </c>
      <c r="AJ178" t="s">
        <v>3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3">
      <c r="A179">
        <f>ROW(Source!A126)</f>
        <v>126</v>
      </c>
      <c r="B179">
        <v>58754311</v>
      </c>
      <c r="C179">
        <v>56511814</v>
      </c>
      <c r="D179">
        <v>57695315</v>
      </c>
      <c r="E179">
        <v>1</v>
      </c>
      <c r="F179">
        <v>1</v>
      </c>
      <c r="G179">
        <v>1080</v>
      </c>
      <c r="H179">
        <v>2</v>
      </c>
      <c r="I179" t="s">
        <v>331</v>
      </c>
      <c r="J179" t="s">
        <v>332</v>
      </c>
      <c r="K179" t="s">
        <v>333</v>
      </c>
      <c r="L179">
        <v>1368</v>
      </c>
      <c r="N179">
        <v>1011</v>
      </c>
      <c r="O179" t="s">
        <v>233</v>
      </c>
      <c r="P179" t="s">
        <v>233</v>
      </c>
      <c r="Q179">
        <v>1</v>
      </c>
      <c r="X179">
        <v>0.01</v>
      </c>
      <c r="Y179">
        <v>0</v>
      </c>
      <c r="Z179">
        <v>179.17</v>
      </c>
      <c r="AA179">
        <v>16.93</v>
      </c>
      <c r="AB179">
        <v>0</v>
      </c>
      <c r="AC179">
        <v>0</v>
      </c>
      <c r="AD179">
        <v>1</v>
      </c>
      <c r="AE179">
        <v>0</v>
      </c>
      <c r="AF179" t="s">
        <v>24</v>
      </c>
      <c r="AG179">
        <v>1.1000000000000001E-2</v>
      </c>
      <c r="AH179">
        <v>3</v>
      </c>
      <c r="AI179">
        <v>-1</v>
      </c>
      <c r="AJ179" t="s">
        <v>3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3">
      <c r="A180">
        <f>ROW(Source!A126)</f>
        <v>126</v>
      </c>
      <c r="B180">
        <v>58754312</v>
      </c>
      <c r="C180">
        <v>56511814</v>
      </c>
      <c r="D180">
        <v>57665112</v>
      </c>
      <c r="E180">
        <v>1</v>
      </c>
      <c r="F180">
        <v>1</v>
      </c>
      <c r="G180">
        <v>1080</v>
      </c>
      <c r="H180">
        <v>3</v>
      </c>
      <c r="I180" t="s">
        <v>334</v>
      </c>
      <c r="J180" t="s">
        <v>335</v>
      </c>
      <c r="K180" t="s">
        <v>336</v>
      </c>
      <c r="L180">
        <v>1346</v>
      </c>
      <c r="N180">
        <v>1009</v>
      </c>
      <c r="O180" t="s">
        <v>284</v>
      </c>
      <c r="P180" t="s">
        <v>284</v>
      </c>
      <c r="Q180">
        <v>1</v>
      </c>
      <c r="X180">
        <v>0.43</v>
      </c>
      <c r="Y180">
        <v>1.38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 t="s">
        <v>3</v>
      </c>
      <c r="AG180">
        <v>0.43</v>
      </c>
      <c r="AH180">
        <v>3</v>
      </c>
      <c r="AI180">
        <v>-1</v>
      </c>
      <c r="AJ180" t="s">
        <v>3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3">
      <c r="A181">
        <f>ROW(Source!A126)</f>
        <v>126</v>
      </c>
      <c r="B181">
        <v>58754313</v>
      </c>
      <c r="C181">
        <v>56511814</v>
      </c>
      <c r="D181">
        <v>57665503</v>
      </c>
      <c r="E181">
        <v>1</v>
      </c>
      <c r="F181">
        <v>1</v>
      </c>
      <c r="G181">
        <v>1080</v>
      </c>
      <c r="H181">
        <v>3</v>
      </c>
      <c r="I181" t="s">
        <v>337</v>
      </c>
      <c r="J181" t="s">
        <v>338</v>
      </c>
      <c r="K181" t="s">
        <v>339</v>
      </c>
      <c r="L181">
        <v>1346</v>
      </c>
      <c r="N181">
        <v>1009</v>
      </c>
      <c r="O181" t="s">
        <v>284</v>
      </c>
      <c r="P181" t="s">
        <v>284</v>
      </c>
      <c r="Q181">
        <v>1</v>
      </c>
      <c r="X181">
        <v>0.16</v>
      </c>
      <c r="Y181">
        <v>159.06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0</v>
      </c>
      <c r="AF181" t="s">
        <v>3</v>
      </c>
      <c r="AG181">
        <v>0.16</v>
      </c>
      <c r="AH181">
        <v>3</v>
      </c>
      <c r="AI181">
        <v>-1</v>
      </c>
      <c r="AJ181" t="s">
        <v>3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3">
      <c r="A182">
        <f>ROW(Source!A126)</f>
        <v>126</v>
      </c>
      <c r="B182">
        <v>58754314</v>
      </c>
      <c r="C182">
        <v>56511814</v>
      </c>
      <c r="D182">
        <v>57688446</v>
      </c>
      <c r="E182">
        <v>1</v>
      </c>
      <c r="F182">
        <v>1</v>
      </c>
      <c r="G182">
        <v>1080</v>
      </c>
      <c r="H182">
        <v>3</v>
      </c>
      <c r="I182" t="s">
        <v>340</v>
      </c>
      <c r="J182" t="s">
        <v>341</v>
      </c>
      <c r="K182" t="s">
        <v>342</v>
      </c>
      <c r="L182">
        <v>1355</v>
      </c>
      <c r="N182">
        <v>1010</v>
      </c>
      <c r="O182" t="s">
        <v>172</v>
      </c>
      <c r="P182" t="s">
        <v>172</v>
      </c>
      <c r="Q182">
        <v>100</v>
      </c>
      <c r="X182">
        <v>0.05</v>
      </c>
      <c r="Y182">
        <v>68.819999999999993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 t="s">
        <v>3</v>
      </c>
      <c r="AG182">
        <v>0.05</v>
      </c>
      <c r="AH182">
        <v>3</v>
      </c>
      <c r="AI182">
        <v>-1</v>
      </c>
      <c r="AJ182" t="s">
        <v>3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3">
      <c r="A183">
        <f>ROW(Source!A126)</f>
        <v>126</v>
      </c>
      <c r="B183">
        <v>58754315</v>
      </c>
      <c r="C183">
        <v>56511814</v>
      </c>
      <c r="D183">
        <v>57688457</v>
      </c>
      <c r="E183">
        <v>1</v>
      </c>
      <c r="F183">
        <v>1</v>
      </c>
      <c r="G183">
        <v>1080</v>
      </c>
      <c r="H183">
        <v>3</v>
      </c>
      <c r="I183" t="s">
        <v>343</v>
      </c>
      <c r="J183" t="s">
        <v>344</v>
      </c>
      <c r="K183" t="s">
        <v>345</v>
      </c>
      <c r="L183">
        <v>1356</v>
      </c>
      <c r="N183">
        <v>1010</v>
      </c>
      <c r="O183" t="s">
        <v>318</v>
      </c>
      <c r="P183" t="s">
        <v>318</v>
      </c>
      <c r="Q183">
        <v>1000</v>
      </c>
      <c r="X183">
        <v>1.2200000000000001E-2</v>
      </c>
      <c r="Y183">
        <v>183.4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 t="s">
        <v>3</v>
      </c>
      <c r="AG183">
        <v>1.2200000000000001E-2</v>
      </c>
      <c r="AH183">
        <v>3</v>
      </c>
      <c r="AI183">
        <v>-1</v>
      </c>
      <c r="AJ183" t="s">
        <v>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3">
      <c r="A184">
        <f>ROW(Source!A126)</f>
        <v>126</v>
      </c>
      <c r="B184">
        <v>58754316</v>
      </c>
      <c r="C184">
        <v>56511814</v>
      </c>
      <c r="D184">
        <v>57687783</v>
      </c>
      <c r="E184">
        <v>1</v>
      </c>
      <c r="F184">
        <v>1</v>
      </c>
      <c r="G184">
        <v>1080</v>
      </c>
      <c r="H184">
        <v>3</v>
      </c>
      <c r="I184" t="s">
        <v>346</v>
      </c>
      <c r="J184" t="s">
        <v>347</v>
      </c>
      <c r="K184" t="s">
        <v>348</v>
      </c>
      <c r="L184">
        <v>1354</v>
      </c>
      <c r="N184">
        <v>1010</v>
      </c>
      <c r="O184" t="s">
        <v>32</v>
      </c>
      <c r="P184" t="s">
        <v>32</v>
      </c>
      <c r="Q184">
        <v>1</v>
      </c>
      <c r="X184">
        <v>3.1</v>
      </c>
      <c r="Y184">
        <v>6.94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 t="s">
        <v>3</v>
      </c>
      <c r="AG184">
        <v>3.1</v>
      </c>
      <c r="AH184">
        <v>3</v>
      </c>
      <c r="AI184">
        <v>-1</v>
      </c>
      <c r="AJ184" t="s">
        <v>3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3">
      <c r="A185">
        <f>ROW(Source!A126)</f>
        <v>126</v>
      </c>
      <c r="B185">
        <v>58754317</v>
      </c>
      <c r="C185">
        <v>56511814</v>
      </c>
      <c r="D185">
        <v>57687790</v>
      </c>
      <c r="E185">
        <v>1</v>
      </c>
      <c r="F185">
        <v>1</v>
      </c>
      <c r="G185">
        <v>1080</v>
      </c>
      <c r="H185">
        <v>3</v>
      </c>
      <c r="I185" t="s">
        <v>349</v>
      </c>
      <c r="J185" t="s">
        <v>350</v>
      </c>
      <c r="K185" t="s">
        <v>351</v>
      </c>
      <c r="L185">
        <v>1356</v>
      </c>
      <c r="N185">
        <v>1010</v>
      </c>
      <c r="O185" t="s">
        <v>318</v>
      </c>
      <c r="P185" t="s">
        <v>318</v>
      </c>
      <c r="Q185">
        <v>1000</v>
      </c>
      <c r="X185">
        <v>8.0000000000000002E-3</v>
      </c>
      <c r="Y185">
        <v>614.09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 t="s">
        <v>3</v>
      </c>
      <c r="AG185">
        <v>8.0000000000000002E-3</v>
      </c>
      <c r="AH185">
        <v>3</v>
      </c>
      <c r="AI185">
        <v>-1</v>
      </c>
      <c r="AJ185" t="s">
        <v>3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3">
      <c r="A186">
        <f>ROW(Source!A126)</f>
        <v>126</v>
      </c>
      <c r="B186">
        <v>58754318</v>
      </c>
      <c r="C186">
        <v>56511814</v>
      </c>
      <c r="D186">
        <v>57637375</v>
      </c>
      <c r="E186">
        <v>1080</v>
      </c>
      <c r="F186">
        <v>1</v>
      </c>
      <c r="G186">
        <v>1080</v>
      </c>
      <c r="H186">
        <v>3</v>
      </c>
      <c r="I186" t="s">
        <v>352</v>
      </c>
      <c r="J186" t="s">
        <v>3</v>
      </c>
      <c r="K186" t="s">
        <v>353</v>
      </c>
      <c r="L186">
        <v>1303</v>
      </c>
      <c r="N186">
        <v>1003</v>
      </c>
      <c r="O186" t="s">
        <v>181</v>
      </c>
      <c r="P186" t="s">
        <v>181</v>
      </c>
      <c r="Q186">
        <v>1000</v>
      </c>
      <c r="X186">
        <v>0.10299999999999999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 t="s">
        <v>3</v>
      </c>
      <c r="AG186">
        <v>0.10299999999999999</v>
      </c>
      <c r="AH186">
        <v>3</v>
      </c>
      <c r="AI186">
        <v>-1</v>
      </c>
      <c r="AJ186" t="s">
        <v>3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3">
      <c r="A187">
        <f>ROW(Source!A127)</f>
        <v>127</v>
      </c>
      <c r="B187">
        <v>58754319</v>
      </c>
      <c r="C187">
        <v>56511847</v>
      </c>
      <c r="D187">
        <v>57621905</v>
      </c>
      <c r="E187">
        <v>1080</v>
      </c>
      <c r="F187">
        <v>1</v>
      </c>
      <c r="G187">
        <v>1080</v>
      </c>
      <c r="H187">
        <v>1</v>
      </c>
      <c r="I187" t="s">
        <v>227</v>
      </c>
      <c r="J187" t="s">
        <v>3</v>
      </c>
      <c r="K187" t="s">
        <v>228</v>
      </c>
      <c r="L187">
        <v>1191</v>
      </c>
      <c r="N187">
        <v>1013</v>
      </c>
      <c r="O187" t="s">
        <v>229</v>
      </c>
      <c r="P187" t="s">
        <v>229</v>
      </c>
      <c r="Q187">
        <v>1</v>
      </c>
      <c r="X187">
        <v>1.83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1</v>
      </c>
      <c r="AF187" t="s">
        <v>24</v>
      </c>
      <c r="AG187">
        <v>2.0130000000000003</v>
      </c>
      <c r="AH187">
        <v>3</v>
      </c>
      <c r="AI187">
        <v>-1</v>
      </c>
      <c r="AJ187" t="s">
        <v>3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x14ac:dyDescent="0.3">
      <c r="A188">
        <f>ROW(Source!A127)</f>
        <v>127</v>
      </c>
      <c r="B188">
        <v>58754320</v>
      </c>
      <c r="C188">
        <v>56511847</v>
      </c>
      <c r="D188">
        <v>57696079</v>
      </c>
      <c r="E188">
        <v>1</v>
      </c>
      <c r="F188">
        <v>1</v>
      </c>
      <c r="G188">
        <v>1080</v>
      </c>
      <c r="H188">
        <v>2</v>
      </c>
      <c r="I188" t="s">
        <v>230</v>
      </c>
      <c r="J188" t="s">
        <v>231</v>
      </c>
      <c r="K188" t="s">
        <v>232</v>
      </c>
      <c r="L188">
        <v>1368</v>
      </c>
      <c r="N188">
        <v>1011</v>
      </c>
      <c r="O188" t="s">
        <v>233</v>
      </c>
      <c r="P188" t="s">
        <v>233</v>
      </c>
      <c r="Q188">
        <v>1</v>
      </c>
      <c r="X188">
        <v>0.01</v>
      </c>
      <c r="Y188">
        <v>0</v>
      </c>
      <c r="Z188">
        <v>83.1</v>
      </c>
      <c r="AA188">
        <v>12.62</v>
      </c>
      <c r="AB188">
        <v>0</v>
      </c>
      <c r="AC188">
        <v>0</v>
      </c>
      <c r="AD188">
        <v>1</v>
      </c>
      <c r="AE188">
        <v>0</v>
      </c>
      <c r="AF188" t="s">
        <v>24</v>
      </c>
      <c r="AG188">
        <v>1.1000000000000001E-2</v>
      </c>
      <c r="AH188">
        <v>3</v>
      </c>
      <c r="AI188">
        <v>-1</v>
      </c>
      <c r="AJ188" t="s">
        <v>3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3">
      <c r="A189">
        <f>ROW(Source!A127)</f>
        <v>127</v>
      </c>
      <c r="B189">
        <v>58754321</v>
      </c>
      <c r="C189">
        <v>56511847</v>
      </c>
      <c r="D189">
        <v>57695315</v>
      </c>
      <c r="E189">
        <v>1</v>
      </c>
      <c r="F189">
        <v>1</v>
      </c>
      <c r="G189">
        <v>1080</v>
      </c>
      <c r="H189">
        <v>2</v>
      </c>
      <c r="I189" t="s">
        <v>331</v>
      </c>
      <c r="J189" t="s">
        <v>332</v>
      </c>
      <c r="K189" t="s">
        <v>333</v>
      </c>
      <c r="L189">
        <v>1368</v>
      </c>
      <c r="N189">
        <v>1011</v>
      </c>
      <c r="O189" t="s">
        <v>233</v>
      </c>
      <c r="P189" t="s">
        <v>233</v>
      </c>
      <c r="Q189">
        <v>1</v>
      </c>
      <c r="X189">
        <v>0.01</v>
      </c>
      <c r="Y189">
        <v>0</v>
      </c>
      <c r="Z189">
        <v>179.17</v>
      </c>
      <c r="AA189">
        <v>16.93</v>
      </c>
      <c r="AB189">
        <v>0</v>
      </c>
      <c r="AC189">
        <v>0</v>
      </c>
      <c r="AD189">
        <v>1</v>
      </c>
      <c r="AE189">
        <v>0</v>
      </c>
      <c r="AF189" t="s">
        <v>24</v>
      </c>
      <c r="AG189">
        <v>1.1000000000000001E-2</v>
      </c>
      <c r="AH189">
        <v>3</v>
      </c>
      <c r="AI189">
        <v>-1</v>
      </c>
      <c r="AJ189" t="s">
        <v>3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3">
      <c r="A190">
        <f>ROW(Source!A127)</f>
        <v>127</v>
      </c>
      <c r="B190">
        <v>58754322</v>
      </c>
      <c r="C190">
        <v>56511847</v>
      </c>
      <c r="D190">
        <v>57665112</v>
      </c>
      <c r="E190">
        <v>1</v>
      </c>
      <c r="F190">
        <v>1</v>
      </c>
      <c r="G190">
        <v>1080</v>
      </c>
      <c r="H190">
        <v>3</v>
      </c>
      <c r="I190" t="s">
        <v>334</v>
      </c>
      <c r="J190" t="s">
        <v>335</v>
      </c>
      <c r="K190" t="s">
        <v>336</v>
      </c>
      <c r="L190">
        <v>1346</v>
      </c>
      <c r="N190">
        <v>1009</v>
      </c>
      <c r="O190" t="s">
        <v>284</v>
      </c>
      <c r="P190" t="s">
        <v>284</v>
      </c>
      <c r="Q190">
        <v>1</v>
      </c>
      <c r="X190">
        <v>0.6</v>
      </c>
      <c r="Y190">
        <v>1.38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 t="s">
        <v>3</v>
      </c>
      <c r="AG190">
        <v>0.6</v>
      </c>
      <c r="AH190">
        <v>3</v>
      </c>
      <c r="AI190">
        <v>-1</v>
      </c>
      <c r="AJ190" t="s">
        <v>3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3">
      <c r="A191">
        <f>ROW(Source!A127)</f>
        <v>127</v>
      </c>
      <c r="B191">
        <v>58754323</v>
      </c>
      <c r="C191">
        <v>56511847</v>
      </c>
      <c r="D191">
        <v>57665503</v>
      </c>
      <c r="E191">
        <v>1</v>
      </c>
      <c r="F191">
        <v>1</v>
      </c>
      <c r="G191">
        <v>1080</v>
      </c>
      <c r="H191">
        <v>3</v>
      </c>
      <c r="I191" t="s">
        <v>337</v>
      </c>
      <c r="J191" t="s">
        <v>338</v>
      </c>
      <c r="K191" t="s">
        <v>339</v>
      </c>
      <c r="L191">
        <v>1346</v>
      </c>
      <c r="N191">
        <v>1009</v>
      </c>
      <c r="O191" t="s">
        <v>284</v>
      </c>
      <c r="P191" t="s">
        <v>284</v>
      </c>
      <c r="Q191">
        <v>1</v>
      </c>
      <c r="X191">
        <v>0.16</v>
      </c>
      <c r="Y191">
        <v>159.06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 t="s">
        <v>3</v>
      </c>
      <c r="AG191">
        <v>0.16</v>
      </c>
      <c r="AH191">
        <v>3</v>
      </c>
      <c r="AI191">
        <v>-1</v>
      </c>
      <c r="AJ191" t="s">
        <v>3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3">
      <c r="A192">
        <f>ROW(Source!A127)</f>
        <v>127</v>
      </c>
      <c r="B192">
        <v>58754324</v>
      </c>
      <c r="C192">
        <v>56511847</v>
      </c>
      <c r="D192">
        <v>57688458</v>
      </c>
      <c r="E192">
        <v>1</v>
      </c>
      <c r="F192">
        <v>1</v>
      </c>
      <c r="G192">
        <v>1080</v>
      </c>
      <c r="H192">
        <v>3</v>
      </c>
      <c r="I192" t="s">
        <v>381</v>
      </c>
      <c r="J192" t="s">
        <v>382</v>
      </c>
      <c r="K192" t="s">
        <v>383</v>
      </c>
      <c r="L192">
        <v>1356</v>
      </c>
      <c r="N192">
        <v>1010</v>
      </c>
      <c r="O192" t="s">
        <v>318</v>
      </c>
      <c r="P192" t="s">
        <v>318</v>
      </c>
      <c r="Q192">
        <v>1000</v>
      </c>
      <c r="X192">
        <v>1.2200000000000001E-2</v>
      </c>
      <c r="Y192">
        <v>226.86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 t="s">
        <v>3</v>
      </c>
      <c r="AG192">
        <v>1.2200000000000001E-2</v>
      </c>
      <c r="AH192">
        <v>3</v>
      </c>
      <c r="AI192">
        <v>-1</v>
      </c>
      <c r="AJ192" t="s">
        <v>3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3">
      <c r="A193">
        <f>ROW(Source!A127)</f>
        <v>127</v>
      </c>
      <c r="B193">
        <v>58754325</v>
      </c>
      <c r="C193">
        <v>56511847</v>
      </c>
      <c r="D193">
        <v>57687783</v>
      </c>
      <c r="E193">
        <v>1</v>
      </c>
      <c r="F193">
        <v>1</v>
      </c>
      <c r="G193">
        <v>1080</v>
      </c>
      <c r="H193">
        <v>3</v>
      </c>
      <c r="I193" t="s">
        <v>346</v>
      </c>
      <c r="J193" t="s">
        <v>347</v>
      </c>
      <c r="K193" t="s">
        <v>348</v>
      </c>
      <c r="L193">
        <v>1354</v>
      </c>
      <c r="N193">
        <v>1010</v>
      </c>
      <c r="O193" t="s">
        <v>32</v>
      </c>
      <c r="P193" t="s">
        <v>32</v>
      </c>
      <c r="Q193">
        <v>1</v>
      </c>
      <c r="X193">
        <v>3.1</v>
      </c>
      <c r="Y193">
        <v>6.94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 t="s">
        <v>3</v>
      </c>
      <c r="AG193">
        <v>3.1</v>
      </c>
      <c r="AH193">
        <v>3</v>
      </c>
      <c r="AI193">
        <v>-1</v>
      </c>
      <c r="AJ193" t="s">
        <v>3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3">
      <c r="A194">
        <f>ROW(Source!A127)</f>
        <v>127</v>
      </c>
      <c r="B194">
        <v>58754326</v>
      </c>
      <c r="C194">
        <v>56511847</v>
      </c>
      <c r="D194">
        <v>57687791</v>
      </c>
      <c r="E194">
        <v>1</v>
      </c>
      <c r="F194">
        <v>1</v>
      </c>
      <c r="G194">
        <v>1080</v>
      </c>
      <c r="H194">
        <v>3</v>
      </c>
      <c r="I194" t="s">
        <v>384</v>
      </c>
      <c r="J194" t="s">
        <v>385</v>
      </c>
      <c r="K194" t="s">
        <v>386</v>
      </c>
      <c r="L194">
        <v>1356</v>
      </c>
      <c r="N194">
        <v>1010</v>
      </c>
      <c r="O194" t="s">
        <v>318</v>
      </c>
      <c r="P194" t="s">
        <v>318</v>
      </c>
      <c r="Q194">
        <v>1000</v>
      </c>
      <c r="X194">
        <v>8.0000000000000002E-3</v>
      </c>
      <c r="Y194">
        <v>614.09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 t="s">
        <v>3</v>
      </c>
      <c r="AG194">
        <v>8.0000000000000002E-3</v>
      </c>
      <c r="AH194">
        <v>3</v>
      </c>
      <c r="AI194">
        <v>-1</v>
      </c>
      <c r="AJ194" t="s">
        <v>3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3">
      <c r="A195">
        <f>ROW(Source!A127)</f>
        <v>127</v>
      </c>
      <c r="B195">
        <v>58754327</v>
      </c>
      <c r="C195">
        <v>56511847</v>
      </c>
      <c r="D195">
        <v>57637375</v>
      </c>
      <c r="E195">
        <v>1080</v>
      </c>
      <c r="F195">
        <v>1</v>
      </c>
      <c r="G195">
        <v>1080</v>
      </c>
      <c r="H195">
        <v>3</v>
      </c>
      <c r="I195" t="s">
        <v>352</v>
      </c>
      <c r="J195" t="s">
        <v>3</v>
      </c>
      <c r="K195" t="s">
        <v>353</v>
      </c>
      <c r="L195">
        <v>1303</v>
      </c>
      <c r="N195">
        <v>1003</v>
      </c>
      <c r="O195" t="s">
        <v>181</v>
      </c>
      <c r="P195" t="s">
        <v>181</v>
      </c>
      <c r="Q195">
        <v>1000</v>
      </c>
      <c r="X195">
        <v>0.10299999999999999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 t="s">
        <v>3</v>
      </c>
      <c r="AG195">
        <v>0.10299999999999999</v>
      </c>
      <c r="AH195">
        <v>3</v>
      </c>
      <c r="AI195">
        <v>-1</v>
      </c>
      <c r="AJ195" t="s">
        <v>3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3">
      <c r="A196">
        <f>ROW(Source!A128)</f>
        <v>128</v>
      </c>
      <c r="B196">
        <v>58754319</v>
      </c>
      <c r="C196">
        <v>56511847</v>
      </c>
      <c r="D196">
        <v>57621905</v>
      </c>
      <c r="E196">
        <v>1080</v>
      </c>
      <c r="F196">
        <v>1</v>
      </c>
      <c r="G196">
        <v>1080</v>
      </c>
      <c r="H196">
        <v>1</v>
      </c>
      <c r="I196" t="s">
        <v>227</v>
      </c>
      <c r="J196" t="s">
        <v>3</v>
      </c>
      <c r="K196" t="s">
        <v>228</v>
      </c>
      <c r="L196">
        <v>1191</v>
      </c>
      <c r="N196">
        <v>1013</v>
      </c>
      <c r="O196" t="s">
        <v>229</v>
      </c>
      <c r="P196" t="s">
        <v>229</v>
      </c>
      <c r="Q196">
        <v>1</v>
      </c>
      <c r="X196">
        <v>1.83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1</v>
      </c>
      <c r="AF196" t="s">
        <v>24</v>
      </c>
      <c r="AG196">
        <v>2.0130000000000003</v>
      </c>
      <c r="AH196">
        <v>3</v>
      </c>
      <c r="AI196">
        <v>-1</v>
      </c>
      <c r="AJ196" t="s">
        <v>3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3">
      <c r="A197">
        <f>ROW(Source!A128)</f>
        <v>128</v>
      </c>
      <c r="B197">
        <v>58754320</v>
      </c>
      <c r="C197">
        <v>56511847</v>
      </c>
      <c r="D197">
        <v>57696079</v>
      </c>
      <c r="E197">
        <v>1</v>
      </c>
      <c r="F197">
        <v>1</v>
      </c>
      <c r="G197">
        <v>1080</v>
      </c>
      <c r="H197">
        <v>2</v>
      </c>
      <c r="I197" t="s">
        <v>230</v>
      </c>
      <c r="J197" t="s">
        <v>231</v>
      </c>
      <c r="K197" t="s">
        <v>232</v>
      </c>
      <c r="L197">
        <v>1368</v>
      </c>
      <c r="N197">
        <v>1011</v>
      </c>
      <c r="O197" t="s">
        <v>233</v>
      </c>
      <c r="P197" t="s">
        <v>233</v>
      </c>
      <c r="Q197">
        <v>1</v>
      </c>
      <c r="X197">
        <v>0.01</v>
      </c>
      <c r="Y197">
        <v>0</v>
      </c>
      <c r="Z197">
        <v>83.1</v>
      </c>
      <c r="AA197">
        <v>12.62</v>
      </c>
      <c r="AB197">
        <v>0</v>
      </c>
      <c r="AC197">
        <v>0</v>
      </c>
      <c r="AD197">
        <v>1</v>
      </c>
      <c r="AE197">
        <v>0</v>
      </c>
      <c r="AF197" t="s">
        <v>24</v>
      </c>
      <c r="AG197">
        <v>1.1000000000000001E-2</v>
      </c>
      <c r="AH197">
        <v>3</v>
      </c>
      <c r="AI197">
        <v>-1</v>
      </c>
      <c r="AJ197" t="s">
        <v>3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3">
      <c r="A198">
        <f>ROW(Source!A128)</f>
        <v>128</v>
      </c>
      <c r="B198">
        <v>58754321</v>
      </c>
      <c r="C198">
        <v>56511847</v>
      </c>
      <c r="D198">
        <v>57695315</v>
      </c>
      <c r="E198">
        <v>1</v>
      </c>
      <c r="F198">
        <v>1</v>
      </c>
      <c r="G198">
        <v>1080</v>
      </c>
      <c r="H198">
        <v>2</v>
      </c>
      <c r="I198" t="s">
        <v>331</v>
      </c>
      <c r="J198" t="s">
        <v>332</v>
      </c>
      <c r="K198" t="s">
        <v>333</v>
      </c>
      <c r="L198">
        <v>1368</v>
      </c>
      <c r="N198">
        <v>1011</v>
      </c>
      <c r="O198" t="s">
        <v>233</v>
      </c>
      <c r="P198" t="s">
        <v>233</v>
      </c>
      <c r="Q198">
        <v>1</v>
      </c>
      <c r="X198">
        <v>0.01</v>
      </c>
      <c r="Y198">
        <v>0</v>
      </c>
      <c r="Z198">
        <v>179.17</v>
      </c>
      <c r="AA198">
        <v>16.93</v>
      </c>
      <c r="AB198">
        <v>0</v>
      </c>
      <c r="AC198">
        <v>0</v>
      </c>
      <c r="AD198">
        <v>1</v>
      </c>
      <c r="AE198">
        <v>0</v>
      </c>
      <c r="AF198" t="s">
        <v>24</v>
      </c>
      <c r="AG198">
        <v>1.1000000000000001E-2</v>
      </c>
      <c r="AH198">
        <v>3</v>
      </c>
      <c r="AI198">
        <v>-1</v>
      </c>
      <c r="AJ198" t="s">
        <v>3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3">
      <c r="A199">
        <f>ROW(Source!A128)</f>
        <v>128</v>
      </c>
      <c r="B199">
        <v>58754322</v>
      </c>
      <c r="C199">
        <v>56511847</v>
      </c>
      <c r="D199">
        <v>57665112</v>
      </c>
      <c r="E199">
        <v>1</v>
      </c>
      <c r="F199">
        <v>1</v>
      </c>
      <c r="G199">
        <v>1080</v>
      </c>
      <c r="H199">
        <v>3</v>
      </c>
      <c r="I199" t="s">
        <v>334</v>
      </c>
      <c r="J199" t="s">
        <v>335</v>
      </c>
      <c r="K199" t="s">
        <v>336</v>
      </c>
      <c r="L199">
        <v>1346</v>
      </c>
      <c r="N199">
        <v>1009</v>
      </c>
      <c r="O199" t="s">
        <v>284</v>
      </c>
      <c r="P199" t="s">
        <v>284</v>
      </c>
      <c r="Q199">
        <v>1</v>
      </c>
      <c r="X199">
        <v>0.6</v>
      </c>
      <c r="Y199">
        <v>1.38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 t="s">
        <v>3</v>
      </c>
      <c r="AG199">
        <v>0.6</v>
      </c>
      <c r="AH199">
        <v>3</v>
      </c>
      <c r="AI199">
        <v>-1</v>
      </c>
      <c r="AJ199" t="s">
        <v>3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3">
      <c r="A200">
        <f>ROW(Source!A128)</f>
        <v>128</v>
      </c>
      <c r="B200">
        <v>58754323</v>
      </c>
      <c r="C200">
        <v>56511847</v>
      </c>
      <c r="D200">
        <v>57665503</v>
      </c>
      <c r="E200">
        <v>1</v>
      </c>
      <c r="F200">
        <v>1</v>
      </c>
      <c r="G200">
        <v>1080</v>
      </c>
      <c r="H200">
        <v>3</v>
      </c>
      <c r="I200" t="s">
        <v>337</v>
      </c>
      <c r="J200" t="s">
        <v>338</v>
      </c>
      <c r="K200" t="s">
        <v>339</v>
      </c>
      <c r="L200">
        <v>1346</v>
      </c>
      <c r="N200">
        <v>1009</v>
      </c>
      <c r="O200" t="s">
        <v>284</v>
      </c>
      <c r="P200" t="s">
        <v>284</v>
      </c>
      <c r="Q200">
        <v>1</v>
      </c>
      <c r="X200">
        <v>0.16</v>
      </c>
      <c r="Y200">
        <v>159.06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0</v>
      </c>
      <c r="AF200" t="s">
        <v>3</v>
      </c>
      <c r="AG200">
        <v>0.16</v>
      </c>
      <c r="AH200">
        <v>3</v>
      </c>
      <c r="AI200">
        <v>-1</v>
      </c>
      <c r="AJ200" t="s">
        <v>3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3">
      <c r="A201">
        <f>ROW(Source!A128)</f>
        <v>128</v>
      </c>
      <c r="B201">
        <v>58754324</v>
      </c>
      <c r="C201">
        <v>56511847</v>
      </c>
      <c r="D201">
        <v>57688458</v>
      </c>
      <c r="E201">
        <v>1</v>
      </c>
      <c r="F201">
        <v>1</v>
      </c>
      <c r="G201">
        <v>1080</v>
      </c>
      <c r="H201">
        <v>3</v>
      </c>
      <c r="I201" t="s">
        <v>381</v>
      </c>
      <c r="J201" t="s">
        <v>382</v>
      </c>
      <c r="K201" t="s">
        <v>383</v>
      </c>
      <c r="L201">
        <v>1356</v>
      </c>
      <c r="N201">
        <v>1010</v>
      </c>
      <c r="O201" t="s">
        <v>318</v>
      </c>
      <c r="P201" t="s">
        <v>318</v>
      </c>
      <c r="Q201">
        <v>1000</v>
      </c>
      <c r="X201">
        <v>1.2200000000000001E-2</v>
      </c>
      <c r="Y201">
        <v>226.86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0</v>
      </c>
      <c r="AF201" t="s">
        <v>3</v>
      </c>
      <c r="AG201">
        <v>1.2200000000000001E-2</v>
      </c>
      <c r="AH201">
        <v>3</v>
      </c>
      <c r="AI201">
        <v>-1</v>
      </c>
      <c r="AJ201" t="s">
        <v>3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3">
      <c r="A202">
        <f>ROW(Source!A128)</f>
        <v>128</v>
      </c>
      <c r="B202">
        <v>58754325</v>
      </c>
      <c r="C202">
        <v>56511847</v>
      </c>
      <c r="D202">
        <v>57687783</v>
      </c>
      <c r="E202">
        <v>1</v>
      </c>
      <c r="F202">
        <v>1</v>
      </c>
      <c r="G202">
        <v>1080</v>
      </c>
      <c r="H202">
        <v>3</v>
      </c>
      <c r="I202" t="s">
        <v>346</v>
      </c>
      <c r="J202" t="s">
        <v>347</v>
      </c>
      <c r="K202" t="s">
        <v>348</v>
      </c>
      <c r="L202">
        <v>1354</v>
      </c>
      <c r="N202">
        <v>1010</v>
      </c>
      <c r="O202" t="s">
        <v>32</v>
      </c>
      <c r="P202" t="s">
        <v>32</v>
      </c>
      <c r="Q202">
        <v>1</v>
      </c>
      <c r="X202">
        <v>3.1</v>
      </c>
      <c r="Y202">
        <v>6.94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 t="s">
        <v>3</v>
      </c>
      <c r="AG202">
        <v>3.1</v>
      </c>
      <c r="AH202">
        <v>3</v>
      </c>
      <c r="AI202">
        <v>-1</v>
      </c>
      <c r="AJ202" t="s">
        <v>3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3">
      <c r="A203">
        <f>ROW(Source!A128)</f>
        <v>128</v>
      </c>
      <c r="B203">
        <v>58754326</v>
      </c>
      <c r="C203">
        <v>56511847</v>
      </c>
      <c r="D203">
        <v>57687791</v>
      </c>
      <c r="E203">
        <v>1</v>
      </c>
      <c r="F203">
        <v>1</v>
      </c>
      <c r="G203">
        <v>1080</v>
      </c>
      <c r="H203">
        <v>3</v>
      </c>
      <c r="I203" t="s">
        <v>384</v>
      </c>
      <c r="J203" t="s">
        <v>385</v>
      </c>
      <c r="K203" t="s">
        <v>386</v>
      </c>
      <c r="L203">
        <v>1356</v>
      </c>
      <c r="N203">
        <v>1010</v>
      </c>
      <c r="O203" t="s">
        <v>318</v>
      </c>
      <c r="P203" t="s">
        <v>318</v>
      </c>
      <c r="Q203">
        <v>1000</v>
      </c>
      <c r="X203">
        <v>8.0000000000000002E-3</v>
      </c>
      <c r="Y203">
        <v>614.09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0</v>
      </c>
      <c r="AF203" t="s">
        <v>3</v>
      </c>
      <c r="AG203">
        <v>8.0000000000000002E-3</v>
      </c>
      <c r="AH203">
        <v>3</v>
      </c>
      <c r="AI203">
        <v>-1</v>
      </c>
      <c r="AJ203" t="s">
        <v>3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3">
      <c r="A204">
        <f>ROW(Source!A128)</f>
        <v>128</v>
      </c>
      <c r="B204">
        <v>58754327</v>
      </c>
      <c r="C204">
        <v>56511847</v>
      </c>
      <c r="D204">
        <v>57637375</v>
      </c>
      <c r="E204">
        <v>1080</v>
      </c>
      <c r="F204">
        <v>1</v>
      </c>
      <c r="G204">
        <v>1080</v>
      </c>
      <c r="H204">
        <v>3</v>
      </c>
      <c r="I204" t="s">
        <v>352</v>
      </c>
      <c r="J204" t="s">
        <v>3</v>
      </c>
      <c r="K204" t="s">
        <v>353</v>
      </c>
      <c r="L204">
        <v>1303</v>
      </c>
      <c r="N204">
        <v>1003</v>
      </c>
      <c r="O204" t="s">
        <v>181</v>
      </c>
      <c r="P204" t="s">
        <v>181</v>
      </c>
      <c r="Q204">
        <v>1000</v>
      </c>
      <c r="X204">
        <v>0.10299999999999999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 t="s">
        <v>3</v>
      </c>
      <c r="AG204">
        <v>0.10299999999999999</v>
      </c>
      <c r="AH204">
        <v>3</v>
      </c>
      <c r="AI204">
        <v>-1</v>
      </c>
      <c r="AJ204" t="s">
        <v>3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3">
      <c r="A205">
        <f>ROW(Source!A135)</f>
        <v>135</v>
      </c>
      <c r="B205">
        <v>58754328</v>
      </c>
      <c r="C205">
        <v>56511858</v>
      </c>
      <c r="D205">
        <v>57621905</v>
      </c>
      <c r="E205">
        <v>1080</v>
      </c>
      <c r="F205">
        <v>1</v>
      </c>
      <c r="G205">
        <v>1080</v>
      </c>
      <c r="H205">
        <v>1</v>
      </c>
      <c r="I205" t="s">
        <v>227</v>
      </c>
      <c r="J205" t="s">
        <v>3</v>
      </c>
      <c r="K205" t="s">
        <v>228</v>
      </c>
      <c r="L205">
        <v>1191</v>
      </c>
      <c r="N205">
        <v>1013</v>
      </c>
      <c r="O205" t="s">
        <v>229</v>
      </c>
      <c r="P205" t="s">
        <v>229</v>
      </c>
      <c r="Q205">
        <v>1</v>
      </c>
      <c r="X205">
        <v>29.9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1</v>
      </c>
      <c r="AF205" t="s">
        <v>24</v>
      </c>
      <c r="AG205">
        <v>32.89</v>
      </c>
      <c r="AH205">
        <v>3</v>
      </c>
      <c r="AI205">
        <v>-1</v>
      </c>
      <c r="AJ205" t="s">
        <v>3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3">
      <c r="A206">
        <f>ROW(Source!A135)</f>
        <v>135</v>
      </c>
      <c r="B206">
        <v>58754329</v>
      </c>
      <c r="C206">
        <v>56511858</v>
      </c>
      <c r="D206">
        <v>57695780</v>
      </c>
      <c r="E206">
        <v>1</v>
      </c>
      <c r="F206">
        <v>1</v>
      </c>
      <c r="G206">
        <v>1080</v>
      </c>
      <c r="H206">
        <v>2</v>
      </c>
      <c r="I206" t="s">
        <v>251</v>
      </c>
      <c r="J206" t="s">
        <v>252</v>
      </c>
      <c r="K206" t="s">
        <v>253</v>
      </c>
      <c r="L206">
        <v>1368</v>
      </c>
      <c r="N206">
        <v>1011</v>
      </c>
      <c r="O206" t="s">
        <v>233</v>
      </c>
      <c r="P206" t="s">
        <v>233</v>
      </c>
      <c r="Q206">
        <v>1</v>
      </c>
      <c r="X206">
        <v>2.33</v>
      </c>
      <c r="Y206">
        <v>0</v>
      </c>
      <c r="Z206">
        <v>7.11</v>
      </c>
      <c r="AA206">
        <v>0</v>
      </c>
      <c r="AB206">
        <v>0</v>
      </c>
      <c r="AC206">
        <v>0</v>
      </c>
      <c r="AD206">
        <v>1</v>
      </c>
      <c r="AE206">
        <v>0</v>
      </c>
      <c r="AF206" t="s">
        <v>24</v>
      </c>
      <c r="AG206">
        <v>2.5630000000000002</v>
      </c>
      <c r="AH206">
        <v>3</v>
      </c>
      <c r="AI206">
        <v>-1</v>
      </c>
      <c r="AJ206" t="s">
        <v>3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3">
      <c r="A207">
        <f>ROW(Source!A135)</f>
        <v>135</v>
      </c>
      <c r="B207">
        <v>58754330</v>
      </c>
      <c r="C207">
        <v>56511858</v>
      </c>
      <c r="D207">
        <v>57696079</v>
      </c>
      <c r="E207">
        <v>1</v>
      </c>
      <c r="F207">
        <v>1</v>
      </c>
      <c r="G207">
        <v>1080</v>
      </c>
      <c r="H207">
        <v>2</v>
      </c>
      <c r="I207" t="s">
        <v>230</v>
      </c>
      <c r="J207" t="s">
        <v>231</v>
      </c>
      <c r="K207" t="s">
        <v>232</v>
      </c>
      <c r="L207">
        <v>1368</v>
      </c>
      <c r="N207">
        <v>1011</v>
      </c>
      <c r="O207" t="s">
        <v>233</v>
      </c>
      <c r="P207" t="s">
        <v>233</v>
      </c>
      <c r="Q207">
        <v>1</v>
      </c>
      <c r="X207">
        <v>0.3</v>
      </c>
      <c r="Y207">
        <v>0</v>
      </c>
      <c r="Z207">
        <v>83.1</v>
      </c>
      <c r="AA207">
        <v>12.62</v>
      </c>
      <c r="AB207">
        <v>0</v>
      </c>
      <c r="AC207">
        <v>0</v>
      </c>
      <c r="AD207">
        <v>1</v>
      </c>
      <c r="AE207">
        <v>0</v>
      </c>
      <c r="AF207" t="s">
        <v>24</v>
      </c>
      <c r="AG207">
        <v>0.33</v>
      </c>
      <c r="AH207">
        <v>3</v>
      </c>
      <c r="AI207">
        <v>-1</v>
      </c>
      <c r="AJ207" t="s">
        <v>3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3">
      <c r="A208">
        <f>ROW(Source!A135)</f>
        <v>135</v>
      </c>
      <c r="B208">
        <v>58754331</v>
      </c>
      <c r="C208">
        <v>56511858</v>
      </c>
      <c r="D208">
        <v>57696131</v>
      </c>
      <c r="E208">
        <v>1</v>
      </c>
      <c r="F208">
        <v>1</v>
      </c>
      <c r="G208">
        <v>1080</v>
      </c>
      <c r="H208">
        <v>2</v>
      </c>
      <c r="I208" t="s">
        <v>306</v>
      </c>
      <c r="J208" t="s">
        <v>307</v>
      </c>
      <c r="K208" t="s">
        <v>308</v>
      </c>
      <c r="L208">
        <v>1368</v>
      </c>
      <c r="N208">
        <v>1011</v>
      </c>
      <c r="O208" t="s">
        <v>233</v>
      </c>
      <c r="P208" t="s">
        <v>233</v>
      </c>
      <c r="Q208">
        <v>1</v>
      </c>
      <c r="X208">
        <v>6</v>
      </c>
      <c r="Y208">
        <v>0</v>
      </c>
      <c r="Z208">
        <v>0.77</v>
      </c>
      <c r="AA208">
        <v>0</v>
      </c>
      <c r="AB208">
        <v>0</v>
      </c>
      <c r="AC208">
        <v>0</v>
      </c>
      <c r="AD208">
        <v>1</v>
      </c>
      <c r="AE208">
        <v>0</v>
      </c>
      <c r="AF208" t="s">
        <v>24</v>
      </c>
      <c r="AG208">
        <v>6.6000000000000005</v>
      </c>
      <c r="AH208">
        <v>3</v>
      </c>
      <c r="AI208">
        <v>-1</v>
      </c>
      <c r="AJ208" t="s">
        <v>3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3">
      <c r="A209">
        <f>ROW(Source!A135)</f>
        <v>135</v>
      </c>
      <c r="B209">
        <v>58754332</v>
      </c>
      <c r="C209">
        <v>56511858</v>
      </c>
      <c r="D209">
        <v>57665459</v>
      </c>
      <c r="E209">
        <v>1</v>
      </c>
      <c r="F209">
        <v>1</v>
      </c>
      <c r="G209">
        <v>1080</v>
      </c>
      <c r="H209">
        <v>3</v>
      </c>
      <c r="I209" t="s">
        <v>354</v>
      </c>
      <c r="J209" t="s">
        <v>355</v>
      </c>
      <c r="K209" t="s">
        <v>356</v>
      </c>
      <c r="L209">
        <v>1348</v>
      </c>
      <c r="N209">
        <v>1009</v>
      </c>
      <c r="O209" t="s">
        <v>240</v>
      </c>
      <c r="P209" t="s">
        <v>240</v>
      </c>
      <c r="Q209">
        <v>1000</v>
      </c>
      <c r="X209">
        <v>9.6000000000000002E-4</v>
      </c>
      <c r="Y209">
        <v>8590.86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0</v>
      </c>
      <c r="AF209" t="s">
        <v>3</v>
      </c>
      <c r="AG209">
        <v>9.6000000000000002E-4</v>
      </c>
      <c r="AH209">
        <v>3</v>
      </c>
      <c r="AI209">
        <v>-1</v>
      </c>
      <c r="AJ209" t="s">
        <v>3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3">
      <c r="A210">
        <f>ROW(Source!A135)</f>
        <v>135</v>
      </c>
      <c r="B210">
        <v>58754333</v>
      </c>
      <c r="C210">
        <v>56511858</v>
      </c>
      <c r="D210">
        <v>57664417</v>
      </c>
      <c r="E210">
        <v>1</v>
      </c>
      <c r="F210">
        <v>1</v>
      </c>
      <c r="G210">
        <v>1080</v>
      </c>
      <c r="H210">
        <v>3</v>
      </c>
      <c r="I210" t="s">
        <v>357</v>
      </c>
      <c r="J210" t="s">
        <v>358</v>
      </c>
      <c r="K210" t="s">
        <v>359</v>
      </c>
      <c r="L210">
        <v>1354</v>
      </c>
      <c r="N210">
        <v>1010</v>
      </c>
      <c r="O210" t="s">
        <v>32</v>
      </c>
      <c r="P210" t="s">
        <v>32</v>
      </c>
      <c r="Q210">
        <v>1</v>
      </c>
      <c r="X210">
        <v>134</v>
      </c>
      <c r="Y210">
        <v>3.86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 t="s">
        <v>3</v>
      </c>
      <c r="AG210">
        <v>134</v>
      </c>
      <c r="AH210">
        <v>3</v>
      </c>
      <c r="AI210">
        <v>-1</v>
      </c>
      <c r="AJ210" t="s">
        <v>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3">
      <c r="A211">
        <f>ROW(Source!A135)</f>
        <v>135</v>
      </c>
      <c r="B211">
        <v>58754334</v>
      </c>
      <c r="C211">
        <v>56511858</v>
      </c>
      <c r="D211">
        <v>57666737</v>
      </c>
      <c r="E211">
        <v>1</v>
      </c>
      <c r="F211">
        <v>1</v>
      </c>
      <c r="G211">
        <v>1080</v>
      </c>
      <c r="H211">
        <v>3</v>
      </c>
      <c r="I211" t="s">
        <v>360</v>
      </c>
      <c r="J211" t="s">
        <v>361</v>
      </c>
      <c r="K211" t="s">
        <v>362</v>
      </c>
      <c r="L211">
        <v>1296</v>
      </c>
      <c r="N211">
        <v>1002</v>
      </c>
      <c r="O211" t="s">
        <v>363</v>
      </c>
      <c r="P211" t="s">
        <v>363</v>
      </c>
      <c r="Q211">
        <v>1</v>
      </c>
      <c r="X211">
        <v>0.315</v>
      </c>
      <c r="Y211">
        <v>35.4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0</v>
      </c>
      <c r="AF211" t="s">
        <v>3</v>
      </c>
      <c r="AG211">
        <v>0.315</v>
      </c>
      <c r="AH211">
        <v>3</v>
      </c>
      <c r="AI211">
        <v>-1</v>
      </c>
      <c r="AJ211" t="s">
        <v>3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 x14ac:dyDescent="0.3">
      <c r="A212">
        <f>ROW(Source!A135)</f>
        <v>135</v>
      </c>
      <c r="B212">
        <v>58754335</v>
      </c>
      <c r="C212">
        <v>56511858</v>
      </c>
      <c r="D212">
        <v>57664894</v>
      </c>
      <c r="E212">
        <v>1</v>
      </c>
      <c r="F212">
        <v>1</v>
      </c>
      <c r="G212">
        <v>1080</v>
      </c>
      <c r="H212">
        <v>3</v>
      </c>
      <c r="I212" t="s">
        <v>364</v>
      </c>
      <c r="J212" t="s">
        <v>365</v>
      </c>
      <c r="K212" t="s">
        <v>366</v>
      </c>
      <c r="L212">
        <v>1348</v>
      </c>
      <c r="N212">
        <v>1009</v>
      </c>
      <c r="O212" t="s">
        <v>240</v>
      </c>
      <c r="P212" t="s">
        <v>240</v>
      </c>
      <c r="Q212">
        <v>1000</v>
      </c>
      <c r="X212">
        <v>2.0999999999999999E-3</v>
      </c>
      <c r="Y212">
        <v>7973.67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 t="s">
        <v>3</v>
      </c>
      <c r="AG212">
        <v>2.0999999999999999E-3</v>
      </c>
      <c r="AH212">
        <v>3</v>
      </c>
      <c r="AI212">
        <v>-1</v>
      </c>
      <c r="AJ212" t="s">
        <v>3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x14ac:dyDescent="0.3">
      <c r="A213">
        <f>ROW(Source!A135)</f>
        <v>135</v>
      </c>
      <c r="B213">
        <v>58754336</v>
      </c>
      <c r="C213">
        <v>56511858</v>
      </c>
      <c r="D213">
        <v>57688464</v>
      </c>
      <c r="E213">
        <v>1</v>
      </c>
      <c r="F213">
        <v>1</v>
      </c>
      <c r="G213">
        <v>1080</v>
      </c>
      <c r="H213">
        <v>3</v>
      </c>
      <c r="I213" t="s">
        <v>367</v>
      </c>
      <c r="J213" t="s">
        <v>368</v>
      </c>
      <c r="K213" t="s">
        <v>369</v>
      </c>
      <c r="L213">
        <v>1358</v>
      </c>
      <c r="N213">
        <v>1010</v>
      </c>
      <c r="O213" t="s">
        <v>42</v>
      </c>
      <c r="P213" t="s">
        <v>42</v>
      </c>
      <c r="Q213">
        <v>10</v>
      </c>
      <c r="X213">
        <v>0.01</v>
      </c>
      <c r="Y213">
        <v>5.46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 t="s">
        <v>3</v>
      </c>
      <c r="AG213">
        <v>0.01</v>
      </c>
      <c r="AH213">
        <v>3</v>
      </c>
      <c r="AI213">
        <v>-1</v>
      </c>
      <c r="AJ213" t="s">
        <v>3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3">
      <c r="A214">
        <f>ROW(Source!A135)</f>
        <v>135</v>
      </c>
      <c r="B214">
        <v>58754337</v>
      </c>
      <c r="C214">
        <v>56511858</v>
      </c>
      <c r="D214">
        <v>57687874</v>
      </c>
      <c r="E214">
        <v>1</v>
      </c>
      <c r="F214">
        <v>1</v>
      </c>
      <c r="G214">
        <v>1080</v>
      </c>
      <c r="H214">
        <v>3</v>
      </c>
      <c r="I214" t="s">
        <v>387</v>
      </c>
      <c r="J214" t="s">
        <v>388</v>
      </c>
      <c r="K214" t="s">
        <v>389</v>
      </c>
      <c r="L214">
        <v>1356</v>
      </c>
      <c r="N214">
        <v>1010</v>
      </c>
      <c r="O214" t="s">
        <v>318</v>
      </c>
      <c r="P214" t="s">
        <v>318</v>
      </c>
      <c r="Q214">
        <v>1000</v>
      </c>
      <c r="X214">
        <v>6.7000000000000004E-2</v>
      </c>
      <c r="Y214">
        <v>1639.86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 t="s">
        <v>3</v>
      </c>
      <c r="AG214">
        <v>6.7000000000000004E-2</v>
      </c>
      <c r="AH214">
        <v>3</v>
      </c>
      <c r="AI214">
        <v>-1</v>
      </c>
      <c r="AJ214" t="s">
        <v>3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3">
      <c r="A215">
        <f>ROW(Source!A135)</f>
        <v>135</v>
      </c>
      <c r="B215">
        <v>58754338</v>
      </c>
      <c r="C215">
        <v>56511858</v>
      </c>
      <c r="D215">
        <v>57631403</v>
      </c>
      <c r="E215">
        <v>1080</v>
      </c>
      <c r="F215">
        <v>1</v>
      </c>
      <c r="G215">
        <v>1080</v>
      </c>
      <c r="H215">
        <v>3</v>
      </c>
      <c r="I215" t="s">
        <v>373</v>
      </c>
      <c r="J215" t="s">
        <v>3</v>
      </c>
      <c r="K215" t="s">
        <v>374</v>
      </c>
      <c r="L215">
        <v>1301</v>
      </c>
      <c r="N215">
        <v>1003</v>
      </c>
      <c r="O215" t="s">
        <v>163</v>
      </c>
      <c r="P215" t="s">
        <v>163</v>
      </c>
      <c r="Q215">
        <v>1</v>
      </c>
      <c r="X215">
        <v>102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 t="s">
        <v>3</v>
      </c>
      <c r="AG215">
        <v>102</v>
      </c>
      <c r="AH215">
        <v>3</v>
      </c>
      <c r="AI215">
        <v>-1</v>
      </c>
      <c r="AJ215" t="s">
        <v>3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3">
      <c r="A216">
        <f>ROW(Source!A135)</f>
        <v>135</v>
      </c>
      <c r="B216">
        <v>58754339</v>
      </c>
      <c r="C216">
        <v>56511858</v>
      </c>
      <c r="D216">
        <v>57635042</v>
      </c>
      <c r="E216">
        <v>1080</v>
      </c>
      <c r="F216">
        <v>1</v>
      </c>
      <c r="G216">
        <v>1080</v>
      </c>
      <c r="H216">
        <v>3</v>
      </c>
      <c r="I216" t="s">
        <v>375</v>
      </c>
      <c r="J216" t="s">
        <v>3</v>
      </c>
      <c r="K216" t="s">
        <v>376</v>
      </c>
      <c r="L216">
        <v>1354</v>
      </c>
      <c r="N216">
        <v>1010</v>
      </c>
      <c r="O216" t="s">
        <v>32</v>
      </c>
      <c r="P216" t="s">
        <v>32</v>
      </c>
      <c r="Q216">
        <v>1</v>
      </c>
      <c r="X216">
        <v>18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 t="s">
        <v>3</v>
      </c>
      <c r="AG216">
        <v>18</v>
      </c>
      <c r="AH216">
        <v>3</v>
      </c>
      <c r="AI216">
        <v>-1</v>
      </c>
      <c r="AJ216" t="s">
        <v>3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3">
      <c r="A217">
        <f>ROW(Source!A135)</f>
        <v>135</v>
      </c>
      <c r="B217">
        <v>58754340</v>
      </c>
      <c r="C217">
        <v>56511858</v>
      </c>
      <c r="D217">
        <v>57635054</v>
      </c>
      <c r="E217">
        <v>1080</v>
      </c>
      <c r="F217">
        <v>1</v>
      </c>
      <c r="G217">
        <v>1080</v>
      </c>
      <c r="H217">
        <v>3</v>
      </c>
      <c r="I217" t="s">
        <v>377</v>
      </c>
      <c r="J217" t="s">
        <v>3</v>
      </c>
      <c r="K217" t="s">
        <v>378</v>
      </c>
      <c r="L217">
        <v>1356</v>
      </c>
      <c r="N217">
        <v>1010</v>
      </c>
      <c r="O217" t="s">
        <v>318</v>
      </c>
      <c r="P217" t="s">
        <v>318</v>
      </c>
      <c r="Q217">
        <v>1000</v>
      </c>
      <c r="X217">
        <v>1.7999999999999999E-2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 t="s">
        <v>3</v>
      </c>
      <c r="AG217">
        <v>1.7999999999999999E-2</v>
      </c>
      <c r="AH217">
        <v>3</v>
      </c>
      <c r="AI217">
        <v>-1</v>
      </c>
      <c r="AJ217" t="s">
        <v>3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3">
      <c r="A218">
        <f>ROW(Source!A135)</f>
        <v>135</v>
      </c>
      <c r="B218">
        <v>58754341</v>
      </c>
      <c r="C218">
        <v>56511858</v>
      </c>
      <c r="D218">
        <v>57637110</v>
      </c>
      <c r="E218">
        <v>1080</v>
      </c>
      <c r="F218">
        <v>1</v>
      </c>
      <c r="G218">
        <v>1080</v>
      </c>
      <c r="H218">
        <v>3</v>
      </c>
      <c r="I218" t="s">
        <v>379</v>
      </c>
      <c r="J218" t="s">
        <v>3</v>
      </c>
      <c r="K218" t="s">
        <v>380</v>
      </c>
      <c r="L218">
        <v>1354</v>
      </c>
      <c r="N218">
        <v>1010</v>
      </c>
      <c r="O218" t="s">
        <v>32</v>
      </c>
      <c r="P218" t="s">
        <v>32</v>
      </c>
      <c r="Q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 t="s">
        <v>3</v>
      </c>
      <c r="AG218">
        <v>0</v>
      </c>
      <c r="AH218">
        <v>3</v>
      </c>
      <c r="AI218">
        <v>-1</v>
      </c>
      <c r="AJ218" t="s">
        <v>3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3">
      <c r="A219">
        <f>ROW(Source!A136)</f>
        <v>136</v>
      </c>
      <c r="B219">
        <v>58754328</v>
      </c>
      <c r="C219">
        <v>56511858</v>
      </c>
      <c r="D219">
        <v>57621905</v>
      </c>
      <c r="E219">
        <v>1080</v>
      </c>
      <c r="F219">
        <v>1</v>
      </c>
      <c r="G219">
        <v>1080</v>
      </c>
      <c r="H219">
        <v>1</v>
      </c>
      <c r="I219" t="s">
        <v>227</v>
      </c>
      <c r="J219" t="s">
        <v>3</v>
      </c>
      <c r="K219" t="s">
        <v>228</v>
      </c>
      <c r="L219">
        <v>1191</v>
      </c>
      <c r="N219">
        <v>1013</v>
      </c>
      <c r="O219" t="s">
        <v>229</v>
      </c>
      <c r="P219" t="s">
        <v>229</v>
      </c>
      <c r="Q219">
        <v>1</v>
      </c>
      <c r="X219">
        <v>29.9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1</v>
      </c>
      <c r="AF219" t="s">
        <v>24</v>
      </c>
      <c r="AG219">
        <v>32.89</v>
      </c>
      <c r="AH219">
        <v>3</v>
      </c>
      <c r="AI219">
        <v>-1</v>
      </c>
      <c r="AJ219" t="s">
        <v>3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3">
      <c r="A220">
        <f>ROW(Source!A136)</f>
        <v>136</v>
      </c>
      <c r="B220">
        <v>58754329</v>
      </c>
      <c r="C220">
        <v>56511858</v>
      </c>
      <c r="D220">
        <v>57695780</v>
      </c>
      <c r="E220">
        <v>1</v>
      </c>
      <c r="F220">
        <v>1</v>
      </c>
      <c r="G220">
        <v>1080</v>
      </c>
      <c r="H220">
        <v>2</v>
      </c>
      <c r="I220" t="s">
        <v>251</v>
      </c>
      <c r="J220" t="s">
        <v>252</v>
      </c>
      <c r="K220" t="s">
        <v>253</v>
      </c>
      <c r="L220">
        <v>1368</v>
      </c>
      <c r="N220">
        <v>1011</v>
      </c>
      <c r="O220" t="s">
        <v>233</v>
      </c>
      <c r="P220" t="s">
        <v>233</v>
      </c>
      <c r="Q220">
        <v>1</v>
      </c>
      <c r="X220">
        <v>2.33</v>
      </c>
      <c r="Y220">
        <v>0</v>
      </c>
      <c r="Z220">
        <v>7.11</v>
      </c>
      <c r="AA220">
        <v>0</v>
      </c>
      <c r="AB220">
        <v>0</v>
      </c>
      <c r="AC220">
        <v>0</v>
      </c>
      <c r="AD220">
        <v>1</v>
      </c>
      <c r="AE220">
        <v>0</v>
      </c>
      <c r="AF220" t="s">
        <v>24</v>
      </c>
      <c r="AG220">
        <v>2.5630000000000002</v>
      </c>
      <c r="AH220">
        <v>3</v>
      </c>
      <c r="AI220">
        <v>-1</v>
      </c>
      <c r="AJ220" t="s">
        <v>3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3">
      <c r="A221">
        <f>ROW(Source!A136)</f>
        <v>136</v>
      </c>
      <c r="B221">
        <v>58754330</v>
      </c>
      <c r="C221">
        <v>56511858</v>
      </c>
      <c r="D221">
        <v>57696079</v>
      </c>
      <c r="E221">
        <v>1</v>
      </c>
      <c r="F221">
        <v>1</v>
      </c>
      <c r="G221">
        <v>1080</v>
      </c>
      <c r="H221">
        <v>2</v>
      </c>
      <c r="I221" t="s">
        <v>230</v>
      </c>
      <c r="J221" t="s">
        <v>231</v>
      </c>
      <c r="K221" t="s">
        <v>232</v>
      </c>
      <c r="L221">
        <v>1368</v>
      </c>
      <c r="N221">
        <v>1011</v>
      </c>
      <c r="O221" t="s">
        <v>233</v>
      </c>
      <c r="P221" t="s">
        <v>233</v>
      </c>
      <c r="Q221">
        <v>1</v>
      </c>
      <c r="X221">
        <v>0.3</v>
      </c>
      <c r="Y221">
        <v>0</v>
      </c>
      <c r="Z221">
        <v>83.1</v>
      </c>
      <c r="AA221">
        <v>12.62</v>
      </c>
      <c r="AB221">
        <v>0</v>
      </c>
      <c r="AC221">
        <v>0</v>
      </c>
      <c r="AD221">
        <v>1</v>
      </c>
      <c r="AE221">
        <v>0</v>
      </c>
      <c r="AF221" t="s">
        <v>24</v>
      </c>
      <c r="AG221">
        <v>0.33</v>
      </c>
      <c r="AH221">
        <v>3</v>
      </c>
      <c r="AI221">
        <v>-1</v>
      </c>
      <c r="AJ221" t="s">
        <v>3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3">
      <c r="A222">
        <f>ROW(Source!A136)</f>
        <v>136</v>
      </c>
      <c r="B222">
        <v>58754331</v>
      </c>
      <c r="C222">
        <v>56511858</v>
      </c>
      <c r="D222">
        <v>57696131</v>
      </c>
      <c r="E222">
        <v>1</v>
      </c>
      <c r="F222">
        <v>1</v>
      </c>
      <c r="G222">
        <v>1080</v>
      </c>
      <c r="H222">
        <v>2</v>
      </c>
      <c r="I222" t="s">
        <v>306</v>
      </c>
      <c r="J222" t="s">
        <v>307</v>
      </c>
      <c r="K222" t="s">
        <v>308</v>
      </c>
      <c r="L222">
        <v>1368</v>
      </c>
      <c r="N222">
        <v>1011</v>
      </c>
      <c r="O222" t="s">
        <v>233</v>
      </c>
      <c r="P222" t="s">
        <v>233</v>
      </c>
      <c r="Q222">
        <v>1</v>
      </c>
      <c r="X222">
        <v>6</v>
      </c>
      <c r="Y222">
        <v>0</v>
      </c>
      <c r="Z222">
        <v>0.77</v>
      </c>
      <c r="AA222">
        <v>0</v>
      </c>
      <c r="AB222">
        <v>0</v>
      </c>
      <c r="AC222">
        <v>0</v>
      </c>
      <c r="AD222">
        <v>1</v>
      </c>
      <c r="AE222">
        <v>0</v>
      </c>
      <c r="AF222" t="s">
        <v>24</v>
      </c>
      <c r="AG222">
        <v>6.6000000000000005</v>
      </c>
      <c r="AH222">
        <v>3</v>
      </c>
      <c r="AI222">
        <v>-1</v>
      </c>
      <c r="AJ222" t="s">
        <v>3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x14ac:dyDescent="0.3">
      <c r="A223">
        <f>ROW(Source!A136)</f>
        <v>136</v>
      </c>
      <c r="B223">
        <v>58754332</v>
      </c>
      <c r="C223">
        <v>56511858</v>
      </c>
      <c r="D223">
        <v>57665459</v>
      </c>
      <c r="E223">
        <v>1</v>
      </c>
      <c r="F223">
        <v>1</v>
      </c>
      <c r="G223">
        <v>1080</v>
      </c>
      <c r="H223">
        <v>3</v>
      </c>
      <c r="I223" t="s">
        <v>354</v>
      </c>
      <c r="J223" t="s">
        <v>355</v>
      </c>
      <c r="K223" t="s">
        <v>356</v>
      </c>
      <c r="L223">
        <v>1348</v>
      </c>
      <c r="N223">
        <v>1009</v>
      </c>
      <c r="O223" t="s">
        <v>240</v>
      </c>
      <c r="P223" t="s">
        <v>240</v>
      </c>
      <c r="Q223">
        <v>1000</v>
      </c>
      <c r="X223">
        <v>9.6000000000000002E-4</v>
      </c>
      <c r="Y223">
        <v>8590.86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0</v>
      </c>
      <c r="AF223" t="s">
        <v>3</v>
      </c>
      <c r="AG223">
        <v>9.6000000000000002E-4</v>
      </c>
      <c r="AH223">
        <v>3</v>
      </c>
      <c r="AI223">
        <v>-1</v>
      </c>
      <c r="AJ223" t="s">
        <v>3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</row>
    <row r="224" spans="1:44" x14ac:dyDescent="0.3">
      <c r="A224">
        <f>ROW(Source!A136)</f>
        <v>136</v>
      </c>
      <c r="B224">
        <v>58754333</v>
      </c>
      <c r="C224">
        <v>56511858</v>
      </c>
      <c r="D224">
        <v>57664417</v>
      </c>
      <c r="E224">
        <v>1</v>
      </c>
      <c r="F224">
        <v>1</v>
      </c>
      <c r="G224">
        <v>1080</v>
      </c>
      <c r="H224">
        <v>3</v>
      </c>
      <c r="I224" t="s">
        <v>357</v>
      </c>
      <c r="J224" t="s">
        <v>358</v>
      </c>
      <c r="K224" t="s">
        <v>359</v>
      </c>
      <c r="L224">
        <v>1354</v>
      </c>
      <c r="N224">
        <v>1010</v>
      </c>
      <c r="O224" t="s">
        <v>32</v>
      </c>
      <c r="P224" t="s">
        <v>32</v>
      </c>
      <c r="Q224">
        <v>1</v>
      </c>
      <c r="X224">
        <v>134</v>
      </c>
      <c r="Y224">
        <v>3.86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0</v>
      </c>
      <c r="AF224" t="s">
        <v>3</v>
      </c>
      <c r="AG224">
        <v>134</v>
      </c>
      <c r="AH224">
        <v>3</v>
      </c>
      <c r="AI224">
        <v>-1</v>
      </c>
      <c r="AJ224" t="s">
        <v>3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3">
      <c r="A225">
        <f>ROW(Source!A136)</f>
        <v>136</v>
      </c>
      <c r="B225">
        <v>58754334</v>
      </c>
      <c r="C225">
        <v>56511858</v>
      </c>
      <c r="D225">
        <v>57666737</v>
      </c>
      <c r="E225">
        <v>1</v>
      </c>
      <c r="F225">
        <v>1</v>
      </c>
      <c r="G225">
        <v>1080</v>
      </c>
      <c r="H225">
        <v>3</v>
      </c>
      <c r="I225" t="s">
        <v>360</v>
      </c>
      <c r="J225" t="s">
        <v>361</v>
      </c>
      <c r="K225" t="s">
        <v>362</v>
      </c>
      <c r="L225">
        <v>1296</v>
      </c>
      <c r="N225">
        <v>1002</v>
      </c>
      <c r="O225" t="s">
        <v>363</v>
      </c>
      <c r="P225" t="s">
        <v>363</v>
      </c>
      <c r="Q225">
        <v>1</v>
      </c>
      <c r="X225">
        <v>0.315</v>
      </c>
      <c r="Y225">
        <v>35.4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0</v>
      </c>
      <c r="AF225" t="s">
        <v>3</v>
      </c>
      <c r="AG225">
        <v>0.315</v>
      </c>
      <c r="AH225">
        <v>3</v>
      </c>
      <c r="AI225">
        <v>-1</v>
      </c>
      <c r="AJ225" t="s">
        <v>3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3">
      <c r="A226">
        <f>ROW(Source!A136)</f>
        <v>136</v>
      </c>
      <c r="B226">
        <v>58754335</v>
      </c>
      <c r="C226">
        <v>56511858</v>
      </c>
      <c r="D226">
        <v>57664894</v>
      </c>
      <c r="E226">
        <v>1</v>
      </c>
      <c r="F226">
        <v>1</v>
      </c>
      <c r="G226">
        <v>1080</v>
      </c>
      <c r="H226">
        <v>3</v>
      </c>
      <c r="I226" t="s">
        <v>364</v>
      </c>
      <c r="J226" t="s">
        <v>365</v>
      </c>
      <c r="K226" t="s">
        <v>366</v>
      </c>
      <c r="L226">
        <v>1348</v>
      </c>
      <c r="N226">
        <v>1009</v>
      </c>
      <c r="O226" t="s">
        <v>240</v>
      </c>
      <c r="P226" t="s">
        <v>240</v>
      </c>
      <c r="Q226">
        <v>1000</v>
      </c>
      <c r="X226">
        <v>2.0999999999999999E-3</v>
      </c>
      <c r="Y226">
        <v>7973.67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 t="s">
        <v>3</v>
      </c>
      <c r="AG226">
        <v>2.0999999999999999E-3</v>
      </c>
      <c r="AH226">
        <v>3</v>
      </c>
      <c r="AI226">
        <v>-1</v>
      </c>
      <c r="AJ226" t="s">
        <v>3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4" x14ac:dyDescent="0.3">
      <c r="A227">
        <f>ROW(Source!A136)</f>
        <v>136</v>
      </c>
      <c r="B227">
        <v>58754336</v>
      </c>
      <c r="C227">
        <v>56511858</v>
      </c>
      <c r="D227">
        <v>57688464</v>
      </c>
      <c r="E227">
        <v>1</v>
      </c>
      <c r="F227">
        <v>1</v>
      </c>
      <c r="G227">
        <v>1080</v>
      </c>
      <c r="H227">
        <v>3</v>
      </c>
      <c r="I227" t="s">
        <v>367</v>
      </c>
      <c r="J227" t="s">
        <v>368</v>
      </c>
      <c r="K227" t="s">
        <v>369</v>
      </c>
      <c r="L227">
        <v>1358</v>
      </c>
      <c r="N227">
        <v>1010</v>
      </c>
      <c r="O227" t="s">
        <v>42</v>
      </c>
      <c r="P227" t="s">
        <v>42</v>
      </c>
      <c r="Q227">
        <v>10</v>
      </c>
      <c r="X227">
        <v>0.01</v>
      </c>
      <c r="Y227">
        <v>5.46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 t="s">
        <v>3</v>
      </c>
      <c r="AG227">
        <v>0.01</v>
      </c>
      <c r="AH227">
        <v>3</v>
      </c>
      <c r="AI227">
        <v>-1</v>
      </c>
      <c r="AJ227" t="s">
        <v>3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3">
      <c r="A228">
        <f>ROW(Source!A136)</f>
        <v>136</v>
      </c>
      <c r="B228">
        <v>58754337</v>
      </c>
      <c r="C228">
        <v>56511858</v>
      </c>
      <c r="D228">
        <v>57687874</v>
      </c>
      <c r="E228">
        <v>1</v>
      </c>
      <c r="F228">
        <v>1</v>
      </c>
      <c r="G228">
        <v>1080</v>
      </c>
      <c r="H228">
        <v>3</v>
      </c>
      <c r="I228" t="s">
        <v>387</v>
      </c>
      <c r="J228" t="s">
        <v>388</v>
      </c>
      <c r="K228" t="s">
        <v>389</v>
      </c>
      <c r="L228">
        <v>1356</v>
      </c>
      <c r="N228">
        <v>1010</v>
      </c>
      <c r="O228" t="s">
        <v>318</v>
      </c>
      <c r="P228" t="s">
        <v>318</v>
      </c>
      <c r="Q228">
        <v>1000</v>
      </c>
      <c r="X228">
        <v>6.7000000000000004E-2</v>
      </c>
      <c r="Y228">
        <v>1639.86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 t="s">
        <v>3</v>
      </c>
      <c r="AG228">
        <v>6.7000000000000004E-2</v>
      </c>
      <c r="AH228">
        <v>3</v>
      </c>
      <c r="AI228">
        <v>-1</v>
      </c>
      <c r="AJ228" t="s">
        <v>3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3">
      <c r="A229">
        <f>ROW(Source!A136)</f>
        <v>136</v>
      </c>
      <c r="B229">
        <v>58754338</v>
      </c>
      <c r="C229">
        <v>56511858</v>
      </c>
      <c r="D229">
        <v>57631403</v>
      </c>
      <c r="E229">
        <v>1080</v>
      </c>
      <c r="F229">
        <v>1</v>
      </c>
      <c r="G229">
        <v>1080</v>
      </c>
      <c r="H229">
        <v>3</v>
      </c>
      <c r="I229" t="s">
        <v>373</v>
      </c>
      <c r="J229" t="s">
        <v>3</v>
      </c>
      <c r="K229" t="s">
        <v>374</v>
      </c>
      <c r="L229">
        <v>1301</v>
      </c>
      <c r="N229">
        <v>1003</v>
      </c>
      <c r="O229" t="s">
        <v>163</v>
      </c>
      <c r="P229" t="s">
        <v>163</v>
      </c>
      <c r="Q229">
        <v>1</v>
      </c>
      <c r="X229">
        <v>102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 t="s">
        <v>3</v>
      </c>
      <c r="AG229">
        <v>102</v>
      </c>
      <c r="AH229">
        <v>3</v>
      </c>
      <c r="AI229">
        <v>-1</v>
      </c>
      <c r="AJ229" t="s">
        <v>3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3">
      <c r="A230">
        <f>ROW(Source!A136)</f>
        <v>136</v>
      </c>
      <c r="B230">
        <v>58754339</v>
      </c>
      <c r="C230">
        <v>56511858</v>
      </c>
      <c r="D230">
        <v>57635042</v>
      </c>
      <c r="E230">
        <v>1080</v>
      </c>
      <c r="F230">
        <v>1</v>
      </c>
      <c r="G230">
        <v>1080</v>
      </c>
      <c r="H230">
        <v>3</v>
      </c>
      <c r="I230" t="s">
        <v>375</v>
      </c>
      <c r="J230" t="s">
        <v>3</v>
      </c>
      <c r="K230" t="s">
        <v>376</v>
      </c>
      <c r="L230">
        <v>1354</v>
      </c>
      <c r="N230">
        <v>1010</v>
      </c>
      <c r="O230" t="s">
        <v>32</v>
      </c>
      <c r="P230" t="s">
        <v>32</v>
      </c>
      <c r="Q230">
        <v>1</v>
      </c>
      <c r="X230">
        <v>18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 t="s">
        <v>3</v>
      </c>
      <c r="AG230">
        <v>18</v>
      </c>
      <c r="AH230">
        <v>3</v>
      </c>
      <c r="AI230">
        <v>-1</v>
      </c>
      <c r="AJ230" t="s">
        <v>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3">
      <c r="A231">
        <f>ROW(Source!A136)</f>
        <v>136</v>
      </c>
      <c r="B231">
        <v>58754340</v>
      </c>
      <c r="C231">
        <v>56511858</v>
      </c>
      <c r="D231">
        <v>57635054</v>
      </c>
      <c r="E231">
        <v>1080</v>
      </c>
      <c r="F231">
        <v>1</v>
      </c>
      <c r="G231">
        <v>1080</v>
      </c>
      <c r="H231">
        <v>3</v>
      </c>
      <c r="I231" t="s">
        <v>377</v>
      </c>
      <c r="J231" t="s">
        <v>3</v>
      </c>
      <c r="K231" t="s">
        <v>378</v>
      </c>
      <c r="L231">
        <v>1356</v>
      </c>
      <c r="N231">
        <v>1010</v>
      </c>
      <c r="O231" t="s">
        <v>318</v>
      </c>
      <c r="P231" t="s">
        <v>318</v>
      </c>
      <c r="Q231">
        <v>1000</v>
      </c>
      <c r="X231">
        <v>1.7999999999999999E-2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 t="s">
        <v>3</v>
      </c>
      <c r="AG231">
        <v>1.7999999999999999E-2</v>
      </c>
      <c r="AH231">
        <v>3</v>
      </c>
      <c r="AI231">
        <v>-1</v>
      </c>
      <c r="AJ231" t="s">
        <v>3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3">
      <c r="A232">
        <f>ROW(Source!A136)</f>
        <v>136</v>
      </c>
      <c r="B232">
        <v>58754341</v>
      </c>
      <c r="C232">
        <v>56511858</v>
      </c>
      <c r="D232">
        <v>57637110</v>
      </c>
      <c r="E232">
        <v>1080</v>
      </c>
      <c r="F232">
        <v>1</v>
      </c>
      <c r="G232">
        <v>1080</v>
      </c>
      <c r="H232">
        <v>3</v>
      </c>
      <c r="I232" t="s">
        <v>379</v>
      </c>
      <c r="J232" t="s">
        <v>3</v>
      </c>
      <c r="K232" t="s">
        <v>380</v>
      </c>
      <c r="L232">
        <v>1354</v>
      </c>
      <c r="N232">
        <v>1010</v>
      </c>
      <c r="O232" t="s">
        <v>32</v>
      </c>
      <c r="P232" t="s">
        <v>32</v>
      </c>
      <c r="Q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 t="s">
        <v>3</v>
      </c>
      <c r="AG232">
        <v>0</v>
      </c>
      <c r="AH232">
        <v>3</v>
      </c>
      <c r="AI232">
        <v>-1</v>
      </c>
      <c r="AJ232" t="s">
        <v>3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5234375" defaultRowHeight="12.45" x14ac:dyDescent="0.3"/>
  <cols>
    <col min="1" max="256" width="9.15234375" customWidth="1"/>
  </cols>
  <sheetData/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2"/>
  <sheetViews>
    <sheetView workbookViewId="0"/>
  </sheetViews>
  <sheetFormatPr defaultColWidth="9.15234375" defaultRowHeight="12.45" x14ac:dyDescent="0.3"/>
  <cols>
    <col min="1" max="256" width="9.15234375" customWidth="1"/>
  </cols>
  <sheetData>
    <row r="1" spans="1:103" x14ac:dyDescent="0.3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74562</v>
      </c>
      <c r="M1">
        <v>10</v>
      </c>
      <c r="N1">
        <v>12</v>
      </c>
      <c r="O1">
        <v>0</v>
      </c>
      <c r="P1">
        <v>0</v>
      </c>
      <c r="Q1">
        <v>3</v>
      </c>
    </row>
    <row r="12" spans="1:103" x14ac:dyDescent="0.3">
      <c r="F12" t="str">
        <f>Source!F12</f>
        <v>02-01-17</v>
      </c>
      <c r="G12" t="str">
        <f>Source!G12</f>
        <v>02-01-17 СДС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4</vt:i4>
      </vt:variant>
    </vt:vector>
  </HeadingPairs>
  <TitlesOfParts>
    <vt:vector size="12" baseType="lpstr">
      <vt:lpstr>02-01-17</vt:lpstr>
      <vt:lpstr>Ведомость объемов работ</vt:lpstr>
      <vt:lpstr>Source</vt:lpstr>
      <vt:lpstr>SourceObSm</vt:lpstr>
      <vt:lpstr>SmtRes</vt:lpstr>
      <vt:lpstr>EtalonRes</vt:lpstr>
      <vt:lpstr>SrcPoprs</vt:lpstr>
      <vt:lpstr>SrcKA</vt:lpstr>
      <vt:lpstr>'02-01-17'!Заголовки_для_печати</vt:lpstr>
      <vt:lpstr>'Ведомость объемов работ'!Заголовки_для_печати</vt:lpstr>
      <vt:lpstr>'02-01-17'!Область_печати</vt:lpstr>
      <vt:lpstr>'Ведомость объемов работ'!Область_печати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Лукьянова Анна Леонидовна</cp:lastModifiedBy>
  <dcterms:created xsi:type="dcterms:W3CDTF">2026-03-23T08:47:08Z</dcterms:created>
  <dcterms:modified xsi:type="dcterms:W3CDTF">2026-03-23T09:01:03Z</dcterms:modified>
</cp:coreProperties>
</file>